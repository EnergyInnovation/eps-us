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bldgs\ICpUEfEBE\"/>
    </mc:Choice>
  </mc:AlternateContent>
  <xr:revisionPtr revIDLastSave="0" documentId="13_ncr:1_{600648AE-0862-4BF2-83D1-31DDBDC15BF1}" xr6:coauthVersionLast="47" xr6:coauthVersionMax="47" xr10:uidLastSave="{00000000-0000-0000-0000-000000000000}"/>
  <bookViews>
    <workbookView xWindow="-98" yWindow="-98" windowWidth="21795" windowHeight="12975" tabRatio="730" xr2:uid="{00000000-000D-0000-FFFF-FFFF00000000}"/>
  </bookViews>
  <sheets>
    <sheet name="About" sheetId="1" r:id="rId1"/>
    <sheet name="Source Data&gt;" sheetId="2" r:id="rId2"/>
    <sheet name="EIA Costs" sheetId="3" r:id="rId3"/>
    <sheet name="NREL EF Table 22" sheetId="6" r:id="rId4"/>
    <sheet name="NREL EF Table 23" sheetId="7" r:id="rId5"/>
    <sheet name="AEO 2026 Table 21" sheetId="20" r:id="rId6"/>
    <sheet name="AEO 2026 Table 4" sheetId="19" r:id="rId7"/>
    <sheet name="Calcs&gt;" sheetId="8" r:id="rId8"/>
    <sheet name="Calculations" sheetId="9" r:id="rId9"/>
    <sheet name="ICpUEfEBE-urb-res-heating" sheetId="10" r:id="rId10"/>
    <sheet name="ICpUEfEBE-urb-res-appl" sheetId="11" r:id="rId11"/>
    <sheet name="ICpUEfEBE-urb-res-other" sheetId="12" r:id="rId12"/>
    <sheet name="ICpUEfEBE-rur-res-heating" sheetId="13" r:id="rId13"/>
    <sheet name="ICpUEfEBE-rur-res-appl" sheetId="14" r:id="rId14"/>
    <sheet name="ICpUEfEBE-rur-res-other" sheetId="15" r:id="rId15"/>
    <sheet name="ICpUEfEBE-com-heating" sheetId="16" r:id="rId16"/>
    <sheet name="ICpUEfEBE-com-appl" sheetId="17" r:id="rId17"/>
    <sheet name="ICpUEfEBE-com-other" sheetId="18" r:id="rId18"/>
  </sheets>
  <externalReferences>
    <externalReference r:id="rId19"/>
  </externalReferences>
  <definedNames>
    <definedName name="_AMO_UniqueIdentifier" hidden="1">"'7dff0b4d-5a4e-428f-a156-c32727f2a01b'"</definedName>
    <definedName name="Fraction_coal">[1]About!$C$50</definedName>
    <definedName name="Percent_rural">[1]About!$A$77</definedName>
    <definedName name="Percent_urban">[1]About!$A$76</definedName>
    <definedName name="quadrillion">[1]About!$B$79</definedName>
    <definedName name="Table4">#REF!</definedName>
    <definedName name="Table5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7" l="1"/>
  <c r="E5" i="14"/>
  <c r="E8" i="14" s="1"/>
  <c r="D5" i="14"/>
  <c r="D7" i="14" s="1"/>
  <c r="S7" i="13"/>
  <c r="N5" i="12"/>
  <c r="N9" i="12" s="1"/>
  <c r="M5" i="12"/>
  <c r="D5" i="12"/>
  <c r="P4" i="12"/>
  <c r="P11" i="12" s="1"/>
  <c r="M4" i="12"/>
  <c r="M11" i="12" s="1"/>
  <c r="H78" i="9"/>
  <c r="C4" i="18" s="1"/>
  <c r="AC75" i="9"/>
  <c r="AB75" i="9"/>
  <c r="AA75" i="9"/>
  <c r="Y75" i="9"/>
  <c r="X75" i="9"/>
  <c r="W75" i="9"/>
  <c r="V75" i="9"/>
  <c r="H75" i="9"/>
  <c r="G75" i="9"/>
  <c r="F75" i="9"/>
  <c r="E75" i="9"/>
  <c r="D75" i="9"/>
  <c r="B75" i="9"/>
  <c r="AB73" i="9"/>
  <c r="Y73" i="9"/>
  <c r="X73" i="9"/>
  <c r="X78" i="9" s="1"/>
  <c r="W73" i="9"/>
  <c r="W78" i="9" s="1"/>
  <c r="V73" i="9"/>
  <c r="U73" i="9"/>
  <c r="T73" i="9"/>
  <c r="N73" i="9"/>
  <c r="M73" i="9"/>
  <c r="L73" i="9"/>
  <c r="K73" i="9"/>
  <c r="H73" i="9"/>
  <c r="G73" i="9"/>
  <c r="D73" i="9"/>
  <c r="G70" i="9"/>
  <c r="F70" i="9"/>
  <c r="E70" i="9"/>
  <c r="D70" i="9"/>
  <c r="B70" i="9"/>
  <c r="G69" i="9"/>
  <c r="F69" i="9"/>
  <c r="E69" i="9"/>
  <c r="D69" i="9"/>
  <c r="C69" i="9"/>
  <c r="G68" i="9"/>
  <c r="F68" i="9"/>
  <c r="E68" i="9"/>
  <c r="P73" i="9" s="1"/>
  <c r="D68" i="9"/>
  <c r="C68" i="9"/>
  <c r="AD55" i="9"/>
  <c r="T55" i="9"/>
  <c r="Q55" i="9"/>
  <c r="P55" i="9"/>
  <c r="O55" i="9"/>
  <c r="N55" i="9"/>
  <c r="L55" i="9"/>
  <c r="K55" i="9"/>
  <c r="J55" i="9"/>
  <c r="I55" i="9"/>
  <c r="E55" i="9"/>
  <c r="D55" i="9"/>
  <c r="C55" i="9"/>
  <c r="AF54" i="9"/>
  <c r="AE54" i="9"/>
  <c r="AC54" i="9"/>
  <c r="T54" i="9"/>
  <c r="S54" i="9"/>
  <c r="R54" i="9"/>
  <c r="Q54" i="9"/>
  <c r="P54" i="9"/>
  <c r="O53" i="9"/>
  <c r="N53" i="9"/>
  <c r="M53" i="9"/>
  <c r="G53" i="9"/>
  <c r="F53" i="9"/>
  <c r="E53" i="9"/>
  <c r="B53" i="9"/>
  <c r="G50" i="9"/>
  <c r="F50" i="9"/>
  <c r="E50" i="9"/>
  <c r="D50" i="9"/>
  <c r="B50" i="9"/>
  <c r="G49" i="9"/>
  <c r="F49" i="9"/>
  <c r="E49" i="9"/>
  <c r="D49" i="9"/>
  <c r="C49" i="9"/>
  <c r="B54" i="9" s="1"/>
  <c r="G48" i="9"/>
  <c r="F48" i="9"/>
  <c r="E48" i="9"/>
  <c r="D48" i="9"/>
  <c r="C48" i="9"/>
  <c r="AB38" i="9"/>
  <c r="Z38" i="9"/>
  <c r="J38" i="9"/>
  <c r="AA34" i="9"/>
  <c r="AA38" i="9" s="1"/>
  <c r="Z34" i="9"/>
  <c r="X34" i="9"/>
  <c r="W34" i="9"/>
  <c r="W38" i="9" s="1"/>
  <c r="S34" i="9"/>
  <c r="S38" i="9" s="1"/>
  <c r="R34" i="9"/>
  <c r="R38" i="9" s="1"/>
  <c r="J34" i="9"/>
  <c r="I34" i="9"/>
  <c r="I38" i="9" s="1"/>
  <c r="E34" i="9"/>
  <c r="E38" i="9" s="1"/>
  <c r="D34" i="9"/>
  <c r="D38" i="9" s="1"/>
  <c r="C34" i="9"/>
  <c r="C38" i="9" s="1"/>
  <c r="B34" i="9"/>
  <c r="AC33" i="9"/>
  <c r="Z33" i="9"/>
  <c r="Z37" i="9" s="1"/>
  <c r="X33" i="9"/>
  <c r="X37" i="9" s="1"/>
  <c r="W33" i="9"/>
  <c r="W37" i="9" s="1"/>
  <c r="U33" i="9"/>
  <c r="U37" i="9" s="1"/>
  <c r="T33" i="9"/>
  <c r="T37" i="9" s="1"/>
  <c r="S33" i="9"/>
  <c r="S37" i="9" s="1"/>
  <c r="R33" i="9"/>
  <c r="R37" i="9" s="1"/>
  <c r="I33" i="9"/>
  <c r="I37" i="9" s="1"/>
  <c r="H33" i="9"/>
  <c r="H37" i="9" s="1"/>
  <c r="F30" i="9"/>
  <c r="AB34" i="9" s="1"/>
  <c r="E30" i="9"/>
  <c r="D30" i="9"/>
  <c r="C30" i="9"/>
  <c r="B30" i="9"/>
  <c r="F29" i="9"/>
  <c r="E29" i="9"/>
  <c r="D29" i="9"/>
  <c r="C29" i="9"/>
  <c r="B29" i="9"/>
  <c r="AF26" i="9"/>
  <c r="AE26" i="9"/>
  <c r="AD26" i="9"/>
  <c r="AC26" i="9"/>
  <c r="AB26" i="9"/>
  <c r="AA26" i="9"/>
  <c r="Z26" i="9"/>
  <c r="Y26" i="9"/>
  <c r="X26" i="9"/>
  <c r="W26" i="9"/>
  <c r="V26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AA21" i="9"/>
  <c r="U21" i="9"/>
  <c r="T21" i="9"/>
  <c r="M21" i="9"/>
  <c r="AC20" i="9"/>
  <c r="AB20" i="9"/>
  <c r="AA20" i="9"/>
  <c r="J20" i="9"/>
  <c r="J19" i="9"/>
  <c r="AF16" i="9"/>
  <c r="AF21" i="9" s="1"/>
  <c r="AD16" i="9"/>
  <c r="AC16" i="9"/>
  <c r="AC21" i="9" s="1"/>
  <c r="AB16" i="9"/>
  <c r="AB21" i="9" s="1"/>
  <c r="AA16" i="9"/>
  <c r="Z16" i="9"/>
  <c r="Z21" i="9" s="1"/>
  <c r="Y16" i="9"/>
  <c r="Y21" i="9" s="1"/>
  <c r="V16" i="9"/>
  <c r="U16" i="9"/>
  <c r="T16" i="9"/>
  <c r="S16" i="9"/>
  <c r="R16" i="9"/>
  <c r="R21" i="9" s="1"/>
  <c r="Q16" i="9"/>
  <c r="Q21" i="9" s="1"/>
  <c r="P16" i="9"/>
  <c r="P21" i="9" s="1"/>
  <c r="O16" i="9"/>
  <c r="O21" i="9" s="1"/>
  <c r="N16" i="9"/>
  <c r="N21" i="9" s="1"/>
  <c r="H16" i="9"/>
  <c r="G16" i="9"/>
  <c r="G21" i="9" s="1"/>
  <c r="F16" i="9"/>
  <c r="F21" i="9" s="1"/>
  <c r="AC15" i="9"/>
  <c r="AB15" i="9"/>
  <c r="AA15" i="9"/>
  <c r="Z15" i="9"/>
  <c r="Z20" i="9" s="1"/>
  <c r="Y15" i="9"/>
  <c r="Y20" i="9" s="1"/>
  <c r="T5" i="10" s="1"/>
  <c r="X15" i="9"/>
  <c r="X20" i="9" s="1"/>
  <c r="S5" i="10" s="1"/>
  <c r="O15" i="9"/>
  <c r="O20" i="9" s="1"/>
  <c r="L15" i="9"/>
  <c r="L20" i="9" s="1"/>
  <c r="K15" i="9"/>
  <c r="K20" i="9" s="1"/>
  <c r="J15" i="9"/>
  <c r="I15" i="9"/>
  <c r="I20" i="9" s="1"/>
  <c r="H15" i="9"/>
  <c r="H20" i="9" s="1"/>
  <c r="C5" i="10" s="1"/>
  <c r="Z14" i="9"/>
  <c r="Z19" i="9" s="1"/>
  <c r="U4" i="13" s="1"/>
  <c r="U6" i="13" s="1"/>
  <c r="V14" i="9"/>
  <c r="U14" i="9"/>
  <c r="Q14" i="9"/>
  <c r="Q19" i="9" s="1"/>
  <c r="P14" i="9"/>
  <c r="P19" i="9" s="1"/>
  <c r="O14" i="9"/>
  <c r="O19" i="9" s="1"/>
  <c r="L14" i="9"/>
  <c r="L19" i="9" s="1"/>
  <c r="K14" i="9"/>
  <c r="K19" i="9" s="1"/>
  <c r="J14" i="9"/>
  <c r="I14" i="9"/>
  <c r="I19" i="9" s="1"/>
  <c r="G14" i="9"/>
  <c r="G19" i="9" s="1"/>
  <c r="F11" i="9"/>
  <c r="M16" i="9" s="1"/>
  <c r="E11" i="9"/>
  <c r="D11" i="9"/>
  <c r="X16" i="9" s="1"/>
  <c r="X21" i="9" s="1"/>
  <c r="S7" i="10" s="1"/>
  <c r="C11" i="9"/>
  <c r="B11" i="9"/>
  <c r="F10" i="9"/>
  <c r="E10" i="9"/>
  <c r="D10" i="9"/>
  <c r="C10" i="9"/>
  <c r="B10" i="9"/>
  <c r="B15" i="9" s="1"/>
  <c r="F9" i="9"/>
  <c r="AC14" i="9" s="1"/>
  <c r="AC19" i="9" s="1"/>
  <c r="E9" i="9"/>
  <c r="D9" i="9"/>
  <c r="C9" i="9"/>
  <c r="B9" i="9"/>
  <c r="B14" i="9" s="1"/>
  <c r="AF6" i="9"/>
  <c r="AE6" i="9"/>
  <c r="AD6" i="9"/>
  <c r="AC6" i="9"/>
  <c r="AB6" i="9"/>
  <c r="AA6" i="9"/>
  <c r="Z6" i="9"/>
  <c r="Y6" i="9"/>
  <c r="X6" i="9"/>
  <c r="W6" i="9"/>
  <c r="V6" i="9"/>
  <c r="V21" i="9" s="1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C68" i="3"/>
  <c r="D8" i="14" l="1"/>
  <c r="N7" i="12"/>
  <c r="F4" i="13"/>
  <c r="F4" i="10"/>
  <c r="G4" i="13"/>
  <c r="G4" i="10"/>
  <c r="D4" i="12"/>
  <c r="D4" i="11"/>
  <c r="D4" i="15"/>
  <c r="D4" i="14"/>
  <c r="V5" i="11"/>
  <c r="V5" i="15"/>
  <c r="V5" i="14"/>
  <c r="V5" i="12"/>
  <c r="N4" i="14"/>
  <c r="N4" i="15"/>
  <c r="N4" i="11"/>
  <c r="N4" i="12"/>
  <c r="O4" i="14"/>
  <c r="O4" i="15"/>
  <c r="O4" i="11"/>
  <c r="O4" i="12"/>
  <c r="N59" i="9"/>
  <c r="I5" i="16" s="1"/>
  <c r="W74" i="9"/>
  <c r="W79" i="9" s="1"/>
  <c r="V74" i="9"/>
  <c r="Y74" i="9"/>
  <c r="X74" i="9"/>
  <c r="T74" i="9"/>
  <c r="S74" i="9"/>
  <c r="AF74" i="9"/>
  <c r="AE74" i="9"/>
  <c r="AD74" i="9"/>
  <c r="O74" i="9"/>
  <c r="N74" i="9"/>
  <c r="AA74" i="9"/>
  <c r="AA79" i="9" s="1"/>
  <c r="Q74" i="9"/>
  <c r="Z74" i="9"/>
  <c r="U74" i="9"/>
  <c r="R74" i="9"/>
  <c r="P74" i="9"/>
  <c r="AC74" i="9"/>
  <c r="AC79" i="9" s="1"/>
  <c r="AB74" i="9"/>
  <c r="AB79" i="9" s="1"/>
  <c r="M74" i="9"/>
  <c r="E74" i="9"/>
  <c r="E79" i="9" s="1"/>
  <c r="I7" i="13"/>
  <c r="I7" i="10"/>
  <c r="W5" i="15"/>
  <c r="W5" i="12"/>
  <c r="W5" i="14"/>
  <c r="W5" i="11"/>
  <c r="O59" i="9"/>
  <c r="J5" i="16" s="1"/>
  <c r="I74" i="9"/>
  <c r="J4" i="10"/>
  <c r="J4" i="13"/>
  <c r="J7" i="13"/>
  <c r="J7" i="10"/>
  <c r="J74" i="9"/>
  <c r="K4" i="10"/>
  <c r="K4" i="13"/>
  <c r="K7" i="13"/>
  <c r="K7" i="10"/>
  <c r="K74" i="9"/>
  <c r="L4" i="13"/>
  <c r="L4" i="10"/>
  <c r="V5" i="10"/>
  <c r="V5" i="13"/>
  <c r="W5" i="13"/>
  <c r="W5" i="10"/>
  <c r="T53" i="9"/>
  <c r="Q53" i="9"/>
  <c r="V53" i="9"/>
  <c r="U53" i="9"/>
  <c r="S53" i="9"/>
  <c r="AF53" i="9"/>
  <c r="AB53" i="9"/>
  <c r="Y53" i="9"/>
  <c r="AA53" i="9"/>
  <c r="Z53" i="9"/>
  <c r="X53" i="9"/>
  <c r="W53" i="9"/>
  <c r="K53" i="9"/>
  <c r="J53" i="9"/>
  <c r="AC53" i="9"/>
  <c r="R53" i="9"/>
  <c r="AD53" i="9"/>
  <c r="AD58" i="9" s="1"/>
  <c r="Y4" i="16" s="1"/>
  <c r="AE53" i="9"/>
  <c r="P53" i="9"/>
  <c r="P58" i="9" s="1"/>
  <c r="K4" i="16" s="1"/>
  <c r="X5" i="10"/>
  <c r="X5" i="13"/>
  <c r="X4" i="13"/>
  <c r="X4" i="10"/>
  <c r="R5" i="15"/>
  <c r="R5" i="12"/>
  <c r="R5" i="14"/>
  <c r="R5" i="11"/>
  <c r="D5" i="10"/>
  <c r="D5" i="13"/>
  <c r="X38" i="9"/>
  <c r="V79" i="9"/>
  <c r="U7" i="13"/>
  <c r="U7" i="10"/>
  <c r="C4" i="12"/>
  <c r="C4" i="11"/>
  <c r="C4" i="15"/>
  <c r="M10" i="12"/>
  <c r="M3" i="12"/>
  <c r="M6" i="12"/>
  <c r="J5" i="13"/>
  <c r="J5" i="10"/>
  <c r="W7" i="13"/>
  <c r="W7" i="10"/>
  <c r="Y79" i="9"/>
  <c r="Y78" i="9"/>
  <c r="X7" i="13"/>
  <c r="X7" i="10"/>
  <c r="T9" i="10"/>
  <c r="T8" i="10"/>
  <c r="P10" i="12"/>
  <c r="P6" i="12"/>
  <c r="P3" i="12"/>
  <c r="C11" i="17"/>
  <c r="C3" i="17"/>
  <c r="C6" i="17"/>
  <c r="C10" i="17"/>
  <c r="U5" i="10"/>
  <c r="U5" i="13"/>
  <c r="D59" i="9"/>
  <c r="D58" i="9"/>
  <c r="D7" i="12"/>
  <c r="D8" i="12"/>
  <c r="D9" i="12"/>
  <c r="C4" i="14"/>
  <c r="E4" i="10"/>
  <c r="E4" i="13"/>
  <c r="P4" i="15"/>
  <c r="P4" i="14"/>
  <c r="P4" i="11"/>
  <c r="E58" i="9"/>
  <c r="E59" i="9"/>
  <c r="C6" i="18"/>
  <c r="C10" i="18"/>
  <c r="C11" i="18"/>
  <c r="C3" i="18"/>
  <c r="R4" i="15"/>
  <c r="R4" i="14"/>
  <c r="R4" i="11"/>
  <c r="R4" i="12"/>
  <c r="I59" i="9"/>
  <c r="D5" i="16" s="1"/>
  <c r="R4" i="17"/>
  <c r="R4" i="18"/>
  <c r="M9" i="12"/>
  <c r="M8" i="12"/>
  <c r="B4" i="13"/>
  <c r="B4" i="10"/>
  <c r="S4" i="14"/>
  <c r="S4" i="11"/>
  <c r="S4" i="15"/>
  <c r="S4" i="12"/>
  <c r="J59" i="9"/>
  <c r="E5" i="16" s="1"/>
  <c r="J58" i="9"/>
  <c r="E4" i="16" s="1"/>
  <c r="S4" i="17"/>
  <c r="S4" i="18"/>
  <c r="S5" i="13"/>
  <c r="D4" i="10"/>
  <c r="D4" i="13"/>
  <c r="U4" i="12"/>
  <c r="U4" i="15"/>
  <c r="U4" i="14"/>
  <c r="U4" i="11"/>
  <c r="C53" i="9"/>
  <c r="C58" i="9" s="1"/>
  <c r="B74" i="9"/>
  <c r="B79" i="9" s="1"/>
  <c r="M7" i="12"/>
  <c r="T5" i="13"/>
  <c r="S9" i="10"/>
  <c r="S8" i="10"/>
  <c r="M4" i="14"/>
  <c r="M4" i="15"/>
  <c r="M4" i="11"/>
  <c r="Q7" i="10"/>
  <c r="Q7" i="13"/>
  <c r="B7" i="10"/>
  <c r="B7" i="13"/>
  <c r="AC37" i="9"/>
  <c r="U5" i="12"/>
  <c r="U5" i="15"/>
  <c r="U5" i="14"/>
  <c r="U5" i="11"/>
  <c r="D53" i="9"/>
  <c r="D74" i="9"/>
  <c r="C74" i="9"/>
  <c r="H74" i="9"/>
  <c r="H79" i="9" s="1"/>
  <c r="G74" i="9"/>
  <c r="G79" i="9" s="1"/>
  <c r="F74" i="9"/>
  <c r="F79" i="9" s="1"/>
  <c r="L74" i="9"/>
  <c r="U19" i="9"/>
  <c r="K54" i="9"/>
  <c r="K59" i="9" s="1"/>
  <c r="F5" i="16" s="1"/>
  <c r="H54" i="9"/>
  <c r="L54" i="9"/>
  <c r="J54" i="9"/>
  <c r="I54" i="9"/>
  <c r="C54" i="9"/>
  <c r="C59" i="9" s="1"/>
  <c r="B78" i="9"/>
  <c r="D9" i="14"/>
  <c r="M7" i="10"/>
  <c r="M7" i="13"/>
  <c r="Q58" i="9"/>
  <c r="L4" i="16" s="1"/>
  <c r="Q59" i="9"/>
  <c r="L5" i="16" s="1"/>
  <c r="T58" i="9"/>
  <c r="O4" i="16" s="1"/>
  <c r="AF15" i="9"/>
  <c r="AF20" i="9" s="1"/>
  <c r="V15" i="9"/>
  <c r="V20" i="9" s="1"/>
  <c r="T15" i="9"/>
  <c r="T20" i="9" s="1"/>
  <c r="M5" i="15"/>
  <c r="M5" i="14"/>
  <c r="M5" i="11"/>
  <c r="F54" i="9"/>
  <c r="F78" i="9"/>
  <c r="N5" i="14"/>
  <c r="N5" i="15"/>
  <c r="G54" i="9"/>
  <c r="G78" i="9"/>
  <c r="N5" i="11"/>
  <c r="B16" i="9"/>
  <c r="F5" i="10"/>
  <c r="F5" i="13"/>
  <c r="V34" i="9"/>
  <c r="V38" i="9" s="1"/>
  <c r="E5" i="11"/>
  <c r="E5" i="12"/>
  <c r="E5" i="15"/>
  <c r="AB55" i="9"/>
  <c r="Y33" i="9"/>
  <c r="Y37" i="9" s="1"/>
  <c r="V33" i="9"/>
  <c r="V37" i="9" s="1"/>
  <c r="O33" i="9"/>
  <c r="O37" i="9" s="1"/>
  <c r="N33" i="9"/>
  <c r="N37" i="9" s="1"/>
  <c r="M33" i="9"/>
  <c r="M37" i="9" s="1"/>
  <c r="AB33" i="9"/>
  <c r="AB37" i="9" s="1"/>
  <c r="AA33" i="9"/>
  <c r="AA37" i="9" s="1"/>
  <c r="Q33" i="9"/>
  <c r="Q37" i="9" s="1"/>
  <c r="P33" i="9"/>
  <c r="P37" i="9" s="1"/>
  <c r="AF33" i="9"/>
  <c r="AF37" i="9" s="1"/>
  <c r="AE33" i="9"/>
  <c r="AE37" i="9" s="1"/>
  <c r="AD33" i="9"/>
  <c r="AD37" i="9" s="1"/>
  <c r="C9" i="10"/>
  <c r="C8" i="10"/>
  <c r="C33" i="9"/>
  <c r="C37" i="9" s="1"/>
  <c r="D33" i="9"/>
  <c r="D37" i="9" s="1"/>
  <c r="B33" i="9"/>
  <c r="J33" i="9"/>
  <c r="J37" i="9" s="1"/>
  <c r="L33" i="9"/>
  <c r="L37" i="9" s="1"/>
  <c r="K33" i="9"/>
  <c r="K37" i="9" s="1"/>
  <c r="O58" i="9"/>
  <c r="J4" i="16" s="1"/>
  <c r="P59" i="9"/>
  <c r="K5" i="16" s="1"/>
  <c r="D79" i="9"/>
  <c r="D78" i="9"/>
  <c r="H14" i="9"/>
  <c r="H19" i="9" s="1"/>
  <c r="E14" i="9"/>
  <c r="E19" i="9" s="1"/>
  <c r="F14" i="9"/>
  <c r="F19" i="9" s="1"/>
  <c r="D14" i="9"/>
  <c r="D19" i="9" s="1"/>
  <c r="C14" i="9"/>
  <c r="C19" i="9" s="1"/>
  <c r="H21" i="9"/>
  <c r="N8" i="12"/>
  <c r="V19" i="9"/>
  <c r="U10" i="13"/>
  <c r="U11" i="13"/>
  <c r="U3" i="13"/>
  <c r="H7" i="13"/>
  <c r="H7" i="10"/>
  <c r="N58" i="9"/>
  <c r="I4" i="16" s="1"/>
  <c r="AF14" i="9"/>
  <c r="AF19" i="9" s="1"/>
  <c r="T14" i="9"/>
  <c r="T19" i="9" s="1"/>
  <c r="S14" i="9"/>
  <c r="S19" i="9" s="1"/>
  <c r="R14" i="9"/>
  <c r="R19" i="9" s="1"/>
  <c r="AB14" i="9"/>
  <c r="AB19" i="9" s="1"/>
  <c r="U4" i="10"/>
  <c r="E9" i="14"/>
  <c r="E7" i="14"/>
  <c r="L7" i="13"/>
  <c r="L7" i="10"/>
  <c r="AE14" i="9"/>
  <c r="AE19" i="9" s="1"/>
  <c r="D5" i="15"/>
  <c r="D5" i="11"/>
  <c r="D54" i="9"/>
  <c r="O7" i="10"/>
  <c r="O7" i="13"/>
  <c r="E54" i="9"/>
  <c r="E78" i="9"/>
  <c r="P7" i="10"/>
  <c r="P7" i="13"/>
  <c r="AD59" i="9"/>
  <c r="Y5" i="16" s="1"/>
  <c r="T59" i="9"/>
  <c r="O5" i="16" s="1"/>
  <c r="L16" i="9"/>
  <c r="L21" i="9" s="1"/>
  <c r="I16" i="9"/>
  <c r="I21" i="9" s="1"/>
  <c r="K16" i="9"/>
  <c r="K21" i="9" s="1"/>
  <c r="J16" i="9"/>
  <c r="J21" i="9" s="1"/>
  <c r="E16" i="9"/>
  <c r="E21" i="9" s="1"/>
  <c r="D16" i="9"/>
  <c r="D21" i="9" s="1"/>
  <c r="C16" i="9"/>
  <c r="C21" i="9" s="1"/>
  <c r="G5" i="13"/>
  <c r="G5" i="10"/>
  <c r="T7" i="13"/>
  <c r="T7" i="10"/>
  <c r="E5" i="10"/>
  <c r="E5" i="13"/>
  <c r="V7" i="13"/>
  <c r="V7" i="10"/>
  <c r="E33" i="9"/>
  <c r="E37" i="9" s="1"/>
  <c r="Z55" i="9"/>
  <c r="Y55" i="9"/>
  <c r="V55" i="9"/>
  <c r="V78" i="9"/>
  <c r="M15" i="9"/>
  <c r="M20" i="9" s="1"/>
  <c r="F33" i="9"/>
  <c r="F37" i="9" s="1"/>
  <c r="C5" i="13"/>
  <c r="N15" i="9"/>
  <c r="N20" i="9" s="1"/>
  <c r="G33" i="9"/>
  <c r="G37" i="9" s="1"/>
  <c r="Y34" i="9"/>
  <c r="Y38" i="9" s="1"/>
  <c r="X79" i="9"/>
  <c r="S21" i="9"/>
  <c r="H34" i="9"/>
  <c r="H38" i="9" s="1"/>
  <c r="G34" i="9"/>
  <c r="G38" i="9" s="1"/>
  <c r="F34" i="9"/>
  <c r="F38" i="9" s="1"/>
  <c r="C75" i="9"/>
  <c r="L75" i="9"/>
  <c r="I75" i="9"/>
  <c r="G15" i="9"/>
  <c r="G20" i="9" s="1"/>
  <c r="F15" i="9"/>
  <c r="F20" i="9" s="1"/>
  <c r="P34" i="9"/>
  <c r="P38" i="9" s="1"/>
  <c r="M34" i="9"/>
  <c r="M38" i="9" s="1"/>
  <c r="AF34" i="9"/>
  <c r="AF38" i="9" s="1"/>
  <c r="AE34" i="9"/>
  <c r="AE38" i="9" s="1"/>
  <c r="AD34" i="9"/>
  <c r="AD38" i="9" s="1"/>
  <c r="U34" i="9"/>
  <c r="U38" i="9" s="1"/>
  <c r="T34" i="9"/>
  <c r="T38" i="9" s="1"/>
  <c r="AC34" i="9"/>
  <c r="AC38" i="9" s="1"/>
  <c r="L59" i="9"/>
  <c r="G5" i="16" s="1"/>
  <c r="K58" i="9"/>
  <c r="F4" i="16" s="1"/>
  <c r="T75" i="9"/>
  <c r="N75" i="9"/>
  <c r="M75" i="9"/>
  <c r="Z75" i="9"/>
  <c r="S75" i="9"/>
  <c r="R75" i="9"/>
  <c r="Q75" i="9"/>
  <c r="P75" i="9"/>
  <c r="O75" i="9"/>
  <c r="AF75" i="9"/>
  <c r="AE75" i="9"/>
  <c r="U75" i="9"/>
  <c r="J75" i="9"/>
  <c r="U15" i="9"/>
  <c r="U20" i="9" s="1"/>
  <c r="R15" i="9"/>
  <c r="R20" i="9" s="1"/>
  <c r="S15" i="9"/>
  <c r="S20" i="9" s="1"/>
  <c r="Q15" i="9"/>
  <c r="Q20" i="9" s="1"/>
  <c r="P15" i="9"/>
  <c r="P20" i="9" s="1"/>
  <c r="AE15" i="9"/>
  <c r="AE20" i="9" s="1"/>
  <c r="AD15" i="9"/>
  <c r="AD20" i="9" s="1"/>
  <c r="W15" i="9"/>
  <c r="W20" i="9" s="1"/>
  <c r="I53" i="9"/>
  <c r="I58" i="9" s="1"/>
  <c r="D4" i="16" s="1"/>
  <c r="H53" i="9"/>
  <c r="L53" i="9"/>
  <c r="L58" i="9" s="1"/>
  <c r="G4" i="16" s="1"/>
  <c r="M55" i="9"/>
  <c r="K75" i="9"/>
  <c r="AD54" i="9"/>
  <c r="O54" i="9"/>
  <c r="N54" i="9"/>
  <c r="M54" i="9"/>
  <c r="Z54" i="9"/>
  <c r="Y54" i="9"/>
  <c r="U54" i="9"/>
  <c r="AB78" i="9"/>
  <c r="K34" i="9"/>
  <c r="K38" i="9" s="1"/>
  <c r="V54" i="9"/>
  <c r="AC78" i="9"/>
  <c r="W54" i="9"/>
  <c r="AD75" i="9"/>
  <c r="C15" i="9"/>
  <c r="C20" i="9" s="1"/>
  <c r="N34" i="9"/>
  <c r="N38" i="9" s="1"/>
  <c r="X54" i="9"/>
  <c r="AA55" i="9"/>
  <c r="O73" i="9"/>
  <c r="D15" i="9"/>
  <c r="D20" i="9" s="1"/>
  <c r="O34" i="9"/>
  <c r="O38" i="9" s="1"/>
  <c r="AA54" i="9"/>
  <c r="J73" i="9"/>
  <c r="I73" i="9"/>
  <c r="F73" i="9"/>
  <c r="E73" i="9"/>
  <c r="C73" i="9"/>
  <c r="B73" i="9"/>
  <c r="AD21" i="9"/>
  <c r="AA7" i="13"/>
  <c r="AA7" i="10"/>
  <c r="L34" i="9"/>
  <c r="L38" i="9" s="1"/>
  <c r="E15" i="9"/>
  <c r="E20" i="9" s="1"/>
  <c r="Q34" i="9"/>
  <c r="Q38" i="9" s="1"/>
  <c r="X55" i="9"/>
  <c r="W55" i="9"/>
  <c r="U55" i="9"/>
  <c r="H55" i="9"/>
  <c r="AF55" i="9"/>
  <c r="G55" i="9"/>
  <c r="AE55" i="9"/>
  <c r="F55" i="9"/>
  <c r="S55" i="9"/>
  <c r="R55" i="9"/>
  <c r="AB54" i="9"/>
  <c r="AC55" i="9"/>
  <c r="AF73" i="9"/>
  <c r="AE73" i="9"/>
  <c r="AD73" i="9"/>
  <c r="AC73" i="9"/>
  <c r="AA73" i="9"/>
  <c r="AA78" i="9" s="1"/>
  <c r="Z73" i="9"/>
  <c r="R73" i="9"/>
  <c r="Q73" i="9"/>
  <c r="S73" i="9"/>
  <c r="AD14" i="9"/>
  <c r="AD19" i="9" s="1"/>
  <c r="AA14" i="9"/>
  <c r="AA19" i="9" s="1"/>
  <c r="M14" i="9"/>
  <c r="M19" i="9" s="1"/>
  <c r="W16" i="9"/>
  <c r="W21" i="9" s="1"/>
  <c r="N14" i="9"/>
  <c r="N19" i="9" s="1"/>
  <c r="AE16" i="9"/>
  <c r="AE21" i="9" s="1"/>
  <c r="W14" i="9"/>
  <c r="W19" i="9" s="1"/>
  <c r="X14" i="9"/>
  <c r="X19" i="9" s="1"/>
  <c r="Y14" i="9"/>
  <c r="Y19" i="9" s="1"/>
  <c r="B55" i="9"/>
  <c r="R5" i="17" l="1"/>
  <c r="R5" i="18"/>
  <c r="K3" i="16"/>
  <c r="K11" i="16"/>
  <c r="K6" i="16"/>
  <c r="K10" i="16"/>
  <c r="C5" i="17"/>
  <c r="C5" i="18"/>
  <c r="F7" i="16"/>
  <c r="F8" i="16"/>
  <c r="F9" i="16"/>
  <c r="Y11" i="16"/>
  <c r="Y10" i="16"/>
  <c r="Y6" i="16"/>
  <c r="Y3" i="16"/>
  <c r="B5" i="18"/>
  <c r="B5" i="17"/>
  <c r="V4" i="18"/>
  <c r="V4" i="17"/>
  <c r="V5" i="17"/>
  <c r="V5" i="18"/>
  <c r="G6" i="16"/>
  <c r="G10" i="16"/>
  <c r="G3" i="16"/>
  <c r="G11" i="16"/>
  <c r="B5" i="11"/>
  <c r="B5" i="12"/>
  <c r="B5" i="15"/>
  <c r="B5" i="14"/>
  <c r="P4" i="10"/>
  <c r="P4" i="13"/>
  <c r="C10" i="14"/>
  <c r="C11" i="14"/>
  <c r="C3" i="14"/>
  <c r="C6" i="14"/>
  <c r="M78" i="9"/>
  <c r="M79" i="9"/>
  <c r="T8" i="13"/>
  <c r="T9" i="13"/>
  <c r="I8" i="16"/>
  <c r="I7" i="16"/>
  <c r="I9" i="16"/>
  <c r="J5" i="14"/>
  <c r="J5" i="12"/>
  <c r="J5" i="11"/>
  <c r="J5" i="15"/>
  <c r="X9" i="10"/>
  <c r="X8" i="10"/>
  <c r="O10" i="12"/>
  <c r="O6" i="12"/>
  <c r="O3" i="12"/>
  <c r="O11" i="12"/>
  <c r="F59" i="9"/>
  <c r="F58" i="9"/>
  <c r="S5" i="17"/>
  <c r="S5" i="18"/>
  <c r="J4" i="15"/>
  <c r="J4" i="14"/>
  <c r="J4" i="11"/>
  <c r="J4" i="12"/>
  <c r="M8" i="14"/>
  <c r="M9" i="14"/>
  <c r="M7" i="14"/>
  <c r="J9" i="10"/>
  <c r="J8" i="10"/>
  <c r="O11" i="11"/>
  <c r="O6" i="11"/>
  <c r="O3" i="11"/>
  <c r="O10" i="11"/>
  <c r="D11" i="16"/>
  <c r="D3" i="16"/>
  <c r="D10" i="16"/>
  <c r="D6" i="16"/>
  <c r="F6" i="16"/>
  <c r="F10" i="16"/>
  <c r="F11" i="16"/>
  <c r="F3" i="16"/>
  <c r="M9" i="15"/>
  <c r="M8" i="15"/>
  <c r="M7" i="15"/>
  <c r="J9" i="13"/>
  <c r="J8" i="13"/>
  <c r="L3" i="10"/>
  <c r="L11" i="10"/>
  <c r="L10" i="10"/>
  <c r="L6" i="10"/>
  <c r="W5" i="18"/>
  <c r="W5" i="17"/>
  <c r="O3" i="15"/>
  <c r="O6" i="15"/>
  <c r="O11" i="15"/>
  <c r="O10" i="15"/>
  <c r="R4" i="13"/>
  <c r="R4" i="10"/>
  <c r="G59" i="9"/>
  <c r="B5" i="16" s="1"/>
  <c r="G58" i="9"/>
  <c r="B4" i="16" s="1"/>
  <c r="AA59" i="9"/>
  <c r="V5" i="16" s="1"/>
  <c r="AA58" i="9"/>
  <c r="V4" i="16" s="1"/>
  <c r="R5" i="10"/>
  <c r="R5" i="13"/>
  <c r="G7" i="16"/>
  <c r="G9" i="16"/>
  <c r="G8" i="16"/>
  <c r="B4" i="12"/>
  <c r="B4" i="11"/>
  <c r="B4" i="15"/>
  <c r="B4" i="14"/>
  <c r="E7" i="13"/>
  <c r="E7" i="10"/>
  <c r="U11" i="10"/>
  <c r="U6" i="10"/>
  <c r="U10" i="10"/>
  <c r="U3" i="10"/>
  <c r="K8" i="16"/>
  <c r="K7" i="16"/>
  <c r="K9" i="16"/>
  <c r="T4" i="12"/>
  <c r="T4" i="15"/>
  <c r="T4" i="14"/>
  <c r="T4" i="11"/>
  <c r="O5" i="13"/>
  <c r="O5" i="10"/>
  <c r="U3" i="11"/>
  <c r="U11" i="11"/>
  <c r="U10" i="11"/>
  <c r="U6" i="11"/>
  <c r="R6" i="17"/>
  <c r="R10" i="17"/>
  <c r="R3" i="17"/>
  <c r="R11" i="17"/>
  <c r="L10" i="13"/>
  <c r="L6" i="13"/>
  <c r="L3" i="13"/>
  <c r="L11" i="13"/>
  <c r="X5" i="18"/>
  <c r="X5" i="17"/>
  <c r="O11" i="14"/>
  <c r="O3" i="14"/>
  <c r="O6" i="14"/>
  <c r="O10" i="14"/>
  <c r="Z7" i="13"/>
  <c r="Z7" i="10"/>
  <c r="AF58" i="9"/>
  <c r="AA4" i="16" s="1"/>
  <c r="AF59" i="9"/>
  <c r="AA5" i="16" s="1"/>
  <c r="Y5" i="13"/>
  <c r="Y5" i="10"/>
  <c r="I5" i="10"/>
  <c r="I5" i="13"/>
  <c r="F7" i="10"/>
  <c r="F7" i="13"/>
  <c r="W4" i="10"/>
  <c r="W4" i="13"/>
  <c r="Q5" i="10"/>
  <c r="Q5" i="13"/>
  <c r="U10" i="14"/>
  <c r="U11" i="14"/>
  <c r="U6" i="14"/>
  <c r="U3" i="14"/>
  <c r="D7" i="16"/>
  <c r="D9" i="16"/>
  <c r="D8" i="16"/>
  <c r="U8" i="13"/>
  <c r="U9" i="13"/>
  <c r="N11" i="12"/>
  <c r="N6" i="12"/>
  <c r="N10" i="12"/>
  <c r="N3" i="12"/>
  <c r="I4" i="10"/>
  <c r="I4" i="13"/>
  <c r="H59" i="9"/>
  <c r="C5" i="16" s="1"/>
  <c r="H58" i="9"/>
  <c r="C4" i="16" s="1"/>
  <c r="I5" i="12"/>
  <c r="I5" i="14"/>
  <c r="I5" i="15"/>
  <c r="I5" i="11"/>
  <c r="Z5" i="10"/>
  <c r="Z5" i="13"/>
  <c r="X5" i="12"/>
  <c r="X5" i="15"/>
  <c r="X5" i="14"/>
  <c r="X5" i="11"/>
  <c r="C8" i="13"/>
  <c r="C9" i="13"/>
  <c r="D7" i="13"/>
  <c r="D7" i="10"/>
  <c r="M4" i="13"/>
  <c r="M4" i="10"/>
  <c r="J10" i="16"/>
  <c r="J3" i="16"/>
  <c r="J6" i="16"/>
  <c r="J11" i="16"/>
  <c r="AB58" i="9"/>
  <c r="W4" i="16" s="1"/>
  <c r="AB59" i="9"/>
  <c r="W5" i="16" s="1"/>
  <c r="AA5" i="13"/>
  <c r="AA5" i="10"/>
  <c r="U3" i="15"/>
  <c r="U6" i="15"/>
  <c r="U10" i="15"/>
  <c r="U11" i="15"/>
  <c r="R6" i="12"/>
  <c r="R10" i="12"/>
  <c r="R3" i="12"/>
  <c r="R11" i="12"/>
  <c r="U9" i="10"/>
  <c r="U8" i="10"/>
  <c r="N10" i="11"/>
  <c r="N11" i="11"/>
  <c r="N6" i="11"/>
  <c r="N3" i="11"/>
  <c r="R7" i="10"/>
  <c r="R7" i="13"/>
  <c r="U59" i="9"/>
  <c r="P5" i="16" s="1"/>
  <c r="U58" i="9"/>
  <c r="P4" i="16" s="1"/>
  <c r="K5" i="13"/>
  <c r="K5" i="10"/>
  <c r="O5" i="12"/>
  <c r="O5" i="15"/>
  <c r="O5" i="14"/>
  <c r="O5" i="11"/>
  <c r="G7" i="13"/>
  <c r="G7" i="10"/>
  <c r="N4" i="13"/>
  <c r="N4" i="10"/>
  <c r="F4" i="11"/>
  <c r="F4" i="12"/>
  <c r="F4" i="15"/>
  <c r="F4" i="14"/>
  <c r="E9" i="15"/>
  <c r="E8" i="15"/>
  <c r="E7" i="15"/>
  <c r="O11" i="16"/>
  <c r="O10" i="16"/>
  <c r="O3" i="16"/>
  <c r="O6" i="16"/>
  <c r="U7" i="11"/>
  <c r="U9" i="11"/>
  <c r="U8" i="11"/>
  <c r="U6" i="12"/>
  <c r="U3" i="12"/>
  <c r="U10" i="12"/>
  <c r="U11" i="12"/>
  <c r="R10" i="11"/>
  <c r="R3" i="11"/>
  <c r="R11" i="11"/>
  <c r="R6" i="11"/>
  <c r="C11" i="15"/>
  <c r="C10" i="15"/>
  <c r="C3" i="15"/>
  <c r="C6" i="15"/>
  <c r="N11" i="15"/>
  <c r="N3" i="15"/>
  <c r="N10" i="15"/>
  <c r="N6" i="15"/>
  <c r="H4" i="13"/>
  <c r="H4" i="10"/>
  <c r="W59" i="9"/>
  <c r="R5" i="16" s="1"/>
  <c r="W58" i="9"/>
  <c r="R4" i="16" s="1"/>
  <c r="AD78" i="9"/>
  <c r="AD79" i="9"/>
  <c r="L5" i="13"/>
  <c r="L5" i="10"/>
  <c r="P5" i="12"/>
  <c r="P5" i="11"/>
  <c r="P5" i="15"/>
  <c r="P5" i="14"/>
  <c r="O8" i="16"/>
  <c r="O7" i="16"/>
  <c r="O9" i="16"/>
  <c r="O4" i="13"/>
  <c r="O4" i="10"/>
  <c r="G4" i="15"/>
  <c r="G4" i="11"/>
  <c r="G4" i="12"/>
  <c r="G4" i="14"/>
  <c r="E7" i="12"/>
  <c r="E8" i="12"/>
  <c r="E9" i="12"/>
  <c r="L9" i="16"/>
  <c r="L7" i="16"/>
  <c r="L8" i="16"/>
  <c r="U8" i="14"/>
  <c r="U7" i="14"/>
  <c r="U9" i="14"/>
  <c r="R6" i="14"/>
  <c r="R3" i="14"/>
  <c r="R11" i="14"/>
  <c r="R10" i="14"/>
  <c r="C10" i="11"/>
  <c r="C6" i="11"/>
  <c r="C11" i="11"/>
  <c r="C3" i="11"/>
  <c r="K10" i="13"/>
  <c r="K11" i="13"/>
  <c r="K6" i="13"/>
  <c r="K3" i="13"/>
  <c r="N3" i="14"/>
  <c r="N10" i="14"/>
  <c r="N11" i="14"/>
  <c r="N6" i="14"/>
  <c r="V4" i="13"/>
  <c r="V4" i="10"/>
  <c r="X58" i="9"/>
  <c r="S4" i="16" s="1"/>
  <c r="X59" i="9"/>
  <c r="S5" i="16" s="1"/>
  <c r="N5" i="13"/>
  <c r="N5" i="10"/>
  <c r="Y5" i="11"/>
  <c r="Y5" i="12"/>
  <c r="Y5" i="14"/>
  <c r="Y5" i="15"/>
  <c r="H5" i="13"/>
  <c r="H5" i="10"/>
  <c r="AA4" i="13"/>
  <c r="AA4" i="10"/>
  <c r="E4" i="11"/>
  <c r="E4" i="15"/>
  <c r="E4" i="12"/>
  <c r="E4" i="14"/>
  <c r="E9" i="11"/>
  <c r="E8" i="11"/>
  <c r="E7" i="11"/>
  <c r="L3" i="16"/>
  <c r="L11" i="16"/>
  <c r="L6" i="16"/>
  <c r="L10" i="16"/>
  <c r="U8" i="15"/>
  <c r="U7" i="15"/>
  <c r="U9" i="15"/>
  <c r="R11" i="15"/>
  <c r="R10" i="15"/>
  <c r="R3" i="15"/>
  <c r="R6" i="15"/>
  <c r="C3" i="12"/>
  <c r="C11" i="12"/>
  <c r="C10" i="12"/>
  <c r="C6" i="12"/>
  <c r="K10" i="10"/>
  <c r="K3" i="10"/>
  <c r="K11" i="10"/>
  <c r="K6" i="10"/>
  <c r="V8" i="12"/>
  <c r="V9" i="12"/>
  <c r="V7" i="12"/>
  <c r="K78" i="9"/>
  <c r="K79" i="9"/>
  <c r="G9" i="10"/>
  <c r="G8" i="10"/>
  <c r="B11" i="10"/>
  <c r="B3" i="10"/>
  <c r="B6" i="10"/>
  <c r="B10" i="10"/>
  <c r="R59" i="9"/>
  <c r="M5" i="16" s="1"/>
  <c r="R58" i="9"/>
  <c r="M4" i="16" s="1"/>
  <c r="H4" i="12"/>
  <c r="H4" i="15"/>
  <c r="H4" i="11"/>
  <c r="H4" i="14"/>
  <c r="B58" i="9"/>
  <c r="B59" i="9"/>
  <c r="C4" i="10"/>
  <c r="C4" i="13"/>
  <c r="T79" i="9"/>
  <c r="T78" i="9"/>
  <c r="T5" i="15"/>
  <c r="T5" i="12"/>
  <c r="T5" i="14"/>
  <c r="T5" i="11"/>
  <c r="M5" i="13"/>
  <c r="M5" i="10"/>
  <c r="G5" i="15"/>
  <c r="G5" i="12"/>
  <c r="G5" i="14"/>
  <c r="G5" i="11"/>
  <c r="K5" i="15"/>
  <c r="K5" i="12"/>
  <c r="K5" i="11"/>
  <c r="K5" i="14"/>
  <c r="AE78" i="9"/>
  <c r="AE79" i="9"/>
  <c r="S3" i="17"/>
  <c r="S6" i="17"/>
  <c r="S10" i="17"/>
  <c r="S11" i="17"/>
  <c r="J6" i="10"/>
  <c r="J3" i="10"/>
  <c r="J11" i="10"/>
  <c r="J10" i="10"/>
  <c r="B4" i="17"/>
  <c r="B4" i="18"/>
  <c r="Z78" i="9"/>
  <c r="Z79" i="9"/>
  <c r="Z4" i="13"/>
  <c r="Z4" i="10"/>
  <c r="W4" i="12"/>
  <c r="W4" i="11"/>
  <c r="W4" i="15"/>
  <c r="W4" i="14"/>
  <c r="T5" i="17"/>
  <c r="T5" i="18"/>
  <c r="X3" i="13"/>
  <c r="X10" i="13"/>
  <c r="X11" i="13"/>
  <c r="X6" i="13"/>
  <c r="M58" i="9"/>
  <c r="H4" i="16" s="1"/>
  <c r="M59" i="9"/>
  <c r="H5" i="16" s="1"/>
  <c r="C5" i="12"/>
  <c r="C5" i="15"/>
  <c r="C5" i="11"/>
  <c r="C5" i="14"/>
  <c r="G8" i="13"/>
  <c r="G9" i="13"/>
  <c r="X9" i="13"/>
  <c r="X8" i="13"/>
  <c r="W9" i="13"/>
  <c r="W8" i="13"/>
  <c r="S59" i="9"/>
  <c r="N5" i="16" s="1"/>
  <c r="S58" i="9"/>
  <c r="N4" i="16" s="1"/>
  <c r="N78" i="9"/>
  <c r="N79" i="9"/>
  <c r="I4" i="14"/>
  <c r="I4" i="12"/>
  <c r="I4" i="15"/>
  <c r="I4" i="11"/>
  <c r="T4" i="13"/>
  <c r="T4" i="10"/>
  <c r="V8" i="10"/>
  <c r="V9" i="10"/>
  <c r="S4" i="13"/>
  <c r="S4" i="10"/>
  <c r="Y4" i="13"/>
  <c r="Y4" i="10"/>
  <c r="L5" i="15"/>
  <c r="L5" i="14"/>
  <c r="L5" i="11"/>
  <c r="L5" i="12"/>
  <c r="X4" i="18"/>
  <c r="X4" i="17"/>
  <c r="Q4" i="17"/>
  <c r="Q4" i="18"/>
  <c r="Y8" i="16"/>
  <c r="Y7" i="16"/>
  <c r="Y9" i="16"/>
  <c r="I10" i="16"/>
  <c r="I6" i="16"/>
  <c r="I3" i="16"/>
  <c r="I11" i="16"/>
  <c r="Q5" i="11"/>
  <c r="Q5" i="14"/>
  <c r="Q5" i="15"/>
  <c r="Q5" i="12"/>
  <c r="U7" i="12"/>
  <c r="U8" i="12"/>
  <c r="U9" i="12"/>
  <c r="D3" i="13"/>
  <c r="D11" i="13"/>
  <c r="D6" i="13"/>
  <c r="D10" i="13"/>
  <c r="V9" i="14"/>
  <c r="V7" i="14"/>
  <c r="V8" i="14"/>
  <c r="P5" i="10"/>
  <c r="P5" i="13"/>
  <c r="V59" i="9"/>
  <c r="Q5" i="16" s="1"/>
  <c r="V58" i="9"/>
  <c r="Q4" i="16" s="1"/>
  <c r="F8" i="13"/>
  <c r="F9" i="13"/>
  <c r="X4" i="12"/>
  <c r="X4" i="14"/>
  <c r="X4" i="11"/>
  <c r="X4" i="15"/>
  <c r="V7" i="15"/>
  <c r="V8" i="15"/>
  <c r="V9" i="15"/>
  <c r="J79" i="9"/>
  <c r="J78" i="9"/>
  <c r="H5" i="14"/>
  <c r="H5" i="12"/>
  <c r="H5" i="15"/>
  <c r="H5" i="11"/>
  <c r="F9" i="10"/>
  <c r="F8" i="10"/>
  <c r="Q5" i="17"/>
  <c r="Q5" i="18"/>
  <c r="V7" i="11"/>
  <c r="V8" i="11"/>
  <c r="V9" i="11"/>
  <c r="W4" i="17"/>
  <c r="W4" i="18"/>
  <c r="Z58" i="9"/>
  <c r="U4" i="16" s="1"/>
  <c r="Z59" i="9"/>
  <c r="U5" i="16" s="1"/>
  <c r="S3" i="18"/>
  <c r="S11" i="18"/>
  <c r="S10" i="18"/>
  <c r="S6" i="18"/>
  <c r="S5" i="15"/>
  <c r="S5" i="12"/>
  <c r="S5" i="14"/>
  <c r="S5" i="11"/>
  <c r="J6" i="13"/>
  <c r="J10" i="13"/>
  <c r="J11" i="13"/>
  <c r="J3" i="13"/>
  <c r="D11" i="14"/>
  <c r="D10" i="14"/>
  <c r="D3" i="14"/>
  <c r="D6" i="14"/>
  <c r="N9" i="11"/>
  <c r="N8" i="11"/>
  <c r="N7" i="11"/>
  <c r="D9" i="13"/>
  <c r="D8" i="13"/>
  <c r="D11" i="15"/>
  <c r="D10" i="15"/>
  <c r="D3" i="15"/>
  <c r="D6" i="15"/>
  <c r="Y7" i="13"/>
  <c r="Y7" i="10"/>
  <c r="B5" i="10"/>
  <c r="B5" i="13"/>
  <c r="E6" i="16"/>
  <c r="E3" i="16"/>
  <c r="E11" i="16"/>
  <c r="E10" i="16"/>
  <c r="D8" i="10"/>
  <c r="D9" i="10"/>
  <c r="D11" i="11"/>
  <c r="D10" i="11"/>
  <c r="D6" i="11"/>
  <c r="D3" i="11"/>
  <c r="O78" i="9"/>
  <c r="O79" i="9"/>
  <c r="Z4" i="12"/>
  <c r="Z4" i="11"/>
  <c r="Z4" i="15"/>
  <c r="Z4" i="14"/>
  <c r="E8" i="16"/>
  <c r="E9" i="16"/>
  <c r="E7" i="16"/>
  <c r="P6" i="11"/>
  <c r="P10" i="11"/>
  <c r="P11" i="11"/>
  <c r="P3" i="11"/>
  <c r="R9" i="11"/>
  <c r="R8" i="11"/>
  <c r="R7" i="11"/>
  <c r="J8" i="16"/>
  <c r="J7" i="16"/>
  <c r="J9" i="16"/>
  <c r="D3" i="12"/>
  <c r="D10" i="12"/>
  <c r="D11" i="12"/>
  <c r="D6" i="12"/>
  <c r="P79" i="9"/>
  <c r="P78" i="9"/>
  <c r="L78" i="9"/>
  <c r="L79" i="9"/>
  <c r="E8" i="13"/>
  <c r="E9" i="13"/>
  <c r="AA4" i="11"/>
  <c r="AA4" i="14"/>
  <c r="AA4" i="12"/>
  <c r="AA4" i="15"/>
  <c r="M10" i="11"/>
  <c r="M11" i="11"/>
  <c r="M6" i="11"/>
  <c r="M3" i="11"/>
  <c r="S6" i="12"/>
  <c r="S11" i="12"/>
  <c r="S3" i="12"/>
  <c r="S10" i="12"/>
  <c r="P3" i="14"/>
  <c r="P6" i="14"/>
  <c r="P10" i="14"/>
  <c r="P11" i="14"/>
  <c r="R9" i="14"/>
  <c r="R8" i="14"/>
  <c r="R7" i="14"/>
  <c r="W8" i="11"/>
  <c r="W7" i="11"/>
  <c r="W9" i="11"/>
  <c r="G6" i="10"/>
  <c r="G10" i="10"/>
  <c r="G11" i="10"/>
  <c r="G3" i="10"/>
  <c r="Q79" i="9"/>
  <c r="Q78" i="9"/>
  <c r="C79" i="9"/>
  <c r="C78" i="9"/>
  <c r="E8" i="10"/>
  <c r="E9" i="10"/>
  <c r="C7" i="13"/>
  <c r="C7" i="10"/>
  <c r="K4" i="12"/>
  <c r="K4" i="15"/>
  <c r="K4" i="14"/>
  <c r="K4" i="11"/>
  <c r="N9" i="15"/>
  <c r="N7" i="15"/>
  <c r="N8" i="15"/>
  <c r="M3" i="15"/>
  <c r="M11" i="15"/>
  <c r="M10" i="15"/>
  <c r="M6" i="15"/>
  <c r="S10" i="15"/>
  <c r="S6" i="15"/>
  <c r="S3" i="15"/>
  <c r="S11" i="15"/>
  <c r="P10" i="15"/>
  <c r="P3" i="15"/>
  <c r="P6" i="15"/>
  <c r="P11" i="15"/>
  <c r="R9" i="12"/>
  <c r="R7" i="12"/>
  <c r="R8" i="12"/>
  <c r="W8" i="14"/>
  <c r="W7" i="14"/>
  <c r="W9" i="14"/>
  <c r="G11" i="13"/>
  <c r="G6" i="13"/>
  <c r="G10" i="13"/>
  <c r="G3" i="13"/>
  <c r="R78" i="9"/>
  <c r="R79" i="9"/>
  <c r="D7" i="11"/>
  <c r="D9" i="11"/>
  <c r="D8" i="11"/>
  <c r="L4" i="14"/>
  <c r="L4" i="15"/>
  <c r="L4" i="11"/>
  <c r="L4" i="12"/>
  <c r="N9" i="14"/>
  <c r="N8" i="14"/>
  <c r="N7" i="14"/>
  <c r="M10" i="14"/>
  <c r="M3" i="14"/>
  <c r="M6" i="14"/>
  <c r="M11" i="14"/>
  <c r="S6" i="11"/>
  <c r="S3" i="11"/>
  <c r="S10" i="11"/>
  <c r="S11" i="11"/>
  <c r="E11" i="13"/>
  <c r="E3" i="13"/>
  <c r="E10" i="13"/>
  <c r="E6" i="13"/>
  <c r="R8" i="15"/>
  <c r="R9" i="15"/>
  <c r="R7" i="15"/>
  <c r="W8" i="12"/>
  <c r="W9" i="12"/>
  <c r="W7" i="12"/>
  <c r="F10" i="10"/>
  <c r="F3" i="10"/>
  <c r="F6" i="10"/>
  <c r="F11" i="10"/>
  <c r="W8" i="10"/>
  <c r="W9" i="10"/>
  <c r="B3" i="13"/>
  <c r="B11" i="13"/>
  <c r="B6" i="13"/>
  <c r="B10" i="13"/>
  <c r="N7" i="13"/>
  <c r="N7" i="10"/>
  <c r="M8" i="11"/>
  <c r="M9" i="11"/>
  <c r="M7" i="11"/>
  <c r="V8" i="13"/>
  <c r="V9" i="13"/>
  <c r="AE58" i="9"/>
  <c r="Z4" i="16" s="1"/>
  <c r="AE59" i="9"/>
  <c r="Z5" i="16" s="1"/>
  <c r="Q4" i="15"/>
  <c r="Q4" i="14"/>
  <c r="Q4" i="11"/>
  <c r="Q4" i="12"/>
  <c r="R3" i="18"/>
  <c r="R11" i="18"/>
  <c r="R10" i="18"/>
  <c r="R6" i="18"/>
  <c r="Z5" i="14"/>
  <c r="Z5" i="11"/>
  <c r="Z5" i="12"/>
  <c r="Z5" i="15"/>
  <c r="AA5" i="11"/>
  <c r="AA5" i="14"/>
  <c r="AA5" i="12"/>
  <c r="AA5" i="15"/>
  <c r="D6" i="10"/>
  <c r="D3" i="10"/>
  <c r="D10" i="10"/>
  <c r="D11" i="10"/>
  <c r="F5" i="15"/>
  <c r="F5" i="12"/>
  <c r="F5" i="14"/>
  <c r="F5" i="11"/>
  <c r="Y58" i="9"/>
  <c r="T4" i="16" s="1"/>
  <c r="Y59" i="9"/>
  <c r="T5" i="16" s="1"/>
  <c r="S8" i="13"/>
  <c r="S9" i="13"/>
  <c r="U79" i="9"/>
  <c r="U78" i="9"/>
  <c r="AF79" i="9"/>
  <c r="AF78" i="9"/>
  <c r="Y4" i="15"/>
  <c r="Y4" i="12"/>
  <c r="Y4" i="11"/>
  <c r="Y4" i="14"/>
  <c r="I79" i="9"/>
  <c r="I78" i="9"/>
  <c r="Q4" i="13"/>
  <c r="Q4" i="10"/>
  <c r="AC59" i="9"/>
  <c r="X5" i="16" s="1"/>
  <c r="AC58" i="9"/>
  <c r="X4" i="16" s="1"/>
  <c r="S79" i="9"/>
  <c r="S78" i="9"/>
  <c r="D7" i="15"/>
  <c r="D8" i="15"/>
  <c r="D9" i="15"/>
  <c r="V4" i="12"/>
  <c r="V4" i="11"/>
  <c r="V4" i="15"/>
  <c r="V4" i="14"/>
  <c r="S3" i="14"/>
  <c r="S11" i="14"/>
  <c r="S6" i="14"/>
  <c r="S10" i="14"/>
  <c r="E6" i="10"/>
  <c r="E3" i="10"/>
  <c r="E10" i="10"/>
  <c r="E11" i="10"/>
  <c r="T4" i="17"/>
  <c r="T4" i="18"/>
  <c r="X10" i="10"/>
  <c r="X3" i="10"/>
  <c r="X6" i="10"/>
  <c r="X11" i="10"/>
  <c r="W7" i="15"/>
  <c r="W9" i="15"/>
  <c r="W8" i="15"/>
  <c r="F11" i="13"/>
  <c r="F3" i="13"/>
  <c r="F6" i="13"/>
  <c r="F10" i="13"/>
  <c r="E4" i="17" l="1"/>
  <c r="E4" i="18"/>
  <c r="C7" i="14"/>
  <c r="C9" i="14"/>
  <c r="C8" i="14"/>
  <c r="V11" i="13"/>
  <c r="V3" i="13"/>
  <c r="V10" i="13"/>
  <c r="V6" i="13"/>
  <c r="Q3" i="14"/>
  <c r="Q6" i="14"/>
  <c r="Q10" i="14"/>
  <c r="Q11" i="14"/>
  <c r="S7" i="12"/>
  <c r="S8" i="12"/>
  <c r="S9" i="12"/>
  <c r="B11" i="17"/>
  <c r="B3" i="17"/>
  <c r="B10" i="17"/>
  <c r="B6" i="17"/>
  <c r="F4" i="17"/>
  <c r="F4" i="18"/>
  <c r="W7" i="16"/>
  <c r="W8" i="16"/>
  <c r="W9" i="16"/>
  <c r="B10" i="11"/>
  <c r="B6" i="11"/>
  <c r="B11" i="11"/>
  <c r="B3" i="11"/>
  <c r="T3" i="18"/>
  <c r="T11" i="18"/>
  <c r="T6" i="18"/>
  <c r="T10" i="18"/>
  <c r="C7" i="15"/>
  <c r="C9" i="15"/>
  <c r="C8" i="15"/>
  <c r="Y4" i="18"/>
  <c r="Y4" i="17"/>
  <c r="C9" i="16"/>
  <c r="C8" i="16"/>
  <c r="C7" i="16"/>
  <c r="Q9" i="12"/>
  <c r="Q8" i="12"/>
  <c r="Q7" i="12"/>
  <c r="S3" i="13"/>
  <c r="S10" i="13"/>
  <c r="S11" i="13"/>
  <c r="S6" i="13"/>
  <c r="C9" i="12"/>
  <c r="C7" i="12"/>
  <c r="C8" i="12"/>
  <c r="T8" i="15"/>
  <c r="T9" i="15"/>
  <c r="T7" i="15"/>
  <c r="P10" i="16"/>
  <c r="P3" i="16"/>
  <c r="P11" i="16"/>
  <c r="P6" i="16"/>
  <c r="I6" i="13"/>
  <c r="I10" i="13"/>
  <c r="I11" i="13"/>
  <c r="I3" i="13"/>
  <c r="I8" i="10"/>
  <c r="I9" i="10"/>
  <c r="J3" i="11"/>
  <c r="J6" i="11"/>
  <c r="J11" i="11"/>
  <c r="J10" i="11"/>
  <c r="H5" i="18"/>
  <c r="H5" i="17"/>
  <c r="B7" i="17"/>
  <c r="B8" i="17"/>
  <c r="B9" i="17"/>
  <c r="X7" i="16"/>
  <c r="X8" i="16"/>
  <c r="X9" i="16"/>
  <c r="F8" i="15"/>
  <c r="F9" i="15"/>
  <c r="F7" i="15"/>
  <c r="Z11" i="16"/>
  <c r="Z10" i="16"/>
  <c r="Z6" i="16"/>
  <c r="Z3" i="16"/>
  <c r="AA11" i="11"/>
  <c r="AA6" i="11"/>
  <c r="AA3" i="11"/>
  <c r="AA10" i="11"/>
  <c r="Q8" i="15"/>
  <c r="Q9" i="15"/>
  <c r="Q7" i="15"/>
  <c r="H8" i="16"/>
  <c r="H7" i="16"/>
  <c r="H9" i="16"/>
  <c r="O4" i="18"/>
  <c r="O4" i="17"/>
  <c r="G6" i="14"/>
  <c r="G10" i="14"/>
  <c r="G3" i="14"/>
  <c r="G11" i="14"/>
  <c r="R8" i="16"/>
  <c r="R9" i="16"/>
  <c r="R7" i="16"/>
  <c r="P7" i="16"/>
  <c r="P9" i="16"/>
  <c r="P8" i="16"/>
  <c r="I11" i="10"/>
  <c r="I6" i="10"/>
  <c r="I3" i="10"/>
  <c r="I10" i="10"/>
  <c r="Y9" i="10"/>
  <c r="Y8" i="10"/>
  <c r="J10" i="14"/>
  <c r="J6" i="14"/>
  <c r="J3" i="14"/>
  <c r="J11" i="14"/>
  <c r="H4" i="18"/>
  <c r="H4" i="17"/>
  <c r="B9" i="18"/>
  <c r="B8" i="18"/>
  <c r="B7" i="18"/>
  <c r="Q10" i="10"/>
  <c r="Q6" i="10"/>
  <c r="Q11" i="10"/>
  <c r="Q3" i="10"/>
  <c r="X6" i="15"/>
  <c r="X11" i="15"/>
  <c r="X10" i="15"/>
  <c r="X3" i="15"/>
  <c r="Q9" i="14"/>
  <c r="Q8" i="14"/>
  <c r="Q7" i="14"/>
  <c r="H10" i="16"/>
  <c r="H3" i="16"/>
  <c r="H6" i="16"/>
  <c r="H11" i="16"/>
  <c r="O5" i="17"/>
  <c r="O5" i="18"/>
  <c r="E11" i="14"/>
  <c r="E10" i="14"/>
  <c r="E6" i="14"/>
  <c r="E3" i="14"/>
  <c r="G11" i="12"/>
  <c r="G6" i="12"/>
  <c r="G3" i="12"/>
  <c r="G10" i="12"/>
  <c r="H6" i="10"/>
  <c r="H11" i="10"/>
  <c r="H3" i="10"/>
  <c r="H10" i="10"/>
  <c r="Y9" i="13"/>
  <c r="Y8" i="13"/>
  <c r="J10" i="15"/>
  <c r="J3" i="15"/>
  <c r="J11" i="15"/>
  <c r="J6" i="15"/>
  <c r="Q3" i="13"/>
  <c r="Q11" i="13"/>
  <c r="Q10" i="13"/>
  <c r="Q6" i="13"/>
  <c r="M5" i="18"/>
  <c r="M5" i="17"/>
  <c r="Z11" i="14"/>
  <c r="Z3" i="14"/>
  <c r="Z10" i="14"/>
  <c r="Z6" i="14"/>
  <c r="X3" i="11"/>
  <c r="X11" i="11"/>
  <c r="X6" i="11"/>
  <c r="X10" i="11"/>
  <c r="Q9" i="11"/>
  <c r="Q8" i="11"/>
  <c r="Q7" i="11"/>
  <c r="T10" i="10"/>
  <c r="T11" i="10"/>
  <c r="T6" i="10"/>
  <c r="T3" i="10"/>
  <c r="C3" i="13"/>
  <c r="C11" i="13"/>
  <c r="C6" i="13"/>
  <c r="C10" i="13"/>
  <c r="E10" i="12"/>
  <c r="E11" i="12"/>
  <c r="E3" i="12"/>
  <c r="E6" i="12"/>
  <c r="G10" i="11"/>
  <c r="G11" i="11"/>
  <c r="G3" i="11"/>
  <c r="G6" i="11"/>
  <c r="H6" i="13"/>
  <c r="H11" i="13"/>
  <c r="H10" i="13"/>
  <c r="H3" i="13"/>
  <c r="AA9" i="16"/>
  <c r="AA7" i="16"/>
  <c r="AA8" i="16"/>
  <c r="O8" i="10"/>
  <c r="O9" i="10"/>
  <c r="R9" i="13"/>
  <c r="R8" i="13"/>
  <c r="S9" i="18"/>
  <c r="S8" i="18"/>
  <c r="S7" i="18"/>
  <c r="D4" i="17"/>
  <c r="D4" i="18"/>
  <c r="M4" i="18"/>
  <c r="M4" i="17"/>
  <c r="G5" i="17"/>
  <c r="G5" i="18"/>
  <c r="Z11" i="15"/>
  <c r="Z6" i="15"/>
  <c r="Z10" i="15"/>
  <c r="Z3" i="15"/>
  <c r="U9" i="16"/>
  <c r="U7" i="16"/>
  <c r="U8" i="16"/>
  <c r="X3" i="14"/>
  <c r="X10" i="14"/>
  <c r="X6" i="14"/>
  <c r="X11" i="14"/>
  <c r="T10" i="13"/>
  <c r="T11" i="13"/>
  <c r="T3" i="13"/>
  <c r="T6" i="13"/>
  <c r="C3" i="10"/>
  <c r="C6" i="10"/>
  <c r="C11" i="10"/>
  <c r="C10" i="10"/>
  <c r="E11" i="15"/>
  <c r="E6" i="15"/>
  <c r="E3" i="15"/>
  <c r="E10" i="15"/>
  <c r="G6" i="15"/>
  <c r="G3" i="15"/>
  <c r="G11" i="15"/>
  <c r="G10" i="15"/>
  <c r="M11" i="10"/>
  <c r="M3" i="10"/>
  <c r="M10" i="10"/>
  <c r="M6" i="10"/>
  <c r="AA6" i="16"/>
  <c r="AA11" i="16"/>
  <c r="AA10" i="16"/>
  <c r="AA3" i="16"/>
  <c r="O9" i="13"/>
  <c r="O8" i="13"/>
  <c r="R9" i="10"/>
  <c r="R8" i="10"/>
  <c r="S8" i="17"/>
  <c r="S7" i="17"/>
  <c r="S9" i="17"/>
  <c r="D5" i="17"/>
  <c r="D5" i="18"/>
  <c r="G4" i="18"/>
  <c r="G4" i="17"/>
  <c r="Z11" i="11"/>
  <c r="Z10" i="11"/>
  <c r="Z3" i="11"/>
  <c r="Z6" i="11"/>
  <c r="U3" i="16"/>
  <c r="U6" i="16"/>
  <c r="U11" i="16"/>
  <c r="U10" i="16"/>
  <c r="X3" i="12"/>
  <c r="X6" i="12"/>
  <c r="X11" i="12"/>
  <c r="X10" i="12"/>
  <c r="I11" i="11"/>
  <c r="I6" i="11"/>
  <c r="I3" i="11"/>
  <c r="I10" i="11"/>
  <c r="E10" i="11"/>
  <c r="E6" i="11"/>
  <c r="E11" i="11"/>
  <c r="E3" i="11"/>
  <c r="O11" i="10"/>
  <c r="O10" i="10"/>
  <c r="O3" i="10"/>
  <c r="O6" i="10"/>
  <c r="M6" i="13"/>
  <c r="M3" i="13"/>
  <c r="M10" i="13"/>
  <c r="M11" i="13"/>
  <c r="T3" i="11"/>
  <c r="T11" i="11"/>
  <c r="T10" i="11"/>
  <c r="T6" i="11"/>
  <c r="V3" i="16"/>
  <c r="V6" i="16"/>
  <c r="V10" i="16"/>
  <c r="V11" i="16"/>
  <c r="Y3" i="14"/>
  <c r="Y10" i="14"/>
  <c r="Y11" i="14"/>
  <c r="Y6" i="14"/>
  <c r="AA7" i="15"/>
  <c r="AA9" i="15"/>
  <c r="AA8" i="15"/>
  <c r="K4" i="18"/>
  <c r="K4" i="17"/>
  <c r="Z3" i="12"/>
  <c r="Z10" i="12"/>
  <c r="Z6" i="12"/>
  <c r="Z11" i="12"/>
  <c r="W11" i="18"/>
  <c r="W6" i="18"/>
  <c r="W10" i="18"/>
  <c r="W3" i="18"/>
  <c r="I10" i="15"/>
  <c r="I11" i="15"/>
  <c r="I3" i="15"/>
  <c r="I6" i="15"/>
  <c r="AA3" i="10"/>
  <c r="AA10" i="10"/>
  <c r="AA11" i="10"/>
  <c r="AA6" i="10"/>
  <c r="O3" i="13"/>
  <c r="O10" i="13"/>
  <c r="O6" i="13"/>
  <c r="O11" i="13"/>
  <c r="T11" i="14"/>
  <c r="T3" i="14"/>
  <c r="T6" i="14"/>
  <c r="T10" i="14"/>
  <c r="V7" i="16"/>
  <c r="V9" i="16"/>
  <c r="V8" i="16"/>
  <c r="P11" i="13"/>
  <c r="P3" i="13"/>
  <c r="P10" i="13"/>
  <c r="P6" i="13"/>
  <c r="Y11" i="11"/>
  <c r="Y6" i="11"/>
  <c r="Y10" i="11"/>
  <c r="Y3" i="11"/>
  <c r="AA7" i="12"/>
  <c r="AA9" i="12"/>
  <c r="AA8" i="12"/>
  <c r="K5" i="17"/>
  <c r="K5" i="18"/>
  <c r="J5" i="18"/>
  <c r="J5" i="17"/>
  <c r="W11" i="17"/>
  <c r="W10" i="17"/>
  <c r="W3" i="17"/>
  <c r="W6" i="17"/>
  <c r="I3" i="12"/>
  <c r="I11" i="12"/>
  <c r="I6" i="12"/>
  <c r="I10" i="12"/>
  <c r="T7" i="18"/>
  <c r="T9" i="18"/>
  <c r="T8" i="18"/>
  <c r="Z5" i="17"/>
  <c r="Z5" i="18"/>
  <c r="H6" i="14"/>
  <c r="H3" i="14"/>
  <c r="H10" i="14"/>
  <c r="H11" i="14"/>
  <c r="AA11" i="13"/>
  <c r="AA3" i="13"/>
  <c r="AA10" i="13"/>
  <c r="AA6" i="13"/>
  <c r="T10" i="15"/>
  <c r="T3" i="15"/>
  <c r="T11" i="15"/>
  <c r="T6" i="15"/>
  <c r="B11" i="16"/>
  <c r="B10" i="16"/>
  <c r="B6" i="16"/>
  <c r="B3" i="16"/>
  <c r="P10" i="10"/>
  <c r="P11" i="10"/>
  <c r="P3" i="10"/>
  <c r="P6" i="10"/>
  <c r="B8" i="13"/>
  <c r="B9" i="13"/>
  <c r="Y11" i="10"/>
  <c r="Y3" i="10"/>
  <c r="Y6" i="10"/>
  <c r="Y10" i="10"/>
  <c r="L8" i="13"/>
  <c r="L9" i="13"/>
  <c r="AA11" i="15"/>
  <c r="AA3" i="15"/>
  <c r="AA6" i="15"/>
  <c r="AA10" i="15"/>
  <c r="N5" i="18"/>
  <c r="N5" i="17"/>
  <c r="S11" i="10"/>
  <c r="S10" i="10"/>
  <c r="S6" i="10"/>
  <c r="S3" i="10"/>
  <c r="X11" i="16"/>
  <c r="X10" i="16"/>
  <c r="X6" i="16"/>
  <c r="X3" i="16"/>
  <c r="AA7" i="14"/>
  <c r="AA9" i="14"/>
  <c r="AA8" i="14"/>
  <c r="J4" i="18"/>
  <c r="J4" i="17"/>
  <c r="H11" i="11"/>
  <c r="H3" i="11"/>
  <c r="H6" i="11"/>
  <c r="H10" i="11"/>
  <c r="Y11" i="15"/>
  <c r="Y6" i="15"/>
  <c r="Y10" i="15"/>
  <c r="Y3" i="15"/>
  <c r="K10" i="14"/>
  <c r="K6" i="14"/>
  <c r="K3" i="14"/>
  <c r="K11" i="14"/>
  <c r="K6" i="15"/>
  <c r="K3" i="15"/>
  <c r="K11" i="15"/>
  <c r="K10" i="15"/>
  <c r="B7" i="14"/>
  <c r="B9" i="14"/>
  <c r="B8" i="14"/>
  <c r="V10" i="11"/>
  <c r="V3" i="11"/>
  <c r="V11" i="11"/>
  <c r="V6" i="11"/>
  <c r="P9" i="10"/>
  <c r="P8" i="10"/>
  <c r="W3" i="14"/>
  <c r="W10" i="14"/>
  <c r="W6" i="14"/>
  <c r="W11" i="14"/>
  <c r="Y7" i="14"/>
  <c r="Y9" i="14"/>
  <c r="Y8" i="14"/>
  <c r="M9" i="16"/>
  <c r="M8" i="16"/>
  <c r="M7" i="16"/>
  <c r="P4" i="17"/>
  <c r="P4" i="18"/>
  <c r="J9" i="11"/>
  <c r="J8" i="11"/>
  <c r="J7" i="11"/>
  <c r="T3" i="16"/>
  <c r="T6" i="16"/>
  <c r="T11" i="16"/>
  <c r="T10" i="16"/>
  <c r="Q10" i="11"/>
  <c r="Q6" i="11"/>
  <c r="Q3" i="11"/>
  <c r="Q11" i="11"/>
  <c r="L6" i="11"/>
  <c r="L3" i="11"/>
  <c r="L11" i="11"/>
  <c r="L10" i="11"/>
  <c r="L5" i="18"/>
  <c r="L5" i="17"/>
  <c r="S8" i="14"/>
  <c r="S7" i="14"/>
  <c r="S9" i="14"/>
  <c r="B11" i="18"/>
  <c r="B6" i="18"/>
  <c r="B10" i="18"/>
  <c r="B3" i="18"/>
  <c r="T9" i="11"/>
  <c r="T7" i="11"/>
  <c r="T8" i="11"/>
  <c r="F5" i="18"/>
  <c r="F5" i="17"/>
  <c r="O7" i="12"/>
  <c r="O9" i="12"/>
  <c r="O8" i="12"/>
  <c r="AA9" i="13"/>
  <c r="AA8" i="13"/>
  <c r="I9" i="12"/>
  <c r="I7" i="12"/>
  <c r="I8" i="12"/>
  <c r="B3" i="15"/>
  <c r="B11" i="15"/>
  <c r="B10" i="15"/>
  <c r="B6" i="15"/>
  <c r="V7" i="17"/>
  <c r="V8" i="17"/>
  <c r="V9" i="17"/>
  <c r="N4" i="18"/>
  <c r="N4" i="17"/>
  <c r="L3" i="15"/>
  <c r="L11" i="15"/>
  <c r="L10" i="15"/>
  <c r="L6" i="15"/>
  <c r="B8" i="10"/>
  <c r="B9" i="10"/>
  <c r="Y3" i="13"/>
  <c r="Y6" i="13"/>
  <c r="Y10" i="13"/>
  <c r="Y11" i="13"/>
  <c r="Y5" i="17"/>
  <c r="Y5" i="18"/>
  <c r="K8" i="10"/>
  <c r="K9" i="10"/>
  <c r="C11" i="16"/>
  <c r="C3" i="16"/>
  <c r="C10" i="16"/>
  <c r="C6" i="16"/>
  <c r="V11" i="17"/>
  <c r="V10" i="17"/>
  <c r="V3" i="17"/>
  <c r="V6" i="17"/>
  <c r="F7" i="14"/>
  <c r="F8" i="14"/>
  <c r="F9" i="14"/>
  <c r="Q10" i="15"/>
  <c r="Q6" i="15"/>
  <c r="Q11" i="15"/>
  <c r="Q3" i="15"/>
  <c r="K8" i="13"/>
  <c r="K9" i="13"/>
  <c r="W10" i="16"/>
  <c r="W3" i="16"/>
  <c r="W6" i="16"/>
  <c r="W11" i="16"/>
  <c r="I9" i="13"/>
  <c r="I8" i="13"/>
  <c r="B10" i="12"/>
  <c r="B11" i="12"/>
  <c r="B3" i="12"/>
  <c r="B6" i="12"/>
  <c r="V11" i="18"/>
  <c r="V10" i="18"/>
  <c r="V6" i="18"/>
  <c r="V3" i="18"/>
  <c r="T3" i="17"/>
  <c r="T6" i="17"/>
  <c r="T11" i="17"/>
  <c r="T10" i="17"/>
  <c r="F7" i="12"/>
  <c r="F9" i="12"/>
  <c r="F8" i="12"/>
  <c r="R3" i="16"/>
  <c r="R10" i="16"/>
  <c r="R11" i="16"/>
  <c r="R6" i="16"/>
  <c r="Y3" i="12"/>
  <c r="Y11" i="12"/>
  <c r="Y6" i="12"/>
  <c r="Y10" i="12"/>
  <c r="Q6" i="16"/>
  <c r="Q3" i="16"/>
  <c r="Q10" i="16"/>
  <c r="Q11" i="16"/>
  <c r="I6" i="14"/>
  <c r="I10" i="14"/>
  <c r="I11" i="14"/>
  <c r="I3" i="14"/>
  <c r="T8" i="17"/>
  <c r="T9" i="17"/>
  <c r="T7" i="17"/>
  <c r="Z4" i="18"/>
  <c r="Z4" i="17"/>
  <c r="H8" i="10"/>
  <c r="H9" i="10"/>
  <c r="F11" i="14"/>
  <c r="F10" i="14"/>
  <c r="F6" i="14"/>
  <c r="F3" i="14"/>
  <c r="T3" i="12"/>
  <c r="T10" i="12"/>
  <c r="T6" i="12"/>
  <c r="T11" i="12"/>
  <c r="B7" i="16"/>
  <c r="B9" i="16"/>
  <c r="B8" i="16"/>
  <c r="V3" i="14"/>
  <c r="V6" i="14"/>
  <c r="V10" i="14"/>
  <c r="V11" i="14"/>
  <c r="AA9" i="11"/>
  <c r="AA7" i="11"/>
  <c r="AA8" i="11"/>
  <c r="I5" i="18"/>
  <c r="I5" i="17"/>
  <c r="H6" i="15"/>
  <c r="H10" i="15"/>
  <c r="H3" i="15"/>
  <c r="H11" i="15"/>
  <c r="H9" i="13"/>
  <c r="H8" i="13"/>
  <c r="F6" i="15"/>
  <c r="F11" i="15"/>
  <c r="F3" i="15"/>
  <c r="F10" i="15"/>
  <c r="R6" i="10"/>
  <c r="R10" i="10"/>
  <c r="R11" i="10"/>
  <c r="R3" i="10"/>
  <c r="C8" i="18"/>
  <c r="C9" i="18"/>
  <c r="C7" i="18"/>
  <c r="AA4" i="17"/>
  <c r="AA4" i="18"/>
  <c r="Z7" i="15"/>
  <c r="Z9" i="15"/>
  <c r="Z8" i="15"/>
  <c r="P9" i="13"/>
  <c r="P8" i="13"/>
  <c r="H11" i="12"/>
  <c r="H6" i="12"/>
  <c r="H10" i="12"/>
  <c r="H3" i="12"/>
  <c r="Y7" i="15"/>
  <c r="Y9" i="15"/>
  <c r="Y8" i="15"/>
  <c r="F11" i="12"/>
  <c r="F10" i="12"/>
  <c r="F3" i="12"/>
  <c r="F6" i="12"/>
  <c r="X8" i="11"/>
  <c r="X7" i="11"/>
  <c r="X9" i="11"/>
  <c r="R10" i="13"/>
  <c r="R3" i="13"/>
  <c r="R11" i="13"/>
  <c r="R6" i="13"/>
  <c r="C7" i="17"/>
  <c r="C8" i="17"/>
  <c r="C9" i="17"/>
  <c r="AA5" i="17"/>
  <c r="AA5" i="18"/>
  <c r="Z9" i="12"/>
  <c r="Z8" i="12"/>
  <c r="Z7" i="12"/>
  <c r="K6" i="12"/>
  <c r="K11" i="12"/>
  <c r="K10" i="12"/>
  <c r="K3" i="12"/>
  <c r="Q8" i="18"/>
  <c r="Q7" i="18"/>
  <c r="Q9" i="18"/>
  <c r="Q11" i="18"/>
  <c r="Q3" i="18"/>
  <c r="Q6" i="18"/>
  <c r="Q10" i="18"/>
  <c r="K7" i="12"/>
  <c r="K9" i="12"/>
  <c r="K8" i="12"/>
  <c r="F10" i="11"/>
  <c r="F6" i="11"/>
  <c r="F3" i="11"/>
  <c r="F11" i="11"/>
  <c r="X7" i="14"/>
  <c r="X8" i="14"/>
  <c r="X9" i="14"/>
  <c r="X9" i="17"/>
  <c r="X8" i="17"/>
  <c r="X7" i="17"/>
  <c r="B7" i="15"/>
  <c r="B9" i="15"/>
  <c r="B8" i="15"/>
  <c r="Z7" i="11"/>
  <c r="Z9" i="11"/>
  <c r="Z8" i="11"/>
  <c r="Q8" i="17"/>
  <c r="Q7" i="17"/>
  <c r="Q9" i="17"/>
  <c r="N9" i="16"/>
  <c r="N8" i="16"/>
  <c r="N7" i="16"/>
  <c r="X7" i="15"/>
  <c r="X9" i="15"/>
  <c r="X8" i="15"/>
  <c r="Z7" i="14"/>
  <c r="Z9" i="14"/>
  <c r="Z8" i="14"/>
  <c r="W6" i="11"/>
  <c r="W10" i="11"/>
  <c r="W3" i="11"/>
  <c r="W11" i="11"/>
  <c r="Y7" i="11"/>
  <c r="Y9" i="11"/>
  <c r="Y8" i="11"/>
  <c r="X7" i="12"/>
  <c r="X8" i="12"/>
  <c r="X9" i="12"/>
  <c r="J9" i="15"/>
  <c r="J8" i="15"/>
  <c r="J7" i="15"/>
  <c r="W11" i="12"/>
  <c r="W10" i="12"/>
  <c r="W6" i="12"/>
  <c r="W3" i="12"/>
  <c r="N8" i="10"/>
  <c r="N9" i="10"/>
  <c r="P9" i="14"/>
  <c r="P8" i="14"/>
  <c r="P7" i="14"/>
  <c r="Z8" i="13"/>
  <c r="Z9" i="13"/>
  <c r="P5" i="18"/>
  <c r="P5" i="17"/>
  <c r="L8" i="12"/>
  <c r="L7" i="12"/>
  <c r="L9" i="12"/>
  <c r="P9" i="15"/>
  <c r="P7" i="15"/>
  <c r="P8" i="15"/>
  <c r="Z9" i="10"/>
  <c r="Z8" i="10"/>
  <c r="Q9" i="13"/>
  <c r="Q8" i="13"/>
  <c r="J7" i="12"/>
  <c r="J9" i="12"/>
  <c r="J8" i="12"/>
  <c r="H8" i="15"/>
  <c r="H9" i="15"/>
  <c r="H7" i="15"/>
  <c r="L9" i="11"/>
  <c r="L8" i="11"/>
  <c r="L7" i="11"/>
  <c r="Z6" i="13"/>
  <c r="Z10" i="13"/>
  <c r="Z3" i="13"/>
  <c r="Z11" i="13"/>
  <c r="G7" i="15"/>
  <c r="G8" i="15"/>
  <c r="G9" i="15"/>
  <c r="S8" i="16"/>
  <c r="S9" i="16"/>
  <c r="S7" i="16"/>
  <c r="P7" i="11"/>
  <c r="P8" i="11"/>
  <c r="P9" i="11"/>
  <c r="O9" i="11"/>
  <c r="O8" i="11"/>
  <c r="O7" i="11"/>
  <c r="I7" i="11"/>
  <c r="I8" i="11"/>
  <c r="I9" i="11"/>
  <c r="Q9" i="10"/>
  <c r="Q8" i="10"/>
  <c r="W9" i="18"/>
  <c r="W8" i="18"/>
  <c r="W7" i="18"/>
  <c r="J7" i="14"/>
  <c r="J9" i="14"/>
  <c r="J8" i="14"/>
  <c r="H7" i="12"/>
  <c r="H9" i="12"/>
  <c r="H8" i="12"/>
  <c r="L8" i="14"/>
  <c r="L9" i="14"/>
  <c r="L7" i="14"/>
  <c r="U5" i="17"/>
  <c r="U5" i="18"/>
  <c r="M9" i="10"/>
  <c r="M8" i="10"/>
  <c r="S3" i="16"/>
  <c r="S11" i="16"/>
  <c r="S6" i="16"/>
  <c r="S10" i="16"/>
  <c r="P7" i="12"/>
  <c r="P8" i="12"/>
  <c r="P9" i="12"/>
  <c r="O9" i="14"/>
  <c r="O8" i="14"/>
  <c r="O7" i="14"/>
  <c r="I8" i="15"/>
  <c r="I9" i="15"/>
  <c r="I7" i="15"/>
  <c r="W3" i="13"/>
  <c r="W6" i="13"/>
  <c r="W11" i="13"/>
  <c r="W10" i="13"/>
  <c r="R7" i="18"/>
  <c r="R9" i="18"/>
  <c r="R8" i="18"/>
  <c r="F7" i="11"/>
  <c r="F9" i="11"/>
  <c r="F8" i="11"/>
  <c r="E5" i="17"/>
  <c r="E5" i="18"/>
  <c r="C7" i="11"/>
  <c r="C9" i="11"/>
  <c r="C8" i="11"/>
  <c r="T8" i="14"/>
  <c r="T9" i="14"/>
  <c r="T7" i="14"/>
  <c r="L3" i="14"/>
  <c r="L10" i="14"/>
  <c r="L6" i="14"/>
  <c r="L11" i="14"/>
  <c r="AA3" i="12"/>
  <c r="AA10" i="12"/>
  <c r="AA6" i="12"/>
  <c r="AA11" i="12"/>
  <c r="S8" i="15"/>
  <c r="S7" i="15"/>
  <c r="S9" i="15"/>
  <c r="T7" i="12"/>
  <c r="T8" i="12"/>
  <c r="T9" i="12"/>
  <c r="J6" i="12"/>
  <c r="J11" i="12"/>
  <c r="J10" i="12"/>
  <c r="J3" i="12"/>
  <c r="Z7" i="16"/>
  <c r="Z9" i="16"/>
  <c r="Z8" i="16"/>
  <c r="AA11" i="14"/>
  <c r="AA3" i="14"/>
  <c r="AA10" i="14"/>
  <c r="AA6" i="14"/>
  <c r="K6" i="11"/>
  <c r="K3" i="11"/>
  <c r="K11" i="11"/>
  <c r="K10" i="11"/>
  <c r="Q8" i="16"/>
  <c r="Q9" i="16"/>
  <c r="Q7" i="16"/>
  <c r="K8" i="14"/>
  <c r="K9" i="14"/>
  <c r="K7" i="14"/>
  <c r="V3" i="15"/>
  <c r="V11" i="15"/>
  <c r="V10" i="15"/>
  <c r="V6" i="15"/>
  <c r="I4" i="18"/>
  <c r="I4" i="17"/>
  <c r="K8" i="11"/>
  <c r="K9" i="11"/>
  <c r="K7" i="11"/>
  <c r="N10" i="16"/>
  <c r="N11" i="16"/>
  <c r="N3" i="16"/>
  <c r="N6" i="16"/>
  <c r="M10" i="16"/>
  <c r="M3" i="16"/>
  <c r="M6" i="16"/>
  <c r="M11" i="16"/>
  <c r="V11" i="12"/>
  <c r="V10" i="12"/>
  <c r="V6" i="12"/>
  <c r="V3" i="12"/>
  <c r="Q6" i="17"/>
  <c r="Q10" i="17"/>
  <c r="Q3" i="17"/>
  <c r="Q11" i="17"/>
  <c r="W3" i="15"/>
  <c r="W6" i="15"/>
  <c r="W10" i="15"/>
  <c r="W11" i="15"/>
  <c r="K9" i="15"/>
  <c r="K7" i="15"/>
  <c r="K8" i="15"/>
  <c r="Y7" i="12"/>
  <c r="Y8" i="12"/>
  <c r="Y9" i="12"/>
  <c r="N3" i="10"/>
  <c r="N10" i="10"/>
  <c r="N11" i="10"/>
  <c r="N6" i="10"/>
  <c r="X8" i="18"/>
  <c r="X7" i="18"/>
  <c r="X9" i="18"/>
  <c r="B7" i="12"/>
  <c r="B9" i="12"/>
  <c r="B8" i="12"/>
  <c r="X11" i="17"/>
  <c r="X10" i="17"/>
  <c r="X6" i="17"/>
  <c r="X3" i="17"/>
  <c r="G7" i="11"/>
  <c r="G8" i="11"/>
  <c r="G9" i="11"/>
  <c r="N3" i="13"/>
  <c r="N10" i="13"/>
  <c r="N6" i="13"/>
  <c r="N11" i="13"/>
  <c r="B8" i="11"/>
  <c r="B7" i="11"/>
  <c r="B9" i="11"/>
  <c r="X11" i="18"/>
  <c r="X10" i="18"/>
  <c r="X3" i="18"/>
  <c r="X6" i="18"/>
  <c r="G8" i="14"/>
  <c r="G7" i="14"/>
  <c r="G9" i="14"/>
  <c r="H8" i="11"/>
  <c r="H7" i="11"/>
  <c r="H9" i="11"/>
  <c r="Z3" i="10"/>
  <c r="Z10" i="10"/>
  <c r="Z11" i="10"/>
  <c r="Z6" i="10"/>
  <c r="G7" i="12"/>
  <c r="G9" i="12"/>
  <c r="G8" i="12"/>
  <c r="N8" i="13"/>
  <c r="N9" i="13"/>
  <c r="W7" i="17"/>
  <c r="W9" i="17"/>
  <c r="W8" i="17"/>
  <c r="T9" i="16"/>
  <c r="T7" i="16"/>
  <c r="T8" i="16"/>
  <c r="Q11" i="12"/>
  <c r="Q6" i="12"/>
  <c r="Q10" i="12"/>
  <c r="Q3" i="12"/>
  <c r="L10" i="12"/>
  <c r="L6" i="12"/>
  <c r="L11" i="12"/>
  <c r="L3" i="12"/>
  <c r="L4" i="17"/>
  <c r="L4" i="18"/>
  <c r="S9" i="11"/>
  <c r="S8" i="11"/>
  <c r="S7" i="11"/>
  <c r="H9" i="14"/>
  <c r="H8" i="14"/>
  <c r="H7" i="14"/>
  <c r="L7" i="15"/>
  <c r="L9" i="15"/>
  <c r="L8" i="15"/>
  <c r="U4" i="17"/>
  <c r="U4" i="18"/>
  <c r="M8" i="13"/>
  <c r="M9" i="13"/>
  <c r="V6" i="10"/>
  <c r="V11" i="10"/>
  <c r="V3" i="10"/>
  <c r="V10" i="10"/>
  <c r="L8" i="10"/>
  <c r="L9" i="10"/>
  <c r="O9" i="15"/>
  <c r="O7" i="15"/>
  <c r="O8" i="15"/>
  <c r="AA8" i="10"/>
  <c r="AA9" i="10"/>
  <c r="I7" i="14"/>
  <c r="I8" i="14"/>
  <c r="I9" i="14"/>
  <c r="W10" i="10"/>
  <c r="W11" i="10"/>
  <c r="W3" i="10"/>
  <c r="W6" i="10"/>
  <c r="B3" i="14"/>
  <c r="B6" i="14"/>
  <c r="B10" i="14"/>
  <c r="B11" i="14"/>
  <c r="V7" i="18"/>
  <c r="V9" i="18"/>
  <c r="V8" i="18"/>
  <c r="R8" i="17"/>
  <c r="R7" i="17"/>
  <c r="R9" i="17"/>
  <c r="P8" i="17" l="1"/>
  <c r="P9" i="17"/>
  <c r="P7" i="17"/>
  <c r="F7" i="18"/>
  <c r="F9" i="18"/>
  <c r="F8" i="18"/>
  <c r="K10" i="17"/>
  <c r="K3" i="17"/>
  <c r="K11" i="17"/>
  <c r="K6" i="17"/>
  <c r="K9" i="18"/>
  <c r="K7" i="18"/>
  <c r="K8" i="18"/>
  <c r="Y11" i="17"/>
  <c r="Y3" i="17"/>
  <c r="Y10" i="17"/>
  <c r="Y6" i="17"/>
  <c r="U7" i="18"/>
  <c r="U8" i="18"/>
  <c r="U9" i="18"/>
  <c r="K9" i="17"/>
  <c r="K7" i="17"/>
  <c r="K8" i="17"/>
  <c r="AA8" i="18"/>
  <c r="AA7" i="18"/>
  <c r="AA9" i="18"/>
  <c r="N10" i="17"/>
  <c r="N6" i="17"/>
  <c r="N3" i="17"/>
  <c r="N11" i="17"/>
  <c r="AA8" i="17"/>
  <c r="AA7" i="17"/>
  <c r="AA9" i="17"/>
  <c r="G9" i="17"/>
  <c r="G7" i="17"/>
  <c r="G8" i="17"/>
  <c r="I11" i="17"/>
  <c r="I3" i="17"/>
  <c r="I10" i="17"/>
  <c r="I6" i="17"/>
  <c r="I10" i="18"/>
  <c r="I6" i="18"/>
  <c r="I11" i="18"/>
  <c r="I3" i="18"/>
  <c r="M11" i="18"/>
  <c r="M3" i="18"/>
  <c r="M6" i="18"/>
  <c r="M10" i="18"/>
  <c r="M9" i="17"/>
  <c r="M7" i="17"/>
  <c r="M8" i="17"/>
  <c r="H10" i="17"/>
  <c r="H11" i="17"/>
  <c r="H3" i="17"/>
  <c r="H6" i="17"/>
  <c r="L6" i="18"/>
  <c r="L3" i="18"/>
  <c r="L11" i="18"/>
  <c r="L10" i="18"/>
  <c r="L9" i="17"/>
  <c r="L8" i="17"/>
  <c r="L7" i="17"/>
  <c r="D6" i="18"/>
  <c r="D10" i="18"/>
  <c r="D11" i="18"/>
  <c r="D3" i="18"/>
  <c r="M9" i="18"/>
  <c r="M7" i="18"/>
  <c r="M8" i="18"/>
  <c r="H10" i="18"/>
  <c r="H6" i="18"/>
  <c r="H11" i="18"/>
  <c r="H3" i="18"/>
  <c r="O10" i="18"/>
  <c r="O11" i="18"/>
  <c r="O3" i="18"/>
  <c r="O6" i="18"/>
  <c r="L11" i="17"/>
  <c r="L10" i="17"/>
  <c r="L6" i="17"/>
  <c r="L3" i="17"/>
  <c r="L9" i="18"/>
  <c r="L7" i="18"/>
  <c r="L8" i="18"/>
  <c r="D6" i="17"/>
  <c r="D10" i="17"/>
  <c r="D3" i="17"/>
  <c r="D11" i="17"/>
  <c r="O8" i="18"/>
  <c r="O7" i="18"/>
  <c r="O9" i="18"/>
  <c r="O8" i="17"/>
  <c r="O7" i="17"/>
  <c r="O9" i="17"/>
  <c r="H7" i="17"/>
  <c r="H8" i="17"/>
  <c r="H9" i="17"/>
  <c r="AA11" i="18"/>
  <c r="AA6" i="18"/>
  <c r="AA10" i="18"/>
  <c r="AA3" i="18"/>
  <c r="U7" i="17"/>
  <c r="U8" i="17"/>
  <c r="U9" i="17"/>
  <c r="J11" i="17"/>
  <c r="J3" i="17"/>
  <c r="J6" i="17"/>
  <c r="J10" i="17"/>
  <c r="N9" i="17"/>
  <c r="N8" i="17"/>
  <c r="N7" i="17"/>
  <c r="Z11" i="18"/>
  <c r="Z6" i="18"/>
  <c r="Z3" i="18"/>
  <c r="Z10" i="18"/>
  <c r="J7" i="17"/>
  <c r="J8" i="17"/>
  <c r="J9" i="17"/>
  <c r="J9" i="18"/>
  <c r="J8" i="18"/>
  <c r="J7" i="18"/>
  <c r="U3" i="17"/>
  <c r="U11" i="17"/>
  <c r="U10" i="17"/>
  <c r="U6" i="17"/>
  <c r="K10" i="18"/>
  <c r="K6" i="18"/>
  <c r="K11" i="18"/>
  <c r="K3" i="18"/>
  <c r="P10" i="18"/>
  <c r="P6" i="18"/>
  <c r="P11" i="18"/>
  <c r="P3" i="18"/>
  <c r="Z9" i="18"/>
  <c r="Z8" i="18"/>
  <c r="Z7" i="18"/>
  <c r="D8" i="17"/>
  <c r="D7" i="17"/>
  <c r="D9" i="17"/>
  <c r="E8" i="17"/>
  <c r="E9" i="17"/>
  <c r="E7" i="17"/>
  <c r="F10" i="18"/>
  <c r="F11" i="18"/>
  <c r="F6" i="18"/>
  <c r="F3" i="18"/>
  <c r="F6" i="17"/>
  <c r="F10" i="17"/>
  <c r="F11" i="17"/>
  <c r="F3" i="17"/>
  <c r="P8" i="18"/>
  <c r="P7" i="18"/>
  <c r="P9" i="18"/>
  <c r="AA6" i="17"/>
  <c r="AA11" i="17"/>
  <c r="AA10" i="17"/>
  <c r="AA3" i="17"/>
  <c r="Z6" i="17"/>
  <c r="Z11" i="17"/>
  <c r="Z10" i="17"/>
  <c r="Z3" i="17"/>
  <c r="N9" i="18"/>
  <c r="N7" i="18"/>
  <c r="N8" i="18"/>
  <c r="F9" i="17"/>
  <c r="F8" i="17"/>
  <c r="F7" i="17"/>
  <c r="U11" i="18"/>
  <c r="U10" i="18"/>
  <c r="U3" i="18"/>
  <c r="U6" i="18"/>
  <c r="Y6" i="18"/>
  <c r="Y11" i="18"/>
  <c r="Y3" i="18"/>
  <c r="Y10" i="18"/>
  <c r="N11" i="18"/>
  <c r="N3" i="18"/>
  <c r="N6" i="18"/>
  <c r="N10" i="18"/>
  <c r="G10" i="17"/>
  <c r="G11" i="17"/>
  <c r="G3" i="17"/>
  <c r="G6" i="17"/>
  <c r="J3" i="18"/>
  <c r="J11" i="18"/>
  <c r="J10" i="18"/>
  <c r="J6" i="18"/>
  <c r="G10" i="18"/>
  <c r="G6" i="18"/>
  <c r="G11" i="18"/>
  <c r="G3" i="18"/>
  <c r="P11" i="17"/>
  <c r="P6" i="17"/>
  <c r="P10" i="17"/>
  <c r="P3" i="17"/>
  <c r="D7" i="18"/>
  <c r="D8" i="18"/>
  <c r="D9" i="18"/>
  <c r="G8" i="18"/>
  <c r="G7" i="18"/>
  <c r="G9" i="18"/>
  <c r="Z9" i="17"/>
  <c r="Z8" i="17"/>
  <c r="Z7" i="17"/>
  <c r="M11" i="17"/>
  <c r="M10" i="17"/>
  <c r="M3" i="17"/>
  <c r="M6" i="17"/>
  <c r="O3" i="17"/>
  <c r="O11" i="17"/>
  <c r="O6" i="17"/>
  <c r="O10" i="17"/>
  <c r="Y7" i="18"/>
  <c r="Y8" i="18"/>
  <c r="Y9" i="18"/>
  <c r="H8" i="18"/>
  <c r="H9" i="18"/>
  <c r="H7" i="18"/>
  <c r="I7" i="17"/>
  <c r="I8" i="17"/>
  <c r="I9" i="17"/>
  <c r="Y9" i="17"/>
  <c r="Y8" i="17"/>
  <c r="Y7" i="17"/>
  <c r="E6" i="18"/>
  <c r="E10" i="18"/>
  <c r="E3" i="18"/>
  <c r="E11" i="18"/>
  <c r="E7" i="18"/>
  <c r="E9" i="18"/>
  <c r="E8" i="18"/>
  <c r="I9" i="18"/>
  <c r="I8" i="18"/>
  <c r="I7" i="18"/>
  <c r="E6" i="17"/>
  <c r="E10" i="17"/>
  <c r="E3" i="17"/>
  <c r="E11" i="17"/>
</calcChain>
</file>

<file path=xl/sharedStrings.xml><?xml version="1.0" encoding="utf-8"?>
<sst xmlns="http://schemas.openxmlformats.org/spreadsheetml/2006/main" count="1499" uniqueCount="702">
  <si>
    <t>ICpUEfEBE Incremental Cost per Unit Energy for Electrified Building Equipment</t>
  </si>
  <si>
    <t>Sources:</t>
  </si>
  <si>
    <t>Cost of technologies except commerial heat pumps</t>
  </si>
  <si>
    <t>Commercial heating and water heating heat pump costs</t>
  </si>
  <si>
    <t>EIA</t>
  </si>
  <si>
    <t>NREL</t>
  </si>
  <si>
    <t>Updated Buildings Sector Appliance and Equipment Costs and Efficiencies</t>
  </si>
  <si>
    <t>Electrification Futures Study Technology Report Figure Data</t>
  </si>
  <si>
    <t>https://www.eia.gov/analysis/studies/buildings/equipcosts/pdf/full.pdf</t>
  </si>
  <si>
    <t>https://data.nrel.gov/system/files/93/EFS_70485_figure_data.xlsx</t>
  </si>
  <si>
    <t>p. 9, 12, 29, 46, 51, 54, 58, 90, 92, 120, 123</t>
  </si>
  <si>
    <t>Tables 22 and 23</t>
  </si>
  <si>
    <t>Residential building equipment stock and average annual energy consumption</t>
  </si>
  <si>
    <t>Commercial building equipment load factors</t>
  </si>
  <si>
    <t>U.S. Energy Information Administration</t>
  </si>
  <si>
    <t>Electrification Futures Study: End-Use Electric Technology Cost and Performance Projections through 2050</t>
  </si>
  <si>
    <t>https://www.nrel.gov/docs/fy18osti/70485.pdf</t>
  </si>
  <si>
    <t>P.90</t>
  </si>
  <si>
    <t>https://www.eia.gov/outlooks/aeo/tables_side_xls.php</t>
  </si>
  <si>
    <t>Notes:</t>
  </si>
  <si>
    <t>All policy-driven electrification in the EPS is assumed to rely on heat pumps,</t>
  </si>
  <si>
    <t>not electric resistance heating</t>
  </si>
  <si>
    <t>Methodology:</t>
  </si>
  <si>
    <t>For residential buildings, we calculate the average energy used by equipment</t>
  </si>
  <si>
    <t>of different types, which allows us to find a $/BTU value. We then estimate</t>
  </si>
  <si>
    <t>the cost of switching to heat pump equipment based on the data from EIA</t>
  </si>
  <si>
    <t xml:space="preserve">and annual energy consumption. </t>
  </si>
  <si>
    <t>For commercial buildings, we lack data on annual energy use, but the NREL</t>
  </si>
  <si>
    <t>report provides data on annual heating and water heating utilization rates</t>
  </si>
  <si>
    <t>and the costs are normalized to $/(kBTU/hr) input, so we standardize the costs</t>
  </si>
  <si>
    <t>from EIA and then estimate the cost per BTU shifted using the annual load factors.</t>
  </si>
  <si>
    <t>Data in this variable are reported in $/(BTU/yr) of fuel burned by the equipment</t>
  </si>
  <si>
    <t>that would have been purchased in the absence of the fuel shifting policy (e.g.</t>
  </si>
  <si>
    <t>a natural gas appliance, an oil appliance, etc.), not $/(BTU/yr) of electricity used by</t>
  </si>
  <si>
    <t>the electrified appliance that is purchased instead.  Electricity is used more efficiently</t>
  </si>
  <si>
    <t>than thermal fuels, and this adjustment is made within Vensim.</t>
  </si>
  <si>
    <t>For residential heating equipment, we have data for natural gas, oil, and biomass.</t>
  </si>
  <si>
    <t xml:space="preserve">Other liquids are assumed to have the same costs as petroleum. Propane and coal are </t>
  </si>
  <si>
    <t>assigned to natural gas.</t>
  </si>
  <si>
    <t xml:space="preserve">For residential and commercial appliances, we use data for water heaters for </t>
  </si>
  <si>
    <t xml:space="preserve">natural gas and oil water heaters following the mapping above. All appliance </t>
  </si>
  <si>
    <t>energy shifting assumes the costs of water heating shifting, which is the dominant</t>
  </si>
  <si>
    <t>energy consumer among all the appliance equipment.</t>
  </si>
  <si>
    <t>Other equipment also uses the appliance values.</t>
  </si>
  <si>
    <t>For commercial heating, we only have data for natural gas and oil, and assign</t>
  </si>
  <si>
    <t>other fuels based on the above mapping, with biomass mapped to petroleum.</t>
  </si>
  <si>
    <t>2017 to 2012 USD</t>
  </si>
  <si>
    <t>2016 to 2012 USD</t>
  </si>
  <si>
    <t>Residential Gas Fired Furnaces</t>
  </si>
  <si>
    <t>DATA</t>
  </si>
  <si>
    <t>Installed Base</t>
  </si>
  <si>
    <t>Current Standard</t>
  </si>
  <si>
    <t>Typical</t>
  </si>
  <si>
    <t>ENERGY STAR
(South)</t>
  </si>
  <si>
    <t>High</t>
  </si>
  <si>
    <t>Typical Input Capacity (kBtu/h)</t>
  </si>
  <si>
    <t>AFUE (%)</t>
  </si>
  <si>
    <t>Electric Consumption (kWh/yr)*</t>
  </si>
  <si>
    <t>Average Life (yrs)**</t>
  </si>
  <si>
    <t>Retail Equipment Cost (2017$)</t>
  </si>
  <si>
    <t>Total Installed Cost (2017$)</t>
  </si>
  <si>
    <t>Annual Maintenance Cost (2017$)</t>
  </si>
  <si>
    <t>Residential Oil Fired Furnaces</t>
  </si>
  <si>
    <t>ENERGY STAR</t>
  </si>
  <si>
    <t>High      Typical</t>
  </si>
  <si>
    <t>Residential Wood Pellet Stoves</t>
  </si>
  <si>
    <t>Installed
Base</t>
  </si>
  <si>
    <t>Typical Capacity (kBtu/h)</t>
  </si>
  <si>
    <t>Efficiency (HHV)</t>
  </si>
  <si>
    <t>Annual Electricity Consumption (kWh)</t>
  </si>
  <si>
    <t>Average Life (yrs)</t>
  </si>
  <si>
    <t>Residential Air Source Heat Pumps</t>
  </si>
  <si>
    <t>2030**</t>
  </si>
  <si>
    <t>SEER (Cooling)*</t>
  </si>
  <si>
    <t>HSPF (Heating)*</t>
  </si>
  <si>
    <t>7 .0</t>
  </si>
  <si>
    <t>Retail Equipment Cost (2017$)*</t>
  </si>
  <si>
    <t>Total Installed Cost (2017$)*</t>
  </si>
  <si>
    <t>Residential Gas Water Heater</t>
  </si>
  <si>
    <t xml:space="preserve">Installed Base </t>
  </si>
  <si>
    <t xml:space="preserve">Current Standard </t>
  </si>
  <si>
    <t xml:space="preserve">Typical </t>
  </si>
  <si>
    <t xml:space="preserve">ENERGY STAR </t>
  </si>
  <si>
    <t xml:space="preserve">High </t>
  </si>
  <si>
    <t xml:space="preserve">Typical Capacity (gal) </t>
  </si>
  <si>
    <t xml:space="preserve">Uniform Energy Factor (UEF)* </t>
  </si>
  <si>
    <t xml:space="preserve">Average Life (yrs) </t>
  </si>
  <si>
    <t xml:space="preserve">Retail Equipment Cost (2017$) </t>
  </si>
  <si>
    <t xml:space="preserve">Total Installed Cost (2017$)** </t>
  </si>
  <si>
    <t xml:space="preserve">Annual Maintenance Cost (2017$)*** </t>
  </si>
  <si>
    <t xml:space="preserve">- </t>
  </si>
  <si>
    <t>Residential Oil Water Heater</t>
  </si>
  <si>
    <t>Current
Standard</t>
  </si>
  <si>
    <t>Typical Capacity (gal)</t>
  </si>
  <si>
    <t>Uniform Energy Factor (UEF)*</t>
  </si>
  <si>
    <t>Residential Heat Pump Water Heater</t>
  </si>
  <si>
    <t>ENERGY
STAR</t>
  </si>
  <si>
    <t>Commercial Gas Furnace</t>
  </si>
  <si>
    <t>Thermal Efficiency (%)*</t>
  </si>
  <si>
    <t>Annual Maintenance Cost (2017$)**</t>
  </si>
  <si>
    <t>Commercial Oil Furnace</t>
  </si>
  <si>
    <t>* DOE's efficiency metric for commercial furnaces accounts only for flue losses, not jacket losses.</t>
  </si>
  <si>
    <t>Commercial Heat Pump</t>
  </si>
  <si>
    <t>2020***</t>
  </si>
  <si>
    <t>2030****</t>
  </si>
  <si>
    <t>ENERGY
STAR**</t>
  </si>
  <si>
    <t>Efficiency (EER)*</t>
  </si>
  <si>
    <t>Part Load Efficiency (IEER)</t>
  </si>
  <si>
    <t>-</t>
  </si>
  <si>
    <t>COP (Heating)</t>
  </si>
  <si>
    <t>Commercial Gas Water Heater</t>
  </si>
  <si>
    <t>Typical Storage Capacity (gal)</t>
  </si>
  <si>
    <t>Thermal Efficiency (%)</t>
  </si>
  <si>
    <t>Retail Equipment Cost (2017$)**</t>
  </si>
  <si>
    <t>Total Installed Cost (2017$)**</t>
  </si>
  <si>
    <t>Commercial Oil Water Heater</t>
  </si>
  <si>
    <t>Table 21.  Residential Sector Equipment Stock and Efficiency, and Distributed Generation</t>
  </si>
  <si>
    <t>Source: U.S. Energy Information Administration</t>
  </si>
  <si>
    <t>full name</t>
  </si>
  <si>
    <t>api key</t>
  </si>
  <si>
    <t>units</t>
  </si>
  <si>
    <t>Equipment Stock (million units)</t>
  </si>
  <si>
    <t>Main Space Heaters</t>
  </si>
  <si>
    <t>Electric Heat Pumps</t>
  </si>
  <si>
    <t>millions</t>
  </si>
  <si>
    <t>Electric Other</t>
  </si>
  <si>
    <t>Natural Gas Heat Pumps</t>
  </si>
  <si>
    <t>Natural Gas Other</t>
  </si>
  <si>
    <t>Distillate Fuel Oil</t>
  </si>
  <si>
    <t>Propane</t>
  </si>
  <si>
    <t>Wood Stoves</t>
  </si>
  <si>
    <t>Geothermal Heat Pumps</t>
  </si>
  <si>
    <t>Total</t>
  </si>
  <si>
    <t>Space Cooling (million units)</t>
  </si>
  <si>
    <t>Central Air Conditioners</t>
  </si>
  <si>
    <t>Room Air Conditioners</t>
  </si>
  <si>
    <t>Water Heaters (million units)</t>
  </si>
  <si>
    <t>Electric</t>
  </si>
  <si>
    <t>Natural Gas</t>
  </si>
  <si>
    <t>Solar Thermal</t>
  </si>
  <si>
    <t>Cooking Equipment (million units)</t>
  </si>
  <si>
    <t>Clothes Dryers (million units)</t>
  </si>
  <si>
    <t>Other Appliances (million units)</t>
  </si>
  <si>
    <t>Refrigerators</t>
  </si>
  <si>
    <t>Freezers</t>
  </si>
  <si>
    <t>Stock Average Equipment Efficiency</t>
  </si>
  <si>
    <t>Electric Heat Pumps (HSPF)</t>
  </si>
  <si>
    <t>HSPF</t>
  </si>
  <si>
    <t>Natural Gas Heat Pumps (GCOP)</t>
  </si>
  <si>
    <t>GCOP</t>
  </si>
  <si>
    <t>Geothermal Heat Pumps (COP)</t>
  </si>
  <si>
    <t>COP</t>
  </si>
  <si>
    <t>Natural Gas Furnace (AFUE)</t>
  </si>
  <si>
    <t>AFUE</t>
  </si>
  <si>
    <t>Distillate Furnace (AFUE)</t>
  </si>
  <si>
    <t>Space Cooling</t>
  </si>
  <si>
    <t>Electric Heat Pumps (SEER)</t>
  </si>
  <si>
    <t>SEER</t>
  </si>
  <si>
    <t>Geothermal Heat Pumps (EER)</t>
  </si>
  <si>
    <t>EER</t>
  </si>
  <si>
    <t>Central Air Conditioners (SEER)</t>
  </si>
  <si>
    <t>Room Air Conditioners (EER)</t>
  </si>
  <si>
    <t>Water Heaters</t>
  </si>
  <si>
    <t>Electric (EF)</t>
  </si>
  <si>
    <t>EF</t>
  </si>
  <si>
    <t>Natural Gas (EF)</t>
  </si>
  <si>
    <t>Distillate Fuel Oil (EF)</t>
  </si>
  <si>
    <t>Propane (EF)</t>
  </si>
  <si>
    <t>Other Appliances (kilowatthours per year)</t>
  </si>
  <si>
    <t>kWh</t>
  </si>
  <si>
    <t>Building Shell Efficiency Index</t>
  </si>
  <si>
    <t>Space Heating</t>
  </si>
  <si>
    <t>Pre-2020 Homes</t>
  </si>
  <si>
    <t>New Construction</t>
  </si>
  <si>
    <t>All Homes</t>
  </si>
  <si>
    <t>Distributed Generation and</t>
  </si>
  <si>
    <t>Combined Heat and Power</t>
  </si>
  <si>
    <t>Generating Capacity (gigawatts)</t>
  </si>
  <si>
    <t>Natural Gas Fuel Cells</t>
  </si>
  <si>
    <t>GW</t>
  </si>
  <si>
    <t>Solar Photovoltaic</t>
  </si>
  <si>
    <t>Wind</t>
  </si>
  <si>
    <t>Net Generation (billion kilowatthours)</t>
  </si>
  <si>
    <t>billion kWh</t>
  </si>
  <si>
    <t>Disposition</t>
  </si>
  <si>
    <t>Sales to the Grid</t>
  </si>
  <si>
    <t>Generation for Own Use</t>
  </si>
  <si>
    <t>Energy Input (trillion Btu)</t>
  </si>
  <si>
    <t>trillion Btu</t>
  </si>
  <si>
    <t>Table 4.  Residential Sector Key Indicators and Consumption</t>
  </si>
  <si>
    <t>Key Indicators</t>
  </si>
  <si>
    <t>Households (millions)</t>
  </si>
  <si>
    <t>Single-Family</t>
  </si>
  <si>
    <t>Multifamily</t>
  </si>
  <si>
    <t>Mobile Homes</t>
  </si>
  <si>
    <t>Average House Square Footage</t>
  </si>
  <si>
    <t>sq ft</t>
  </si>
  <si>
    <t>Energy Intensity</t>
  </si>
  <si>
    <t>(MMBtu per household)</t>
  </si>
  <si>
    <t>Gross End-use Consumption</t>
  </si>
  <si>
    <t>MMBtu/household</t>
  </si>
  <si>
    <t>Delivered Energy Consumption</t>
  </si>
  <si>
    <t>(thousand Btu per square foot)</t>
  </si>
  <si>
    <t>thousand Btu/sq ft</t>
  </si>
  <si>
    <t>Energy Consumption by Fuel</t>
  </si>
  <si>
    <t>Electricity</t>
  </si>
  <si>
    <t>quads</t>
  </si>
  <si>
    <t>Water Heating</t>
  </si>
  <si>
    <t>Refrigeration</t>
  </si>
  <si>
    <t>Cooking</t>
  </si>
  <si>
    <t>Clothes Dryers</t>
  </si>
  <si>
    <t>Lighting</t>
  </si>
  <si>
    <t>Clothes Washers</t>
  </si>
  <si>
    <t>Dishwashers</t>
  </si>
  <si>
    <t>Televisions and Related Equipment</t>
  </si>
  <si>
    <t>Computers and Related Equipment</t>
  </si>
  <si>
    <t>Furnace Fans and Boiler Circulation Pumps</t>
  </si>
  <si>
    <t>Other Uses</t>
  </si>
  <si>
    <t>Gross End-use Electricity Consumption</t>
  </si>
  <si>
    <t>Purchased Electricity for Electric Vehicle Charging</t>
  </si>
  <si>
    <t>On-site Generation for Own Use</t>
  </si>
  <si>
    <t>Purchased Electricity at Residential Location</t>
  </si>
  <si>
    <t>Delivered Energy</t>
  </si>
  <si>
    <t>Marketed Renewables (wood)</t>
  </si>
  <si>
    <t>Energy Consumption by End Use</t>
  </si>
  <si>
    <t>Electricity Related Losses</t>
  </si>
  <si>
    <t>Total Energy Consumption by End Use</t>
  </si>
  <si>
    <t>Total Gross End-use Consumption</t>
  </si>
  <si>
    <t>Total Energy</t>
  </si>
  <si>
    <t>Nonmarketed Renewables</t>
  </si>
  <si>
    <t>Solar Hot Water Heating</t>
  </si>
  <si>
    <t>Heating Degree Days</t>
  </si>
  <si>
    <t>New England</t>
  </si>
  <si>
    <t>HDD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</si>
  <si>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</si>
  <si>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</si>
  <si>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</si>
  <si>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</si>
  <si>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</si>
  <si>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</si>
  <si>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</si>
  <si>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Pacific</t>
  </si>
  <si>
    <t>United States</t>
  </si>
  <si>
    <t>Cooling Degree Days</t>
  </si>
  <si>
    <t>CDD</t>
  </si>
  <si>
    <t>Figure 22. Installed unit costs (left) and performance projections (right) for commercial air-source heat pumps</t>
  </si>
  <si>
    <t>Figure Notes:</t>
  </si>
  <si>
    <t xml:space="preserve">Installed costs include both capital and installation costs.
</t>
  </si>
  <si>
    <t>Year</t>
  </si>
  <si>
    <t>Technology</t>
  </si>
  <si>
    <t>EFS Case</t>
  </si>
  <si>
    <t>Installed Cost ($/kBtu/hr)</t>
  </si>
  <si>
    <t>Efficiency (COP)</t>
  </si>
  <si>
    <t>Air Source Heat Pump</t>
  </si>
  <si>
    <t>Moderate Advancement</t>
  </si>
  <si>
    <t>Rapid Advancement</t>
  </si>
  <si>
    <t>Slow Advancement</t>
  </si>
  <si>
    <t>Cold Climate Air Source Heat Pump</t>
  </si>
  <si>
    <t>Figure 23. Installed costs (left) and performance projections (right) for commercial HPWHs</t>
  </si>
  <si>
    <t>Installed costs include both capital and installation costs.</t>
  </si>
  <si>
    <t>Heat Pump Water Heater</t>
  </si>
  <si>
    <t>Residential Equipment</t>
  </si>
  <si>
    <t>Heating</t>
  </si>
  <si>
    <t>Heating Energy Consumption per Unit per Year by Fuel (btu/unit)</t>
  </si>
  <si>
    <t>natural gas</t>
  </si>
  <si>
    <t>oil</t>
  </si>
  <si>
    <t>biomass</t>
  </si>
  <si>
    <t>Incremental Equipment Cost</t>
  </si>
  <si>
    <t>natural gas (2017 USD)</t>
  </si>
  <si>
    <t>oil (2017 USD)</t>
  </si>
  <si>
    <t>biomass (2017 USD)</t>
  </si>
  <si>
    <t>Annualized Incremental Equipment Cost</t>
  </si>
  <si>
    <t>natural gas (2012 USD)</t>
  </si>
  <si>
    <t>oil (2012 USD)</t>
  </si>
  <si>
    <t>biomass (2012 USD)</t>
  </si>
  <si>
    <t>Annualized Incremental Cost per BTU Shifted</t>
  </si>
  <si>
    <t>Appliances (water heaters)</t>
  </si>
  <si>
    <t>Appliances Energy Consumption per Unit per Year by Fuel (btu/unit)</t>
  </si>
  <si>
    <t>Commercial Equipment</t>
  </si>
  <si>
    <t>Utilization Assumption</t>
  </si>
  <si>
    <t>space heating</t>
  </si>
  <si>
    <t>water heating</t>
  </si>
  <si>
    <t>Installed Cost ($/kBTU/hr)</t>
  </si>
  <si>
    <t>ASHP (2016 USD)</t>
  </si>
  <si>
    <t xml:space="preserve">Annualized Installed Cost ($/kBTU/hr) </t>
  </si>
  <si>
    <t>ASHP (2012 USD)</t>
  </si>
  <si>
    <t>Annualized Incremental Capital Cost per BTU Shifted</t>
  </si>
  <si>
    <t>Unit: $/(BTU/yr) - a measure of capacity of the fuel-burning equipment that would have been purchased in the absence of an electrification policy</t>
  </si>
  <si>
    <t>electricity</t>
  </si>
  <si>
    <t>coal</t>
  </si>
  <si>
    <t>petroleum diesel</t>
  </si>
  <si>
    <t>heat</t>
  </si>
  <si>
    <t>kerosene</t>
  </si>
  <si>
    <t>heavy or residual fuel oil</t>
  </si>
  <si>
    <t>LPG propane or butane</t>
  </si>
  <si>
    <t>hydrogen</t>
  </si>
  <si>
    <t>https://www.eia.gov/outlooks/aeo/data/browser/#/?id=4-AEO2026&amp;cases=electrnp&amp;sourcekey=0</t>
  </si>
  <si>
    <t>Thu Apr 23 2026 14:30:24 GMT-0700 (Pacific Daylight Time)</t>
  </si>
  <si>
    <t>Growth (2025-2050)</t>
  </si>
  <si>
    <t>Residential: Key Indicators: Households: Single-Family: Alternative Electricity and Transportation</t>
  </si>
  <si>
    <t>AEO.2026.ELECTRNP.KEI_HHD_RESD_SFR_NA_NA_USA_MILL.A</t>
  </si>
  <si>
    <t>0.8%</t>
  </si>
  <si>
    <t>Residential: Key Indicators: Households: Multifamily: Alternative Electricity and Transportation</t>
  </si>
  <si>
    <t>AEO.2026.ELECTRNP.KEI_HHD_RESD_MFR_NA_NA_USA_MILL.A</t>
  </si>
  <si>
    <t>0.9%</t>
  </si>
  <si>
    <t>Residential: Key Indicators: Households: Mobile Homes: Alternative Electricity and Transportation</t>
  </si>
  <si>
    <t>AEO.2026.ELECTRNP.KEI_HHD_RESD_MBH_NA_NA_USA_MILL.A</t>
  </si>
  <si>
    <t>0.1%</t>
  </si>
  <si>
    <t>Residential: Key Indicators: Households: Total: Alternative Electricity and Transportation</t>
  </si>
  <si>
    <t>AEO.2026.ELECTRNP.KEI_HHD_RESD_TEN_NA_NA_USA_MILL.A</t>
  </si>
  <si>
    <t>Residential: Key Indicators: Average House Square Footage: Alternative Electricity and Transportation</t>
  </si>
  <si>
    <t>AEO.2026.ELECTRNP.KEI_HHD_RESD_NA_NA_NA_USA_SQFT.A</t>
  </si>
  <si>
    <t>0.3%</t>
  </si>
  <si>
    <t>Residential: Household Energy Intensity: Gross End-use Consumption: Alternative Electricity and Transportation</t>
  </si>
  <si>
    <t>AEO.2026.ELECTRNP.INY_HHD_RESD_DELE_NA_NA_USA_MILLBTUPHOSD.A</t>
  </si>
  <si>
    <t>-1.0%</t>
  </si>
  <si>
    <t>Residential: Household Energy Intensity: Delivered Energy Consumption: Alternative Electricity and Transportation</t>
  </si>
  <si>
    <t>AEO.2026.ELECTRNP.INY_HHD_RESD_TEN_NA_NA_USA_MILLBTUPHOSD.A</t>
  </si>
  <si>
    <t>-1.1%</t>
  </si>
  <si>
    <t>Residential: Energy Intensity per Square Foot: Gross End-use Consumption: Alternative Electricity and Transportation</t>
  </si>
  <si>
    <t>AEO.2026.ELECTRNP.INY_HHD_RESD_DELE_NA_NA_USA_THBTUPSQFT.A</t>
  </si>
  <si>
    <t>-1.2%</t>
  </si>
  <si>
    <t>Residential: Energy Intensity per Square Foot: Delivered Energy Consumption: Alternative Electricity and Transportation</t>
  </si>
  <si>
    <t>AEO.2026.ELECTRNP.INY_HHD_RESD_TEN_NA_NA_USA_THBTUPSQFT.A</t>
  </si>
  <si>
    <t>-1.4%</t>
  </si>
  <si>
    <t>Residential: Electricity: Space Heating: Alternative Electricity and Transportation</t>
  </si>
  <si>
    <t>AEO.2026.ELECTRNP.CNSM_HHD_RESD_SPH_ELC_NA_USA_QBTU.A</t>
  </si>
  <si>
    <t>-0.9%</t>
  </si>
  <si>
    <t>Residential: Electricity: Space Cooling: Alternative Electricity and Transportation</t>
  </si>
  <si>
    <t>AEO.2026.ELECTRNP.CNSM_NA_RESD_SPC_ELC_NA_USA_QBTU.A</t>
  </si>
  <si>
    <t>1.4%</t>
  </si>
  <si>
    <t>Residential: Electricity: Water Heating: Alternative Electricity and Transportation</t>
  </si>
  <si>
    <t>AEO.2026.ELECTRNP.CNSM_NA_RESD_WTHT_ELC_NA_USA_QBTU.A</t>
  </si>
  <si>
    <t>-2.7%</t>
  </si>
  <si>
    <t>Residential: Electricity: Refrigeration: Alternative Electricity and Transportation</t>
  </si>
  <si>
    <t>AEO.2026.ELECTRNP.CNSM_NA_RESD_REFR_ELC_NA_USA_QBTU.A</t>
  </si>
  <si>
    <t>-0.0%</t>
  </si>
  <si>
    <t>Residential: Electricity: Cooking: Alternative Electricity and Transportation</t>
  </si>
  <si>
    <t>AEO.2026.ELECTRNP.CNSM_NA_RESD_CGR_ELC_NA_USA_QBTU.A</t>
  </si>
  <si>
    <t>Residential: Electricity: Clothes Dryers: Alternative Electricity and Transportation</t>
  </si>
  <si>
    <t>AEO.2026.ELECTRNP.CNSM_NA_RESD_CDR_ELC_NA_USA_QBTU.A</t>
  </si>
  <si>
    <t>0.6%</t>
  </si>
  <si>
    <t>Residential: Electricity: Freezers: Alternative Electricity and Transportation</t>
  </si>
  <si>
    <t>AEO.2026.ELECTRNP.CNSM_NA_RESD_FRZ_ELC_NA_USA_QBTU.A</t>
  </si>
  <si>
    <t>-0.4%</t>
  </si>
  <si>
    <t>Residential: Electricity: Lighting: Alternative Electricity and Transportation</t>
  </si>
  <si>
    <t>AEO.2026.ELECTRNP.CNSM_NA_RESD_LGHTNG_ELC_NA_USA_QBTU.A</t>
  </si>
  <si>
    <t>Residential: Electricity: Clothes Washers: Alternative Electricity and Transportation</t>
  </si>
  <si>
    <t>AEO.2026.ELECTRNP.CNSM_NA_RESD_CLW_ELC_NA_USA_QBTU.A</t>
  </si>
  <si>
    <t>Residential: Electricity: Dishwashers: Alternative Electricity and Transportation</t>
  </si>
  <si>
    <t>AEO.2026.ELECTRNP.CNSM_NA_RESD_DSW_ELC_NA_USA_QBTU.A</t>
  </si>
  <si>
    <t>1.0%</t>
  </si>
  <si>
    <t>Residential: Electricity: Televisions: Alternative Electricity and Transportation</t>
  </si>
  <si>
    <t>AEO.2026.ELECTRNP.CNSM_NA_RESD_TVR_ELC_NA_USA_QBTU.A</t>
  </si>
  <si>
    <t>Residential: Electricity: Computers: Alternative Electricity and Transportation</t>
  </si>
  <si>
    <t>AEO.2026.ELECTRNP.CNSM_NA_RESD_CMPR_ELC_NA_USA_QBTU.A</t>
  </si>
  <si>
    <t>-1.7%</t>
  </si>
  <si>
    <t>Residential: Electricity: Fans and Pumps: Alternative Electricity and Transportation</t>
  </si>
  <si>
    <t>AEO.2026.ELECTRNP.CNSM_NA_RESD_FPR_ELC_NA_USA_QBTU.A</t>
  </si>
  <si>
    <t>Residential: Electricity: Other Uses: Alternative Electricity and Transportation</t>
  </si>
  <si>
    <t>AEO.2026.ELECTRNP.CNSM_NA_RESD_OTHU_ELC_NA_USA_QBTU.A</t>
  </si>
  <si>
    <t>1.2%</t>
  </si>
  <si>
    <t>Residential: Electricity: Gross End-use Electricity Consumption: Alternative Electricity and Transportation</t>
  </si>
  <si>
    <t>AEO.2026.ELECTRNP.CNSM_NA_RESD_DELE_ELC_NA_USA_QBTU.A</t>
  </si>
  <si>
    <t>0.5%</t>
  </si>
  <si>
    <t>Residential: Electricity: Purchased Electricity for EV Charging: Alternative Electricity and Transportation</t>
  </si>
  <si>
    <t>AEO.2026.ELECTRNP.CNSM_NA_RESD_EVCHRING_ELC_NA_USA_QBTU.A</t>
  </si>
  <si>
    <t>9.0%</t>
  </si>
  <si>
    <t>Residential: Electricity: Generation for Own Use: Alternative Electricity and Transportation</t>
  </si>
  <si>
    <t>AEO.2026.ELECTRNP.GEN_NA_RESD_GFO_ELC_NA_USA_QBTU.A</t>
  </si>
  <si>
    <t>5.0%</t>
  </si>
  <si>
    <t>Residential: Electricity: Purchased Electricity at Residential Location: Alternative Electricity and Transportation</t>
  </si>
  <si>
    <t>AEO.2026.ELECTRNP.CNSM_NA_RESD_PURCHELEC_ELC_NA_USA_QBTU.A</t>
  </si>
  <si>
    <t>Residential: Natural Gas: Space Heating: Alternative Electricity and Transportation</t>
  </si>
  <si>
    <t>AEO.2026.ELECTRNP.CNSM_NA_RESD_SPH_NG_NA_USA_QBTU.A</t>
  </si>
  <si>
    <t>Residential: Natural Gas: Space Cooling: Alternative Electricity and Transportation</t>
  </si>
  <si>
    <t>AEO.2026.ELECTRNP.CNSM_NA_RESD_SPC_NG_NA_USA_QBTU.A</t>
  </si>
  <si>
    <t>Residential: Natural Gas: Water Heating: Alternative Electricity and Transportation</t>
  </si>
  <si>
    <t>AEO.2026.ELECTRNP.CNSM_NA_RESD_WTHT_NG_NA_USA_QBTU.A</t>
  </si>
  <si>
    <t>-0.1%</t>
  </si>
  <si>
    <t>Residential: Natural Gas: Cooking: Alternative Electricity and Transportation</t>
  </si>
  <si>
    <t>AEO.2026.ELECTRNP.CNSM_NA_RESD_CGR_NG_NA_USA_QBTU.A</t>
  </si>
  <si>
    <t>0.2%</t>
  </si>
  <si>
    <t>Residential: Natural Gas: Clothes Dryers: Alternative Electricity and Transportation</t>
  </si>
  <si>
    <t>AEO.2026.ELECTRNP.CNSM_NA_RESD_CDR_NG_NA_USA_QBTU.A</t>
  </si>
  <si>
    <t>1.3%</t>
  </si>
  <si>
    <t>Residential: Natural Gas: Other Uses: Alternative Electricity and Transportation</t>
  </si>
  <si>
    <t>AEO.2026.ELECTRNP.CNSM_NA_RESD_OTHU_NG_NA_USA_QBTU.A</t>
  </si>
  <si>
    <t>Residential: Natural Gas: Delivered Energy: Alternative Electricity and Transportation</t>
  </si>
  <si>
    <t>AEO.2026.ELECTRNP.CNSM_NA_RESD_DELE_NG_NA_USA_QBTU.A</t>
  </si>
  <si>
    <t>-0.7%</t>
  </si>
  <si>
    <t>Residential: Distillate Fuel Oil: Space Heating: Alternative Electricity and Transportation</t>
  </si>
  <si>
    <t>AEO.2026.ELECTRNP.CNSM_NA_RESD_SPH_DFO_NA_USA_QBTU.A</t>
  </si>
  <si>
    <t>-1.5%</t>
  </si>
  <si>
    <t>Residential: Distillate Fuel Oil: Water Heating: Alternative Electricity and Transportation</t>
  </si>
  <si>
    <t>AEO.2026.ELECTRNP.CNSM_NA_RESD_WTHT_DFO_NA_USA_QBTU.A</t>
  </si>
  <si>
    <t>-3.3%</t>
  </si>
  <si>
    <t>Residential: Distillate Fuel Oil: Other Uses: Alternative Electricity and Transportation</t>
  </si>
  <si>
    <t>AEO.2026.ELECTRNP.CNSM_NA_RESD_OTHU_DFO_NA_USA_QBTU.A</t>
  </si>
  <si>
    <t>Residential: Distillate Fuel Oil: Delivered Energy: Alternative Electricity and Transportation</t>
  </si>
  <si>
    <t>AEO.2026.ELECTRNP.CNSM_NA_RESD_NA_DFO_NA_USA_QBTU.A</t>
  </si>
  <si>
    <t>Residential: Propane: Space Heating: Alternative Electricity and Transportation</t>
  </si>
  <si>
    <t>AEO.2026.ELECTRNP.CNSM_NA_RESD_SPH_PROP_NA_USA_QBTU.A</t>
  </si>
  <si>
    <t>-1.6%</t>
  </si>
  <si>
    <t>Residential: Propane: Water Heating: Alternative Electricity and Transportation</t>
  </si>
  <si>
    <t>AEO.2026.ELECTRNP.CNSM_NA_RESD_WTHT_PROP_NA_USA_QBTU.A</t>
  </si>
  <si>
    <t>Residential: Propane: Cooking: Alternative Electricity and Transportation</t>
  </si>
  <si>
    <t>AEO.2026.ELECTRNP.CNSM_NA_RESD_CGR_PROP_NA_USA_QBTU.A</t>
  </si>
  <si>
    <t>-0.2%</t>
  </si>
  <si>
    <t>Residential: Propane: Other Uses: Alternative Electricity and Transportation</t>
  </si>
  <si>
    <t>AEO.2026.ELECTRNP.CNSM_NA_RESD_OTHU_PROP_NA_USA_QBTU.A</t>
  </si>
  <si>
    <t>2.3%</t>
  </si>
  <si>
    <t>Residential: Propane: Delivered Energy: Alternative Electricity and Transportation</t>
  </si>
  <si>
    <t>AEO.2026.ELECTRNP.CNSM_NA_RESD_DELE_PROP_NA_USA_QBTU.A</t>
  </si>
  <si>
    <t>Residential: Marketed Renewables (wood): Alternative Electricity and Transportation</t>
  </si>
  <si>
    <t>AEO.2026.ELECTRNP.CNSM_NA_RESD_NA_MRW_NA_USA_QBTU.A</t>
  </si>
  <si>
    <t>Residential: Delivered Energy Use by End Use: Space Heating: Alternative Electricity and Transportation</t>
  </si>
  <si>
    <t>AEO.2026.ELECTRNP.CNSM_NA_RESD_SPH_DEE_NA_USA_QBTU.A</t>
  </si>
  <si>
    <t>-1.3%</t>
  </si>
  <si>
    <t>Residential: Delivered Energy Use by End Use: Space Cooling: Alternative Electricity and Transportation</t>
  </si>
  <si>
    <t>AEO.2026.ELECTRNP.CNSM_NA_RESD_SPC_DEE_NA_USA_QBTU.A</t>
  </si>
  <si>
    <t>Residential: Delivered Energy Use by End Use: Water Heating: Alternative Electricity and Transportation</t>
  </si>
  <si>
    <t>AEO.2026.ELECTRNP.CNSM_NA_RESD_WTHT_DEE_NA_USA_QBTU.A</t>
  </si>
  <si>
    <t>-0.8%</t>
  </si>
  <si>
    <t>Residential: Delivered Energy Use by End Use: Refrigeration: Alternative Electricity and Transportation</t>
  </si>
  <si>
    <t>AEO.2026.ELECTRNP.CNSM_NA_RESD_REFR_DEE_NA_USA_QBTU.A</t>
  </si>
  <si>
    <t>Residential: Delivered Energy Use by End Use: Cooking: Alternative Electricity and Transportation</t>
  </si>
  <si>
    <t>AEO.2026.ELECTRNP.CNSM_NA_RESD_CGR_DEE_NA_USA_QBTU.A</t>
  </si>
  <si>
    <t>Residential: Delivered Energy Use by End Use: Clothes Dryers: Alternative Electricity and Transportation</t>
  </si>
  <si>
    <t>AEO.2026.ELECTRNP.CNSM_NA_RESD_CDR_DEE_NA_USA_QBTU.A</t>
  </si>
  <si>
    <t>0.7%</t>
  </si>
  <si>
    <t>Residential: Delivered Energy Use by End Use: Freezers: Alternative Electricity and Transportation</t>
  </si>
  <si>
    <t>AEO.2026.ELECTRNP.CNSM_NA_RESD_FRZ_DEE_NA_USA_QBTU.A</t>
  </si>
  <si>
    <t>Residential: Delivered Energy Use by End Use: Lighting: Alternative Electricity and Transportation</t>
  </si>
  <si>
    <t>AEO.2026.ELECTRNP.CNSM_NA_RESD_LGHTNG_DEE_NA_USA_QBTU.A</t>
  </si>
  <si>
    <t>Residential: Delivered Energy Use by End Use: Clothes Washers: Alternative Electricity and Transportation</t>
  </si>
  <si>
    <t>AEO.2026.ELECTRNP.CNSM_NA_RESD_CLW_DEE_NA_USA_QBTU.A</t>
  </si>
  <si>
    <t>Residential: Delivered Energy Use by End Use: Dishwashers: Alternative Electricity and Transportation</t>
  </si>
  <si>
    <t>AEO.2026.ELECTRNP.CNSM_NA_RESD_DSW_DEE_NA_USA_QBTU.A</t>
  </si>
  <si>
    <t>Residential: Delivered Energy Use by End Use: Televisions: Alternative Electricity and Transportation</t>
  </si>
  <si>
    <t>AEO.2026.ELECTRNP.CNSM_NA_RESD_TVR_DEE_NA_USA_QBTU.A</t>
  </si>
  <si>
    <t>Residential: Delivered Energy Use by End Use: Computers: Alternative Electricity and Transportation</t>
  </si>
  <si>
    <t>AEO.2026.ELECTRNP.CNSM_NA_RESD_CMPR_DEE_NA_USA_QBTU.A</t>
  </si>
  <si>
    <t>Residential: Delivered Energy Use by End Use: Fans and Pumps: Alternative Electricity and Transportation</t>
  </si>
  <si>
    <t>AEO.2026.ELECTRNP.CNSM_NA_RESD_FPR_DEE_NA_USA_QBTU.A</t>
  </si>
  <si>
    <t>Residential: Delivered Energy Use by End Use: Other Uses: Alternative Electricity and Transportation</t>
  </si>
  <si>
    <t>AEO.2026.ELECTRNP.CNSM_NA_RESD_OTHU_DEE_NA_USA_QBTU.A</t>
  </si>
  <si>
    <t>Residential: Energy Consumption by End Use: Gross End-use Consumption: Alternative Electricity and Transportation</t>
  </si>
  <si>
    <t>AEO.2026.ELECTRNP.CNSM_NA_RESD_TUS_DEE_NA_USA_QBTU.A</t>
  </si>
  <si>
    <t>Residential: Energy Consumption by End Use: Purchased Electricity for EV Charging: Alternative Electricity and Transportation</t>
  </si>
  <si>
    <t>AEO.2026.ELECTRNP.CNSM_NA_RESD_PUELEVCHRG_DEE_NA_USA_QBTU.A</t>
  </si>
  <si>
    <t>Residential: Energy Consumption by End Use: Generation for Own Use: Alternative Electricity and Transportation</t>
  </si>
  <si>
    <t>AEO.2026.ELECTRNP.GEN_NA_RESD_GFO_DEE_NA_USA_QBTU.A</t>
  </si>
  <si>
    <t>Residential: Energy Consumption by End Use: Delivered Energy: Alternative Electricity and Transportation</t>
  </si>
  <si>
    <t>AEO.2026.ELECTRNP.CNSM_NA_RESD_DELE_DEE_NA_USA_QBTU.A</t>
  </si>
  <si>
    <t>Residential: Electricity Related Losses: Alternative Electricity and Transportation</t>
  </si>
  <si>
    <t>AEO.2026.ELECTRNP.CNSM_LOSSES_RESD_NA_ENRL_NA_USA_QBTU.A</t>
  </si>
  <si>
    <t>Residential: Total Energy Use by End Use: Space Heating: Alternative Electricity and Transportation</t>
  </si>
  <si>
    <t>AEO.2026.ELECTRNP.CNSM_NA_RESD_SPH_TEE_NA_USA_QBTU.A</t>
  </si>
  <si>
    <t>Residential: Total Energy Use by End Use: Space Cooling: Alternative Electricity and Transportation</t>
  </si>
  <si>
    <t>AEO.2026.ELECTRNP.CNSM_NA_RESD_SPC_TEE_NA_USA_QBTU.A</t>
  </si>
  <si>
    <t>Residential: Total Energy Use by End Use: Water Heating: Alternative Electricity and Transportation</t>
  </si>
  <si>
    <t>AEO.2026.ELECTRNP.CNSM_NA_RESD_WTHT_TEE_NA_USA_QBTU.A</t>
  </si>
  <si>
    <t>Residential: Total Energy Use by End Use: Refrigeration: Alternative Electricity and Transportation</t>
  </si>
  <si>
    <t>AEO.2026.ELECTRNP.CNSM_NA_RESD_REFR_TEE_NA_USA_QBTU.A</t>
  </si>
  <si>
    <t>Residential: Total Energy Use by End Use: Cooking: Alternative Electricity and Transportation</t>
  </si>
  <si>
    <t>AEO.2026.ELECTRNP.CNSM_NA_RESD_CGR_TEE_NA_USA_QBTU.A</t>
  </si>
  <si>
    <t>0.0%</t>
  </si>
  <si>
    <t>Residential: Total Energy Use by End Use: Clothes Dryers: Alternative Electricity and Transportation</t>
  </si>
  <si>
    <t>AEO.2026.ELECTRNP.CNSM_NA_RESD_CDR_TEE_NA_USA_QBTU.A</t>
  </si>
  <si>
    <t>Residential: Total Energy Use by End Use: Freezers: Alternative Electricity and Transportation</t>
  </si>
  <si>
    <t>AEO.2026.ELECTRNP.CNSM_NA_RESD_FRZ_TEE_NA_USA_QBTU.A</t>
  </si>
  <si>
    <t>Residential: Total Energy Use by End Use: Lighting: Alternative Electricity and Transportation</t>
  </si>
  <si>
    <t>AEO.2026.ELECTRNP.CNSM_NA_RESD_LGHTNG_TEE_NA_USA_QBTU.A</t>
  </si>
  <si>
    <t>Residential: Total Energy Use by End Use: Clothes Washers: Alternative Electricity and Transportation</t>
  </si>
  <si>
    <t>AEO.2026.ELECTRNP.CNSM_NA_RESD_CLW_TEE_NA_USA_QBTU.A</t>
  </si>
  <si>
    <t>-2.4%</t>
  </si>
  <si>
    <t>Residential: Total Energy Use by End Use: Dishwashers: Alternative Electricity and Transportation</t>
  </si>
  <si>
    <t>AEO.2026.ELECTRNP.CNSM_NA_RESD_DSW_TEE_NA_USA_QBTU.A</t>
  </si>
  <si>
    <t>Residential: Total Energy Use by End Use: Televisions: Alternative Electricity and Transportation</t>
  </si>
  <si>
    <t>AEO.2026.ELECTRNP.CNSM_NA_RESD_TVR_TEE_NA_USA_QBTU.A</t>
  </si>
  <si>
    <t>-1.9%</t>
  </si>
  <si>
    <t>Residential: Total Energy Use by End Use: Computers: Alternative Electricity and Transportation</t>
  </si>
  <si>
    <t>AEO.2026.ELECTRNP.CNSM_NA_RESD_CMPR_TEE_NA_USA_QBTU.A</t>
  </si>
  <si>
    <t>-2.6%</t>
  </si>
  <si>
    <t>Residential: Total Energy Use by End Use: Fans and Pumps: Alternative Electricity and Transportation</t>
  </si>
  <si>
    <t>AEO.2026.ELECTRNP.CNSM_NA_RESD_FPR_TEE_NA_USA_QBTU.A</t>
  </si>
  <si>
    <t>-2.0%</t>
  </si>
  <si>
    <t>Residential: Total Energy Use by End Use: Other Uses: Alternative Electricity and Transportation</t>
  </si>
  <si>
    <t>AEO.2026.ELECTRNP.CNSM_NA_RESD_OTHU_TEE_NA_USA_QBTU.A</t>
  </si>
  <si>
    <t>Residential: Total Energy Use by End Use: Total Gross End-use Consumption: Alternative Electricity and Transportation</t>
  </si>
  <si>
    <t>AEO.2026.ELECTRNP.CNSM_NA_RESD_TOTENCONS_TEE_NA_USA_QBTU.A</t>
  </si>
  <si>
    <t>-0.6%</t>
  </si>
  <si>
    <t>Residential: Generation for Own Use: Purchased Electricity for EV Charging: Alternative Electricity and Transportation</t>
  </si>
  <si>
    <t>AEO.2026.ELECTRNP.GEN_NA_RESD_PUELEVCHRG_TEE_NA_USA_QBTU.A</t>
  </si>
  <si>
    <t>8.1%</t>
  </si>
  <si>
    <t>Residential: Generation for Own Use: Total Gross End-use Consumption: Alternative Electricity and Transportation</t>
  </si>
  <si>
    <t>AEO.2026.ELECTRNP.GEN_NA_RESD_GFO_TEE_NA_USA_QBTU.A</t>
  </si>
  <si>
    <t>Residential: Total Net Own-use Generation: Total Gross End-use Consumption: Alternative Electricity and Transportation</t>
  </si>
  <si>
    <t>AEO.2026.ELECTRNP.GEN_NA_RESD_TTG_TEE_NA_USA_QBTU.A</t>
  </si>
  <si>
    <t>Residential: Nonmarketed Renewables: Solar Hot Water Heating: Alternative Electricity and Transportation</t>
  </si>
  <si>
    <t>AEO.2026.ELECTRNP.CNSM_NA_RESD_SHW_NRW_NA_USA_QBTU.A</t>
  </si>
  <si>
    <t>Residential: Nonmarketed Renewables: Solar Photovoltaic: Alternative Electricity and Transportation</t>
  </si>
  <si>
    <t>AEO.2026.ELECTRNP.CNSM_NA_RESD_SOPH_NRW_NA_USA_QBTU.A</t>
  </si>
  <si>
    <t>5.1%</t>
  </si>
  <si>
    <t>Residential: Nonmarketed Renewables: Wind: Alternative Electricity and Transportation</t>
  </si>
  <si>
    <t>AEO.2026.ELECTRNP.CNSM_NA_RESD_WND_NRW_NA_USA_QBTU.A</t>
  </si>
  <si>
    <t>2.0%</t>
  </si>
  <si>
    <t>Residential: Nonmarketed Renewables: Total: Alternative Electricity and Transportation</t>
  </si>
  <si>
    <t>AEO.2026.ELECTRNP.CNSM_NA_RESD_NA_NRW_NA_USA_QBTU.A</t>
  </si>
  <si>
    <t>4.5%</t>
  </si>
  <si>
    <t>Residential: Heating Degree Days: New England: Alternative Electricity and Transportation</t>
  </si>
  <si>
    <t>AEO.2026.ELECTRNP.KEI_HDD_RESD_NA_NA_NA_NENGL_HDD.A</t>
  </si>
  <si>
    <t>-0.5%</t>
  </si>
  <si>
    <t>Residential: Heating Degree Days: Middle Atlantic: Alternative Electricity and Transportation</t>
  </si>
  <si>
    <t>AEO.2026.ELECTRNP.KEI_HDD_RESD_NA_NA_NA_MATL_HDD.A</t>
  </si>
  <si>
    <t>Residential: Heating Degree Days: East North Central: Alternative Electricity and Transportation</t>
  </si>
  <si>
    <t>AEO.2026.ELECTRNP.KEI_HDD_RESD_NA_NA_NA_ENC_HDD.A</t>
  </si>
  <si>
    <t>Residential: Heating Degree Days: West North Central: Alternative Electricity and Transportation</t>
  </si>
  <si>
    <t>AEO.2026.ELECTRNP.KEI_HDD_RESD_NA_NA_NA_WNC_HDD.A</t>
  </si>
  <si>
    <t>Residential: Heating Degree Days: South Atlantic: Alternative Electricity and Transportation</t>
  </si>
  <si>
    <t>AEO.2026.ELECTRNP.KEI_HDD_RESD_NA_NA_NA_SATL_HDD.A</t>
  </si>
  <si>
    <t>Residential: Heating Degree Days: East South Central: Alternative Electricity and Transportation</t>
  </si>
  <si>
    <t>AEO.2026.ELECTRNP.KEI_HDD_RESD_NA_NA_NA_ESC_HDD.A</t>
  </si>
  <si>
    <t>Residential: Heating Degree Days: West South Central: Alternative Electricity and Transportation</t>
  </si>
  <si>
    <t>AEO.2026.ELECTRNP.KEI_HDD_RESD_NA_NA_NA_WSC_HDD.A</t>
  </si>
  <si>
    <t>Residential: Heating Degree Days: Mountain: Alternative Electricity and Transportation</t>
  </si>
  <si>
    <t>AEO.2026.ELECTRNP.KEI_HDD_RESD_NA_NA_NA_MTN_HDD.A</t>
  </si>
  <si>
    <t>Residential: Heating Degree Days: Pacific: Alternative Electricity and Transportation</t>
  </si>
  <si>
    <t>AEO.2026.ELECTRNP.KEI_HDD_RESD_NA_NA_NA_PCF_HDD.A</t>
  </si>
  <si>
    <t>Residential: Heating Degree Days: United States: Alternative Electricity and Transportation</t>
  </si>
  <si>
    <t>AEO.2026.ELECTRNP.KEI_HDD_RESD_NA_NA_NA_USA_HDD.A</t>
  </si>
  <si>
    <t>Residential: Cooling Degree Days: New England: Alternative Electricity and Transportation</t>
  </si>
  <si>
    <t>AEO.2026.ELECTRNP.KEI_CDD_RESD_NA_NA_NA_NENGL_CDD.A</t>
  </si>
  <si>
    <t>1.6%</t>
  </si>
  <si>
    <t>Residential: Cooling Degree Days: Middle Atlantic: Alternative Electricity and Transportation</t>
  </si>
  <si>
    <t>AEO.2026.ELECTRNP.KEI_CDD_RESD_NA_NA_NA_MATL_CDD.A</t>
  </si>
  <si>
    <t>Residential: Cooling Degree Days: East North Central: Alternative Electricity and Transportation</t>
  </si>
  <si>
    <t>AEO.2026.ELECTRNP.KEI_CDD_RESD_NA_NA_NA_ENC_CDD.A</t>
  </si>
  <si>
    <t>0.4%</t>
  </si>
  <si>
    <t>Residential: Cooling Degree Days: West North Central: Alternative Electricity and Transportation</t>
  </si>
  <si>
    <t>AEO.2026.ELECTRNP.KEI_CDD_RESD_NA_NA_NA_WNC_CDD.A</t>
  </si>
  <si>
    <t>Residential: Cooling Degree Days: South Atlantic: Alternative Electricity and Transportation</t>
  </si>
  <si>
    <t>AEO.2026.ELECTRNP.KEI_CDD_RESD_NA_NA_NA_SATL_CDD.A</t>
  </si>
  <si>
    <t>Residential: Cooling Degree Days: East South Central: Alternative Electricity and Transportation</t>
  </si>
  <si>
    <t>AEO.2026.ELECTRNP.KEI_CDD_RESD_NA_NA_NA_ESC_CDD.A</t>
  </si>
  <si>
    <t>Residential: Cooling Degree Days: West South Central: Alternative Electricity and Transportation</t>
  </si>
  <si>
    <t>AEO.2026.ELECTRNP.KEI_CDD_RESD_NA_NA_NA_WSC_CDD.A</t>
  </si>
  <si>
    <t>Residential: Cooling Degree Days: Mountain: Alternative Electricity and Transportation</t>
  </si>
  <si>
    <t>AEO.2026.ELECTRNP.KEI_CDD_RESD_NA_NA_NA_MTN_CDD.A</t>
  </si>
  <si>
    <t>Residential: Cooling Degree Days: Pacific: Alternative Electricity and Transportation</t>
  </si>
  <si>
    <t>AEO.2026.ELECTRNP.KEI_CDD_RESD_NA_NA_NA_PCF_CDD.A</t>
  </si>
  <si>
    <t>Residential: Cooling Degree Days: United States: Alternative Electricity and Transportation</t>
  </si>
  <si>
    <t>AEO.2026.ELECTRNP.KEI_CDD_RESD_NA_NA_NA_USA_CDD.A</t>
  </si>
  <si>
    <t>https://www.eia.gov/outlooks/aeo/data/browser/#/?id=30-AEO2026&amp;cases=electrnp&amp;sourcekey=0</t>
  </si>
  <si>
    <t>Thu Apr 23 2026 15:00:43 GMT-0700 (Pacific Daylight Time)</t>
  </si>
  <si>
    <t>Residential Equipment: Equipment Stock: Main Space Heaters: Electric Heat Pumps: Alternative Electricity and Transportation</t>
  </si>
  <si>
    <t>AEO.2026.ELECTRNP.EQNR_STK_RESD_MSHR_EHP_NA_NA_MILL.A</t>
  </si>
  <si>
    <t>1.7%</t>
  </si>
  <si>
    <t>Residential Equipment: Equipment Stock: Main Space Heaters: Electric Other: Alternative Electricity and Transportation</t>
  </si>
  <si>
    <t>AEO.2026.ELECTRNP.EQNR_STK_RESD_MSHR_ELO_NA_NA_MILL.A</t>
  </si>
  <si>
    <t>Residential Equipment: Equipment Stock: Main Space Heaters: Natural Gas Heat Pumps: Alternative Electricity and Transportation</t>
  </si>
  <si>
    <t>AEO.2026.ELECTRNP.EQNR_STK_RESD_MSHR_NHU_NA_NA_MILL.A</t>
  </si>
  <si>
    <t>Residential Equipment: Equipment Stock: Main Space Heaters: Natural Gas Other: Alternative Electricity and Transportation</t>
  </si>
  <si>
    <t>AEO.2026.ELECTRNP.EQNR_STK_RESD_MSHR_NGO_NA_NA_MILL.A</t>
  </si>
  <si>
    <t>Residential Equipment: Equipment Stock: Main Space Heaters: Distillate Fuel Oil: Alternative Electricity and Transportation</t>
  </si>
  <si>
    <t>AEO.2026.ELECTRNP.EQNR_STK_RESD_MSHR_DFO_NA_NA_MILL.A</t>
  </si>
  <si>
    <t>Residential Equipment: Equipment Stock: Main Space Heaters: Propane: Alternative Electricity and Transportation</t>
  </si>
  <si>
    <t>AEO.2026.ELECTRNP.EQNR_STK_RESD_MSHR_PROP_NA_NA_MILL.A</t>
  </si>
  <si>
    <t>Residential Equipment: Equipment Stock: Main Space Heaters: Wood Stoves: Alternative Electricity and Transportation</t>
  </si>
  <si>
    <t>AEO.2026.ELECTRNP.EQNR_STK_RESD_MSHR_WDS_NA_NA_MILL.A</t>
  </si>
  <si>
    <t>Residential Equipment: Equipment Stock: Main Space Heaters: Geothermal Heat Pumps: Alternative Electricity and Transportation</t>
  </si>
  <si>
    <t>AEO.2026.ELECTRNP.EQNR_STK_RESD_MSHR_GEHP_NA_NA_MILL.A</t>
  </si>
  <si>
    <t>Residential Equipment: Equipment Stock: Main Space Heaters: Total: Alternative Electricity and Transportation</t>
  </si>
  <si>
    <t>AEO.2026.ELECTRNP.EQNR_STK_RESD_MSHR_TOT_NA_NA_MILL.A</t>
  </si>
  <si>
    <t>Residential Equipment: Equipment Stock: Space Cooling: Electric Heat Pumps: Alternative Electricity and Transportation</t>
  </si>
  <si>
    <t>AEO.2026.ELECTRNP.EQNR_STK_RESD_SPC_EHP_NA_NA_MILL.A</t>
  </si>
  <si>
    <t>Residential Equipment: Equipment Stock: Space Cooling: Natural Gas Heat Pumps: Alternative Electricity and Transportation</t>
  </si>
  <si>
    <t>AEO.2026.ELECTRNP.EQNR_STK_RESD_SPC_NHU_NA_NA_MILL.A</t>
  </si>
  <si>
    <t>Residential Equipment: Equipment Stock: Space Cooling: Geothermal Heat Pumps: Alternative Electricity and Transportation</t>
  </si>
  <si>
    <t>AEO.2026.ELECTRNP.EQNR_STK_RESD_SPC_GEHP_NA_NA_MILL.A</t>
  </si>
  <si>
    <t>Residential Equipment: Equipment Stock: Space Cooling: Central Air Conditioners: Alternative Electricity and Transportation</t>
  </si>
  <si>
    <t>AEO.2026.ELECTRNP.EQNR_STK_RESD_SPC_CAC_NA_NA_MILL.A</t>
  </si>
  <si>
    <t>1.1%</t>
  </si>
  <si>
    <t>Residential Equipment: Equipment Stock: Space Cooling: Room Air Conditioners: Alternative Electricity and Transportation</t>
  </si>
  <si>
    <t>AEO.2026.ELECTRNP.EQNR_STK_RESD_SPC_RAC_NA_NA_MILL.A</t>
  </si>
  <si>
    <t>Residential Equipment: Equipment Stock: Space Cooling: Total: Alternative Electricity and Transportation</t>
  </si>
  <si>
    <t>AEO.2026.ELECTRNP.EQNR_STK_RESD_SPC_TOT_NA_NA_MILL.A</t>
  </si>
  <si>
    <t>Residential Equipment: Equipment Stock: Water Heaters: Electric: Alternative Electricity and Transportation</t>
  </si>
  <si>
    <t>AEO.2026.ELECTRNP.EQNR_STK_RESD_WHT_ELE_NA_NA_MILL.A</t>
  </si>
  <si>
    <t>Residential Equipment: Equipment Stock: Water Heaters: Natural Gas: Alternative Electricity and Transportation</t>
  </si>
  <si>
    <t>AEO.2026.ELECTRNP.EQNR_STK_RESD_WHT_NG_NA_NA_MILL.A</t>
  </si>
  <si>
    <t>Residential Equipment: Equipment Stock: Water Heaters: Distillate Fuel Oil: Alternative Electricity and Transportation</t>
  </si>
  <si>
    <t>AEO.2026.ELECTRNP.EQNR_STK_RESD_WHT_DFO_NA_NA_MILL.A</t>
  </si>
  <si>
    <t>-2.1%</t>
  </si>
  <si>
    <t>Residential Equipment: Equipment Stock: Water Heaters: Propane: Alternative Electricity and Transportation</t>
  </si>
  <si>
    <t>AEO.2026.ELECTRNP.EQNR_STK_RESD_WHT_PROP_NA_NA_MILL.A</t>
  </si>
  <si>
    <t>Residential Equipment: Equipment Stock: Water Heaters: Solar Thermal: Alternative Electricity and Transportation</t>
  </si>
  <si>
    <t>AEO.2026.ELECTRNP.EQNR_STK_RESD_WHT_SLR_THERM_NA_MILL.A</t>
  </si>
  <si>
    <t>Residential Equipment: Equipment Stock: Water Heaters: Total: Alternative Electricity and Transportation</t>
  </si>
  <si>
    <t>AEO.2026.ELECTRNP.EQNR_STK_RESD_WHT_TOT_NA_NA_MILL.A</t>
  </si>
  <si>
    <t>Residential Equipment: Equipment Stock: Cooking Equipment: Electric: Alternative Electricity and Transportation</t>
  </si>
  <si>
    <t>AEO.2026.ELECTRNP.EQNR_STK_RESD_CER_ELE_NA_NA_MILL.A</t>
  </si>
  <si>
    <t>Residential Equipment: Equipment Stock: Cooking Equipment: Natural Gas: Alternative Electricity and Transportation</t>
  </si>
  <si>
    <t>AEO.2026.ELECTRNP.EQNR_STK_RESD_CER_NG_NA_NA_MILL.A</t>
  </si>
  <si>
    <t>Residential Equipment: Equipment Stock: Cooking Equipment: Propane: Alternative Electricity and Transportation</t>
  </si>
  <si>
    <t>AEO.2026.ELECTRNP.EQNR_STK_RESD_CER_PROP_NA_NA_MILL.A</t>
  </si>
  <si>
    <t>Residential Equipment: Equipment Stock: Cooking Equipment: Total: Alternative Electricity and Transportation</t>
  </si>
  <si>
    <t>AEO.2026.ELECTRNP.EQNR_STK_RESD_CER_TOT_NA_NA_MILL.A</t>
  </si>
  <si>
    <t>Residential Equipment: Equipment Stock: Clothes Dryers: Electric: Alternative Electricity and Transportation</t>
  </si>
  <si>
    <t>AEO.2026.ELECTRNP.EQNR_STK_RESD_CDR_ELE_NA_NA_MILL.A</t>
  </si>
  <si>
    <t>2.1%</t>
  </si>
  <si>
    <t>Residential Equipment: Equipment Stock: Clothes Dryers: Natural Gas: Alternative Electricity and Transportation</t>
  </si>
  <si>
    <t>AEO.2026.ELECTRNP.EQNR_STK_RESD_CDR_NG_NA_NA_MILL.A</t>
  </si>
  <si>
    <t>1.5%</t>
  </si>
  <si>
    <t>Residential Equipment: Equipment Stock: Clothes Dryers: Total: Alternative Electricity and Transportation</t>
  </si>
  <si>
    <t>AEO.2026.ELECTRNP.EQNR_STK_RESD_CDR_TOT_NA_NA_MILL.A</t>
  </si>
  <si>
    <t>Residential Equipment: Equipment Stock: Other Appliances: Refrigerators: Alternative Electricity and Transportation</t>
  </si>
  <si>
    <t>AEO.2026.ELECTRNP.EQNR_STK_RESD_OTAR_RFG_NA_NA_MILL.A</t>
  </si>
  <si>
    <t>Residential Equipment: Equipment Stock: Other Appliances: Freezers: Alternative Electricity and Transportation</t>
  </si>
  <si>
    <t>AEO.2026.ELECTRNP.EQNR_STK_RESD_OTAR_FRZ_NA_NA_MILL.A</t>
  </si>
  <si>
    <t>Residential Equipment: Stock Average Efficiency: Main Space Heaters: Electric Heat Pumps: Alternative Electricity and Transportation</t>
  </si>
  <si>
    <t>AEO.2026.ELECTRNP.EFI_STK_RESD_SPHR_EHP_NA_NA_HSPF.A</t>
  </si>
  <si>
    <t>Residential Equipment: Stock Average Efficiency: Main Space Heaters: Natural Gas Heat Pumps: Alternative Electricity and Transportation</t>
  </si>
  <si>
    <t>AEO.2026.ELECTRNP.EFI_STK_RESD_SPHR_NHU_NA_NA_GCOP.A</t>
  </si>
  <si>
    <t>Residential Equipment: Stock Average Efficiency: Main Space Heaters: Geothermal Heat Pumps: Alternative Electricity and Transportation</t>
  </si>
  <si>
    <t>AEO.2026.ELECTRNP.EFI_STK_RESD_SPHR_GEHP_NA_NA_COP.A</t>
  </si>
  <si>
    <t>Residential Equipment: Stock Average Efficiency: Main Space Heaters: Natural Gas Furnace: Alternative Electricity and Transportation</t>
  </si>
  <si>
    <t>AEO.2026.ELECTRNP.EFI_STK_RESD_SPHR_NFR_NA_NA_AFUE.A</t>
  </si>
  <si>
    <t>Residential Equipment: Stock Average Efficiency: Main Space Heaters: Distillate Furnace: Alternative Electricity and Transportation</t>
  </si>
  <si>
    <t>AEO.2026.ELECTRNP.EFI_STK_RESD_SPHR_DFR_NA_NA_AFUE.A</t>
  </si>
  <si>
    <t>Residential Equipment: Stock Average Efficiency: Space Cooling: Electric Heat Pumps: Alternative Electricity and Transportation</t>
  </si>
  <si>
    <t>AEO.2026.ELECTRNP.EFI_STK_RESD_SPC_EHP_NA_NA_SEER.A</t>
  </si>
  <si>
    <t>Residential Equipment: Stock Average Efficiency: Space Cooling: Natural Gas Heat Pumps: Alternative Electricity and Transportation</t>
  </si>
  <si>
    <t>AEO.2026.ELECTRNP.EFI_STK_RESD_SPC_NHU_NA_NA_GCOP.A</t>
  </si>
  <si>
    <t>Residential Equipment: Stock Average Efficiency: Space Cooling: Geothermal Heat Pumps: Alternative Electricity and Transportation</t>
  </si>
  <si>
    <t>AEO.2026.ELECTRNP.EFI_STK_RESD_SPC_GEHP_NA_NA_EER.A</t>
  </si>
  <si>
    <t>Residential Equipment: Stock Average Efficiency: Space Cooling: Central Air Conditioners: Alternative Electricity and Transportation</t>
  </si>
  <si>
    <t>AEO.2026.ELECTRNP.EFI_STK_RESD_SPC_CAC_NA_NA_SEER.A</t>
  </si>
  <si>
    <t>Residential Equipment: Stock Average Efficiency: Space Cooling: Room Air Conditioners: Alternative Electricity and Transportation</t>
  </si>
  <si>
    <t>AEO.2026.ELECTRNP.EFI_STK_RESD_SPC_RAC_NA_NA_EER.A</t>
  </si>
  <si>
    <t>Residential Equipment: Stock Average Efficiency: Water Heaters: Electric: Alternative Electricity and Transportation</t>
  </si>
  <si>
    <t>AEO.2026.ELECTRNP.EFI_STK_RESD_WHT_ELE_NA_NA_EF.A</t>
  </si>
  <si>
    <t>2.9%</t>
  </si>
  <si>
    <t>Residential Equipment: Stock Average Efficiency: Water Heaters: Natural Gas: Alternative Electricity and Transportation</t>
  </si>
  <si>
    <t>AEO.2026.ELECTRNP.EFI_STK_RESD_WHT_NG_NA_NA_EF.A</t>
  </si>
  <si>
    <t>Residential Equipment: Stock Average Efficiency: Water Heaters: Distillate Fuel Oil: Alternative Electricity and Transportation</t>
  </si>
  <si>
    <t>AEO.2026.ELECTRNP.EFI_STK_RESD_WHT_DFO_NA_NA_EF.A</t>
  </si>
  <si>
    <t>Residential Equipment: Stock Average Efficiency: Water Heaters: Propane: Alternative Electricity and Transportation</t>
  </si>
  <si>
    <t>AEO.2026.ELECTRNP.EFI_STK_RESD_WHT_PROP_NA_NA_EF.A</t>
  </si>
  <si>
    <t>Residential Equipment: Stock Average Efficiency: Other Appliances: Refrigerators: Alternative Electricity and Transportation</t>
  </si>
  <si>
    <t>AEO.2026.ELECTRNP.EFI_STK_RESD_OTAR_RFG_NA_NA_KWH.A</t>
  </si>
  <si>
    <t>Residential Equipment: Stock Average Efficiency: Other Appliances: Freezers: Alternative Electricity and Transportation</t>
  </si>
  <si>
    <t>AEO.2026.ELECTRNP.EFI_STK_RESD_OTAR_FRZ_NA_NA_KWH.A</t>
  </si>
  <si>
    <t>Residential Equipment: Building Shell Efficiency Index: Space Heating: Pre-2020 Homes: Alternative Electricity and Transportation</t>
  </si>
  <si>
    <t>AEO.2026.ELECTRNP.EFI_BSE_RESD_SPH_OLD_NA_NA_Y15EQ1.A</t>
  </si>
  <si>
    <t>2020=1.00</t>
  </si>
  <si>
    <t>Residential Equipment: Building Shell Efficiency Index: Space Heating: New Construction: Alternative Electricity and Transportation</t>
  </si>
  <si>
    <t>AEO.2026.ELECTRNP.EFI_BSE_RESD_SPH_NCO_NA_NA_Y15EQ1.A</t>
  </si>
  <si>
    <t>Residential Equipment: Building Shell Efficiency Index: Space Heating: All Homes: Alternative Electricity and Transportation</t>
  </si>
  <si>
    <t>AEO.2026.ELECTRNP.EFI_BSE_RESD_SPH_AHM_NA_NA_Y15EQ1.A</t>
  </si>
  <si>
    <t>Residential Equipment: Building Shell Efficiency Index: Space Cooling: Pre-2020 Homes: Alternative Electricity and Transportation</t>
  </si>
  <si>
    <t>AEO.2026.ELECTRNP.EFI_BSE_RESD_SPC_OLD_NA_NA_Y15EQ1.A</t>
  </si>
  <si>
    <t>-0.3%</t>
  </si>
  <si>
    <t>Residential Equipment: Building Shell Efficiency Index: Space Cooling: New Construction: Alternative Electricity and Transportation</t>
  </si>
  <si>
    <t>AEO.2026.ELECTRNP.EFI_BSE_RESD_SPC_NCO_NA_NA_Y15EQ1.A</t>
  </si>
  <si>
    <t>Residential Equipment: Building Shell Efficiency Index: Space Cooling: All Homes: Alternative Electricity and Transportation</t>
  </si>
  <si>
    <t>AEO.2026.ELECTRNP.EFI_BSE_RESD_SPC_AHM_NA_NA_Y15EQ1.A</t>
  </si>
  <si>
    <t>Residential: Combined Heat and Power: Generating Capacity: Fuel Cells: Alternative Electricity and Transportation</t>
  </si>
  <si>
    <t>AEO.2026.ELECTRNP.CAP_NA_COMM_CHP_FCL_NA_NA_MW.A</t>
  </si>
  <si>
    <t>11.5%</t>
  </si>
  <si>
    <t>Residential: Combined Heat and Power: Generating Capacity: Solar Photovoltaic: Alternative Electricity and Transportation</t>
  </si>
  <si>
    <t>AEO.2026.ELECTRNP.CAP_NA_RESD_CHP_SLR_PHTVL_NA_MW.A</t>
  </si>
  <si>
    <t>5.3%</t>
  </si>
  <si>
    <t>Residential: Combined Heat and Power: Generating Capacity: Wind: Alternative Electricity and Transportation</t>
  </si>
  <si>
    <t>AEO.2026.ELECTRNP.CAP_NA_RESD_CHP_WND_NA_NA_MW.A</t>
  </si>
  <si>
    <t>1.9%</t>
  </si>
  <si>
    <t>Residential: Combined Heat and Power: Generating Capacity: Total: Alternative Electricity and Transportation</t>
  </si>
  <si>
    <t>AEO.2026.ELECTRNP.CAP_NA_RESD_CHP_TOT_NA_NA_MW.A</t>
  </si>
  <si>
    <t>Residential: Combined Heat and Power: Net Generation: Fuel Cells: Alternative Electricity and Transportation</t>
  </si>
  <si>
    <t>AEO.2026.ELECTRNP.GEN_NA_COMM_CHP_FCL_NA_NA_MILLKWH.A</t>
  </si>
  <si>
    <t>Residential: Combined Heat and Power: Net Generation: Solar Photovoltaic: Alternative Electricity and Transportation</t>
  </si>
  <si>
    <t>AEO.2026.ELECTRNP.GEN_NA_COMM_CHP_SLR_PHTVL_NA_MILLKWH.A</t>
  </si>
  <si>
    <t>Residential: Combined Heat and Power: Net Generation: Wind: Alternative Electricity and Transportation</t>
  </si>
  <si>
    <t>AEO.2026.ELECTRNP.GEN_NA_COMM_CHP_WND_NA_NA_MILLKWH.A</t>
  </si>
  <si>
    <t>Residential: Combined Heat and Power: Net Generation: Total: Alternative Electricity and Transportation</t>
  </si>
  <si>
    <t>AEO.2026.ELECTRNP.GEN_NA_COMM_CHP_TOT_NA_NA_MILLKWH.A</t>
  </si>
  <si>
    <t>Residential: Combined Heat and Power: Net Generation: Sales to the Grid: Alternative Electricity and Transportation</t>
  </si>
  <si>
    <t>AEO.2026.ELECTRNP.GEN_NA_COMM_CHP_STG_NA_NA_MILLKWH.A</t>
  </si>
  <si>
    <t>5.2%</t>
  </si>
  <si>
    <t>Residential: Combined Heat and Power: Net Generation: Generation for Own Use: Alternative Electricity and Transportation</t>
  </si>
  <si>
    <t>AEO.2026.ELECTRNP.GEN_NA_COMM_CHP_GFO_NA_NA_MILLKWH.A</t>
  </si>
  <si>
    <t>Residential: Combined Heat and Power: Energy Input: Fuel Cells: Alternative Electricity and Transportation</t>
  </si>
  <si>
    <t>AEO.2026.ELECTRNP.CNSM_NA_COMM_CHP_FCL_NA_NA_TRLBTU.A</t>
  </si>
  <si>
    <t>Residential: Combined Heat and Power: Energy Input: Solar Photovoltaic: Alternative Electricity and Transportation</t>
  </si>
  <si>
    <t>AEO.2026.ELECTRNP.CNSM_NA_COMM_CHP_SLR_PHTVL_NA_TRLBTU.A</t>
  </si>
  <si>
    <t>Residential: Combined Heat and Power: Energy Input: Wind: Alternative Electricity and Transportation</t>
  </si>
  <si>
    <t>AEO.2026.ELECTRNP.CNSM_NA_COMM_CHP_WND_NA_NA_TRLBTU.A</t>
  </si>
  <si>
    <t>Residential: Combined Heat and Power: Energy Input: Total: Alternative Electricity and Transportation</t>
  </si>
  <si>
    <t>AEO.2026.ELECTRNP.CNSM_NA_COMM_CHP_TOT_NA_NA_TRLBTU.A</t>
  </si>
  <si>
    <t>Annual Energy Outlook 2026</t>
  </si>
  <si>
    <t>Alternative electricity and transportation: Table 4, Table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</si>
</sst>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0;###0"/>
    <numFmt numFmtId="165" formatCode="#,##0;#,##0"/>
    <numFmt numFmtId="166" formatCode="###0.0;###0.0"/>
    <numFmt numFmtId="167" formatCode="###0.00;###0.00"/>
    <numFmt numFmtId="168" formatCode="0.000E+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11"/>
      <name val="Calibri"/>
      <family val="2"/>
    </font>
    <font>
      <sz val="10"/>
      <name val="Palatino Linotype"/>
      <family val="1"/>
    </font>
    <font>
      <i/>
      <sz val="11"/>
      <color indexed="8"/>
      <name val="Calibri"/>
      <family val="2"/>
      <scheme val="minor"/>
    </font>
    <font>
      <b/>
      <sz val="12"/>
      <color indexed="3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93678"/>
      </patternFill>
    </fill>
    <fill>
      <patternFill patternType="solid">
        <fgColor rgb="FFCCCED6"/>
      </patternFill>
    </fill>
    <fill>
      <patternFill patternType="solid">
        <fgColor rgb="FFE7E8EC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0">
    <xf numFmtId="0" fontId="0" fillId="0" borderId="0"/>
    <xf numFmtId="43" fontId="1" fillId="0" borderId="0"/>
    <xf numFmtId="9" fontId="1" fillId="0" borderId="0"/>
    <xf numFmtId="0" fontId="3" fillId="0" borderId="0"/>
    <xf numFmtId="0" fontId="5" fillId="0" borderId="0">
      <alignment horizontal="left"/>
    </xf>
    <xf numFmtId="0" fontId="6" fillId="0" borderId="2">
      <alignment horizontal="left" wrapText="1"/>
    </xf>
    <xf numFmtId="0" fontId="6" fillId="0" borderId="1">
      <alignment wrapText="1"/>
    </xf>
    <xf numFmtId="0" fontId="7" fillId="0" borderId="3">
      <alignment wrapText="1"/>
    </xf>
    <xf numFmtId="0" fontId="6" fillId="0" borderId="4">
      <alignment wrapText="1"/>
    </xf>
    <xf numFmtId="0" fontId="7" fillId="0" borderId="5">
      <alignment vertical="top" wrapText="1"/>
    </xf>
    <xf numFmtId="0" fontId="8" fillId="0" borderId="0"/>
    <xf numFmtId="0" fontId="8" fillId="0" borderId="0"/>
    <xf numFmtId="0" fontId="8" fillId="0" borderId="6">
      <alignment wrapText="1"/>
    </xf>
    <xf numFmtId="0" fontId="9" fillId="0" borderId="19">
      <alignment wrapText="1"/>
    </xf>
    <xf numFmtId="0" fontId="8" fillId="0" borderId="20">
      <alignment wrapText="1"/>
    </xf>
    <xf numFmtId="0" fontId="9" fillId="0" borderId="21">
      <alignment wrapText="1"/>
    </xf>
    <xf numFmtId="0" fontId="8" fillId="0" borderId="0"/>
    <xf numFmtId="0" fontId="18" fillId="0" borderId="0">
      <alignment horizontal="left"/>
    </xf>
    <xf numFmtId="0" fontId="1" fillId="0" borderId="0"/>
    <xf numFmtId="0" fontId="8" fillId="0" borderId="0"/>
    <xf numFmtId="0" fontId="8" fillId="0" borderId="20">
      <alignment wrapText="1"/>
    </xf>
    <xf numFmtId="0" fontId="8" fillId="0" borderId="0"/>
    <xf numFmtId="0" fontId="8" fillId="0" borderId="6">
      <alignment wrapText="1"/>
    </xf>
    <xf numFmtId="0" fontId="9" fillId="0" borderId="21">
      <alignment wrapText="1"/>
    </xf>
    <xf numFmtId="0" fontId="9" fillId="0" borderId="19">
      <alignment wrapText="1"/>
    </xf>
    <xf numFmtId="0" fontId="18" fillId="0" borderId="0">
      <alignment horizontal="left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146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3"/>
    <xf numFmtId="1" fontId="0" fillId="0" borderId="0" xfId="0" applyNumberFormat="1"/>
    <xf numFmtId="0" fontId="2" fillId="2" borderId="0" xfId="0" applyFont="1" applyFill="1"/>
    <xf numFmtId="0" fontId="4" fillId="0" borderId="0" xfId="0" applyFont="1"/>
    <xf numFmtId="164" fontId="11" fillId="3" borderId="8" xfId="0" applyNumberFormat="1" applyFont="1" applyFill="1" applyBorder="1" applyAlignment="1">
      <alignment horizontal="left" vertical="top" wrapText="1"/>
    </xf>
    <xf numFmtId="0" fontId="10" fillId="4" borderId="8" xfId="0" applyFont="1" applyFill="1" applyBorder="1" applyAlignment="1">
      <alignment horizontal="left" vertical="top" wrapText="1"/>
    </xf>
    <xf numFmtId="0" fontId="10" fillId="5" borderId="8" xfId="0" applyFont="1" applyFill="1" applyBorder="1" applyAlignment="1">
      <alignment horizontal="left" vertical="top" wrapText="1"/>
    </xf>
    <xf numFmtId="164" fontId="12" fillId="5" borderId="8" xfId="0" applyNumberFormat="1" applyFont="1" applyFill="1" applyBorder="1" applyAlignment="1">
      <alignment horizontal="left" vertical="top" wrapText="1"/>
    </xf>
    <xf numFmtId="164" fontId="12" fillId="5" borderId="9" xfId="0" applyNumberFormat="1" applyFont="1" applyFill="1" applyBorder="1" applyAlignment="1">
      <alignment horizontal="left" vertical="top" wrapText="1"/>
    </xf>
    <xf numFmtId="164" fontId="12" fillId="5" borderId="11" xfId="0" applyNumberFormat="1" applyFont="1" applyFill="1" applyBorder="1" applyAlignment="1">
      <alignment horizontal="left" vertical="top" wrapText="1"/>
    </xf>
    <xf numFmtId="164" fontId="12" fillId="4" borderId="8" xfId="0" applyNumberFormat="1" applyFont="1" applyFill="1" applyBorder="1" applyAlignment="1">
      <alignment horizontal="left" vertical="top" wrapText="1"/>
    </xf>
    <xf numFmtId="164" fontId="12" fillId="4" borderId="9" xfId="0" applyNumberFormat="1" applyFont="1" applyFill="1" applyBorder="1" applyAlignment="1">
      <alignment horizontal="left" vertical="top" wrapText="1"/>
    </xf>
    <xf numFmtId="164" fontId="12" fillId="4" borderId="11" xfId="0" applyNumberFormat="1" applyFont="1" applyFill="1" applyBorder="1" applyAlignment="1">
      <alignment horizontal="left" vertical="top" wrapText="1"/>
    </xf>
    <xf numFmtId="165" fontId="12" fillId="5" borderId="8" xfId="0" applyNumberFormat="1" applyFont="1" applyFill="1" applyBorder="1" applyAlignment="1">
      <alignment horizontal="left" vertical="top" wrapText="1"/>
    </xf>
    <xf numFmtId="165" fontId="12" fillId="5" borderId="9" xfId="0" applyNumberFormat="1" applyFont="1" applyFill="1" applyBorder="1" applyAlignment="1">
      <alignment horizontal="left" vertical="top" wrapText="1"/>
    </xf>
    <xf numFmtId="165" fontId="12" fillId="5" borderId="11" xfId="0" applyNumberFormat="1" applyFont="1" applyFill="1" applyBorder="1" applyAlignment="1">
      <alignment horizontal="left" vertical="top" wrapText="1"/>
    </xf>
    <xf numFmtId="165" fontId="12" fillId="4" borderId="8" xfId="0" applyNumberFormat="1" applyFont="1" applyFill="1" applyBorder="1" applyAlignment="1">
      <alignment horizontal="left" vertical="top" wrapText="1"/>
    </xf>
    <xf numFmtId="165" fontId="12" fillId="4" borderId="9" xfId="0" applyNumberFormat="1" applyFont="1" applyFill="1" applyBorder="1" applyAlignment="1">
      <alignment horizontal="left" vertical="top" wrapText="1"/>
    </xf>
    <xf numFmtId="165" fontId="12" fillId="4" borderId="11" xfId="0" applyNumberFormat="1" applyFont="1" applyFill="1" applyBorder="1" applyAlignment="1">
      <alignment horizontal="left" vertical="top" wrapText="1"/>
    </xf>
    <xf numFmtId="0" fontId="10" fillId="3" borderId="7" xfId="0" applyFont="1" applyFill="1" applyBorder="1" applyAlignment="1">
      <alignment horizontal="center" wrapText="1"/>
    </xf>
    <xf numFmtId="0" fontId="14" fillId="3" borderId="7" xfId="0" applyFont="1" applyFill="1" applyBorder="1" applyAlignment="1">
      <alignment horizontal="center" wrapText="1"/>
    </xf>
    <xf numFmtId="0" fontId="14" fillId="3" borderId="7" xfId="0" applyFont="1" applyFill="1" applyBorder="1" applyAlignment="1">
      <alignment horizontal="left"/>
    </xf>
    <xf numFmtId="0" fontId="10" fillId="4" borderId="8" xfId="0" applyFont="1" applyFill="1" applyBorder="1" applyAlignment="1">
      <alignment horizontal="left" vertical="center" wrapText="1"/>
    </xf>
    <xf numFmtId="0" fontId="0" fillId="4" borderId="8" xfId="0" applyFill="1" applyBorder="1" applyAlignment="1">
      <alignment horizontal="left" vertical="top" wrapText="1"/>
    </xf>
    <xf numFmtId="164" fontId="11" fillId="3" borderId="11" xfId="0" applyNumberFormat="1" applyFont="1" applyFill="1" applyBorder="1" applyAlignment="1">
      <alignment horizontal="left" vertical="top" wrapText="1"/>
    </xf>
    <xf numFmtId="0" fontId="10" fillId="5" borderId="9" xfId="0" applyFont="1" applyFill="1" applyBorder="1" applyAlignment="1">
      <alignment horizontal="left" vertical="top" wrapText="1"/>
    </xf>
    <xf numFmtId="0" fontId="10" fillId="4" borderId="9" xfId="0" applyFont="1" applyFill="1" applyBorder="1" applyAlignment="1">
      <alignment horizontal="left" vertical="top" wrapText="1"/>
    </xf>
    <xf numFmtId="166" fontId="12" fillId="4" borderId="11" xfId="0" applyNumberFormat="1" applyFont="1" applyFill="1" applyBorder="1" applyAlignment="1">
      <alignment horizontal="left" vertical="top" wrapText="1"/>
    </xf>
    <xf numFmtId="166" fontId="12" fillId="4" borderId="8" xfId="0" applyNumberFormat="1" applyFont="1" applyFill="1" applyBorder="1" applyAlignment="1">
      <alignment horizontal="left" vertical="top" wrapText="1"/>
    </xf>
    <xf numFmtId="0" fontId="15" fillId="5" borderId="11" xfId="0" applyFont="1" applyFill="1" applyBorder="1" applyAlignment="1">
      <alignment horizontal="left" vertical="top" wrapText="1"/>
    </xf>
    <xf numFmtId="166" fontId="12" fillId="5" borderId="8" xfId="0" applyNumberFormat="1" applyFont="1" applyFill="1" applyBorder="1" applyAlignment="1">
      <alignment horizontal="left" vertical="top" wrapText="1"/>
    </xf>
    <xf numFmtId="164" fontId="12" fillId="4" borderId="11" xfId="0" applyNumberFormat="1" applyFont="1" applyFill="1" applyBorder="1" applyAlignment="1">
      <alignment horizontal="right" vertical="top" wrapText="1"/>
    </xf>
    <xf numFmtId="164" fontId="12" fillId="4" borderId="8" xfId="0" applyNumberFormat="1" applyFont="1" applyFill="1" applyBorder="1" applyAlignment="1">
      <alignment horizontal="right" vertical="top" wrapText="1"/>
    </xf>
    <xf numFmtId="0" fontId="0" fillId="2" borderId="0" xfId="0" applyFill="1"/>
    <xf numFmtId="2" fontId="0" fillId="0" borderId="0" xfId="0" applyNumberFormat="1"/>
    <xf numFmtId="11" fontId="0" fillId="0" borderId="0" xfId="0" applyNumberFormat="1"/>
    <xf numFmtId="0" fontId="10" fillId="3" borderId="7" xfId="0" applyFont="1" applyFill="1" applyBorder="1" applyAlignment="1">
      <alignment horizontal="center" vertical="center" wrapText="1"/>
    </xf>
    <xf numFmtId="164" fontId="11" fillId="3" borderId="15" xfId="0" applyNumberFormat="1" applyFont="1" applyFill="1" applyBorder="1" applyAlignment="1">
      <alignment horizontal="left" vertical="top" wrapText="1"/>
    </xf>
    <xf numFmtId="164" fontId="11" fillId="3" borderId="16" xfId="0" applyNumberFormat="1" applyFont="1" applyFill="1" applyBorder="1" applyAlignment="1">
      <alignment horizontal="left" vertical="top" wrapText="1"/>
    </xf>
    <xf numFmtId="164" fontId="11" fillId="3" borderId="7" xfId="0" applyNumberFormat="1" applyFont="1" applyFill="1" applyBorder="1" applyAlignment="1">
      <alignment horizontal="left" vertical="top" wrapText="1"/>
    </xf>
    <xf numFmtId="0" fontId="0" fillId="3" borderId="16" xfId="0" applyFill="1" applyBorder="1" applyAlignment="1">
      <alignment horizontal="left" vertical="top" wrapText="1"/>
    </xf>
    <xf numFmtId="0" fontId="0" fillId="3" borderId="14" xfId="0" applyFill="1" applyBorder="1" applyAlignment="1">
      <alignment horizontal="left" vertical="top" wrapText="1"/>
    </xf>
    <xf numFmtId="0" fontId="0" fillId="4" borderId="14" xfId="0" applyFill="1" applyBorder="1" applyAlignment="1">
      <alignment horizontal="center" vertical="top" wrapText="1"/>
    </xf>
    <xf numFmtId="0" fontId="10" fillId="4" borderId="12" xfId="0" applyFont="1" applyFill="1" applyBorder="1" applyAlignment="1">
      <alignment horizontal="left" vertical="top" wrapText="1"/>
    </xf>
    <xf numFmtId="0" fontId="10" fillId="4" borderId="17" xfId="0" applyFont="1" applyFill="1" applyBorder="1" applyAlignment="1">
      <alignment horizontal="left" vertical="top" wrapText="1"/>
    </xf>
    <xf numFmtId="0" fontId="10" fillId="4" borderId="13" xfId="0" applyFont="1" applyFill="1" applyBorder="1" applyAlignment="1">
      <alignment horizontal="left" vertical="center" wrapText="1"/>
    </xf>
    <xf numFmtId="164" fontId="12" fillId="4" borderId="7" xfId="0" applyNumberFormat="1" applyFont="1" applyFill="1" applyBorder="1" applyAlignment="1">
      <alignment horizontal="left" vertical="top" wrapText="1"/>
    </xf>
    <xf numFmtId="164" fontId="12" fillId="4" borderId="16" xfId="0" applyNumberFormat="1" applyFont="1" applyFill="1" applyBorder="1" applyAlignment="1">
      <alignment horizontal="left" vertical="top" wrapText="1"/>
    </xf>
    <xf numFmtId="0" fontId="0" fillId="4" borderId="14" xfId="0" applyFill="1" applyBorder="1" applyAlignment="1">
      <alignment horizontal="left" vertical="top" wrapText="1"/>
    </xf>
    <xf numFmtId="164" fontId="12" fillId="4" borderId="12" xfId="0" applyNumberFormat="1" applyFont="1" applyFill="1" applyBorder="1" applyAlignment="1">
      <alignment horizontal="left" vertical="top" wrapText="1"/>
    </xf>
    <xf numFmtId="164" fontId="12" fillId="4" borderId="17" xfId="0" applyNumberFormat="1" applyFont="1" applyFill="1" applyBorder="1" applyAlignment="1">
      <alignment horizontal="left" vertical="top" wrapText="1"/>
    </xf>
    <xf numFmtId="0" fontId="2" fillId="6" borderId="0" xfId="0" applyFont="1" applyFill="1"/>
    <xf numFmtId="0" fontId="0" fillId="6" borderId="0" xfId="0" applyFill="1"/>
    <xf numFmtId="0" fontId="0" fillId="3" borderId="7" xfId="0" applyFill="1" applyBorder="1" applyAlignment="1">
      <alignment horizontal="left" vertical="top" wrapText="1"/>
    </xf>
    <xf numFmtId="0" fontId="10" fillId="4" borderId="14" xfId="0" applyFont="1" applyFill="1" applyBorder="1" applyAlignment="1">
      <alignment horizontal="left" vertical="top" wrapText="1"/>
    </xf>
    <xf numFmtId="167" fontId="12" fillId="4" borderId="8" xfId="0" applyNumberFormat="1" applyFont="1" applyFill="1" applyBorder="1" applyAlignment="1">
      <alignment horizontal="left" vertical="top" wrapText="1"/>
    </xf>
    <xf numFmtId="167" fontId="12" fillId="4" borderId="9" xfId="0" applyNumberFormat="1" applyFont="1" applyFill="1" applyBorder="1" applyAlignment="1">
      <alignment horizontal="left" vertical="top" wrapText="1"/>
    </xf>
    <xf numFmtId="167" fontId="12" fillId="4" borderId="11" xfId="0" applyNumberFormat="1" applyFont="1" applyFill="1" applyBorder="1" applyAlignment="1">
      <alignment horizontal="left" vertical="top" wrapText="1"/>
    </xf>
    <xf numFmtId="0" fontId="10" fillId="5" borderId="13" xfId="0" applyFont="1" applyFill="1" applyBorder="1" applyAlignment="1">
      <alignment horizontal="left" vertical="center" wrapText="1"/>
    </xf>
    <xf numFmtId="164" fontId="12" fillId="5" borderId="13" xfId="0" applyNumberFormat="1" applyFont="1" applyFill="1" applyBorder="1" applyAlignment="1">
      <alignment horizontal="right" vertical="top" wrapText="1"/>
    </xf>
    <xf numFmtId="164" fontId="12" fillId="5" borderId="7" xfId="0" applyNumberFormat="1" applyFont="1" applyFill="1" applyBorder="1" applyAlignment="1">
      <alignment horizontal="left" vertical="top" wrapText="1"/>
    </xf>
    <xf numFmtId="164" fontId="12" fillId="5" borderId="16" xfId="0" applyNumberFormat="1" applyFont="1" applyFill="1" applyBorder="1" applyAlignment="1">
      <alignment horizontal="right" vertical="top" wrapText="1"/>
    </xf>
    <xf numFmtId="0" fontId="0" fillId="5" borderId="14" xfId="0" applyFill="1" applyBorder="1" applyAlignment="1">
      <alignment horizontal="left" vertical="top" wrapText="1"/>
    </xf>
    <xf numFmtId="164" fontId="12" fillId="5" borderId="14" xfId="0" applyNumberFormat="1" applyFont="1" applyFill="1" applyBorder="1" applyAlignment="1">
      <alignment horizontal="left" vertical="top" wrapText="1"/>
    </xf>
    <xf numFmtId="164" fontId="12" fillId="5" borderId="12" xfId="0" applyNumberFormat="1" applyFont="1" applyFill="1" applyBorder="1" applyAlignment="1">
      <alignment horizontal="left" vertical="top" wrapText="1"/>
    </xf>
    <xf numFmtId="164" fontId="12" fillId="5" borderId="17" xfId="0" applyNumberFormat="1" applyFont="1" applyFill="1" applyBorder="1" applyAlignment="1">
      <alignment horizontal="left" vertical="top" wrapText="1"/>
    </xf>
    <xf numFmtId="165" fontId="12" fillId="4" borderId="13" xfId="0" applyNumberFormat="1" applyFont="1" applyFill="1" applyBorder="1" applyAlignment="1">
      <alignment horizontal="left" vertical="top" wrapText="1"/>
    </xf>
    <xf numFmtId="165" fontId="12" fillId="4" borderId="7" xfId="0" applyNumberFormat="1" applyFont="1" applyFill="1" applyBorder="1" applyAlignment="1">
      <alignment horizontal="left" vertical="top" wrapText="1"/>
    </xf>
    <xf numFmtId="165" fontId="12" fillId="4" borderId="16" xfId="0" applyNumberFormat="1" applyFont="1" applyFill="1" applyBorder="1" applyAlignment="1">
      <alignment horizontal="left" vertical="top" wrapText="1"/>
    </xf>
    <xf numFmtId="165" fontId="12" fillId="4" borderId="14" xfId="0" applyNumberFormat="1" applyFont="1" applyFill="1" applyBorder="1" applyAlignment="1">
      <alignment horizontal="left" vertical="top" wrapText="1"/>
    </xf>
    <xf numFmtId="165" fontId="12" fillId="4" borderId="12" xfId="0" applyNumberFormat="1" applyFont="1" applyFill="1" applyBorder="1" applyAlignment="1">
      <alignment horizontal="left" vertical="top" wrapText="1"/>
    </xf>
    <xf numFmtId="165" fontId="12" fillId="4" borderId="17" xfId="0" applyNumberFormat="1" applyFont="1" applyFill="1" applyBorder="1" applyAlignment="1">
      <alignment horizontal="left" vertical="top" wrapText="1"/>
    </xf>
    <xf numFmtId="165" fontId="12" fillId="5" borderId="13" xfId="0" applyNumberFormat="1" applyFont="1" applyFill="1" applyBorder="1" applyAlignment="1">
      <alignment horizontal="left" vertical="top" wrapText="1"/>
    </xf>
    <xf numFmtId="165" fontId="12" fillId="5" borderId="7" xfId="0" applyNumberFormat="1" applyFont="1" applyFill="1" applyBorder="1" applyAlignment="1">
      <alignment horizontal="left" vertical="top" wrapText="1"/>
    </xf>
    <xf numFmtId="165" fontId="12" fillId="5" borderId="16" xfId="0" applyNumberFormat="1" applyFont="1" applyFill="1" applyBorder="1" applyAlignment="1">
      <alignment horizontal="left" vertical="top" wrapText="1"/>
    </xf>
    <xf numFmtId="165" fontId="12" fillId="5" borderId="14" xfId="0" applyNumberFormat="1" applyFont="1" applyFill="1" applyBorder="1" applyAlignment="1">
      <alignment horizontal="left" vertical="top" wrapText="1"/>
    </xf>
    <xf numFmtId="165" fontId="12" fillId="5" borderId="12" xfId="0" applyNumberFormat="1" applyFont="1" applyFill="1" applyBorder="1" applyAlignment="1">
      <alignment horizontal="left" vertical="top" wrapText="1"/>
    </xf>
    <xf numFmtId="165" fontId="12" fillId="5" borderId="17" xfId="0" applyNumberFormat="1" applyFont="1" applyFill="1" applyBorder="1" applyAlignment="1">
      <alignment horizontal="left" vertical="top" wrapText="1"/>
    </xf>
    <xf numFmtId="0" fontId="0" fillId="3" borderId="15" xfId="0" applyFill="1" applyBorder="1" applyAlignment="1">
      <alignment horizontal="left" vertical="top" wrapText="1"/>
    </xf>
    <xf numFmtId="164" fontId="12" fillId="5" borderId="10" xfId="0" applyNumberFormat="1" applyFont="1" applyFill="1" applyBorder="1" applyAlignment="1">
      <alignment horizontal="left" vertical="top" wrapText="1"/>
    </xf>
    <xf numFmtId="164" fontId="12" fillId="5" borderId="16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10" fillId="4" borderId="18" xfId="0" applyFont="1" applyFill="1" applyBorder="1" applyAlignment="1">
      <alignment horizontal="left" vertical="top" wrapText="1"/>
    </xf>
    <xf numFmtId="0" fontId="10" fillId="4" borderId="13" xfId="0" applyFont="1" applyFill="1" applyBorder="1" applyAlignment="1">
      <alignment horizontal="left" vertical="top" wrapText="1"/>
    </xf>
    <xf numFmtId="0" fontId="10" fillId="5" borderId="13" xfId="0" applyFont="1" applyFill="1" applyBorder="1" applyAlignment="1">
      <alignment horizontal="left" vertical="top" wrapText="1"/>
    </xf>
    <xf numFmtId="43" fontId="0" fillId="0" borderId="0" xfId="1" applyFont="1"/>
    <xf numFmtId="43" fontId="0" fillId="0" borderId="0" xfId="0" applyNumberFormat="1"/>
    <xf numFmtId="164" fontId="12" fillId="5" borderId="9" xfId="0" applyNumberFormat="1" applyFont="1" applyFill="1" applyBorder="1" applyAlignment="1">
      <alignment horizontal="center" vertical="top" wrapText="1"/>
    </xf>
    <xf numFmtId="164" fontId="12" fillId="4" borderId="9" xfId="0" applyNumberFormat="1" applyFont="1" applyFill="1" applyBorder="1" applyAlignment="1">
      <alignment horizontal="center" vertical="top" wrapText="1"/>
    </xf>
    <xf numFmtId="164" fontId="12" fillId="4" borderId="10" xfId="0" applyNumberFormat="1" applyFont="1" applyFill="1" applyBorder="1" applyAlignment="1">
      <alignment horizontal="left" vertical="top" wrapText="1"/>
    </xf>
    <xf numFmtId="165" fontId="12" fillId="4" borderId="10" xfId="0" applyNumberFormat="1" applyFont="1" applyFill="1" applyBorder="1" applyAlignment="1">
      <alignment horizontal="left" vertical="top" wrapText="1"/>
    </xf>
    <xf numFmtId="165" fontId="12" fillId="5" borderId="10" xfId="0" applyNumberFormat="1" applyFont="1" applyFill="1" applyBorder="1" applyAlignment="1">
      <alignment horizontal="left" vertical="top" wrapText="1"/>
    </xf>
    <xf numFmtId="0" fontId="10" fillId="3" borderId="8" xfId="0" applyFont="1" applyFill="1" applyBorder="1" applyAlignment="1">
      <alignment horizontal="left" vertical="top" wrapText="1"/>
    </xf>
    <xf numFmtId="164" fontId="11" fillId="3" borderId="9" xfId="0" applyNumberFormat="1" applyFont="1" applyFill="1" applyBorder="1" applyAlignment="1">
      <alignment horizontal="left" vertical="top" wrapText="1"/>
    </xf>
    <xf numFmtId="0" fontId="10" fillId="4" borderId="8" xfId="0" applyFont="1" applyFill="1" applyBorder="1" applyAlignment="1">
      <alignment horizontal="center" vertical="top" wrapText="1"/>
    </xf>
    <xf numFmtId="164" fontId="12" fillId="5" borderId="8" xfId="0" applyNumberFormat="1" applyFont="1" applyFill="1" applyBorder="1" applyAlignment="1">
      <alignment horizontal="right" vertical="top" wrapText="1"/>
    </xf>
    <xf numFmtId="0" fontId="16" fillId="0" borderId="0" xfId="0" applyFont="1" applyAlignment="1">
      <alignment horizontal="left" vertical="top"/>
    </xf>
    <xf numFmtId="0" fontId="10" fillId="4" borderId="11" xfId="0" applyFont="1" applyFill="1" applyBorder="1" applyAlignment="1">
      <alignment horizontal="left" vertical="top" wrapText="1"/>
    </xf>
    <xf numFmtId="0" fontId="15" fillId="5" borderId="8" xfId="0" applyFont="1" applyFill="1" applyBorder="1" applyAlignment="1">
      <alignment horizontal="right" vertical="top" wrapText="1"/>
    </xf>
    <xf numFmtId="9" fontId="0" fillId="0" borderId="0" xfId="0" applyNumberFormat="1"/>
    <xf numFmtId="9" fontId="0" fillId="0" borderId="0" xfId="2" applyFont="1"/>
    <xf numFmtId="168" fontId="0" fillId="0" borderId="0" xfId="0" applyNumberFormat="1"/>
    <xf numFmtId="0" fontId="0" fillId="3" borderId="12" xfId="0" applyFill="1" applyBorder="1" applyAlignment="1">
      <alignment horizontal="left" vertical="top" wrapText="1"/>
    </xf>
    <xf numFmtId="0" fontId="0" fillId="4" borderId="18" xfId="0" applyFill="1" applyBorder="1" applyAlignment="1">
      <alignment horizontal="center" vertical="top" wrapText="1"/>
    </xf>
    <xf numFmtId="0" fontId="0" fillId="4" borderId="17" xfId="0" applyFill="1" applyBorder="1" applyAlignment="1">
      <alignment horizontal="left" vertical="top" wrapText="1"/>
    </xf>
    <xf numFmtId="164" fontId="12" fillId="5" borderId="9" xfId="0" applyNumberFormat="1" applyFont="1" applyFill="1" applyBorder="1" applyAlignment="1">
      <alignment horizontal="right" vertical="top" wrapText="1"/>
    </xf>
    <xf numFmtId="164" fontId="12" fillId="4" borderId="9" xfId="0" applyNumberFormat="1" applyFont="1" applyFill="1" applyBorder="1" applyAlignment="1">
      <alignment horizontal="right" vertical="top" wrapText="1"/>
    </xf>
    <xf numFmtId="164" fontId="12" fillId="5" borderId="13" xfId="0" applyNumberFormat="1" applyFont="1" applyFill="1" applyBorder="1" applyAlignment="1">
      <alignment horizontal="left" vertical="top" wrapText="1"/>
    </xf>
    <xf numFmtId="165" fontId="0" fillId="4" borderId="14" xfId="0" applyNumberFormat="1" applyFill="1" applyBorder="1" applyAlignment="1">
      <alignment horizontal="center" vertical="top" wrapText="1"/>
    </xf>
    <xf numFmtId="0" fontId="0" fillId="4" borderId="12" xfId="0" applyFill="1" applyBorder="1" applyAlignment="1">
      <alignment vertical="top" wrapText="1"/>
    </xf>
    <xf numFmtId="0" fontId="10" fillId="4" borderId="12" xfId="0" applyFont="1" applyFill="1" applyBorder="1" applyAlignment="1">
      <alignment vertical="top" wrapText="1"/>
    </xf>
    <xf numFmtId="165" fontId="12" fillId="5" borderId="7" xfId="0" applyNumberFormat="1" applyFont="1" applyFill="1" applyBorder="1" applyAlignment="1">
      <alignment vertical="top" wrapText="1"/>
    </xf>
    <xf numFmtId="165" fontId="12" fillId="5" borderId="12" xfId="0" applyNumberFormat="1" applyFont="1" applyFill="1" applyBorder="1" applyAlignment="1">
      <alignment vertical="top" wrapText="1"/>
    </xf>
    <xf numFmtId="165" fontId="12" fillId="4" borderId="7" xfId="0" applyNumberFormat="1" applyFont="1" applyFill="1" applyBorder="1" applyAlignment="1">
      <alignment vertical="top" wrapText="1"/>
    </xf>
    <xf numFmtId="165" fontId="12" fillId="4" borderId="12" xfId="0" applyNumberFormat="1" applyFont="1" applyFill="1" applyBorder="1" applyAlignment="1">
      <alignment vertical="top" wrapText="1"/>
    </xf>
    <xf numFmtId="4" fontId="0" fillId="0" borderId="0" xfId="0" applyNumberFormat="1"/>
    <xf numFmtId="168" fontId="0" fillId="2" borderId="0" xfId="0" applyNumberFormat="1" applyFill="1"/>
    <xf numFmtId="168" fontId="0" fillId="7" borderId="0" xfId="0" applyNumberFormat="1" applyFill="1"/>
    <xf numFmtId="0" fontId="17" fillId="0" borderId="0" xfId="0" applyFont="1"/>
    <xf numFmtId="11" fontId="0" fillId="8" borderId="0" xfId="0" applyNumberFormat="1" applyFill="1"/>
    <xf numFmtId="0" fontId="0" fillId="7" borderId="0" xfId="0" applyFill="1"/>
    <xf numFmtId="164" fontId="11" fillId="3" borderId="8" xfId="0" applyNumberFormat="1" applyFont="1" applyFill="1" applyBorder="1" applyAlignment="1">
      <alignment horizontal="center" vertical="top" wrapText="1"/>
    </xf>
    <xf numFmtId="0" fontId="0" fillId="0" borderId="11" xfId="0" applyBorder="1"/>
    <xf numFmtId="0" fontId="10" fillId="4" borderId="8" xfId="0" applyFont="1" applyFill="1" applyBorder="1" applyAlignment="1">
      <alignment horizontal="left" vertical="top" wrapText="1"/>
    </xf>
    <xf numFmtId="164" fontId="11" fillId="3" borderId="11" xfId="0" applyNumberFormat="1" applyFont="1" applyFill="1" applyBorder="1" applyAlignment="1">
      <alignment horizontal="center" vertical="top" wrapText="1"/>
    </xf>
    <xf numFmtId="0" fontId="10" fillId="4" borderId="9" xfId="0" applyFont="1" applyFill="1" applyBorder="1" applyAlignment="1">
      <alignment horizontal="left" wrapText="1"/>
    </xf>
    <xf numFmtId="0" fontId="0" fillId="0" borderId="12" xfId="0" applyBorder="1"/>
    <xf numFmtId="0" fontId="10" fillId="4" borderId="8" xfId="0" applyFont="1" applyFill="1" applyBorder="1" applyAlignment="1">
      <alignment horizontal="left" vertical="center" wrapText="1"/>
    </xf>
    <xf numFmtId="0" fontId="0" fillId="0" borderId="14" xfId="0" applyBorder="1"/>
    <xf numFmtId="0" fontId="10" fillId="3" borderId="9" xfId="0" applyFont="1" applyFill="1" applyBorder="1" applyAlignment="1">
      <alignment horizontal="center" wrapText="1"/>
    </xf>
    <xf numFmtId="0" fontId="10" fillId="3" borderId="8" xfId="0" applyFont="1" applyFill="1" applyBorder="1" applyAlignment="1">
      <alignment horizontal="left" vertical="top" wrapText="1"/>
    </xf>
    <xf numFmtId="0" fontId="0" fillId="0" borderId="10" xfId="0" applyBorder="1"/>
    <xf numFmtId="0" fontId="10" fillId="3" borderId="8" xfId="0" applyFont="1" applyFill="1" applyBorder="1" applyAlignment="1">
      <alignment horizontal="center" vertical="top" wrapText="1"/>
    </xf>
    <xf numFmtId="0" fontId="13" fillId="3" borderId="8" xfId="0" applyFont="1" applyFill="1" applyBorder="1" applyAlignment="1">
      <alignment horizontal="center" vertical="top" wrapText="1"/>
    </xf>
    <xf numFmtId="164" fontId="11" fillId="3" borderId="7" xfId="0" applyNumberFormat="1" applyFont="1" applyFill="1" applyBorder="1" applyAlignment="1">
      <alignment horizontal="left" vertical="top" wrapText="1"/>
    </xf>
    <xf numFmtId="0" fontId="0" fillId="0" borderId="15" xfId="0" applyBorder="1"/>
    <xf numFmtId="0" fontId="10" fillId="3" borderId="8" xfId="0" applyFont="1" applyFill="1" applyBorder="1" applyAlignment="1">
      <alignment horizontal="center" wrapText="1"/>
    </xf>
    <xf numFmtId="0" fontId="10" fillId="5" borderId="8" xfId="0" applyFont="1" applyFill="1" applyBorder="1" applyAlignment="1">
      <alignment horizontal="left" vertical="center" wrapText="1"/>
    </xf>
    <xf numFmtId="164" fontId="11" fillId="3" borderId="9" xfId="0" applyNumberFormat="1" applyFont="1" applyFill="1" applyBorder="1" applyAlignment="1">
      <alignment horizontal="center" vertical="top" wrapText="1"/>
    </xf>
    <xf numFmtId="164" fontId="11" fillId="3" borderId="15" xfId="0" applyNumberFormat="1" applyFont="1" applyFill="1" applyBorder="1" applyAlignment="1">
      <alignment horizontal="center" vertical="top" wrapText="1"/>
    </xf>
    <xf numFmtId="164" fontId="11" fillId="3" borderId="7" xfId="0" applyNumberFormat="1" applyFont="1" applyFill="1" applyBorder="1" applyAlignment="1">
      <alignment horizontal="center" vertical="top" wrapText="1"/>
    </xf>
    <xf numFmtId="0" fontId="10" fillId="5" borderId="9" xfId="0" applyFont="1" applyFill="1" applyBorder="1" applyAlignment="1">
      <alignment horizontal="left" vertical="top" wrapText="1"/>
    </xf>
    <xf numFmtId="11" fontId="0" fillId="0" borderId="0" xfId="0" applyNumberFormat="1" applyFill="1"/>
  </cellXfs>
  <cellStyles count="30">
    <cellStyle name="Body: normal cell" xfId="7" xr:uid="{00000000-0005-0000-0000-000007000000}"/>
    <cellStyle name="Body: normal cell 2" xfId="14" xr:uid="{00000000-0005-0000-0000-00000E000000}"/>
    <cellStyle name="Body: normal cell 3" xfId="20" xr:uid="{00000000-0005-0000-0000-000014000000}"/>
    <cellStyle name="Comma" xfId="1" builtinId="3"/>
    <cellStyle name="Font: Calibri, 9pt regular" xfId="10" xr:uid="{00000000-0005-0000-0000-00000A000000}"/>
    <cellStyle name="Font: Calibri, 9pt regular 2" xfId="16" xr:uid="{00000000-0005-0000-0000-000010000000}"/>
    <cellStyle name="Font: Calibri, 9pt regular 3" xfId="21" xr:uid="{00000000-0005-0000-0000-000015000000}"/>
    <cellStyle name="Footnotes: top row" xfId="9" xr:uid="{00000000-0005-0000-0000-000009000000}"/>
    <cellStyle name="Footnotes: top row 2" xfId="12" xr:uid="{00000000-0005-0000-0000-00000C000000}"/>
    <cellStyle name="Footnotes: top row 3" xfId="22" xr:uid="{00000000-0005-0000-0000-000016000000}"/>
    <cellStyle name="Header: bottom row" xfId="6" xr:uid="{00000000-0005-0000-0000-000006000000}"/>
    <cellStyle name="Header: bottom row 2" xfId="15" xr:uid="{00000000-0005-0000-0000-00000F000000}"/>
    <cellStyle name="Header: bottom row 3" xfId="23" xr:uid="{00000000-0005-0000-0000-000017000000}"/>
    <cellStyle name="Header: top rows" xfId="5" xr:uid="{00000000-0005-0000-0000-000005000000}"/>
    <cellStyle name="Hyperlink" xfId="3" builtinId="8"/>
    <cellStyle name="Normal" xfId="0" builtinId="0"/>
    <cellStyle name="Normal 2" xfId="11" xr:uid="{00000000-0005-0000-0000-00000B000000}"/>
    <cellStyle name="Normal 3" xfId="26" xr:uid="{00000000-0005-0000-0000-00001A000000}"/>
    <cellStyle name="Normal 3 2" xfId="28" xr:uid="{00000000-0005-0000-0000-00001C000000}"/>
    <cellStyle name="Normal 4" xfId="19" xr:uid="{00000000-0005-0000-0000-000013000000}"/>
    <cellStyle name="Normal 5" xfId="18" xr:uid="{00000000-0005-0000-0000-000012000000}"/>
    <cellStyle name="Normal 5 2" xfId="29" xr:uid="{00000000-0005-0000-0000-00001D000000}"/>
    <cellStyle name="Normal 6" xfId="27" xr:uid="{00000000-0005-0000-0000-00001B000000}"/>
    <cellStyle name="Parent row" xfId="8" xr:uid="{00000000-0005-0000-0000-000008000000}"/>
    <cellStyle name="Parent row 2" xfId="13" xr:uid="{00000000-0005-0000-0000-00000D000000}"/>
    <cellStyle name="Parent row 3" xfId="24" xr:uid="{00000000-0005-0000-0000-000018000000}"/>
    <cellStyle name="Percent" xfId="2" builtinId="5"/>
    <cellStyle name="Table title" xfId="4" xr:uid="{00000000-0005-0000-0000-000004000000}"/>
    <cellStyle name="Table title 2" xfId="17" xr:uid="{00000000-0005-0000-0000-000011000000}"/>
    <cellStyle name="Table title 3" xfId="25" xr:uid="{00000000-0005-0000-0000-00001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Rorvis/Dropbox%20(Energy%20InNovation)/My%20Documents/Energy%20Policy%20Solutions/US/Models/eps-us/InputData/bldgs/BCEU/BAU%20Components%20Energy%20Use.xlsx" TargetMode="External"/><Relationship Id="rId1" Type="http://schemas.openxmlformats.org/officeDocument/2006/relationships/externalLinkPath" Target="/Users/Rorvis/Dropbox%20(Energy%20InNovation)/My%20Documents/Energy%20Policy%20Solutions/US/Models/eps-us/InputData/bldgs/BCEU/BAU%20Components%20Energy%20U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bout"/>
      <sheetName val="AEO Table 4"/>
      <sheetName val="AEO Table 5"/>
      <sheetName val="District Heat"/>
      <sheetName val="RECS HC2.1"/>
      <sheetName val="Calculations"/>
      <sheetName val="BCEU-urban-residential-heating"/>
      <sheetName val="BCEU-urban-residential-cooling"/>
      <sheetName val="BCEU-urban-residential-lighting"/>
      <sheetName val="BCEU-urban-residential-appl"/>
      <sheetName val="BCEU-urban-residential-other"/>
      <sheetName val="BCEU-rural-residential-heating"/>
      <sheetName val="BCEU-rural-residential-cooling"/>
      <sheetName val="BCEU-rural-residential-lighting"/>
      <sheetName val="BCEU-rural-residential-appl"/>
      <sheetName val="BCEU-rural-residential-other"/>
      <sheetName val="BCEU-commercial-heating"/>
      <sheetName val="BCEU-commercial-cooling"/>
      <sheetName val="BCEU-commercial-lighting"/>
      <sheetName val="BCEU-commercial-appl"/>
      <sheetName val="BCEU-commercial-other"/>
      <sheetName val="BCEU-all-envelope"/>
    </sheetNames>
    <sheetDataSet>
      <sheetData sheetId="0">
        <row r="50">
          <cell r="C50">
            <v>0.04</v>
          </cell>
        </row>
        <row r="76">
          <cell r="A76">
            <v>0.80118443316412857</v>
          </cell>
        </row>
        <row r="77">
          <cell r="A77">
            <v>0.1988155668358714</v>
          </cell>
        </row>
        <row r="79">
          <cell r="B79">
            <v>1000000000000000</v>
          </cell>
        </row>
      </sheetData>
      <sheetData sheetId="1">
        <row r="34">
          <cell r="C34">
            <v>0.71245800000000004</v>
          </cell>
        </row>
      </sheetData>
      <sheetData sheetId="2">
        <row r="31">
          <cell r="C31">
            <v>0.123686</v>
          </cell>
        </row>
      </sheetData>
      <sheetData sheetId="3" refreshError="1"/>
      <sheetData sheetId="4" refreshError="1"/>
      <sheetData sheetId="5">
        <row r="4">
          <cell r="J4">
            <v>570810258883248.75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8osti/70485.pdf" TargetMode="External"/><Relationship Id="rId2" Type="http://schemas.openxmlformats.org/officeDocument/2006/relationships/hyperlink" Target="https://data.nrel.gov/system/files/93/EFS_70485_figure_data.xlsx" TargetMode="External"/><Relationship Id="rId1" Type="http://schemas.openxmlformats.org/officeDocument/2006/relationships/hyperlink" Target="https://www.eia.gov/analysis/studies/buildings/equipcosts/pdf/ful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5"/>
  <sheetViews>
    <sheetView tabSelected="1" workbookViewId="0">
      <selection activeCell="B15" sqref="B15"/>
    </sheetView>
  </sheetViews>
  <sheetFormatPr defaultRowHeight="14.25" x14ac:dyDescent="0.45"/>
  <cols>
    <col min="1" max="1" width="13.265625" customWidth="1"/>
    <col min="2" max="2" width="69.3984375" customWidth="1"/>
    <col min="4" max="4" width="61.86328125" customWidth="1"/>
  </cols>
  <sheetData>
    <row r="1" spans="1:4" x14ac:dyDescent="0.45">
      <c r="A1" s="1" t="s">
        <v>0</v>
      </c>
    </row>
    <row r="3" spans="1:4" x14ac:dyDescent="0.45">
      <c r="A3" s="1" t="s">
        <v>1</v>
      </c>
      <c r="B3" s="5" t="s">
        <v>2</v>
      </c>
      <c r="D3" s="5" t="s">
        <v>3</v>
      </c>
    </row>
    <row r="4" spans="1:4" x14ac:dyDescent="0.45">
      <c r="B4" t="s">
        <v>4</v>
      </c>
      <c r="D4" t="s">
        <v>5</v>
      </c>
    </row>
    <row r="5" spans="1:4" x14ac:dyDescent="0.45">
      <c r="B5" s="2">
        <v>2018</v>
      </c>
      <c r="D5" s="2">
        <v>2018</v>
      </c>
    </row>
    <row r="6" spans="1:4" x14ac:dyDescent="0.45">
      <c r="B6" t="s">
        <v>6</v>
      </c>
      <c r="D6" t="s">
        <v>7</v>
      </c>
    </row>
    <row r="7" spans="1:4" x14ac:dyDescent="0.45">
      <c r="B7" s="3" t="s">
        <v>8</v>
      </c>
      <c r="D7" s="3" t="s">
        <v>9</v>
      </c>
    </row>
    <row r="8" spans="1:4" x14ac:dyDescent="0.45">
      <c r="B8" t="s">
        <v>10</v>
      </c>
      <c r="D8" t="s">
        <v>11</v>
      </c>
    </row>
    <row r="10" spans="1:4" x14ac:dyDescent="0.45">
      <c r="B10" s="5" t="s">
        <v>12</v>
      </c>
      <c r="D10" s="5" t="s">
        <v>13</v>
      </c>
    </row>
    <row r="11" spans="1:4" x14ac:dyDescent="0.45">
      <c r="B11" t="s">
        <v>14</v>
      </c>
      <c r="D11" t="s">
        <v>5</v>
      </c>
    </row>
    <row r="12" spans="1:4" x14ac:dyDescent="0.45">
      <c r="B12" s="2">
        <v>2026</v>
      </c>
      <c r="D12" s="2">
        <v>2018</v>
      </c>
    </row>
    <row r="13" spans="1:4" x14ac:dyDescent="0.45">
      <c r="B13" t="s">
        <v>700</v>
      </c>
      <c r="D13" t="s">
        <v>15</v>
      </c>
    </row>
    <row r="14" spans="1:4" x14ac:dyDescent="0.45">
      <c r="B14" t="s">
        <v>701</v>
      </c>
      <c r="D14" s="3" t="s">
        <v>16</v>
      </c>
    </row>
    <row r="15" spans="1:4" x14ac:dyDescent="0.45">
      <c r="B15" t="s">
        <v>18</v>
      </c>
      <c r="D15" t="s">
        <v>17</v>
      </c>
    </row>
    <row r="17" spans="1:1" x14ac:dyDescent="0.45">
      <c r="A17" s="1" t="s">
        <v>19</v>
      </c>
    </row>
    <row r="18" spans="1:1" x14ac:dyDescent="0.45">
      <c r="A18" t="s">
        <v>20</v>
      </c>
    </row>
    <row r="19" spans="1:1" x14ac:dyDescent="0.45">
      <c r="A19" t="s">
        <v>21</v>
      </c>
    </row>
    <row r="21" spans="1:1" x14ac:dyDescent="0.45">
      <c r="A21" s="1" t="s">
        <v>22</v>
      </c>
    </row>
    <row r="22" spans="1:1" x14ac:dyDescent="0.45">
      <c r="A22" t="s">
        <v>23</v>
      </c>
    </row>
    <row r="23" spans="1:1" x14ac:dyDescent="0.45">
      <c r="A23" t="s">
        <v>24</v>
      </c>
    </row>
    <row r="24" spans="1:1" x14ac:dyDescent="0.45">
      <c r="A24" t="s">
        <v>25</v>
      </c>
    </row>
    <row r="25" spans="1:1" x14ac:dyDescent="0.45">
      <c r="A25" t="s">
        <v>26</v>
      </c>
    </row>
    <row r="27" spans="1:1" x14ac:dyDescent="0.45">
      <c r="A27" t="s">
        <v>27</v>
      </c>
    </row>
    <row r="28" spans="1:1" x14ac:dyDescent="0.45">
      <c r="A28" t="s">
        <v>28</v>
      </c>
    </row>
    <row r="29" spans="1:1" x14ac:dyDescent="0.45">
      <c r="A29" t="s">
        <v>29</v>
      </c>
    </row>
    <row r="30" spans="1:1" x14ac:dyDescent="0.45">
      <c r="A30" t="s">
        <v>30</v>
      </c>
    </row>
    <row r="32" spans="1:1" x14ac:dyDescent="0.45">
      <c r="A32" t="s">
        <v>31</v>
      </c>
    </row>
    <row r="33" spans="1:1" x14ac:dyDescent="0.45">
      <c r="A33" t="s">
        <v>32</v>
      </c>
    </row>
    <row r="34" spans="1:1" x14ac:dyDescent="0.45">
      <c r="A34" t="s">
        <v>33</v>
      </c>
    </row>
    <row r="35" spans="1:1" x14ac:dyDescent="0.45">
      <c r="A35" t="s">
        <v>34</v>
      </c>
    </row>
    <row r="36" spans="1:1" x14ac:dyDescent="0.45">
      <c r="A36" t="s">
        <v>35</v>
      </c>
    </row>
    <row r="38" spans="1:1" x14ac:dyDescent="0.45">
      <c r="A38" t="s">
        <v>36</v>
      </c>
    </row>
    <row r="39" spans="1:1" x14ac:dyDescent="0.45">
      <c r="A39" t="s">
        <v>37</v>
      </c>
    </row>
    <row r="40" spans="1:1" x14ac:dyDescent="0.45">
      <c r="A40" t="s">
        <v>38</v>
      </c>
    </row>
    <row r="42" spans="1:1" x14ac:dyDescent="0.45">
      <c r="A42" t="s">
        <v>39</v>
      </c>
    </row>
    <row r="43" spans="1:1" x14ac:dyDescent="0.45">
      <c r="A43" t="s">
        <v>40</v>
      </c>
    </row>
    <row r="44" spans="1:1" x14ac:dyDescent="0.45">
      <c r="A44" t="s">
        <v>41</v>
      </c>
    </row>
    <row r="45" spans="1:1" x14ac:dyDescent="0.45">
      <c r="A45" t="s">
        <v>42</v>
      </c>
    </row>
    <row r="47" spans="1:1" x14ac:dyDescent="0.45">
      <c r="A47" t="s">
        <v>43</v>
      </c>
    </row>
    <row r="49" spans="1:1" x14ac:dyDescent="0.45">
      <c r="A49" t="s">
        <v>44</v>
      </c>
    </row>
    <row r="50" spans="1:1" x14ac:dyDescent="0.45">
      <c r="A50" t="s">
        <v>45</v>
      </c>
    </row>
    <row r="52" spans="1:1" x14ac:dyDescent="0.45">
      <c r="A52" s="1" t="s">
        <v>46</v>
      </c>
    </row>
    <row r="53" spans="1:1" x14ac:dyDescent="0.45">
      <c r="A53">
        <v>0.93665959530026111</v>
      </c>
    </row>
    <row r="54" spans="1:1" x14ac:dyDescent="0.45">
      <c r="A54" s="1" t="s">
        <v>47</v>
      </c>
    </row>
    <row r="55" spans="1:1" x14ac:dyDescent="0.45">
      <c r="A55">
        <v>0.95661376543184151</v>
      </c>
    </row>
  </sheetData>
  <hyperlinks>
    <hyperlink ref="B7" r:id="rId1" xr:uid="{00000000-0004-0000-0000-000000000000}"/>
    <hyperlink ref="D7" r:id="rId2" xr:uid="{00000000-0004-0000-0000-000001000000}"/>
    <hyperlink ref="D14" r:id="rId3" xr:uid="{00000000-0004-0000-0000-000002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49"/>
  <sheetViews>
    <sheetView workbookViewId="0"/>
  </sheetViews>
  <sheetFormatPr defaultRowHeight="14.25" x14ac:dyDescent="0.45"/>
  <cols>
    <col min="1" max="1" width="28" bestFit="1" customWidth="1"/>
    <col min="16" max="16" width="12" bestFit="1" customWidth="1"/>
  </cols>
  <sheetData>
    <row r="1" spans="1:15" ht="18.5" customHeight="1" x14ac:dyDescent="0.55000000000000004">
      <c r="A1" s="24" t="s">
        <v>48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x14ac:dyDescent="0.45">
      <c r="A2" s="139" t="s">
        <v>49</v>
      </c>
      <c r="B2" s="7">
        <v>2009</v>
      </c>
      <c r="C2" s="7">
        <v>2015</v>
      </c>
      <c r="D2" s="124">
        <v>2017</v>
      </c>
      <c r="E2" s="134"/>
      <c r="F2" s="134"/>
      <c r="G2" s="125"/>
      <c r="H2" s="124">
        <v>2020</v>
      </c>
      <c r="I2" s="125"/>
      <c r="J2" s="124">
        <v>2030</v>
      </c>
      <c r="K2" s="125"/>
      <c r="L2" s="124">
        <v>2040</v>
      </c>
      <c r="M2" s="125"/>
      <c r="N2" s="124">
        <v>2050</v>
      </c>
      <c r="O2" s="125"/>
    </row>
    <row r="3" spans="1:15" ht="44.25" customHeight="1" x14ac:dyDescent="0.45">
      <c r="A3" s="131"/>
      <c r="B3" s="8" t="s">
        <v>50</v>
      </c>
      <c r="C3" s="8" t="s">
        <v>50</v>
      </c>
      <c r="D3" s="8" t="s">
        <v>51</v>
      </c>
      <c r="E3" s="25" t="s">
        <v>52</v>
      </c>
      <c r="F3" s="26" t="s">
        <v>53</v>
      </c>
      <c r="G3" s="25" t="s">
        <v>54</v>
      </c>
      <c r="H3" s="25" t="s">
        <v>52</v>
      </c>
      <c r="I3" s="25" t="s">
        <v>54</v>
      </c>
      <c r="J3" s="25" t="s">
        <v>52</v>
      </c>
      <c r="K3" s="25" t="s">
        <v>54</v>
      </c>
      <c r="L3" s="25" t="s">
        <v>52</v>
      </c>
      <c r="M3" s="25" t="s">
        <v>54</v>
      </c>
      <c r="N3" s="25" t="s">
        <v>52</v>
      </c>
      <c r="O3" s="25" t="s">
        <v>54</v>
      </c>
    </row>
    <row r="4" spans="1:15" x14ac:dyDescent="0.45">
      <c r="A4" s="9" t="s">
        <v>55</v>
      </c>
      <c r="B4" s="10">
        <v>80</v>
      </c>
      <c r="C4" s="10">
        <v>80</v>
      </c>
      <c r="D4" s="10">
        <v>80</v>
      </c>
      <c r="E4" s="10">
        <v>80</v>
      </c>
      <c r="F4" s="10">
        <v>80</v>
      </c>
      <c r="G4" s="10">
        <v>80</v>
      </c>
      <c r="H4" s="10">
        <v>80</v>
      </c>
      <c r="I4" s="10">
        <v>80</v>
      </c>
      <c r="J4" s="10">
        <v>80</v>
      </c>
      <c r="K4" s="10">
        <v>80</v>
      </c>
      <c r="L4" s="10">
        <v>80</v>
      </c>
      <c r="M4" s="10">
        <v>80</v>
      </c>
      <c r="N4" s="10">
        <v>80</v>
      </c>
      <c r="O4" s="10">
        <v>80</v>
      </c>
    </row>
    <row r="5" spans="1:15" x14ac:dyDescent="0.45">
      <c r="A5" s="8" t="s">
        <v>56</v>
      </c>
      <c r="B5" s="13">
        <v>80</v>
      </c>
      <c r="C5" s="13">
        <v>80</v>
      </c>
      <c r="D5" s="13">
        <v>80</v>
      </c>
      <c r="E5" s="13">
        <v>80</v>
      </c>
      <c r="F5" s="13">
        <v>90</v>
      </c>
      <c r="G5" s="13">
        <v>99</v>
      </c>
      <c r="H5" s="13">
        <v>80</v>
      </c>
      <c r="I5" s="13">
        <v>99</v>
      </c>
      <c r="J5" s="13">
        <v>80</v>
      </c>
      <c r="K5" s="13">
        <v>99</v>
      </c>
      <c r="L5" s="13">
        <v>80</v>
      </c>
      <c r="M5" s="13">
        <v>99</v>
      </c>
      <c r="N5" s="13">
        <v>80</v>
      </c>
      <c r="O5" s="13">
        <v>99</v>
      </c>
    </row>
    <row r="6" spans="1:15" ht="29.55" customHeight="1" x14ac:dyDescent="0.45">
      <c r="A6" s="9" t="s">
        <v>57</v>
      </c>
      <c r="B6" s="10">
        <v>548</v>
      </c>
      <c r="C6" s="10">
        <v>522</v>
      </c>
      <c r="D6" s="10">
        <v>470</v>
      </c>
      <c r="E6" s="10">
        <v>470</v>
      </c>
      <c r="F6" s="10">
        <v>408</v>
      </c>
      <c r="G6" s="10">
        <v>418</v>
      </c>
      <c r="H6" s="10">
        <v>329</v>
      </c>
      <c r="I6" s="10">
        <v>334</v>
      </c>
      <c r="J6" s="10">
        <v>329</v>
      </c>
      <c r="K6" s="10">
        <v>334</v>
      </c>
      <c r="L6" s="10">
        <v>329</v>
      </c>
      <c r="M6" s="10">
        <v>334</v>
      </c>
      <c r="N6" s="10">
        <v>329</v>
      </c>
      <c r="O6" s="10">
        <v>334</v>
      </c>
    </row>
    <row r="7" spans="1:15" x14ac:dyDescent="0.45">
      <c r="A7" s="130" t="s">
        <v>58</v>
      </c>
      <c r="B7" s="13">
        <v>16</v>
      </c>
      <c r="C7" s="13">
        <v>16</v>
      </c>
      <c r="D7" s="13">
        <v>16</v>
      </c>
      <c r="E7" s="13">
        <v>16</v>
      </c>
      <c r="F7" s="13">
        <v>16</v>
      </c>
      <c r="G7" s="13">
        <v>16</v>
      </c>
      <c r="H7" s="13">
        <v>16</v>
      </c>
      <c r="I7" s="13">
        <v>16</v>
      </c>
      <c r="J7" s="13">
        <v>16</v>
      </c>
      <c r="K7" s="13">
        <v>16</v>
      </c>
      <c r="L7" s="13">
        <v>16</v>
      </c>
      <c r="M7" s="13">
        <v>16</v>
      </c>
      <c r="N7" s="13">
        <v>16</v>
      </c>
      <c r="O7" s="13">
        <v>16</v>
      </c>
    </row>
    <row r="8" spans="1:15" x14ac:dyDescent="0.45">
      <c r="A8" s="131"/>
      <c r="B8" s="13">
        <v>27</v>
      </c>
      <c r="C8" s="13">
        <v>27</v>
      </c>
      <c r="D8" s="13">
        <v>27</v>
      </c>
      <c r="E8" s="13">
        <v>27</v>
      </c>
      <c r="F8" s="13">
        <v>27</v>
      </c>
      <c r="G8" s="13">
        <v>27</v>
      </c>
      <c r="H8" s="13">
        <v>27</v>
      </c>
      <c r="I8" s="13">
        <v>27</v>
      </c>
      <c r="J8" s="13">
        <v>27</v>
      </c>
      <c r="K8" s="13">
        <v>27</v>
      </c>
      <c r="L8" s="13">
        <v>27</v>
      </c>
      <c r="M8" s="13">
        <v>27</v>
      </c>
      <c r="N8" s="13">
        <v>27</v>
      </c>
      <c r="O8" s="13">
        <v>27</v>
      </c>
    </row>
    <row r="9" spans="1:15" x14ac:dyDescent="0.45">
      <c r="A9" s="9" t="s">
        <v>59</v>
      </c>
      <c r="B9" s="10">
        <v>840</v>
      </c>
      <c r="C9" s="10">
        <v>860</v>
      </c>
      <c r="D9" s="10">
        <v>890</v>
      </c>
      <c r="E9" s="10">
        <v>890</v>
      </c>
      <c r="F9" s="16">
        <v>1150</v>
      </c>
      <c r="G9" s="16">
        <v>1620</v>
      </c>
      <c r="H9" s="16">
        <v>1080</v>
      </c>
      <c r="I9" s="16">
        <v>1620</v>
      </c>
      <c r="J9" s="16">
        <v>1080</v>
      </c>
      <c r="K9" s="16">
        <v>1620</v>
      </c>
      <c r="L9" s="16">
        <v>1080</v>
      </c>
      <c r="M9" s="16">
        <v>1620</v>
      </c>
      <c r="N9" s="16">
        <v>1080</v>
      </c>
      <c r="O9" s="16">
        <v>1620</v>
      </c>
    </row>
    <row r="10" spans="1:15" x14ac:dyDescent="0.45">
      <c r="A10" s="8" t="s">
        <v>60</v>
      </c>
      <c r="B10" s="19">
        <v>2000</v>
      </c>
      <c r="C10" s="19">
        <v>2020</v>
      </c>
      <c r="D10" s="19">
        <v>2050</v>
      </c>
      <c r="E10" s="19">
        <v>2050</v>
      </c>
      <c r="F10" s="19">
        <v>2560</v>
      </c>
      <c r="G10" s="19">
        <v>3040</v>
      </c>
      <c r="H10" s="19">
        <v>2240</v>
      </c>
      <c r="I10" s="19">
        <v>3040</v>
      </c>
      <c r="J10" s="19">
        <v>2240</v>
      </c>
      <c r="K10" s="19">
        <v>3040</v>
      </c>
      <c r="L10" s="19">
        <v>2240</v>
      </c>
      <c r="M10" s="19">
        <v>3040</v>
      </c>
      <c r="N10" s="19">
        <v>2240</v>
      </c>
      <c r="O10" s="19">
        <v>3040</v>
      </c>
    </row>
    <row r="11" spans="1:15" ht="29.55" customHeight="1" x14ac:dyDescent="0.45">
      <c r="A11" s="9" t="s">
        <v>61</v>
      </c>
      <c r="B11" s="10">
        <v>40</v>
      </c>
      <c r="C11" s="10">
        <v>40</v>
      </c>
      <c r="D11" s="10">
        <v>40</v>
      </c>
      <c r="E11" s="10">
        <v>40</v>
      </c>
      <c r="F11" s="10">
        <v>40</v>
      </c>
      <c r="G11" s="10">
        <v>40</v>
      </c>
      <c r="H11" s="10">
        <v>40</v>
      </c>
      <c r="I11" s="10">
        <v>40</v>
      </c>
      <c r="J11" s="10">
        <v>40</v>
      </c>
      <c r="K11" s="10">
        <v>40</v>
      </c>
      <c r="L11" s="10">
        <v>40</v>
      </c>
      <c r="M11" s="10">
        <v>40</v>
      </c>
      <c r="N11" s="10">
        <v>40</v>
      </c>
      <c r="O11" s="10">
        <v>40</v>
      </c>
    </row>
    <row r="13" spans="1:15" ht="18.5" customHeight="1" x14ac:dyDescent="0.55000000000000004">
      <c r="A13" s="24" t="s">
        <v>62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</row>
    <row r="14" spans="1:15" x14ac:dyDescent="0.45">
      <c r="A14" s="132" t="s">
        <v>49</v>
      </c>
      <c r="B14" s="7">
        <v>2009</v>
      </c>
      <c r="C14" s="7">
        <v>2015</v>
      </c>
      <c r="D14" s="124">
        <v>2017</v>
      </c>
      <c r="E14" s="134"/>
      <c r="F14" s="134"/>
      <c r="G14" s="125"/>
      <c r="H14" s="141">
        <v>2020</v>
      </c>
      <c r="I14" s="134"/>
      <c r="J14" s="127">
        <v>2030</v>
      </c>
      <c r="K14" s="125"/>
      <c r="L14" s="124">
        <v>2040</v>
      </c>
      <c r="M14" s="125"/>
      <c r="N14" s="124">
        <v>2050</v>
      </c>
      <c r="O14" s="125"/>
    </row>
    <row r="15" spans="1:15" ht="29.55" customHeight="1" x14ac:dyDescent="0.45">
      <c r="A15" s="129"/>
      <c r="B15" s="8" t="s">
        <v>50</v>
      </c>
      <c r="C15" s="8" t="s">
        <v>50</v>
      </c>
      <c r="D15" s="8" t="s">
        <v>51</v>
      </c>
      <c r="E15" s="8" t="s">
        <v>52</v>
      </c>
      <c r="F15" s="8" t="s">
        <v>63</v>
      </c>
      <c r="G15" s="8" t="s">
        <v>54</v>
      </c>
      <c r="H15" s="8" t="s">
        <v>52</v>
      </c>
      <c r="I15" s="126" t="s">
        <v>64</v>
      </c>
      <c r="J15" s="125"/>
      <c r="K15" s="8" t="s">
        <v>54</v>
      </c>
      <c r="L15" s="8" t="s">
        <v>52</v>
      </c>
      <c r="M15" s="8" t="s">
        <v>54</v>
      </c>
      <c r="N15" s="8" t="s">
        <v>52</v>
      </c>
      <c r="O15" s="8" t="s">
        <v>54</v>
      </c>
    </row>
    <row r="16" spans="1:15" x14ac:dyDescent="0.45">
      <c r="A16" s="9" t="s">
        <v>55</v>
      </c>
      <c r="B16" s="10">
        <v>105</v>
      </c>
      <c r="C16" s="10">
        <v>105</v>
      </c>
      <c r="D16" s="10">
        <v>105</v>
      </c>
      <c r="E16" s="10">
        <v>105</v>
      </c>
      <c r="F16" s="10">
        <v>105</v>
      </c>
      <c r="G16" s="10">
        <v>105</v>
      </c>
      <c r="H16" s="10">
        <v>105</v>
      </c>
      <c r="I16" s="11">
        <v>105</v>
      </c>
      <c r="J16" s="12">
        <v>105</v>
      </c>
      <c r="K16" s="10">
        <v>105</v>
      </c>
      <c r="L16" s="10">
        <v>105</v>
      </c>
      <c r="M16" s="10">
        <v>105</v>
      </c>
      <c r="N16" s="10">
        <v>105</v>
      </c>
      <c r="O16" s="10">
        <v>105</v>
      </c>
    </row>
    <row r="17" spans="1:15" x14ac:dyDescent="0.45">
      <c r="A17" s="8" t="s">
        <v>56</v>
      </c>
      <c r="B17" s="13">
        <v>80</v>
      </c>
      <c r="C17" s="13">
        <v>83</v>
      </c>
      <c r="D17" s="13">
        <v>83</v>
      </c>
      <c r="E17" s="13">
        <v>83</v>
      </c>
      <c r="F17" s="13">
        <v>85</v>
      </c>
      <c r="G17" s="13">
        <v>97</v>
      </c>
      <c r="H17" s="13">
        <v>83</v>
      </c>
      <c r="I17" s="14">
        <v>97</v>
      </c>
      <c r="J17" s="15">
        <v>84</v>
      </c>
      <c r="K17" s="13">
        <v>97</v>
      </c>
      <c r="L17" s="13">
        <v>84</v>
      </c>
      <c r="M17" s="13">
        <v>97</v>
      </c>
      <c r="N17" s="13">
        <v>84</v>
      </c>
      <c r="O17" s="13">
        <v>97</v>
      </c>
    </row>
    <row r="18" spans="1:15" ht="29.55" customHeight="1" x14ac:dyDescent="0.45">
      <c r="A18" s="9" t="s">
        <v>57</v>
      </c>
      <c r="B18" s="10">
        <v>490</v>
      </c>
      <c r="C18" s="10">
        <v>477</v>
      </c>
      <c r="D18" s="10">
        <v>477</v>
      </c>
      <c r="E18" s="10">
        <v>477</v>
      </c>
      <c r="F18" s="10">
        <v>466</v>
      </c>
      <c r="G18" s="10">
        <v>410</v>
      </c>
      <c r="H18" s="10">
        <v>477</v>
      </c>
      <c r="I18" s="11">
        <v>410</v>
      </c>
      <c r="J18" s="12">
        <v>472</v>
      </c>
      <c r="K18" s="10">
        <v>410</v>
      </c>
      <c r="L18" s="10">
        <v>472</v>
      </c>
      <c r="M18" s="10">
        <v>410</v>
      </c>
      <c r="N18" s="10">
        <v>472</v>
      </c>
      <c r="O18" s="10">
        <v>410</v>
      </c>
    </row>
    <row r="19" spans="1:15" x14ac:dyDescent="0.45">
      <c r="A19" s="130" t="s">
        <v>58</v>
      </c>
      <c r="B19" s="13">
        <v>20</v>
      </c>
      <c r="C19" s="13">
        <v>20</v>
      </c>
      <c r="D19" s="13">
        <v>20</v>
      </c>
      <c r="E19" s="13">
        <v>20</v>
      </c>
      <c r="F19" s="13">
        <v>20</v>
      </c>
      <c r="G19" s="13">
        <v>20</v>
      </c>
      <c r="H19" s="13">
        <v>20</v>
      </c>
      <c r="I19" s="14">
        <v>20</v>
      </c>
      <c r="J19" s="15">
        <v>20</v>
      </c>
      <c r="K19" s="13">
        <v>20</v>
      </c>
      <c r="L19" s="13">
        <v>20</v>
      </c>
      <c r="M19" s="13">
        <v>20</v>
      </c>
      <c r="N19" s="13">
        <v>20</v>
      </c>
      <c r="O19" s="13">
        <v>20</v>
      </c>
    </row>
    <row r="20" spans="1:15" x14ac:dyDescent="0.45">
      <c r="A20" s="131"/>
      <c r="B20" s="13">
        <v>33</v>
      </c>
      <c r="C20" s="13">
        <v>33</v>
      </c>
      <c r="D20" s="13">
        <v>33</v>
      </c>
      <c r="E20" s="13">
        <v>33</v>
      </c>
      <c r="F20" s="13">
        <v>33</v>
      </c>
      <c r="G20" s="13">
        <v>33</v>
      </c>
      <c r="H20" s="13">
        <v>33</v>
      </c>
      <c r="I20" s="14">
        <v>33</v>
      </c>
      <c r="J20" s="15">
        <v>33</v>
      </c>
      <c r="K20" s="13">
        <v>33</v>
      </c>
      <c r="L20" s="13">
        <v>33</v>
      </c>
      <c r="M20" s="13">
        <v>33</v>
      </c>
      <c r="N20" s="13">
        <v>33</v>
      </c>
      <c r="O20" s="13">
        <v>33</v>
      </c>
    </row>
    <row r="21" spans="1:15" x14ac:dyDescent="0.45">
      <c r="A21" s="140" t="s">
        <v>59</v>
      </c>
      <c r="B21" s="16">
        <v>2150</v>
      </c>
      <c r="C21" s="16">
        <v>2200</v>
      </c>
      <c r="D21" s="16">
        <v>2200</v>
      </c>
      <c r="E21" s="16">
        <v>2200</v>
      </c>
      <c r="F21" s="16">
        <v>2250</v>
      </c>
      <c r="G21" s="16">
        <v>2700</v>
      </c>
      <c r="H21" s="16">
        <v>2200</v>
      </c>
      <c r="I21" s="17">
        <v>2700</v>
      </c>
      <c r="J21" s="18">
        <v>2250</v>
      </c>
      <c r="K21" s="16">
        <v>2700</v>
      </c>
      <c r="L21" s="16">
        <v>2250</v>
      </c>
      <c r="M21" s="16">
        <v>2700</v>
      </c>
      <c r="N21" s="16">
        <v>2250</v>
      </c>
      <c r="O21" s="16">
        <v>2700</v>
      </c>
    </row>
    <row r="22" spans="1:15" x14ac:dyDescent="0.45">
      <c r="A22" s="131"/>
      <c r="B22" s="16">
        <v>2350</v>
      </c>
      <c r="C22" s="16">
        <v>2900</v>
      </c>
      <c r="D22" s="16">
        <v>2900</v>
      </c>
      <c r="E22" s="16">
        <v>2900</v>
      </c>
      <c r="F22" s="16">
        <v>2950</v>
      </c>
      <c r="G22" s="16">
        <v>3450</v>
      </c>
      <c r="H22" s="16">
        <v>2900</v>
      </c>
      <c r="I22" s="17">
        <v>3450</v>
      </c>
      <c r="J22" s="18">
        <v>2950</v>
      </c>
      <c r="K22" s="16">
        <v>3450</v>
      </c>
      <c r="L22" s="16">
        <v>2950</v>
      </c>
      <c r="M22" s="16">
        <v>3450</v>
      </c>
      <c r="N22" s="16">
        <v>2950</v>
      </c>
      <c r="O22" s="16">
        <v>3450</v>
      </c>
    </row>
    <row r="23" spans="1:15" x14ac:dyDescent="0.45">
      <c r="A23" s="130" t="s">
        <v>60</v>
      </c>
      <c r="B23" s="19">
        <v>2700</v>
      </c>
      <c r="C23" s="19">
        <v>2750</v>
      </c>
      <c r="D23" s="19">
        <v>2750</v>
      </c>
      <c r="E23" s="19">
        <v>2750</v>
      </c>
      <c r="F23" s="19">
        <v>2950</v>
      </c>
      <c r="G23" s="19">
        <v>4350</v>
      </c>
      <c r="H23" s="19">
        <v>2750</v>
      </c>
      <c r="I23" s="20">
        <v>4350</v>
      </c>
      <c r="J23" s="21">
        <v>2750</v>
      </c>
      <c r="K23" s="19">
        <v>4350</v>
      </c>
      <c r="L23" s="19">
        <v>2750</v>
      </c>
      <c r="M23" s="19">
        <v>4350</v>
      </c>
      <c r="N23" s="19">
        <v>2750</v>
      </c>
      <c r="O23" s="19">
        <v>4350</v>
      </c>
    </row>
    <row r="24" spans="1:15" x14ac:dyDescent="0.45">
      <c r="A24" s="131"/>
      <c r="B24" s="19">
        <v>3400</v>
      </c>
      <c r="C24" s="19">
        <v>5500</v>
      </c>
      <c r="D24" s="19">
        <v>5500</v>
      </c>
      <c r="E24" s="19">
        <v>5500</v>
      </c>
      <c r="F24" s="19">
        <v>5750</v>
      </c>
      <c r="G24" s="19">
        <v>8550</v>
      </c>
      <c r="H24" s="19">
        <v>5500</v>
      </c>
      <c r="I24" s="20">
        <v>8550</v>
      </c>
      <c r="J24" s="21">
        <v>5700</v>
      </c>
      <c r="K24" s="19">
        <v>8550</v>
      </c>
      <c r="L24" s="19">
        <v>5700</v>
      </c>
      <c r="M24" s="19">
        <v>8550</v>
      </c>
      <c r="N24" s="19">
        <v>5700</v>
      </c>
      <c r="O24" s="19">
        <v>8550</v>
      </c>
    </row>
    <row r="25" spans="1:15" ht="29.55" customHeight="1" x14ac:dyDescent="0.45">
      <c r="A25" s="9" t="s">
        <v>61</v>
      </c>
      <c r="B25" s="10">
        <v>70</v>
      </c>
      <c r="C25" s="10">
        <v>70</v>
      </c>
      <c r="D25" s="10">
        <v>70</v>
      </c>
      <c r="E25" s="10">
        <v>70</v>
      </c>
      <c r="F25" s="10">
        <v>70</v>
      </c>
      <c r="G25" s="10">
        <v>200</v>
      </c>
      <c r="H25" s="10">
        <v>70</v>
      </c>
      <c r="I25" s="11">
        <v>200</v>
      </c>
      <c r="J25" s="12">
        <v>70</v>
      </c>
      <c r="K25" s="10">
        <v>200</v>
      </c>
      <c r="L25" s="10">
        <v>70</v>
      </c>
      <c r="M25" s="10">
        <v>200</v>
      </c>
      <c r="N25" s="10">
        <v>70</v>
      </c>
      <c r="O25" s="10">
        <v>200</v>
      </c>
    </row>
    <row r="27" spans="1:15" ht="18.5" customHeight="1" x14ac:dyDescent="0.55000000000000004">
      <c r="A27" s="24" t="s">
        <v>65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</row>
    <row r="28" spans="1:15" x14ac:dyDescent="0.45">
      <c r="A28" s="39" t="s">
        <v>49</v>
      </c>
      <c r="B28" s="40">
        <v>2009</v>
      </c>
      <c r="C28" s="41">
        <v>2015</v>
      </c>
      <c r="D28" s="42">
        <v>2017</v>
      </c>
      <c r="E28" s="43"/>
      <c r="F28" s="42">
        <v>2020</v>
      </c>
      <c r="G28" s="43"/>
      <c r="H28" s="42">
        <v>2030</v>
      </c>
      <c r="I28" s="43"/>
      <c r="J28" s="42">
        <v>2040</v>
      </c>
      <c r="K28" s="43"/>
      <c r="L28" s="42">
        <v>2050</v>
      </c>
      <c r="M28" s="43"/>
    </row>
    <row r="29" spans="1:15" ht="29.55" customHeight="1" x14ac:dyDescent="0.45">
      <c r="A29" s="44"/>
      <c r="B29" s="45" t="s">
        <v>66</v>
      </c>
      <c r="C29" s="45" t="s">
        <v>66</v>
      </c>
      <c r="D29" s="46" t="s">
        <v>52</v>
      </c>
      <c r="E29" s="47" t="s">
        <v>54</v>
      </c>
      <c r="F29" s="46" t="s">
        <v>52</v>
      </c>
      <c r="G29" s="47" t="s">
        <v>54</v>
      </c>
      <c r="H29" s="46" t="s">
        <v>52</v>
      </c>
      <c r="I29" s="47" t="s">
        <v>54</v>
      </c>
      <c r="J29" s="46" t="s">
        <v>52</v>
      </c>
      <c r="K29" s="47" t="s">
        <v>54</v>
      </c>
      <c r="L29" s="46" t="s">
        <v>52</v>
      </c>
      <c r="M29" s="47" t="s">
        <v>54</v>
      </c>
    </row>
    <row r="30" spans="1:15" x14ac:dyDescent="0.45">
      <c r="A30" s="9" t="s">
        <v>67</v>
      </c>
      <c r="B30" s="11">
        <v>50</v>
      </c>
      <c r="C30" s="12">
        <v>50</v>
      </c>
      <c r="D30" s="11">
        <v>50</v>
      </c>
      <c r="E30" s="12">
        <v>50</v>
      </c>
      <c r="F30" s="11">
        <v>50</v>
      </c>
      <c r="G30" s="12">
        <v>50</v>
      </c>
      <c r="H30" s="11">
        <v>50</v>
      </c>
      <c r="I30" s="12">
        <v>50</v>
      </c>
      <c r="J30" s="11">
        <v>50</v>
      </c>
      <c r="K30" s="12">
        <v>50</v>
      </c>
      <c r="L30" s="11">
        <v>50</v>
      </c>
      <c r="M30" s="12">
        <v>50</v>
      </c>
    </row>
    <row r="31" spans="1:15" x14ac:dyDescent="0.45">
      <c r="A31" s="8" t="s">
        <v>68</v>
      </c>
      <c r="B31" s="14">
        <v>65</v>
      </c>
      <c r="C31" s="15">
        <v>70</v>
      </c>
      <c r="D31" s="14">
        <v>76</v>
      </c>
      <c r="E31" s="15">
        <v>87</v>
      </c>
      <c r="F31" s="14">
        <v>76</v>
      </c>
      <c r="G31" s="15">
        <v>87</v>
      </c>
      <c r="H31" s="14">
        <v>77</v>
      </c>
      <c r="I31" s="15">
        <v>87</v>
      </c>
      <c r="J31" s="14">
        <v>78</v>
      </c>
      <c r="K31" s="15">
        <v>88</v>
      </c>
      <c r="L31" s="14">
        <v>79</v>
      </c>
      <c r="M31" s="15">
        <v>89</v>
      </c>
    </row>
    <row r="32" spans="1:15" ht="29.55" customHeight="1" x14ac:dyDescent="0.45">
      <c r="A32" s="9" t="s">
        <v>69</v>
      </c>
      <c r="B32" s="11">
        <v>600</v>
      </c>
      <c r="C32" s="12">
        <v>600</v>
      </c>
      <c r="D32" s="11">
        <v>600</v>
      </c>
      <c r="E32" s="12">
        <v>600</v>
      </c>
      <c r="F32" s="11">
        <v>600</v>
      </c>
      <c r="G32" s="12">
        <v>600</v>
      </c>
      <c r="H32" s="11">
        <v>600</v>
      </c>
      <c r="I32" s="12">
        <v>600</v>
      </c>
      <c r="J32" s="11">
        <v>600</v>
      </c>
      <c r="K32" s="12">
        <v>600</v>
      </c>
      <c r="L32" s="11">
        <v>600</v>
      </c>
      <c r="M32" s="12">
        <v>600</v>
      </c>
    </row>
    <row r="33" spans="1:15" x14ac:dyDescent="0.45">
      <c r="A33" s="48" t="s">
        <v>70</v>
      </c>
      <c r="B33" s="49">
        <v>12</v>
      </c>
      <c r="C33" s="50">
        <v>12</v>
      </c>
      <c r="D33" s="49">
        <v>12</v>
      </c>
      <c r="E33" s="50">
        <v>12</v>
      </c>
      <c r="F33" s="49">
        <v>12</v>
      </c>
      <c r="G33" s="50">
        <v>12</v>
      </c>
      <c r="H33" s="49">
        <v>12</v>
      </c>
      <c r="I33" s="50">
        <v>12</v>
      </c>
      <c r="J33" s="49">
        <v>12</v>
      </c>
      <c r="K33" s="50">
        <v>12</v>
      </c>
      <c r="L33" s="49">
        <v>12</v>
      </c>
      <c r="M33" s="50">
        <v>12</v>
      </c>
    </row>
    <row r="34" spans="1:15" x14ac:dyDescent="0.45">
      <c r="A34" s="51"/>
      <c r="B34" s="52">
        <v>25</v>
      </c>
      <c r="C34" s="53">
        <v>25</v>
      </c>
      <c r="D34" s="52">
        <v>25</v>
      </c>
      <c r="E34" s="53">
        <v>25</v>
      </c>
      <c r="F34" s="52">
        <v>25</v>
      </c>
      <c r="G34" s="53">
        <v>25</v>
      </c>
      <c r="H34" s="52">
        <v>25</v>
      </c>
      <c r="I34" s="53">
        <v>25</v>
      </c>
      <c r="J34" s="52">
        <v>25</v>
      </c>
      <c r="K34" s="53">
        <v>25</v>
      </c>
      <c r="L34" s="52">
        <v>25</v>
      </c>
      <c r="M34" s="53">
        <v>25</v>
      </c>
    </row>
    <row r="35" spans="1:15" x14ac:dyDescent="0.45">
      <c r="A35" s="9" t="s">
        <v>59</v>
      </c>
      <c r="B35" s="17">
        <v>3300</v>
      </c>
      <c r="C35" s="18">
        <v>3300</v>
      </c>
      <c r="D35" s="17">
        <v>3300</v>
      </c>
      <c r="E35" s="18">
        <v>4000</v>
      </c>
      <c r="F35" s="17">
        <v>3300</v>
      </c>
      <c r="G35" s="18">
        <v>4000</v>
      </c>
      <c r="H35" s="17">
        <v>3400</v>
      </c>
      <c r="I35" s="18">
        <v>4000</v>
      </c>
      <c r="J35" s="17">
        <v>3500</v>
      </c>
      <c r="K35" s="18">
        <v>4100</v>
      </c>
      <c r="L35" s="17">
        <v>3600</v>
      </c>
      <c r="M35" s="18">
        <v>4200</v>
      </c>
    </row>
    <row r="36" spans="1:15" x14ac:dyDescent="0.45">
      <c r="A36" s="8" t="s">
        <v>60</v>
      </c>
      <c r="B36" s="20">
        <v>4700</v>
      </c>
      <c r="C36" s="21">
        <v>4700</v>
      </c>
      <c r="D36" s="20">
        <v>4700</v>
      </c>
      <c r="E36" s="21">
        <v>5400</v>
      </c>
      <c r="F36" s="20">
        <v>4700</v>
      </c>
      <c r="G36" s="21">
        <v>5400</v>
      </c>
      <c r="H36" s="20">
        <v>4800</v>
      </c>
      <c r="I36" s="21">
        <v>5400</v>
      </c>
      <c r="J36" s="20">
        <v>4900</v>
      </c>
      <c r="K36" s="21">
        <v>5500</v>
      </c>
      <c r="L36" s="20">
        <v>5000</v>
      </c>
      <c r="M36" s="21">
        <v>5600</v>
      </c>
    </row>
    <row r="37" spans="1:15" ht="29.55" customHeight="1" x14ac:dyDescent="0.45">
      <c r="A37" s="9" t="s">
        <v>61</v>
      </c>
      <c r="B37" s="11">
        <v>260</v>
      </c>
      <c r="C37" s="12">
        <v>260</v>
      </c>
      <c r="D37" s="11">
        <v>260</v>
      </c>
      <c r="E37" s="12">
        <v>260</v>
      </c>
      <c r="F37" s="11">
        <v>260</v>
      </c>
      <c r="G37" s="12">
        <v>260</v>
      </c>
      <c r="H37" s="11">
        <v>260</v>
      </c>
      <c r="I37" s="12">
        <v>260</v>
      </c>
      <c r="J37" s="11">
        <v>260</v>
      </c>
      <c r="K37" s="12">
        <v>260</v>
      </c>
      <c r="L37" s="11">
        <v>260</v>
      </c>
      <c r="M37" s="12">
        <v>260</v>
      </c>
    </row>
    <row r="39" spans="1:15" ht="18.5" customHeight="1" x14ac:dyDescent="0.55000000000000004">
      <c r="A39" s="24" t="s">
        <v>71</v>
      </c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</row>
    <row r="40" spans="1:15" x14ac:dyDescent="0.45">
      <c r="A40" s="132" t="s">
        <v>49</v>
      </c>
      <c r="B40" s="27">
        <v>2009</v>
      </c>
      <c r="C40" s="7">
        <v>2015</v>
      </c>
      <c r="D40" s="124">
        <v>2017</v>
      </c>
      <c r="E40" s="134"/>
      <c r="F40" s="134"/>
      <c r="G40" s="125"/>
      <c r="H40" s="124">
        <v>2020</v>
      </c>
      <c r="I40" s="125"/>
      <c r="J40" s="135" t="s">
        <v>72</v>
      </c>
      <c r="K40" s="125"/>
      <c r="L40" s="124">
        <v>2040</v>
      </c>
      <c r="M40" s="125"/>
      <c r="N40" s="124">
        <v>2050</v>
      </c>
      <c r="O40" s="125"/>
    </row>
    <row r="41" spans="1:15" ht="29.55" customHeight="1" x14ac:dyDescent="0.45">
      <c r="A41" s="129"/>
      <c r="B41" s="8" t="s">
        <v>50</v>
      </c>
      <c r="C41" s="8" t="s">
        <v>50</v>
      </c>
      <c r="D41" s="8" t="s">
        <v>51</v>
      </c>
      <c r="E41" s="8" t="s">
        <v>52</v>
      </c>
      <c r="F41" s="8" t="s">
        <v>63</v>
      </c>
      <c r="G41" s="8" t="s">
        <v>54</v>
      </c>
      <c r="H41" s="8" t="s">
        <v>52</v>
      </c>
      <c r="I41" s="8" t="s">
        <v>54</v>
      </c>
      <c r="J41" s="8" t="s">
        <v>52</v>
      </c>
      <c r="K41" s="8" t="s">
        <v>54</v>
      </c>
      <c r="L41" s="8" t="s">
        <v>52</v>
      </c>
      <c r="M41" s="8" t="s">
        <v>54</v>
      </c>
      <c r="N41" s="8" t="s">
        <v>52</v>
      </c>
      <c r="O41" s="8" t="s">
        <v>54</v>
      </c>
    </row>
    <row r="42" spans="1:15" x14ac:dyDescent="0.45">
      <c r="A42" s="28" t="s">
        <v>67</v>
      </c>
      <c r="B42" s="12">
        <v>36</v>
      </c>
      <c r="C42" s="10">
        <v>36</v>
      </c>
      <c r="D42" s="10">
        <v>36</v>
      </c>
      <c r="E42" s="10">
        <v>36</v>
      </c>
      <c r="F42" s="10">
        <v>36</v>
      </c>
      <c r="G42" s="10">
        <v>36</v>
      </c>
      <c r="H42" s="10">
        <v>36</v>
      </c>
      <c r="I42" s="10">
        <v>36</v>
      </c>
      <c r="J42" s="10">
        <v>36</v>
      </c>
      <c r="K42" s="10">
        <v>36</v>
      </c>
      <c r="L42" s="10">
        <v>36</v>
      </c>
      <c r="M42" s="10">
        <v>36</v>
      </c>
      <c r="N42" s="10">
        <v>36</v>
      </c>
      <c r="O42" s="10">
        <v>36</v>
      </c>
    </row>
    <row r="43" spans="1:15" x14ac:dyDescent="0.45">
      <c r="A43" s="29" t="s">
        <v>73</v>
      </c>
      <c r="B43" s="30">
        <v>12</v>
      </c>
      <c r="C43" s="31">
        <v>13.1</v>
      </c>
      <c r="D43" s="31">
        <v>14</v>
      </c>
      <c r="E43" s="31">
        <v>15.3</v>
      </c>
      <c r="F43" s="31">
        <v>15</v>
      </c>
      <c r="G43" s="31">
        <v>19</v>
      </c>
      <c r="H43" s="31">
        <v>15.3</v>
      </c>
      <c r="I43" s="31">
        <v>19</v>
      </c>
      <c r="J43" s="31">
        <v>15.8</v>
      </c>
      <c r="K43" s="31">
        <v>19</v>
      </c>
      <c r="L43" s="31">
        <v>15.8</v>
      </c>
      <c r="M43" s="31">
        <v>19</v>
      </c>
      <c r="N43" s="31">
        <v>15.8</v>
      </c>
      <c r="O43" s="31">
        <v>19</v>
      </c>
    </row>
    <row r="44" spans="1:15" x14ac:dyDescent="0.45">
      <c r="A44" s="28" t="s">
        <v>74</v>
      </c>
      <c r="B44" s="32" t="s">
        <v>75</v>
      </c>
      <c r="C44" s="33">
        <v>7.9</v>
      </c>
      <c r="D44" s="33">
        <v>8.1999999999999993</v>
      </c>
      <c r="E44" s="33">
        <v>8.6</v>
      </c>
      <c r="F44" s="33">
        <v>8.5</v>
      </c>
      <c r="G44" s="33">
        <v>9</v>
      </c>
      <c r="H44" s="33">
        <v>8.6</v>
      </c>
      <c r="I44" s="33">
        <v>9</v>
      </c>
      <c r="J44" s="33">
        <v>8.8000000000000007</v>
      </c>
      <c r="K44" s="33">
        <v>9</v>
      </c>
      <c r="L44" s="33">
        <v>8.8000000000000007</v>
      </c>
      <c r="M44" s="33">
        <v>9</v>
      </c>
      <c r="N44" s="33">
        <v>8.8000000000000007</v>
      </c>
      <c r="O44" s="33">
        <v>9</v>
      </c>
    </row>
    <row r="45" spans="1:15" x14ac:dyDescent="0.45">
      <c r="A45" s="128" t="s">
        <v>70</v>
      </c>
      <c r="B45" s="34">
        <v>9</v>
      </c>
      <c r="C45" s="35">
        <v>9</v>
      </c>
      <c r="D45" s="35">
        <v>9</v>
      </c>
      <c r="E45" s="35">
        <v>9</v>
      </c>
      <c r="F45" s="35">
        <v>9</v>
      </c>
      <c r="G45" s="35">
        <v>9</v>
      </c>
      <c r="H45" s="35">
        <v>9</v>
      </c>
      <c r="I45" s="35">
        <v>9</v>
      </c>
      <c r="J45" s="35">
        <v>9</v>
      </c>
      <c r="K45" s="35">
        <v>9</v>
      </c>
      <c r="L45" s="35">
        <v>9</v>
      </c>
      <c r="M45" s="35">
        <v>9</v>
      </c>
      <c r="N45" s="35">
        <v>9</v>
      </c>
      <c r="O45" s="35">
        <v>9</v>
      </c>
    </row>
    <row r="46" spans="1:15" x14ac:dyDescent="0.45">
      <c r="A46" s="129"/>
      <c r="B46" s="15">
        <v>22</v>
      </c>
      <c r="C46" s="13">
        <v>22</v>
      </c>
      <c r="D46" s="13">
        <v>22</v>
      </c>
      <c r="E46" s="13">
        <v>22</v>
      </c>
      <c r="F46" s="13">
        <v>22</v>
      </c>
      <c r="G46" s="13">
        <v>22</v>
      </c>
      <c r="H46" s="13">
        <v>22</v>
      </c>
      <c r="I46" s="13">
        <v>22</v>
      </c>
      <c r="J46" s="13">
        <v>22</v>
      </c>
      <c r="K46" s="13">
        <v>22</v>
      </c>
      <c r="L46" s="13">
        <v>22</v>
      </c>
      <c r="M46" s="13">
        <v>22</v>
      </c>
      <c r="N46" s="13">
        <v>22</v>
      </c>
      <c r="O46" s="13">
        <v>22</v>
      </c>
    </row>
    <row r="47" spans="1:15" x14ac:dyDescent="0.45">
      <c r="A47" s="28" t="s">
        <v>76</v>
      </c>
      <c r="B47" s="18">
        <v>2550</v>
      </c>
      <c r="C47" s="16">
        <v>2800</v>
      </c>
      <c r="D47" s="16">
        <v>3350</v>
      </c>
      <c r="E47" s="16">
        <v>3600</v>
      </c>
      <c r="F47" s="16">
        <v>3500</v>
      </c>
      <c r="G47" s="16">
        <v>4550</v>
      </c>
      <c r="H47" s="16">
        <v>3600</v>
      </c>
      <c r="I47" s="16">
        <v>4550</v>
      </c>
      <c r="J47" s="16">
        <v>3700</v>
      </c>
      <c r="K47" s="16">
        <v>4550</v>
      </c>
      <c r="L47" s="16">
        <v>3700</v>
      </c>
      <c r="M47" s="16">
        <v>4550</v>
      </c>
      <c r="N47" s="16">
        <v>3700</v>
      </c>
      <c r="O47" s="16">
        <v>4550</v>
      </c>
    </row>
    <row r="48" spans="1:15" x14ac:dyDescent="0.45">
      <c r="A48" s="29" t="s">
        <v>77</v>
      </c>
      <c r="B48" s="21">
        <v>3000</v>
      </c>
      <c r="C48" s="19">
        <v>3250</v>
      </c>
      <c r="D48" s="19">
        <v>4850</v>
      </c>
      <c r="E48" s="19">
        <v>5100</v>
      </c>
      <c r="F48" s="19">
        <v>4950</v>
      </c>
      <c r="G48" s="19">
        <v>6100</v>
      </c>
      <c r="H48" s="19">
        <v>5100</v>
      </c>
      <c r="I48" s="19">
        <v>6100</v>
      </c>
      <c r="J48" s="19">
        <v>5150</v>
      </c>
      <c r="K48" s="19">
        <v>6100</v>
      </c>
      <c r="L48" s="19">
        <v>5150</v>
      </c>
      <c r="M48" s="19">
        <v>6100</v>
      </c>
      <c r="N48" s="19">
        <v>5150</v>
      </c>
      <c r="O48" s="19">
        <v>6100</v>
      </c>
    </row>
    <row r="49" spans="1:15" x14ac:dyDescent="0.45">
      <c r="A49" s="144" t="s">
        <v>61</v>
      </c>
      <c r="B49" s="12">
        <v>20</v>
      </c>
      <c r="C49" s="10">
        <v>20</v>
      </c>
      <c r="D49" s="10">
        <v>20</v>
      </c>
      <c r="E49" s="10">
        <v>20</v>
      </c>
      <c r="F49" s="10">
        <v>20</v>
      </c>
      <c r="G49" s="10">
        <v>20</v>
      </c>
      <c r="H49" s="10">
        <v>20</v>
      </c>
      <c r="I49" s="10">
        <v>20</v>
      </c>
      <c r="J49" s="10">
        <v>20</v>
      </c>
      <c r="K49" s="10">
        <v>20</v>
      </c>
      <c r="L49" s="10">
        <v>20</v>
      </c>
      <c r="M49" s="10">
        <v>20</v>
      </c>
      <c r="N49" s="10">
        <v>20</v>
      </c>
      <c r="O49" s="10">
        <v>20</v>
      </c>
    </row>
    <row r="50" spans="1:15" x14ac:dyDescent="0.45">
      <c r="A50" s="129"/>
      <c r="B50" s="12">
        <v>125</v>
      </c>
      <c r="C50" s="10">
        <v>125</v>
      </c>
      <c r="D50" s="10">
        <v>125</v>
      </c>
      <c r="E50" s="10">
        <v>125</v>
      </c>
      <c r="F50" s="10">
        <v>125</v>
      </c>
      <c r="G50" s="10">
        <v>125</v>
      </c>
      <c r="H50" s="10">
        <v>125</v>
      </c>
      <c r="I50" s="10">
        <v>125</v>
      </c>
      <c r="J50" s="10">
        <v>125</v>
      </c>
      <c r="K50" s="10">
        <v>125</v>
      </c>
      <c r="L50" s="10">
        <v>125</v>
      </c>
      <c r="M50" s="10">
        <v>125</v>
      </c>
      <c r="N50" s="10">
        <v>125</v>
      </c>
      <c r="O50" s="10">
        <v>125</v>
      </c>
    </row>
    <row r="52" spans="1:15" ht="18.5" customHeight="1" x14ac:dyDescent="0.55000000000000004">
      <c r="A52" s="24" t="s">
        <v>78</v>
      </c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</row>
    <row r="53" spans="1:15" x14ac:dyDescent="0.45">
      <c r="A53" s="39"/>
      <c r="B53" s="27">
        <v>2009</v>
      </c>
      <c r="C53" s="7">
        <v>2015</v>
      </c>
      <c r="D53" s="124">
        <v>2017</v>
      </c>
      <c r="E53" s="134"/>
      <c r="F53" s="134"/>
      <c r="G53" s="125"/>
      <c r="H53" s="124">
        <v>2020</v>
      </c>
      <c r="I53" s="125"/>
      <c r="J53" s="136">
        <v>2030</v>
      </c>
      <c r="K53" s="125"/>
      <c r="L53" s="124">
        <v>2040</v>
      </c>
      <c r="M53" s="125"/>
      <c r="N53" s="124">
        <v>2050</v>
      </c>
      <c r="O53" s="125"/>
    </row>
    <row r="54" spans="1:15" ht="29.55" customHeight="1" x14ac:dyDescent="0.45">
      <c r="A54" s="44"/>
      <c r="B54" s="8" t="s">
        <v>79</v>
      </c>
      <c r="C54" s="8" t="s">
        <v>79</v>
      </c>
      <c r="D54" s="8" t="s">
        <v>80</v>
      </c>
      <c r="E54" s="8" t="s">
        <v>81</v>
      </c>
      <c r="F54" s="8" t="s">
        <v>82</v>
      </c>
      <c r="G54" s="8" t="s">
        <v>83</v>
      </c>
      <c r="H54" s="8" t="s">
        <v>81</v>
      </c>
      <c r="I54" s="8" t="s">
        <v>83</v>
      </c>
      <c r="J54" s="8" t="s">
        <v>81</v>
      </c>
      <c r="K54" s="8" t="s">
        <v>83</v>
      </c>
      <c r="L54" s="8" t="s">
        <v>81</v>
      </c>
      <c r="M54" s="8" t="s">
        <v>83</v>
      </c>
      <c r="N54" s="8" t="s">
        <v>81</v>
      </c>
      <c r="O54" s="8" t="s">
        <v>83</v>
      </c>
    </row>
    <row r="55" spans="1:15" x14ac:dyDescent="0.45">
      <c r="A55" s="9" t="s">
        <v>84</v>
      </c>
      <c r="B55" s="10">
        <v>40</v>
      </c>
      <c r="C55" s="10">
        <v>40</v>
      </c>
      <c r="D55" s="10">
        <v>40</v>
      </c>
      <c r="E55" s="10">
        <v>40</v>
      </c>
      <c r="F55" s="10">
        <v>40</v>
      </c>
      <c r="G55" s="11">
        <v>40</v>
      </c>
      <c r="H55" s="12">
        <v>40</v>
      </c>
      <c r="I55" s="11">
        <v>40</v>
      </c>
      <c r="J55" s="12">
        <v>40</v>
      </c>
      <c r="K55" s="11">
        <v>40</v>
      </c>
      <c r="L55" s="12">
        <v>40</v>
      </c>
      <c r="M55" s="11">
        <v>40</v>
      </c>
      <c r="N55" s="12">
        <v>40</v>
      </c>
      <c r="O55" s="9">
        <v>40</v>
      </c>
    </row>
    <row r="56" spans="1:15" x14ac:dyDescent="0.45">
      <c r="A56" s="8" t="s">
        <v>85</v>
      </c>
      <c r="B56" s="58">
        <v>0.57999999999999996</v>
      </c>
      <c r="C56" s="58">
        <v>0.57999999999999996</v>
      </c>
      <c r="D56" s="58">
        <v>0.61</v>
      </c>
      <c r="E56" s="58">
        <v>0.63</v>
      </c>
      <c r="F56" s="58">
        <v>0.66</v>
      </c>
      <c r="G56" s="59">
        <v>0.81</v>
      </c>
      <c r="H56" s="60">
        <v>0.63</v>
      </c>
      <c r="I56" s="59">
        <v>0.81</v>
      </c>
      <c r="J56" s="60">
        <v>0.63</v>
      </c>
      <c r="K56" s="59">
        <v>0.81</v>
      </c>
      <c r="L56" s="60">
        <v>0.63</v>
      </c>
      <c r="M56" s="59">
        <v>0.81</v>
      </c>
      <c r="N56" s="60">
        <v>0.63</v>
      </c>
      <c r="O56" s="8">
        <v>0.81</v>
      </c>
    </row>
    <row r="57" spans="1:15" x14ac:dyDescent="0.45">
      <c r="A57" s="61" t="s">
        <v>86</v>
      </c>
      <c r="B57" s="62">
        <v>6</v>
      </c>
      <c r="C57" s="62">
        <v>6</v>
      </c>
      <c r="D57" s="62">
        <v>6</v>
      </c>
      <c r="E57" s="62">
        <v>6</v>
      </c>
      <c r="F57" s="62">
        <v>6</v>
      </c>
      <c r="G57" s="63">
        <v>6</v>
      </c>
      <c r="H57" s="64">
        <v>6</v>
      </c>
      <c r="I57" s="63">
        <v>6</v>
      </c>
      <c r="J57" s="64">
        <v>6</v>
      </c>
      <c r="K57" s="63">
        <v>6</v>
      </c>
      <c r="L57" s="64">
        <v>6</v>
      </c>
      <c r="M57" s="63">
        <v>6</v>
      </c>
      <c r="N57" s="64">
        <v>6</v>
      </c>
      <c r="O57" s="61">
        <v>6</v>
      </c>
    </row>
    <row r="58" spans="1:15" x14ac:dyDescent="0.45">
      <c r="A58" s="65"/>
      <c r="B58" s="66">
        <v>20</v>
      </c>
      <c r="C58" s="66">
        <v>20</v>
      </c>
      <c r="D58" s="66">
        <v>20</v>
      </c>
      <c r="E58" s="66">
        <v>20</v>
      </c>
      <c r="F58" s="66">
        <v>20</v>
      </c>
      <c r="G58" s="67">
        <v>20</v>
      </c>
      <c r="H58" s="68">
        <v>20</v>
      </c>
      <c r="I58" s="67">
        <v>20</v>
      </c>
      <c r="J58" s="68">
        <v>20</v>
      </c>
      <c r="K58" s="67">
        <v>20</v>
      </c>
      <c r="L58" s="68">
        <v>20</v>
      </c>
      <c r="M58" s="67">
        <v>20</v>
      </c>
      <c r="N58" s="68">
        <v>20</v>
      </c>
      <c r="O58" s="65">
        <v>20</v>
      </c>
    </row>
    <row r="59" spans="1:15" x14ac:dyDescent="0.45">
      <c r="A59" s="48" t="s">
        <v>87</v>
      </c>
      <c r="B59" s="69">
        <v>500</v>
      </c>
      <c r="C59" s="69">
        <v>500</v>
      </c>
      <c r="D59" s="69">
        <v>700</v>
      </c>
      <c r="E59" s="69">
        <v>750</v>
      </c>
      <c r="F59" s="69">
        <v>800</v>
      </c>
      <c r="G59" s="70">
        <v>1850</v>
      </c>
      <c r="H59" s="71">
        <v>750</v>
      </c>
      <c r="I59" s="70">
        <v>1850</v>
      </c>
      <c r="J59" s="71">
        <v>750</v>
      </c>
      <c r="K59" s="70">
        <v>1850</v>
      </c>
      <c r="L59" s="71">
        <v>750</v>
      </c>
      <c r="M59" s="70">
        <v>1850</v>
      </c>
      <c r="N59" s="71">
        <v>750</v>
      </c>
      <c r="O59" s="48">
        <v>1850</v>
      </c>
    </row>
    <row r="60" spans="1:15" x14ac:dyDescent="0.45">
      <c r="A60" s="51"/>
      <c r="B60" s="72">
        <v>550</v>
      </c>
      <c r="C60" s="72">
        <v>550</v>
      </c>
      <c r="D60" s="72">
        <v>1000</v>
      </c>
      <c r="E60" s="72">
        <v>1200</v>
      </c>
      <c r="F60" s="72">
        <v>1350</v>
      </c>
      <c r="G60" s="73">
        <v>2100</v>
      </c>
      <c r="H60" s="74">
        <v>1200</v>
      </c>
      <c r="I60" s="73">
        <v>2100</v>
      </c>
      <c r="J60" s="74">
        <v>1200</v>
      </c>
      <c r="K60" s="73">
        <v>2100</v>
      </c>
      <c r="L60" s="74">
        <v>1200</v>
      </c>
      <c r="M60" s="73">
        <v>2100</v>
      </c>
      <c r="N60" s="74">
        <v>1200</v>
      </c>
      <c r="O60" s="51">
        <v>2100</v>
      </c>
    </row>
    <row r="61" spans="1:15" x14ac:dyDescent="0.45">
      <c r="A61" s="61" t="s">
        <v>88</v>
      </c>
      <c r="B61" s="75">
        <v>1050</v>
      </c>
      <c r="C61" s="75">
        <v>1050</v>
      </c>
      <c r="D61" s="75">
        <v>1350</v>
      </c>
      <c r="E61" s="75">
        <v>1400</v>
      </c>
      <c r="F61" s="75">
        <v>1500</v>
      </c>
      <c r="G61" s="76">
        <v>2450</v>
      </c>
      <c r="H61" s="77">
        <v>1400</v>
      </c>
      <c r="I61" s="76">
        <v>2450</v>
      </c>
      <c r="J61" s="77">
        <v>1400</v>
      </c>
      <c r="K61" s="76">
        <v>2450</v>
      </c>
      <c r="L61" s="77">
        <v>1400</v>
      </c>
      <c r="M61" s="76">
        <v>2450</v>
      </c>
      <c r="N61" s="77">
        <v>1400</v>
      </c>
      <c r="O61" s="61">
        <v>2450</v>
      </c>
    </row>
    <row r="62" spans="1:15" x14ac:dyDescent="0.45">
      <c r="A62" s="65"/>
      <c r="B62" s="78">
        <v>1050</v>
      </c>
      <c r="C62" s="78">
        <v>1050</v>
      </c>
      <c r="D62" s="78">
        <v>2300</v>
      </c>
      <c r="E62" s="78">
        <v>2450</v>
      </c>
      <c r="F62" s="78">
        <v>2550</v>
      </c>
      <c r="G62" s="79">
        <v>3700</v>
      </c>
      <c r="H62" s="80">
        <v>2450</v>
      </c>
      <c r="I62" s="79">
        <v>3700</v>
      </c>
      <c r="J62" s="80">
        <v>2450</v>
      </c>
      <c r="K62" s="79">
        <v>3700</v>
      </c>
      <c r="L62" s="80">
        <v>2450</v>
      </c>
      <c r="M62" s="79">
        <v>3700</v>
      </c>
      <c r="N62" s="80">
        <v>2450</v>
      </c>
      <c r="O62" s="65">
        <v>3700</v>
      </c>
    </row>
    <row r="63" spans="1:15" ht="15" customHeight="1" x14ac:dyDescent="0.45">
      <c r="A63" s="8" t="s">
        <v>89</v>
      </c>
      <c r="B63" s="13" t="s">
        <v>90</v>
      </c>
      <c r="C63" s="13" t="s">
        <v>90</v>
      </c>
      <c r="D63" s="13" t="s">
        <v>90</v>
      </c>
      <c r="E63" s="13" t="s">
        <v>90</v>
      </c>
      <c r="F63" s="13" t="s">
        <v>90</v>
      </c>
      <c r="G63" s="14" t="s">
        <v>90</v>
      </c>
      <c r="H63" s="15" t="s">
        <v>90</v>
      </c>
      <c r="I63" s="14" t="s">
        <v>90</v>
      </c>
      <c r="J63" s="15" t="s">
        <v>90</v>
      </c>
      <c r="K63" s="14" t="s">
        <v>90</v>
      </c>
      <c r="L63" s="15" t="s">
        <v>90</v>
      </c>
      <c r="M63" s="14" t="s">
        <v>90</v>
      </c>
      <c r="N63" s="15" t="s">
        <v>90</v>
      </c>
      <c r="O63" s="8" t="s">
        <v>90</v>
      </c>
    </row>
    <row r="66" spans="1:14" ht="18.5" customHeight="1" x14ac:dyDescent="0.55000000000000004">
      <c r="A66" s="24" t="s">
        <v>91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</row>
    <row r="67" spans="1:14" x14ac:dyDescent="0.45">
      <c r="A67" s="39" t="s">
        <v>49</v>
      </c>
      <c r="B67" s="40">
        <v>2009</v>
      </c>
      <c r="C67" s="41">
        <v>2015</v>
      </c>
      <c r="D67" s="56"/>
      <c r="E67" s="40">
        <v>2017</v>
      </c>
      <c r="F67" s="43"/>
      <c r="G67" s="42">
        <v>2020</v>
      </c>
      <c r="H67" s="43"/>
      <c r="I67" s="42">
        <v>2030</v>
      </c>
      <c r="J67" s="43"/>
      <c r="K67" s="42">
        <v>2040</v>
      </c>
      <c r="L67" s="43"/>
      <c r="M67" s="42">
        <v>2050</v>
      </c>
      <c r="N67" s="43"/>
    </row>
    <row r="68" spans="1:14" ht="29.55" customHeight="1" x14ac:dyDescent="0.45">
      <c r="A68" s="44"/>
      <c r="B68" s="45" t="s">
        <v>66</v>
      </c>
      <c r="C68" s="111">
        <f>AVERAGE('EIA Costs'!D136:D137)</f>
        <v>5225</v>
      </c>
      <c r="D68" s="51" t="s">
        <v>92</v>
      </c>
      <c r="E68" s="57" t="s">
        <v>52</v>
      </c>
      <c r="F68" s="57" t="s">
        <v>54</v>
      </c>
      <c r="G68" s="46" t="s">
        <v>52</v>
      </c>
      <c r="H68" s="47" t="s">
        <v>54</v>
      </c>
      <c r="I68" s="46" t="s">
        <v>52</v>
      </c>
      <c r="J68" s="47" t="s">
        <v>54</v>
      </c>
      <c r="K68" s="46" t="s">
        <v>52</v>
      </c>
      <c r="L68" s="47" t="s">
        <v>54</v>
      </c>
      <c r="M68" s="46" t="s">
        <v>52</v>
      </c>
      <c r="N68" s="47" t="s">
        <v>54</v>
      </c>
    </row>
    <row r="69" spans="1:14" x14ac:dyDescent="0.45">
      <c r="A69" s="9" t="s">
        <v>93</v>
      </c>
      <c r="B69" s="10">
        <v>30</v>
      </c>
      <c r="C69" s="10">
        <v>32</v>
      </c>
      <c r="D69" s="10">
        <v>32</v>
      </c>
      <c r="E69" s="10">
        <v>32</v>
      </c>
      <c r="F69" s="10">
        <v>32</v>
      </c>
      <c r="G69" s="11">
        <v>32</v>
      </c>
      <c r="H69" s="12">
        <v>32</v>
      </c>
      <c r="I69" s="11">
        <v>32</v>
      </c>
      <c r="J69" s="12">
        <v>32</v>
      </c>
      <c r="K69" s="11">
        <v>32</v>
      </c>
      <c r="L69" s="12">
        <v>32</v>
      </c>
      <c r="M69" s="11">
        <v>32</v>
      </c>
      <c r="N69" s="12">
        <v>32</v>
      </c>
    </row>
    <row r="70" spans="1:14" x14ac:dyDescent="0.45">
      <c r="A70" s="8" t="s">
        <v>94</v>
      </c>
      <c r="B70" s="58">
        <v>0.51</v>
      </c>
      <c r="C70" s="58">
        <v>0.51</v>
      </c>
      <c r="D70" s="58">
        <v>0.64</v>
      </c>
      <c r="E70" s="58">
        <v>0.67</v>
      </c>
      <c r="F70" s="58">
        <v>0.69</v>
      </c>
      <c r="G70" s="59">
        <v>0.67</v>
      </c>
      <c r="H70" s="60">
        <v>0.69</v>
      </c>
      <c r="I70" s="59">
        <v>0.67</v>
      </c>
      <c r="J70" s="60">
        <v>0.69</v>
      </c>
      <c r="K70" s="59">
        <v>0.67</v>
      </c>
      <c r="L70" s="60">
        <v>0.69</v>
      </c>
      <c r="M70" s="59">
        <v>0.67</v>
      </c>
      <c r="N70" s="60">
        <v>0.69</v>
      </c>
    </row>
    <row r="71" spans="1:14" x14ac:dyDescent="0.45">
      <c r="A71" s="61" t="s">
        <v>70</v>
      </c>
      <c r="B71" s="62">
        <v>6</v>
      </c>
      <c r="C71" s="62">
        <v>6</v>
      </c>
      <c r="D71" s="62">
        <v>6</v>
      </c>
      <c r="E71" s="62">
        <v>6</v>
      </c>
      <c r="F71" s="62">
        <v>6</v>
      </c>
      <c r="G71" s="63">
        <v>6</v>
      </c>
      <c r="H71" s="64">
        <v>6</v>
      </c>
      <c r="I71" s="63">
        <v>6</v>
      </c>
      <c r="J71" s="64">
        <v>6</v>
      </c>
      <c r="K71" s="63">
        <v>6</v>
      </c>
      <c r="L71" s="64">
        <v>6</v>
      </c>
      <c r="M71" s="63">
        <v>6</v>
      </c>
      <c r="N71" s="64">
        <v>6</v>
      </c>
    </row>
    <row r="72" spans="1:14" x14ac:dyDescent="0.45">
      <c r="A72" s="65"/>
      <c r="B72" s="66">
        <v>20</v>
      </c>
      <c r="C72" s="66">
        <v>20</v>
      </c>
      <c r="D72" s="66">
        <v>20</v>
      </c>
      <c r="E72" s="66">
        <v>20</v>
      </c>
      <c r="F72" s="66">
        <v>20</v>
      </c>
      <c r="G72" s="67">
        <v>20</v>
      </c>
      <c r="H72" s="68">
        <v>20</v>
      </c>
      <c r="I72" s="67">
        <v>20</v>
      </c>
      <c r="J72" s="68">
        <v>20</v>
      </c>
      <c r="K72" s="67">
        <v>20</v>
      </c>
      <c r="L72" s="68">
        <v>20</v>
      </c>
      <c r="M72" s="67">
        <v>20</v>
      </c>
      <c r="N72" s="68">
        <v>20</v>
      </c>
    </row>
    <row r="73" spans="1:14" x14ac:dyDescent="0.45">
      <c r="A73" s="48" t="s">
        <v>59</v>
      </c>
      <c r="B73" s="69">
        <v>1350</v>
      </c>
      <c r="C73" s="69">
        <v>1350</v>
      </c>
      <c r="D73" s="69">
        <v>1500</v>
      </c>
      <c r="E73" s="69">
        <v>1600</v>
      </c>
      <c r="F73" s="69">
        <v>1600</v>
      </c>
      <c r="G73" s="70">
        <v>1600</v>
      </c>
      <c r="H73" s="71">
        <v>1600</v>
      </c>
      <c r="I73" s="70">
        <v>1600</v>
      </c>
      <c r="J73" s="71">
        <v>1600</v>
      </c>
      <c r="K73" s="70">
        <v>1600</v>
      </c>
      <c r="L73" s="71">
        <v>1600</v>
      </c>
      <c r="M73" s="70">
        <v>1600</v>
      </c>
      <c r="N73" s="71">
        <v>1600</v>
      </c>
    </row>
    <row r="74" spans="1:14" x14ac:dyDescent="0.45">
      <c r="A74" s="51"/>
      <c r="B74" s="72">
        <v>1450</v>
      </c>
      <c r="C74" s="72">
        <v>1450</v>
      </c>
      <c r="D74" s="72">
        <v>1900</v>
      </c>
      <c r="E74" s="72">
        <v>2050</v>
      </c>
      <c r="F74" s="72">
        <v>2050</v>
      </c>
      <c r="G74" s="73">
        <v>2050</v>
      </c>
      <c r="H74" s="74">
        <v>2050</v>
      </c>
      <c r="I74" s="73">
        <v>2050</v>
      </c>
      <c r="J74" s="74">
        <v>2050</v>
      </c>
      <c r="K74" s="73">
        <v>2050</v>
      </c>
      <c r="L74" s="74">
        <v>2050</v>
      </c>
      <c r="M74" s="73">
        <v>2050</v>
      </c>
      <c r="N74" s="74">
        <v>2050</v>
      </c>
    </row>
    <row r="75" spans="1:14" x14ac:dyDescent="0.45">
      <c r="A75" s="61" t="s">
        <v>60</v>
      </c>
      <c r="B75" s="75">
        <v>2000</v>
      </c>
      <c r="C75" s="75">
        <v>2000</v>
      </c>
      <c r="D75" s="75">
        <v>2100</v>
      </c>
      <c r="E75" s="75">
        <v>2250</v>
      </c>
      <c r="F75" s="75">
        <v>2200</v>
      </c>
      <c r="G75" s="76">
        <v>2250</v>
      </c>
      <c r="H75" s="77">
        <v>2200</v>
      </c>
      <c r="I75" s="76">
        <v>2250</v>
      </c>
      <c r="J75" s="77">
        <v>2200</v>
      </c>
      <c r="K75" s="76">
        <v>2250</v>
      </c>
      <c r="L75" s="77">
        <v>2200</v>
      </c>
      <c r="M75" s="76">
        <v>2250</v>
      </c>
      <c r="N75" s="77">
        <v>2200</v>
      </c>
    </row>
    <row r="76" spans="1:14" x14ac:dyDescent="0.45">
      <c r="A76" s="65"/>
      <c r="B76" s="78">
        <v>2100</v>
      </c>
      <c r="C76" s="78">
        <v>2100</v>
      </c>
      <c r="D76" s="78">
        <v>2700</v>
      </c>
      <c r="E76" s="78">
        <v>2850</v>
      </c>
      <c r="F76" s="78">
        <v>2850</v>
      </c>
      <c r="G76" s="79">
        <v>2850</v>
      </c>
      <c r="H76" s="80">
        <v>2850</v>
      </c>
      <c r="I76" s="79">
        <v>2850</v>
      </c>
      <c r="J76" s="80">
        <v>2850</v>
      </c>
      <c r="K76" s="79">
        <v>2850</v>
      </c>
      <c r="L76" s="80">
        <v>2850</v>
      </c>
      <c r="M76" s="79">
        <v>2850</v>
      </c>
      <c r="N76" s="80">
        <v>2850</v>
      </c>
    </row>
    <row r="77" spans="1:14" ht="29.55" customHeight="1" x14ac:dyDescent="0.45">
      <c r="A77" s="8" t="s">
        <v>61</v>
      </c>
      <c r="B77" s="13">
        <v>180</v>
      </c>
      <c r="C77" s="13">
        <v>180</v>
      </c>
      <c r="D77" s="13">
        <v>180</v>
      </c>
      <c r="E77" s="13">
        <v>180</v>
      </c>
      <c r="F77" s="13">
        <v>180</v>
      </c>
      <c r="G77" s="14">
        <v>180</v>
      </c>
      <c r="H77" s="15">
        <v>180</v>
      </c>
      <c r="I77" s="14">
        <v>180</v>
      </c>
      <c r="J77" s="15">
        <v>180</v>
      </c>
      <c r="K77" s="14">
        <v>180</v>
      </c>
      <c r="L77" s="15">
        <v>180</v>
      </c>
      <c r="M77" s="14">
        <v>180</v>
      </c>
      <c r="N77" s="15">
        <v>180</v>
      </c>
    </row>
    <row r="79" spans="1:14" ht="18.5" customHeight="1" x14ac:dyDescent="0.55000000000000004">
      <c r="A79" s="24" t="s">
        <v>95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</row>
    <row r="80" spans="1:14" x14ac:dyDescent="0.45">
      <c r="A80" s="39" t="s">
        <v>49</v>
      </c>
      <c r="B80" s="40">
        <v>2009</v>
      </c>
      <c r="C80" s="41">
        <v>2015</v>
      </c>
      <c r="D80" s="56"/>
      <c r="E80" s="40">
        <v>2017</v>
      </c>
      <c r="F80" s="43"/>
      <c r="G80" s="42">
        <v>2020</v>
      </c>
      <c r="H80" s="43"/>
      <c r="I80" s="42">
        <v>2030</v>
      </c>
      <c r="J80" s="43"/>
      <c r="K80" s="42">
        <v>2040</v>
      </c>
      <c r="L80" s="43"/>
      <c r="M80" s="42">
        <v>2050</v>
      </c>
      <c r="N80" s="43"/>
    </row>
    <row r="81" spans="1:14" ht="29.55" customHeight="1" x14ac:dyDescent="0.45">
      <c r="A81" s="44"/>
      <c r="B81" s="45" t="s">
        <v>66</v>
      </c>
      <c r="C81" s="45" t="s">
        <v>66</v>
      </c>
      <c r="D81" s="57" t="s">
        <v>52</v>
      </c>
      <c r="E81" s="45" t="s">
        <v>96</v>
      </c>
      <c r="F81" s="57" t="s">
        <v>54</v>
      </c>
      <c r="G81" s="46" t="s">
        <v>52</v>
      </c>
      <c r="H81" s="47" t="s">
        <v>54</v>
      </c>
      <c r="I81" s="46" t="s">
        <v>52</v>
      </c>
      <c r="J81" s="47" t="s">
        <v>54</v>
      </c>
      <c r="K81" s="46" t="s">
        <v>52</v>
      </c>
      <c r="L81" s="47" t="s">
        <v>54</v>
      </c>
      <c r="M81" s="46" t="s">
        <v>52</v>
      </c>
      <c r="N81" s="47" t="s">
        <v>54</v>
      </c>
    </row>
    <row r="82" spans="1:14" x14ac:dyDescent="0.45">
      <c r="A82" s="9" t="s">
        <v>93</v>
      </c>
      <c r="B82" s="10">
        <v>50</v>
      </c>
      <c r="C82" s="10">
        <v>50</v>
      </c>
      <c r="D82" s="10">
        <v>50</v>
      </c>
      <c r="E82" s="10">
        <v>50</v>
      </c>
      <c r="F82" s="10">
        <v>50</v>
      </c>
      <c r="G82" s="11">
        <v>50</v>
      </c>
      <c r="H82" s="12">
        <v>50</v>
      </c>
      <c r="I82" s="11">
        <v>50</v>
      </c>
      <c r="J82" s="12">
        <v>50</v>
      </c>
      <c r="K82" s="11">
        <v>50</v>
      </c>
      <c r="L82" s="12">
        <v>50</v>
      </c>
      <c r="M82" s="11">
        <v>50</v>
      </c>
      <c r="N82" s="12">
        <v>50</v>
      </c>
    </row>
    <row r="83" spans="1:14" x14ac:dyDescent="0.45">
      <c r="A83" s="8" t="s">
        <v>94</v>
      </c>
      <c r="B83" s="58">
        <v>2.0499999999999998</v>
      </c>
      <c r="C83" s="58">
        <v>2.0499999999999998</v>
      </c>
      <c r="D83" s="58">
        <v>3.28</v>
      </c>
      <c r="E83" s="58">
        <v>2</v>
      </c>
      <c r="F83" s="58">
        <v>3.55</v>
      </c>
      <c r="G83" s="59">
        <v>3.28</v>
      </c>
      <c r="H83" s="60">
        <v>3.55</v>
      </c>
      <c r="I83" s="59">
        <v>3.28</v>
      </c>
      <c r="J83" s="60">
        <v>3.55</v>
      </c>
      <c r="K83" s="59">
        <v>3.28</v>
      </c>
      <c r="L83" s="60">
        <v>3.55</v>
      </c>
      <c r="M83" s="59">
        <v>3.28</v>
      </c>
      <c r="N83" s="60">
        <v>3.55</v>
      </c>
    </row>
    <row r="84" spans="1:14" x14ac:dyDescent="0.45">
      <c r="A84" s="61" t="s">
        <v>70</v>
      </c>
      <c r="B84" s="62">
        <v>6</v>
      </c>
      <c r="C84" s="62">
        <v>6</v>
      </c>
      <c r="D84" s="62">
        <v>6</v>
      </c>
      <c r="E84" s="62">
        <v>6</v>
      </c>
      <c r="F84" s="62">
        <v>6</v>
      </c>
      <c r="G84" s="63">
        <v>6</v>
      </c>
      <c r="H84" s="64">
        <v>6</v>
      </c>
      <c r="I84" s="63">
        <v>6</v>
      </c>
      <c r="J84" s="64">
        <v>6</v>
      </c>
      <c r="K84" s="63">
        <v>6</v>
      </c>
      <c r="L84" s="64">
        <v>6</v>
      </c>
      <c r="M84" s="63">
        <v>6</v>
      </c>
      <c r="N84" s="64">
        <v>6</v>
      </c>
    </row>
    <row r="85" spans="1:14" x14ac:dyDescent="0.45">
      <c r="A85" s="65"/>
      <c r="B85" s="66">
        <v>20</v>
      </c>
      <c r="C85" s="66">
        <v>20</v>
      </c>
      <c r="D85" s="66">
        <v>20</v>
      </c>
      <c r="E85" s="66">
        <v>20</v>
      </c>
      <c r="F85" s="66">
        <v>20</v>
      </c>
      <c r="G85" s="67">
        <v>20</v>
      </c>
      <c r="H85" s="68">
        <v>20</v>
      </c>
      <c r="I85" s="67">
        <v>20</v>
      </c>
      <c r="J85" s="68">
        <v>20</v>
      </c>
      <c r="K85" s="67">
        <v>20</v>
      </c>
      <c r="L85" s="68">
        <v>20</v>
      </c>
      <c r="M85" s="67">
        <v>20</v>
      </c>
      <c r="N85" s="68">
        <v>20</v>
      </c>
    </row>
    <row r="86" spans="1:14" x14ac:dyDescent="0.45">
      <c r="A86" s="86" t="s">
        <v>59</v>
      </c>
      <c r="B86" s="69">
        <v>1550</v>
      </c>
      <c r="C86" s="69">
        <v>1100</v>
      </c>
      <c r="D86" s="69">
        <v>1200</v>
      </c>
      <c r="E86" s="69">
        <v>1050</v>
      </c>
      <c r="F86" s="69">
        <v>1200</v>
      </c>
      <c r="G86" s="70">
        <v>1200</v>
      </c>
      <c r="H86" s="71">
        <v>1200</v>
      </c>
      <c r="I86" s="70">
        <v>1200</v>
      </c>
      <c r="J86" s="71">
        <v>1200</v>
      </c>
      <c r="K86" s="70">
        <v>1200</v>
      </c>
      <c r="L86" s="71">
        <v>1200</v>
      </c>
      <c r="M86" s="70">
        <v>1200</v>
      </c>
      <c r="N86" s="71">
        <v>1200</v>
      </c>
    </row>
    <row r="87" spans="1:14" x14ac:dyDescent="0.45">
      <c r="A87" s="51"/>
      <c r="B87" s="72">
        <v>1900</v>
      </c>
      <c r="C87" s="72">
        <v>1400</v>
      </c>
      <c r="D87" s="72">
        <v>1500</v>
      </c>
      <c r="E87" s="72">
        <v>1350</v>
      </c>
      <c r="F87" s="72">
        <v>2300</v>
      </c>
      <c r="G87" s="73">
        <v>1500</v>
      </c>
      <c r="H87" s="74">
        <v>2300</v>
      </c>
      <c r="I87" s="73">
        <v>1500</v>
      </c>
      <c r="J87" s="74">
        <v>2300</v>
      </c>
      <c r="K87" s="73">
        <v>1500</v>
      </c>
      <c r="L87" s="74">
        <v>2300</v>
      </c>
      <c r="M87" s="73">
        <v>1500</v>
      </c>
      <c r="N87" s="74">
        <v>2300</v>
      </c>
    </row>
    <row r="88" spans="1:14" x14ac:dyDescent="0.45">
      <c r="A88" s="87" t="s">
        <v>60</v>
      </c>
      <c r="B88" s="75">
        <v>1700</v>
      </c>
      <c r="C88" s="75">
        <v>1450</v>
      </c>
      <c r="D88" s="75">
        <v>1600</v>
      </c>
      <c r="E88" s="75">
        <v>1400</v>
      </c>
      <c r="F88" s="75">
        <v>1600</v>
      </c>
      <c r="G88" s="76">
        <v>1600</v>
      </c>
      <c r="H88" s="77">
        <v>1600</v>
      </c>
      <c r="I88" s="76">
        <v>1600</v>
      </c>
      <c r="J88" s="77">
        <v>1600</v>
      </c>
      <c r="K88" s="76">
        <v>1600</v>
      </c>
      <c r="L88" s="77">
        <v>1600</v>
      </c>
      <c r="M88" s="76">
        <v>1600</v>
      </c>
      <c r="N88" s="77">
        <v>1600</v>
      </c>
    </row>
    <row r="89" spans="1:14" x14ac:dyDescent="0.45">
      <c r="A89" s="65"/>
      <c r="B89" s="78">
        <v>2450</v>
      </c>
      <c r="C89" s="78">
        <v>2500</v>
      </c>
      <c r="D89" s="78">
        <v>2550</v>
      </c>
      <c r="E89" s="78">
        <v>2400</v>
      </c>
      <c r="F89" s="78">
        <v>3350</v>
      </c>
      <c r="G89" s="79">
        <v>2550</v>
      </c>
      <c r="H89" s="80">
        <v>3350</v>
      </c>
      <c r="I89" s="79">
        <v>2550</v>
      </c>
      <c r="J89" s="80">
        <v>3350</v>
      </c>
      <c r="K89" s="79">
        <v>2550</v>
      </c>
      <c r="L89" s="80">
        <v>3350</v>
      </c>
      <c r="M89" s="79">
        <v>2550</v>
      </c>
      <c r="N89" s="80">
        <v>3350</v>
      </c>
    </row>
    <row r="90" spans="1:14" ht="29.55" customHeight="1" x14ac:dyDescent="0.45">
      <c r="A90" s="8" t="s">
        <v>61</v>
      </c>
      <c r="B90" s="13">
        <v>20</v>
      </c>
      <c r="C90" s="13">
        <v>20</v>
      </c>
      <c r="D90" s="13">
        <v>20</v>
      </c>
      <c r="E90" s="13">
        <v>20</v>
      </c>
      <c r="F90" s="13">
        <v>20</v>
      </c>
      <c r="G90" s="14">
        <v>20</v>
      </c>
      <c r="H90" s="15">
        <v>20</v>
      </c>
      <c r="I90" s="14">
        <v>20</v>
      </c>
      <c r="J90" s="15">
        <v>20</v>
      </c>
      <c r="K90" s="14">
        <v>20</v>
      </c>
      <c r="L90" s="15">
        <v>20</v>
      </c>
      <c r="M90" s="14">
        <v>20</v>
      </c>
      <c r="N90" s="15">
        <v>20</v>
      </c>
    </row>
    <row r="93" spans="1:14" ht="18.5" customHeight="1" x14ac:dyDescent="0.55000000000000004">
      <c r="A93" s="24" t="s">
        <v>97</v>
      </c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spans="1:14" x14ac:dyDescent="0.45">
      <c r="A94" s="22" t="s">
        <v>49</v>
      </c>
      <c r="B94" s="41">
        <v>2012</v>
      </c>
      <c r="C94" s="56"/>
      <c r="D94" s="40">
        <v>2017</v>
      </c>
      <c r="E94" s="43"/>
      <c r="F94" s="42">
        <v>2020</v>
      </c>
      <c r="G94" s="43"/>
      <c r="H94" s="42">
        <v>2030</v>
      </c>
      <c r="I94" s="43"/>
      <c r="J94" s="42">
        <v>2040</v>
      </c>
      <c r="K94" s="81"/>
      <c r="L94" s="40">
        <v>2050</v>
      </c>
      <c r="M94" s="43"/>
    </row>
    <row r="95" spans="1:14" ht="29.55" customHeight="1" x14ac:dyDescent="0.45">
      <c r="A95" s="44"/>
      <c r="B95" s="45" t="s">
        <v>66</v>
      </c>
      <c r="C95" s="51" t="s">
        <v>92</v>
      </c>
      <c r="D95" s="57" t="s">
        <v>52</v>
      </c>
      <c r="E95" s="57" t="s">
        <v>54</v>
      </c>
      <c r="F95" s="46" t="s">
        <v>52</v>
      </c>
      <c r="G95" s="47" t="s">
        <v>54</v>
      </c>
      <c r="H95" s="46" t="s">
        <v>52</v>
      </c>
      <c r="I95" s="47" t="s">
        <v>54</v>
      </c>
      <c r="J95" s="46" t="s">
        <v>52</v>
      </c>
      <c r="K95" s="85" t="s">
        <v>54</v>
      </c>
      <c r="L95" s="85" t="s">
        <v>52</v>
      </c>
      <c r="M95" s="47" t="s">
        <v>54</v>
      </c>
    </row>
    <row r="96" spans="1:14" x14ac:dyDescent="0.45">
      <c r="A96" s="9" t="s">
        <v>55</v>
      </c>
      <c r="B96" s="10">
        <v>400</v>
      </c>
      <c r="C96" s="10">
        <v>400</v>
      </c>
      <c r="D96" s="10">
        <v>400</v>
      </c>
      <c r="E96" s="10">
        <v>400</v>
      </c>
      <c r="F96" s="90">
        <v>400</v>
      </c>
      <c r="G96" s="12">
        <v>400</v>
      </c>
      <c r="H96" s="90">
        <v>400</v>
      </c>
      <c r="I96" s="12">
        <v>400</v>
      </c>
      <c r="J96" s="90">
        <v>400</v>
      </c>
      <c r="K96" s="82">
        <v>400</v>
      </c>
      <c r="L96" s="82">
        <v>400</v>
      </c>
      <c r="M96" s="12">
        <v>400</v>
      </c>
    </row>
    <row r="97" spans="1:13" x14ac:dyDescent="0.45">
      <c r="A97" s="8" t="s">
        <v>98</v>
      </c>
      <c r="B97" s="13">
        <v>80</v>
      </c>
      <c r="C97" s="13">
        <v>80</v>
      </c>
      <c r="D97" s="13">
        <v>80</v>
      </c>
      <c r="E97" s="13">
        <v>95</v>
      </c>
      <c r="F97" s="91">
        <v>80</v>
      </c>
      <c r="G97" s="15">
        <v>95</v>
      </c>
      <c r="H97" s="91">
        <v>81</v>
      </c>
      <c r="I97" s="15">
        <v>95</v>
      </c>
      <c r="J97" s="91">
        <v>81</v>
      </c>
      <c r="K97" s="92">
        <v>95</v>
      </c>
      <c r="L97" s="92">
        <v>81</v>
      </c>
      <c r="M97" s="15">
        <v>95</v>
      </c>
    </row>
    <row r="98" spans="1:13" x14ac:dyDescent="0.45">
      <c r="A98" s="9" t="s">
        <v>70</v>
      </c>
      <c r="B98" s="10">
        <v>23</v>
      </c>
      <c r="C98" s="10">
        <v>23</v>
      </c>
      <c r="D98" s="10">
        <v>23</v>
      </c>
      <c r="E98" s="10">
        <v>23</v>
      </c>
      <c r="F98" s="90">
        <v>23</v>
      </c>
      <c r="G98" s="12">
        <v>23</v>
      </c>
      <c r="H98" s="90">
        <v>23</v>
      </c>
      <c r="I98" s="12">
        <v>23</v>
      </c>
      <c r="J98" s="90">
        <v>23</v>
      </c>
      <c r="K98" s="82">
        <v>23</v>
      </c>
      <c r="L98" s="82">
        <v>23</v>
      </c>
      <c r="M98" s="12">
        <v>23</v>
      </c>
    </row>
    <row r="99" spans="1:13" x14ac:dyDescent="0.45">
      <c r="A99" s="8" t="s">
        <v>59</v>
      </c>
      <c r="B99" s="19">
        <v>1050</v>
      </c>
      <c r="C99" s="19">
        <v>1050</v>
      </c>
      <c r="D99" s="19">
        <v>1050</v>
      </c>
      <c r="E99" s="19">
        <v>2450</v>
      </c>
      <c r="F99" s="20">
        <v>1050</v>
      </c>
      <c r="G99" s="21">
        <v>2450</v>
      </c>
      <c r="H99" s="20">
        <v>1050</v>
      </c>
      <c r="I99" s="21">
        <v>2450</v>
      </c>
      <c r="J99" s="20">
        <v>1050</v>
      </c>
      <c r="K99" s="93">
        <v>2450</v>
      </c>
      <c r="L99" s="93">
        <v>1050</v>
      </c>
      <c r="M99" s="21">
        <v>2450</v>
      </c>
    </row>
    <row r="100" spans="1:13" x14ac:dyDescent="0.45">
      <c r="A100" s="9" t="s">
        <v>60</v>
      </c>
      <c r="B100" s="16">
        <v>2150</v>
      </c>
      <c r="C100" s="16">
        <v>2150</v>
      </c>
      <c r="D100" s="16">
        <v>2150</v>
      </c>
      <c r="E100" s="16">
        <v>3950</v>
      </c>
      <c r="F100" s="17">
        <v>2150</v>
      </c>
      <c r="G100" s="18">
        <v>3950</v>
      </c>
      <c r="H100" s="17">
        <v>2200</v>
      </c>
      <c r="I100" s="18">
        <v>3950</v>
      </c>
      <c r="J100" s="17">
        <v>2200</v>
      </c>
      <c r="K100" s="94">
        <v>3950</v>
      </c>
      <c r="L100" s="94">
        <v>2200</v>
      </c>
      <c r="M100" s="18">
        <v>3950</v>
      </c>
    </row>
    <row r="101" spans="1:13" ht="29.55" customHeight="1" x14ac:dyDescent="0.45">
      <c r="A101" s="8" t="s">
        <v>99</v>
      </c>
      <c r="B101" s="13">
        <v>170</v>
      </c>
      <c r="C101" s="13">
        <v>170</v>
      </c>
      <c r="D101" s="13">
        <v>170</v>
      </c>
      <c r="E101" s="13">
        <v>180</v>
      </c>
      <c r="F101" s="91">
        <v>170</v>
      </c>
      <c r="G101" s="15">
        <v>180</v>
      </c>
      <c r="H101" s="91">
        <v>170</v>
      </c>
      <c r="I101" s="15">
        <v>180</v>
      </c>
      <c r="J101" s="91">
        <v>170</v>
      </c>
      <c r="K101" s="92">
        <v>180</v>
      </c>
      <c r="L101" s="92">
        <v>170</v>
      </c>
      <c r="M101" s="15">
        <v>180</v>
      </c>
    </row>
    <row r="104" spans="1:13" ht="18.5" customHeight="1" x14ac:dyDescent="0.55000000000000004">
      <c r="A104" s="24" t="s">
        <v>100</v>
      </c>
      <c r="B104" s="23"/>
      <c r="C104" s="23"/>
      <c r="D104" s="23"/>
      <c r="E104" s="23"/>
      <c r="F104" s="23"/>
      <c r="G104" s="23"/>
      <c r="H104" s="23"/>
      <c r="I104" s="23"/>
    </row>
    <row r="105" spans="1:13" x14ac:dyDescent="0.45">
      <c r="A105" s="132" t="s">
        <v>49</v>
      </c>
      <c r="B105" s="7">
        <v>2012</v>
      </c>
      <c r="C105" s="124">
        <v>2017</v>
      </c>
      <c r="D105" s="134"/>
      <c r="E105" s="125"/>
      <c r="F105" s="7">
        <v>2020</v>
      </c>
      <c r="G105" s="95" t="s">
        <v>72</v>
      </c>
      <c r="H105" s="7">
        <v>2040</v>
      </c>
      <c r="I105" s="96">
        <v>2050</v>
      </c>
    </row>
    <row r="106" spans="1:13" ht="29.55" customHeight="1" x14ac:dyDescent="0.45">
      <c r="A106" s="129"/>
      <c r="B106" s="8" t="s">
        <v>50</v>
      </c>
      <c r="C106" s="8" t="s">
        <v>51</v>
      </c>
      <c r="D106" s="8" t="s">
        <v>52</v>
      </c>
      <c r="E106" s="97" t="s">
        <v>54</v>
      </c>
      <c r="F106" s="8" t="s">
        <v>52</v>
      </c>
      <c r="G106" s="8" t="s">
        <v>52</v>
      </c>
      <c r="H106" s="8" t="s">
        <v>52</v>
      </c>
      <c r="I106" s="8" t="s">
        <v>52</v>
      </c>
    </row>
    <row r="107" spans="1:13" x14ac:dyDescent="0.45">
      <c r="A107" s="9" t="s">
        <v>55</v>
      </c>
      <c r="B107" s="10">
        <v>400</v>
      </c>
      <c r="C107" s="10">
        <v>400</v>
      </c>
      <c r="D107" s="10">
        <v>400</v>
      </c>
      <c r="E107" s="10">
        <v>400</v>
      </c>
      <c r="F107" s="10">
        <v>400</v>
      </c>
      <c r="G107" s="10">
        <v>400</v>
      </c>
      <c r="H107" s="10">
        <v>400</v>
      </c>
      <c r="I107" s="10">
        <v>400</v>
      </c>
    </row>
    <row r="108" spans="1:13" x14ac:dyDescent="0.45">
      <c r="A108" s="8" t="s">
        <v>98</v>
      </c>
      <c r="B108" s="35">
        <v>81</v>
      </c>
      <c r="C108" s="35">
        <v>81</v>
      </c>
      <c r="D108" s="35">
        <v>82</v>
      </c>
      <c r="E108" s="35">
        <v>85</v>
      </c>
      <c r="F108" s="35">
        <v>82</v>
      </c>
      <c r="G108" s="35">
        <v>82</v>
      </c>
      <c r="H108" s="35">
        <v>82</v>
      </c>
      <c r="I108" s="35">
        <v>82</v>
      </c>
    </row>
    <row r="109" spans="1:13" x14ac:dyDescent="0.45">
      <c r="A109" s="9" t="s">
        <v>70</v>
      </c>
      <c r="B109" s="98">
        <v>23</v>
      </c>
      <c r="C109" s="98">
        <v>23</v>
      </c>
      <c r="D109" s="98">
        <v>23</v>
      </c>
      <c r="E109" s="98">
        <v>23</v>
      </c>
      <c r="F109" s="98">
        <v>23</v>
      </c>
      <c r="G109" s="98">
        <v>23</v>
      </c>
      <c r="H109" s="98">
        <v>23</v>
      </c>
      <c r="I109" s="98">
        <v>23</v>
      </c>
    </row>
    <row r="110" spans="1:13" x14ac:dyDescent="0.45">
      <c r="A110" s="8" t="s">
        <v>59</v>
      </c>
      <c r="B110" s="19">
        <v>4650</v>
      </c>
      <c r="C110" s="19">
        <v>4650</v>
      </c>
      <c r="D110" s="19">
        <v>4700</v>
      </c>
      <c r="E110" s="19">
        <v>5050</v>
      </c>
      <c r="F110" s="19">
        <v>4700</v>
      </c>
      <c r="G110" s="19">
        <v>4700</v>
      </c>
      <c r="H110" s="19">
        <v>4700</v>
      </c>
      <c r="I110" s="19">
        <v>4700</v>
      </c>
    </row>
    <row r="111" spans="1:13" x14ac:dyDescent="0.45">
      <c r="A111" s="9" t="s">
        <v>60</v>
      </c>
      <c r="B111" s="16">
        <v>6550</v>
      </c>
      <c r="C111" s="16">
        <v>6550</v>
      </c>
      <c r="D111" s="16">
        <v>6600</v>
      </c>
      <c r="E111" s="16">
        <v>6750</v>
      </c>
      <c r="F111" s="16">
        <v>6600</v>
      </c>
      <c r="G111" s="16">
        <v>6600</v>
      </c>
      <c r="H111" s="16">
        <v>6600</v>
      </c>
      <c r="I111" s="16">
        <v>6600</v>
      </c>
    </row>
    <row r="112" spans="1:13" ht="29.55" customHeight="1" x14ac:dyDescent="0.45">
      <c r="A112" s="8" t="s">
        <v>99</v>
      </c>
      <c r="B112" s="13">
        <v>300</v>
      </c>
      <c r="C112" s="13">
        <v>300</v>
      </c>
      <c r="D112" s="13">
        <v>300</v>
      </c>
      <c r="E112" s="13">
        <v>300</v>
      </c>
      <c r="F112" s="13">
        <v>300</v>
      </c>
      <c r="G112" s="13">
        <v>300</v>
      </c>
      <c r="H112" s="13">
        <v>300</v>
      </c>
      <c r="I112" s="13">
        <v>300</v>
      </c>
    </row>
    <row r="113" spans="1:14" x14ac:dyDescent="0.45">
      <c r="A113" s="99" t="s">
        <v>101</v>
      </c>
      <c r="B113" s="84"/>
      <c r="C113" s="84"/>
      <c r="D113" s="84"/>
      <c r="E113" s="84"/>
      <c r="F113" s="84"/>
      <c r="G113" s="84"/>
      <c r="H113" s="84"/>
      <c r="I113" s="84"/>
    </row>
    <row r="114" spans="1:14" x14ac:dyDescent="0.45">
      <c r="A114" s="99"/>
      <c r="B114" s="84"/>
      <c r="C114" s="84"/>
      <c r="D114" s="84"/>
      <c r="E114" s="84"/>
      <c r="F114" s="84"/>
      <c r="G114" s="84"/>
      <c r="H114" s="84"/>
      <c r="I114" s="84"/>
    </row>
    <row r="115" spans="1:14" ht="18.5" customHeight="1" x14ac:dyDescent="0.55000000000000004">
      <c r="A115" s="24" t="s">
        <v>102</v>
      </c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</row>
    <row r="116" spans="1:14" x14ac:dyDescent="0.45">
      <c r="A116" s="132" t="s">
        <v>49</v>
      </c>
      <c r="B116" s="7">
        <v>2012</v>
      </c>
      <c r="C116" s="124">
        <v>2017</v>
      </c>
      <c r="D116" s="134"/>
      <c r="E116" s="134"/>
      <c r="F116" s="125"/>
      <c r="G116" s="133" t="s">
        <v>103</v>
      </c>
      <c r="H116" s="125"/>
      <c r="I116" s="133" t="s">
        <v>104</v>
      </c>
      <c r="J116" s="125"/>
      <c r="K116" s="124">
        <v>2040</v>
      </c>
      <c r="L116" s="125"/>
      <c r="M116" s="124">
        <v>2050</v>
      </c>
      <c r="N116" s="125"/>
    </row>
    <row r="117" spans="1:14" ht="29.55" customHeight="1" x14ac:dyDescent="0.45">
      <c r="A117" s="129"/>
      <c r="B117" s="100" t="s">
        <v>50</v>
      </c>
      <c r="C117" s="8" t="s">
        <v>51</v>
      </c>
      <c r="D117" s="8" t="s">
        <v>52</v>
      </c>
      <c r="E117" s="26" t="s">
        <v>105</v>
      </c>
      <c r="F117" s="8" t="s">
        <v>54</v>
      </c>
      <c r="G117" s="8" t="s">
        <v>52</v>
      </c>
      <c r="H117" s="8" t="s">
        <v>54</v>
      </c>
      <c r="I117" s="8" t="s">
        <v>52</v>
      </c>
      <c r="J117" s="8" t="s">
        <v>54</v>
      </c>
      <c r="K117" s="8" t="s">
        <v>52</v>
      </c>
      <c r="L117" s="8" t="s">
        <v>54</v>
      </c>
      <c r="M117" s="8" t="s">
        <v>52</v>
      </c>
      <c r="N117" s="8" t="s">
        <v>54</v>
      </c>
    </row>
    <row r="118" spans="1:14" x14ac:dyDescent="0.45">
      <c r="A118" s="9" t="s">
        <v>67</v>
      </c>
      <c r="B118" s="98">
        <v>90</v>
      </c>
      <c r="C118" s="10">
        <v>90</v>
      </c>
      <c r="D118" s="10">
        <v>90</v>
      </c>
      <c r="E118" s="10">
        <v>90</v>
      </c>
      <c r="F118" s="10">
        <v>90</v>
      </c>
      <c r="G118" s="10">
        <v>90</v>
      </c>
      <c r="H118" s="10">
        <v>90</v>
      </c>
      <c r="I118" s="10">
        <v>90</v>
      </c>
      <c r="J118" s="10">
        <v>90</v>
      </c>
      <c r="K118" s="10">
        <v>90</v>
      </c>
      <c r="L118" s="10">
        <v>90</v>
      </c>
      <c r="M118" s="10">
        <v>90</v>
      </c>
      <c r="N118" s="10">
        <v>90</v>
      </c>
    </row>
    <row r="119" spans="1:14" x14ac:dyDescent="0.45">
      <c r="A119" s="8" t="s">
        <v>106</v>
      </c>
      <c r="B119" s="31">
        <v>10.199999999999999</v>
      </c>
      <c r="C119" s="31">
        <v>11</v>
      </c>
      <c r="D119" s="31">
        <v>11.2</v>
      </c>
      <c r="E119" s="31">
        <v>11.3</v>
      </c>
      <c r="F119" s="31">
        <v>13.1</v>
      </c>
      <c r="G119" s="31">
        <v>11.2</v>
      </c>
      <c r="H119" s="31">
        <v>13.1</v>
      </c>
      <c r="I119" s="31">
        <v>11.7</v>
      </c>
      <c r="J119" s="31">
        <v>13.1</v>
      </c>
      <c r="K119" s="31">
        <v>11.7</v>
      </c>
      <c r="L119" s="31">
        <v>13.1</v>
      </c>
      <c r="M119" s="31">
        <v>11.7</v>
      </c>
      <c r="N119" s="31">
        <v>13.1</v>
      </c>
    </row>
    <row r="120" spans="1:14" x14ac:dyDescent="0.45">
      <c r="A120" s="9" t="s">
        <v>107</v>
      </c>
      <c r="B120" s="33">
        <v>12</v>
      </c>
      <c r="C120" s="101" t="s">
        <v>108</v>
      </c>
      <c r="D120" s="33">
        <v>11.3</v>
      </c>
      <c r="E120" s="33">
        <v>11.4</v>
      </c>
      <c r="F120" s="33">
        <v>20.3</v>
      </c>
      <c r="G120" s="33">
        <v>12.4</v>
      </c>
      <c r="H120" s="33">
        <v>20.3</v>
      </c>
      <c r="I120" s="33">
        <v>14.4</v>
      </c>
      <c r="J120" s="33">
        <v>20.3</v>
      </c>
      <c r="K120" s="33">
        <v>14.4</v>
      </c>
      <c r="L120" s="33">
        <v>20.3</v>
      </c>
      <c r="M120" s="33">
        <v>14.4</v>
      </c>
      <c r="N120" s="33">
        <v>20.3</v>
      </c>
    </row>
    <row r="121" spans="1:14" x14ac:dyDescent="0.45">
      <c r="A121" s="8" t="s">
        <v>109</v>
      </c>
      <c r="B121" s="31">
        <v>3.3</v>
      </c>
      <c r="C121" s="31">
        <v>3.3</v>
      </c>
      <c r="D121" s="31">
        <v>3.3</v>
      </c>
      <c r="E121" s="31">
        <v>3.4</v>
      </c>
      <c r="F121" s="31">
        <v>3.7</v>
      </c>
      <c r="G121" s="31">
        <v>3.3</v>
      </c>
      <c r="H121" s="31">
        <v>3.7</v>
      </c>
      <c r="I121" s="31">
        <v>3.4</v>
      </c>
      <c r="J121" s="31">
        <v>3.7</v>
      </c>
      <c r="K121" s="31">
        <v>3.4</v>
      </c>
      <c r="L121" s="31">
        <v>3.7</v>
      </c>
      <c r="M121" s="31">
        <v>3.4</v>
      </c>
      <c r="N121" s="31">
        <v>3.7</v>
      </c>
    </row>
    <row r="122" spans="1:14" x14ac:dyDescent="0.45">
      <c r="A122" s="9" t="s">
        <v>70</v>
      </c>
      <c r="B122" s="98">
        <v>21</v>
      </c>
      <c r="C122" s="10">
        <v>21</v>
      </c>
      <c r="D122" s="10">
        <v>21</v>
      </c>
      <c r="E122" s="10">
        <v>21</v>
      </c>
      <c r="F122" s="10">
        <v>21</v>
      </c>
      <c r="G122" s="10">
        <v>21</v>
      </c>
      <c r="H122" s="10">
        <v>21</v>
      </c>
      <c r="I122" s="10">
        <v>21</v>
      </c>
      <c r="J122" s="10">
        <v>21</v>
      </c>
      <c r="K122" s="10">
        <v>21</v>
      </c>
      <c r="L122" s="10">
        <v>21</v>
      </c>
      <c r="M122" s="10">
        <v>21</v>
      </c>
      <c r="N122" s="10">
        <v>21</v>
      </c>
    </row>
    <row r="123" spans="1:14" x14ac:dyDescent="0.45">
      <c r="A123" s="8" t="s">
        <v>59</v>
      </c>
      <c r="B123" s="19">
        <v>6050</v>
      </c>
      <c r="C123" s="19">
        <v>6050</v>
      </c>
      <c r="D123" s="19">
        <v>6050</v>
      </c>
      <c r="E123" s="19">
        <v>6250</v>
      </c>
      <c r="F123" s="19">
        <v>11000</v>
      </c>
      <c r="G123" s="19">
        <v>7750</v>
      </c>
      <c r="H123" s="19">
        <v>11000</v>
      </c>
      <c r="I123" s="19">
        <v>8750</v>
      </c>
      <c r="J123" s="19">
        <v>11000</v>
      </c>
      <c r="K123" s="19">
        <v>8750</v>
      </c>
      <c r="L123" s="19">
        <v>11000</v>
      </c>
      <c r="M123" s="19">
        <v>8750</v>
      </c>
      <c r="N123" s="19">
        <v>11000</v>
      </c>
    </row>
    <row r="124" spans="1:14" x14ac:dyDescent="0.45">
      <c r="A124" s="9" t="s">
        <v>60</v>
      </c>
      <c r="B124" s="16">
        <v>7550</v>
      </c>
      <c r="C124" s="16">
        <v>7550</v>
      </c>
      <c r="D124" s="16">
        <v>7550</v>
      </c>
      <c r="E124" s="16">
        <v>7750</v>
      </c>
      <c r="F124" s="16">
        <v>16050</v>
      </c>
      <c r="G124" s="16">
        <v>11150</v>
      </c>
      <c r="H124" s="16">
        <v>16050</v>
      </c>
      <c r="I124" s="16">
        <v>12750</v>
      </c>
      <c r="J124" s="16">
        <v>16050</v>
      </c>
      <c r="K124" s="16">
        <v>12750</v>
      </c>
      <c r="L124" s="16">
        <v>16050</v>
      </c>
      <c r="M124" s="16">
        <v>12750</v>
      </c>
      <c r="N124" s="16">
        <v>16050</v>
      </c>
    </row>
    <row r="125" spans="1:14" ht="29.55" customHeight="1" x14ac:dyDescent="0.45">
      <c r="A125" s="86" t="s">
        <v>61</v>
      </c>
      <c r="B125" s="13">
        <v>310</v>
      </c>
      <c r="C125" s="13">
        <v>310</v>
      </c>
      <c r="D125" s="13">
        <v>310</v>
      </c>
      <c r="E125" s="13">
        <v>310</v>
      </c>
      <c r="F125" s="13">
        <v>310</v>
      </c>
      <c r="G125" s="13">
        <v>310</v>
      </c>
      <c r="H125" s="13">
        <v>310</v>
      </c>
      <c r="I125" s="13">
        <v>310</v>
      </c>
      <c r="J125" s="13">
        <v>310</v>
      </c>
      <c r="K125" s="13">
        <v>310</v>
      </c>
      <c r="L125" s="13">
        <v>310</v>
      </c>
      <c r="M125" s="13">
        <v>310</v>
      </c>
      <c r="N125" s="13">
        <v>310</v>
      </c>
    </row>
    <row r="127" spans="1:14" ht="18.5" customHeight="1" x14ac:dyDescent="0.55000000000000004">
      <c r="A127" s="24" t="s">
        <v>110</v>
      </c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</row>
    <row r="128" spans="1:14" x14ac:dyDescent="0.45">
      <c r="A128" s="39" t="s">
        <v>49</v>
      </c>
      <c r="B128" s="40">
        <v>2012</v>
      </c>
      <c r="C128" s="81"/>
      <c r="D128" s="142">
        <v>2017</v>
      </c>
      <c r="E128" s="138"/>
      <c r="F128" s="138"/>
      <c r="G128" s="137">
        <v>2020</v>
      </c>
      <c r="H128" s="138"/>
      <c r="I128" s="137">
        <v>2030</v>
      </c>
      <c r="J128" s="138"/>
      <c r="K128" s="143">
        <v>2040</v>
      </c>
      <c r="L128" s="138"/>
      <c r="M128" s="42">
        <v>2050</v>
      </c>
      <c r="N128" s="43"/>
    </row>
    <row r="129" spans="1:14" ht="29.55" customHeight="1" x14ac:dyDescent="0.45">
      <c r="A129" s="105"/>
      <c r="B129" s="106" t="s">
        <v>66</v>
      </c>
      <c r="C129" s="107" t="s">
        <v>92</v>
      </c>
      <c r="D129" s="57" t="s">
        <v>52</v>
      </c>
      <c r="E129" s="112" t="s">
        <v>96</v>
      </c>
      <c r="F129" s="57" t="s">
        <v>54</v>
      </c>
      <c r="G129" s="57" t="s">
        <v>52</v>
      </c>
      <c r="H129" s="113" t="s">
        <v>54</v>
      </c>
      <c r="I129" s="57" t="s">
        <v>52</v>
      </c>
      <c r="J129" s="47" t="s">
        <v>54</v>
      </c>
      <c r="K129" s="57" t="s">
        <v>52</v>
      </c>
      <c r="L129" s="47" t="s">
        <v>54</v>
      </c>
      <c r="M129" s="46" t="s">
        <v>52</v>
      </c>
      <c r="N129" s="47" t="s">
        <v>54</v>
      </c>
    </row>
    <row r="130" spans="1:14" x14ac:dyDescent="0.45">
      <c r="A130" s="9" t="s">
        <v>111</v>
      </c>
      <c r="B130" s="11">
        <v>100</v>
      </c>
      <c r="C130" s="12">
        <v>100</v>
      </c>
      <c r="D130" s="10">
        <v>100</v>
      </c>
      <c r="E130" s="12">
        <v>100</v>
      </c>
      <c r="F130" s="10">
        <v>100</v>
      </c>
      <c r="G130" s="10">
        <v>100</v>
      </c>
      <c r="H130" s="12">
        <v>100</v>
      </c>
      <c r="I130" s="10">
        <v>100</v>
      </c>
      <c r="J130" s="12">
        <v>100</v>
      </c>
      <c r="K130" s="10">
        <v>100</v>
      </c>
      <c r="L130" s="12">
        <v>100</v>
      </c>
      <c r="M130" s="11">
        <v>100</v>
      </c>
      <c r="N130" s="12">
        <v>100</v>
      </c>
    </row>
    <row r="131" spans="1:14" x14ac:dyDescent="0.45">
      <c r="A131" s="8" t="s">
        <v>55</v>
      </c>
      <c r="B131" s="14">
        <v>199</v>
      </c>
      <c r="C131" s="15">
        <v>199</v>
      </c>
      <c r="D131" s="13">
        <v>199</v>
      </c>
      <c r="E131" s="15">
        <v>199</v>
      </c>
      <c r="F131" s="13">
        <v>199</v>
      </c>
      <c r="G131" s="13">
        <v>199</v>
      </c>
      <c r="H131" s="15">
        <v>199</v>
      </c>
      <c r="I131" s="13">
        <v>199</v>
      </c>
      <c r="J131" s="15">
        <v>199</v>
      </c>
      <c r="K131" s="13">
        <v>199</v>
      </c>
      <c r="L131" s="15">
        <v>199</v>
      </c>
      <c r="M131" s="14">
        <v>199</v>
      </c>
      <c r="N131" s="15">
        <v>199</v>
      </c>
    </row>
    <row r="132" spans="1:14" x14ac:dyDescent="0.45">
      <c r="A132" s="9" t="s">
        <v>112</v>
      </c>
      <c r="B132" s="108">
        <v>81</v>
      </c>
      <c r="C132" s="12">
        <v>80</v>
      </c>
      <c r="D132" s="10">
        <v>82</v>
      </c>
      <c r="E132" s="12">
        <v>94</v>
      </c>
      <c r="F132" s="10">
        <v>99</v>
      </c>
      <c r="G132" s="10">
        <v>82</v>
      </c>
      <c r="H132" s="12">
        <v>99</v>
      </c>
      <c r="I132" s="10">
        <v>82</v>
      </c>
      <c r="J132" s="12">
        <v>99</v>
      </c>
      <c r="K132" s="10">
        <v>82</v>
      </c>
      <c r="L132" s="12">
        <v>99</v>
      </c>
      <c r="M132" s="11">
        <v>82</v>
      </c>
      <c r="N132" s="12">
        <v>99</v>
      </c>
    </row>
    <row r="133" spans="1:14" x14ac:dyDescent="0.45">
      <c r="A133" s="8" t="s">
        <v>70</v>
      </c>
      <c r="B133" s="109">
        <v>13</v>
      </c>
      <c r="C133" s="15">
        <v>10</v>
      </c>
      <c r="D133" s="13">
        <v>10</v>
      </c>
      <c r="E133" s="15">
        <v>10</v>
      </c>
      <c r="F133" s="13">
        <v>10</v>
      </c>
      <c r="G133" s="13">
        <v>10</v>
      </c>
      <c r="H133" s="15">
        <v>10</v>
      </c>
      <c r="I133" s="13">
        <v>10</v>
      </c>
      <c r="J133" s="15">
        <v>10</v>
      </c>
      <c r="K133" s="13">
        <v>10</v>
      </c>
      <c r="L133" s="15">
        <v>10</v>
      </c>
      <c r="M133" s="14">
        <v>10</v>
      </c>
      <c r="N133" s="15">
        <v>10</v>
      </c>
    </row>
    <row r="134" spans="1:14" ht="29.55" customHeight="1" x14ac:dyDescent="0.45">
      <c r="A134" s="61" t="s">
        <v>113</v>
      </c>
      <c r="B134" s="76">
        <v>3400</v>
      </c>
      <c r="C134" s="77">
        <v>3300</v>
      </c>
      <c r="D134" s="75">
        <v>3450</v>
      </c>
      <c r="E134" s="77">
        <v>3950</v>
      </c>
      <c r="F134" s="75">
        <v>4050</v>
      </c>
      <c r="G134" s="75">
        <v>3450</v>
      </c>
      <c r="H134" s="77">
        <v>4050</v>
      </c>
      <c r="I134" s="75">
        <v>3450</v>
      </c>
      <c r="J134" s="114">
        <v>4050</v>
      </c>
      <c r="K134" s="75">
        <v>3450</v>
      </c>
      <c r="L134" s="114">
        <v>4050</v>
      </c>
      <c r="M134" s="76">
        <v>3450</v>
      </c>
      <c r="N134" s="77">
        <v>4050</v>
      </c>
    </row>
    <row r="135" spans="1:14" x14ac:dyDescent="0.45">
      <c r="A135" s="65"/>
      <c r="B135" s="79">
        <v>4200</v>
      </c>
      <c r="C135" s="80">
        <v>4100</v>
      </c>
      <c r="D135" s="78">
        <v>4300</v>
      </c>
      <c r="E135" s="80">
        <v>4850</v>
      </c>
      <c r="F135" s="78">
        <v>4950</v>
      </c>
      <c r="G135" s="78">
        <v>4300</v>
      </c>
      <c r="H135" s="80">
        <v>4950</v>
      </c>
      <c r="I135" s="78">
        <v>4300</v>
      </c>
      <c r="J135" s="115">
        <v>4950</v>
      </c>
      <c r="K135" s="78">
        <v>4300</v>
      </c>
      <c r="L135" s="115">
        <v>4950</v>
      </c>
      <c r="M135" s="79">
        <v>4300</v>
      </c>
      <c r="N135" s="80">
        <v>4950</v>
      </c>
    </row>
    <row r="136" spans="1:14" x14ac:dyDescent="0.45">
      <c r="A136" s="48" t="s">
        <v>114</v>
      </c>
      <c r="B136" s="70">
        <v>4200</v>
      </c>
      <c r="C136" s="71">
        <v>4150</v>
      </c>
      <c r="D136" s="69">
        <v>4300</v>
      </c>
      <c r="E136" s="71">
        <v>5450</v>
      </c>
      <c r="F136" s="69">
        <v>5550</v>
      </c>
      <c r="G136" s="69">
        <v>4300</v>
      </c>
      <c r="H136" s="71">
        <v>5550</v>
      </c>
      <c r="I136" s="69">
        <v>4300</v>
      </c>
      <c r="J136" s="116">
        <v>5550</v>
      </c>
      <c r="K136" s="69">
        <v>4300</v>
      </c>
      <c r="L136" s="116">
        <v>5550</v>
      </c>
      <c r="M136" s="70">
        <v>4300</v>
      </c>
      <c r="N136" s="71">
        <v>5550</v>
      </c>
    </row>
    <row r="137" spans="1:14" x14ac:dyDescent="0.45">
      <c r="A137" s="51"/>
      <c r="B137" s="73">
        <v>6050</v>
      </c>
      <c r="C137" s="74">
        <v>5950</v>
      </c>
      <c r="D137" s="72">
        <v>6150</v>
      </c>
      <c r="E137" s="74">
        <v>6500</v>
      </c>
      <c r="F137" s="72">
        <v>6600</v>
      </c>
      <c r="G137" s="72">
        <v>6150</v>
      </c>
      <c r="H137" s="74">
        <v>6600</v>
      </c>
      <c r="I137" s="72">
        <v>6150</v>
      </c>
      <c r="J137" s="117">
        <v>6600</v>
      </c>
      <c r="K137" s="72">
        <v>6150</v>
      </c>
      <c r="L137" s="117">
        <v>6600</v>
      </c>
      <c r="M137" s="73">
        <v>6150</v>
      </c>
      <c r="N137" s="74">
        <v>6600</v>
      </c>
    </row>
    <row r="138" spans="1:14" ht="29.55" customHeight="1" x14ac:dyDescent="0.45">
      <c r="A138" s="9" t="s">
        <v>61</v>
      </c>
      <c r="B138" s="63">
        <v>270</v>
      </c>
      <c r="C138" s="83">
        <v>270</v>
      </c>
      <c r="D138" s="110">
        <v>270</v>
      </c>
      <c r="E138" s="83">
        <v>270</v>
      </c>
      <c r="F138" s="110">
        <v>270</v>
      </c>
      <c r="G138" s="110">
        <v>270</v>
      </c>
      <c r="H138" s="83">
        <v>270</v>
      </c>
      <c r="I138" s="110">
        <v>270</v>
      </c>
      <c r="J138" s="83">
        <v>270</v>
      </c>
      <c r="K138" s="110">
        <v>270</v>
      </c>
      <c r="L138" s="83">
        <v>270</v>
      </c>
      <c r="M138" s="63">
        <v>270</v>
      </c>
      <c r="N138" s="83">
        <v>270</v>
      </c>
    </row>
    <row r="140" spans="1:14" ht="18.5" customHeight="1" x14ac:dyDescent="0.55000000000000004">
      <c r="A140" s="24" t="s">
        <v>115</v>
      </c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4" x14ac:dyDescent="0.45">
      <c r="A141" s="132" t="s">
        <v>49</v>
      </c>
      <c r="B141" s="7">
        <v>2012</v>
      </c>
      <c r="C141" s="124">
        <v>2017</v>
      </c>
      <c r="D141" s="134"/>
      <c r="E141" s="125"/>
      <c r="F141" s="124">
        <v>2020</v>
      </c>
      <c r="G141" s="125"/>
      <c r="H141" s="124">
        <v>2030</v>
      </c>
      <c r="I141" s="125"/>
      <c r="J141" s="124">
        <v>2040</v>
      </c>
      <c r="K141" s="125"/>
      <c r="L141" s="124">
        <v>2050</v>
      </c>
      <c r="M141" s="125"/>
    </row>
    <row r="142" spans="1:14" ht="29.55" customHeight="1" x14ac:dyDescent="0.45">
      <c r="A142" s="129"/>
      <c r="B142" s="100" t="s">
        <v>50</v>
      </c>
      <c r="C142" s="8" t="s">
        <v>51</v>
      </c>
      <c r="D142" s="8" t="s">
        <v>52</v>
      </c>
      <c r="E142" s="8" t="s">
        <v>54</v>
      </c>
      <c r="F142" s="8" t="s">
        <v>52</v>
      </c>
      <c r="G142" s="8" t="s">
        <v>54</v>
      </c>
      <c r="H142" s="8" t="s">
        <v>52</v>
      </c>
      <c r="I142" s="8" t="s">
        <v>54</v>
      </c>
      <c r="J142" s="8" t="s">
        <v>52</v>
      </c>
      <c r="K142" s="8" t="s">
        <v>54</v>
      </c>
      <c r="L142" s="8" t="s">
        <v>52</v>
      </c>
      <c r="M142" s="8" t="s">
        <v>54</v>
      </c>
    </row>
    <row r="143" spans="1:14" x14ac:dyDescent="0.45">
      <c r="A143" s="9" t="s">
        <v>111</v>
      </c>
      <c r="B143" s="98">
        <v>70</v>
      </c>
      <c r="C143" s="98">
        <v>85</v>
      </c>
      <c r="D143" s="98">
        <v>85</v>
      </c>
      <c r="E143" s="98">
        <v>85</v>
      </c>
      <c r="F143" s="10">
        <v>85</v>
      </c>
      <c r="G143" s="10">
        <v>85</v>
      </c>
      <c r="H143" s="10">
        <v>85</v>
      </c>
      <c r="I143" s="10">
        <v>85</v>
      </c>
      <c r="J143" s="10">
        <v>85</v>
      </c>
      <c r="K143" s="10">
        <v>85</v>
      </c>
      <c r="L143" s="10">
        <v>85</v>
      </c>
      <c r="M143" s="10">
        <v>85</v>
      </c>
    </row>
    <row r="144" spans="1:14" x14ac:dyDescent="0.45">
      <c r="A144" s="8" t="s">
        <v>55</v>
      </c>
      <c r="B144" s="13">
        <v>300</v>
      </c>
      <c r="C144" s="13">
        <v>300</v>
      </c>
      <c r="D144" s="13">
        <v>300</v>
      </c>
      <c r="E144" s="13">
        <v>300</v>
      </c>
      <c r="F144" s="13">
        <v>300</v>
      </c>
      <c r="G144" s="13">
        <v>300</v>
      </c>
      <c r="H144" s="13">
        <v>300</v>
      </c>
      <c r="I144" s="13">
        <v>300</v>
      </c>
      <c r="J144" s="13">
        <v>300</v>
      </c>
      <c r="K144" s="13">
        <v>300</v>
      </c>
      <c r="L144" s="13">
        <v>300</v>
      </c>
      <c r="M144" s="13">
        <v>300</v>
      </c>
    </row>
    <row r="145" spans="1:13" x14ac:dyDescent="0.45">
      <c r="A145" s="9" t="s">
        <v>112</v>
      </c>
      <c r="B145" s="98">
        <v>79</v>
      </c>
      <c r="C145" s="98">
        <v>80</v>
      </c>
      <c r="D145" s="98">
        <v>81</v>
      </c>
      <c r="E145" s="98">
        <v>82</v>
      </c>
      <c r="F145" s="10">
        <v>81</v>
      </c>
      <c r="G145" s="10">
        <v>82</v>
      </c>
      <c r="H145" s="10">
        <v>81</v>
      </c>
      <c r="I145" s="10">
        <v>82</v>
      </c>
      <c r="J145" s="10">
        <v>81</v>
      </c>
      <c r="K145" s="10">
        <v>82</v>
      </c>
      <c r="L145" s="10">
        <v>81</v>
      </c>
      <c r="M145" s="10">
        <v>82</v>
      </c>
    </row>
    <row r="146" spans="1:13" x14ac:dyDescent="0.45">
      <c r="A146" s="8" t="s">
        <v>70</v>
      </c>
      <c r="B146" s="35">
        <v>13</v>
      </c>
      <c r="C146" s="35">
        <v>13</v>
      </c>
      <c r="D146" s="35">
        <v>13</v>
      </c>
      <c r="E146" s="35">
        <v>13</v>
      </c>
      <c r="F146" s="13">
        <v>13</v>
      </c>
      <c r="G146" s="13">
        <v>13</v>
      </c>
      <c r="H146" s="13">
        <v>13</v>
      </c>
      <c r="I146" s="13">
        <v>13</v>
      </c>
      <c r="J146" s="13">
        <v>13</v>
      </c>
      <c r="K146" s="13">
        <v>13</v>
      </c>
      <c r="L146" s="13">
        <v>13</v>
      </c>
      <c r="M146" s="13">
        <v>13</v>
      </c>
    </row>
    <row r="147" spans="1:13" x14ac:dyDescent="0.45">
      <c r="A147" s="9" t="s">
        <v>59</v>
      </c>
      <c r="B147" s="16">
        <v>4650</v>
      </c>
      <c r="C147" s="16">
        <v>4650</v>
      </c>
      <c r="D147" s="16">
        <v>4650</v>
      </c>
      <c r="E147" s="16">
        <v>4650</v>
      </c>
      <c r="F147" s="16">
        <v>4650</v>
      </c>
      <c r="G147" s="16">
        <v>4650</v>
      </c>
      <c r="H147" s="16">
        <v>4650</v>
      </c>
      <c r="I147" s="16">
        <v>4650</v>
      </c>
      <c r="J147" s="16">
        <v>4650</v>
      </c>
      <c r="K147" s="16">
        <v>4650</v>
      </c>
      <c r="L147" s="16">
        <v>4650</v>
      </c>
      <c r="M147" s="16">
        <v>4650</v>
      </c>
    </row>
    <row r="148" spans="1:13" x14ac:dyDescent="0.45">
      <c r="A148" s="8" t="s">
        <v>60</v>
      </c>
      <c r="B148" s="19">
        <v>5200</v>
      </c>
      <c r="C148" s="19">
        <v>5200</v>
      </c>
      <c r="D148" s="19">
        <v>5200</v>
      </c>
      <c r="E148" s="19">
        <v>5200</v>
      </c>
      <c r="F148" s="19">
        <v>5200</v>
      </c>
      <c r="G148" s="19">
        <v>5200</v>
      </c>
      <c r="H148" s="19">
        <v>5200</v>
      </c>
      <c r="I148" s="19">
        <v>5200</v>
      </c>
      <c r="J148" s="19">
        <v>5200</v>
      </c>
      <c r="K148" s="19">
        <v>5200</v>
      </c>
      <c r="L148" s="19">
        <v>5200</v>
      </c>
      <c r="M148" s="19">
        <v>5200</v>
      </c>
    </row>
    <row r="149" spans="1:13" ht="29.55" customHeight="1" x14ac:dyDescent="0.45">
      <c r="A149" s="87" t="s">
        <v>61</v>
      </c>
      <c r="B149" s="10">
        <v>168</v>
      </c>
      <c r="C149" s="10">
        <v>168</v>
      </c>
      <c r="D149" s="10">
        <v>168</v>
      </c>
      <c r="E149" s="10">
        <v>168</v>
      </c>
      <c r="F149" s="10">
        <v>168</v>
      </c>
      <c r="G149" s="10">
        <v>168</v>
      </c>
      <c r="H149" s="10">
        <v>168</v>
      </c>
      <c r="I149" s="10">
        <v>168</v>
      </c>
      <c r="J149" s="10">
        <v>168</v>
      </c>
      <c r="K149" s="10">
        <v>168</v>
      </c>
      <c r="L149" s="10">
        <v>168</v>
      </c>
      <c r="M149" s="10">
        <v>168</v>
      </c>
    </row>
  </sheetData>
  <mergeCells count="48">
    <mergeCell ref="D128:F128"/>
    <mergeCell ref="D53:G53"/>
    <mergeCell ref="J2:K2"/>
    <mergeCell ref="K116:L116"/>
    <mergeCell ref="C141:E141"/>
    <mergeCell ref="I128:J128"/>
    <mergeCell ref="K128:L128"/>
    <mergeCell ref="H141:I141"/>
    <mergeCell ref="A2:A3"/>
    <mergeCell ref="L14:M14"/>
    <mergeCell ref="L141:M141"/>
    <mergeCell ref="N14:O14"/>
    <mergeCell ref="A14:A15"/>
    <mergeCell ref="A21:A22"/>
    <mergeCell ref="C116:F116"/>
    <mergeCell ref="D40:G40"/>
    <mergeCell ref="A141:A142"/>
    <mergeCell ref="H2:I2"/>
    <mergeCell ref="A116:A117"/>
    <mergeCell ref="F141:G141"/>
    <mergeCell ref="A23:A24"/>
    <mergeCell ref="M116:N116"/>
    <mergeCell ref="D2:G2"/>
    <mergeCell ref="H14:I14"/>
    <mergeCell ref="N53:O53"/>
    <mergeCell ref="D14:G14"/>
    <mergeCell ref="J40:K40"/>
    <mergeCell ref="G116:H116"/>
    <mergeCell ref="N2:O2"/>
    <mergeCell ref="J53:K53"/>
    <mergeCell ref="L40:M40"/>
    <mergeCell ref="N40:O40"/>
    <mergeCell ref="A45:A46"/>
    <mergeCell ref="A7:A8"/>
    <mergeCell ref="A105:A106"/>
    <mergeCell ref="I116:J116"/>
    <mergeCell ref="C105:E105"/>
    <mergeCell ref="H40:I40"/>
    <mergeCell ref="A19:A20"/>
    <mergeCell ref="A49:A50"/>
    <mergeCell ref="A40:A41"/>
    <mergeCell ref="L2:M2"/>
    <mergeCell ref="H53:I53"/>
    <mergeCell ref="I15:J15"/>
    <mergeCell ref="J14:K14"/>
    <mergeCell ref="J141:K141"/>
    <mergeCell ref="L53:M53"/>
    <mergeCell ref="G128:H1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4"/>
  <sheetViews>
    <sheetView workbookViewId="0"/>
  </sheetViews>
  <sheetFormatPr defaultRowHeight="14.25" x14ac:dyDescent="0.45"/>
  <cols>
    <col min="2" max="2" width="23.73046875" customWidth="1"/>
    <col min="3" max="3" width="20.86328125" bestFit="1" customWidth="1"/>
    <col min="4" max="4" width="22.73046875" bestFit="1" customWidth="1"/>
    <col min="5" max="5" width="14.53125" bestFit="1" customWidth="1"/>
  </cols>
  <sheetData>
    <row r="1" spans="1:5" x14ac:dyDescent="0.45">
      <c r="A1" s="1" t="s">
        <v>245</v>
      </c>
    </row>
    <row r="2" spans="1:5" x14ac:dyDescent="0.45">
      <c r="A2" s="1" t="s">
        <v>246</v>
      </c>
      <c r="B2" t="s">
        <v>247</v>
      </c>
    </row>
    <row r="4" spans="1:5" s="1" customFormat="1" x14ac:dyDescent="0.45">
      <c r="A4" s="1" t="s">
        <v>248</v>
      </c>
      <c r="B4" s="1" t="s">
        <v>249</v>
      </c>
      <c r="C4" s="1" t="s">
        <v>250</v>
      </c>
      <c r="D4" s="1" t="s">
        <v>251</v>
      </c>
      <c r="E4" s="1" t="s">
        <v>252</v>
      </c>
    </row>
    <row r="5" spans="1:5" x14ac:dyDescent="0.45">
      <c r="A5">
        <v>2015</v>
      </c>
      <c r="B5" t="s">
        <v>253</v>
      </c>
      <c r="C5" t="s">
        <v>254</v>
      </c>
      <c r="D5" s="88">
        <v>96</v>
      </c>
      <c r="E5">
        <v>3.3</v>
      </c>
    </row>
    <row r="6" spans="1:5" x14ac:dyDescent="0.45">
      <c r="A6">
        <v>2015</v>
      </c>
      <c r="B6" t="s">
        <v>253</v>
      </c>
      <c r="C6" t="s">
        <v>255</v>
      </c>
      <c r="D6" s="88">
        <v>96</v>
      </c>
      <c r="E6">
        <v>3.3</v>
      </c>
    </row>
    <row r="7" spans="1:5" x14ac:dyDescent="0.45">
      <c r="A7">
        <v>2015</v>
      </c>
      <c r="B7" t="s">
        <v>253</v>
      </c>
      <c r="C7" t="s">
        <v>256</v>
      </c>
      <c r="D7" s="88">
        <v>96</v>
      </c>
      <c r="E7">
        <v>3.3</v>
      </c>
    </row>
    <row r="8" spans="1:5" x14ac:dyDescent="0.45">
      <c r="A8">
        <v>2015</v>
      </c>
      <c r="B8" t="s">
        <v>257</v>
      </c>
      <c r="C8" t="s">
        <v>254</v>
      </c>
      <c r="D8" s="88">
        <v>96</v>
      </c>
      <c r="E8">
        <v>1.5</v>
      </c>
    </row>
    <row r="9" spans="1:5" x14ac:dyDescent="0.45">
      <c r="A9">
        <v>2015</v>
      </c>
      <c r="B9" t="s">
        <v>257</v>
      </c>
      <c r="C9" t="s">
        <v>255</v>
      </c>
      <c r="D9" s="88">
        <v>96</v>
      </c>
      <c r="E9">
        <v>1.5</v>
      </c>
    </row>
    <row r="10" spans="1:5" x14ac:dyDescent="0.45">
      <c r="A10">
        <v>2015</v>
      </c>
      <c r="B10" t="s">
        <v>257</v>
      </c>
      <c r="C10" t="s">
        <v>256</v>
      </c>
      <c r="D10" s="88">
        <v>96</v>
      </c>
      <c r="E10">
        <v>1.5</v>
      </c>
    </row>
    <row r="11" spans="1:5" x14ac:dyDescent="0.45">
      <c r="A11">
        <v>2020</v>
      </c>
      <c r="B11" t="s">
        <v>253</v>
      </c>
      <c r="C11" t="s">
        <v>254</v>
      </c>
      <c r="D11" s="88">
        <v>85</v>
      </c>
      <c r="E11">
        <v>3.75</v>
      </c>
    </row>
    <row r="12" spans="1:5" x14ac:dyDescent="0.45">
      <c r="A12">
        <v>2020</v>
      </c>
      <c r="B12" t="s">
        <v>253</v>
      </c>
      <c r="C12" t="s">
        <v>255</v>
      </c>
      <c r="D12" s="88">
        <v>80</v>
      </c>
      <c r="E12">
        <v>4</v>
      </c>
    </row>
    <row r="13" spans="1:5" x14ac:dyDescent="0.45">
      <c r="A13">
        <v>2020</v>
      </c>
      <c r="B13" t="s">
        <v>253</v>
      </c>
      <c r="C13" t="s">
        <v>256</v>
      </c>
      <c r="D13" s="88">
        <v>92.873542513425079</v>
      </c>
      <c r="E13">
        <v>3.4</v>
      </c>
    </row>
    <row r="14" spans="1:5" x14ac:dyDescent="0.45">
      <c r="A14">
        <v>2020</v>
      </c>
      <c r="B14" t="s">
        <v>257</v>
      </c>
      <c r="C14" t="s">
        <v>254</v>
      </c>
      <c r="D14" s="88">
        <v>85</v>
      </c>
      <c r="E14">
        <v>2</v>
      </c>
    </row>
    <row r="15" spans="1:5" x14ac:dyDescent="0.45">
      <c r="A15">
        <v>2020</v>
      </c>
      <c r="B15" t="s">
        <v>257</v>
      </c>
      <c r="C15" t="s">
        <v>255</v>
      </c>
      <c r="D15" s="88">
        <v>80</v>
      </c>
      <c r="E15">
        <v>2.5</v>
      </c>
    </row>
    <row r="16" spans="1:5" x14ac:dyDescent="0.45">
      <c r="A16">
        <v>2020</v>
      </c>
      <c r="B16" t="s">
        <v>257</v>
      </c>
      <c r="C16" t="s">
        <v>256</v>
      </c>
      <c r="D16" s="88">
        <v>92.873542513425079</v>
      </c>
      <c r="E16">
        <v>1.75</v>
      </c>
    </row>
    <row r="17" spans="1:5" x14ac:dyDescent="0.45">
      <c r="A17">
        <v>2030</v>
      </c>
      <c r="B17" t="s">
        <v>253</v>
      </c>
      <c r="C17" t="s">
        <v>254</v>
      </c>
      <c r="D17" s="88">
        <v>73</v>
      </c>
      <c r="E17">
        <v>4</v>
      </c>
    </row>
    <row r="18" spans="1:5" x14ac:dyDescent="0.45">
      <c r="A18">
        <v>2030</v>
      </c>
      <c r="B18" t="s">
        <v>253</v>
      </c>
      <c r="C18" t="s">
        <v>255</v>
      </c>
      <c r="D18" s="88">
        <v>65</v>
      </c>
      <c r="E18">
        <v>4.5</v>
      </c>
    </row>
    <row r="19" spans="1:5" x14ac:dyDescent="0.45">
      <c r="A19">
        <v>2030</v>
      </c>
      <c r="B19" t="s">
        <v>253</v>
      </c>
      <c r="C19" t="s">
        <v>256</v>
      </c>
      <c r="D19" s="88">
        <v>86.922772048714748</v>
      </c>
      <c r="E19">
        <v>3.5</v>
      </c>
    </row>
    <row r="20" spans="1:5" x14ac:dyDescent="0.45">
      <c r="A20">
        <v>2030</v>
      </c>
      <c r="B20" t="s">
        <v>257</v>
      </c>
      <c r="C20" t="s">
        <v>254</v>
      </c>
      <c r="D20" s="88">
        <v>73</v>
      </c>
      <c r="E20">
        <v>2.5</v>
      </c>
    </row>
    <row r="21" spans="1:5" x14ac:dyDescent="0.45">
      <c r="A21">
        <v>2030</v>
      </c>
      <c r="B21" t="s">
        <v>257</v>
      </c>
      <c r="C21" t="s">
        <v>255</v>
      </c>
      <c r="D21" s="88">
        <v>65</v>
      </c>
      <c r="E21">
        <v>3</v>
      </c>
    </row>
    <row r="22" spans="1:5" x14ac:dyDescent="0.45">
      <c r="A22">
        <v>2030</v>
      </c>
      <c r="B22" t="s">
        <v>257</v>
      </c>
      <c r="C22" t="s">
        <v>256</v>
      </c>
      <c r="D22" s="88">
        <v>86.922772048714748</v>
      </c>
      <c r="E22">
        <v>2.1</v>
      </c>
    </row>
    <row r="23" spans="1:5" x14ac:dyDescent="0.45">
      <c r="A23">
        <v>2040</v>
      </c>
      <c r="B23" t="s">
        <v>253</v>
      </c>
      <c r="C23" t="s">
        <v>254</v>
      </c>
      <c r="D23" s="88">
        <v>65</v>
      </c>
      <c r="E23">
        <v>4.1500000000000004</v>
      </c>
    </row>
    <row r="24" spans="1:5" x14ac:dyDescent="0.45">
      <c r="A24">
        <v>2040</v>
      </c>
      <c r="B24" t="s">
        <v>253</v>
      </c>
      <c r="C24" t="s">
        <v>255</v>
      </c>
      <c r="D24" s="88">
        <v>60</v>
      </c>
      <c r="E24">
        <v>4.75</v>
      </c>
    </row>
    <row r="25" spans="1:5" x14ac:dyDescent="0.45">
      <c r="A25">
        <v>2040</v>
      </c>
      <c r="B25" t="s">
        <v>253</v>
      </c>
      <c r="C25" t="s">
        <v>256</v>
      </c>
      <c r="D25" s="88">
        <v>81.353290680611792</v>
      </c>
      <c r="E25">
        <v>3.6</v>
      </c>
    </row>
    <row r="26" spans="1:5" x14ac:dyDescent="0.45">
      <c r="A26">
        <v>2040</v>
      </c>
      <c r="B26" t="s">
        <v>257</v>
      </c>
      <c r="C26" t="s">
        <v>254</v>
      </c>
      <c r="D26" s="88">
        <v>65</v>
      </c>
      <c r="E26">
        <v>3</v>
      </c>
    </row>
    <row r="27" spans="1:5" x14ac:dyDescent="0.45">
      <c r="A27">
        <v>2040</v>
      </c>
      <c r="B27" t="s">
        <v>257</v>
      </c>
      <c r="C27" t="s">
        <v>255</v>
      </c>
      <c r="D27" s="88">
        <v>60</v>
      </c>
      <c r="E27">
        <v>3</v>
      </c>
    </row>
    <row r="28" spans="1:5" x14ac:dyDescent="0.45">
      <c r="A28">
        <v>2040</v>
      </c>
      <c r="B28" t="s">
        <v>257</v>
      </c>
      <c r="C28" t="s">
        <v>256</v>
      </c>
      <c r="D28" s="88">
        <v>81.353290680611792</v>
      </c>
      <c r="E28">
        <v>2.5</v>
      </c>
    </row>
    <row r="29" spans="1:5" x14ac:dyDescent="0.45">
      <c r="A29">
        <v>2050</v>
      </c>
      <c r="B29" t="s">
        <v>253</v>
      </c>
      <c r="C29" t="s">
        <v>254</v>
      </c>
      <c r="D29" s="88">
        <v>60.296369222717402</v>
      </c>
      <c r="E29">
        <v>4.25</v>
      </c>
    </row>
    <row r="30" spans="1:5" x14ac:dyDescent="0.45">
      <c r="A30">
        <v>2050</v>
      </c>
      <c r="B30" t="s">
        <v>253</v>
      </c>
      <c r="C30" t="s">
        <v>255</v>
      </c>
      <c r="D30" s="88">
        <v>57.599999999999987</v>
      </c>
      <c r="E30">
        <v>5</v>
      </c>
    </row>
    <row r="31" spans="1:5" x14ac:dyDescent="0.45">
      <c r="A31">
        <v>2050</v>
      </c>
      <c r="B31" t="s">
        <v>253</v>
      </c>
      <c r="C31" t="s">
        <v>256</v>
      </c>
      <c r="D31" s="88">
        <v>76.140667728071804</v>
      </c>
      <c r="E31">
        <v>3.7</v>
      </c>
    </row>
    <row r="32" spans="1:5" x14ac:dyDescent="0.45">
      <c r="A32">
        <v>2050</v>
      </c>
      <c r="B32" t="s">
        <v>257</v>
      </c>
      <c r="C32" t="s">
        <v>254</v>
      </c>
      <c r="D32" s="88">
        <v>60.296369222717402</v>
      </c>
      <c r="E32">
        <v>3</v>
      </c>
    </row>
    <row r="33" spans="1:5" x14ac:dyDescent="0.45">
      <c r="A33">
        <v>2050</v>
      </c>
      <c r="B33" t="s">
        <v>257</v>
      </c>
      <c r="C33" t="s">
        <v>255</v>
      </c>
      <c r="D33" s="88">
        <v>57.599999999999987</v>
      </c>
      <c r="E33">
        <v>3</v>
      </c>
    </row>
    <row r="34" spans="1:5" x14ac:dyDescent="0.45">
      <c r="A34">
        <v>2050</v>
      </c>
      <c r="B34" t="s">
        <v>257</v>
      </c>
      <c r="C34" t="s">
        <v>256</v>
      </c>
      <c r="D34" s="88">
        <v>76.140667728071804</v>
      </c>
      <c r="E34">
        <v>2.75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9"/>
  <sheetViews>
    <sheetView workbookViewId="0"/>
  </sheetViews>
  <sheetFormatPr defaultRowHeight="14.25" x14ac:dyDescent="0.45"/>
  <cols>
    <col min="2" max="2" width="17.265625" customWidth="1"/>
    <col min="3" max="3" width="22.86328125" bestFit="1" customWidth="1"/>
    <col min="4" max="4" width="23.86328125" bestFit="1" customWidth="1"/>
    <col min="5" max="5" width="17.265625" customWidth="1"/>
  </cols>
  <sheetData>
    <row r="1" spans="1:5" x14ac:dyDescent="0.45">
      <c r="A1" s="1" t="s">
        <v>258</v>
      </c>
    </row>
    <row r="2" spans="1:5" x14ac:dyDescent="0.45">
      <c r="A2" s="1" t="s">
        <v>246</v>
      </c>
      <c r="B2" t="s">
        <v>259</v>
      </c>
    </row>
    <row r="4" spans="1:5" x14ac:dyDescent="0.45">
      <c r="A4" s="1" t="s">
        <v>248</v>
      </c>
      <c r="B4" s="1" t="s">
        <v>249</v>
      </c>
      <c r="C4" s="1" t="s">
        <v>250</v>
      </c>
      <c r="D4" s="1" t="s">
        <v>251</v>
      </c>
      <c r="E4" s="1" t="s">
        <v>252</v>
      </c>
    </row>
    <row r="5" spans="1:5" x14ac:dyDescent="0.45">
      <c r="A5">
        <v>2015</v>
      </c>
      <c r="B5" t="s">
        <v>260</v>
      </c>
      <c r="C5" t="s">
        <v>254</v>
      </c>
      <c r="D5" s="88">
        <v>310</v>
      </c>
      <c r="E5">
        <v>2.4500000000000002</v>
      </c>
    </row>
    <row r="6" spans="1:5" x14ac:dyDescent="0.45">
      <c r="A6">
        <v>2015</v>
      </c>
      <c r="B6" t="s">
        <v>260</v>
      </c>
      <c r="C6" t="s">
        <v>255</v>
      </c>
      <c r="D6" s="88">
        <v>310</v>
      </c>
      <c r="E6">
        <v>2.4500000000000002</v>
      </c>
    </row>
    <row r="7" spans="1:5" x14ac:dyDescent="0.45">
      <c r="A7">
        <v>2015</v>
      </c>
      <c r="B7" t="s">
        <v>260</v>
      </c>
      <c r="C7" t="s">
        <v>256</v>
      </c>
      <c r="D7" s="88">
        <v>310</v>
      </c>
      <c r="E7">
        <v>2.4500000000000002</v>
      </c>
    </row>
    <row r="8" spans="1:5" x14ac:dyDescent="0.45">
      <c r="A8">
        <v>2020</v>
      </c>
      <c r="B8" t="s">
        <v>260</v>
      </c>
      <c r="C8" t="s">
        <v>254</v>
      </c>
      <c r="D8" s="88">
        <v>287.51781145613171</v>
      </c>
      <c r="E8">
        <v>3</v>
      </c>
    </row>
    <row r="9" spans="1:5" x14ac:dyDescent="0.45">
      <c r="A9">
        <v>2020</v>
      </c>
      <c r="B9" t="s">
        <v>260</v>
      </c>
      <c r="C9" t="s">
        <v>255</v>
      </c>
      <c r="D9" s="88">
        <v>281.0389027686914</v>
      </c>
      <c r="E9">
        <v>3</v>
      </c>
    </row>
    <row r="10" spans="1:5" x14ac:dyDescent="0.45">
      <c r="A10">
        <v>2020</v>
      </c>
      <c r="B10" t="s">
        <v>260</v>
      </c>
      <c r="C10" t="s">
        <v>256</v>
      </c>
      <c r="D10" s="88">
        <v>302.85282908362859</v>
      </c>
      <c r="E10">
        <v>3</v>
      </c>
    </row>
    <row r="11" spans="1:5" x14ac:dyDescent="0.45">
      <c r="A11">
        <v>2030</v>
      </c>
      <c r="B11" t="s">
        <v>260</v>
      </c>
      <c r="C11" t="s">
        <v>254</v>
      </c>
      <c r="D11" s="88">
        <v>247.326626775699</v>
      </c>
      <c r="E11">
        <v>3.25</v>
      </c>
    </row>
    <row r="12" spans="1:5" x14ac:dyDescent="0.45">
      <c r="A12">
        <v>2030</v>
      </c>
      <c r="B12" t="s">
        <v>260</v>
      </c>
      <c r="C12" t="s">
        <v>255</v>
      </c>
      <c r="D12" s="88">
        <v>219.56945138434571</v>
      </c>
      <c r="E12">
        <v>3.6</v>
      </c>
    </row>
    <row r="13" spans="1:5" x14ac:dyDescent="0.45">
      <c r="A13">
        <v>2030</v>
      </c>
      <c r="B13" t="s">
        <v>260</v>
      </c>
      <c r="C13" t="s">
        <v>256</v>
      </c>
      <c r="D13" s="88">
        <v>289.04903060471639</v>
      </c>
      <c r="E13">
        <v>3</v>
      </c>
    </row>
    <row r="14" spans="1:5" x14ac:dyDescent="0.45">
      <c r="A14">
        <v>2040</v>
      </c>
      <c r="B14" t="s">
        <v>260</v>
      </c>
      <c r="C14" t="s">
        <v>254</v>
      </c>
      <c r="D14" s="88">
        <v>212.75363777446901</v>
      </c>
      <c r="E14">
        <v>3.35</v>
      </c>
    </row>
    <row r="15" spans="1:5" x14ac:dyDescent="0.45">
      <c r="A15">
        <v>2040</v>
      </c>
      <c r="B15" t="s">
        <v>260</v>
      </c>
      <c r="C15" t="s">
        <v>255</v>
      </c>
      <c r="D15" s="88">
        <v>180</v>
      </c>
      <c r="E15">
        <v>3.85</v>
      </c>
    </row>
    <row r="16" spans="1:5" x14ac:dyDescent="0.45">
      <c r="A16">
        <v>2040</v>
      </c>
      <c r="B16" t="s">
        <v>260</v>
      </c>
      <c r="C16" t="s">
        <v>256</v>
      </c>
      <c r="D16" s="88">
        <v>275.87439861905739</v>
      </c>
      <c r="E16">
        <v>3</v>
      </c>
    </row>
    <row r="17" spans="1:5" x14ac:dyDescent="0.45">
      <c r="A17">
        <v>2050</v>
      </c>
      <c r="B17" t="s">
        <v>260</v>
      </c>
      <c r="C17" t="s">
        <v>254</v>
      </c>
      <c r="D17" s="88">
        <v>184.45</v>
      </c>
      <c r="E17">
        <v>3.43</v>
      </c>
    </row>
    <row r="18" spans="1:5" x14ac:dyDescent="0.45">
      <c r="A18">
        <v>2050</v>
      </c>
      <c r="B18" t="s">
        <v>260</v>
      </c>
      <c r="C18" t="s">
        <v>255</v>
      </c>
      <c r="D18" s="88">
        <v>158.1</v>
      </c>
      <c r="E18">
        <v>3.92</v>
      </c>
    </row>
    <row r="19" spans="1:5" x14ac:dyDescent="0.45">
      <c r="A19">
        <v>2050</v>
      </c>
      <c r="B19" t="s">
        <v>260</v>
      </c>
      <c r="C19" t="s">
        <v>256</v>
      </c>
      <c r="D19" s="88">
        <v>263.5</v>
      </c>
      <c r="E19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E92"/>
  <sheetViews>
    <sheetView workbookViewId="0">
      <selection activeCell="F27" sqref="F27"/>
    </sheetView>
  </sheetViews>
  <sheetFormatPr defaultRowHeight="14.25" x14ac:dyDescent="0.45"/>
  <sheetData>
    <row r="1" spans="1:31" x14ac:dyDescent="0.45">
      <c r="A1" t="s">
        <v>116</v>
      </c>
    </row>
    <row r="2" spans="1:31" x14ac:dyDescent="0.45">
      <c r="A2" t="s">
        <v>554</v>
      </c>
    </row>
    <row r="3" spans="1:31" x14ac:dyDescent="0.45">
      <c r="A3" t="s">
        <v>555</v>
      </c>
    </row>
    <row r="4" spans="1:31" x14ac:dyDescent="0.45">
      <c r="A4" t="s">
        <v>117</v>
      </c>
    </row>
    <row r="5" spans="1:31" x14ac:dyDescent="0.45">
      <c r="B5" t="s">
        <v>118</v>
      </c>
      <c r="C5" t="s">
        <v>119</v>
      </c>
      <c r="D5" t="s">
        <v>120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298</v>
      </c>
    </row>
    <row r="6" spans="1:31" x14ac:dyDescent="0.45">
      <c r="A6" t="s">
        <v>121</v>
      </c>
    </row>
    <row r="7" spans="1:31" x14ac:dyDescent="0.45">
      <c r="A7" t="s">
        <v>122</v>
      </c>
    </row>
    <row r="8" spans="1:31" x14ac:dyDescent="0.45">
      <c r="A8" t="s">
        <v>123</v>
      </c>
      <c r="B8" t="s">
        <v>556</v>
      </c>
      <c r="C8" t="s">
        <v>557</v>
      </c>
      <c r="D8" t="s">
        <v>124</v>
      </c>
      <c r="E8">
        <v>17.311983000000001</v>
      </c>
      <c r="F8">
        <v>17.749022</v>
      </c>
      <c r="G8">
        <v>18.189437999999999</v>
      </c>
      <c r="H8">
        <v>18.620296</v>
      </c>
      <c r="I8">
        <v>19.048622000000002</v>
      </c>
      <c r="J8">
        <v>19.472925</v>
      </c>
      <c r="K8">
        <v>19.896325999999998</v>
      </c>
      <c r="L8">
        <v>20.319126000000001</v>
      </c>
      <c r="M8">
        <v>20.735678</v>
      </c>
      <c r="N8">
        <v>21.139624000000001</v>
      </c>
      <c r="O8">
        <v>21.534763000000002</v>
      </c>
      <c r="P8">
        <v>21.918703000000001</v>
      </c>
      <c r="Q8">
        <v>22.287914000000001</v>
      </c>
      <c r="R8">
        <v>22.643485999999999</v>
      </c>
      <c r="S8">
        <v>22.982574</v>
      </c>
      <c r="T8">
        <v>23.308935000000002</v>
      </c>
      <c r="U8">
        <v>23.621449999999999</v>
      </c>
      <c r="V8">
        <v>23.92503</v>
      </c>
      <c r="W8">
        <v>24.216194000000002</v>
      </c>
      <c r="X8">
        <v>24.497820000000001</v>
      </c>
      <c r="Y8">
        <v>24.778502</v>
      </c>
      <c r="Z8">
        <v>25.059135000000001</v>
      </c>
      <c r="AA8">
        <v>25.339226</v>
      </c>
      <c r="AB8">
        <v>25.618915999999999</v>
      </c>
      <c r="AC8">
        <v>25.898472000000002</v>
      </c>
      <c r="AD8">
        <v>26.179151999999998</v>
      </c>
      <c r="AE8" t="s">
        <v>558</v>
      </c>
    </row>
    <row r="9" spans="1:31" x14ac:dyDescent="0.45">
      <c r="A9" t="s">
        <v>125</v>
      </c>
      <c r="B9" t="s">
        <v>559</v>
      </c>
      <c r="C9" t="s">
        <v>560</v>
      </c>
      <c r="D9" t="s">
        <v>124</v>
      </c>
      <c r="E9">
        <v>27.181431</v>
      </c>
      <c r="F9">
        <v>27.515512000000001</v>
      </c>
      <c r="G9">
        <v>27.865957000000002</v>
      </c>
      <c r="H9">
        <v>28.217012</v>
      </c>
      <c r="I9">
        <v>28.567571999999998</v>
      </c>
      <c r="J9">
        <v>28.915745000000001</v>
      </c>
      <c r="K9">
        <v>29.279917000000001</v>
      </c>
      <c r="L9">
        <v>29.647375</v>
      </c>
      <c r="M9">
        <v>30.010169999999999</v>
      </c>
      <c r="N9">
        <v>30.363132</v>
      </c>
      <c r="O9">
        <v>30.709727999999998</v>
      </c>
      <c r="P9">
        <v>31.049109000000001</v>
      </c>
      <c r="Q9">
        <v>31.363337000000001</v>
      </c>
      <c r="R9">
        <v>31.661715000000001</v>
      </c>
      <c r="S9">
        <v>31.943415000000002</v>
      </c>
      <c r="T9">
        <v>32.213225999999999</v>
      </c>
      <c r="U9">
        <v>32.469130999999997</v>
      </c>
      <c r="V9">
        <v>32.713242000000001</v>
      </c>
      <c r="W9">
        <v>32.952083999999999</v>
      </c>
      <c r="X9">
        <v>33.190829999999998</v>
      </c>
      <c r="Y9">
        <v>33.431499000000002</v>
      </c>
      <c r="Z9">
        <v>33.672843999999998</v>
      </c>
      <c r="AA9">
        <v>33.914619000000002</v>
      </c>
      <c r="AB9">
        <v>34.156719000000002</v>
      </c>
      <c r="AC9">
        <v>34.399776000000003</v>
      </c>
      <c r="AD9">
        <v>34.644348000000001</v>
      </c>
      <c r="AE9" t="s">
        <v>351</v>
      </c>
    </row>
    <row r="10" spans="1:31" x14ac:dyDescent="0.45">
      <c r="A10" t="s">
        <v>126</v>
      </c>
      <c r="B10" t="s">
        <v>561</v>
      </c>
      <c r="C10" t="s">
        <v>562</v>
      </c>
      <c r="D10" t="s">
        <v>124</v>
      </c>
      <c r="E10">
        <v>1.3534809999999999</v>
      </c>
      <c r="F10">
        <v>1.362886</v>
      </c>
      <c r="G10">
        <v>1.372539</v>
      </c>
      <c r="H10">
        <v>1.381982</v>
      </c>
      <c r="I10">
        <v>1.3914569999999999</v>
      </c>
      <c r="J10">
        <v>1.401143</v>
      </c>
      <c r="K10">
        <v>1.411546</v>
      </c>
      <c r="L10">
        <v>1.4220060000000001</v>
      </c>
      <c r="M10">
        <v>1.432234</v>
      </c>
      <c r="N10">
        <v>1.442105</v>
      </c>
      <c r="O10">
        <v>1.451719</v>
      </c>
      <c r="P10">
        <v>1.4610829999999999</v>
      </c>
      <c r="Q10">
        <v>1.469427</v>
      </c>
      <c r="R10">
        <v>1.4771780000000001</v>
      </c>
      <c r="S10">
        <v>1.484383</v>
      </c>
      <c r="T10">
        <v>1.491171</v>
      </c>
      <c r="U10">
        <v>1.4974749999999999</v>
      </c>
      <c r="V10">
        <v>1.50339</v>
      </c>
      <c r="W10">
        <v>1.5091540000000001</v>
      </c>
      <c r="X10">
        <v>1.5149699999999999</v>
      </c>
      <c r="Y10">
        <v>1.520823</v>
      </c>
      <c r="Z10">
        <v>1.5266820000000001</v>
      </c>
      <c r="AA10">
        <v>1.532497</v>
      </c>
      <c r="AB10">
        <v>1.5382849999999999</v>
      </c>
      <c r="AC10">
        <v>1.544062</v>
      </c>
      <c r="AD10">
        <v>1.5498529999999999</v>
      </c>
      <c r="AE10" t="s">
        <v>364</v>
      </c>
    </row>
    <row r="11" spans="1:31" x14ac:dyDescent="0.45">
      <c r="A11" t="s">
        <v>127</v>
      </c>
      <c r="B11" t="s">
        <v>563</v>
      </c>
      <c r="C11" t="s">
        <v>564</v>
      </c>
      <c r="D11" t="s">
        <v>124</v>
      </c>
      <c r="E11">
        <v>65.676497999999995</v>
      </c>
      <c r="F11">
        <v>66.275077999999993</v>
      </c>
      <c r="G11">
        <v>66.880843999999996</v>
      </c>
      <c r="H11">
        <v>67.475455999999994</v>
      </c>
      <c r="I11">
        <v>68.067947000000004</v>
      </c>
      <c r="J11">
        <v>68.658011999999999</v>
      </c>
      <c r="K11">
        <v>69.244476000000006</v>
      </c>
      <c r="L11">
        <v>69.829482999999996</v>
      </c>
      <c r="M11">
        <v>70.404747</v>
      </c>
      <c r="N11">
        <v>70.963165000000004</v>
      </c>
      <c r="O11">
        <v>71.509583000000006</v>
      </c>
      <c r="P11">
        <v>72.040465999999995</v>
      </c>
      <c r="Q11">
        <v>72.550301000000005</v>
      </c>
      <c r="R11">
        <v>73.040488999999994</v>
      </c>
      <c r="S11">
        <v>73.507484000000005</v>
      </c>
      <c r="T11">
        <v>73.955642999999995</v>
      </c>
      <c r="U11">
        <v>74.382568000000006</v>
      </c>
      <c r="V11">
        <v>74.796256999999997</v>
      </c>
      <c r="W11">
        <v>75.194984000000005</v>
      </c>
      <c r="X11">
        <v>75.582877999999994</v>
      </c>
      <c r="Y11">
        <v>75.97184</v>
      </c>
      <c r="Z11">
        <v>76.362976000000003</v>
      </c>
      <c r="AA11">
        <v>76.752701000000002</v>
      </c>
      <c r="AB11">
        <v>77.141457000000003</v>
      </c>
      <c r="AC11">
        <v>77.529769999999999</v>
      </c>
      <c r="AD11">
        <v>77.919685000000001</v>
      </c>
      <c r="AE11" t="s">
        <v>430</v>
      </c>
    </row>
    <row r="12" spans="1:31" x14ac:dyDescent="0.45">
      <c r="A12" t="s">
        <v>128</v>
      </c>
      <c r="B12" t="s">
        <v>565</v>
      </c>
      <c r="C12" t="s">
        <v>566</v>
      </c>
      <c r="D12" t="s">
        <v>124</v>
      </c>
      <c r="E12">
        <v>4.6737549999999999</v>
      </c>
      <c r="F12">
        <v>4.6422800000000004</v>
      </c>
      <c r="G12">
        <v>4.6102230000000004</v>
      </c>
      <c r="H12">
        <v>4.5781340000000004</v>
      </c>
      <c r="I12">
        <v>4.546576</v>
      </c>
      <c r="J12">
        <v>4.5154690000000004</v>
      </c>
      <c r="K12">
        <v>4.4839739999999999</v>
      </c>
      <c r="L12">
        <v>4.4538039999999999</v>
      </c>
      <c r="M12">
        <v>4.424804</v>
      </c>
      <c r="N12">
        <v>4.3976670000000002</v>
      </c>
      <c r="O12">
        <v>4.372064</v>
      </c>
      <c r="P12">
        <v>4.3475010000000003</v>
      </c>
      <c r="Q12">
        <v>4.3242209999999996</v>
      </c>
      <c r="R12">
        <v>4.3016819999999996</v>
      </c>
      <c r="S12">
        <v>4.2798569999999998</v>
      </c>
      <c r="T12">
        <v>4.2586279999999999</v>
      </c>
      <c r="U12">
        <v>4.237717</v>
      </c>
      <c r="V12">
        <v>4.2175820000000002</v>
      </c>
      <c r="W12">
        <v>4.1980930000000001</v>
      </c>
      <c r="X12">
        <v>4.1792980000000002</v>
      </c>
      <c r="Y12">
        <v>4.1611890000000002</v>
      </c>
      <c r="Z12">
        <v>4.1435909999999998</v>
      </c>
      <c r="AA12">
        <v>4.1251040000000003</v>
      </c>
      <c r="AB12">
        <v>4.1058329999999996</v>
      </c>
      <c r="AC12">
        <v>4.0859059999999996</v>
      </c>
      <c r="AD12">
        <v>4.0656650000000001</v>
      </c>
      <c r="AE12" t="s">
        <v>492</v>
      </c>
    </row>
    <row r="13" spans="1:31" x14ac:dyDescent="0.45">
      <c r="A13" t="s">
        <v>129</v>
      </c>
      <c r="B13" t="s">
        <v>567</v>
      </c>
      <c r="C13" t="s">
        <v>568</v>
      </c>
      <c r="D13" t="s">
        <v>124</v>
      </c>
      <c r="E13">
        <v>5.2395709999999998</v>
      </c>
      <c r="F13">
        <v>5.2549010000000003</v>
      </c>
      <c r="G13">
        <v>5.2751890000000001</v>
      </c>
      <c r="H13">
        <v>5.292929</v>
      </c>
      <c r="I13">
        <v>5.3152679999999997</v>
      </c>
      <c r="J13">
        <v>5.332719</v>
      </c>
      <c r="K13">
        <v>5.3451440000000003</v>
      </c>
      <c r="L13">
        <v>5.3563660000000004</v>
      </c>
      <c r="M13">
        <v>5.3660180000000004</v>
      </c>
      <c r="N13">
        <v>5.3747540000000003</v>
      </c>
      <c r="O13">
        <v>5.3829750000000001</v>
      </c>
      <c r="P13">
        <v>5.3903879999999997</v>
      </c>
      <c r="Q13">
        <v>5.3971450000000001</v>
      </c>
      <c r="R13">
        <v>5.402469</v>
      </c>
      <c r="S13">
        <v>5.4060649999999999</v>
      </c>
      <c r="T13">
        <v>5.4090369999999997</v>
      </c>
      <c r="U13">
        <v>5.4112850000000003</v>
      </c>
      <c r="V13">
        <v>5.4132400000000001</v>
      </c>
      <c r="W13">
        <v>5.4150200000000002</v>
      </c>
      <c r="X13">
        <v>5.4168830000000003</v>
      </c>
      <c r="Y13">
        <v>5.4196330000000001</v>
      </c>
      <c r="Z13">
        <v>5.4235189999999998</v>
      </c>
      <c r="AA13">
        <v>5.4257790000000004</v>
      </c>
      <c r="AB13">
        <v>5.426469</v>
      </c>
      <c r="AC13">
        <v>5.4259060000000003</v>
      </c>
      <c r="AD13">
        <v>5.424696</v>
      </c>
      <c r="AE13" t="s">
        <v>307</v>
      </c>
    </row>
    <row r="14" spans="1:31" x14ac:dyDescent="0.45">
      <c r="A14" t="s">
        <v>130</v>
      </c>
      <c r="B14" t="s">
        <v>569</v>
      </c>
      <c r="C14" t="s">
        <v>570</v>
      </c>
      <c r="D14" t="s">
        <v>124</v>
      </c>
      <c r="E14">
        <v>2.2090990000000001</v>
      </c>
      <c r="F14">
        <v>2.206372</v>
      </c>
      <c r="G14">
        <v>2.2047159999999999</v>
      </c>
      <c r="H14">
        <v>2.2026789999999998</v>
      </c>
      <c r="I14">
        <v>2.2002570000000001</v>
      </c>
      <c r="J14">
        <v>2.1964980000000001</v>
      </c>
      <c r="K14">
        <v>2.1924929999999998</v>
      </c>
      <c r="L14">
        <v>2.1884109999999999</v>
      </c>
      <c r="M14">
        <v>2.183818</v>
      </c>
      <c r="N14">
        <v>2.179103</v>
      </c>
      <c r="O14">
        <v>2.1740590000000002</v>
      </c>
      <c r="P14">
        <v>2.1687409999999998</v>
      </c>
      <c r="Q14">
        <v>2.1626880000000002</v>
      </c>
      <c r="R14">
        <v>2.1560899999999998</v>
      </c>
      <c r="S14">
        <v>2.1488040000000002</v>
      </c>
      <c r="T14">
        <v>2.1411419999999999</v>
      </c>
      <c r="U14">
        <v>2.1330819999999999</v>
      </c>
      <c r="V14">
        <v>2.125569</v>
      </c>
      <c r="W14">
        <v>2.1186440000000002</v>
      </c>
      <c r="X14">
        <v>2.112358</v>
      </c>
      <c r="Y14">
        <v>2.1066569999999998</v>
      </c>
      <c r="Z14">
        <v>2.1014249999999999</v>
      </c>
      <c r="AA14">
        <v>2.0966870000000002</v>
      </c>
      <c r="AB14">
        <v>2.0924040000000002</v>
      </c>
      <c r="AC14">
        <v>2.0886610000000001</v>
      </c>
      <c r="AD14">
        <v>2.0855130000000002</v>
      </c>
      <c r="AE14" t="s">
        <v>408</v>
      </c>
    </row>
    <row r="15" spans="1:31" x14ac:dyDescent="0.45">
      <c r="A15" t="s">
        <v>131</v>
      </c>
      <c r="B15" t="s">
        <v>571</v>
      </c>
      <c r="C15" t="s">
        <v>572</v>
      </c>
      <c r="D15" t="s">
        <v>124</v>
      </c>
      <c r="E15">
        <v>1.313477</v>
      </c>
      <c r="F15">
        <v>1.3238179999999999</v>
      </c>
      <c r="G15">
        <v>1.3355079999999999</v>
      </c>
      <c r="H15">
        <v>1.347146</v>
      </c>
      <c r="I15">
        <v>1.358514</v>
      </c>
      <c r="J15">
        <v>1.368395</v>
      </c>
      <c r="K15">
        <v>1.3780220000000001</v>
      </c>
      <c r="L15">
        <v>1.387662</v>
      </c>
      <c r="M15">
        <v>1.3971420000000001</v>
      </c>
      <c r="N15">
        <v>1.4063639999999999</v>
      </c>
      <c r="O15">
        <v>1.415457</v>
      </c>
      <c r="P15">
        <v>1.424366</v>
      </c>
      <c r="Q15">
        <v>1.432796</v>
      </c>
      <c r="R15">
        <v>1.4408460000000001</v>
      </c>
      <c r="S15">
        <v>1.448364</v>
      </c>
      <c r="T15">
        <v>1.455673</v>
      </c>
      <c r="U15">
        <v>1.462747</v>
      </c>
      <c r="V15">
        <v>1.469619</v>
      </c>
      <c r="W15">
        <v>1.4763219999999999</v>
      </c>
      <c r="X15">
        <v>1.4829699999999999</v>
      </c>
      <c r="Y15">
        <v>1.489655</v>
      </c>
      <c r="Z15">
        <v>1.496316</v>
      </c>
      <c r="AA15">
        <v>1.5029079999999999</v>
      </c>
      <c r="AB15">
        <v>1.509388</v>
      </c>
      <c r="AC15">
        <v>1.5158069999999999</v>
      </c>
      <c r="AD15">
        <v>1.522205</v>
      </c>
      <c r="AE15" t="s">
        <v>341</v>
      </c>
    </row>
    <row r="16" spans="1:31" x14ac:dyDescent="0.45">
      <c r="A16" t="s">
        <v>132</v>
      </c>
      <c r="B16" t="s">
        <v>573</v>
      </c>
      <c r="C16" t="s">
        <v>574</v>
      </c>
      <c r="D16" t="s">
        <v>124</v>
      </c>
      <c r="E16">
        <v>124.95929</v>
      </c>
      <c r="F16">
        <v>126.329865</v>
      </c>
      <c r="G16">
        <v>127.734421</v>
      </c>
      <c r="H16">
        <v>129.115646</v>
      </c>
      <c r="I16">
        <v>130.49623099999999</v>
      </c>
      <c r="J16">
        <v>131.860916</v>
      </c>
      <c r="K16">
        <v>133.231888</v>
      </c>
      <c r="L16">
        <v>134.60423299999999</v>
      </c>
      <c r="M16">
        <v>135.95462000000001</v>
      </c>
      <c r="N16">
        <v>137.26591500000001</v>
      </c>
      <c r="O16">
        <v>138.550354</v>
      </c>
      <c r="P16">
        <v>139.800354</v>
      </c>
      <c r="Q16">
        <v>140.98782299999999</v>
      </c>
      <c r="R16">
        <v>142.123932</v>
      </c>
      <c r="S16">
        <v>143.200943</v>
      </c>
      <c r="T16">
        <v>144.23345900000001</v>
      </c>
      <c r="U16">
        <v>145.21546900000001</v>
      </c>
      <c r="V16">
        <v>146.16392500000001</v>
      </c>
      <c r="W16">
        <v>147.08049</v>
      </c>
      <c r="X16">
        <v>147.97799699999999</v>
      </c>
      <c r="Y16">
        <v>148.879807</v>
      </c>
      <c r="Z16">
        <v>149.78649899999999</v>
      </c>
      <c r="AA16">
        <v>150.68952899999999</v>
      </c>
      <c r="AB16">
        <v>151.58947800000001</v>
      </c>
      <c r="AC16">
        <v>152.48834199999999</v>
      </c>
      <c r="AD16">
        <v>153.39111299999999</v>
      </c>
      <c r="AE16" t="s">
        <v>301</v>
      </c>
    </row>
    <row r="17" spans="1:31" x14ac:dyDescent="0.45">
      <c r="A17" t="s">
        <v>133</v>
      </c>
    </row>
    <row r="18" spans="1:31" x14ac:dyDescent="0.45">
      <c r="A18" t="s">
        <v>123</v>
      </c>
      <c r="B18" t="s">
        <v>575</v>
      </c>
      <c r="C18" t="s">
        <v>576</v>
      </c>
      <c r="D18" t="s">
        <v>124</v>
      </c>
      <c r="E18">
        <v>17.311980999999999</v>
      </c>
      <c r="F18">
        <v>17.749023000000001</v>
      </c>
      <c r="G18">
        <v>18.189427999999999</v>
      </c>
      <c r="H18">
        <v>18.620301999999999</v>
      </c>
      <c r="I18">
        <v>19.048615000000002</v>
      </c>
      <c r="J18">
        <v>19.472926999999999</v>
      </c>
      <c r="K18">
        <v>19.896329999999999</v>
      </c>
      <c r="L18">
        <v>20.319123999999999</v>
      </c>
      <c r="M18">
        <v>20.735673999999999</v>
      </c>
      <c r="N18">
        <v>21.139621999999999</v>
      </c>
      <c r="O18">
        <v>21.534761</v>
      </c>
      <c r="P18">
        <v>21.918699</v>
      </c>
      <c r="Q18">
        <v>22.287915999999999</v>
      </c>
      <c r="R18">
        <v>22.643476</v>
      </c>
      <c r="S18">
        <v>22.982578</v>
      </c>
      <c r="T18">
        <v>23.308931000000001</v>
      </c>
      <c r="U18">
        <v>23.621455999999998</v>
      </c>
      <c r="V18">
        <v>23.925042999999999</v>
      </c>
      <c r="W18">
        <v>24.216196</v>
      </c>
      <c r="X18">
        <v>24.497821999999999</v>
      </c>
      <c r="Y18">
        <v>24.778507000000001</v>
      </c>
      <c r="Z18">
        <v>25.059124000000001</v>
      </c>
      <c r="AA18">
        <v>25.339233</v>
      </c>
      <c r="AB18">
        <v>25.618922999999999</v>
      </c>
      <c r="AC18">
        <v>25.898475999999999</v>
      </c>
      <c r="AD18">
        <v>26.179152999999999</v>
      </c>
      <c r="AE18" t="s">
        <v>558</v>
      </c>
    </row>
    <row r="19" spans="1:31" x14ac:dyDescent="0.45">
      <c r="A19" t="s">
        <v>126</v>
      </c>
      <c r="B19" t="s">
        <v>577</v>
      </c>
      <c r="C19" t="s">
        <v>578</v>
      </c>
      <c r="D19" t="s">
        <v>124</v>
      </c>
      <c r="E19">
        <v>1.3534809999999999</v>
      </c>
      <c r="F19">
        <v>1.362886</v>
      </c>
      <c r="G19">
        <v>1.372539</v>
      </c>
      <c r="H19">
        <v>1.381982</v>
      </c>
      <c r="I19">
        <v>1.3914569999999999</v>
      </c>
      <c r="J19">
        <v>1.401143</v>
      </c>
      <c r="K19">
        <v>1.411546</v>
      </c>
      <c r="L19">
        <v>1.4220060000000001</v>
      </c>
      <c r="M19">
        <v>1.432234</v>
      </c>
      <c r="N19">
        <v>1.442105</v>
      </c>
      <c r="O19">
        <v>1.4517199999999999</v>
      </c>
      <c r="P19">
        <v>1.461082</v>
      </c>
      <c r="Q19">
        <v>1.469427</v>
      </c>
      <c r="R19">
        <v>1.4771780000000001</v>
      </c>
      <c r="S19">
        <v>1.484383</v>
      </c>
      <c r="T19">
        <v>1.4911719999999999</v>
      </c>
      <c r="U19">
        <v>1.4974749999999999</v>
      </c>
      <c r="V19">
        <v>1.5033890000000001</v>
      </c>
      <c r="W19">
        <v>1.509155</v>
      </c>
      <c r="X19">
        <v>1.5149699999999999</v>
      </c>
      <c r="Y19">
        <v>1.520824</v>
      </c>
      <c r="Z19">
        <v>1.5266820000000001</v>
      </c>
      <c r="AA19">
        <v>1.532497</v>
      </c>
      <c r="AB19">
        <v>1.5382849999999999</v>
      </c>
      <c r="AC19">
        <v>1.544062</v>
      </c>
      <c r="AD19">
        <v>1.5498529999999999</v>
      </c>
      <c r="AE19" t="s">
        <v>364</v>
      </c>
    </row>
    <row r="20" spans="1:31" x14ac:dyDescent="0.45">
      <c r="A20" t="s">
        <v>131</v>
      </c>
      <c r="B20" t="s">
        <v>579</v>
      </c>
      <c r="C20" t="s">
        <v>580</v>
      </c>
      <c r="D20" t="s">
        <v>124</v>
      </c>
      <c r="E20">
        <v>1.3134760000000001</v>
      </c>
      <c r="F20">
        <v>1.3238179999999999</v>
      </c>
      <c r="G20">
        <v>1.3355079999999999</v>
      </c>
      <c r="H20">
        <v>1.347146</v>
      </c>
      <c r="I20">
        <v>1.358514</v>
      </c>
      <c r="J20">
        <v>1.3683959999999999</v>
      </c>
      <c r="K20">
        <v>1.3780220000000001</v>
      </c>
      <c r="L20">
        <v>1.387662</v>
      </c>
      <c r="M20">
        <v>1.3971420000000001</v>
      </c>
      <c r="N20">
        <v>1.4063639999999999</v>
      </c>
      <c r="O20">
        <v>1.415457</v>
      </c>
      <c r="P20">
        <v>1.424366</v>
      </c>
      <c r="Q20">
        <v>1.4327970000000001</v>
      </c>
      <c r="R20">
        <v>1.4408460000000001</v>
      </c>
      <c r="S20">
        <v>1.448364</v>
      </c>
      <c r="T20">
        <v>1.455673</v>
      </c>
      <c r="U20">
        <v>1.4627479999999999</v>
      </c>
      <c r="V20">
        <v>1.469619</v>
      </c>
      <c r="W20">
        <v>1.4763230000000001</v>
      </c>
      <c r="X20">
        <v>1.482969</v>
      </c>
      <c r="Y20">
        <v>1.489655</v>
      </c>
      <c r="Z20">
        <v>1.496316</v>
      </c>
      <c r="AA20">
        <v>1.5029079999999999</v>
      </c>
      <c r="AB20">
        <v>1.509388</v>
      </c>
      <c r="AC20">
        <v>1.5158069999999999</v>
      </c>
      <c r="AD20">
        <v>1.522205</v>
      </c>
      <c r="AE20" t="s">
        <v>341</v>
      </c>
    </row>
    <row r="21" spans="1:31" x14ac:dyDescent="0.45">
      <c r="A21" t="s">
        <v>134</v>
      </c>
      <c r="B21" t="s">
        <v>581</v>
      </c>
      <c r="C21" t="s">
        <v>582</v>
      </c>
      <c r="D21" t="s">
        <v>124</v>
      </c>
      <c r="E21">
        <v>80.644835999999998</v>
      </c>
      <c r="F21">
        <v>81.803375000000003</v>
      </c>
      <c r="G21">
        <v>82.981055999999995</v>
      </c>
      <c r="H21">
        <v>84.147582999999997</v>
      </c>
      <c r="I21">
        <v>85.314003</v>
      </c>
      <c r="J21">
        <v>86.473327999999995</v>
      </c>
      <c r="K21">
        <v>87.635993999999997</v>
      </c>
      <c r="L21">
        <v>88.798950000000005</v>
      </c>
      <c r="M21">
        <v>89.949646000000001</v>
      </c>
      <c r="N21">
        <v>91.078986999999998</v>
      </c>
      <c r="O21">
        <v>92.193398000000002</v>
      </c>
      <c r="P21">
        <v>93.288848999999999</v>
      </c>
      <c r="Q21">
        <v>94.35051</v>
      </c>
      <c r="R21">
        <v>95.384315000000001</v>
      </c>
      <c r="S21">
        <v>96.386200000000002</v>
      </c>
      <c r="T21">
        <v>97.363770000000002</v>
      </c>
      <c r="U21">
        <v>98.313896</v>
      </c>
      <c r="V21">
        <v>99.24588</v>
      </c>
      <c r="W21">
        <v>100.160545</v>
      </c>
      <c r="X21">
        <v>101.064911</v>
      </c>
      <c r="Y21">
        <v>101.971619</v>
      </c>
      <c r="Z21">
        <v>102.881165</v>
      </c>
      <c r="AA21">
        <v>103.788918</v>
      </c>
      <c r="AB21">
        <v>104.695221</v>
      </c>
      <c r="AC21">
        <v>105.60105900000001</v>
      </c>
      <c r="AD21">
        <v>106.509247</v>
      </c>
      <c r="AE21" t="s">
        <v>583</v>
      </c>
    </row>
    <row r="22" spans="1:31" x14ac:dyDescent="0.45">
      <c r="A22" t="s">
        <v>135</v>
      </c>
      <c r="B22" t="s">
        <v>584</v>
      </c>
      <c r="C22" t="s">
        <v>585</v>
      </c>
      <c r="D22" t="s">
        <v>124</v>
      </c>
      <c r="E22">
        <v>43.230812</v>
      </c>
      <c r="F22">
        <v>43.332206999999997</v>
      </c>
      <c r="G22">
        <v>43.442599999999999</v>
      </c>
      <c r="H22">
        <v>43.551468</v>
      </c>
      <c r="I22">
        <v>43.660193999999997</v>
      </c>
      <c r="J22">
        <v>43.765265999999997</v>
      </c>
      <c r="K22">
        <v>43.876235999999999</v>
      </c>
      <c r="L22">
        <v>43.988444999999999</v>
      </c>
      <c r="M22">
        <v>44.098244000000001</v>
      </c>
      <c r="N22">
        <v>44.203854</v>
      </c>
      <c r="O22">
        <v>44.306885000000001</v>
      </c>
      <c r="P22">
        <v>44.407001000000001</v>
      </c>
      <c r="Q22">
        <v>44.495967999999998</v>
      </c>
      <c r="R22">
        <v>44.577995000000001</v>
      </c>
      <c r="S22">
        <v>44.652718</v>
      </c>
      <c r="T22">
        <v>44.722828</v>
      </c>
      <c r="U22">
        <v>44.787525000000002</v>
      </c>
      <c r="V22">
        <v>44.848129</v>
      </c>
      <c r="W22">
        <v>44.906857000000002</v>
      </c>
      <c r="X22">
        <v>44.966090999999999</v>
      </c>
      <c r="Y22">
        <v>45.026668999999998</v>
      </c>
      <c r="Z22">
        <v>45.088047000000003</v>
      </c>
      <c r="AA22">
        <v>45.149470999999998</v>
      </c>
      <c r="AB22">
        <v>45.210838000000003</v>
      </c>
      <c r="AC22">
        <v>45.272564000000003</v>
      </c>
      <c r="AD22">
        <v>45.335132999999999</v>
      </c>
      <c r="AE22" t="s">
        <v>382</v>
      </c>
    </row>
    <row r="23" spans="1:31" x14ac:dyDescent="0.45">
      <c r="A23" t="s">
        <v>132</v>
      </c>
      <c r="B23" t="s">
        <v>586</v>
      </c>
      <c r="C23" t="s">
        <v>587</v>
      </c>
      <c r="D23" t="s">
        <v>124</v>
      </c>
      <c r="E23">
        <v>143.85458399999999</v>
      </c>
      <c r="F23">
        <v>145.57131999999999</v>
      </c>
      <c r="G23">
        <v>147.321136</v>
      </c>
      <c r="H23">
        <v>149.04849200000001</v>
      </c>
      <c r="I23">
        <v>150.77278100000001</v>
      </c>
      <c r="J23">
        <v>152.48104900000001</v>
      </c>
      <c r="K23">
        <v>154.19811999999999</v>
      </c>
      <c r="L23">
        <v>155.91618299999999</v>
      </c>
      <c r="M23">
        <v>157.61294599999999</v>
      </c>
      <c r="N23">
        <v>159.27093500000001</v>
      </c>
      <c r="O23">
        <v>160.90222199999999</v>
      </c>
      <c r="P23">
        <v>162.5</v>
      </c>
      <c r="Q23">
        <v>164.036621</v>
      </c>
      <c r="R23">
        <v>165.52380400000001</v>
      </c>
      <c r="S23">
        <v>166.95425399999999</v>
      </c>
      <c r="T23">
        <v>168.342377</v>
      </c>
      <c r="U23">
        <v>169.68310500000001</v>
      </c>
      <c r="V23">
        <v>170.992065</v>
      </c>
      <c r="W23">
        <v>172.26907299999999</v>
      </c>
      <c r="X23">
        <v>173.52676400000001</v>
      </c>
      <c r="Y23">
        <v>174.78727699999999</v>
      </c>
      <c r="Z23">
        <v>176.051331</v>
      </c>
      <c r="AA23">
        <v>177.31303399999999</v>
      </c>
      <c r="AB23">
        <v>178.57266200000001</v>
      </c>
      <c r="AC23">
        <v>179.83197000000001</v>
      </c>
      <c r="AD23">
        <v>181.09558100000001</v>
      </c>
      <c r="AE23" t="s">
        <v>304</v>
      </c>
    </row>
    <row r="24" spans="1:31" x14ac:dyDescent="0.45">
      <c r="A24" t="s">
        <v>136</v>
      </c>
    </row>
    <row r="25" spans="1:31" x14ac:dyDescent="0.45">
      <c r="A25" t="s">
        <v>137</v>
      </c>
      <c r="B25" t="s">
        <v>588</v>
      </c>
      <c r="C25" t="s">
        <v>589</v>
      </c>
      <c r="D25" t="s">
        <v>124</v>
      </c>
      <c r="E25">
        <v>62.475158999999998</v>
      </c>
      <c r="F25">
        <v>63.120700999999997</v>
      </c>
      <c r="G25">
        <v>63.779792999999998</v>
      </c>
      <c r="H25">
        <v>64.431319999999999</v>
      </c>
      <c r="I25">
        <v>65.353851000000006</v>
      </c>
      <c r="J25">
        <v>66.246184999999997</v>
      </c>
      <c r="K25">
        <v>67.135970999999998</v>
      </c>
      <c r="L25">
        <v>68.015441999999993</v>
      </c>
      <c r="M25">
        <v>68.872505000000004</v>
      </c>
      <c r="N25">
        <v>69.689301</v>
      </c>
      <c r="O25">
        <v>70.473304999999996</v>
      </c>
      <c r="P25">
        <v>71.249404999999996</v>
      </c>
      <c r="Q25">
        <v>71.995590000000007</v>
      </c>
      <c r="R25">
        <v>72.719170000000005</v>
      </c>
      <c r="S25">
        <v>73.415535000000006</v>
      </c>
      <c r="T25">
        <v>74.092467999999997</v>
      </c>
      <c r="U25">
        <v>74.745131999999998</v>
      </c>
      <c r="V25">
        <v>75.379486</v>
      </c>
      <c r="W25">
        <v>75.998474000000002</v>
      </c>
      <c r="X25">
        <v>76.607581999999994</v>
      </c>
      <c r="Y25">
        <v>77.218093999999994</v>
      </c>
      <c r="Z25">
        <v>77.830139000000003</v>
      </c>
      <c r="AA25">
        <v>78.438873000000001</v>
      </c>
      <c r="AB25">
        <v>79.044280999999998</v>
      </c>
      <c r="AC25">
        <v>79.647743000000006</v>
      </c>
      <c r="AD25">
        <v>80.251227999999998</v>
      </c>
      <c r="AE25" t="s">
        <v>351</v>
      </c>
    </row>
    <row r="26" spans="1:31" x14ac:dyDescent="0.45">
      <c r="A26" t="s">
        <v>138</v>
      </c>
      <c r="B26" t="s">
        <v>590</v>
      </c>
      <c r="C26" t="s">
        <v>591</v>
      </c>
      <c r="D26" t="s">
        <v>124</v>
      </c>
      <c r="E26">
        <v>65.115172999999999</v>
      </c>
      <c r="F26">
        <v>65.884170999999995</v>
      </c>
      <c r="G26">
        <v>66.651427999999996</v>
      </c>
      <c r="H26">
        <v>67.398285000000001</v>
      </c>
      <c r="I26">
        <v>67.943634000000003</v>
      </c>
      <c r="J26">
        <v>68.493774000000002</v>
      </c>
      <c r="K26">
        <v>69.045731000000004</v>
      </c>
      <c r="L26">
        <v>69.599311999999998</v>
      </c>
      <c r="M26">
        <v>70.142830000000004</v>
      </c>
      <c r="N26">
        <v>70.674828000000005</v>
      </c>
      <c r="O26">
        <v>71.197997999999998</v>
      </c>
      <c r="P26">
        <v>71.701553000000004</v>
      </c>
      <c r="Q26">
        <v>72.178955000000002</v>
      </c>
      <c r="R26">
        <v>72.633232000000007</v>
      </c>
      <c r="S26">
        <v>73.061042999999998</v>
      </c>
      <c r="T26">
        <v>73.467194000000006</v>
      </c>
      <c r="U26">
        <v>73.849609000000001</v>
      </c>
      <c r="V26">
        <v>74.217758000000003</v>
      </c>
      <c r="W26">
        <v>74.569519</v>
      </c>
      <c r="X26">
        <v>74.911040999999997</v>
      </c>
      <c r="Y26">
        <v>75.253555000000006</v>
      </c>
      <c r="Z26">
        <v>75.597663999999995</v>
      </c>
      <c r="AA26">
        <v>75.939887999999996</v>
      </c>
      <c r="AB26">
        <v>76.280815000000004</v>
      </c>
      <c r="AC26">
        <v>76.620627999999996</v>
      </c>
      <c r="AD26">
        <v>76.962226999999999</v>
      </c>
      <c r="AE26" t="s">
        <v>430</v>
      </c>
    </row>
    <row r="27" spans="1:31" x14ac:dyDescent="0.45">
      <c r="A27" t="s">
        <v>128</v>
      </c>
      <c r="B27" t="s">
        <v>592</v>
      </c>
      <c r="C27" t="s">
        <v>593</v>
      </c>
      <c r="D27" t="s">
        <v>124</v>
      </c>
      <c r="E27">
        <v>2.2249989999999999</v>
      </c>
      <c r="F27">
        <v>2.1372429999999998</v>
      </c>
      <c r="G27">
        <v>2.0548129999999998</v>
      </c>
      <c r="H27">
        <v>1.9790049999999999</v>
      </c>
      <c r="I27">
        <v>1.905996</v>
      </c>
      <c r="J27">
        <v>1.841834</v>
      </c>
      <c r="K27">
        <v>1.785774</v>
      </c>
      <c r="L27">
        <v>1.7382200000000001</v>
      </c>
      <c r="M27">
        <v>1.6991959999999999</v>
      </c>
      <c r="N27">
        <v>1.6690750000000001</v>
      </c>
      <c r="O27">
        <v>1.6480349999999999</v>
      </c>
      <c r="P27">
        <v>1.6257440000000001</v>
      </c>
      <c r="Q27">
        <v>1.6024309999999999</v>
      </c>
      <c r="R27">
        <v>1.578433</v>
      </c>
      <c r="S27">
        <v>1.5539849999999999</v>
      </c>
      <c r="T27">
        <v>1.5293639999999999</v>
      </c>
      <c r="U27">
        <v>1.5047299999999999</v>
      </c>
      <c r="V27">
        <v>1.480259</v>
      </c>
      <c r="W27">
        <v>1.4560999999999999</v>
      </c>
      <c r="X27">
        <v>1.4324030000000001</v>
      </c>
      <c r="Y27">
        <v>1.4092560000000001</v>
      </c>
      <c r="Z27">
        <v>1.386725</v>
      </c>
      <c r="AA27">
        <v>1.3648480000000001</v>
      </c>
      <c r="AB27">
        <v>1.343653</v>
      </c>
      <c r="AC27">
        <v>1.32317</v>
      </c>
      <c r="AD27">
        <v>1.3034319999999999</v>
      </c>
      <c r="AE27" t="s">
        <v>594</v>
      </c>
    </row>
    <row r="28" spans="1:31" x14ac:dyDescent="0.45">
      <c r="A28" t="s">
        <v>129</v>
      </c>
      <c r="B28" t="s">
        <v>595</v>
      </c>
      <c r="C28" t="s">
        <v>596</v>
      </c>
      <c r="D28" t="s">
        <v>124</v>
      </c>
      <c r="E28">
        <v>4.1999490000000002</v>
      </c>
      <c r="F28">
        <v>4.2309659999999996</v>
      </c>
      <c r="G28">
        <v>4.2742089999999999</v>
      </c>
      <c r="H28">
        <v>4.316001</v>
      </c>
      <c r="I28">
        <v>4.2940230000000001</v>
      </c>
      <c r="J28">
        <v>4.2723849999999999</v>
      </c>
      <c r="K28">
        <v>4.2498259999999997</v>
      </c>
      <c r="L28">
        <v>4.228853</v>
      </c>
      <c r="M28">
        <v>4.2099399999999996</v>
      </c>
      <c r="N28">
        <v>4.1951309999999999</v>
      </c>
      <c r="O28">
        <v>4.1860609999999996</v>
      </c>
      <c r="P28">
        <v>4.1713630000000004</v>
      </c>
      <c r="Q28">
        <v>4.1514150000000001</v>
      </c>
      <c r="R28">
        <v>4.1265790000000004</v>
      </c>
      <c r="S28">
        <v>4.0969160000000002</v>
      </c>
      <c r="T28">
        <v>4.0640700000000001</v>
      </c>
      <c r="U28">
        <v>4.0289239999999999</v>
      </c>
      <c r="V28">
        <v>3.992864</v>
      </c>
      <c r="W28">
        <v>3.9564889999999999</v>
      </c>
      <c r="X28">
        <v>3.9207900000000002</v>
      </c>
      <c r="Y28">
        <v>3.8863789999999998</v>
      </c>
      <c r="Z28">
        <v>3.8531279999999999</v>
      </c>
      <c r="AA28">
        <v>3.8208299999999999</v>
      </c>
      <c r="AB28">
        <v>3.789447</v>
      </c>
      <c r="AC28">
        <v>3.759233</v>
      </c>
      <c r="AD28">
        <v>3.7305290000000002</v>
      </c>
      <c r="AE28" t="s">
        <v>513</v>
      </c>
    </row>
    <row r="29" spans="1:31" x14ac:dyDescent="0.45">
      <c r="A29" t="s">
        <v>139</v>
      </c>
      <c r="B29" t="s">
        <v>597</v>
      </c>
      <c r="C29" t="s">
        <v>598</v>
      </c>
      <c r="D29" t="s">
        <v>124</v>
      </c>
      <c r="E29">
        <v>2.1779500000000001</v>
      </c>
      <c r="F29">
        <v>2.185155</v>
      </c>
      <c r="G29">
        <v>2.197155</v>
      </c>
      <c r="H29">
        <v>2.2086779999999999</v>
      </c>
      <c r="I29">
        <v>2.2111190000000001</v>
      </c>
      <c r="J29">
        <v>2.213908</v>
      </c>
      <c r="K29">
        <v>2.2168079999999999</v>
      </c>
      <c r="L29">
        <v>2.219646</v>
      </c>
      <c r="M29">
        <v>2.2224400000000002</v>
      </c>
      <c r="N29">
        <v>2.2251629999999998</v>
      </c>
      <c r="O29">
        <v>2.2278129999999998</v>
      </c>
      <c r="P29">
        <v>2.2304569999999999</v>
      </c>
      <c r="Q29">
        <v>2.233098</v>
      </c>
      <c r="R29">
        <v>2.235716</v>
      </c>
      <c r="S29">
        <v>2.238299</v>
      </c>
      <c r="T29">
        <v>2.2408290000000002</v>
      </c>
      <c r="U29">
        <v>2.2432910000000001</v>
      </c>
      <c r="V29">
        <v>2.2456640000000001</v>
      </c>
      <c r="W29">
        <v>2.2479269999999998</v>
      </c>
      <c r="X29">
        <v>2.2502469999999999</v>
      </c>
      <c r="Y29">
        <v>2.2526139999999999</v>
      </c>
      <c r="Z29">
        <v>2.2550300000000001</v>
      </c>
      <c r="AA29">
        <v>2.257498</v>
      </c>
      <c r="AB29">
        <v>2.2600120000000001</v>
      </c>
      <c r="AC29">
        <v>2.2625549999999999</v>
      </c>
      <c r="AD29">
        <v>2.2651370000000002</v>
      </c>
      <c r="AE29" t="s">
        <v>382</v>
      </c>
    </row>
    <row r="30" spans="1:31" x14ac:dyDescent="0.45">
      <c r="A30" t="s">
        <v>132</v>
      </c>
      <c r="B30" t="s">
        <v>599</v>
      </c>
      <c r="C30" t="s">
        <v>600</v>
      </c>
      <c r="D30" t="s">
        <v>124</v>
      </c>
      <c r="E30">
        <v>136.19323700000001</v>
      </c>
      <c r="F30">
        <v>137.55822800000001</v>
      </c>
      <c r="G30">
        <v>138.95739699999999</v>
      </c>
      <c r="H30">
        <v>140.333282</v>
      </c>
      <c r="I30">
        <v>141.708618</v>
      </c>
      <c r="J30">
        <v>143.068085</v>
      </c>
      <c r="K30">
        <v>144.434113</v>
      </c>
      <c r="L30">
        <v>145.801468</v>
      </c>
      <c r="M30">
        <v>147.14692700000001</v>
      </c>
      <c r="N30">
        <v>148.45349100000001</v>
      </c>
      <c r="O30">
        <v>149.733215</v>
      </c>
      <c r="P30">
        <v>150.97851600000001</v>
      </c>
      <c r="Q30">
        <v>152.161484</v>
      </c>
      <c r="R30">
        <v>153.29312100000001</v>
      </c>
      <c r="S30">
        <v>154.365768</v>
      </c>
      <c r="T30">
        <v>155.39392100000001</v>
      </c>
      <c r="U30">
        <v>156.371689</v>
      </c>
      <c r="V30">
        <v>157.316025</v>
      </c>
      <c r="W30">
        <v>158.2285</v>
      </c>
      <c r="X30">
        <v>159.12205499999999</v>
      </c>
      <c r="Y30">
        <v>160.01989699999999</v>
      </c>
      <c r="Z30">
        <v>160.922684</v>
      </c>
      <c r="AA30">
        <v>161.82193000000001</v>
      </c>
      <c r="AB30">
        <v>162.71821600000001</v>
      </c>
      <c r="AC30">
        <v>163.613327</v>
      </c>
      <c r="AD30">
        <v>164.51255800000001</v>
      </c>
      <c r="AE30" t="s">
        <v>301</v>
      </c>
    </row>
    <row r="31" spans="1:31" x14ac:dyDescent="0.45">
      <c r="A31" t="s">
        <v>140</v>
      </c>
    </row>
    <row r="32" spans="1:31" x14ac:dyDescent="0.45">
      <c r="A32" t="s">
        <v>137</v>
      </c>
      <c r="B32" t="s">
        <v>601</v>
      </c>
      <c r="C32" t="s">
        <v>602</v>
      </c>
      <c r="D32" t="s">
        <v>124</v>
      </c>
      <c r="E32">
        <v>101.44486999999999</v>
      </c>
      <c r="F32">
        <v>102.380219</v>
      </c>
      <c r="G32">
        <v>103.33311500000001</v>
      </c>
      <c r="H32">
        <v>104.26102400000001</v>
      </c>
      <c r="I32">
        <v>105.182686</v>
      </c>
      <c r="J32">
        <v>106.088013</v>
      </c>
      <c r="K32">
        <v>106.99603999999999</v>
      </c>
      <c r="L32">
        <v>107.89810199999999</v>
      </c>
      <c r="M32">
        <v>108.775696</v>
      </c>
      <c r="N32">
        <v>109.595596</v>
      </c>
      <c r="O32">
        <v>110.36457799999999</v>
      </c>
      <c r="P32">
        <v>111.068726</v>
      </c>
      <c r="Q32">
        <v>111.67789500000001</v>
      </c>
      <c r="R32">
        <v>112.264961</v>
      </c>
      <c r="S32">
        <v>112.842308</v>
      </c>
      <c r="T32">
        <v>113.424797</v>
      </c>
      <c r="U32">
        <v>114.018433</v>
      </c>
      <c r="V32">
        <v>114.64278400000001</v>
      </c>
      <c r="W32">
        <v>115.23735000000001</v>
      </c>
      <c r="X32">
        <v>115.81296500000001</v>
      </c>
      <c r="Y32">
        <v>116.38593299999999</v>
      </c>
      <c r="Z32">
        <v>116.95549800000001</v>
      </c>
      <c r="AA32">
        <v>117.514168</v>
      </c>
      <c r="AB32">
        <v>118.061089</v>
      </c>
      <c r="AC32">
        <v>118.59641999999999</v>
      </c>
      <c r="AD32">
        <v>119.12215399999999</v>
      </c>
      <c r="AE32" t="s">
        <v>341</v>
      </c>
    </row>
    <row r="33" spans="1:31" x14ac:dyDescent="0.45">
      <c r="A33" t="s">
        <v>138</v>
      </c>
      <c r="B33" t="s">
        <v>603</v>
      </c>
      <c r="C33" t="s">
        <v>604</v>
      </c>
      <c r="D33" t="s">
        <v>124</v>
      </c>
      <c r="E33">
        <v>54.077556999999999</v>
      </c>
      <c r="F33">
        <v>54.473880999999999</v>
      </c>
      <c r="G33">
        <v>54.882652</v>
      </c>
      <c r="H33">
        <v>55.293208999999997</v>
      </c>
      <c r="I33">
        <v>55.709217000000002</v>
      </c>
      <c r="J33">
        <v>56.129210999999998</v>
      </c>
      <c r="K33">
        <v>56.555218000000004</v>
      </c>
      <c r="L33">
        <v>56.989882999999999</v>
      </c>
      <c r="M33">
        <v>57.42915</v>
      </c>
      <c r="N33">
        <v>57.889847000000003</v>
      </c>
      <c r="O33">
        <v>58.377192999999998</v>
      </c>
      <c r="P33">
        <v>58.898079000000003</v>
      </c>
      <c r="Q33">
        <v>59.454914000000002</v>
      </c>
      <c r="R33">
        <v>59.983089</v>
      </c>
      <c r="S33">
        <v>60.462696000000001</v>
      </c>
      <c r="T33">
        <v>60.892116999999999</v>
      </c>
      <c r="U33">
        <v>61.259189999999997</v>
      </c>
      <c r="V33">
        <v>61.560585000000003</v>
      </c>
      <c r="W33">
        <v>61.861618</v>
      </c>
      <c r="X33">
        <v>62.164096999999998</v>
      </c>
      <c r="Y33">
        <v>62.474186000000003</v>
      </c>
      <c r="Z33">
        <v>62.793368999999998</v>
      </c>
      <c r="AA33">
        <v>63.121020999999999</v>
      </c>
      <c r="AB33">
        <v>63.458534</v>
      </c>
      <c r="AC33">
        <v>63.807617</v>
      </c>
      <c r="AD33">
        <v>64.171135000000007</v>
      </c>
      <c r="AE33" t="s">
        <v>430</v>
      </c>
    </row>
    <row r="34" spans="1:31" x14ac:dyDescent="0.45">
      <c r="A34" t="s">
        <v>129</v>
      </c>
      <c r="B34" t="s">
        <v>605</v>
      </c>
      <c r="C34" t="s">
        <v>606</v>
      </c>
      <c r="D34" t="s">
        <v>124</v>
      </c>
      <c r="E34">
        <v>6.3130860000000002</v>
      </c>
      <c r="F34">
        <v>6.3374180000000004</v>
      </c>
      <c r="G34">
        <v>6.3660569999999996</v>
      </c>
      <c r="H34">
        <v>6.3947450000000003</v>
      </c>
      <c r="I34">
        <v>6.4238</v>
      </c>
      <c r="J34">
        <v>6.4495940000000003</v>
      </c>
      <c r="K34">
        <v>6.4733359999999998</v>
      </c>
      <c r="L34">
        <v>6.4958270000000002</v>
      </c>
      <c r="M34">
        <v>6.5165069999999998</v>
      </c>
      <c r="N34">
        <v>6.5346590000000004</v>
      </c>
      <c r="O34">
        <v>6.5503739999999997</v>
      </c>
      <c r="P34">
        <v>6.5630930000000003</v>
      </c>
      <c r="Q34">
        <v>6.572578</v>
      </c>
      <c r="R34">
        <v>6.581728</v>
      </c>
      <c r="S34">
        <v>6.5902399999999997</v>
      </c>
      <c r="T34">
        <v>6.5994219999999997</v>
      </c>
      <c r="U34">
        <v>6.6096219999999999</v>
      </c>
      <c r="V34">
        <v>6.6214529999999998</v>
      </c>
      <c r="W34">
        <v>6.6316680000000003</v>
      </c>
      <c r="X34">
        <v>6.6405750000000001</v>
      </c>
      <c r="Y34">
        <v>6.6489390000000004</v>
      </c>
      <c r="Z34">
        <v>6.656644</v>
      </c>
      <c r="AA34">
        <v>6.6634019999999996</v>
      </c>
      <c r="AB34">
        <v>6.6690889999999996</v>
      </c>
      <c r="AC34">
        <v>6.6738559999999998</v>
      </c>
      <c r="AD34">
        <v>6.678013</v>
      </c>
      <c r="AE34" t="s">
        <v>382</v>
      </c>
    </row>
    <row r="35" spans="1:31" x14ac:dyDescent="0.45">
      <c r="A35" t="s">
        <v>132</v>
      </c>
      <c r="B35" t="s">
        <v>607</v>
      </c>
      <c r="C35" t="s">
        <v>608</v>
      </c>
      <c r="D35" t="s">
        <v>124</v>
      </c>
      <c r="E35">
        <v>161.83551</v>
      </c>
      <c r="F35">
        <v>163.19151299999999</v>
      </c>
      <c r="G35">
        <v>164.581818</v>
      </c>
      <c r="H35">
        <v>165.94897499999999</v>
      </c>
      <c r="I35">
        <v>167.31570400000001</v>
      </c>
      <c r="J35">
        <v>168.66682399999999</v>
      </c>
      <c r="K35">
        <v>170.024597</v>
      </c>
      <c r="L35">
        <v>171.38381999999999</v>
      </c>
      <c r="M35">
        <v>172.72135900000001</v>
      </c>
      <c r="N35">
        <v>174.020096</v>
      </c>
      <c r="O35">
        <v>175.292145</v>
      </c>
      <c r="P35">
        <v>176.52989199999999</v>
      </c>
      <c r="Q35">
        <v>177.70538300000001</v>
      </c>
      <c r="R35">
        <v>178.82977299999999</v>
      </c>
      <c r="S35">
        <v>179.89524800000001</v>
      </c>
      <c r="T35">
        <v>180.916336</v>
      </c>
      <c r="U35">
        <v>181.887238</v>
      </c>
      <c r="V35">
        <v>182.82482899999999</v>
      </c>
      <c r="W35">
        <v>183.730637</v>
      </c>
      <c r="X35">
        <v>184.61764500000001</v>
      </c>
      <c r="Y35">
        <v>185.509064</v>
      </c>
      <c r="Z35">
        <v>186.405518</v>
      </c>
      <c r="AA35">
        <v>187.298599</v>
      </c>
      <c r="AB35">
        <v>188.188705</v>
      </c>
      <c r="AC35">
        <v>189.07789600000001</v>
      </c>
      <c r="AD35">
        <v>189.97129799999999</v>
      </c>
      <c r="AE35" t="s">
        <v>341</v>
      </c>
    </row>
    <row r="36" spans="1:31" x14ac:dyDescent="0.45">
      <c r="A36" t="s">
        <v>141</v>
      </c>
    </row>
    <row r="37" spans="1:31" x14ac:dyDescent="0.45">
      <c r="A37" t="s">
        <v>137</v>
      </c>
      <c r="B37" t="s">
        <v>609</v>
      </c>
      <c r="C37" t="s">
        <v>610</v>
      </c>
      <c r="D37" t="s">
        <v>124</v>
      </c>
      <c r="E37">
        <v>95.144310000000004</v>
      </c>
      <c r="F37">
        <v>97.873146000000006</v>
      </c>
      <c r="G37">
        <v>100.648087</v>
      </c>
      <c r="H37">
        <v>103.42568199999999</v>
      </c>
      <c r="I37">
        <v>106.189522</v>
      </c>
      <c r="J37">
        <v>108.940674</v>
      </c>
      <c r="K37">
        <v>111.672546</v>
      </c>
      <c r="L37">
        <v>114.384888</v>
      </c>
      <c r="M37">
        <v>117.081833</v>
      </c>
      <c r="N37">
        <v>119.745583</v>
      </c>
      <c r="O37">
        <v>122.390137</v>
      </c>
      <c r="P37">
        <v>125.005318</v>
      </c>
      <c r="Q37">
        <v>127.570015</v>
      </c>
      <c r="R37">
        <v>130.09307899999999</v>
      </c>
      <c r="S37">
        <v>132.56723</v>
      </c>
      <c r="T37">
        <v>135.00874300000001</v>
      </c>
      <c r="U37">
        <v>137.42129499999999</v>
      </c>
      <c r="V37">
        <v>139.789841</v>
      </c>
      <c r="W37">
        <v>142.116501</v>
      </c>
      <c r="X37">
        <v>144.413208</v>
      </c>
      <c r="Y37">
        <v>146.704849</v>
      </c>
      <c r="Z37">
        <v>148.99615499999999</v>
      </c>
      <c r="AA37">
        <v>151.27671799999999</v>
      </c>
      <c r="AB37">
        <v>153.54920999999999</v>
      </c>
      <c r="AC37">
        <v>155.817474</v>
      </c>
      <c r="AD37">
        <v>158.084946</v>
      </c>
      <c r="AE37" t="s">
        <v>611</v>
      </c>
    </row>
    <row r="38" spans="1:31" x14ac:dyDescent="0.45">
      <c r="A38" t="s">
        <v>138</v>
      </c>
      <c r="B38" t="s">
        <v>612</v>
      </c>
      <c r="C38" t="s">
        <v>613</v>
      </c>
      <c r="D38" t="s">
        <v>124</v>
      </c>
      <c r="E38">
        <v>20.463491000000001</v>
      </c>
      <c r="F38">
        <v>20.786949</v>
      </c>
      <c r="G38">
        <v>21.119661000000001</v>
      </c>
      <c r="H38">
        <v>21.460750999999998</v>
      </c>
      <c r="I38">
        <v>21.814619</v>
      </c>
      <c r="J38">
        <v>22.183361000000001</v>
      </c>
      <c r="K38">
        <v>22.569464</v>
      </c>
      <c r="L38">
        <v>22.975387999999999</v>
      </c>
      <c r="M38">
        <v>23.374451000000001</v>
      </c>
      <c r="N38">
        <v>23.767054000000002</v>
      </c>
      <c r="O38">
        <v>24.153271</v>
      </c>
      <c r="P38">
        <v>24.532173</v>
      </c>
      <c r="Q38">
        <v>24.902653000000001</v>
      </c>
      <c r="R38">
        <v>25.263342000000002</v>
      </c>
      <c r="S38">
        <v>25.611775999999999</v>
      </c>
      <c r="T38">
        <v>25.946064</v>
      </c>
      <c r="U38">
        <v>26.263985000000002</v>
      </c>
      <c r="V38">
        <v>26.590997999999999</v>
      </c>
      <c r="W38">
        <v>26.924613999999998</v>
      </c>
      <c r="X38">
        <v>27.264744</v>
      </c>
      <c r="Y38">
        <v>27.613161000000002</v>
      </c>
      <c r="Z38">
        <v>27.969189</v>
      </c>
      <c r="AA38">
        <v>28.330772</v>
      </c>
      <c r="AB38">
        <v>28.696926000000001</v>
      </c>
      <c r="AC38">
        <v>29.066327999999999</v>
      </c>
      <c r="AD38">
        <v>29.43947</v>
      </c>
      <c r="AE38" t="s">
        <v>614</v>
      </c>
    </row>
    <row r="39" spans="1:31" x14ac:dyDescent="0.45">
      <c r="A39" t="s">
        <v>132</v>
      </c>
      <c r="B39" t="s">
        <v>615</v>
      </c>
      <c r="C39" t="s">
        <v>616</v>
      </c>
      <c r="D39" t="s">
        <v>124</v>
      </c>
      <c r="E39">
        <v>115.607803</v>
      </c>
      <c r="F39">
        <v>118.660095</v>
      </c>
      <c r="G39">
        <v>121.767746</v>
      </c>
      <c r="H39">
        <v>124.88642900000001</v>
      </c>
      <c r="I39">
        <v>128.00413499999999</v>
      </c>
      <c r="J39">
        <v>131.12403900000001</v>
      </c>
      <c r="K39">
        <v>134.24200400000001</v>
      </c>
      <c r="L39">
        <v>137.360275</v>
      </c>
      <c r="M39">
        <v>140.45628400000001</v>
      </c>
      <c r="N39">
        <v>143.51263399999999</v>
      </c>
      <c r="O39">
        <v>146.54341099999999</v>
      </c>
      <c r="P39">
        <v>149.53749099999999</v>
      </c>
      <c r="Q39">
        <v>152.47267199999999</v>
      </c>
      <c r="R39">
        <v>155.356415</v>
      </c>
      <c r="S39">
        <v>158.179001</v>
      </c>
      <c r="T39">
        <v>160.954803</v>
      </c>
      <c r="U39">
        <v>163.685272</v>
      </c>
      <c r="V39">
        <v>166.380844</v>
      </c>
      <c r="W39">
        <v>169.04110700000001</v>
      </c>
      <c r="X39">
        <v>171.67794799999999</v>
      </c>
      <c r="Y39">
        <v>174.31800799999999</v>
      </c>
      <c r="Z39">
        <v>176.96534700000001</v>
      </c>
      <c r="AA39">
        <v>179.607483</v>
      </c>
      <c r="AB39">
        <v>182.24614</v>
      </c>
      <c r="AC39">
        <v>184.883804</v>
      </c>
      <c r="AD39">
        <v>187.52441400000001</v>
      </c>
      <c r="AE39" t="s">
        <v>507</v>
      </c>
    </row>
    <row r="40" spans="1:31" x14ac:dyDescent="0.45">
      <c r="A40" t="s">
        <v>142</v>
      </c>
    </row>
    <row r="41" spans="1:31" x14ac:dyDescent="0.45">
      <c r="A41" t="s">
        <v>143</v>
      </c>
      <c r="B41" t="s">
        <v>617</v>
      </c>
      <c r="C41" t="s">
        <v>618</v>
      </c>
      <c r="D41" t="s">
        <v>124</v>
      </c>
      <c r="E41">
        <v>187.50732400000001</v>
      </c>
      <c r="F41">
        <v>189.53199799999999</v>
      </c>
      <c r="G41">
        <v>191.598602</v>
      </c>
      <c r="H41">
        <v>193.630844</v>
      </c>
      <c r="I41">
        <v>195.66355899999999</v>
      </c>
      <c r="J41">
        <v>197.67378199999999</v>
      </c>
      <c r="K41">
        <v>199.67797899999999</v>
      </c>
      <c r="L41">
        <v>201.68270899999999</v>
      </c>
      <c r="M41">
        <v>203.65733299999999</v>
      </c>
      <c r="N41">
        <v>205.57685900000001</v>
      </c>
      <c r="O41">
        <v>207.458237</v>
      </c>
      <c r="P41">
        <v>209.28874200000001</v>
      </c>
      <c r="Q41">
        <v>211.04333500000001</v>
      </c>
      <c r="R41">
        <v>212.728531</v>
      </c>
      <c r="S41">
        <v>214.33122299999999</v>
      </c>
      <c r="T41">
        <v>215.870193</v>
      </c>
      <c r="U41">
        <v>217.33749399999999</v>
      </c>
      <c r="V41">
        <v>218.75924699999999</v>
      </c>
      <c r="W41">
        <v>220.13121000000001</v>
      </c>
      <c r="X41">
        <v>221.46958900000001</v>
      </c>
      <c r="Y41">
        <v>222.813278</v>
      </c>
      <c r="Z41">
        <v>224.16485599999999</v>
      </c>
      <c r="AA41">
        <v>225.51156599999999</v>
      </c>
      <c r="AB41">
        <v>226.854141</v>
      </c>
      <c r="AC41">
        <v>228.19508400000001</v>
      </c>
      <c r="AD41">
        <v>229.54212999999999</v>
      </c>
      <c r="AE41" t="s">
        <v>301</v>
      </c>
    </row>
    <row r="42" spans="1:31" x14ac:dyDescent="0.45">
      <c r="A42" t="s">
        <v>144</v>
      </c>
      <c r="B42" t="s">
        <v>619</v>
      </c>
      <c r="C42" t="s">
        <v>620</v>
      </c>
      <c r="D42" t="s">
        <v>124</v>
      </c>
      <c r="E42">
        <v>48.868606999999997</v>
      </c>
      <c r="F42">
        <v>49.328505999999997</v>
      </c>
      <c r="G42">
        <v>49.801876</v>
      </c>
      <c r="H42">
        <v>50.268410000000003</v>
      </c>
      <c r="I42">
        <v>50.734222000000003</v>
      </c>
      <c r="J42">
        <v>51.187572000000003</v>
      </c>
      <c r="K42">
        <v>51.631802</v>
      </c>
      <c r="L42">
        <v>52.075958</v>
      </c>
      <c r="M42">
        <v>52.514102999999999</v>
      </c>
      <c r="N42">
        <v>52.940769000000003</v>
      </c>
      <c r="O42">
        <v>53.359661000000003</v>
      </c>
      <c r="P42">
        <v>53.767310999999999</v>
      </c>
      <c r="Q42">
        <v>54.163525</v>
      </c>
      <c r="R42">
        <v>54.546295000000001</v>
      </c>
      <c r="S42">
        <v>54.911200999999998</v>
      </c>
      <c r="T42">
        <v>55.263004000000002</v>
      </c>
      <c r="U42">
        <v>55.600150999999997</v>
      </c>
      <c r="V42">
        <v>55.928660999999998</v>
      </c>
      <c r="W42">
        <v>56.245289</v>
      </c>
      <c r="X42">
        <v>56.55265</v>
      </c>
      <c r="Y42">
        <v>56.861313000000003</v>
      </c>
      <c r="Z42">
        <v>57.172103999999997</v>
      </c>
      <c r="AA42">
        <v>57.481895000000002</v>
      </c>
      <c r="AB42">
        <v>57.790633999999997</v>
      </c>
      <c r="AC42">
        <v>58.099026000000002</v>
      </c>
      <c r="AD42">
        <v>58.408915999999998</v>
      </c>
      <c r="AE42" t="s">
        <v>430</v>
      </c>
    </row>
    <row r="43" spans="1:31" x14ac:dyDescent="0.45">
      <c r="A43" t="s">
        <v>145</v>
      </c>
    </row>
    <row r="44" spans="1:31" x14ac:dyDescent="0.45">
      <c r="A44" t="s">
        <v>122</v>
      </c>
    </row>
    <row r="45" spans="1:31" x14ac:dyDescent="0.45">
      <c r="A45" t="s">
        <v>146</v>
      </c>
      <c r="B45" t="s">
        <v>621</v>
      </c>
      <c r="C45" t="s">
        <v>622</v>
      </c>
      <c r="D45" t="s">
        <v>147</v>
      </c>
      <c r="E45">
        <v>8.4944120000000005</v>
      </c>
      <c r="F45">
        <v>8.6147109999999998</v>
      </c>
      <c r="G45">
        <v>8.7350209999999997</v>
      </c>
      <c r="H45">
        <v>8.8580020000000008</v>
      </c>
      <c r="I45">
        <v>8.9711669999999994</v>
      </c>
      <c r="J45">
        <v>9.0751109999999997</v>
      </c>
      <c r="K45">
        <v>9.1697790000000001</v>
      </c>
      <c r="L45">
        <v>9.2555589999999999</v>
      </c>
      <c r="M45">
        <v>9.3323830000000001</v>
      </c>
      <c r="N45">
        <v>9.4010339999999992</v>
      </c>
      <c r="O45">
        <v>9.4613560000000003</v>
      </c>
      <c r="P45">
        <v>9.5137499999999999</v>
      </c>
      <c r="Q45">
        <v>9.5584790000000002</v>
      </c>
      <c r="R45">
        <v>9.5954759999999997</v>
      </c>
      <c r="S45">
        <v>9.6249929999999999</v>
      </c>
      <c r="T45">
        <v>9.6481890000000003</v>
      </c>
      <c r="U45">
        <v>9.6625589999999999</v>
      </c>
      <c r="V45">
        <v>9.6671499999999995</v>
      </c>
      <c r="W45">
        <v>9.6721179999999993</v>
      </c>
      <c r="X45">
        <v>9.6772670000000005</v>
      </c>
      <c r="Y45">
        <v>9.6822759999999999</v>
      </c>
      <c r="Z45">
        <v>9.6870829999999994</v>
      </c>
      <c r="AA45">
        <v>9.6917500000000008</v>
      </c>
      <c r="AB45">
        <v>9.6962539999999997</v>
      </c>
      <c r="AC45">
        <v>9.7005169999999996</v>
      </c>
      <c r="AD45">
        <v>9.7045030000000008</v>
      </c>
      <c r="AE45" t="s">
        <v>364</v>
      </c>
    </row>
    <row r="46" spans="1:31" x14ac:dyDescent="0.45">
      <c r="A46" t="s">
        <v>148</v>
      </c>
      <c r="B46" t="s">
        <v>623</v>
      </c>
      <c r="C46" t="s">
        <v>624</v>
      </c>
      <c r="D46" t="s">
        <v>149</v>
      </c>
      <c r="E46">
        <v>1.3</v>
      </c>
      <c r="F46">
        <v>1.3</v>
      </c>
      <c r="G46">
        <v>1.3</v>
      </c>
      <c r="H46">
        <v>1.3</v>
      </c>
      <c r="I46">
        <v>1.3</v>
      </c>
      <c r="J46">
        <v>1.3</v>
      </c>
      <c r="K46">
        <v>1.3</v>
      </c>
      <c r="L46">
        <v>1.3</v>
      </c>
      <c r="M46">
        <v>1.3</v>
      </c>
      <c r="N46">
        <v>1.3</v>
      </c>
      <c r="O46">
        <v>1.3</v>
      </c>
      <c r="P46">
        <v>1.3</v>
      </c>
      <c r="Q46">
        <v>1.3</v>
      </c>
      <c r="R46">
        <v>1.3</v>
      </c>
      <c r="S46">
        <v>1.3</v>
      </c>
      <c r="T46">
        <v>1.3</v>
      </c>
      <c r="U46">
        <v>1.3</v>
      </c>
      <c r="V46">
        <v>1.3</v>
      </c>
      <c r="W46">
        <v>1.3</v>
      </c>
      <c r="X46">
        <v>1.3</v>
      </c>
      <c r="Y46">
        <v>1.3</v>
      </c>
      <c r="Z46">
        <v>1.3</v>
      </c>
      <c r="AA46">
        <v>1.3</v>
      </c>
      <c r="AB46">
        <v>1.3</v>
      </c>
      <c r="AC46">
        <v>1.3</v>
      </c>
      <c r="AD46">
        <v>1.3</v>
      </c>
      <c r="AE46" t="s">
        <v>467</v>
      </c>
    </row>
    <row r="47" spans="1:31" x14ac:dyDescent="0.45">
      <c r="A47" t="s">
        <v>150</v>
      </c>
      <c r="B47" t="s">
        <v>625</v>
      </c>
      <c r="C47" t="s">
        <v>626</v>
      </c>
      <c r="D47" t="s">
        <v>151</v>
      </c>
      <c r="E47">
        <v>3.2020689999999998</v>
      </c>
      <c r="F47">
        <v>3.2208589999999999</v>
      </c>
      <c r="G47">
        <v>3.2392620000000001</v>
      </c>
      <c r="H47">
        <v>3.2580079999999998</v>
      </c>
      <c r="I47">
        <v>3.2769370000000002</v>
      </c>
      <c r="J47">
        <v>3.295919</v>
      </c>
      <c r="K47">
        <v>3.3151869999999999</v>
      </c>
      <c r="L47">
        <v>3.3336049999999999</v>
      </c>
      <c r="M47">
        <v>3.3511600000000001</v>
      </c>
      <c r="N47">
        <v>3.3678859999999999</v>
      </c>
      <c r="O47">
        <v>3.3837480000000002</v>
      </c>
      <c r="P47">
        <v>3.3987419999999999</v>
      </c>
      <c r="Q47">
        <v>3.4129209999999999</v>
      </c>
      <c r="R47">
        <v>3.426215</v>
      </c>
      <c r="S47">
        <v>3.4386139999999998</v>
      </c>
      <c r="T47">
        <v>3.4501810000000002</v>
      </c>
      <c r="U47">
        <v>3.4606970000000001</v>
      </c>
      <c r="V47">
        <v>3.470215</v>
      </c>
      <c r="W47">
        <v>3.4786480000000002</v>
      </c>
      <c r="X47">
        <v>3.4860410000000002</v>
      </c>
      <c r="Y47">
        <v>3.4922330000000001</v>
      </c>
      <c r="Z47">
        <v>3.4974340000000002</v>
      </c>
      <c r="AA47">
        <v>3.5015890000000001</v>
      </c>
      <c r="AB47">
        <v>3.504642</v>
      </c>
      <c r="AC47">
        <v>3.5068049999999999</v>
      </c>
      <c r="AD47">
        <v>3.5079829999999999</v>
      </c>
      <c r="AE47" t="s">
        <v>539</v>
      </c>
    </row>
    <row r="48" spans="1:31" x14ac:dyDescent="0.45">
      <c r="A48" t="s">
        <v>152</v>
      </c>
      <c r="B48" t="s">
        <v>627</v>
      </c>
      <c r="C48" t="s">
        <v>628</v>
      </c>
      <c r="D48" t="s">
        <v>153</v>
      </c>
      <c r="E48">
        <v>0.82194900000000004</v>
      </c>
      <c r="F48">
        <v>0.82621500000000003</v>
      </c>
      <c r="G48">
        <v>0.83040000000000003</v>
      </c>
      <c r="H48">
        <v>0.83462000000000003</v>
      </c>
      <c r="I48">
        <v>0.84283799999999998</v>
      </c>
      <c r="J48">
        <v>0.85197800000000001</v>
      </c>
      <c r="K48">
        <v>0.86122500000000002</v>
      </c>
      <c r="L48">
        <v>0.87001300000000004</v>
      </c>
      <c r="M48">
        <v>0.878359</v>
      </c>
      <c r="N48">
        <v>0.88619599999999998</v>
      </c>
      <c r="O48">
        <v>0.89350200000000002</v>
      </c>
      <c r="P48">
        <v>0.90035600000000005</v>
      </c>
      <c r="Q48">
        <v>0.90672799999999998</v>
      </c>
      <c r="R48">
        <v>0.91264500000000004</v>
      </c>
      <c r="S48">
        <v>0.91808599999999996</v>
      </c>
      <c r="T48">
        <v>0.92307399999999995</v>
      </c>
      <c r="U48">
        <v>0.92759199999999997</v>
      </c>
      <c r="V48">
        <v>0.93167500000000003</v>
      </c>
      <c r="W48">
        <v>0.93527899999999997</v>
      </c>
      <c r="X48">
        <v>0.93838100000000002</v>
      </c>
      <c r="Y48">
        <v>0.94093199999999999</v>
      </c>
      <c r="Z48">
        <v>0.94290600000000002</v>
      </c>
      <c r="AA48">
        <v>0.94488700000000003</v>
      </c>
      <c r="AB48">
        <v>0.94683600000000001</v>
      </c>
      <c r="AC48">
        <v>0.94871499999999997</v>
      </c>
      <c r="AD48">
        <v>0.95049099999999997</v>
      </c>
      <c r="AE48" t="s">
        <v>341</v>
      </c>
    </row>
    <row r="49" spans="1:31" x14ac:dyDescent="0.45">
      <c r="A49" t="s">
        <v>154</v>
      </c>
      <c r="B49" t="s">
        <v>629</v>
      </c>
      <c r="C49" t="s">
        <v>630</v>
      </c>
      <c r="D49" t="s">
        <v>153</v>
      </c>
      <c r="E49">
        <v>0.83211599999999997</v>
      </c>
      <c r="F49">
        <v>0.83264400000000005</v>
      </c>
      <c r="G49">
        <v>0.83314299999999997</v>
      </c>
      <c r="H49">
        <v>0.83362700000000001</v>
      </c>
      <c r="I49">
        <v>0.83410099999999998</v>
      </c>
      <c r="J49">
        <v>0.83458200000000005</v>
      </c>
      <c r="K49">
        <v>0.83506199999999997</v>
      </c>
      <c r="L49">
        <v>0.83552599999999999</v>
      </c>
      <c r="M49">
        <v>0.83596300000000001</v>
      </c>
      <c r="N49">
        <v>0.83637700000000004</v>
      </c>
      <c r="O49">
        <v>0.836758</v>
      </c>
      <c r="P49">
        <v>0.83711599999999997</v>
      </c>
      <c r="Q49">
        <v>0.83744499999999999</v>
      </c>
      <c r="R49">
        <v>0.83774999999999999</v>
      </c>
      <c r="S49">
        <v>0.83803300000000003</v>
      </c>
      <c r="T49">
        <v>0.83829200000000004</v>
      </c>
      <c r="U49">
        <v>0.83852499999999996</v>
      </c>
      <c r="V49">
        <v>0.83873600000000004</v>
      </c>
      <c r="W49">
        <v>0.83892</v>
      </c>
      <c r="X49">
        <v>0.83907699999999996</v>
      </c>
      <c r="Y49">
        <v>0.83919900000000003</v>
      </c>
      <c r="Z49">
        <v>0.83929500000000001</v>
      </c>
      <c r="AA49">
        <v>0.83939799999999998</v>
      </c>
      <c r="AB49">
        <v>0.83950499999999995</v>
      </c>
      <c r="AC49">
        <v>0.83961799999999998</v>
      </c>
      <c r="AD49">
        <v>0.83973600000000004</v>
      </c>
      <c r="AE49" t="s">
        <v>467</v>
      </c>
    </row>
    <row r="50" spans="1:31" x14ac:dyDescent="0.45">
      <c r="A50" t="s">
        <v>155</v>
      </c>
    </row>
    <row r="51" spans="1:31" x14ac:dyDescent="0.45">
      <c r="A51" t="s">
        <v>156</v>
      </c>
      <c r="B51" t="s">
        <v>631</v>
      </c>
      <c r="C51" t="s">
        <v>632</v>
      </c>
      <c r="D51" t="s">
        <v>157</v>
      </c>
      <c r="E51">
        <v>14.394477</v>
      </c>
      <c r="F51">
        <v>14.649236</v>
      </c>
      <c r="G51">
        <v>14.903358000000001</v>
      </c>
      <c r="H51">
        <v>15.162801999999999</v>
      </c>
      <c r="I51">
        <v>15.401135999999999</v>
      </c>
      <c r="J51">
        <v>15.619678</v>
      </c>
      <c r="K51">
        <v>15.818391999999999</v>
      </c>
      <c r="L51">
        <v>15.998156</v>
      </c>
      <c r="M51">
        <v>16.158895000000001</v>
      </c>
      <c r="N51">
        <v>16.302316999999999</v>
      </c>
      <c r="O51">
        <v>16.428106</v>
      </c>
      <c r="P51">
        <v>16.537175999999999</v>
      </c>
      <c r="Q51">
        <v>16.630082999999999</v>
      </c>
      <c r="R51">
        <v>16.706704999999999</v>
      </c>
      <c r="S51">
        <v>16.767574</v>
      </c>
      <c r="T51">
        <v>16.818881999999999</v>
      </c>
      <c r="U51">
        <v>16.851130000000001</v>
      </c>
      <c r="V51">
        <v>16.862507000000001</v>
      </c>
      <c r="W51">
        <v>16.874935000000001</v>
      </c>
      <c r="X51">
        <v>16.887955000000002</v>
      </c>
      <c r="Y51">
        <v>16.900825999999999</v>
      </c>
      <c r="Z51">
        <v>16.913347000000002</v>
      </c>
      <c r="AA51">
        <v>16.925616999999999</v>
      </c>
      <c r="AB51">
        <v>16.937542000000001</v>
      </c>
      <c r="AC51">
        <v>16.948915</v>
      </c>
      <c r="AD51">
        <v>16.959634999999999</v>
      </c>
      <c r="AE51" t="s">
        <v>430</v>
      </c>
    </row>
    <row r="52" spans="1:31" x14ac:dyDescent="0.45">
      <c r="A52" t="s">
        <v>148</v>
      </c>
      <c r="B52" t="s">
        <v>633</v>
      </c>
      <c r="C52" t="s">
        <v>634</v>
      </c>
      <c r="D52" t="s">
        <v>149</v>
      </c>
      <c r="E52">
        <v>0.62992899999999996</v>
      </c>
      <c r="F52">
        <v>0.63624700000000001</v>
      </c>
      <c r="G52">
        <v>0.64288400000000001</v>
      </c>
      <c r="H52">
        <v>0.64990599999999998</v>
      </c>
      <c r="I52">
        <v>0.65654999999999997</v>
      </c>
      <c r="J52">
        <v>0.66279299999999997</v>
      </c>
      <c r="K52">
        <v>0.668605</v>
      </c>
      <c r="L52">
        <v>0.67397399999999996</v>
      </c>
      <c r="M52">
        <v>0.67886199999999997</v>
      </c>
      <c r="N52">
        <v>0.68328800000000001</v>
      </c>
      <c r="O52">
        <v>0.68722099999999997</v>
      </c>
      <c r="P52">
        <v>0.69066499999999997</v>
      </c>
      <c r="Q52">
        <v>0.69361099999999998</v>
      </c>
      <c r="R52">
        <v>0.69603800000000005</v>
      </c>
      <c r="S52">
        <v>0.69794199999999995</v>
      </c>
      <c r="T52">
        <v>0.69928800000000002</v>
      </c>
      <c r="U52">
        <v>0.7</v>
      </c>
      <c r="V52">
        <v>0.7</v>
      </c>
      <c r="W52">
        <v>0.7</v>
      </c>
      <c r="X52">
        <v>0.7</v>
      </c>
      <c r="Y52">
        <v>0.7</v>
      </c>
      <c r="Z52">
        <v>0.7</v>
      </c>
      <c r="AA52">
        <v>0.7</v>
      </c>
      <c r="AB52">
        <v>0.7</v>
      </c>
      <c r="AC52">
        <v>0.7</v>
      </c>
      <c r="AD52">
        <v>0.7</v>
      </c>
      <c r="AE52" t="s">
        <v>539</v>
      </c>
    </row>
    <row r="53" spans="1:31" x14ac:dyDescent="0.45">
      <c r="A53" t="s">
        <v>158</v>
      </c>
      <c r="B53" t="s">
        <v>635</v>
      </c>
      <c r="C53" t="s">
        <v>636</v>
      </c>
      <c r="D53" t="s">
        <v>159</v>
      </c>
      <c r="E53">
        <v>14.018055</v>
      </c>
      <c r="F53">
        <v>14.153003</v>
      </c>
      <c r="G53">
        <v>14.285444999999999</v>
      </c>
      <c r="H53">
        <v>14.420227000000001</v>
      </c>
      <c r="I53">
        <v>14.556438</v>
      </c>
      <c r="J53">
        <v>14.693085</v>
      </c>
      <c r="K53">
        <v>14.831795</v>
      </c>
      <c r="L53">
        <v>14.964411999999999</v>
      </c>
      <c r="M53">
        <v>15.090814999999999</v>
      </c>
      <c r="N53">
        <v>15.211212</v>
      </c>
      <c r="O53">
        <v>15.325381</v>
      </c>
      <c r="P53">
        <v>15.433255000000001</v>
      </c>
      <c r="Q53">
        <v>15.535234000000001</v>
      </c>
      <c r="R53">
        <v>15.630803</v>
      </c>
      <c r="S53">
        <v>15.719887</v>
      </c>
      <c r="T53">
        <v>15.802962000000001</v>
      </c>
      <c r="U53">
        <v>15.878443000000001</v>
      </c>
      <c r="V53">
        <v>15.946691</v>
      </c>
      <c r="W53">
        <v>16.007121999999999</v>
      </c>
      <c r="X53">
        <v>16.060036</v>
      </c>
      <c r="Y53">
        <v>16.104306999999999</v>
      </c>
      <c r="Z53">
        <v>16.141459000000001</v>
      </c>
      <c r="AA53">
        <v>16.171091000000001</v>
      </c>
      <c r="AB53">
        <v>16.192817999999999</v>
      </c>
      <c r="AC53">
        <v>16.208144999999998</v>
      </c>
      <c r="AD53">
        <v>16.216425000000001</v>
      </c>
      <c r="AE53" t="s">
        <v>341</v>
      </c>
    </row>
    <row r="54" spans="1:31" x14ac:dyDescent="0.45">
      <c r="A54" t="s">
        <v>160</v>
      </c>
      <c r="B54" t="s">
        <v>637</v>
      </c>
      <c r="C54" t="s">
        <v>638</v>
      </c>
      <c r="D54" t="s">
        <v>157</v>
      </c>
      <c r="E54">
        <v>13.182221999999999</v>
      </c>
      <c r="F54">
        <v>13.332609</v>
      </c>
      <c r="G54">
        <v>13.483406</v>
      </c>
      <c r="H54">
        <v>13.636544000000001</v>
      </c>
      <c r="I54">
        <v>13.779714999999999</v>
      </c>
      <c r="J54">
        <v>13.925951</v>
      </c>
      <c r="K54">
        <v>14.060987000000001</v>
      </c>
      <c r="L54">
        <v>14.184298999999999</v>
      </c>
      <c r="M54">
        <v>14.295242</v>
      </c>
      <c r="N54">
        <v>14.394966999999999</v>
      </c>
      <c r="O54">
        <v>14.482498</v>
      </c>
      <c r="P54">
        <v>14.557345</v>
      </c>
      <c r="Q54">
        <v>14.620028</v>
      </c>
      <c r="R54">
        <v>14.671937</v>
      </c>
      <c r="S54">
        <v>14.712533000000001</v>
      </c>
      <c r="T54">
        <v>14.742565000000001</v>
      </c>
      <c r="U54">
        <v>14.761471</v>
      </c>
      <c r="V54">
        <v>14.768062</v>
      </c>
      <c r="W54">
        <v>14.774350999999999</v>
      </c>
      <c r="X54">
        <v>14.780355</v>
      </c>
      <c r="Y54">
        <v>14.786111</v>
      </c>
      <c r="Z54">
        <v>14.791622</v>
      </c>
      <c r="AA54">
        <v>14.796846</v>
      </c>
      <c r="AB54">
        <v>14.801774</v>
      </c>
      <c r="AC54">
        <v>14.806412999999999</v>
      </c>
      <c r="AD54">
        <v>14.810778000000001</v>
      </c>
      <c r="AE54" t="s">
        <v>364</v>
      </c>
    </row>
    <row r="55" spans="1:31" x14ac:dyDescent="0.45">
      <c r="A55" t="s">
        <v>161</v>
      </c>
      <c r="B55" t="s">
        <v>639</v>
      </c>
      <c r="C55" t="s">
        <v>640</v>
      </c>
      <c r="D55" t="s">
        <v>159</v>
      </c>
      <c r="E55">
        <v>11.645765000000001</v>
      </c>
      <c r="F55">
        <v>11.861027</v>
      </c>
      <c r="G55">
        <v>12.310933</v>
      </c>
      <c r="H55">
        <v>12.769360000000001</v>
      </c>
      <c r="I55">
        <v>13.284547</v>
      </c>
      <c r="J55">
        <v>13.782188</v>
      </c>
      <c r="K55">
        <v>14.243883</v>
      </c>
      <c r="L55">
        <v>14.660746</v>
      </c>
      <c r="M55">
        <v>15.032824</v>
      </c>
      <c r="N55">
        <v>15.34953</v>
      </c>
      <c r="O55">
        <v>15.587445000000001</v>
      </c>
      <c r="P55">
        <v>15.743828000000001</v>
      </c>
      <c r="Q55">
        <v>15.817233</v>
      </c>
      <c r="R55">
        <v>15.875088999999999</v>
      </c>
      <c r="S55">
        <v>15.918317</v>
      </c>
      <c r="T55">
        <v>15.94899</v>
      </c>
      <c r="U55">
        <v>15.969602999999999</v>
      </c>
      <c r="V55">
        <v>15.982771</v>
      </c>
      <c r="W55">
        <v>15.990712</v>
      </c>
      <c r="X55">
        <v>15.995247000000001</v>
      </c>
      <c r="Y55">
        <v>15.997692000000001</v>
      </c>
      <c r="Z55">
        <v>15.998946</v>
      </c>
      <c r="AA55">
        <v>15.999542999999999</v>
      </c>
      <c r="AB55">
        <v>15.999808</v>
      </c>
      <c r="AC55">
        <v>15.999928000000001</v>
      </c>
      <c r="AD55">
        <v>15.999976</v>
      </c>
      <c r="AE55" t="s">
        <v>385</v>
      </c>
    </row>
    <row r="56" spans="1:31" x14ac:dyDescent="0.45">
      <c r="A56" t="s">
        <v>162</v>
      </c>
    </row>
    <row r="57" spans="1:31" x14ac:dyDescent="0.45">
      <c r="A57" t="s">
        <v>163</v>
      </c>
      <c r="B57" t="s">
        <v>641</v>
      </c>
      <c r="C57" t="s">
        <v>642</v>
      </c>
      <c r="D57" t="s">
        <v>164</v>
      </c>
      <c r="E57">
        <v>1.1499429999999999</v>
      </c>
      <c r="F57">
        <v>1.174917</v>
      </c>
      <c r="G57">
        <v>1.19136</v>
      </c>
      <c r="H57">
        <v>1.2090780000000001</v>
      </c>
      <c r="I57">
        <v>1.3223739999999999</v>
      </c>
      <c r="J57">
        <v>1.415462</v>
      </c>
      <c r="K57">
        <v>1.513617</v>
      </c>
      <c r="L57">
        <v>1.607691</v>
      </c>
      <c r="M57">
        <v>1.697708</v>
      </c>
      <c r="N57">
        <v>1.782251</v>
      </c>
      <c r="O57">
        <v>1.8609519999999999</v>
      </c>
      <c r="P57">
        <v>1.933254</v>
      </c>
      <c r="Q57">
        <v>1.9984850000000001</v>
      </c>
      <c r="R57">
        <v>2.0566399999999998</v>
      </c>
      <c r="S57">
        <v>2.107246</v>
      </c>
      <c r="T57">
        <v>2.1504300000000001</v>
      </c>
      <c r="U57">
        <v>2.1858909999999998</v>
      </c>
      <c r="V57">
        <v>2.2133630000000002</v>
      </c>
      <c r="W57">
        <v>2.2330320000000001</v>
      </c>
      <c r="X57">
        <v>2.2516430000000001</v>
      </c>
      <c r="Y57">
        <v>2.2690800000000002</v>
      </c>
      <c r="Z57">
        <v>2.2852920000000001</v>
      </c>
      <c r="AA57">
        <v>2.3002539999999998</v>
      </c>
      <c r="AB57">
        <v>2.3139759999999998</v>
      </c>
      <c r="AC57">
        <v>2.3265150000000001</v>
      </c>
      <c r="AD57">
        <v>2.337879</v>
      </c>
      <c r="AE57" t="s">
        <v>643</v>
      </c>
    </row>
    <row r="58" spans="1:31" x14ac:dyDescent="0.45">
      <c r="A58" t="s">
        <v>165</v>
      </c>
      <c r="B58" t="s">
        <v>644</v>
      </c>
      <c r="C58" t="s">
        <v>645</v>
      </c>
      <c r="D58" t="s">
        <v>164</v>
      </c>
      <c r="E58">
        <v>0.61341900000000005</v>
      </c>
      <c r="F58">
        <v>0.616896</v>
      </c>
      <c r="G58">
        <v>0.61976299999999995</v>
      </c>
      <c r="H58">
        <v>0.62213300000000005</v>
      </c>
      <c r="I58">
        <v>0.62867700000000004</v>
      </c>
      <c r="J58">
        <v>0.63433700000000004</v>
      </c>
      <c r="K58">
        <v>0.63926899999999998</v>
      </c>
      <c r="L58">
        <v>0.64344900000000005</v>
      </c>
      <c r="M58">
        <v>0.64674299999999996</v>
      </c>
      <c r="N58">
        <v>0.64916600000000002</v>
      </c>
      <c r="O58">
        <v>0.65077700000000005</v>
      </c>
      <c r="P58">
        <v>0.65238700000000005</v>
      </c>
      <c r="Q58">
        <v>0.65396600000000005</v>
      </c>
      <c r="R58">
        <v>0.65549900000000005</v>
      </c>
      <c r="S58">
        <v>0.65696900000000003</v>
      </c>
      <c r="T58">
        <v>0.65836799999999995</v>
      </c>
      <c r="U58">
        <v>0.65968499999999997</v>
      </c>
      <c r="V58">
        <v>0.66091699999999998</v>
      </c>
      <c r="W58">
        <v>0.66205899999999995</v>
      </c>
      <c r="X58">
        <v>0.66310999999999998</v>
      </c>
      <c r="Y58">
        <v>0.66407099999999997</v>
      </c>
      <c r="Z58">
        <v>0.66494200000000003</v>
      </c>
      <c r="AA58">
        <v>0.66572399999999998</v>
      </c>
      <c r="AB58">
        <v>0.66642199999999996</v>
      </c>
      <c r="AC58">
        <v>0.667041</v>
      </c>
      <c r="AD58">
        <v>0.66758600000000001</v>
      </c>
      <c r="AE58" t="s">
        <v>312</v>
      </c>
    </row>
    <row r="59" spans="1:31" x14ac:dyDescent="0.45">
      <c r="A59" t="s">
        <v>166</v>
      </c>
      <c r="B59" t="s">
        <v>646</v>
      </c>
      <c r="C59" t="s">
        <v>647</v>
      </c>
      <c r="D59" t="s">
        <v>164</v>
      </c>
      <c r="E59">
        <v>0.55984</v>
      </c>
      <c r="F59">
        <v>0.57216900000000004</v>
      </c>
      <c r="G59">
        <v>0.58407900000000001</v>
      </c>
      <c r="H59">
        <v>0.59534100000000001</v>
      </c>
      <c r="I59">
        <v>0.60676600000000003</v>
      </c>
      <c r="J59">
        <v>0.616869</v>
      </c>
      <c r="K59">
        <v>0.62558499999999995</v>
      </c>
      <c r="L59">
        <v>0.63260099999999997</v>
      </c>
      <c r="M59">
        <v>0.63767600000000002</v>
      </c>
      <c r="N59">
        <v>0.64056400000000002</v>
      </c>
      <c r="O59">
        <v>0.64110900000000004</v>
      </c>
      <c r="P59">
        <v>0.64166800000000002</v>
      </c>
      <c r="Q59">
        <v>0.64223300000000005</v>
      </c>
      <c r="R59">
        <v>0.64279900000000001</v>
      </c>
      <c r="S59">
        <v>0.64336300000000002</v>
      </c>
      <c r="T59">
        <v>0.64391799999999999</v>
      </c>
      <c r="U59">
        <v>0.64446199999999998</v>
      </c>
      <c r="V59">
        <v>0.64498999999999995</v>
      </c>
      <c r="W59">
        <v>0.64549999999999996</v>
      </c>
      <c r="X59">
        <v>0.64598800000000001</v>
      </c>
      <c r="Y59">
        <v>0.64645300000000006</v>
      </c>
      <c r="Z59">
        <v>0.64689200000000002</v>
      </c>
      <c r="AA59">
        <v>0.64730399999999999</v>
      </c>
      <c r="AB59">
        <v>0.64768800000000004</v>
      </c>
      <c r="AC59">
        <v>0.64804399999999995</v>
      </c>
      <c r="AD59">
        <v>0.64837199999999995</v>
      </c>
      <c r="AE59" t="s">
        <v>341</v>
      </c>
    </row>
    <row r="60" spans="1:31" x14ac:dyDescent="0.45">
      <c r="A60" t="s">
        <v>167</v>
      </c>
      <c r="B60" t="s">
        <v>648</v>
      </c>
      <c r="C60" t="s">
        <v>649</v>
      </c>
      <c r="D60" t="s">
        <v>164</v>
      </c>
      <c r="E60">
        <v>0.62192700000000001</v>
      </c>
      <c r="F60">
        <v>0.62515299999999996</v>
      </c>
      <c r="G60">
        <v>0.62743199999999999</v>
      </c>
      <c r="H60">
        <v>0.62917199999999995</v>
      </c>
      <c r="I60">
        <v>0.634517</v>
      </c>
      <c r="J60">
        <v>0.63917000000000002</v>
      </c>
      <c r="K60">
        <v>0.64313299999999995</v>
      </c>
      <c r="L60">
        <v>0.646393</v>
      </c>
      <c r="M60">
        <v>0.64889699999999995</v>
      </c>
      <c r="N60">
        <v>0.65062799999999998</v>
      </c>
      <c r="O60">
        <v>0.651559</v>
      </c>
      <c r="P60">
        <v>0.65250300000000006</v>
      </c>
      <c r="Q60">
        <v>0.65344500000000005</v>
      </c>
      <c r="R60">
        <v>0.65437500000000004</v>
      </c>
      <c r="S60">
        <v>0.65528399999999998</v>
      </c>
      <c r="T60">
        <v>0.65616699999999994</v>
      </c>
      <c r="U60">
        <v>0.65701799999999999</v>
      </c>
      <c r="V60">
        <v>0.657833</v>
      </c>
      <c r="W60">
        <v>0.658609</v>
      </c>
      <c r="X60">
        <v>0.65934099999999995</v>
      </c>
      <c r="Y60">
        <v>0.66002799999999995</v>
      </c>
      <c r="Z60">
        <v>0.66066499999999995</v>
      </c>
      <c r="AA60">
        <v>0.66125100000000003</v>
      </c>
      <c r="AB60">
        <v>0.66178499999999996</v>
      </c>
      <c r="AC60">
        <v>0.662269</v>
      </c>
      <c r="AD60">
        <v>0.66270399999999996</v>
      </c>
      <c r="AE60" t="s">
        <v>312</v>
      </c>
    </row>
    <row r="61" spans="1:31" x14ac:dyDescent="0.45">
      <c r="A61" t="s">
        <v>168</v>
      </c>
    </row>
    <row r="62" spans="1:31" x14ac:dyDescent="0.45">
      <c r="A62" t="s">
        <v>143</v>
      </c>
      <c r="B62" t="s">
        <v>650</v>
      </c>
      <c r="C62" t="s">
        <v>651</v>
      </c>
      <c r="D62" t="s">
        <v>169</v>
      </c>
      <c r="E62">
        <v>596.52557400000001</v>
      </c>
      <c r="F62">
        <v>587.68524200000002</v>
      </c>
      <c r="G62">
        <v>578.72015399999998</v>
      </c>
      <c r="H62">
        <v>569.70684800000004</v>
      </c>
      <c r="I62">
        <v>561.17810099999997</v>
      </c>
      <c r="J62">
        <v>548.50134300000002</v>
      </c>
      <c r="K62">
        <v>536.26910399999997</v>
      </c>
      <c r="L62">
        <v>524.46575900000005</v>
      </c>
      <c r="M62">
        <v>513.08746299999996</v>
      </c>
      <c r="N62">
        <v>502.114105</v>
      </c>
      <c r="O62">
        <v>491.57818600000002</v>
      </c>
      <c r="P62">
        <v>481.78292800000003</v>
      </c>
      <c r="Q62">
        <v>472.79702800000001</v>
      </c>
      <c r="R62">
        <v>464.65429699999999</v>
      </c>
      <c r="S62">
        <v>457.36560100000003</v>
      </c>
      <c r="T62">
        <v>450.895355</v>
      </c>
      <c r="U62">
        <v>445.244843</v>
      </c>
      <c r="V62">
        <v>440.373627</v>
      </c>
      <c r="W62">
        <v>436.319031</v>
      </c>
      <c r="X62">
        <v>433.03894000000003</v>
      </c>
      <c r="Y62">
        <v>430.56066900000002</v>
      </c>
      <c r="Z62">
        <v>428.90655500000003</v>
      </c>
      <c r="AA62">
        <v>428.04953</v>
      </c>
      <c r="AB62">
        <v>427.28192100000001</v>
      </c>
      <c r="AC62">
        <v>426.60015900000002</v>
      </c>
      <c r="AD62">
        <v>425.988586</v>
      </c>
      <c r="AE62" t="s">
        <v>418</v>
      </c>
    </row>
    <row r="63" spans="1:31" x14ac:dyDescent="0.45">
      <c r="A63" t="s">
        <v>144</v>
      </c>
      <c r="B63" t="s">
        <v>652</v>
      </c>
      <c r="C63" t="s">
        <v>653</v>
      </c>
      <c r="D63" t="s">
        <v>169</v>
      </c>
      <c r="E63">
        <v>458.94305400000002</v>
      </c>
      <c r="F63">
        <v>454.38635299999999</v>
      </c>
      <c r="G63">
        <v>449.85458399999999</v>
      </c>
      <c r="H63">
        <v>445.28195199999999</v>
      </c>
      <c r="I63">
        <v>440.63296500000001</v>
      </c>
      <c r="J63">
        <v>433.89245599999998</v>
      </c>
      <c r="K63">
        <v>427.01754799999998</v>
      </c>
      <c r="L63">
        <v>420.04757699999999</v>
      </c>
      <c r="M63">
        <v>413.35656699999998</v>
      </c>
      <c r="N63">
        <v>406.94708300000002</v>
      </c>
      <c r="O63">
        <v>400.83316000000002</v>
      </c>
      <c r="P63">
        <v>395.00173999999998</v>
      </c>
      <c r="Q63">
        <v>389.434753</v>
      </c>
      <c r="R63">
        <v>384.16476399999999</v>
      </c>
      <c r="S63">
        <v>379.21167000000003</v>
      </c>
      <c r="T63">
        <v>374.55355800000001</v>
      </c>
      <c r="U63">
        <v>370.24371300000001</v>
      </c>
      <c r="V63">
        <v>366.24969499999997</v>
      </c>
      <c r="W63">
        <v>362.59118699999999</v>
      </c>
      <c r="X63">
        <v>359.25006100000002</v>
      </c>
      <c r="Y63">
        <v>356.20797700000003</v>
      </c>
      <c r="Z63">
        <v>353.52856400000002</v>
      </c>
      <c r="AA63">
        <v>351.185089</v>
      </c>
      <c r="AB63">
        <v>349.22869900000001</v>
      </c>
      <c r="AC63">
        <v>347.686554</v>
      </c>
      <c r="AD63">
        <v>346.56289700000002</v>
      </c>
      <c r="AE63" t="s">
        <v>318</v>
      </c>
    </row>
    <row r="64" spans="1:31" x14ac:dyDescent="0.45">
      <c r="A64" t="s">
        <v>170</v>
      </c>
    </row>
    <row r="65" spans="1:31" x14ac:dyDescent="0.45">
      <c r="A65" t="s">
        <v>171</v>
      </c>
    </row>
    <row r="66" spans="1:31" x14ac:dyDescent="0.45">
      <c r="A66" t="s">
        <v>172</v>
      </c>
      <c r="B66" t="s">
        <v>654</v>
      </c>
      <c r="C66" t="s">
        <v>655</v>
      </c>
      <c r="D66" t="s">
        <v>656</v>
      </c>
      <c r="E66">
        <v>0.95610099999999998</v>
      </c>
      <c r="F66">
        <v>0.95075799999999999</v>
      </c>
      <c r="G66">
        <v>0.945052</v>
      </c>
      <c r="H66">
        <v>0.938998</v>
      </c>
      <c r="I66">
        <v>0.93234499999999998</v>
      </c>
      <c r="J66">
        <v>0.92517199999999999</v>
      </c>
      <c r="K66">
        <v>0.91781599999999997</v>
      </c>
      <c r="L66">
        <v>0.91053700000000004</v>
      </c>
      <c r="M66">
        <v>0.90305000000000002</v>
      </c>
      <c r="N66">
        <v>0.895764</v>
      </c>
      <c r="O66">
        <v>0.88857200000000003</v>
      </c>
      <c r="P66">
        <v>0.88155799999999995</v>
      </c>
      <c r="Q66">
        <v>0.87451100000000004</v>
      </c>
      <c r="R66">
        <v>0.86754500000000001</v>
      </c>
      <c r="S66">
        <v>0.86061299999999996</v>
      </c>
      <c r="T66">
        <v>0.85371600000000003</v>
      </c>
      <c r="U66">
        <v>0.84686600000000001</v>
      </c>
      <c r="V66">
        <v>0.84017699999999995</v>
      </c>
      <c r="W66">
        <v>0.83362000000000003</v>
      </c>
      <c r="X66">
        <v>0.82715000000000005</v>
      </c>
      <c r="Y66">
        <v>0.82064999999999999</v>
      </c>
      <c r="Z66">
        <v>0.81401599999999996</v>
      </c>
      <c r="AA66">
        <v>0.80725599999999997</v>
      </c>
      <c r="AB66">
        <v>0.80045100000000002</v>
      </c>
      <c r="AC66">
        <v>0.79367699999999997</v>
      </c>
      <c r="AD66">
        <v>0.78692600000000001</v>
      </c>
      <c r="AE66" t="s">
        <v>423</v>
      </c>
    </row>
    <row r="67" spans="1:31" x14ac:dyDescent="0.45">
      <c r="A67" t="s">
        <v>173</v>
      </c>
      <c r="B67" t="s">
        <v>657</v>
      </c>
      <c r="C67" t="s">
        <v>658</v>
      </c>
      <c r="D67" t="s">
        <v>656</v>
      </c>
      <c r="E67">
        <v>0.78972399999999998</v>
      </c>
      <c r="F67">
        <v>0.86574700000000004</v>
      </c>
      <c r="G67">
        <v>0.901509</v>
      </c>
      <c r="H67">
        <v>0.90080700000000002</v>
      </c>
      <c r="I67">
        <v>0.898675</v>
      </c>
      <c r="J67">
        <v>0.902115</v>
      </c>
      <c r="K67">
        <v>0.90810199999999996</v>
      </c>
      <c r="L67">
        <v>0.90783999999999998</v>
      </c>
      <c r="M67">
        <v>0.90634099999999995</v>
      </c>
      <c r="N67">
        <v>0.90492600000000001</v>
      </c>
      <c r="O67">
        <v>0.90334000000000003</v>
      </c>
      <c r="P67">
        <v>0.90240500000000001</v>
      </c>
      <c r="Q67">
        <v>0.89503299999999997</v>
      </c>
      <c r="R67">
        <v>0.89120200000000005</v>
      </c>
      <c r="S67">
        <v>0.88833899999999999</v>
      </c>
      <c r="T67">
        <v>0.885432</v>
      </c>
      <c r="U67">
        <v>0.88196600000000003</v>
      </c>
      <c r="V67">
        <v>0.87860000000000005</v>
      </c>
      <c r="W67">
        <v>0.87830799999999998</v>
      </c>
      <c r="X67">
        <v>0.87978699999999999</v>
      </c>
      <c r="Y67">
        <v>0.87917299999999998</v>
      </c>
      <c r="Z67">
        <v>0.87790800000000002</v>
      </c>
      <c r="AA67">
        <v>0.87659100000000001</v>
      </c>
      <c r="AB67">
        <v>0.87554500000000002</v>
      </c>
      <c r="AC67">
        <v>0.87458800000000003</v>
      </c>
      <c r="AD67">
        <v>0.87356100000000003</v>
      </c>
      <c r="AE67" t="s">
        <v>539</v>
      </c>
    </row>
    <row r="68" spans="1:31" x14ac:dyDescent="0.45">
      <c r="A68" t="s">
        <v>174</v>
      </c>
      <c r="B68" t="s">
        <v>659</v>
      </c>
      <c r="C68" t="s">
        <v>660</v>
      </c>
      <c r="D68" t="s">
        <v>656</v>
      </c>
      <c r="E68">
        <v>0.94750000000000001</v>
      </c>
      <c r="F68">
        <v>0.94159000000000004</v>
      </c>
      <c r="G68">
        <v>0.93589100000000003</v>
      </c>
      <c r="H68">
        <v>0.93000899999999997</v>
      </c>
      <c r="I68">
        <v>0.92370200000000002</v>
      </c>
      <c r="J68">
        <v>0.91712000000000005</v>
      </c>
      <c r="K68">
        <v>0.91059199999999996</v>
      </c>
      <c r="L68">
        <v>0.90427199999999996</v>
      </c>
      <c r="M68">
        <v>0.89789600000000003</v>
      </c>
      <c r="N68">
        <v>0.89180700000000002</v>
      </c>
      <c r="O68">
        <v>0.885903</v>
      </c>
      <c r="P68">
        <v>0.88025299999999995</v>
      </c>
      <c r="Q68">
        <v>0.87460199999999999</v>
      </c>
      <c r="R68">
        <v>0.86907800000000002</v>
      </c>
      <c r="S68">
        <v>0.86364300000000005</v>
      </c>
      <c r="T68">
        <v>0.85829299999999997</v>
      </c>
      <c r="U68">
        <v>0.85302800000000001</v>
      </c>
      <c r="V68">
        <v>0.84793600000000002</v>
      </c>
      <c r="W68">
        <v>0.84301000000000004</v>
      </c>
      <c r="X68">
        <v>0.83822600000000003</v>
      </c>
      <c r="Y68">
        <v>0.83348</v>
      </c>
      <c r="Z68">
        <v>0.82868799999999998</v>
      </c>
      <c r="AA68">
        <v>0.82385299999999995</v>
      </c>
      <c r="AB68">
        <v>0.81903999999999999</v>
      </c>
      <c r="AC68">
        <v>0.81430599999999997</v>
      </c>
      <c r="AD68">
        <v>0.80964599999999998</v>
      </c>
      <c r="AE68" t="s">
        <v>492</v>
      </c>
    </row>
    <row r="69" spans="1:31" x14ac:dyDescent="0.45">
      <c r="A69" t="s">
        <v>155</v>
      </c>
    </row>
    <row r="70" spans="1:31" x14ac:dyDescent="0.45">
      <c r="A70" t="s">
        <v>172</v>
      </c>
      <c r="B70" t="s">
        <v>661</v>
      </c>
      <c r="C70" t="s">
        <v>662</v>
      </c>
      <c r="D70" t="s">
        <v>656</v>
      </c>
      <c r="E70">
        <v>0.98486499999999999</v>
      </c>
      <c r="F70">
        <v>0.98309800000000003</v>
      </c>
      <c r="G70">
        <v>0.98112999999999995</v>
      </c>
      <c r="H70">
        <v>0.97897699999999999</v>
      </c>
      <c r="I70">
        <v>0.976576</v>
      </c>
      <c r="J70">
        <v>0.97401199999999999</v>
      </c>
      <c r="K70">
        <v>0.971383</v>
      </c>
      <c r="L70">
        <v>0.96880500000000003</v>
      </c>
      <c r="M70">
        <v>0.96619699999999997</v>
      </c>
      <c r="N70">
        <v>0.96365400000000001</v>
      </c>
      <c r="O70">
        <v>0.96111899999999995</v>
      </c>
      <c r="P70">
        <v>0.95863799999999999</v>
      </c>
      <c r="Q70">
        <v>0.95614100000000002</v>
      </c>
      <c r="R70">
        <v>0.95366799999999996</v>
      </c>
      <c r="S70">
        <v>0.95120899999999997</v>
      </c>
      <c r="T70">
        <v>0.94877</v>
      </c>
      <c r="U70">
        <v>0.94634300000000005</v>
      </c>
      <c r="V70">
        <v>0.94396999999999998</v>
      </c>
      <c r="W70">
        <v>0.94163699999999995</v>
      </c>
      <c r="X70">
        <v>0.93933100000000003</v>
      </c>
      <c r="Y70">
        <v>0.93701299999999998</v>
      </c>
      <c r="Z70">
        <v>0.93464700000000001</v>
      </c>
      <c r="AA70">
        <v>0.93223599999999995</v>
      </c>
      <c r="AB70">
        <v>0.92980700000000005</v>
      </c>
      <c r="AC70">
        <v>0.92738900000000002</v>
      </c>
      <c r="AD70">
        <v>0.92498400000000003</v>
      </c>
      <c r="AE70" t="s">
        <v>663</v>
      </c>
    </row>
    <row r="71" spans="1:31" x14ac:dyDescent="0.45">
      <c r="A71" t="s">
        <v>173</v>
      </c>
      <c r="B71" t="s">
        <v>664</v>
      </c>
      <c r="C71" t="s">
        <v>665</v>
      </c>
      <c r="D71" t="s">
        <v>656</v>
      </c>
      <c r="E71">
        <v>0.97893300000000005</v>
      </c>
      <c r="F71">
        <v>1.0065269999999999</v>
      </c>
      <c r="G71">
        <v>1.023568</v>
      </c>
      <c r="H71">
        <v>1.0234479999999999</v>
      </c>
      <c r="I71">
        <v>1.0224839999999999</v>
      </c>
      <c r="J71">
        <v>1.022529</v>
      </c>
      <c r="K71">
        <v>1.026335</v>
      </c>
      <c r="L71">
        <v>1.0263979999999999</v>
      </c>
      <c r="M71">
        <v>1.025671</v>
      </c>
      <c r="N71">
        <v>1.025067</v>
      </c>
      <c r="O71">
        <v>1.0245059999999999</v>
      </c>
      <c r="P71">
        <v>1.024467</v>
      </c>
      <c r="Q71">
        <v>1.019954</v>
      </c>
      <c r="R71">
        <v>1.017898</v>
      </c>
      <c r="S71">
        <v>1.0163720000000001</v>
      </c>
      <c r="T71">
        <v>1.015388</v>
      </c>
      <c r="U71">
        <v>1.014135</v>
      </c>
      <c r="V71">
        <v>1.0125500000000001</v>
      </c>
      <c r="W71">
        <v>1.013225</v>
      </c>
      <c r="X71">
        <v>1.0151429999999999</v>
      </c>
      <c r="Y71">
        <v>1.015255</v>
      </c>
      <c r="Z71">
        <v>1.01481</v>
      </c>
      <c r="AA71">
        <v>1.0144740000000001</v>
      </c>
      <c r="AB71">
        <v>1.0141720000000001</v>
      </c>
      <c r="AC71">
        <v>1.014011</v>
      </c>
      <c r="AD71">
        <v>1.0137830000000001</v>
      </c>
      <c r="AE71" t="s">
        <v>307</v>
      </c>
    </row>
    <row r="72" spans="1:31" x14ac:dyDescent="0.45">
      <c r="A72" t="s">
        <v>174</v>
      </c>
      <c r="B72" t="s">
        <v>666</v>
      </c>
      <c r="C72" t="s">
        <v>667</v>
      </c>
      <c r="D72" t="s">
        <v>656</v>
      </c>
      <c r="E72">
        <v>0.98508200000000001</v>
      </c>
      <c r="F72">
        <v>0.98362799999999995</v>
      </c>
      <c r="G72">
        <v>0.98218700000000003</v>
      </c>
      <c r="H72">
        <v>0.98058999999999996</v>
      </c>
      <c r="I72">
        <v>0.97878500000000002</v>
      </c>
      <c r="J72">
        <v>0.976858</v>
      </c>
      <c r="K72">
        <v>0.97494099999999995</v>
      </c>
      <c r="L72">
        <v>0.97310099999999999</v>
      </c>
      <c r="M72">
        <v>0.971248</v>
      </c>
      <c r="N72">
        <v>0.96946200000000005</v>
      </c>
      <c r="O72">
        <v>0.96769499999999997</v>
      </c>
      <c r="P72">
        <v>0.96598799999999996</v>
      </c>
      <c r="Q72">
        <v>0.96423099999999995</v>
      </c>
      <c r="R72">
        <v>0.96248599999999995</v>
      </c>
      <c r="S72">
        <v>0.96074199999999998</v>
      </c>
      <c r="T72">
        <v>0.95901400000000003</v>
      </c>
      <c r="U72">
        <v>0.95728999999999997</v>
      </c>
      <c r="V72">
        <v>0.95560599999999996</v>
      </c>
      <c r="W72">
        <v>0.95396400000000003</v>
      </c>
      <c r="X72">
        <v>0.95236399999999999</v>
      </c>
      <c r="Y72">
        <v>0.95076899999999998</v>
      </c>
      <c r="Z72">
        <v>0.94914799999999999</v>
      </c>
      <c r="AA72">
        <v>0.94750100000000004</v>
      </c>
      <c r="AB72">
        <v>0.94584900000000005</v>
      </c>
      <c r="AC72">
        <v>0.94421900000000003</v>
      </c>
      <c r="AD72">
        <v>0.94261099999999998</v>
      </c>
      <c r="AE72" t="s">
        <v>408</v>
      </c>
    </row>
    <row r="73" spans="1:31" x14ac:dyDescent="0.45">
      <c r="A73" t="s">
        <v>175</v>
      </c>
    </row>
    <row r="74" spans="1:31" x14ac:dyDescent="0.45">
      <c r="A74" t="s">
        <v>176</v>
      </c>
    </row>
    <row r="75" spans="1:31" x14ac:dyDescent="0.45">
      <c r="A75" t="s">
        <v>177</v>
      </c>
    </row>
    <row r="76" spans="1:31" x14ac:dyDescent="0.45">
      <c r="A76" t="s">
        <v>178</v>
      </c>
      <c r="B76" t="s">
        <v>668</v>
      </c>
      <c r="C76" t="s">
        <v>669</v>
      </c>
      <c r="D76" t="s">
        <v>179</v>
      </c>
      <c r="E76">
        <v>5.0500000000000002E-4</v>
      </c>
      <c r="F76">
        <v>1.1050000000000001E-3</v>
      </c>
      <c r="G76">
        <v>1.689E-3</v>
      </c>
      <c r="H76">
        <v>1.702E-3</v>
      </c>
      <c r="I76">
        <v>1.7149999999999999E-3</v>
      </c>
      <c r="J76">
        <v>2.529E-3</v>
      </c>
      <c r="K76">
        <v>3.6159999999999999E-3</v>
      </c>
      <c r="L76">
        <v>4.7369999999999999E-3</v>
      </c>
      <c r="M76">
        <v>5.6090000000000003E-3</v>
      </c>
      <c r="N76">
        <v>6.7019999999999996E-3</v>
      </c>
      <c r="O76">
        <v>6.7149999999999996E-3</v>
      </c>
      <c r="P76">
        <v>6.7279999999999996E-3</v>
      </c>
      <c r="Q76">
        <v>6.7409999999999996E-3</v>
      </c>
      <c r="R76">
        <v>6.7539999999999996E-3</v>
      </c>
      <c r="S76">
        <v>6.7679999999999997E-3</v>
      </c>
      <c r="T76">
        <v>6.7819999999999998E-3</v>
      </c>
      <c r="U76">
        <v>6.7980000000000002E-3</v>
      </c>
      <c r="V76">
        <v>6.8190000000000004E-3</v>
      </c>
      <c r="W76">
        <v>6.8479999999999999E-3</v>
      </c>
      <c r="X76">
        <v>6.894E-3</v>
      </c>
      <c r="Y76">
        <v>6.973E-3</v>
      </c>
      <c r="Z76">
        <v>7.1110000000000001E-3</v>
      </c>
      <c r="AA76">
        <v>7.2490000000000002E-3</v>
      </c>
      <c r="AB76">
        <v>7.3879999999999996E-3</v>
      </c>
      <c r="AC76">
        <v>7.528E-3</v>
      </c>
      <c r="AD76">
        <v>7.6689999999999996E-3</v>
      </c>
      <c r="AE76" t="s">
        <v>670</v>
      </c>
    </row>
    <row r="77" spans="1:31" x14ac:dyDescent="0.45">
      <c r="A77" t="s">
        <v>180</v>
      </c>
      <c r="B77" t="s">
        <v>671</v>
      </c>
      <c r="C77" t="s">
        <v>672</v>
      </c>
      <c r="D77" t="s">
        <v>179</v>
      </c>
      <c r="E77">
        <v>44.365597000000001</v>
      </c>
      <c r="F77">
        <v>47.055515</v>
      </c>
      <c r="G77">
        <v>50.090209999999999</v>
      </c>
      <c r="H77">
        <v>53.229542000000002</v>
      </c>
      <c r="I77">
        <v>56.177745999999999</v>
      </c>
      <c r="J77">
        <v>59.281429000000003</v>
      </c>
      <c r="K77">
        <v>62.644226000000003</v>
      </c>
      <c r="L77">
        <v>66.000397000000007</v>
      </c>
      <c r="M77">
        <v>69.527916000000005</v>
      </c>
      <c r="N77">
        <v>73.271034</v>
      </c>
      <c r="O77">
        <v>77.272437999999994</v>
      </c>
      <c r="P77">
        <v>81.470436000000007</v>
      </c>
      <c r="Q77">
        <v>85.978043</v>
      </c>
      <c r="R77">
        <v>90.700515999999993</v>
      </c>
      <c r="S77">
        <v>95.678627000000006</v>
      </c>
      <c r="T77">
        <v>100.839439</v>
      </c>
      <c r="U77">
        <v>106.218834</v>
      </c>
      <c r="V77">
        <v>111.758263</v>
      </c>
      <c r="W77">
        <v>117.472054</v>
      </c>
      <c r="X77">
        <v>123.40827899999999</v>
      </c>
      <c r="Y77">
        <v>129.49212600000001</v>
      </c>
      <c r="Z77">
        <v>135.76173399999999</v>
      </c>
      <c r="AA77">
        <v>142.22489899999999</v>
      </c>
      <c r="AB77">
        <v>148.97238200000001</v>
      </c>
      <c r="AC77">
        <v>155.84429900000001</v>
      </c>
      <c r="AD77">
        <v>162.963379</v>
      </c>
      <c r="AE77" t="s">
        <v>673</v>
      </c>
    </row>
    <row r="78" spans="1:31" x14ac:dyDescent="0.45">
      <c r="A78" t="s">
        <v>181</v>
      </c>
      <c r="B78" t="s">
        <v>674</v>
      </c>
      <c r="C78" t="s">
        <v>675</v>
      </c>
      <c r="D78" t="s">
        <v>179</v>
      </c>
      <c r="E78">
        <v>0.16123199999999999</v>
      </c>
      <c r="F78">
        <v>0.16136600000000001</v>
      </c>
      <c r="G78">
        <v>0.16153000000000001</v>
      </c>
      <c r="H78">
        <v>0.161692</v>
      </c>
      <c r="I78">
        <v>0.16195399999999999</v>
      </c>
      <c r="J78">
        <v>0.16241</v>
      </c>
      <c r="K78">
        <v>0.163239</v>
      </c>
      <c r="L78">
        <v>0.16453400000000001</v>
      </c>
      <c r="M78">
        <v>0.16653499999999999</v>
      </c>
      <c r="N78">
        <v>0.169296</v>
      </c>
      <c r="O78">
        <v>0.1726</v>
      </c>
      <c r="P78">
        <v>0.176311</v>
      </c>
      <c r="Q78">
        <v>0.180427</v>
      </c>
      <c r="R78">
        <v>0.184751</v>
      </c>
      <c r="S78">
        <v>0.18918299999999999</v>
      </c>
      <c r="T78">
        <v>0.193883</v>
      </c>
      <c r="U78">
        <v>0.199127</v>
      </c>
      <c r="V78">
        <v>0.20472899999999999</v>
      </c>
      <c r="W78">
        <v>0.21051300000000001</v>
      </c>
      <c r="X78">
        <v>0.21643999999999999</v>
      </c>
      <c r="Y78">
        <v>0.22256200000000001</v>
      </c>
      <c r="Z78">
        <v>0.22922899999999999</v>
      </c>
      <c r="AA78">
        <v>0.236147</v>
      </c>
      <c r="AB78">
        <v>0.24405399999999999</v>
      </c>
      <c r="AC78">
        <v>0.25204900000000002</v>
      </c>
      <c r="AD78">
        <v>0.260129</v>
      </c>
      <c r="AE78" t="s">
        <v>676</v>
      </c>
    </row>
    <row r="79" spans="1:31" x14ac:dyDescent="0.45">
      <c r="A79" t="s">
        <v>132</v>
      </c>
      <c r="B79" t="s">
        <v>677</v>
      </c>
      <c r="C79" t="s">
        <v>678</v>
      </c>
      <c r="D79" t="s">
        <v>179</v>
      </c>
      <c r="E79">
        <v>44.527335999999998</v>
      </c>
      <c r="F79">
        <v>47.217987000000001</v>
      </c>
      <c r="G79">
        <v>50.253428999999997</v>
      </c>
      <c r="H79">
        <v>53.392937000000003</v>
      </c>
      <c r="I79">
        <v>56.341414999999998</v>
      </c>
      <c r="J79">
        <v>59.446368999999997</v>
      </c>
      <c r="K79">
        <v>62.811081000000001</v>
      </c>
      <c r="L79">
        <v>66.169669999999996</v>
      </c>
      <c r="M79">
        <v>69.700057999999999</v>
      </c>
      <c r="N79">
        <v>73.447029000000001</v>
      </c>
      <c r="O79">
        <v>77.451751999999999</v>
      </c>
      <c r="P79">
        <v>81.653473000000005</v>
      </c>
      <c r="Q79">
        <v>86.165215000000003</v>
      </c>
      <c r="R79">
        <v>90.892021</v>
      </c>
      <c r="S79">
        <v>95.874579999999995</v>
      </c>
      <c r="T79">
        <v>101.040108</v>
      </c>
      <c r="U79">
        <v>106.42475899999999</v>
      </c>
      <c r="V79">
        <v>111.96981</v>
      </c>
      <c r="W79">
        <v>117.689415</v>
      </c>
      <c r="X79">
        <v>123.631615</v>
      </c>
      <c r="Y79">
        <v>129.721664</v>
      </c>
      <c r="Z79">
        <v>135.99807699999999</v>
      </c>
      <c r="AA79">
        <v>142.46829199999999</v>
      </c>
      <c r="AB79">
        <v>149.223816</v>
      </c>
      <c r="AC79">
        <v>156.10386700000001</v>
      </c>
      <c r="AD79">
        <v>163.23118600000001</v>
      </c>
      <c r="AE79" t="s">
        <v>673</v>
      </c>
    </row>
    <row r="80" spans="1:31" x14ac:dyDescent="0.45">
      <c r="A80" t="s">
        <v>182</v>
      </c>
    </row>
    <row r="81" spans="1:31" x14ac:dyDescent="0.45">
      <c r="A81" t="s">
        <v>178</v>
      </c>
      <c r="B81" t="s">
        <v>679</v>
      </c>
      <c r="C81" t="s">
        <v>680</v>
      </c>
      <c r="D81" t="s">
        <v>183</v>
      </c>
      <c r="E81">
        <v>2.0019999999999999E-3</v>
      </c>
      <c r="F81">
        <v>4.3750000000000004E-3</v>
      </c>
      <c r="G81">
        <v>6.6880000000000004E-3</v>
      </c>
      <c r="H81">
        <v>6.7390000000000002E-3</v>
      </c>
      <c r="I81">
        <v>6.7910000000000002E-3</v>
      </c>
      <c r="J81">
        <v>1.0015E-2</v>
      </c>
      <c r="K81">
        <v>1.4319E-2</v>
      </c>
      <c r="L81">
        <v>1.8756999999999999E-2</v>
      </c>
      <c r="M81">
        <v>2.2213E-2</v>
      </c>
      <c r="N81">
        <v>2.6542E-2</v>
      </c>
      <c r="O81">
        <v>2.6592999999999999E-2</v>
      </c>
      <c r="P81">
        <v>2.6644000000000001E-2</v>
      </c>
      <c r="Q81">
        <v>2.6696000000000001E-2</v>
      </c>
      <c r="R81">
        <v>2.6747E-2</v>
      </c>
      <c r="S81">
        <v>2.6799E-2</v>
      </c>
      <c r="T81">
        <v>2.6855E-2</v>
      </c>
      <c r="U81">
        <v>2.6918999999999998E-2</v>
      </c>
      <c r="V81">
        <v>2.7001000000000001E-2</v>
      </c>
      <c r="W81">
        <v>2.7116999999999999E-2</v>
      </c>
      <c r="X81">
        <v>2.7300999999999999E-2</v>
      </c>
      <c r="Y81">
        <v>2.7612000000000001E-2</v>
      </c>
      <c r="Z81">
        <v>2.8157999999999999E-2</v>
      </c>
      <c r="AA81">
        <v>2.8707E-2</v>
      </c>
      <c r="AB81">
        <v>2.9257999999999999E-2</v>
      </c>
      <c r="AC81">
        <v>2.9812000000000002E-2</v>
      </c>
      <c r="AD81">
        <v>3.0370999999999999E-2</v>
      </c>
      <c r="AE81" t="s">
        <v>670</v>
      </c>
    </row>
    <row r="82" spans="1:31" x14ac:dyDescent="0.45">
      <c r="A82" t="s">
        <v>180</v>
      </c>
      <c r="B82" t="s">
        <v>681</v>
      </c>
      <c r="C82" t="s">
        <v>682</v>
      </c>
      <c r="D82" t="s">
        <v>183</v>
      </c>
      <c r="E82">
        <v>65.763306</v>
      </c>
      <c r="F82">
        <v>69.514885000000007</v>
      </c>
      <c r="G82">
        <v>73.749602999999993</v>
      </c>
      <c r="H82">
        <v>78.117583999999994</v>
      </c>
      <c r="I82">
        <v>82.188416000000004</v>
      </c>
      <c r="J82">
        <v>86.464530999999994</v>
      </c>
      <c r="K82">
        <v>91.093108999999998</v>
      </c>
      <c r="L82">
        <v>95.701415999999995</v>
      </c>
      <c r="M82">
        <v>100.53012099999999</v>
      </c>
      <c r="N82">
        <v>105.647018</v>
      </c>
      <c r="O82">
        <v>111.102661</v>
      </c>
      <c r="P82">
        <v>116.817886</v>
      </c>
      <c r="Q82">
        <v>122.939804</v>
      </c>
      <c r="R82">
        <v>129.34982299999999</v>
      </c>
      <c r="S82">
        <v>136.10320999999999</v>
      </c>
      <c r="T82">
        <v>143.09359699999999</v>
      </c>
      <c r="U82">
        <v>150.360107</v>
      </c>
      <c r="V82">
        <v>157.83047500000001</v>
      </c>
      <c r="W82">
        <v>165.53160099999999</v>
      </c>
      <c r="X82">
        <v>173.53079199999999</v>
      </c>
      <c r="Y82">
        <v>181.71040300000001</v>
      </c>
      <c r="Z82">
        <v>190.129639</v>
      </c>
      <c r="AA82">
        <v>198.79531900000001</v>
      </c>
      <c r="AB82">
        <v>207.82278400000001</v>
      </c>
      <c r="AC82">
        <v>216.99314899999999</v>
      </c>
      <c r="AD82">
        <v>226.49281300000001</v>
      </c>
      <c r="AE82" t="s">
        <v>504</v>
      </c>
    </row>
    <row r="83" spans="1:31" x14ac:dyDescent="0.45">
      <c r="A83" t="s">
        <v>181</v>
      </c>
      <c r="B83" t="s">
        <v>683</v>
      </c>
      <c r="C83" t="s">
        <v>684</v>
      </c>
      <c r="D83" t="s">
        <v>183</v>
      </c>
      <c r="E83">
        <v>0.17227400000000001</v>
      </c>
      <c r="F83">
        <v>0.172428</v>
      </c>
      <c r="G83">
        <v>0.17261599999999999</v>
      </c>
      <c r="H83">
        <v>0.17280200000000001</v>
      </c>
      <c r="I83">
        <v>0.17310300000000001</v>
      </c>
      <c r="J83">
        <v>0.173625</v>
      </c>
      <c r="K83">
        <v>0.174572</v>
      </c>
      <c r="L83">
        <v>0.17604500000000001</v>
      </c>
      <c r="M83">
        <v>0.17830799999999999</v>
      </c>
      <c r="N83">
        <v>0.18141699999999999</v>
      </c>
      <c r="O83">
        <v>0.18512600000000001</v>
      </c>
      <c r="P83">
        <v>0.18928300000000001</v>
      </c>
      <c r="Q83">
        <v>0.193886</v>
      </c>
      <c r="R83">
        <v>0.198717</v>
      </c>
      <c r="S83">
        <v>0.20366799999999999</v>
      </c>
      <c r="T83">
        <v>0.20891399999999999</v>
      </c>
      <c r="U83">
        <v>0.21476100000000001</v>
      </c>
      <c r="V83">
        <v>0.221002</v>
      </c>
      <c r="W83">
        <v>0.227441</v>
      </c>
      <c r="X83">
        <v>0.23403499999999999</v>
      </c>
      <c r="Y83">
        <v>0.240839</v>
      </c>
      <c r="Z83">
        <v>0.24821199999999999</v>
      </c>
      <c r="AA83">
        <v>0.25586700000000001</v>
      </c>
      <c r="AB83">
        <v>0.26457799999999998</v>
      </c>
      <c r="AC83">
        <v>0.27338699999999999</v>
      </c>
      <c r="AD83">
        <v>0.28228599999999998</v>
      </c>
      <c r="AE83" t="s">
        <v>507</v>
      </c>
    </row>
    <row r="84" spans="1:31" x14ac:dyDescent="0.45">
      <c r="A84" t="s">
        <v>132</v>
      </c>
      <c r="B84" t="s">
        <v>685</v>
      </c>
      <c r="C84" t="s">
        <v>686</v>
      </c>
      <c r="D84" t="s">
        <v>183</v>
      </c>
      <c r="E84">
        <v>65.937576000000007</v>
      </c>
      <c r="F84">
        <v>69.691681000000003</v>
      </c>
      <c r="G84">
        <v>73.928909000000004</v>
      </c>
      <c r="H84">
        <v>78.297127000000003</v>
      </c>
      <c r="I84">
        <v>82.368308999999996</v>
      </c>
      <c r="J84">
        <v>86.648169999999993</v>
      </c>
      <c r="K84">
        <v>91.282004999999998</v>
      </c>
      <c r="L84">
        <v>95.896216999999993</v>
      </c>
      <c r="M84">
        <v>100.730644</v>
      </c>
      <c r="N84">
        <v>105.85498</v>
      </c>
      <c r="O84">
        <v>111.314384</v>
      </c>
      <c r="P84">
        <v>117.03381299999999</v>
      </c>
      <c r="Q84">
        <v>123.16038500000001</v>
      </c>
      <c r="R84">
        <v>129.575287</v>
      </c>
      <c r="S84">
        <v>136.33367899999999</v>
      </c>
      <c r="T84">
        <v>143.32936100000001</v>
      </c>
      <c r="U84">
        <v>150.60179099999999</v>
      </c>
      <c r="V84">
        <v>158.07849100000001</v>
      </c>
      <c r="W84">
        <v>165.78616299999999</v>
      </c>
      <c r="X84">
        <v>173.79212999999999</v>
      </c>
      <c r="Y84">
        <v>181.97886700000001</v>
      </c>
      <c r="Z84">
        <v>190.40600599999999</v>
      </c>
      <c r="AA84">
        <v>199.07988</v>
      </c>
      <c r="AB84">
        <v>208.11660800000001</v>
      </c>
      <c r="AC84">
        <v>217.296356</v>
      </c>
      <c r="AD84">
        <v>226.805466</v>
      </c>
      <c r="AE84" t="s">
        <v>504</v>
      </c>
    </row>
    <row r="85" spans="1:31" x14ac:dyDescent="0.45">
      <c r="A85" t="s">
        <v>184</v>
      </c>
    </row>
    <row r="86" spans="1:31" x14ac:dyDescent="0.45">
      <c r="A86" t="s">
        <v>185</v>
      </c>
      <c r="B86" t="s">
        <v>687</v>
      </c>
      <c r="C86" t="s">
        <v>688</v>
      </c>
      <c r="D86" t="s">
        <v>183</v>
      </c>
      <c r="E86">
        <v>11.678179999999999</v>
      </c>
      <c r="F86">
        <v>12.194283</v>
      </c>
      <c r="G86">
        <v>12.947094999999999</v>
      </c>
      <c r="H86">
        <v>13.733867999999999</v>
      </c>
      <c r="I86">
        <v>14.398315999999999</v>
      </c>
      <c r="J86">
        <v>15.122087000000001</v>
      </c>
      <c r="K86">
        <v>15.963412999999999</v>
      </c>
      <c r="L86">
        <v>16.765619000000001</v>
      </c>
      <c r="M86">
        <v>17.624851</v>
      </c>
      <c r="N86">
        <v>18.541654999999999</v>
      </c>
      <c r="O86">
        <v>19.535112000000002</v>
      </c>
      <c r="P86">
        <v>20.570558999999999</v>
      </c>
      <c r="Q86">
        <v>21.705860000000001</v>
      </c>
      <c r="R86">
        <v>22.895941000000001</v>
      </c>
      <c r="S86">
        <v>24.190172</v>
      </c>
      <c r="T86">
        <v>25.534420000000001</v>
      </c>
      <c r="U86">
        <v>26.944834</v>
      </c>
      <c r="V86">
        <v>28.379297000000001</v>
      </c>
      <c r="W86">
        <v>29.894017999999999</v>
      </c>
      <c r="X86">
        <v>31.475760999999999</v>
      </c>
      <c r="Y86">
        <v>33.075305999999998</v>
      </c>
      <c r="Z86">
        <v>34.696655</v>
      </c>
      <c r="AA86">
        <v>36.351891000000002</v>
      </c>
      <c r="AB86">
        <v>38.104987999999999</v>
      </c>
      <c r="AC86">
        <v>39.860675999999998</v>
      </c>
      <c r="AD86">
        <v>41.713695999999999</v>
      </c>
      <c r="AE86" t="s">
        <v>689</v>
      </c>
    </row>
    <row r="87" spans="1:31" x14ac:dyDescent="0.45">
      <c r="A87" t="s">
        <v>186</v>
      </c>
      <c r="B87" t="s">
        <v>690</v>
      </c>
      <c r="C87" t="s">
        <v>691</v>
      </c>
      <c r="D87" t="s">
        <v>183</v>
      </c>
      <c r="E87">
        <v>54.259399000000002</v>
      </c>
      <c r="F87">
        <v>57.497405999999998</v>
      </c>
      <c r="G87">
        <v>60.981811999999998</v>
      </c>
      <c r="H87">
        <v>64.563263000000006</v>
      </c>
      <c r="I87">
        <v>67.970000999999996</v>
      </c>
      <c r="J87">
        <v>71.526084999999995</v>
      </c>
      <c r="K87">
        <v>75.318588000000005</v>
      </c>
      <c r="L87">
        <v>79.130600000000001</v>
      </c>
      <c r="M87">
        <v>83.105789000000001</v>
      </c>
      <c r="N87">
        <v>87.313323999999994</v>
      </c>
      <c r="O87">
        <v>91.779266000000007</v>
      </c>
      <c r="P87">
        <v>96.463249000000005</v>
      </c>
      <c r="Q87">
        <v>101.454521</v>
      </c>
      <c r="R87">
        <v>106.67935199999999</v>
      </c>
      <c r="S87">
        <v>112.143501</v>
      </c>
      <c r="T87">
        <v>117.794945</v>
      </c>
      <c r="U87">
        <v>123.656952</v>
      </c>
      <c r="V87">
        <v>129.699173</v>
      </c>
      <c r="W87">
        <v>135.89213599999999</v>
      </c>
      <c r="X87">
        <v>142.31637599999999</v>
      </c>
      <c r="Y87">
        <v>148.903549</v>
      </c>
      <c r="Z87">
        <v>155.709351</v>
      </c>
      <c r="AA87">
        <v>162.727982</v>
      </c>
      <c r="AB87">
        <v>170.01164199999999</v>
      </c>
      <c r="AC87">
        <v>177.43568400000001</v>
      </c>
      <c r="AD87">
        <v>185.09176600000001</v>
      </c>
      <c r="AE87" t="s">
        <v>370</v>
      </c>
    </row>
    <row r="88" spans="1:31" x14ac:dyDescent="0.45">
      <c r="A88" t="s">
        <v>187</v>
      </c>
    </row>
    <row r="89" spans="1:31" x14ac:dyDescent="0.45">
      <c r="A89" t="s">
        <v>178</v>
      </c>
      <c r="B89" t="s">
        <v>692</v>
      </c>
      <c r="C89" t="s">
        <v>693</v>
      </c>
      <c r="D89" t="s">
        <v>188</v>
      </c>
      <c r="E89">
        <v>1.5282E-2</v>
      </c>
      <c r="F89">
        <v>3.3397000000000003E-2</v>
      </c>
      <c r="G89">
        <v>5.1050999999999999E-2</v>
      </c>
      <c r="H89">
        <v>5.1443999999999997E-2</v>
      </c>
      <c r="I89">
        <v>5.1837000000000001E-2</v>
      </c>
      <c r="J89">
        <v>7.6448000000000002E-2</v>
      </c>
      <c r="K89">
        <v>0.10929800000000001</v>
      </c>
      <c r="L89">
        <v>0.143174</v>
      </c>
      <c r="M89">
        <v>0.16955899999999999</v>
      </c>
      <c r="N89">
        <v>0.202596</v>
      </c>
      <c r="O89">
        <v>0.202989</v>
      </c>
      <c r="P89">
        <v>0.20338200000000001</v>
      </c>
      <c r="Q89">
        <v>0.20377500000000001</v>
      </c>
      <c r="R89">
        <v>0.20416799999999999</v>
      </c>
      <c r="S89">
        <v>0.204565</v>
      </c>
      <c r="T89">
        <v>0.20499000000000001</v>
      </c>
      <c r="U89">
        <v>0.20548</v>
      </c>
      <c r="V89">
        <v>0.20610700000000001</v>
      </c>
      <c r="W89">
        <v>0.20699300000000001</v>
      </c>
      <c r="X89">
        <v>0.208397</v>
      </c>
      <c r="Y89">
        <v>0.21077099999999999</v>
      </c>
      <c r="Z89">
        <v>0.21493499999999999</v>
      </c>
      <c r="AA89">
        <v>0.21912400000000001</v>
      </c>
      <c r="AB89">
        <v>0.22333</v>
      </c>
      <c r="AC89">
        <v>0.22756399999999999</v>
      </c>
      <c r="AD89">
        <v>0.231824</v>
      </c>
      <c r="AE89" t="s">
        <v>670</v>
      </c>
    </row>
    <row r="90" spans="1:31" x14ac:dyDescent="0.45">
      <c r="A90" t="s">
        <v>180</v>
      </c>
      <c r="B90" t="s">
        <v>694</v>
      </c>
      <c r="C90" t="s">
        <v>695</v>
      </c>
      <c r="D90" t="s">
        <v>188</v>
      </c>
      <c r="E90">
        <v>224.38436899999999</v>
      </c>
      <c r="F90">
        <v>237.18476899999999</v>
      </c>
      <c r="G90">
        <v>251.633636</v>
      </c>
      <c r="H90">
        <v>266.53720099999998</v>
      </c>
      <c r="I90">
        <v>280.42687999999998</v>
      </c>
      <c r="J90">
        <v>295.01696800000002</v>
      </c>
      <c r="K90">
        <v>310.80969199999998</v>
      </c>
      <c r="L90">
        <v>326.53320300000001</v>
      </c>
      <c r="M90">
        <v>343.00872800000002</v>
      </c>
      <c r="N90">
        <v>360.46758999999997</v>
      </c>
      <c r="O90">
        <v>379.08227499999998</v>
      </c>
      <c r="P90">
        <v>398.582581</v>
      </c>
      <c r="Q90">
        <v>419.470642</v>
      </c>
      <c r="R90">
        <v>441.34155299999998</v>
      </c>
      <c r="S90">
        <v>464.38412499999998</v>
      </c>
      <c r="T90">
        <v>488.23529100000002</v>
      </c>
      <c r="U90">
        <v>513.02868699999999</v>
      </c>
      <c r="V90">
        <v>538.51745600000004</v>
      </c>
      <c r="W90">
        <v>564.79382299999997</v>
      </c>
      <c r="X90">
        <v>592.08697500000005</v>
      </c>
      <c r="Y90">
        <v>619.99591099999998</v>
      </c>
      <c r="Z90">
        <v>648.72229000000004</v>
      </c>
      <c r="AA90">
        <v>678.28955099999996</v>
      </c>
      <c r="AB90">
        <v>709.09130900000002</v>
      </c>
      <c r="AC90">
        <v>740.38061500000003</v>
      </c>
      <c r="AD90">
        <v>772.79345699999999</v>
      </c>
      <c r="AE90" t="s">
        <v>504</v>
      </c>
    </row>
    <row r="91" spans="1:31" x14ac:dyDescent="0.45">
      <c r="A91" t="s">
        <v>181</v>
      </c>
      <c r="B91" t="s">
        <v>696</v>
      </c>
      <c r="C91" t="s">
        <v>697</v>
      </c>
      <c r="D91" t="s">
        <v>188</v>
      </c>
      <c r="E91">
        <v>0.58779899999999996</v>
      </c>
      <c r="F91">
        <v>0.58832399999999996</v>
      </c>
      <c r="G91">
        <v>0.58896499999999996</v>
      </c>
      <c r="H91">
        <v>0.58960100000000004</v>
      </c>
      <c r="I91">
        <v>0.59062800000000004</v>
      </c>
      <c r="J91">
        <v>0.59240999999999999</v>
      </c>
      <c r="K91">
        <v>0.59563999999999995</v>
      </c>
      <c r="L91">
        <v>0.60066600000000003</v>
      </c>
      <c r="M91">
        <v>0.60838700000000001</v>
      </c>
      <c r="N91">
        <v>0.61899499999999996</v>
      </c>
      <c r="O91">
        <v>0.63164799999999999</v>
      </c>
      <c r="P91">
        <v>0.64583299999999999</v>
      </c>
      <c r="Q91">
        <v>0.66153799999999996</v>
      </c>
      <c r="R91">
        <v>0.67802200000000001</v>
      </c>
      <c r="S91">
        <v>0.69491499999999995</v>
      </c>
      <c r="T91">
        <v>0.71281300000000003</v>
      </c>
      <c r="U91">
        <v>0.732765</v>
      </c>
      <c r="V91">
        <v>0.75405800000000001</v>
      </c>
      <c r="W91">
        <v>0.77603</v>
      </c>
      <c r="X91">
        <v>0.79852900000000004</v>
      </c>
      <c r="Y91">
        <v>0.821743</v>
      </c>
      <c r="Z91">
        <v>0.84689899999999996</v>
      </c>
      <c r="AA91">
        <v>0.87301700000000004</v>
      </c>
      <c r="AB91">
        <v>0.90273999999999999</v>
      </c>
      <c r="AC91">
        <v>0.93279500000000004</v>
      </c>
      <c r="AD91">
        <v>0.96316100000000004</v>
      </c>
      <c r="AE91" t="s">
        <v>507</v>
      </c>
    </row>
    <row r="92" spans="1:31" x14ac:dyDescent="0.45">
      <c r="A92" t="s">
        <v>132</v>
      </c>
      <c r="B92" t="s">
        <v>698</v>
      </c>
      <c r="C92" t="s">
        <v>699</v>
      </c>
      <c r="D92" t="s">
        <v>188</v>
      </c>
      <c r="E92">
        <v>224.98744199999999</v>
      </c>
      <c r="F92">
        <v>237.806488</v>
      </c>
      <c r="G92">
        <v>252.273651</v>
      </c>
      <c r="H92">
        <v>267.17825299999998</v>
      </c>
      <c r="I92">
        <v>281.069366</v>
      </c>
      <c r="J92">
        <v>295.68582199999997</v>
      </c>
      <c r="K92">
        <v>311.51461799999998</v>
      </c>
      <c r="L92">
        <v>327.27706899999998</v>
      </c>
      <c r="M92">
        <v>343.78668199999998</v>
      </c>
      <c r="N92">
        <v>361.28918499999997</v>
      </c>
      <c r="O92">
        <v>379.91693099999998</v>
      </c>
      <c r="P92">
        <v>399.43179300000003</v>
      </c>
      <c r="Q92">
        <v>420.335938</v>
      </c>
      <c r="R92">
        <v>442.223724</v>
      </c>
      <c r="S92">
        <v>465.28359999999998</v>
      </c>
      <c r="T92">
        <v>489.153076</v>
      </c>
      <c r="U92">
        <v>513.96698000000004</v>
      </c>
      <c r="V92">
        <v>539.47760000000005</v>
      </c>
      <c r="W92">
        <v>565.776794</v>
      </c>
      <c r="X92">
        <v>593.09387200000003</v>
      </c>
      <c r="Y92">
        <v>621.02838099999997</v>
      </c>
      <c r="Z92">
        <v>649.78411900000003</v>
      </c>
      <c r="AA92">
        <v>679.38171399999999</v>
      </c>
      <c r="AB92">
        <v>710.21734600000002</v>
      </c>
      <c r="AC92">
        <v>741.54095500000005</v>
      </c>
      <c r="AD92">
        <v>773.98840299999995</v>
      </c>
      <c r="AE92" t="s">
        <v>504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E125"/>
  <sheetViews>
    <sheetView topLeftCell="A27" workbookViewId="0">
      <selection activeCell="F50" sqref="F50"/>
    </sheetView>
  </sheetViews>
  <sheetFormatPr defaultRowHeight="14.25" x14ac:dyDescent="0.45"/>
  <cols>
    <col min="1" max="1" width="36.265625" customWidth="1"/>
  </cols>
  <sheetData>
    <row r="1" spans="1:31" x14ac:dyDescent="0.45">
      <c r="A1" t="s">
        <v>189</v>
      </c>
    </row>
    <row r="2" spans="1:31" x14ac:dyDescent="0.45">
      <c r="A2" t="s">
        <v>296</v>
      </c>
    </row>
    <row r="3" spans="1:31" x14ac:dyDescent="0.45">
      <c r="A3" t="s">
        <v>297</v>
      </c>
    </row>
    <row r="4" spans="1:31" x14ac:dyDescent="0.45">
      <c r="A4" t="s">
        <v>117</v>
      </c>
    </row>
    <row r="5" spans="1:31" x14ac:dyDescent="0.45">
      <c r="B5" t="s">
        <v>118</v>
      </c>
      <c r="C5" t="s">
        <v>119</v>
      </c>
      <c r="D5" t="s">
        <v>120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298</v>
      </c>
    </row>
    <row r="6" spans="1:31" x14ac:dyDescent="0.45">
      <c r="A6" t="s">
        <v>190</v>
      </c>
    </row>
    <row r="7" spans="1:31" x14ac:dyDescent="0.45">
      <c r="A7" t="s">
        <v>191</v>
      </c>
    </row>
    <row r="8" spans="1:31" x14ac:dyDescent="0.45">
      <c r="A8" t="s">
        <v>192</v>
      </c>
      <c r="B8" t="s">
        <v>299</v>
      </c>
      <c r="C8" t="s">
        <v>300</v>
      </c>
      <c r="D8" t="s">
        <v>124</v>
      </c>
      <c r="E8">
        <v>89.551807999999994</v>
      </c>
      <c r="F8">
        <v>90.499319999999997</v>
      </c>
      <c r="G8">
        <v>91.445952000000005</v>
      </c>
      <c r="H8">
        <v>92.375528000000003</v>
      </c>
      <c r="I8">
        <v>93.308328000000003</v>
      </c>
      <c r="J8">
        <v>94.243120000000005</v>
      </c>
      <c r="K8">
        <v>95.158208000000002</v>
      </c>
      <c r="L8">
        <v>96.071575999999993</v>
      </c>
      <c r="M8">
        <v>96.973696000000004</v>
      </c>
      <c r="N8">
        <v>97.853279999999998</v>
      </c>
      <c r="O8">
        <v>98.716440000000006</v>
      </c>
      <c r="P8">
        <v>99.555663999999993</v>
      </c>
      <c r="Q8">
        <v>100.3796</v>
      </c>
      <c r="R8">
        <v>101.179768</v>
      </c>
      <c r="S8">
        <v>101.948536</v>
      </c>
      <c r="T8">
        <v>102.68970400000001</v>
      </c>
      <c r="U8">
        <v>103.400256</v>
      </c>
      <c r="V8">
        <v>104.09390399999999</v>
      </c>
      <c r="W8">
        <v>104.76102400000001</v>
      </c>
      <c r="X8">
        <v>105.404848</v>
      </c>
      <c r="Y8">
        <v>106.04945600000001</v>
      </c>
      <c r="Z8">
        <v>106.69841599999999</v>
      </c>
      <c r="AA8">
        <v>107.34532</v>
      </c>
      <c r="AB8">
        <v>107.99104</v>
      </c>
      <c r="AC8">
        <v>108.635976</v>
      </c>
      <c r="AD8">
        <v>109.283816</v>
      </c>
      <c r="AE8" t="s">
        <v>301</v>
      </c>
    </row>
    <row r="9" spans="1:31" x14ac:dyDescent="0.45">
      <c r="A9" t="s">
        <v>193</v>
      </c>
      <c r="B9" t="s">
        <v>302</v>
      </c>
      <c r="C9" t="s">
        <v>303</v>
      </c>
      <c r="D9" t="s">
        <v>124</v>
      </c>
      <c r="E9">
        <v>34.432312000000003</v>
      </c>
      <c r="F9">
        <v>34.836668000000003</v>
      </c>
      <c r="G9">
        <v>35.242792000000001</v>
      </c>
      <c r="H9">
        <v>35.639104000000003</v>
      </c>
      <c r="I9">
        <v>36.037196000000002</v>
      </c>
      <c r="J9">
        <v>36.453671999999997</v>
      </c>
      <c r="K9">
        <v>36.903640000000003</v>
      </c>
      <c r="L9">
        <v>37.355531999999997</v>
      </c>
      <c r="M9">
        <v>37.797055999999998</v>
      </c>
      <c r="N9">
        <v>38.222763999999998</v>
      </c>
      <c r="O9">
        <v>38.636755999999998</v>
      </c>
      <c r="P9">
        <v>39.039476000000001</v>
      </c>
      <c r="Q9">
        <v>39.397843999999999</v>
      </c>
      <c r="R9">
        <v>39.730519999999999</v>
      </c>
      <c r="S9">
        <v>40.040472000000001</v>
      </c>
      <c r="T9">
        <v>40.33182</v>
      </c>
      <c r="U9">
        <v>40.601424000000002</v>
      </c>
      <c r="V9">
        <v>40.853960000000001</v>
      </c>
      <c r="W9">
        <v>41.099856000000003</v>
      </c>
      <c r="X9">
        <v>41.347656000000001</v>
      </c>
      <c r="Y9">
        <v>41.597008000000002</v>
      </c>
      <c r="Z9">
        <v>41.846876000000002</v>
      </c>
      <c r="AA9">
        <v>42.095095999999998</v>
      </c>
      <c r="AB9">
        <v>42.342736000000002</v>
      </c>
      <c r="AC9">
        <v>42.590232</v>
      </c>
      <c r="AD9">
        <v>42.838628</v>
      </c>
      <c r="AE9" t="s">
        <v>304</v>
      </c>
    </row>
    <row r="10" spans="1:31" x14ac:dyDescent="0.45">
      <c r="A10" t="s">
        <v>194</v>
      </c>
      <c r="B10" t="s">
        <v>305</v>
      </c>
      <c r="C10" t="s">
        <v>306</v>
      </c>
      <c r="D10" t="s">
        <v>124</v>
      </c>
      <c r="E10">
        <v>6.7450950000000001</v>
      </c>
      <c r="F10">
        <v>6.759423</v>
      </c>
      <c r="G10">
        <v>6.806991</v>
      </c>
      <c r="H10">
        <v>6.8581649999999996</v>
      </c>
      <c r="I10">
        <v>6.9037110000000004</v>
      </c>
      <c r="J10">
        <v>6.9130140000000004</v>
      </c>
      <c r="K10">
        <v>6.915089</v>
      </c>
      <c r="L10">
        <v>6.9182519999999998</v>
      </c>
      <c r="M10">
        <v>6.921087</v>
      </c>
      <c r="N10">
        <v>6.923413</v>
      </c>
      <c r="O10">
        <v>6.9269959999999999</v>
      </c>
      <c r="P10">
        <v>6.9313560000000001</v>
      </c>
      <c r="Q10">
        <v>6.9329989999999997</v>
      </c>
      <c r="R10">
        <v>6.9327449999999997</v>
      </c>
      <c r="S10">
        <v>6.9276109999999997</v>
      </c>
      <c r="T10">
        <v>6.924169</v>
      </c>
      <c r="U10">
        <v>6.9226830000000001</v>
      </c>
      <c r="V10">
        <v>6.9217560000000002</v>
      </c>
      <c r="W10">
        <v>6.9220889999999997</v>
      </c>
      <c r="X10">
        <v>6.9248770000000004</v>
      </c>
      <c r="Y10">
        <v>6.9295859999999996</v>
      </c>
      <c r="Z10">
        <v>6.9344039999999998</v>
      </c>
      <c r="AA10">
        <v>6.93933</v>
      </c>
      <c r="AB10">
        <v>6.9430180000000004</v>
      </c>
      <c r="AC10">
        <v>6.946523</v>
      </c>
      <c r="AD10">
        <v>6.950291</v>
      </c>
      <c r="AE10" t="s">
        <v>307</v>
      </c>
    </row>
    <row r="11" spans="1:31" x14ac:dyDescent="0.45">
      <c r="A11" t="s">
        <v>132</v>
      </c>
      <c r="B11" t="s">
        <v>308</v>
      </c>
      <c r="C11" t="s">
        <v>309</v>
      </c>
      <c r="D11" t="s">
        <v>124</v>
      </c>
      <c r="E11">
        <v>130.72921500000001</v>
      </c>
      <c r="F11">
        <v>132.09541100000001</v>
      </c>
      <c r="G11">
        <v>133.495735</v>
      </c>
      <c r="H11">
        <v>134.87279699999999</v>
      </c>
      <c r="I11">
        <v>136.249235</v>
      </c>
      <c r="J11">
        <v>137.60980599999999</v>
      </c>
      <c r="K11">
        <v>138.97693699999999</v>
      </c>
      <c r="L11">
        <v>140.34536</v>
      </c>
      <c r="M11">
        <v>141.69183899999999</v>
      </c>
      <c r="N11">
        <v>142.999458</v>
      </c>
      <c r="O11">
        <v>144.280192</v>
      </c>
      <c r="P11">
        <v>145.52649600000001</v>
      </c>
      <c r="Q11">
        <v>146.710443</v>
      </c>
      <c r="R11">
        <v>147.84303299999999</v>
      </c>
      <c r="S11">
        <v>148.916619</v>
      </c>
      <c r="T11">
        <v>149.94569300000001</v>
      </c>
      <c r="U11">
        <v>150.924363</v>
      </c>
      <c r="V11">
        <v>151.86962</v>
      </c>
      <c r="W11">
        <v>152.78296900000001</v>
      </c>
      <c r="X11">
        <v>153.677381</v>
      </c>
      <c r="Y11">
        <v>154.57605000000001</v>
      </c>
      <c r="Z11">
        <v>155.47969599999999</v>
      </c>
      <c r="AA11">
        <v>156.37974600000001</v>
      </c>
      <c r="AB11">
        <v>157.276794</v>
      </c>
      <c r="AC11">
        <v>158.172731</v>
      </c>
      <c r="AD11">
        <v>159.07273499999999</v>
      </c>
      <c r="AE11" t="s">
        <v>301</v>
      </c>
    </row>
    <row r="12" spans="1:31" x14ac:dyDescent="0.45">
      <c r="A12" t="s">
        <v>195</v>
      </c>
      <c r="B12" t="s">
        <v>310</v>
      </c>
      <c r="C12" t="s">
        <v>311</v>
      </c>
      <c r="D12" t="s">
        <v>196</v>
      </c>
      <c r="E12">
        <v>1648.580933</v>
      </c>
      <c r="F12">
        <v>1653.8009030000001</v>
      </c>
      <c r="G12">
        <v>1658.753418</v>
      </c>
      <c r="H12">
        <v>1663.619629</v>
      </c>
      <c r="I12">
        <v>1668.3839109999999</v>
      </c>
      <c r="J12">
        <v>1673.056885</v>
      </c>
      <c r="K12">
        <v>1677.3985600000001</v>
      </c>
      <c r="L12">
        <v>1681.615356</v>
      </c>
      <c r="M12">
        <v>1685.79187</v>
      </c>
      <c r="N12">
        <v>1689.955688</v>
      </c>
      <c r="O12">
        <v>1694.0828859999999</v>
      </c>
      <c r="P12">
        <v>1698.1728519999999</v>
      </c>
      <c r="Q12">
        <v>1702.4686280000001</v>
      </c>
      <c r="R12">
        <v>1706.8398440000001</v>
      </c>
      <c r="S12">
        <v>1711.274048</v>
      </c>
      <c r="T12">
        <v>1715.727783</v>
      </c>
      <c r="U12">
        <v>1720.2238769999999</v>
      </c>
      <c r="V12">
        <v>1724.752197</v>
      </c>
      <c r="W12">
        <v>1729.2341309999999</v>
      </c>
      <c r="X12">
        <v>1733.615601</v>
      </c>
      <c r="Y12">
        <v>1737.918823</v>
      </c>
      <c r="Z12">
        <v>1742.1623540000001</v>
      </c>
      <c r="AA12">
        <v>1746.357178</v>
      </c>
      <c r="AB12">
        <v>1750.5023189999999</v>
      </c>
      <c r="AC12">
        <v>1754.593018</v>
      </c>
      <c r="AD12">
        <v>1758.6240230000001</v>
      </c>
      <c r="AE12" t="s">
        <v>312</v>
      </c>
    </row>
    <row r="13" spans="1:31" x14ac:dyDescent="0.45">
      <c r="A13" t="s">
        <v>197</v>
      </c>
    </row>
    <row r="14" spans="1:31" x14ac:dyDescent="0.45">
      <c r="A14" t="s">
        <v>198</v>
      </c>
    </row>
    <row r="15" spans="1:31" x14ac:dyDescent="0.45">
      <c r="A15" t="s">
        <v>199</v>
      </c>
      <c r="B15" t="s">
        <v>313</v>
      </c>
      <c r="C15" t="s">
        <v>314</v>
      </c>
      <c r="D15" t="s">
        <v>200</v>
      </c>
      <c r="E15">
        <v>89.060957999999999</v>
      </c>
      <c r="F15">
        <v>86.654178999999999</v>
      </c>
      <c r="G15">
        <v>85.803576000000007</v>
      </c>
      <c r="H15">
        <v>85.129928000000007</v>
      </c>
      <c r="I15">
        <v>84.070611</v>
      </c>
      <c r="J15">
        <v>82.772625000000005</v>
      </c>
      <c r="K15">
        <v>81.438220000000001</v>
      </c>
      <c r="L15">
        <v>80.199731999999997</v>
      </c>
      <c r="M15">
        <v>79.037514999999999</v>
      </c>
      <c r="N15">
        <v>78.012084000000002</v>
      </c>
      <c r="O15">
        <v>77.086948000000007</v>
      </c>
      <c r="P15">
        <v>76.247253000000001</v>
      </c>
      <c r="Q15">
        <v>75.471804000000006</v>
      </c>
      <c r="R15">
        <v>74.779411999999994</v>
      </c>
      <c r="S15">
        <v>74.147296999999995</v>
      </c>
      <c r="T15">
        <v>73.529512999999994</v>
      </c>
      <c r="U15">
        <v>72.987660000000005</v>
      </c>
      <c r="V15">
        <v>72.550301000000005</v>
      </c>
      <c r="W15">
        <v>72.191370000000006</v>
      </c>
      <c r="X15">
        <v>71.873313999999993</v>
      </c>
      <c r="Y15">
        <v>71.554366000000002</v>
      </c>
      <c r="Z15">
        <v>71.242593999999997</v>
      </c>
      <c r="AA15">
        <v>70.912942000000001</v>
      </c>
      <c r="AB15">
        <v>70.590440999999998</v>
      </c>
      <c r="AC15">
        <v>70.298458999999994</v>
      </c>
      <c r="AD15">
        <v>70.025752999999995</v>
      </c>
      <c r="AE15" t="s">
        <v>315</v>
      </c>
    </row>
    <row r="16" spans="1:31" x14ac:dyDescent="0.45">
      <c r="A16" t="s">
        <v>201</v>
      </c>
      <c r="B16" t="s">
        <v>316</v>
      </c>
      <c r="C16" t="s">
        <v>317</v>
      </c>
      <c r="D16" t="s">
        <v>200</v>
      </c>
      <c r="E16">
        <v>87.644801000000001</v>
      </c>
      <c r="F16">
        <v>85.169031000000004</v>
      </c>
      <c r="G16">
        <v>84.244950000000003</v>
      </c>
      <c r="H16">
        <v>83.496611999999999</v>
      </c>
      <c r="I16">
        <v>82.368482999999998</v>
      </c>
      <c r="J16">
        <v>80.999154000000004</v>
      </c>
      <c r="K16">
        <v>79.589085999999995</v>
      </c>
      <c r="L16">
        <v>78.275952000000004</v>
      </c>
      <c r="M16">
        <v>77.036292000000003</v>
      </c>
      <c r="N16">
        <v>75.928768000000005</v>
      </c>
      <c r="O16">
        <v>74.916512999999995</v>
      </c>
      <c r="P16">
        <v>73.985585</v>
      </c>
      <c r="Q16">
        <v>73.112307999999999</v>
      </c>
      <c r="R16">
        <v>72.317409999999995</v>
      </c>
      <c r="S16">
        <v>71.577848000000003</v>
      </c>
      <c r="T16">
        <v>70.849100000000007</v>
      </c>
      <c r="U16">
        <v>70.192104</v>
      </c>
      <c r="V16">
        <v>69.636396000000005</v>
      </c>
      <c r="W16">
        <v>69.156582</v>
      </c>
      <c r="X16">
        <v>68.713554999999999</v>
      </c>
      <c r="Y16">
        <v>68.267577000000003</v>
      </c>
      <c r="Z16">
        <v>67.825554999999994</v>
      </c>
      <c r="AA16">
        <v>67.362431999999998</v>
      </c>
      <c r="AB16">
        <v>66.902169000000001</v>
      </c>
      <c r="AC16">
        <v>66.470930999999993</v>
      </c>
      <c r="AD16">
        <v>66.055662999999996</v>
      </c>
      <c r="AE16" t="s">
        <v>318</v>
      </c>
    </row>
    <row r="17" spans="1:31" x14ac:dyDescent="0.45">
      <c r="A17" t="s">
        <v>202</v>
      </c>
    </row>
    <row r="18" spans="1:31" x14ac:dyDescent="0.45">
      <c r="A18" t="s">
        <v>199</v>
      </c>
      <c r="B18" t="s">
        <v>319</v>
      </c>
      <c r="C18" t="s">
        <v>320</v>
      </c>
      <c r="D18" t="s">
        <v>203</v>
      </c>
      <c r="E18">
        <v>54.022799999999997</v>
      </c>
      <c r="F18">
        <v>52.396982999999999</v>
      </c>
      <c r="G18">
        <v>51.727746000000003</v>
      </c>
      <c r="H18">
        <v>51.171509999999998</v>
      </c>
      <c r="I18">
        <v>50.390447000000002</v>
      </c>
      <c r="J18">
        <v>49.473886</v>
      </c>
      <c r="K18">
        <v>48.550310000000003</v>
      </c>
      <c r="L18">
        <v>47.692079</v>
      </c>
      <c r="M18">
        <v>46.884504</v>
      </c>
      <c r="N18">
        <v>46.162207000000002</v>
      </c>
      <c r="O18">
        <v>45.503646000000003</v>
      </c>
      <c r="P18">
        <v>44.899583</v>
      </c>
      <c r="Q18">
        <v>44.330804999999998</v>
      </c>
      <c r="R18">
        <v>43.811616000000001</v>
      </c>
      <c r="S18">
        <v>43.328710000000001</v>
      </c>
      <c r="T18">
        <v>42.856164999999997</v>
      </c>
      <c r="U18">
        <v>42.429164</v>
      </c>
      <c r="V18">
        <v>42.064188000000001</v>
      </c>
      <c r="W18">
        <v>41.747596999999999</v>
      </c>
      <c r="X18">
        <v>41.458621999999998</v>
      </c>
      <c r="Y18">
        <v>41.172443999999999</v>
      </c>
      <c r="Z18">
        <v>40.8932</v>
      </c>
      <c r="AA18">
        <v>40.606208000000002</v>
      </c>
      <c r="AB18">
        <v>40.32582</v>
      </c>
      <c r="AC18">
        <v>40.065393</v>
      </c>
      <c r="AD18">
        <v>39.818489999999997</v>
      </c>
      <c r="AE18" t="s">
        <v>321</v>
      </c>
    </row>
    <row r="19" spans="1:31" x14ac:dyDescent="0.45">
      <c r="A19" t="s">
        <v>201</v>
      </c>
      <c r="B19" t="s">
        <v>322</v>
      </c>
      <c r="C19" t="s">
        <v>323</v>
      </c>
      <c r="D19" t="s">
        <v>203</v>
      </c>
      <c r="E19">
        <v>53.163784999999997</v>
      </c>
      <c r="F19">
        <v>51.498963000000003</v>
      </c>
      <c r="G19">
        <v>50.788108999999999</v>
      </c>
      <c r="H19">
        <v>50.189725000000003</v>
      </c>
      <c r="I19">
        <v>49.370221000000001</v>
      </c>
      <c r="J19">
        <v>48.413867000000003</v>
      </c>
      <c r="K19">
        <v>47.447927999999997</v>
      </c>
      <c r="L19">
        <v>46.548071999999998</v>
      </c>
      <c r="M19">
        <v>45.697392000000001</v>
      </c>
      <c r="N19">
        <v>44.929442999999999</v>
      </c>
      <c r="O19">
        <v>44.222459999999998</v>
      </c>
      <c r="P19">
        <v>43.567759000000002</v>
      </c>
      <c r="Q19">
        <v>42.944878000000003</v>
      </c>
      <c r="R19">
        <v>42.369183</v>
      </c>
      <c r="S19">
        <v>41.827227000000001</v>
      </c>
      <c r="T19">
        <v>41.293905000000002</v>
      </c>
      <c r="U19">
        <v>40.804051999999999</v>
      </c>
      <c r="V19">
        <v>40.374724999999998</v>
      </c>
      <c r="W19">
        <v>39.992607999999997</v>
      </c>
      <c r="X19">
        <v>39.635981000000001</v>
      </c>
      <c r="Y19">
        <v>39.281222999999997</v>
      </c>
      <c r="Z19">
        <v>38.931821999999997</v>
      </c>
      <c r="AA19">
        <v>38.573112999999999</v>
      </c>
      <c r="AB19">
        <v>38.21884</v>
      </c>
      <c r="AC19">
        <v>37.883960000000002</v>
      </c>
      <c r="AD19">
        <v>37.560991999999999</v>
      </c>
      <c r="AE19" t="s">
        <v>324</v>
      </c>
    </row>
    <row r="20" spans="1:31" x14ac:dyDescent="0.45">
      <c r="A20" t="s">
        <v>204</v>
      </c>
    </row>
    <row r="21" spans="1:31" x14ac:dyDescent="0.45">
      <c r="A21" t="s">
        <v>205</v>
      </c>
    </row>
    <row r="22" spans="1:31" x14ac:dyDescent="0.45">
      <c r="A22" t="s">
        <v>171</v>
      </c>
      <c r="B22" t="s">
        <v>325</v>
      </c>
      <c r="C22" t="s">
        <v>326</v>
      </c>
      <c r="D22" t="s">
        <v>206</v>
      </c>
      <c r="E22">
        <v>0.59498700000000004</v>
      </c>
      <c r="F22">
        <v>0.56559099999999995</v>
      </c>
      <c r="G22">
        <v>0.56616999999999995</v>
      </c>
      <c r="H22">
        <v>0.56694999999999995</v>
      </c>
      <c r="I22">
        <v>0.56581700000000001</v>
      </c>
      <c r="J22">
        <v>0.56227499999999997</v>
      </c>
      <c r="K22">
        <v>0.55764100000000005</v>
      </c>
      <c r="L22">
        <v>0.55301900000000004</v>
      </c>
      <c r="M22">
        <v>0.54866499999999996</v>
      </c>
      <c r="N22">
        <v>0.54410099999999995</v>
      </c>
      <c r="O22">
        <v>0.53962699999999997</v>
      </c>
      <c r="P22">
        <v>0.53538300000000005</v>
      </c>
      <c r="Q22">
        <v>0.53084900000000002</v>
      </c>
      <c r="R22">
        <v>0.52652699999999997</v>
      </c>
      <c r="S22">
        <v>0.52204499999999998</v>
      </c>
      <c r="T22">
        <v>0.517517</v>
      </c>
      <c r="U22">
        <v>0.51278199999999996</v>
      </c>
      <c r="V22">
        <v>0.50850700000000004</v>
      </c>
      <c r="W22">
        <v>0.50438799999999995</v>
      </c>
      <c r="X22">
        <v>0.50002599999999997</v>
      </c>
      <c r="Y22">
        <v>0.49595899999999998</v>
      </c>
      <c r="Z22">
        <v>0.491539</v>
      </c>
      <c r="AA22">
        <v>0.48665999999999998</v>
      </c>
      <c r="AB22">
        <v>0.48183100000000001</v>
      </c>
      <c r="AC22">
        <v>0.47719299999999998</v>
      </c>
      <c r="AD22">
        <v>0.47245900000000002</v>
      </c>
      <c r="AE22" t="s">
        <v>327</v>
      </c>
    </row>
    <row r="23" spans="1:31" x14ac:dyDescent="0.45">
      <c r="A23" t="s">
        <v>155</v>
      </c>
      <c r="B23" t="s">
        <v>328</v>
      </c>
      <c r="C23" t="s">
        <v>329</v>
      </c>
      <c r="D23" t="s">
        <v>206</v>
      </c>
      <c r="E23">
        <v>0.92457400000000001</v>
      </c>
      <c r="F23">
        <v>0.98388600000000004</v>
      </c>
      <c r="G23">
        <v>0.99778199999999995</v>
      </c>
      <c r="H23">
        <v>1.011565</v>
      </c>
      <c r="I23">
        <v>1.022745</v>
      </c>
      <c r="J23">
        <v>1.0299940000000001</v>
      </c>
      <c r="K23">
        <v>1.0365949999999999</v>
      </c>
      <c r="L23">
        <v>1.0441309999999999</v>
      </c>
      <c r="M23">
        <v>1.052389</v>
      </c>
      <c r="N23">
        <v>1.0619890000000001</v>
      </c>
      <c r="O23">
        <v>1.0725720000000001</v>
      </c>
      <c r="P23">
        <v>1.0844020000000001</v>
      </c>
      <c r="Q23">
        <v>1.097</v>
      </c>
      <c r="R23">
        <v>1.11012</v>
      </c>
      <c r="S23">
        <v>1.1235949999999999</v>
      </c>
      <c r="T23">
        <v>1.137956</v>
      </c>
      <c r="U23">
        <v>1.1531389999999999</v>
      </c>
      <c r="V23">
        <v>1.170164</v>
      </c>
      <c r="W23">
        <v>1.1882740000000001</v>
      </c>
      <c r="X23">
        <v>1.2064520000000001</v>
      </c>
      <c r="Y23">
        <v>1.2252769999999999</v>
      </c>
      <c r="Z23">
        <v>1.2431110000000001</v>
      </c>
      <c r="AA23">
        <v>1.260267</v>
      </c>
      <c r="AB23">
        <v>1.276902</v>
      </c>
      <c r="AC23">
        <v>1.2942579999999999</v>
      </c>
      <c r="AD23">
        <v>1.31138</v>
      </c>
      <c r="AE23" t="s">
        <v>330</v>
      </c>
    </row>
    <row r="24" spans="1:31" x14ac:dyDescent="0.45">
      <c r="A24" t="s">
        <v>207</v>
      </c>
      <c r="B24" t="s">
        <v>331</v>
      </c>
      <c r="C24" t="s">
        <v>332</v>
      </c>
      <c r="D24" t="s">
        <v>206</v>
      </c>
      <c r="E24">
        <v>0.45252900000000001</v>
      </c>
      <c r="F24">
        <v>0.44482899999999997</v>
      </c>
      <c r="G24">
        <v>0.43924099999999999</v>
      </c>
      <c r="H24">
        <v>0.43466900000000003</v>
      </c>
      <c r="I24">
        <v>0.417931</v>
      </c>
      <c r="J24">
        <v>0.39681300000000003</v>
      </c>
      <c r="K24">
        <v>0.37454999999999999</v>
      </c>
      <c r="L24">
        <v>0.35388900000000001</v>
      </c>
      <c r="M24">
        <v>0.33485900000000002</v>
      </c>
      <c r="N24">
        <v>0.31755</v>
      </c>
      <c r="O24">
        <v>0.30188599999999999</v>
      </c>
      <c r="P24">
        <v>0.28806700000000002</v>
      </c>
      <c r="Q24">
        <v>0.27600799999999998</v>
      </c>
      <c r="R24">
        <v>0.26572600000000002</v>
      </c>
      <c r="S24">
        <v>0.25716800000000001</v>
      </c>
      <c r="T24">
        <v>0.25033499999999997</v>
      </c>
      <c r="U24">
        <v>0.24518000000000001</v>
      </c>
      <c r="V24">
        <v>0.24182999999999999</v>
      </c>
      <c r="W24">
        <v>0.240263</v>
      </c>
      <c r="X24">
        <v>0.238624</v>
      </c>
      <c r="Y24">
        <v>0.236984</v>
      </c>
      <c r="Z24">
        <v>0.23524200000000001</v>
      </c>
      <c r="AA24">
        <v>0.233407</v>
      </c>
      <c r="AB24">
        <v>0.23158000000000001</v>
      </c>
      <c r="AC24">
        <v>0.22998099999999999</v>
      </c>
      <c r="AD24">
        <v>0.22855800000000001</v>
      </c>
      <c r="AE24" t="s">
        <v>333</v>
      </c>
    </row>
    <row r="25" spans="1:31" x14ac:dyDescent="0.45">
      <c r="A25" t="s">
        <v>208</v>
      </c>
      <c r="B25" t="s">
        <v>334</v>
      </c>
      <c r="C25" t="s">
        <v>335</v>
      </c>
      <c r="D25" t="s">
        <v>206</v>
      </c>
      <c r="E25">
        <v>0.34956300000000001</v>
      </c>
      <c r="F25">
        <v>0.34852699999999998</v>
      </c>
      <c r="G25">
        <v>0.34743299999999999</v>
      </c>
      <c r="H25">
        <v>0.34620899999999999</v>
      </c>
      <c r="I25">
        <v>0.34525899999999998</v>
      </c>
      <c r="J25">
        <v>0.34202399999999999</v>
      </c>
      <c r="K25">
        <v>0.33903</v>
      </c>
      <c r="L25">
        <v>0.33630399999999999</v>
      </c>
      <c r="M25">
        <v>0.33379900000000001</v>
      </c>
      <c r="N25">
        <v>0.33146799999999998</v>
      </c>
      <c r="O25">
        <v>0.32936599999999999</v>
      </c>
      <c r="P25">
        <v>0.32765300000000003</v>
      </c>
      <c r="Q25">
        <v>0.32634299999999999</v>
      </c>
      <c r="R25">
        <v>0.325461</v>
      </c>
      <c r="S25">
        <v>0.32499</v>
      </c>
      <c r="T25">
        <v>0.324938</v>
      </c>
      <c r="U25">
        <v>0.32529400000000003</v>
      </c>
      <c r="V25">
        <v>0.32607199999999997</v>
      </c>
      <c r="W25">
        <v>0.32728099999999999</v>
      </c>
      <c r="X25">
        <v>0.32891300000000001</v>
      </c>
      <c r="Y25">
        <v>0.33105000000000001</v>
      </c>
      <c r="Z25">
        <v>0.33371400000000001</v>
      </c>
      <c r="AA25">
        <v>0.33686500000000003</v>
      </c>
      <c r="AB25">
        <v>0.34000599999999997</v>
      </c>
      <c r="AC25">
        <v>0.34312900000000002</v>
      </c>
      <c r="AD25">
        <v>0.34622900000000001</v>
      </c>
      <c r="AE25" t="s">
        <v>336</v>
      </c>
    </row>
    <row r="26" spans="1:31" x14ac:dyDescent="0.45">
      <c r="A26" t="s">
        <v>209</v>
      </c>
      <c r="B26" t="s">
        <v>337</v>
      </c>
      <c r="C26" t="s">
        <v>338</v>
      </c>
      <c r="D26" t="s">
        <v>206</v>
      </c>
      <c r="E26">
        <v>6.8362000000000006E-2</v>
      </c>
      <c r="F26">
        <v>6.9241999999999998E-2</v>
      </c>
      <c r="G26">
        <v>7.0150000000000004E-2</v>
      </c>
      <c r="H26">
        <v>7.1053000000000005E-2</v>
      </c>
      <c r="I26">
        <v>7.1959999999999996E-2</v>
      </c>
      <c r="J26">
        <v>7.2859999999999994E-2</v>
      </c>
      <c r="K26">
        <v>7.3770000000000002E-2</v>
      </c>
      <c r="L26">
        <v>7.4686000000000002E-2</v>
      </c>
      <c r="M26">
        <v>7.5594999999999996E-2</v>
      </c>
      <c r="N26">
        <v>7.6502000000000001E-2</v>
      </c>
      <c r="O26">
        <v>7.7414999999999998E-2</v>
      </c>
      <c r="P26">
        <v>7.8331999999999999E-2</v>
      </c>
      <c r="Q26">
        <v>7.9236000000000001E-2</v>
      </c>
      <c r="R26">
        <v>8.0074000000000006E-2</v>
      </c>
      <c r="S26">
        <v>8.0823000000000006E-2</v>
      </c>
      <c r="T26">
        <v>8.1486000000000003E-2</v>
      </c>
      <c r="U26">
        <v>8.2052E-2</v>
      </c>
      <c r="V26">
        <v>8.2525000000000001E-2</v>
      </c>
      <c r="W26">
        <v>8.2964999999999997E-2</v>
      </c>
      <c r="X26">
        <v>8.3380999999999997E-2</v>
      </c>
      <c r="Y26">
        <v>8.3789000000000002E-2</v>
      </c>
      <c r="Z26">
        <v>8.4191000000000002E-2</v>
      </c>
      <c r="AA26">
        <v>8.4584000000000006E-2</v>
      </c>
      <c r="AB26">
        <v>8.4967000000000001E-2</v>
      </c>
      <c r="AC26">
        <v>8.5342000000000001E-2</v>
      </c>
      <c r="AD26">
        <v>8.5708999999999994E-2</v>
      </c>
      <c r="AE26" t="s">
        <v>304</v>
      </c>
    </row>
    <row r="27" spans="1:31" x14ac:dyDescent="0.45">
      <c r="A27" t="s">
        <v>210</v>
      </c>
      <c r="B27" t="s">
        <v>339</v>
      </c>
      <c r="C27" t="s">
        <v>340</v>
      </c>
      <c r="D27" t="s">
        <v>206</v>
      </c>
      <c r="E27">
        <v>0.190333</v>
      </c>
      <c r="F27">
        <v>0.19084100000000001</v>
      </c>
      <c r="G27">
        <v>0.191803</v>
      </c>
      <c r="H27">
        <v>0.193076</v>
      </c>
      <c r="I27">
        <v>0.193741</v>
      </c>
      <c r="J27">
        <v>0.19336100000000001</v>
      </c>
      <c r="K27">
        <v>0.192361</v>
      </c>
      <c r="L27">
        <v>0.191029</v>
      </c>
      <c r="M27">
        <v>0.19012000000000001</v>
      </c>
      <c r="N27">
        <v>0.18959999999999999</v>
      </c>
      <c r="O27">
        <v>0.18948300000000001</v>
      </c>
      <c r="P27">
        <v>0.18981700000000001</v>
      </c>
      <c r="Q27">
        <v>0.19051799999999999</v>
      </c>
      <c r="R27">
        <v>0.19170799999999999</v>
      </c>
      <c r="S27">
        <v>0.19336</v>
      </c>
      <c r="T27">
        <v>0.19552900000000001</v>
      </c>
      <c r="U27">
        <v>0.19830200000000001</v>
      </c>
      <c r="V27">
        <v>0.20107</v>
      </c>
      <c r="W27">
        <v>0.20391000000000001</v>
      </c>
      <c r="X27">
        <v>0.206758</v>
      </c>
      <c r="Y27">
        <v>0.20961099999999999</v>
      </c>
      <c r="Z27">
        <v>0.21232799999999999</v>
      </c>
      <c r="AA27">
        <v>0.21485899999999999</v>
      </c>
      <c r="AB27">
        <v>0.21726100000000001</v>
      </c>
      <c r="AC27">
        <v>0.21970999999999999</v>
      </c>
      <c r="AD27">
        <v>0.22207299999999999</v>
      </c>
      <c r="AE27" t="s">
        <v>341</v>
      </c>
    </row>
    <row r="28" spans="1:31" x14ac:dyDescent="0.45">
      <c r="A28" t="s">
        <v>144</v>
      </c>
      <c r="B28" t="s">
        <v>342</v>
      </c>
      <c r="C28" t="s">
        <v>343</v>
      </c>
      <c r="D28" t="s">
        <v>206</v>
      </c>
      <c r="E28">
        <v>7.9278000000000001E-2</v>
      </c>
      <c r="F28">
        <v>7.9241000000000006E-2</v>
      </c>
      <c r="G28">
        <v>7.9216999999999996E-2</v>
      </c>
      <c r="H28">
        <v>7.9159999999999994E-2</v>
      </c>
      <c r="I28">
        <v>7.9073000000000004E-2</v>
      </c>
      <c r="J28">
        <v>7.8570000000000001E-2</v>
      </c>
      <c r="K28">
        <v>7.8007000000000007E-2</v>
      </c>
      <c r="L28">
        <v>7.7404000000000001E-2</v>
      </c>
      <c r="M28">
        <v>7.6823000000000002E-2</v>
      </c>
      <c r="N28">
        <v>7.6257000000000005E-2</v>
      </c>
      <c r="O28">
        <v>7.5716000000000006E-2</v>
      </c>
      <c r="P28">
        <v>7.5194999999999998E-2</v>
      </c>
      <c r="Q28">
        <v>7.4692999999999996E-2</v>
      </c>
      <c r="R28">
        <v>7.4214000000000002E-2</v>
      </c>
      <c r="S28">
        <v>7.3757000000000003E-2</v>
      </c>
      <c r="T28">
        <v>7.3328000000000004E-2</v>
      </c>
      <c r="U28">
        <v>7.2937000000000002E-2</v>
      </c>
      <c r="V28">
        <v>7.2585999999999998E-2</v>
      </c>
      <c r="W28">
        <v>7.2277999999999995E-2</v>
      </c>
      <c r="X28">
        <v>7.2012000000000007E-2</v>
      </c>
      <c r="Y28">
        <v>7.1802000000000005E-2</v>
      </c>
      <c r="Z28">
        <v>7.1660000000000001E-2</v>
      </c>
      <c r="AA28">
        <v>7.1579000000000004E-2</v>
      </c>
      <c r="AB28">
        <v>7.1570999999999996E-2</v>
      </c>
      <c r="AC28">
        <v>7.1642999999999998E-2</v>
      </c>
      <c r="AD28">
        <v>7.1800000000000003E-2</v>
      </c>
      <c r="AE28" t="s">
        <v>344</v>
      </c>
    </row>
    <row r="29" spans="1:31" x14ac:dyDescent="0.45">
      <c r="A29" t="s">
        <v>211</v>
      </c>
      <c r="B29" t="s">
        <v>345</v>
      </c>
      <c r="C29" t="s">
        <v>346</v>
      </c>
      <c r="D29" t="s">
        <v>206</v>
      </c>
      <c r="E29">
        <v>0.18284700000000001</v>
      </c>
      <c r="F29">
        <v>0.18221599999999999</v>
      </c>
      <c r="G29">
        <v>0.18356900000000001</v>
      </c>
      <c r="H29">
        <v>0.18564</v>
      </c>
      <c r="I29">
        <v>0.18743899999999999</v>
      </c>
      <c r="J29">
        <v>0.18699399999999999</v>
      </c>
      <c r="K29">
        <v>0.18642400000000001</v>
      </c>
      <c r="L29">
        <v>0.18626100000000001</v>
      </c>
      <c r="M29">
        <v>0.18640399999999999</v>
      </c>
      <c r="N29">
        <v>0.18674199999999999</v>
      </c>
      <c r="O29">
        <v>0.18721499999999999</v>
      </c>
      <c r="P29">
        <v>0.187754</v>
      </c>
      <c r="Q29">
        <v>0.188226</v>
      </c>
      <c r="R29">
        <v>0.188723</v>
      </c>
      <c r="S29">
        <v>0.18940000000000001</v>
      </c>
      <c r="T29">
        <v>0.18703500000000001</v>
      </c>
      <c r="U29">
        <v>0.185089</v>
      </c>
      <c r="V29">
        <v>0.18369099999999999</v>
      </c>
      <c r="W29">
        <v>0.18284600000000001</v>
      </c>
      <c r="X29">
        <v>0.182477</v>
      </c>
      <c r="Y29">
        <v>0.18238399999999999</v>
      </c>
      <c r="Z29">
        <v>0.18231</v>
      </c>
      <c r="AA29">
        <v>0.182202</v>
      </c>
      <c r="AB29">
        <v>0.18219199999999999</v>
      </c>
      <c r="AC29">
        <v>0.18237500000000001</v>
      </c>
      <c r="AD29">
        <v>0.182588</v>
      </c>
      <c r="AE29" t="s">
        <v>336</v>
      </c>
    </row>
    <row r="30" spans="1:31" x14ac:dyDescent="0.45">
      <c r="A30" t="s">
        <v>212</v>
      </c>
      <c r="B30" t="s">
        <v>347</v>
      </c>
      <c r="C30" t="s">
        <v>348</v>
      </c>
      <c r="D30" t="s">
        <v>206</v>
      </c>
      <c r="E30">
        <v>4.0723000000000002E-2</v>
      </c>
      <c r="F30">
        <v>3.9740999999999999E-2</v>
      </c>
      <c r="G30">
        <v>3.875E-2</v>
      </c>
      <c r="H30">
        <v>3.7582999999999998E-2</v>
      </c>
      <c r="I30">
        <v>3.6385000000000001E-2</v>
      </c>
      <c r="J30">
        <v>3.4992000000000002E-2</v>
      </c>
      <c r="K30">
        <v>3.354E-2</v>
      </c>
      <c r="L30">
        <v>3.2000000000000001E-2</v>
      </c>
      <c r="M30">
        <v>3.0665000000000001E-2</v>
      </c>
      <c r="N30">
        <v>2.9534000000000001E-2</v>
      </c>
      <c r="O30">
        <v>2.8608999999999999E-2</v>
      </c>
      <c r="P30">
        <v>2.7904000000000002E-2</v>
      </c>
      <c r="Q30">
        <v>2.7428999999999999E-2</v>
      </c>
      <c r="R30">
        <v>2.7210000000000002E-2</v>
      </c>
      <c r="S30">
        <v>2.7261000000000001E-2</v>
      </c>
      <c r="T30">
        <v>2.7310999999999998E-2</v>
      </c>
      <c r="U30">
        <v>2.7362000000000001E-2</v>
      </c>
      <c r="V30">
        <v>2.742E-2</v>
      </c>
      <c r="W30">
        <v>2.7486E-2</v>
      </c>
      <c r="X30">
        <v>2.7564000000000002E-2</v>
      </c>
      <c r="Y30">
        <v>2.7657999999999999E-2</v>
      </c>
      <c r="Z30">
        <v>2.7768000000000001E-2</v>
      </c>
      <c r="AA30">
        <v>2.7890000000000002E-2</v>
      </c>
      <c r="AB30">
        <v>2.8024E-2</v>
      </c>
      <c r="AC30">
        <v>2.8167000000000001E-2</v>
      </c>
      <c r="AD30">
        <v>2.8319E-2</v>
      </c>
      <c r="AE30" t="s">
        <v>324</v>
      </c>
    </row>
    <row r="31" spans="1:31" x14ac:dyDescent="0.45">
      <c r="A31" t="s">
        <v>213</v>
      </c>
      <c r="B31" t="s">
        <v>349</v>
      </c>
      <c r="C31" t="s">
        <v>350</v>
      </c>
      <c r="D31" t="s">
        <v>206</v>
      </c>
      <c r="E31">
        <v>3.7162000000000001E-2</v>
      </c>
      <c r="F31">
        <v>3.8075999999999999E-2</v>
      </c>
      <c r="G31">
        <v>3.8359999999999998E-2</v>
      </c>
      <c r="H31">
        <v>3.8523000000000002E-2</v>
      </c>
      <c r="I31">
        <v>3.8636999999999998E-2</v>
      </c>
      <c r="J31">
        <v>3.8703000000000001E-2</v>
      </c>
      <c r="K31">
        <v>3.8719999999999997E-2</v>
      </c>
      <c r="L31">
        <v>3.8689000000000001E-2</v>
      </c>
      <c r="M31">
        <v>3.8733999999999998E-2</v>
      </c>
      <c r="N31">
        <v>3.8861E-2</v>
      </c>
      <c r="O31">
        <v>3.9071000000000002E-2</v>
      </c>
      <c r="P31">
        <v>3.9371000000000003E-2</v>
      </c>
      <c r="Q31">
        <v>3.9764000000000001E-2</v>
      </c>
      <c r="R31">
        <v>4.0261999999999999E-2</v>
      </c>
      <c r="S31">
        <v>4.0871999999999999E-2</v>
      </c>
      <c r="T31">
        <v>4.1477E-2</v>
      </c>
      <c r="U31">
        <v>4.2076000000000002E-2</v>
      </c>
      <c r="V31">
        <v>4.2673999999999997E-2</v>
      </c>
      <c r="W31">
        <v>4.3272999999999999E-2</v>
      </c>
      <c r="X31">
        <v>4.3875999999999998E-2</v>
      </c>
      <c r="Y31">
        <v>4.4488E-2</v>
      </c>
      <c r="Z31">
        <v>4.5110999999999998E-2</v>
      </c>
      <c r="AA31">
        <v>4.5740999999999997E-2</v>
      </c>
      <c r="AB31">
        <v>4.6378999999999997E-2</v>
      </c>
      <c r="AC31">
        <v>4.7023000000000002E-2</v>
      </c>
      <c r="AD31">
        <v>4.7676000000000003E-2</v>
      </c>
      <c r="AE31" t="s">
        <v>351</v>
      </c>
    </row>
    <row r="32" spans="1:31" x14ac:dyDescent="0.45">
      <c r="A32" t="s">
        <v>214</v>
      </c>
      <c r="B32" t="s">
        <v>352</v>
      </c>
      <c r="C32" t="s">
        <v>353</v>
      </c>
      <c r="D32" t="s">
        <v>206</v>
      </c>
      <c r="E32">
        <v>0.12483900000000001</v>
      </c>
      <c r="F32">
        <v>0.12217699999999999</v>
      </c>
      <c r="G32">
        <v>0.119963</v>
      </c>
      <c r="H32">
        <v>0.118088</v>
      </c>
      <c r="I32">
        <v>0.11609700000000001</v>
      </c>
      <c r="J32">
        <v>0.113806</v>
      </c>
      <c r="K32">
        <v>0.111516</v>
      </c>
      <c r="L32">
        <v>0.109399</v>
      </c>
      <c r="M32">
        <v>0.107489</v>
      </c>
      <c r="N32">
        <v>0.105735</v>
      </c>
      <c r="O32">
        <v>0.104144</v>
      </c>
      <c r="P32">
        <v>0.102719</v>
      </c>
      <c r="Q32">
        <v>0.101411</v>
      </c>
      <c r="R32">
        <v>0.100273</v>
      </c>
      <c r="S32">
        <v>9.9266999999999994E-2</v>
      </c>
      <c r="T32">
        <v>9.8397999999999999E-2</v>
      </c>
      <c r="U32">
        <v>9.7694000000000003E-2</v>
      </c>
      <c r="V32">
        <v>9.7154000000000004E-2</v>
      </c>
      <c r="W32">
        <v>9.6814999999999998E-2</v>
      </c>
      <c r="X32">
        <v>9.6643000000000007E-2</v>
      </c>
      <c r="Y32">
        <v>9.6638000000000002E-2</v>
      </c>
      <c r="Z32">
        <v>9.6758999999999998E-2</v>
      </c>
      <c r="AA32">
        <v>9.6903000000000003E-2</v>
      </c>
      <c r="AB32">
        <v>9.7108E-2</v>
      </c>
      <c r="AC32">
        <v>9.7404000000000004E-2</v>
      </c>
      <c r="AD32">
        <v>9.7757999999999998E-2</v>
      </c>
      <c r="AE32" t="s">
        <v>315</v>
      </c>
    </row>
    <row r="33" spans="1:31" x14ac:dyDescent="0.45">
      <c r="A33" t="s">
        <v>215</v>
      </c>
      <c r="B33" t="s">
        <v>354</v>
      </c>
      <c r="C33" t="s">
        <v>355</v>
      </c>
      <c r="D33" t="s">
        <v>206</v>
      </c>
      <c r="E33">
        <v>9.7012000000000001E-2</v>
      </c>
      <c r="F33">
        <v>9.5324000000000006E-2</v>
      </c>
      <c r="G33">
        <v>9.3865000000000004E-2</v>
      </c>
      <c r="H33">
        <v>9.2523999999999995E-2</v>
      </c>
      <c r="I33">
        <v>9.0934000000000001E-2</v>
      </c>
      <c r="J33">
        <v>8.8982000000000006E-2</v>
      </c>
      <c r="K33">
        <v>8.6905999999999997E-2</v>
      </c>
      <c r="L33">
        <v>8.4864999999999996E-2</v>
      </c>
      <c r="M33">
        <v>8.2885E-2</v>
      </c>
      <c r="N33">
        <v>8.0946000000000004E-2</v>
      </c>
      <c r="O33">
        <v>7.9061999999999993E-2</v>
      </c>
      <c r="P33">
        <v>7.7249999999999999E-2</v>
      </c>
      <c r="Q33">
        <v>7.5483999999999996E-2</v>
      </c>
      <c r="R33">
        <v>7.3799000000000003E-2</v>
      </c>
      <c r="S33">
        <v>7.2189000000000003E-2</v>
      </c>
      <c r="T33">
        <v>7.0666999999999994E-2</v>
      </c>
      <c r="U33">
        <v>6.9258E-2</v>
      </c>
      <c r="V33">
        <v>6.7989999999999995E-2</v>
      </c>
      <c r="W33">
        <v>6.6878999999999994E-2</v>
      </c>
      <c r="X33">
        <v>6.5919000000000005E-2</v>
      </c>
      <c r="Y33">
        <v>6.5114000000000005E-2</v>
      </c>
      <c r="Z33">
        <v>6.4455999999999999E-2</v>
      </c>
      <c r="AA33">
        <v>6.3893000000000005E-2</v>
      </c>
      <c r="AB33">
        <v>6.3459000000000002E-2</v>
      </c>
      <c r="AC33">
        <v>6.3205999999999998E-2</v>
      </c>
      <c r="AD33">
        <v>6.3081999999999999E-2</v>
      </c>
      <c r="AE33" t="s">
        <v>356</v>
      </c>
    </row>
    <row r="34" spans="1:31" x14ac:dyDescent="0.45">
      <c r="A34" t="s">
        <v>216</v>
      </c>
      <c r="B34" t="s">
        <v>357</v>
      </c>
      <c r="C34" t="s">
        <v>358</v>
      </c>
      <c r="D34" t="s">
        <v>206</v>
      </c>
      <c r="E34">
        <v>0.15743599999999999</v>
      </c>
      <c r="F34">
        <v>0.15289700000000001</v>
      </c>
      <c r="G34">
        <v>0.153778</v>
      </c>
      <c r="H34">
        <v>0.15411900000000001</v>
      </c>
      <c r="I34">
        <v>0.15401400000000001</v>
      </c>
      <c r="J34">
        <v>0.15365100000000001</v>
      </c>
      <c r="K34">
        <v>0.15307000000000001</v>
      </c>
      <c r="L34">
        <v>0.15265799999999999</v>
      </c>
      <c r="M34">
        <v>0.152172</v>
      </c>
      <c r="N34">
        <v>0.15165799999999999</v>
      </c>
      <c r="O34">
        <v>0.15102299999999999</v>
      </c>
      <c r="P34">
        <v>0.15023</v>
      </c>
      <c r="Q34">
        <v>0.14910799999999999</v>
      </c>
      <c r="R34">
        <v>0.14768600000000001</v>
      </c>
      <c r="S34">
        <v>0.14590700000000001</v>
      </c>
      <c r="T34">
        <v>0.14382800000000001</v>
      </c>
      <c r="U34">
        <v>0.14144399999999999</v>
      </c>
      <c r="V34">
        <v>0.139018</v>
      </c>
      <c r="W34">
        <v>0.13644400000000001</v>
      </c>
      <c r="X34">
        <v>0.13381899999999999</v>
      </c>
      <c r="Y34">
        <v>0.13125700000000001</v>
      </c>
      <c r="Z34">
        <v>0.12870899999999999</v>
      </c>
      <c r="AA34">
        <v>0.12613199999999999</v>
      </c>
      <c r="AB34">
        <v>0.12373099999999999</v>
      </c>
      <c r="AC34">
        <v>0.121516</v>
      </c>
      <c r="AD34">
        <v>0.11952</v>
      </c>
      <c r="AE34" t="s">
        <v>318</v>
      </c>
    </row>
    <row r="35" spans="1:31" x14ac:dyDescent="0.45">
      <c r="A35" t="s">
        <v>217</v>
      </c>
      <c r="B35" t="s">
        <v>359</v>
      </c>
      <c r="C35" t="s">
        <v>360</v>
      </c>
      <c r="D35" t="s">
        <v>206</v>
      </c>
      <c r="E35">
        <v>2.0319759999999998</v>
      </c>
      <c r="F35">
        <v>2.0497800000000002</v>
      </c>
      <c r="G35">
        <v>1.9516560000000001</v>
      </c>
      <c r="H35">
        <v>1.9885809999999999</v>
      </c>
      <c r="I35">
        <v>2.0226929999999999</v>
      </c>
      <c r="J35">
        <v>2.0521240000000001</v>
      </c>
      <c r="K35">
        <v>2.0794380000000001</v>
      </c>
      <c r="L35">
        <v>2.1075020000000002</v>
      </c>
      <c r="M35">
        <v>2.1366209999999999</v>
      </c>
      <c r="N35">
        <v>2.1690040000000002</v>
      </c>
      <c r="O35">
        <v>2.202814</v>
      </c>
      <c r="P35">
        <v>2.236977</v>
      </c>
      <c r="Q35">
        <v>2.2721589999999998</v>
      </c>
      <c r="R35">
        <v>2.308141</v>
      </c>
      <c r="S35">
        <v>2.343804</v>
      </c>
      <c r="T35">
        <v>2.3753449999999998</v>
      </c>
      <c r="U35">
        <v>2.4092920000000002</v>
      </c>
      <c r="V35">
        <v>2.4448620000000001</v>
      </c>
      <c r="W35">
        <v>2.4824570000000001</v>
      </c>
      <c r="X35">
        <v>2.52102</v>
      </c>
      <c r="Y35">
        <v>2.555663</v>
      </c>
      <c r="Z35">
        <v>2.5940460000000001</v>
      </c>
      <c r="AA35">
        <v>2.6318519999999999</v>
      </c>
      <c r="AB35">
        <v>2.6698110000000002</v>
      </c>
      <c r="AC35">
        <v>2.708942</v>
      </c>
      <c r="AD35">
        <v>2.748828</v>
      </c>
      <c r="AE35" t="s">
        <v>361</v>
      </c>
    </row>
    <row r="36" spans="1:31" x14ac:dyDescent="0.45">
      <c r="A36" t="s">
        <v>218</v>
      </c>
      <c r="B36" t="s">
        <v>362</v>
      </c>
      <c r="C36" t="s">
        <v>363</v>
      </c>
      <c r="D36" t="s">
        <v>206</v>
      </c>
      <c r="E36">
        <v>5.3316210000000002</v>
      </c>
      <c r="F36">
        <v>5.3623669999999999</v>
      </c>
      <c r="G36">
        <v>5.2717369999999999</v>
      </c>
      <c r="H36">
        <v>5.3177380000000003</v>
      </c>
      <c r="I36">
        <v>5.342727</v>
      </c>
      <c r="J36">
        <v>5.3451490000000002</v>
      </c>
      <c r="K36">
        <v>5.3415670000000004</v>
      </c>
      <c r="L36">
        <v>5.3418359999999998</v>
      </c>
      <c r="M36">
        <v>5.3472220000000004</v>
      </c>
      <c r="N36">
        <v>5.3599480000000002</v>
      </c>
      <c r="O36">
        <v>5.3780039999999998</v>
      </c>
      <c r="P36">
        <v>5.4010540000000002</v>
      </c>
      <c r="Q36">
        <v>5.4282279999999998</v>
      </c>
      <c r="R36">
        <v>5.4599229999999999</v>
      </c>
      <c r="S36">
        <v>5.4944389999999999</v>
      </c>
      <c r="T36">
        <v>5.5251489999999999</v>
      </c>
      <c r="U36">
        <v>5.5618990000000004</v>
      </c>
      <c r="V36">
        <v>5.6055650000000004</v>
      </c>
      <c r="W36">
        <v>5.6555580000000001</v>
      </c>
      <c r="X36">
        <v>5.7074850000000001</v>
      </c>
      <c r="Y36">
        <v>5.7576739999999997</v>
      </c>
      <c r="Z36">
        <v>5.8109450000000002</v>
      </c>
      <c r="AA36">
        <v>5.8628349999999996</v>
      </c>
      <c r="AB36">
        <v>5.9148230000000002</v>
      </c>
      <c r="AC36">
        <v>5.9698900000000004</v>
      </c>
      <c r="AD36">
        <v>6.0259790000000004</v>
      </c>
      <c r="AE36" t="s">
        <v>364</v>
      </c>
    </row>
    <row r="37" spans="1:31" x14ac:dyDescent="0.45">
      <c r="A37" t="s">
        <v>219</v>
      </c>
      <c r="B37" t="s">
        <v>365</v>
      </c>
      <c r="C37" t="s">
        <v>366</v>
      </c>
      <c r="D37" t="s">
        <v>206</v>
      </c>
      <c r="E37">
        <v>7.0135000000000003E-2</v>
      </c>
      <c r="F37">
        <v>9.1486999999999999E-2</v>
      </c>
      <c r="G37">
        <v>0.119301</v>
      </c>
      <c r="H37">
        <v>0.15019099999999999</v>
      </c>
      <c r="I37">
        <v>0.18050099999999999</v>
      </c>
      <c r="J37">
        <v>0.20873</v>
      </c>
      <c r="K37">
        <v>0.23311999999999999</v>
      </c>
      <c r="L37">
        <v>0.25518800000000003</v>
      </c>
      <c r="M37">
        <v>0.27699499999999999</v>
      </c>
      <c r="N37">
        <v>0.29923699999999998</v>
      </c>
      <c r="O37">
        <v>0.321766</v>
      </c>
      <c r="P37">
        <v>0.34432200000000002</v>
      </c>
      <c r="Q37">
        <v>0.36690099999999998</v>
      </c>
      <c r="R37">
        <v>0.389322</v>
      </c>
      <c r="S37">
        <v>0.41114099999999998</v>
      </c>
      <c r="T37">
        <v>0.43246899999999999</v>
      </c>
      <c r="U37">
        <v>0.45277400000000001</v>
      </c>
      <c r="V37">
        <v>0.47238799999999997</v>
      </c>
      <c r="W37">
        <v>0.49130400000000002</v>
      </c>
      <c r="X37">
        <v>0.50966900000000004</v>
      </c>
      <c r="Y37">
        <v>0.52751300000000001</v>
      </c>
      <c r="Z37">
        <v>0.54464500000000005</v>
      </c>
      <c r="AA37">
        <v>0.56095399999999995</v>
      </c>
      <c r="AB37">
        <v>0.57689299999999999</v>
      </c>
      <c r="AC37">
        <v>0.59221100000000004</v>
      </c>
      <c r="AD37">
        <v>0.60719400000000001</v>
      </c>
      <c r="AE37" t="s">
        <v>367</v>
      </c>
    </row>
    <row r="38" spans="1:31" x14ac:dyDescent="0.45">
      <c r="A38" t="s">
        <v>220</v>
      </c>
      <c r="B38" t="s">
        <v>368</v>
      </c>
      <c r="C38" t="s">
        <v>369</v>
      </c>
      <c r="D38" t="s">
        <v>206</v>
      </c>
      <c r="E38">
        <v>0.18513299999999999</v>
      </c>
      <c r="F38">
        <v>0.19618099999999999</v>
      </c>
      <c r="G38">
        <v>0.20807</v>
      </c>
      <c r="H38">
        <v>0.22029000000000001</v>
      </c>
      <c r="I38">
        <v>0.23191400000000001</v>
      </c>
      <c r="J38">
        <v>0.24404699999999999</v>
      </c>
      <c r="K38">
        <v>0.25698700000000002</v>
      </c>
      <c r="L38">
        <v>0.26999400000000001</v>
      </c>
      <c r="M38">
        <v>0.283557</v>
      </c>
      <c r="N38">
        <v>0.29791299999999998</v>
      </c>
      <c r="O38">
        <v>0.31315100000000001</v>
      </c>
      <c r="P38">
        <v>0.32913300000000001</v>
      </c>
      <c r="Q38">
        <v>0.346163</v>
      </c>
      <c r="R38">
        <v>0.36398999999999998</v>
      </c>
      <c r="S38">
        <v>0.38263399999999997</v>
      </c>
      <c r="T38">
        <v>0.401916</v>
      </c>
      <c r="U38">
        <v>0.42191800000000002</v>
      </c>
      <c r="V38">
        <v>0.44253399999999998</v>
      </c>
      <c r="W38">
        <v>0.46366400000000002</v>
      </c>
      <c r="X38">
        <v>0.48558299999999999</v>
      </c>
      <c r="Y38">
        <v>0.50805900000000004</v>
      </c>
      <c r="Z38">
        <v>0.53127999999999997</v>
      </c>
      <c r="AA38">
        <v>0.55522800000000005</v>
      </c>
      <c r="AB38">
        <v>0.58008000000000004</v>
      </c>
      <c r="AC38">
        <v>0.60541100000000003</v>
      </c>
      <c r="AD38">
        <v>0.63153300000000001</v>
      </c>
      <c r="AE38" t="s">
        <v>370</v>
      </c>
    </row>
    <row r="39" spans="1:31" x14ac:dyDescent="0.45">
      <c r="A39" t="s">
        <v>221</v>
      </c>
      <c r="B39" t="s">
        <v>371</v>
      </c>
      <c r="C39" t="s">
        <v>372</v>
      </c>
      <c r="D39" t="s">
        <v>206</v>
      </c>
      <c r="E39">
        <v>5.2166230000000002</v>
      </c>
      <c r="F39">
        <v>5.2576729999999996</v>
      </c>
      <c r="G39">
        <v>5.1829679999999998</v>
      </c>
      <c r="H39">
        <v>5.2476390000000004</v>
      </c>
      <c r="I39">
        <v>5.2913139999999999</v>
      </c>
      <c r="J39">
        <v>5.3098320000000001</v>
      </c>
      <c r="K39">
        <v>5.3177000000000003</v>
      </c>
      <c r="L39">
        <v>5.3270299999999997</v>
      </c>
      <c r="M39">
        <v>5.3406599999999997</v>
      </c>
      <c r="N39">
        <v>5.3612710000000003</v>
      </c>
      <c r="O39">
        <v>5.3866189999999996</v>
      </c>
      <c r="P39">
        <v>5.4162439999999998</v>
      </c>
      <c r="Q39">
        <v>5.4489669999999997</v>
      </c>
      <c r="R39">
        <v>5.4852550000000004</v>
      </c>
      <c r="S39">
        <v>5.5229460000000001</v>
      </c>
      <c r="T39">
        <v>5.5557020000000001</v>
      </c>
      <c r="U39">
        <v>5.5927550000000004</v>
      </c>
      <c r="V39">
        <v>5.6354199999999999</v>
      </c>
      <c r="W39">
        <v>5.683198</v>
      </c>
      <c r="X39">
        <v>5.7315699999999996</v>
      </c>
      <c r="Y39">
        <v>5.7771290000000004</v>
      </c>
      <c r="Z39">
        <v>5.8243090000000004</v>
      </c>
      <c r="AA39">
        <v>5.8685609999999997</v>
      </c>
      <c r="AB39">
        <v>5.9116369999999998</v>
      </c>
      <c r="AC39">
        <v>5.95669</v>
      </c>
      <c r="AD39">
        <v>6.0016400000000001</v>
      </c>
      <c r="AE39" t="s">
        <v>341</v>
      </c>
    </row>
    <row r="40" spans="1:31" x14ac:dyDescent="0.45">
      <c r="A40" t="s">
        <v>138</v>
      </c>
    </row>
    <row r="41" spans="1:31" x14ac:dyDescent="0.45">
      <c r="A41" t="s">
        <v>171</v>
      </c>
      <c r="B41" t="s">
        <v>373</v>
      </c>
      <c r="C41" t="s">
        <v>374</v>
      </c>
      <c r="D41" t="s">
        <v>206</v>
      </c>
      <c r="E41">
        <v>3.1180289999999999</v>
      </c>
      <c r="F41">
        <v>2.929732</v>
      </c>
      <c r="G41">
        <v>3.0470679999999999</v>
      </c>
      <c r="H41">
        <v>3.0283389999999999</v>
      </c>
      <c r="I41">
        <v>2.9919609999999999</v>
      </c>
      <c r="J41">
        <v>2.9475129999999998</v>
      </c>
      <c r="K41">
        <v>2.9003899999999998</v>
      </c>
      <c r="L41">
        <v>2.8565019999999999</v>
      </c>
      <c r="M41">
        <v>2.8131279999999999</v>
      </c>
      <c r="N41">
        <v>2.7723939999999998</v>
      </c>
      <c r="O41">
        <v>2.7328190000000001</v>
      </c>
      <c r="P41">
        <v>2.695713</v>
      </c>
      <c r="Q41">
        <v>2.6580509999999999</v>
      </c>
      <c r="R41">
        <v>2.6222400000000001</v>
      </c>
      <c r="S41">
        <v>2.5871390000000001</v>
      </c>
      <c r="T41">
        <v>2.5533130000000002</v>
      </c>
      <c r="U41">
        <v>2.5199389999999999</v>
      </c>
      <c r="V41">
        <v>2.4903379999999999</v>
      </c>
      <c r="W41">
        <v>2.4626060000000001</v>
      </c>
      <c r="X41">
        <v>2.4366439999999998</v>
      </c>
      <c r="Y41">
        <v>2.412093</v>
      </c>
      <c r="Z41">
        <v>2.3866540000000001</v>
      </c>
      <c r="AA41">
        <v>2.3599640000000002</v>
      </c>
      <c r="AB41">
        <v>2.333602</v>
      </c>
      <c r="AC41">
        <v>2.307677</v>
      </c>
      <c r="AD41">
        <v>2.2826300000000002</v>
      </c>
      <c r="AE41" t="s">
        <v>321</v>
      </c>
    </row>
    <row r="42" spans="1:31" x14ac:dyDescent="0.45">
      <c r="A42" t="s">
        <v>155</v>
      </c>
      <c r="B42" t="s">
        <v>375</v>
      </c>
      <c r="C42" t="s">
        <v>376</v>
      </c>
      <c r="D42" t="s">
        <v>206</v>
      </c>
      <c r="E42">
        <v>5.8597999999999997E-2</v>
      </c>
      <c r="F42">
        <v>6.2155000000000002E-2</v>
      </c>
      <c r="G42">
        <v>6.2590000000000007E-2</v>
      </c>
      <c r="H42">
        <v>6.2752000000000002E-2</v>
      </c>
      <c r="I42">
        <v>6.2711000000000003E-2</v>
      </c>
      <c r="J42">
        <v>6.2576000000000007E-2</v>
      </c>
      <c r="K42">
        <v>6.2453000000000002E-2</v>
      </c>
      <c r="L42">
        <v>6.2429999999999999E-2</v>
      </c>
      <c r="M42">
        <v>6.2446000000000002E-2</v>
      </c>
      <c r="N42">
        <v>6.2545000000000003E-2</v>
      </c>
      <c r="O42">
        <v>6.2667E-2</v>
      </c>
      <c r="P42">
        <v>6.2853000000000006E-2</v>
      </c>
      <c r="Q42">
        <v>6.3070000000000001E-2</v>
      </c>
      <c r="R42">
        <v>6.3308000000000003E-2</v>
      </c>
      <c r="S42">
        <v>6.3572000000000004E-2</v>
      </c>
      <c r="T42">
        <v>6.3894000000000006E-2</v>
      </c>
      <c r="U42">
        <v>6.4258999999999997E-2</v>
      </c>
      <c r="V42">
        <v>6.4725000000000005E-2</v>
      </c>
      <c r="W42">
        <v>6.5211000000000005E-2</v>
      </c>
      <c r="X42">
        <v>6.5681000000000003E-2</v>
      </c>
      <c r="Y42">
        <v>6.6161999999999999E-2</v>
      </c>
      <c r="Z42">
        <v>6.6586999999999993E-2</v>
      </c>
      <c r="AA42">
        <v>6.6992999999999997E-2</v>
      </c>
      <c r="AB42">
        <v>6.7364999999999994E-2</v>
      </c>
      <c r="AC42">
        <v>6.7759E-2</v>
      </c>
      <c r="AD42">
        <v>6.8144999999999997E-2</v>
      </c>
      <c r="AE42" t="s">
        <v>341</v>
      </c>
    </row>
    <row r="43" spans="1:31" x14ac:dyDescent="0.45">
      <c r="A43" t="s">
        <v>207</v>
      </c>
      <c r="B43" t="s">
        <v>377</v>
      </c>
      <c r="C43" t="s">
        <v>378</v>
      </c>
      <c r="D43" t="s">
        <v>206</v>
      </c>
      <c r="E43">
        <v>1.0242659999999999</v>
      </c>
      <c r="F43">
        <v>1.0351790000000001</v>
      </c>
      <c r="G43">
        <v>1.0454209999999999</v>
      </c>
      <c r="H43">
        <v>1.055186</v>
      </c>
      <c r="I43">
        <v>1.0533440000000001</v>
      </c>
      <c r="J43">
        <v>1.0497609999999999</v>
      </c>
      <c r="K43">
        <v>1.0468999999999999</v>
      </c>
      <c r="L43">
        <v>1.0451999999999999</v>
      </c>
      <c r="M43">
        <v>1.042567</v>
      </c>
      <c r="N43">
        <v>1.0419989999999999</v>
      </c>
      <c r="O43">
        <v>1.043007</v>
      </c>
      <c r="P43">
        <v>1.0435049999999999</v>
      </c>
      <c r="Q43">
        <v>1.043021</v>
      </c>
      <c r="R43">
        <v>1.0422149999999999</v>
      </c>
      <c r="S43">
        <v>1.04091</v>
      </c>
      <c r="T43">
        <v>1.0392889999999999</v>
      </c>
      <c r="U43">
        <v>1.0370159999999999</v>
      </c>
      <c r="V43">
        <v>1.0347230000000001</v>
      </c>
      <c r="W43">
        <v>1.032111</v>
      </c>
      <c r="X43">
        <v>1.029129</v>
      </c>
      <c r="Y43">
        <v>1.0254289999999999</v>
      </c>
      <c r="Z43">
        <v>1.020672</v>
      </c>
      <c r="AA43">
        <v>1.0151289999999999</v>
      </c>
      <c r="AB43">
        <v>1.0093840000000001</v>
      </c>
      <c r="AC43">
        <v>1.003914</v>
      </c>
      <c r="AD43">
        <v>0.99912999999999996</v>
      </c>
      <c r="AE43" t="s">
        <v>379</v>
      </c>
    </row>
    <row r="44" spans="1:31" x14ac:dyDescent="0.45">
      <c r="A44" t="s">
        <v>209</v>
      </c>
      <c r="B44" t="s">
        <v>380</v>
      </c>
      <c r="C44" t="s">
        <v>381</v>
      </c>
      <c r="D44" t="s">
        <v>206</v>
      </c>
      <c r="E44">
        <v>7.7268000000000003E-2</v>
      </c>
      <c r="F44">
        <v>7.7256000000000005E-2</v>
      </c>
      <c r="G44">
        <v>7.7246999999999996E-2</v>
      </c>
      <c r="H44">
        <v>7.7221999999999999E-2</v>
      </c>
      <c r="I44">
        <v>7.7195E-2</v>
      </c>
      <c r="J44">
        <v>7.7166999999999999E-2</v>
      </c>
      <c r="K44">
        <v>7.7123999999999998E-2</v>
      </c>
      <c r="L44">
        <v>7.7064999999999995E-2</v>
      </c>
      <c r="M44">
        <v>7.7006000000000005E-2</v>
      </c>
      <c r="N44">
        <v>7.6969999999999997E-2</v>
      </c>
      <c r="O44">
        <v>7.6962000000000003E-2</v>
      </c>
      <c r="P44">
        <v>7.6991000000000004E-2</v>
      </c>
      <c r="Q44">
        <v>7.7060000000000003E-2</v>
      </c>
      <c r="R44">
        <v>7.7216999999999994E-2</v>
      </c>
      <c r="S44">
        <v>7.7432000000000001E-2</v>
      </c>
      <c r="T44">
        <v>7.7712000000000003E-2</v>
      </c>
      <c r="U44">
        <v>7.8045000000000003E-2</v>
      </c>
      <c r="V44">
        <v>7.843E-2</v>
      </c>
      <c r="W44">
        <v>7.8815999999999997E-2</v>
      </c>
      <c r="X44">
        <v>7.9202999999999996E-2</v>
      </c>
      <c r="Y44">
        <v>7.9599000000000003E-2</v>
      </c>
      <c r="Z44">
        <v>8.0005999999999994E-2</v>
      </c>
      <c r="AA44">
        <v>8.0423999999999995E-2</v>
      </c>
      <c r="AB44">
        <v>8.0854999999999996E-2</v>
      </c>
      <c r="AC44">
        <v>8.1298999999999996E-2</v>
      </c>
      <c r="AD44">
        <v>8.1761E-2</v>
      </c>
      <c r="AE44" t="s">
        <v>382</v>
      </c>
    </row>
    <row r="45" spans="1:31" x14ac:dyDescent="0.45">
      <c r="A45" t="s">
        <v>210</v>
      </c>
      <c r="B45" t="s">
        <v>383</v>
      </c>
      <c r="C45" t="s">
        <v>384</v>
      </c>
      <c r="D45" t="s">
        <v>206</v>
      </c>
      <c r="E45">
        <v>3.9573999999999998E-2</v>
      </c>
      <c r="F45">
        <v>4.0284E-2</v>
      </c>
      <c r="G45">
        <v>4.0919999999999998E-2</v>
      </c>
      <c r="H45">
        <v>4.1543999999999998E-2</v>
      </c>
      <c r="I45">
        <v>4.2109000000000001E-2</v>
      </c>
      <c r="J45">
        <v>4.2643E-2</v>
      </c>
      <c r="K45">
        <v>4.3187000000000003E-2</v>
      </c>
      <c r="L45">
        <v>4.3758999999999999E-2</v>
      </c>
      <c r="M45">
        <v>4.4207999999999997E-2</v>
      </c>
      <c r="N45">
        <v>4.4700999999999998E-2</v>
      </c>
      <c r="O45">
        <v>4.5238E-2</v>
      </c>
      <c r="P45">
        <v>4.5825999999999999E-2</v>
      </c>
      <c r="Q45">
        <v>4.6396E-2</v>
      </c>
      <c r="R45">
        <v>4.6977999999999999E-2</v>
      </c>
      <c r="S45">
        <v>4.7560999999999999E-2</v>
      </c>
      <c r="T45">
        <v>4.8146000000000001E-2</v>
      </c>
      <c r="U45">
        <v>4.8724000000000003E-2</v>
      </c>
      <c r="V45">
        <v>4.9352E-2</v>
      </c>
      <c r="W45">
        <v>5.0014999999999997E-2</v>
      </c>
      <c r="X45">
        <v>5.0707000000000002E-2</v>
      </c>
      <c r="Y45">
        <v>5.1406E-2</v>
      </c>
      <c r="Z45">
        <v>5.2088000000000002E-2</v>
      </c>
      <c r="AA45">
        <v>5.2755999999999997E-2</v>
      </c>
      <c r="AB45">
        <v>5.3423999999999999E-2</v>
      </c>
      <c r="AC45">
        <v>5.4100000000000002E-2</v>
      </c>
      <c r="AD45">
        <v>5.4788999999999997E-2</v>
      </c>
      <c r="AE45" t="s">
        <v>385</v>
      </c>
    </row>
    <row r="46" spans="1:31" x14ac:dyDescent="0.45">
      <c r="A46" t="s">
        <v>217</v>
      </c>
      <c r="B46" t="s">
        <v>386</v>
      </c>
      <c r="C46" t="s">
        <v>387</v>
      </c>
      <c r="D46" t="s">
        <v>206</v>
      </c>
      <c r="E46">
        <v>0.60834600000000005</v>
      </c>
      <c r="F46">
        <v>0.61166600000000004</v>
      </c>
      <c r="G46">
        <v>0.61394599999999999</v>
      </c>
      <c r="H46">
        <v>0.61501399999999995</v>
      </c>
      <c r="I46">
        <v>0.61462000000000006</v>
      </c>
      <c r="J46">
        <v>0.61321499999999995</v>
      </c>
      <c r="K46">
        <v>0.61157499999999998</v>
      </c>
      <c r="L46">
        <v>0.61024999999999996</v>
      </c>
      <c r="M46">
        <v>0.608433</v>
      </c>
      <c r="N46">
        <v>0.60708799999999996</v>
      </c>
      <c r="O46">
        <v>0.60589999999999999</v>
      </c>
      <c r="P46">
        <v>0.60509100000000005</v>
      </c>
      <c r="Q46">
        <v>0.60413399999999995</v>
      </c>
      <c r="R46">
        <v>0.603321</v>
      </c>
      <c r="S46">
        <v>0.60255599999999998</v>
      </c>
      <c r="T46">
        <v>0.601908</v>
      </c>
      <c r="U46">
        <v>0.60136500000000004</v>
      </c>
      <c r="V46">
        <v>0.60120899999999999</v>
      </c>
      <c r="W46">
        <v>0.60129600000000005</v>
      </c>
      <c r="X46">
        <v>0.60158299999999998</v>
      </c>
      <c r="Y46">
        <v>0.60179099999999996</v>
      </c>
      <c r="Z46">
        <v>0.60165900000000005</v>
      </c>
      <c r="AA46">
        <v>0.60124999999999995</v>
      </c>
      <c r="AB46">
        <v>0.60075900000000004</v>
      </c>
      <c r="AC46">
        <v>0.60029500000000002</v>
      </c>
      <c r="AD46">
        <v>0.59991700000000003</v>
      </c>
      <c r="AE46" t="s">
        <v>379</v>
      </c>
    </row>
    <row r="47" spans="1:31" x14ac:dyDescent="0.45">
      <c r="A47" t="s">
        <v>222</v>
      </c>
      <c r="B47" t="s">
        <v>388</v>
      </c>
      <c r="C47" t="s">
        <v>389</v>
      </c>
      <c r="D47" t="s">
        <v>206</v>
      </c>
      <c r="E47">
        <v>4.9260799999999998</v>
      </c>
      <c r="F47">
        <v>4.7562720000000001</v>
      </c>
      <c r="G47">
        <v>4.8871929999999999</v>
      </c>
      <c r="H47">
        <v>4.8800569999999999</v>
      </c>
      <c r="I47">
        <v>4.8419410000000003</v>
      </c>
      <c r="J47">
        <v>4.7928750000000004</v>
      </c>
      <c r="K47">
        <v>4.7416289999999996</v>
      </c>
      <c r="L47">
        <v>4.6952059999999998</v>
      </c>
      <c r="M47">
        <v>4.6477890000000004</v>
      </c>
      <c r="N47">
        <v>4.6056990000000004</v>
      </c>
      <c r="O47">
        <v>4.5665930000000001</v>
      </c>
      <c r="P47">
        <v>4.529979</v>
      </c>
      <c r="Q47">
        <v>4.4917319999999998</v>
      </c>
      <c r="R47">
        <v>4.4552800000000001</v>
      </c>
      <c r="S47">
        <v>4.4191710000000004</v>
      </c>
      <c r="T47">
        <v>4.3842610000000004</v>
      </c>
      <c r="U47">
        <v>4.349348</v>
      </c>
      <c r="V47">
        <v>4.318778</v>
      </c>
      <c r="W47">
        <v>4.2900549999999997</v>
      </c>
      <c r="X47">
        <v>4.2629460000000003</v>
      </c>
      <c r="Y47">
        <v>4.2364800000000002</v>
      </c>
      <c r="Z47">
        <v>4.2076669999999998</v>
      </c>
      <c r="AA47">
        <v>4.1765169999999996</v>
      </c>
      <c r="AB47">
        <v>4.1453889999999998</v>
      </c>
      <c r="AC47">
        <v>4.1150450000000003</v>
      </c>
      <c r="AD47">
        <v>4.0863719999999999</v>
      </c>
      <c r="AE47" t="s">
        <v>390</v>
      </c>
    </row>
    <row r="48" spans="1:31" x14ac:dyDescent="0.45">
      <c r="A48" t="s">
        <v>128</v>
      </c>
    </row>
    <row r="49" spans="1:31" x14ac:dyDescent="0.45">
      <c r="A49" t="s">
        <v>171</v>
      </c>
      <c r="B49" t="s">
        <v>391</v>
      </c>
      <c r="C49" t="s">
        <v>392</v>
      </c>
      <c r="D49" t="s">
        <v>206</v>
      </c>
      <c r="E49">
        <v>0.42536800000000002</v>
      </c>
      <c r="F49">
        <v>0.409161</v>
      </c>
      <c r="G49">
        <v>0.40481800000000001</v>
      </c>
      <c r="H49">
        <v>0.39842899999999998</v>
      </c>
      <c r="I49">
        <v>0.391596</v>
      </c>
      <c r="J49">
        <v>0.38541799999999998</v>
      </c>
      <c r="K49">
        <v>0.37913999999999998</v>
      </c>
      <c r="L49">
        <v>0.37317800000000001</v>
      </c>
      <c r="M49">
        <v>0.36729000000000001</v>
      </c>
      <c r="N49">
        <v>0.361877</v>
      </c>
      <c r="O49">
        <v>0.35654799999999998</v>
      </c>
      <c r="P49">
        <v>0.35143600000000003</v>
      </c>
      <c r="Q49">
        <v>0.34647800000000001</v>
      </c>
      <c r="R49">
        <v>0.34170600000000001</v>
      </c>
      <c r="S49">
        <v>0.33711099999999999</v>
      </c>
      <c r="T49">
        <v>0.33257599999999998</v>
      </c>
      <c r="U49">
        <v>0.32808100000000001</v>
      </c>
      <c r="V49">
        <v>0.32377800000000001</v>
      </c>
      <c r="W49">
        <v>0.31953399999999998</v>
      </c>
      <c r="X49">
        <v>0.31542700000000001</v>
      </c>
      <c r="Y49">
        <v>0.31137100000000001</v>
      </c>
      <c r="Z49">
        <v>0.30740200000000001</v>
      </c>
      <c r="AA49">
        <v>0.30341800000000002</v>
      </c>
      <c r="AB49">
        <v>0.29945899999999998</v>
      </c>
      <c r="AC49">
        <v>0.29552299999999998</v>
      </c>
      <c r="AD49">
        <v>0.29172900000000002</v>
      </c>
      <c r="AE49" t="s">
        <v>393</v>
      </c>
    </row>
    <row r="50" spans="1:31" x14ac:dyDescent="0.45">
      <c r="A50" t="s">
        <v>207</v>
      </c>
      <c r="B50" t="s">
        <v>394</v>
      </c>
      <c r="C50" t="s">
        <v>395</v>
      </c>
      <c r="D50" t="s">
        <v>206</v>
      </c>
      <c r="E50">
        <v>3.7857000000000002E-2</v>
      </c>
      <c r="F50">
        <v>3.5874999999999997E-2</v>
      </c>
      <c r="G50">
        <v>3.3765000000000003E-2</v>
      </c>
      <c r="H50">
        <v>3.1759999999999997E-2</v>
      </c>
      <c r="I50">
        <v>2.9822000000000001E-2</v>
      </c>
      <c r="J50">
        <v>2.8183E-2</v>
      </c>
      <c r="K50">
        <v>2.6771E-2</v>
      </c>
      <c r="L50">
        <v>2.5623E-2</v>
      </c>
      <c r="M50">
        <v>2.4712000000000001E-2</v>
      </c>
      <c r="N50">
        <v>2.4074999999999999E-2</v>
      </c>
      <c r="O50">
        <v>2.3675999999999999E-2</v>
      </c>
      <c r="P50">
        <v>2.3234000000000001E-2</v>
      </c>
      <c r="Q50">
        <v>2.2778E-2</v>
      </c>
      <c r="R50">
        <v>2.2308999999999999E-2</v>
      </c>
      <c r="S50">
        <v>2.1833999999999999E-2</v>
      </c>
      <c r="T50">
        <v>2.1354000000000001E-2</v>
      </c>
      <c r="U50">
        <v>2.0861999999999999E-2</v>
      </c>
      <c r="V50">
        <v>2.0367E-2</v>
      </c>
      <c r="W50">
        <v>1.9869999999999999E-2</v>
      </c>
      <c r="X50">
        <v>1.9372E-2</v>
      </c>
      <c r="Y50">
        <v>1.8870000000000001E-2</v>
      </c>
      <c r="Z50">
        <v>1.8371999999999999E-2</v>
      </c>
      <c r="AA50">
        <v>1.7881000000000001E-2</v>
      </c>
      <c r="AB50">
        <v>1.7401E-2</v>
      </c>
      <c r="AC50">
        <v>1.694E-2</v>
      </c>
      <c r="AD50">
        <v>1.6508999999999999E-2</v>
      </c>
      <c r="AE50" t="s">
        <v>396</v>
      </c>
    </row>
    <row r="51" spans="1:31" x14ac:dyDescent="0.45">
      <c r="A51" t="s">
        <v>217</v>
      </c>
      <c r="B51" t="s">
        <v>397</v>
      </c>
      <c r="C51" t="s">
        <v>398</v>
      </c>
      <c r="D51" t="s">
        <v>206</v>
      </c>
      <c r="E51">
        <v>2.6054999999999998E-2</v>
      </c>
      <c r="F51">
        <v>2.6324E-2</v>
      </c>
      <c r="G51">
        <v>2.6369E-2</v>
      </c>
      <c r="H51">
        <v>2.631E-2</v>
      </c>
      <c r="I51">
        <v>2.6206E-2</v>
      </c>
      <c r="J51">
        <v>2.6145000000000002E-2</v>
      </c>
      <c r="K51">
        <v>2.6071E-2</v>
      </c>
      <c r="L51">
        <v>2.6009999999999998E-2</v>
      </c>
      <c r="M51">
        <v>2.5943000000000001E-2</v>
      </c>
      <c r="N51">
        <v>2.5898999999999998E-2</v>
      </c>
      <c r="O51">
        <v>2.5849E-2</v>
      </c>
      <c r="P51">
        <v>2.5803E-2</v>
      </c>
      <c r="Q51">
        <v>2.5762E-2</v>
      </c>
      <c r="R51">
        <v>2.5724E-2</v>
      </c>
      <c r="S51">
        <v>2.5690000000000001E-2</v>
      </c>
      <c r="T51">
        <v>2.5656999999999999E-2</v>
      </c>
      <c r="U51">
        <v>2.5617999999999998E-2</v>
      </c>
      <c r="V51">
        <v>2.5583000000000002E-2</v>
      </c>
      <c r="W51">
        <v>2.5548999999999999E-2</v>
      </c>
      <c r="X51">
        <v>2.5516E-2</v>
      </c>
      <c r="Y51">
        <v>2.5477E-2</v>
      </c>
      <c r="Z51">
        <v>2.5437999999999999E-2</v>
      </c>
      <c r="AA51">
        <v>2.5395999999999998E-2</v>
      </c>
      <c r="AB51">
        <v>2.5350999999999999E-2</v>
      </c>
      <c r="AC51">
        <v>2.5305999999999999E-2</v>
      </c>
      <c r="AD51">
        <v>2.5270999999999998E-2</v>
      </c>
      <c r="AE51" t="s">
        <v>379</v>
      </c>
    </row>
    <row r="52" spans="1:31" x14ac:dyDescent="0.45">
      <c r="A52" t="s">
        <v>222</v>
      </c>
      <c r="B52" t="s">
        <v>399</v>
      </c>
      <c r="C52" t="s">
        <v>400</v>
      </c>
      <c r="D52" t="s">
        <v>206</v>
      </c>
      <c r="E52">
        <v>0.48927999999999999</v>
      </c>
      <c r="F52">
        <v>0.47136</v>
      </c>
      <c r="G52">
        <v>0.46495199999999998</v>
      </c>
      <c r="H52">
        <v>0.45650000000000002</v>
      </c>
      <c r="I52">
        <v>0.44762400000000002</v>
      </c>
      <c r="J52">
        <v>0.43974600000000003</v>
      </c>
      <c r="K52">
        <v>0.43198300000000001</v>
      </c>
      <c r="L52">
        <v>0.42481200000000002</v>
      </c>
      <c r="M52">
        <v>0.41794500000000001</v>
      </c>
      <c r="N52">
        <v>0.41185100000000002</v>
      </c>
      <c r="O52">
        <v>0.40607300000000002</v>
      </c>
      <c r="P52">
        <v>0.40047300000000002</v>
      </c>
      <c r="Q52">
        <v>0.39501900000000001</v>
      </c>
      <c r="R52">
        <v>0.38974199999999998</v>
      </c>
      <c r="S52">
        <v>0.38463999999999998</v>
      </c>
      <c r="T52">
        <v>0.37959500000000002</v>
      </c>
      <c r="U52">
        <v>0.37457200000000002</v>
      </c>
      <c r="V52">
        <v>0.36974099999999999</v>
      </c>
      <c r="W52">
        <v>0.36496899999999999</v>
      </c>
      <c r="X52">
        <v>0.36033500000000002</v>
      </c>
      <c r="Y52">
        <v>0.35574</v>
      </c>
      <c r="Z52">
        <v>0.35123799999999999</v>
      </c>
      <c r="AA52">
        <v>0.34672399999999998</v>
      </c>
      <c r="AB52">
        <v>0.34224399999999999</v>
      </c>
      <c r="AC52">
        <v>0.33780500000000002</v>
      </c>
      <c r="AD52">
        <v>0.33354699999999998</v>
      </c>
      <c r="AE52" t="s">
        <v>393</v>
      </c>
    </row>
    <row r="53" spans="1:31" x14ac:dyDescent="0.45">
      <c r="A53" t="s">
        <v>129</v>
      </c>
    </row>
    <row r="54" spans="1:31" x14ac:dyDescent="0.45">
      <c r="A54" t="s">
        <v>171</v>
      </c>
      <c r="B54" t="s">
        <v>401</v>
      </c>
      <c r="C54" t="s">
        <v>402</v>
      </c>
      <c r="D54" t="s">
        <v>206</v>
      </c>
      <c r="E54">
        <v>0.377521</v>
      </c>
      <c r="F54">
        <v>0.36312299999999997</v>
      </c>
      <c r="G54">
        <v>0.34120200000000001</v>
      </c>
      <c r="H54">
        <v>0.33858100000000002</v>
      </c>
      <c r="I54">
        <v>0.33409800000000001</v>
      </c>
      <c r="J54">
        <v>0.32856999999999997</v>
      </c>
      <c r="K54">
        <v>0.32222099999999998</v>
      </c>
      <c r="L54">
        <v>0.31594800000000001</v>
      </c>
      <c r="M54">
        <v>0.30998100000000001</v>
      </c>
      <c r="N54">
        <v>0.30452200000000001</v>
      </c>
      <c r="O54">
        <v>0.29947699999999999</v>
      </c>
      <c r="P54">
        <v>0.294769</v>
      </c>
      <c r="Q54">
        <v>0.29023399999999999</v>
      </c>
      <c r="R54">
        <v>0.28586400000000001</v>
      </c>
      <c r="S54">
        <v>0.281613</v>
      </c>
      <c r="T54">
        <v>0.27760299999999999</v>
      </c>
      <c r="U54">
        <v>0.27384799999999998</v>
      </c>
      <c r="V54">
        <v>0.27051999999999998</v>
      </c>
      <c r="W54">
        <v>0.26754699999999998</v>
      </c>
      <c r="X54">
        <v>0.26485799999999998</v>
      </c>
      <c r="Y54">
        <v>0.26235700000000001</v>
      </c>
      <c r="Z54">
        <v>0.25988</v>
      </c>
      <c r="AA54">
        <v>0.25727</v>
      </c>
      <c r="AB54">
        <v>0.25462000000000001</v>
      </c>
      <c r="AC54">
        <v>0.251971</v>
      </c>
      <c r="AD54">
        <v>0.24937899999999999</v>
      </c>
      <c r="AE54" t="s">
        <v>403</v>
      </c>
    </row>
    <row r="55" spans="1:31" x14ac:dyDescent="0.45">
      <c r="A55" t="s">
        <v>207</v>
      </c>
      <c r="B55" t="s">
        <v>404</v>
      </c>
      <c r="C55" t="s">
        <v>405</v>
      </c>
      <c r="D55" t="s">
        <v>206</v>
      </c>
      <c r="E55">
        <v>5.8525000000000001E-2</v>
      </c>
      <c r="F55">
        <v>5.9045E-2</v>
      </c>
      <c r="G55">
        <v>5.9788000000000001E-2</v>
      </c>
      <c r="H55">
        <v>6.0389999999999999E-2</v>
      </c>
      <c r="I55">
        <v>5.9603000000000003E-2</v>
      </c>
      <c r="J55">
        <v>5.8604000000000003E-2</v>
      </c>
      <c r="K55">
        <v>5.7556999999999997E-2</v>
      </c>
      <c r="L55">
        <v>5.6584000000000002E-2</v>
      </c>
      <c r="M55">
        <v>5.5702000000000002E-2</v>
      </c>
      <c r="N55">
        <v>5.5021E-2</v>
      </c>
      <c r="O55">
        <v>5.4533999999999999E-2</v>
      </c>
      <c r="P55">
        <v>5.3959E-2</v>
      </c>
      <c r="Q55">
        <v>5.3307E-2</v>
      </c>
      <c r="R55">
        <v>5.2581999999999997E-2</v>
      </c>
      <c r="S55">
        <v>5.1789000000000002E-2</v>
      </c>
      <c r="T55">
        <v>5.0962E-2</v>
      </c>
      <c r="U55">
        <v>5.0118000000000003E-2</v>
      </c>
      <c r="V55">
        <v>4.9286000000000003E-2</v>
      </c>
      <c r="W55">
        <v>4.8475999999999998E-2</v>
      </c>
      <c r="X55">
        <v>4.7683999999999997E-2</v>
      </c>
      <c r="Y55">
        <v>4.6887999999999999E-2</v>
      </c>
      <c r="Z55">
        <v>4.607E-2</v>
      </c>
      <c r="AA55">
        <v>4.5235999999999998E-2</v>
      </c>
      <c r="AB55">
        <v>4.4408999999999997E-2</v>
      </c>
      <c r="AC55">
        <v>4.3616000000000002E-2</v>
      </c>
      <c r="AD55">
        <v>4.2877999999999999E-2</v>
      </c>
      <c r="AE55" t="s">
        <v>321</v>
      </c>
    </row>
    <row r="56" spans="1:31" x14ac:dyDescent="0.45">
      <c r="A56" t="s">
        <v>209</v>
      </c>
      <c r="B56" t="s">
        <v>406</v>
      </c>
      <c r="C56" t="s">
        <v>407</v>
      </c>
      <c r="D56" t="s">
        <v>206</v>
      </c>
      <c r="E56">
        <v>1.0416999999999999E-2</v>
      </c>
      <c r="F56">
        <v>1.0383E-2</v>
      </c>
      <c r="G56">
        <v>1.0352999999999999E-2</v>
      </c>
      <c r="H56">
        <v>1.0321E-2</v>
      </c>
      <c r="I56">
        <v>1.0288E-2</v>
      </c>
      <c r="J56">
        <v>1.0251E-2</v>
      </c>
      <c r="K56">
        <v>1.0208999999999999E-2</v>
      </c>
      <c r="L56">
        <v>1.0161E-2</v>
      </c>
      <c r="M56">
        <v>1.0109999999999999E-2</v>
      </c>
      <c r="N56">
        <v>1.0055E-2</v>
      </c>
      <c r="O56">
        <v>9.9959999999999997E-3</v>
      </c>
      <c r="P56">
        <v>9.9330000000000009E-3</v>
      </c>
      <c r="Q56">
        <v>9.8650000000000005E-3</v>
      </c>
      <c r="R56">
        <v>9.8130000000000005E-3</v>
      </c>
      <c r="S56">
        <v>9.7769999999999992E-3</v>
      </c>
      <c r="T56">
        <v>9.7590000000000003E-3</v>
      </c>
      <c r="U56">
        <v>9.7590000000000003E-3</v>
      </c>
      <c r="V56">
        <v>9.7800000000000005E-3</v>
      </c>
      <c r="W56">
        <v>9.7990000000000004E-3</v>
      </c>
      <c r="X56">
        <v>9.8150000000000008E-3</v>
      </c>
      <c r="Y56">
        <v>9.8300000000000002E-3</v>
      </c>
      <c r="Z56">
        <v>9.8440000000000003E-3</v>
      </c>
      <c r="AA56">
        <v>9.8569999999999994E-3</v>
      </c>
      <c r="AB56">
        <v>9.868E-3</v>
      </c>
      <c r="AC56">
        <v>9.8770000000000004E-3</v>
      </c>
      <c r="AD56">
        <v>9.8860000000000007E-3</v>
      </c>
      <c r="AE56" t="s">
        <v>408</v>
      </c>
    </row>
    <row r="57" spans="1:31" x14ac:dyDescent="0.45">
      <c r="A57" t="s">
        <v>217</v>
      </c>
      <c r="B57" t="s">
        <v>409</v>
      </c>
      <c r="C57" t="s">
        <v>410</v>
      </c>
      <c r="D57" t="s">
        <v>206</v>
      </c>
      <c r="E57">
        <v>7.8036999999999995E-2</v>
      </c>
      <c r="F57">
        <v>8.1169000000000005E-2</v>
      </c>
      <c r="G57">
        <v>8.4196999999999994E-2</v>
      </c>
      <c r="H57">
        <v>8.6918999999999996E-2</v>
      </c>
      <c r="I57">
        <v>8.9321999999999999E-2</v>
      </c>
      <c r="J57">
        <v>9.1503000000000001E-2</v>
      </c>
      <c r="K57">
        <v>9.35E-2</v>
      </c>
      <c r="L57">
        <v>9.5471E-2</v>
      </c>
      <c r="M57">
        <v>9.7409999999999997E-2</v>
      </c>
      <c r="N57">
        <v>9.9464999999999998E-2</v>
      </c>
      <c r="O57">
        <v>0.101614</v>
      </c>
      <c r="P57">
        <v>0.103822</v>
      </c>
      <c r="Q57">
        <v>0.10602399999999999</v>
      </c>
      <c r="R57">
        <v>0.10821600000000001</v>
      </c>
      <c r="S57">
        <v>0.110387</v>
      </c>
      <c r="T57">
        <v>0.11257499999999999</v>
      </c>
      <c r="U57">
        <v>0.114814</v>
      </c>
      <c r="V57">
        <v>0.11715200000000001</v>
      </c>
      <c r="W57">
        <v>0.11959400000000001</v>
      </c>
      <c r="X57">
        <v>0.12212099999999999</v>
      </c>
      <c r="Y57">
        <v>0.12467</v>
      </c>
      <c r="Z57">
        <v>0.12718199999999999</v>
      </c>
      <c r="AA57">
        <v>0.12964800000000001</v>
      </c>
      <c r="AB57">
        <v>0.13209399999999999</v>
      </c>
      <c r="AC57">
        <v>0.13455500000000001</v>
      </c>
      <c r="AD57">
        <v>0.137049</v>
      </c>
      <c r="AE57" t="s">
        <v>411</v>
      </c>
    </row>
    <row r="58" spans="1:31" x14ac:dyDescent="0.45">
      <c r="A58" t="s">
        <v>222</v>
      </c>
      <c r="B58" t="s">
        <v>412</v>
      </c>
      <c r="C58" t="s">
        <v>413</v>
      </c>
      <c r="D58" t="s">
        <v>206</v>
      </c>
      <c r="E58">
        <v>0.52449999999999997</v>
      </c>
      <c r="F58">
        <v>0.51371999999999995</v>
      </c>
      <c r="G58">
        <v>0.49554100000000001</v>
      </c>
      <c r="H58">
        <v>0.49621100000000001</v>
      </c>
      <c r="I58">
        <v>0.493311</v>
      </c>
      <c r="J58">
        <v>0.48892799999999997</v>
      </c>
      <c r="K58">
        <v>0.48348600000000003</v>
      </c>
      <c r="L58">
        <v>0.478163</v>
      </c>
      <c r="M58">
        <v>0.47320299999999998</v>
      </c>
      <c r="N58">
        <v>0.46906199999999998</v>
      </c>
      <c r="O58">
        <v>0.46562100000000001</v>
      </c>
      <c r="P58">
        <v>0.46248299999999998</v>
      </c>
      <c r="Q58">
        <v>0.45942899999999998</v>
      </c>
      <c r="R58">
        <v>0.45647500000000002</v>
      </c>
      <c r="S58">
        <v>0.45356600000000002</v>
      </c>
      <c r="T58">
        <v>0.45089800000000002</v>
      </c>
      <c r="U58">
        <v>0.44853900000000002</v>
      </c>
      <c r="V58">
        <v>0.44673800000000002</v>
      </c>
      <c r="W58">
        <v>0.44541599999999998</v>
      </c>
      <c r="X58">
        <v>0.44447900000000001</v>
      </c>
      <c r="Y58">
        <v>0.44374599999999997</v>
      </c>
      <c r="Z58">
        <v>0.44297599999999998</v>
      </c>
      <c r="AA58">
        <v>0.44201200000000002</v>
      </c>
      <c r="AB58">
        <v>0.44099100000000002</v>
      </c>
      <c r="AC58">
        <v>0.44002000000000002</v>
      </c>
      <c r="AD58">
        <v>0.439191</v>
      </c>
      <c r="AE58" t="s">
        <v>390</v>
      </c>
    </row>
    <row r="59" spans="1:31" x14ac:dyDescent="0.45">
      <c r="A59" t="s">
        <v>223</v>
      </c>
      <c r="B59" t="s">
        <v>414</v>
      </c>
      <c r="C59" t="s">
        <v>415</v>
      </c>
      <c r="D59" t="s">
        <v>206</v>
      </c>
      <c r="E59">
        <v>0.37138700000000002</v>
      </c>
      <c r="F59">
        <v>0.34290100000000001</v>
      </c>
      <c r="G59">
        <v>0.33499000000000001</v>
      </c>
      <c r="H59">
        <v>0.33120500000000003</v>
      </c>
      <c r="I59">
        <v>0.32895400000000002</v>
      </c>
      <c r="J59">
        <v>0.323627</v>
      </c>
      <c r="K59">
        <v>0.31936900000000001</v>
      </c>
      <c r="L59">
        <v>0.31564300000000001</v>
      </c>
      <c r="M59">
        <v>0.31281199999999998</v>
      </c>
      <c r="N59">
        <v>0.30912600000000001</v>
      </c>
      <c r="O59">
        <v>0.30582900000000002</v>
      </c>
      <c r="P59">
        <v>0.302008</v>
      </c>
      <c r="Q59">
        <v>0.29809400000000003</v>
      </c>
      <c r="R59">
        <v>0.29419899999999999</v>
      </c>
      <c r="S59">
        <v>0.28995399999999999</v>
      </c>
      <c r="T59">
        <v>0.28553800000000001</v>
      </c>
      <c r="U59">
        <v>0.28127000000000002</v>
      </c>
      <c r="V59">
        <v>0.27737800000000001</v>
      </c>
      <c r="W59">
        <v>0.27363100000000001</v>
      </c>
      <c r="X59">
        <v>0.27007799999999998</v>
      </c>
      <c r="Y59">
        <v>0.26697399999999999</v>
      </c>
      <c r="Z59">
        <v>0.26397799999999999</v>
      </c>
      <c r="AA59">
        <v>0.26129000000000002</v>
      </c>
      <c r="AB59">
        <v>0.258824</v>
      </c>
      <c r="AC59">
        <v>0.25657600000000003</v>
      </c>
      <c r="AD59">
        <v>0.254137</v>
      </c>
      <c r="AE59" t="s">
        <v>393</v>
      </c>
    </row>
    <row r="60" spans="1:31" x14ac:dyDescent="0.45">
      <c r="A60" t="s">
        <v>224</v>
      </c>
    </row>
    <row r="61" spans="1:31" x14ac:dyDescent="0.45">
      <c r="A61" t="s">
        <v>171</v>
      </c>
      <c r="B61" t="s">
        <v>416</v>
      </c>
      <c r="C61" t="s">
        <v>417</v>
      </c>
      <c r="D61" t="s">
        <v>206</v>
      </c>
      <c r="E61">
        <v>4.8872920000000004</v>
      </c>
      <c r="F61">
        <v>4.6105080000000003</v>
      </c>
      <c r="G61">
        <v>4.694248</v>
      </c>
      <c r="H61">
        <v>4.6635039999999996</v>
      </c>
      <c r="I61">
        <v>4.612425</v>
      </c>
      <c r="J61">
        <v>4.5474030000000001</v>
      </c>
      <c r="K61">
        <v>4.4787610000000004</v>
      </c>
      <c r="L61">
        <v>4.4142900000000003</v>
      </c>
      <c r="M61">
        <v>4.3518759999999999</v>
      </c>
      <c r="N61">
        <v>4.2920199999999999</v>
      </c>
      <c r="O61">
        <v>4.234299</v>
      </c>
      <c r="P61">
        <v>4.1793089999999999</v>
      </c>
      <c r="Q61">
        <v>4.1237060000000003</v>
      </c>
      <c r="R61">
        <v>4.0705359999999997</v>
      </c>
      <c r="S61">
        <v>4.0178630000000002</v>
      </c>
      <c r="T61">
        <v>3.9665460000000001</v>
      </c>
      <c r="U61">
        <v>3.9159199999999998</v>
      </c>
      <c r="V61">
        <v>3.8705210000000001</v>
      </c>
      <c r="W61">
        <v>3.8277060000000001</v>
      </c>
      <c r="X61">
        <v>3.7870339999999998</v>
      </c>
      <c r="Y61">
        <v>3.7487539999999999</v>
      </c>
      <c r="Z61">
        <v>3.7094520000000002</v>
      </c>
      <c r="AA61">
        <v>3.6686019999999999</v>
      </c>
      <c r="AB61">
        <v>3.628336</v>
      </c>
      <c r="AC61">
        <v>3.5889410000000002</v>
      </c>
      <c r="AD61">
        <v>3.5503339999999999</v>
      </c>
      <c r="AE61" t="s">
        <v>418</v>
      </c>
    </row>
    <row r="62" spans="1:31" x14ac:dyDescent="0.45">
      <c r="A62" t="s">
        <v>155</v>
      </c>
      <c r="B62" t="s">
        <v>419</v>
      </c>
      <c r="C62" t="s">
        <v>420</v>
      </c>
      <c r="D62" t="s">
        <v>206</v>
      </c>
      <c r="E62">
        <v>0.98317299999999996</v>
      </c>
      <c r="F62">
        <v>1.046041</v>
      </c>
      <c r="G62">
        <v>1.0603720000000001</v>
      </c>
      <c r="H62">
        <v>1.074317</v>
      </c>
      <c r="I62">
        <v>1.0854569999999999</v>
      </c>
      <c r="J62">
        <v>1.09257</v>
      </c>
      <c r="K62">
        <v>1.0990489999999999</v>
      </c>
      <c r="L62">
        <v>1.1065609999999999</v>
      </c>
      <c r="M62">
        <v>1.1148359999999999</v>
      </c>
      <c r="N62">
        <v>1.1245339999999999</v>
      </c>
      <c r="O62">
        <v>1.1352390000000001</v>
      </c>
      <c r="P62">
        <v>1.1472549999999999</v>
      </c>
      <c r="Q62">
        <v>1.1600699999999999</v>
      </c>
      <c r="R62">
        <v>1.1734279999999999</v>
      </c>
      <c r="S62">
        <v>1.1871670000000001</v>
      </c>
      <c r="T62">
        <v>1.2018500000000001</v>
      </c>
      <c r="U62">
        <v>1.217398</v>
      </c>
      <c r="V62">
        <v>1.23489</v>
      </c>
      <c r="W62">
        <v>1.2534860000000001</v>
      </c>
      <c r="X62">
        <v>1.272133</v>
      </c>
      <c r="Y62">
        <v>1.291439</v>
      </c>
      <c r="Z62">
        <v>1.309698</v>
      </c>
      <c r="AA62">
        <v>1.327261</v>
      </c>
      <c r="AB62">
        <v>1.344268</v>
      </c>
      <c r="AC62">
        <v>1.3620159999999999</v>
      </c>
      <c r="AD62">
        <v>1.3795249999999999</v>
      </c>
      <c r="AE62" t="s">
        <v>330</v>
      </c>
    </row>
    <row r="63" spans="1:31" x14ac:dyDescent="0.45">
      <c r="A63" t="s">
        <v>207</v>
      </c>
      <c r="B63" t="s">
        <v>421</v>
      </c>
      <c r="C63" t="s">
        <v>422</v>
      </c>
      <c r="D63" t="s">
        <v>206</v>
      </c>
      <c r="E63">
        <v>1.573177</v>
      </c>
      <c r="F63">
        <v>1.5749280000000001</v>
      </c>
      <c r="G63">
        <v>1.5782149999999999</v>
      </c>
      <c r="H63">
        <v>1.5820050000000001</v>
      </c>
      <c r="I63">
        <v>1.5607</v>
      </c>
      <c r="J63">
        <v>1.533361</v>
      </c>
      <c r="K63">
        <v>1.5057780000000001</v>
      </c>
      <c r="L63">
        <v>1.4812959999999999</v>
      </c>
      <c r="M63">
        <v>1.4578420000000001</v>
      </c>
      <c r="N63">
        <v>1.438645</v>
      </c>
      <c r="O63">
        <v>1.423103</v>
      </c>
      <c r="P63">
        <v>1.4087639999999999</v>
      </c>
      <c r="Q63">
        <v>1.395114</v>
      </c>
      <c r="R63">
        <v>1.382833</v>
      </c>
      <c r="S63">
        <v>1.3717010000000001</v>
      </c>
      <c r="T63">
        <v>1.3619399999999999</v>
      </c>
      <c r="U63">
        <v>1.3531759999999999</v>
      </c>
      <c r="V63">
        <v>1.3462069999999999</v>
      </c>
      <c r="W63">
        <v>1.340719</v>
      </c>
      <c r="X63">
        <v>1.3348089999999999</v>
      </c>
      <c r="Y63">
        <v>1.328171</v>
      </c>
      <c r="Z63">
        <v>1.3203560000000001</v>
      </c>
      <c r="AA63">
        <v>1.311653</v>
      </c>
      <c r="AB63">
        <v>1.302775</v>
      </c>
      <c r="AC63">
        <v>1.2944519999999999</v>
      </c>
      <c r="AD63">
        <v>1.2870760000000001</v>
      </c>
      <c r="AE63" t="s">
        <v>423</v>
      </c>
    </row>
    <row r="64" spans="1:31" x14ac:dyDescent="0.45">
      <c r="A64" t="s">
        <v>208</v>
      </c>
      <c r="B64" t="s">
        <v>424</v>
      </c>
      <c r="C64" t="s">
        <v>425</v>
      </c>
      <c r="D64" t="s">
        <v>206</v>
      </c>
      <c r="E64">
        <v>0.34956300000000001</v>
      </c>
      <c r="F64">
        <v>0.34852699999999998</v>
      </c>
      <c r="G64">
        <v>0.34743299999999999</v>
      </c>
      <c r="H64">
        <v>0.34620899999999999</v>
      </c>
      <c r="I64">
        <v>0.34525899999999998</v>
      </c>
      <c r="J64">
        <v>0.34202399999999999</v>
      </c>
      <c r="K64">
        <v>0.33903</v>
      </c>
      <c r="L64">
        <v>0.33630399999999999</v>
      </c>
      <c r="M64">
        <v>0.33379900000000001</v>
      </c>
      <c r="N64">
        <v>0.33146799999999998</v>
      </c>
      <c r="O64">
        <v>0.32936599999999999</v>
      </c>
      <c r="P64">
        <v>0.32765300000000003</v>
      </c>
      <c r="Q64">
        <v>0.32634299999999999</v>
      </c>
      <c r="R64">
        <v>0.325461</v>
      </c>
      <c r="S64">
        <v>0.32499</v>
      </c>
      <c r="T64">
        <v>0.324938</v>
      </c>
      <c r="U64">
        <v>0.32529400000000003</v>
      </c>
      <c r="V64">
        <v>0.32607199999999997</v>
      </c>
      <c r="W64">
        <v>0.32728099999999999</v>
      </c>
      <c r="X64">
        <v>0.32891300000000001</v>
      </c>
      <c r="Y64">
        <v>0.33105000000000001</v>
      </c>
      <c r="Z64">
        <v>0.33371400000000001</v>
      </c>
      <c r="AA64">
        <v>0.33686500000000003</v>
      </c>
      <c r="AB64">
        <v>0.34000599999999997</v>
      </c>
      <c r="AC64">
        <v>0.34312900000000002</v>
      </c>
      <c r="AD64">
        <v>0.34622900000000001</v>
      </c>
      <c r="AE64" t="s">
        <v>336</v>
      </c>
    </row>
    <row r="65" spans="1:31" x14ac:dyDescent="0.45">
      <c r="A65" t="s">
        <v>209</v>
      </c>
      <c r="B65" t="s">
        <v>426</v>
      </c>
      <c r="C65" t="s">
        <v>427</v>
      </c>
      <c r="D65" t="s">
        <v>206</v>
      </c>
      <c r="E65">
        <v>0.15604699999999999</v>
      </c>
      <c r="F65">
        <v>0.15687999999999999</v>
      </c>
      <c r="G65">
        <v>0.157749</v>
      </c>
      <c r="H65">
        <v>0.15859599999999999</v>
      </c>
      <c r="I65">
        <v>0.159444</v>
      </c>
      <c r="J65">
        <v>0.160278</v>
      </c>
      <c r="K65">
        <v>0.161103</v>
      </c>
      <c r="L65">
        <v>0.161912</v>
      </c>
      <c r="M65">
        <v>0.16271099999999999</v>
      </c>
      <c r="N65">
        <v>0.16352700000000001</v>
      </c>
      <c r="O65">
        <v>0.16437299999999999</v>
      </c>
      <c r="P65">
        <v>0.16525599999999999</v>
      </c>
      <c r="Q65">
        <v>0.166161</v>
      </c>
      <c r="R65">
        <v>0.167104</v>
      </c>
      <c r="S65">
        <v>0.16803199999999999</v>
      </c>
      <c r="T65">
        <v>0.168956</v>
      </c>
      <c r="U65">
        <v>0.16985600000000001</v>
      </c>
      <c r="V65">
        <v>0.170735</v>
      </c>
      <c r="W65">
        <v>0.17157900000000001</v>
      </c>
      <c r="X65">
        <v>0.172399</v>
      </c>
      <c r="Y65">
        <v>0.17321800000000001</v>
      </c>
      <c r="Z65">
        <v>0.174042</v>
      </c>
      <c r="AA65">
        <v>0.17486499999999999</v>
      </c>
      <c r="AB65">
        <v>0.17569000000000001</v>
      </c>
      <c r="AC65">
        <v>0.17651800000000001</v>
      </c>
      <c r="AD65">
        <v>0.17735500000000001</v>
      </c>
      <c r="AE65" t="s">
        <v>364</v>
      </c>
    </row>
    <row r="66" spans="1:31" x14ac:dyDescent="0.45">
      <c r="A66" t="s">
        <v>210</v>
      </c>
      <c r="B66" t="s">
        <v>428</v>
      </c>
      <c r="C66" t="s">
        <v>429</v>
      </c>
      <c r="D66" t="s">
        <v>206</v>
      </c>
      <c r="E66">
        <v>0.229907</v>
      </c>
      <c r="F66">
        <v>0.231125</v>
      </c>
      <c r="G66">
        <v>0.23272300000000001</v>
      </c>
      <c r="H66">
        <v>0.23462</v>
      </c>
      <c r="I66">
        <v>0.235849</v>
      </c>
      <c r="J66">
        <v>0.23600399999999999</v>
      </c>
      <c r="K66">
        <v>0.23554800000000001</v>
      </c>
      <c r="L66">
        <v>0.234788</v>
      </c>
      <c r="M66">
        <v>0.23432800000000001</v>
      </c>
      <c r="N66">
        <v>0.23430200000000001</v>
      </c>
      <c r="O66">
        <v>0.23472100000000001</v>
      </c>
      <c r="P66">
        <v>0.23564299999999999</v>
      </c>
      <c r="Q66">
        <v>0.23691400000000001</v>
      </c>
      <c r="R66">
        <v>0.23868600000000001</v>
      </c>
      <c r="S66">
        <v>0.240921</v>
      </c>
      <c r="T66">
        <v>0.243675</v>
      </c>
      <c r="U66">
        <v>0.247026</v>
      </c>
      <c r="V66">
        <v>0.25042199999999998</v>
      </c>
      <c r="W66">
        <v>0.25392500000000001</v>
      </c>
      <c r="X66">
        <v>0.25746400000000003</v>
      </c>
      <c r="Y66">
        <v>0.261017</v>
      </c>
      <c r="Z66">
        <v>0.26441599999999998</v>
      </c>
      <c r="AA66">
        <v>0.26761499999999999</v>
      </c>
      <c r="AB66">
        <v>0.27068500000000001</v>
      </c>
      <c r="AC66">
        <v>0.27381</v>
      </c>
      <c r="AD66">
        <v>0.276862</v>
      </c>
      <c r="AE66" t="s">
        <v>430</v>
      </c>
    </row>
    <row r="67" spans="1:31" x14ac:dyDescent="0.45">
      <c r="A67" t="s">
        <v>144</v>
      </c>
      <c r="B67" t="s">
        <v>431</v>
      </c>
      <c r="C67" t="s">
        <v>432</v>
      </c>
      <c r="D67" t="s">
        <v>206</v>
      </c>
      <c r="E67">
        <v>7.9278000000000001E-2</v>
      </c>
      <c r="F67">
        <v>7.9241000000000006E-2</v>
      </c>
      <c r="G67">
        <v>7.9216999999999996E-2</v>
      </c>
      <c r="H67">
        <v>7.9159999999999994E-2</v>
      </c>
      <c r="I67">
        <v>7.9073000000000004E-2</v>
      </c>
      <c r="J67">
        <v>7.8570000000000001E-2</v>
      </c>
      <c r="K67">
        <v>7.8007000000000007E-2</v>
      </c>
      <c r="L67">
        <v>7.7404000000000001E-2</v>
      </c>
      <c r="M67">
        <v>7.6823000000000002E-2</v>
      </c>
      <c r="N67">
        <v>7.6257000000000005E-2</v>
      </c>
      <c r="O67">
        <v>7.5716000000000006E-2</v>
      </c>
      <c r="P67">
        <v>7.5194999999999998E-2</v>
      </c>
      <c r="Q67">
        <v>7.4692999999999996E-2</v>
      </c>
      <c r="R67">
        <v>7.4214000000000002E-2</v>
      </c>
      <c r="S67">
        <v>7.3757000000000003E-2</v>
      </c>
      <c r="T67">
        <v>7.3328000000000004E-2</v>
      </c>
      <c r="U67">
        <v>7.2937000000000002E-2</v>
      </c>
      <c r="V67">
        <v>7.2585999999999998E-2</v>
      </c>
      <c r="W67">
        <v>7.2277999999999995E-2</v>
      </c>
      <c r="X67">
        <v>7.2012000000000007E-2</v>
      </c>
      <c r="Y67">
        <v>7.1802000000000005E-2</v>
      </c>
      <c r="Z67">
        <v>7.1660000000000001E-2</v>
      </c>
      <c r="AA67">
        <v>7.1579000000000004E-2</v>
      </c>
      <c r="AB67">
        <v>7.1570999999999996E-2</v>
      </c>
      <c r="AC67">
        <v>7.1642999999999998E-2</v>
      </c>
      <c r="AD67">
        <v>7.1800000000000003E-2</v>
      </c>
      <c r="AE67" t="s">
        <v>344</v>
      </c>
    </row>
    <row r="68" spans="1:31" x14ac:dyDescent="0.45">
      <c r="A68" t="s">
        <v>211</v>
      </c>
      <c r="B68" t="s">
        <v>433</v>
      </c>
      <c r="C68" t="s">
        <v>434</v>
      </c>
      <c r="D68" t="s">
        <v>206</v>
      </c>
      <c r="E68">
        <v>0.18284700000000001</v>
      </c>
      <c r="F68">
        <v>0.18221599999999999</v>
      </c>
      <c r="G68">
        <v>0.18356900000000001</v>
      </c>
      <c r="H68">
        <v>0.18564</v>
      </c>
      <c r="I68">
        <v>0.18743899999999999</v>
      </c>
      <c r="J68">
        <v>0.18699399999999999</v>
      </c>
      <c r="K68">
        <v>0.18642400000000001</v>
      </c>
      <c r="L68">
        <v>0.18626100000000001</v>
      </c>
      <c r="M68">
        <v>0.18640399999999999</v>
      </c>
      <c r="N68">
        <v>0.18674199999999999</v>
      </c>
      <c r="O68">
        <v>0.18721499999999999</v>
      </c>
      <c r="P68">
        <v>0.187754</v>
      </c>
      <c r="Q68">
        <v>0.188226</v>
      </c>
      <c r="R68">
        <v>0.188723</v>
      </c>
      <c r="S68">
        <v>0.18940000000000001</v>
      </c>
      <c r="T68">
        <v>0.18703500000000001</v>
      </c>
      <c r="U68">
        <v>0.185089</v>
      </c>
      <c r="V68">
        <v>0.18369099999999999</v>
      </c>
      <c r="W68">
        <v>0.18284600000000001</v>
      </c>
      <c r="X68">
        <v>0.182477</v>
      </c>
      <c r="Y68">
        <v>0.18238399999999999</v>
      </c>
      <c r="Z68">
        <v>0.18231</v>
      </c>
      <c r="AA68">
        <v>0.182202</v>
      </c>
      <c r="AB68">
        <v>0.18219199999999999</v>
      </c>
      <c r="AC68">
        <v>0.18237500000000001</v>
      </c>
      <c r="AD68">
        <v>0.182588</v>
      </c>
      <c r="AE68" t="s">
        <v>336</v>
      </c>
    </row>
    <row r="69" spans="1:31" x14ac:dyDescent="0.45">
      <c r="A69" t="s">
        <v>212</v>
      </c>
      <c r="B69" t="s">
        <v>435</v>
      </c>
      <c r="C69" t="s">
        <v>436</v>
      </c>
      <c r="D69" t="s">
        <v>206</v>
      </c>
      <c r="E69">
        <v>4.0723000000000002E-2</v>
      </c>
      <c r="F69">
        <v>3.9740999999999999E-2</v>
      </c>
      <c r="G69">
        <v>3.875E-2</v>
      </c>
      <c r="H69">
        <v>3.7582999999999998E-2</v>
      </c>
      <c r="I69">
        <v>3.6385000000000001E-2</v>
      </c>
      <c r="J69">
        <v>3.4992000000000002E-2</v>
      </c>
      <c r="K69">
        <v>3.354E-2</v>
      </c>
      <c r="L69">
        <v>3.2000000000000001E-2</v>
      </c>
      <c r="M69">
        <v>3.0665000000000001E-2</v>
      </c>
      <c r="N69">
        <v>2.9534000000000001E-2</v>
      </c>
      <c r="O69">
        <v>2.8608999999999999E-2</v>
      </c>
      <c r="P69">
        <v>2.7904000000000002E-2</v>
      </c>
      <c r="Q69">
        <v>2.7428999999999999E-2</v>
      </c>
      <c r="R69">
        <v>2.7210000000000002E-2</v>
      </c>
      <c r="S69">
        <v>2.7261000000000001E-2</v>
      </c>
      <c r="T69">
        <v>2.7310999999999998E-2</v>
      </c>
      <c r="U69">
        <v>2.7362000000000001E-2</v>
      </c>
      <c r="V69">
        <v>2.742E-2</v>
      </c>
      <c r="W69">
        <v>2.7486E-2</v>
      </c>
      <c r="X69">
        <v>2.7564000000000002E-2</v>
      </c>
      <c r="Y69">
        <v>2.7657999999999999E-2</v>
      </c>
      <c r="Z69">
        <v>2.7768000000000001E-2</v>
      </c>
      <c r="AA69">
        <v>2.7890000000000002E-2</v>
      </c>
      <c r="AB69">
        <v>2.8024E-2</v>
      </c>
      <c r="AC69">
        <v>2.8167000000000001E-2</v>
      </c>
      <c r="AD69">
        <v>2.8319E-2</v>
      </c>
      <c r="AE69" t="s">
        <v>324</v>
      </c>
    </row>
    <row r="70" spans="1:31" x14ac:dyDescent="0.45">
      <c r="A70" t="s">
        <v>213</v>
      </c>
      <c r="B70" t="s">
        <v>437</v>
      </c>
      <c r="C70" t="s">
        <v>438</v>
      </c>
      <c r="D70" t="s">
        <v>206</v>
      </c>
      <c r="E70">
        <v>3.7162000000000001E-2</v>
      </c>
      <c r="F70">
        <v>3.8075999999999999E-2</v>
      </c>
      <c r="G70">
        <v>3.8359999999999998E-2</v>
      </c>
      <c r="H70">
        <v>3.8523000000000002E-2</v>
      </c>
      <c r="I70">
        <v>3.8636999999999998E-2</v>
      </c>
      <c r="J70">
        <v>3.8703000000000001E-2</v>
      </c>
      <c r="K70">
        <v>3.8719999999999997E-2</v>
      </c>
      <c r="L70">
        <v>3.8689000000000001E-2</v>
      </c>
      <c r="M70">
        <v>3.8733999999999998E-2</v>
      </c>
      <c r="N70">
        <v>3.8861E-2</v>
      </c>
      <c r="O70">
        <v>3.9071000000000002E-2</v>
      </c>
      <c r="P70">
        <v>3.9371000000000003E-2</v>
      </c>
      <c r="Q70">
        <v>3.9764000000000001E-2</v>
      </c>
      <c r="R70">
        <v>4.0261999999999999E-2</v>
      </c>
      <c r="S70">
        <v>4.0871999999999999E-2</v>
      </c>
      <c r="T70">
        <v>4.1477E-2</v>
      </c>
      <c r="U70">
        <v>4.2076000000000002E-2</v>
      </c>
      <c r="V70">
        <v>4.2673999999999997E-2</v>
      </c>
      <c r="W70">
        <v>4.3272999999999999E-2</v>
      </c>
      <c r="X70">
        <v>4.3875999999999998E-2</v>
      </c>
      <c r="Y70">
        <v>4.4488E-2</v>
      </c>
      <c r="Z70">
        <v>4.5110999999999998E-2</v>
      </c>
      <c r="AA70">
        <v>4.5740999999999997E-2</v>
      </c>
      <c r="AB70">
        <v>4.6378999999999997E-2</v>
      </c>
      <c r="AC70">
        <v>4.7023000000000002E-2</v>
      </c>
      <c r="AD70">
        <v>4.7676000000000003E-2</v>
      </c>
      <c r="AE70" t="s">
        <v>351</v>
      </c>
    </row>
    <row r="71" spans="1:31" x14ac:dyDescent="0.45">
      <c r="A71" t="s">
        <v>214</v>
      </c>
      <c r="B71" t="s">
        <v>439</v>
      </c>
      <c r="C71" t="s">
        <v>440</v>
      </c>
      <c r="D71" t="s">
        <v>206</v>
      </c>
      <c r="E71">
        <v>0.12483900000000001</v>
      </c>
      <c r="F71">
        <v>0.12217699999999999</v>
      </c>
      <c r="G71">
        <v>0.119963</v>
      </c>
      <c r="H71">
        <v>0.118088</v>
      </c>
      <c r="I71">
        <v>0.11609700000000001</v>
      </c>
      <c r="J71">
        <v>0.113806</v>
      </c>
      <c r="K71">
        <v>0.111516</v>
      </c>
      <c r="L71">
        <v>0.109399</v>
      </c>
      <c r="M71">
        <v>0.107489</v>
      </c>
      <c r="N71">
        <v>0.105735</v>
      </c>
      <c r="O71">
        <v>0.104144</v>
      </c>
      <c r="P71">
        <v>0.102719</v>
      </c>
      <c r="Q71">
        <v>0.101411</v>
      </c>
      <c r="R71">
        <v>0.100273</v>
      </c>
      <c r="S71">
        <v>9.9266999999999994E-2</v>
      </c>
      <c r="T71">
        <v>9.8397999999999999E-2</v>
      </c>
      <c r="U71">
        <v>9.7694000000000003E-2</v>
      </c>
      <c r="V71">
        <v>9.7154000000000004E-2</v>
      </c>
      <c r="W71">
        <v>9.6814999999999998E-2</v>
      </c>
      <c r="X71">
        <v>9.6643000000000007E-2</v>
      </c>
      <c r="Y71">
        <v>9.6638000000000002E-2</v>
      </c>
      <c r="Z71">
        <v>9.6758999999999998E-2</v>
      </c>
      <c r="AA71">
        <v>9.6903000000000003E-2</v>
      </c>
      <c r="AB71">
        <v>9.7108E-2</v>
      </c>
      <c r="AC71">
        <v>9.7404000000000004E-2</v>
      </c>
      <c r="AD71">
        <v>9.7757999999999998E-2</v>
      </c>
      <c r="AE71" t="s">
        <v>315</v>
      </c>
    </row>
    <row r="72" spans="1:31" x14ac:dyDescent="0.45">
      <c r="A72" t="s">
        <v>215</v>
      </c>
      <c r="B72" t="s">
        <v>441</v>
      </c>
      <c r="C72" t="s">
        <v>442</v>
      </c>
      <c r="D72" t="s">
        <v>206</v>
      </c>
      <c r="E72">
        <v>9.7012000000000001E-2</v>
      </c>
      <c r="F72">
        <v>9.5324000000000006E-2</v>
      </c>
      <c r="G72">
        <v>9.3865000000000004E-2</v>
      </c>
      <c r="H72">
        <v>9.2523999999999995E-2</v>
      </c>
      <c r="I72">
        <v>9.0934000000000001E-2</v>
      </c>
      <c r="J72">
        <v>8.8982000000000006E-2</v>
      </c>
      <c r="K72">
        <v>8.6905999999999997E-2</v>
      </c>
      <c r="L72">
        <v>8.4864999999999996E-2</v>
      </c>
      <c r="M72">
        <v>8.2885E-2</v>
      </c>
      <c r="N72">
        <v>8.0946000000000004E-2</v>
      </c>
      <c r="O72">
        <v>7.9061999999999993E-2</v>
      </c>
      <c r="P72">
        <v>7.7249999999999999E-2</v>
      </c>
      <c r="Q72">
        <v>7.5483999999999996E-2</v>
      </c>
      <c r="R72">
        <v>7.3799000000000003E-2</v>
      </c>
      <c r="S72">
        <v>7.2189000000000003E-2</v>
      </c>
      <c r="T72">
        <v>7.0666999999999994E-2</v>
      </c>
      <c r="U72">
        <v>6.9258E-2</v>
      </c>
      <c r="V72">
        <v>6.7989999999999995E-2</v>
      </c>
      <c r="W72">
        <v>6.6878999999999994E-2</v>
      </c>
      <c r="X72">
        <v>6.5919000000000005E-2</v>
      </c>
      <c r="Y72">
        <v>6.5114000000000005E-2</v>
      </c>
      <c r="Z72">
        <v>6.4455999999999999E-2</v>
      </c>
      <c r="AA72">
        <v>6.3893000000000005E-2</v>
      </c>
      <c r="AB72">
        <v>6.3459000000000002E-2</v>
      </c>
      <c r="AC72">
        <v>6.3205999999999998E-2</v>
      </c>
      <c r="AD72">
        <v>6.3081999999999999E-2</v>
      </c>
      <c r="AE72" t="s">
        <v>356</v>
      </c>
    </row>
    <row r="73" spans="1:31" x14ac:dyDescent="0.45">
      <c r="A73" t="s">
        <v>216</v>
      </c>
      <c r="B73" t="s">
        <v>443</v>
      </c>
      <c r="C73" t="s">
        <v>444</v>
      </c>
      <c r="D73" t="s">
        <v>206</v>
      </c>
      <c r="E73">
        <v>0.15743599999999999</v>
      </c>
      <c r="F73">
        <v>0.15289700000000001</v>
      </c>
      <c r="G73">
        <v>0.153778</v>
      </c>
      <c r="H73">
        <v>0.15411900000000001</v>
      </c>
      <c r="I73">
        <v>0.15401400000000001</v>
      </c>
      <c r="J73">
        <v>0.15365100000000001</v>
      </c>
      <c r="K73">
        <v>0.15307000000000001</v>
      </c>
      <c r="L73">
        <v>0.15265799999999999</v>
      </c>
      <c r="M73">
        <v>0.152172</v>
      </c>
      <c r="N73">
        <v>0.15165799999999999</v>
      </c>
      <c r="O73">
        <v>0.15102299999999999</v>
      </c>
      <c r="P73">
        <v>0.15023</v>
      </c>
      <c r="Q73">
        <v>0.14910799999999999</v>
      </c>
      <c r="R73">
        <v>0.14768600000000001</v>
      </c>
      <c r="S73">
        <v>0.14590700000000001</v>
      </c>
      <c r="T73">
        <v>0.14382800000000001</v>
      </c>
      <c r="U73">
        <v>0.14144399999999999</v>
      </c>
      <c r="V73">
        <v>0.139018</v>
      </c>
      <c r="W73">
        <v>0.13644400000000001</v>
      </c>
      <c r="X73">
        <v>0.13381899999999999</v>
      </c>
      <c r="Y73">
        <v>0.13125700000000001</v>
      </c>
      <c r="Z73">
        <v>0.12870899999999999</v>
      </c>
      <c r="AA73">
        <v>0.12613199999999999</v>
      </c>
      <c r="AB73">
        <v>0.12373099999999999</v>
      </c>
      <c r="AC73">
        <v>0.121516</v>
      </c>
      <c r="AD73">
        <v>0.11952</v>
      </c>
      <c r="AE73" t="s">
        <v>318</v>
      </c>
    </row>
    <row r="74" spans="1:31" x14ac:dyDescent="0.45">
      <c r="A74" t="s">
        <v>217</v>
      </c>
      <c r="B74" t="s">
        <v>445</v>
      </c>
      <c r="C74" t="s">
        <v>446</v>
      </c>
      <c r="D74" t="s">
        <v>206</v>
      </c>
      <c r="E74">
        <v>2.7444139999999999</v>
      </c>
      <c r="F74">
        <v>2.7689379999999999</v>
      </c>
      <c r="G74">
        <v>2.6761689999999998</v>
      </c>
      <c r="H74">
        <v>2.7168239999999999</v>
      </c>
      <c r="I74">
        <v>2.7528410000000001</v>
      </c>
      <c r="J74">
        <v>2.7829869999999999</v>
      </c>
      <c r="K74">
        <v>2.810584</v>
      </c>
      <c r="L74">
        <v>2.8392330000000001</v>
      </c>
      <c r="M74">
        <v>2.8684069999999999</v>
      </c>
      <c r="N74">
        <v>2.9014570000000002</v>
      </c>
      <c r="O74">
        <v>2.9361769999999998</v>
      </c>
      <c r="P74">
        <v>2.9716930000000001</v>
      </c>
      <c r="Q74">
        <v>3.0080800000000001</v>
      </c>
      <c r="R74">
        <v>3.0454020000000002</v>
      </c>
      <c r="S74">
        <v>3.0824370000000001</v>
      </c>
      <c r="T74">
        <v>3.1154850000000001</v>
      </c>
      <c r="U74">
        <v>3.1510880000000001</v>
      </c>
      <c r="V74">
        <v>3.1888049999999999</v>
      </c>
      <c r="W74">
        <v>3.2288950000000001</v>
      </c>
      <c r="X74">
        <v>3.2702399999999998</v>
      </c>
      <c r="Y74">
        <v>3.307601</v>
      </c>
      <c r="Z74">
        <v>3.348325</v>
      </c>
      <c r="AA74">
        <v>3.3881459999999999</v>
      </c>
      <c r="AB74">
        <v>3.4280149999999998</v>
      </c>
      <c r="AC74">
        <v>3.4690979999999998</v>
      </c>
      <c r="AD74">
        <v>3.5110640000000002</v>
      </c>
      <c r="AE74" t="s">
        <v>351</v>
      </c>
    </row>
    <row r="75" spans="1:31" x14ac:dyDescent="0.45">
      <c r="A75" t="s">
        <v>218</v>
      </c>
      <c r="B75" t="s">
        <v>447</v>
      </c>
      <c r="C75" t="s">
        <v>448</v>
      </c>
      <c r="D75" t="s">
        <v>206</v>
      </c>
      <c r="E75">
        <v>11.642868999999999</v>
      </c>
      <c r="F75">
        <v>11.446619</v>
      </c>
      <c r="G75">
        <v>11.454411</v>
      </c>
      <c r="H75">
        <v>11.481712</v>
      </c>
      <c r="I75">
        <v>11.454556</v>
      </c>
      <c r="J75">
        <v>11.390325000000001</v>
      </c>
      <c r="K75">
        <v>11.318034000000001</v>
      </c>
      <c r="L75">
        <v>11.255660000000001</v>
      </c>
      <c r="M75">
        <v>11.198971</v>
      </c>
      <c r="N75">
        <v>11.155685999999999</v>
      </c>
      <c r="O75">
        <v>11.122120000000001</v>
      </c>
      <c r="P75">
        <v>11.095996</v>
      </c>
      <c r="Q75">
        <v>11.072502</v>
      </c>
      <c r="R75">
        <v>11.055615</v>
      </c>
      <c r="S75">
        <v>11.041765</v>
      </c>
      <c r="T75">
        <v>11.025434000000001</v>
      </c>
      <c r="U75">
        <v>11.015616</v>
      </c>
      <c r="V75">
        <v>11.018186999999999</v>
      </c>
      <c r="W75">
        <v>11.029612</v>
      </c>
      <c r="X75">
        <v>11.045303000000001</v>
      </c>
      <c r="Y75">
        <v>11.060591000000001</v>
      </c>
      <c r="Z75">
        <v>11.076777</v>
      </c>
      <c r="AA75">
        <v>11.089347999999999</v>
      </c>
      <c r="AB75">
        <v>11.102238</v>
      </c>
      <c r="AC75">
        <v>11.119299</v>
      </c>
      <c r="AD75">
        <v>11.139188000000001</v>
      </c>
      <c r="AE75" t="s">
        <v>408</v>
      </c>
    </row>
    <row r="76" spans="1:31" x14ac:dyDescent="0.45">
      <c r="A76" t="s">
        <v>219</v>
      </c>
      <c r="B76" t="s">
        <v>449</v>
      </c>
      <c r="C76" t="s">
        <v>450</v>
      </c>
      <c r="D76" t="s">
        <v>206</v>
      </c>
      <c r="E76">
        <v>7.0135000000000003E-2</v>
      </c>
      <c r="F76">
        <v>9.1486999999999999E-2</v>
      </c>
      <c r="G76">
        <v>0.119301</v>
      </c>
      <c r="H76">
        <v>0.15019099999999999</v>
      </c>
      <c r="I76">
        <v>0.18050099999999999</v>
      </c>
      <c r="J76">
        <v>0.20873</v>
      </c>
      <c r="K76">
        <v>0.23311999999999999</v>
      </c>
      <c r="L76">
        <v>0.25518800000000003</v>
      </c>
      <c r="M76">
        <v>0.27699499999999999</v>
      </c>
      <c r="N76">
        <v>0.29923699999999998</v>
      </c>
      <c r="O76">
        <v>0.321766</v>
      </c>
      <c r="P76">
        <v>0.34432200000000002</v>
      </c>
      <c r="Q76">
        <v>0.36690099999999998</v>
      </c>
      <c r="R76">
        <v>0.389322</v>
      </c>
      <c r="S76">
        <v>0.41114099999999998</v>
      </c>
      <c r="T76">
        <v>0.43246899999999999</v>
      </c>
      <c r="U76">
        <v>0.45277400000000001</v>
      </c>
      <c r="V76">
        <v>0.47238799999999997</v>
      </c>
      <c r="W76">
        <v>0.49130400000000002</v>
      </c>
      <c r="X76">
        <v>0.50966900000000004</v>
      </c>
      <c r="Y76">
        <v>0.52751300000000001</v>
      </c>
      <c r="Z76">
        <v>0.54464500000000005</v>
      </c>
      <c r="AA76">
        <v>0.56095399999999995</v>
      </c>
      <c r="AB76">
        <v>0.57689299999999999</v>
      </c>
      <c r="AC76">
        <v>0.59221100000000004</v>
      </c>
      <c r="AD76">
        <v>0.60719400000000001</v>
      </c>
      <c r="AE76" t="s">
        <v>367</v>
      </c>
    </row>
    <row r="77" spans="1:31" x14ac:dyDescent="0.45">
      <c r="A77" t="s">
        <v>220</v>
      </c>
      <c r="B77" t="s">
        <v>451</v>
      </c>
      <c r="C77" t="s">
        <v>452</v>
      </c>
      <c r="D77" t="s">
        <v>206</v>
      </c>
      <c r="E77">
        <v>0.18513299999999999</v>
      </c>
      <c r="F77">
        <v>0.19618099999999999</v>
      </c>
      <c r="G77">
        <v>0.20807</v>
      </c>
      <c r="H77">
        <v>0.22029000000000001</v>
      </c>
      <c r="I77">
        <v>0.23191400000000001</v>
      </c>
      <c r="J77">
        <v>0.24404699999999999</v>
      </c>
      <c r="K77">
        <v>0.25698700000000002</v>
      </c>
      <c r="L77">
        <v>0.26999400000000001</v>
      </c>
      <c r="M77">
        <v>0.283557</v>
      </c>
      <c r="N77">
        <v>0.29791299999999998</v>
      </c>
      <c r="O77">
        <v>0.31315100000000001</v>
      </c>
      <c r="P77">
        <v>0.32913300000000001</v>
      </c>
      <c r="Q77">
        <v>0.346163</v>
      </c>
      <c r="R77">
        <v>0.36398999999999998</v>
      </c>
      <c r="S77">
        <v>0.38263399999999997</v>
      </c>
      <c r="T77">
        <v>0.401916</v>
      </c>
      <c r="U77">
        <v>0.42191800000000002</v>
      </c>
      <c r="V77">
        <v>0.44253399999999998</v>
      </c>
      <c r="W77">
        <v>0.46366400000000002</v>
      </c>
      <c r="X77">
        <v>0.48558299999999999</v>
      </c>
      <c r="Y77">
        <v>0.50805900000000004</v>
      </c>
      <c r="Z77">
        <v>0.53127999999999997</v>
      </c>
      <c r="AA77">
        <v>0.55522800000000005</v>
      </c>
      <c r="AB77">
        <v>0.58008000000000004</v>
      </c>
      <c r="AC77">
        <v>0.60541100000000003</v>
      </c>
      <c r="AD77">
        <v>0.63153300000000001</v>
      </c>
      <c r="AE77" t="s">
        <v>370</v>
      </c>
    </row>
    <row r="78" spans="1:31" x14ac:dyDescent="0.45">
      <c r="A78" t="s">
        <v>222</v>
      </c>
      <c r="B78" t="s">
        <v>453</v>
      </c>
      <c r="C78" t="s">
        <v>454</v>
      </c>
      <c r="D78" t="s">
        <v>206</v>
      </c>
      <c r="E78">
        <v>11.527870999999999</v>
      </c>
      <c r="F78">
        <v>11.341925</v>
      </c>
      <c r="G78">
        <v>11.365641999999999</v>
      </c>
      <c r="H78">
        <v>11.411612</v>
      </c>
      <c r="I78">
        <v>11.403143</v>
      </c>
      <c r="J78">
        <v>11.355008</v>
      </c>
      <c r="K78">
        <v>11.294167</v>
      </c>
      <c r="L78">
        <v>11.240855</v>
      </c>
      <c r="M78">
        <v>11.192409</v>
      </c>
      <c r="N78">
        <v>11.157009</v>
      </c>
      <c r="O78">
        <v>11.130734</v>
      </c>
      <c r="P78">
        <v>11.111185000000001</v>
      </c>
      <c r="Q78">
        <v>11.09324</v>
      </c>
      <c r="R78">
        <v>11.080947</v>
      </c>
      <c r="S78">
        <v>11.070271999999999</v>
      </c>
      <c r="T78">
        <v>11.055986000000001</v>
      </c>
      <c r="U78">
        <v>11.046472</v>
      </c>
      <c r="V78">
        <v>11.048041</v>
      </c>
      <c r="W78">
        <v>11.057252</v>
      </c>
      <c r="X78">
        <v>11.069388</v>
      </c>
      <c r="Y78">
        <v>11.080045999999999</v>
      </c>
      <c r="Z78">
        <v>11.090140999999999</v>
      </c>
      <c r="AA78">
        <v>11.095074</v>
      </c>
      <c r="AB78">
        <v>11.099052</v>
      </c>
      <c r="AC78">
        <v>11.1061</v>
      </c>
      <c r="AD78">
        <v>11.114849</v>
      </c>
      <c r="AE78" t="s">
        <v>379</v>
      </c>
    </row>
    <row r="79" spans="1:31" x14ac:dyDescent="0.45">
      <c r="A79" t="s">
        <v>225</v>
      </c>
      <c r="B79" t="s">
        <v>455</v>
      </c>
      <c r="C79" t="s">
        <v>456</v>
      </c>
      <c r="D79" t="s">
        <v>206</v>
      </c>
      <c r="E79">
        <v>7.1676520000000004</v>
      </c>
      <c r="F79">
        <v>7.154598</v>
      </c>
      <c r="G79">
        <v>6.5145309999999998</v>
      </c>
      <c r="H79">
        <v>6.3125260000000001</v>
      </c>
      <c r="I79">
        <v>6.2211819999999998</v>
      </c>
      <c r="J79">
        <v>6.1316670000000002</v>
      </c>
      <c r="K79">
        <v>5.9451780000000003</v>
      </c>
      <c r="L79">
        <v>5.8393309999999996</v>
      </c>
      <c r="M79">
        <v>5.7834560000000002</v>
      </c>
      <c r="N79">
        <v>5.6923149999999998</v>
      </c>
      <c r="O79">
        <v>5.6339969999999999</v>
      </c>
      <c r="P79">
        <v>5.5780779999999996</v>
      </c>
      <c r="Q79">
        <v>5.556406</v>
      </c>
      <c r="R79">
        <v>5.5518919999999996</v>
      </c>
      <c r="S79">
        <v>5.5371220000000001</v>
      </c>
      <c r="T79">
        <v>5.5038859999999996</v>
      </c>
      <c r="U79">
        <v>5.4754339999999999</v>
      </c>
      <c r="V79">
        <v>5.4789479999999999</v>
      </c>
      <c r="W79">
        <v>5.4940379999999998</v>
      </c>
      <c r="X79">
        <v>5.5118720000000003</v>
      </c>
      <c r="Y79">
        <v>5.527482</v>
      </c>
      <c r="Z79">
        <v>5.546856</v>
      </c>
      <c r="AA79">
        <v>5.5688820000000003</v>
      </c>
      <c r="AB79">
        <v>5.5885730000000002</v>
      </c>
      <c r="AC79">
        <v>5.5896439999999998</v>
      </c>
      <c r="AD79">
        <v>5.6078219999999996</v>
      </c>
      <c r="AE79" t="s">
        <v>315</v>
      </c>
    </row>
    <row r="80" spans="1:31" x14ac:dyDescent="0.45">
      <c r="A80" t="s">
        <v>226</v>
      </c>
    </row>
    <row r="81" spans="1:31" x14ac:dyDescent="0.45">
      <c r="A81" t="s">
        <v>171</v>
      </c>
      <c r="B81" t="s">
        <v>457</v>
      </c>
      <c r="C81" t="s">
        <v>458</v>
      </c>
      <c r="D81" t="s">
        <v>206</v>
      </c>
      <c r="E81">
        <v>5.6764190000000001</v>
      </c>
      <c r="F81">
        <v>5.3520019999999997</v>
      </c>
      <c r="G81">
        <v>5.3777860000000004</v>
      </c>
      <c r="H81">
        <v>5.3172509999999997</v>
      </c>
      <c r="I81">
        <v>5.248799</v>
      </c>
      <c r="J81">
        <v>5.1670590000000001</v>
      </c>
      <c r="K81">
        <v>5.0722079999999998</v>
      </c>
      <c r="L81">
        <v>4.9898530000000001</v>
      </c>
      <c r="M81">
        <v>4.9145240000000001</v>
      </c>
      <c r="N81">
        <v>4.8376089999999996</v>
      </c>
      <c r="O81">
        <v>4.7658440000000004</v>
      </c>
      <c r="P81">
        <v>4.6970879999999999</v>
      </c>
      <c r="Q81">
        <v>4.6305019999999999</v>
      </c>
      <c r="R81">
        <v>4.5679309999999997</v>
      </c>
      <c r="S81">
        <v>4.5047990000000002</v>
      </c>
      <c r="T81">
        <v>4.4419420000000001</v>
      </c>
      <c r="U81">
        <v>4.3798620000000001</v>
      </c>
      <c r="V81">
        <v>4.3258799999999997</v>
      </c>
      <c r="W81">
        <v>4.2753310000000004</v>
      </c>
      <c r="X81">
        <v>4.2269829999999997</v>
      </c>
      <c r="Y81">
        <v>4.1814090000000004</v>
      </c>
      <c r="Z81">
        <v>4.1347759999999996</v>
      </c>
      <c r="AA81">
        <v>4.0866759999999998</v>
      </c>
      <c r="AB81">
        <v>4.0391640000000004</v>
      </c>
      <c r="AC81">
        <v>3.9913189999999998</v>
      </c>
      <c r="AD81">
        <v>3.9455249999999999</v>
      </c>
      <c r="AE81" t="s">
        <v>324</v>
      </c>
    </row>
    <row r="82" spans="1:31" x14ac:dyDescent="0.45">
      <c r="A82" t="s">
        <v>155</v>
      </c>
      <c r="B82" t="s">
        <v>459</v>
      </c>
      <c r="C82" t="s">
        <v>460</v>
      </c>
      <c r="D82" t="s">
        <v>206</v>
      </c>
      <c r="E82">
        <v>2.2094279999999999</v>
      </c>
      <c r="F82">
        <v>2.3359220000000001</v>
      </c>
      <c r="G82">
        <v>2.2649970000000001</v>
      </c>
      <c r="H82">
        <v>2.240748</v>
      </c>
      <c r="I82">
        <v>2.235738</v>
      </c>
      <c r="J82">
        <v>2.2276760000000002</v>
      </c>
      <c r="K82">
        <v>2.2022040000000001</v>
      </c>
      <c r="L82">
        <v>2.1932580000000002</v>
      </c>
      <c r="M82">
        <v>2.194045</v>
      </c>
      <c r="N82">
        <v>2.1894260000000001</v>
      </c>
      <c r="O82">
        <v>2.1917469999999999</v>
      </c>
      <c r="P82">
        <v>2.196002</v>
      </c>
      <c r="Q82">
        <v>2.2073640000000001</v>
      </c>
      <c r="R82">
        <v>2.2221280000000001</v>
      </c>
      <c r="S82">
        <v>2.235198</v>
      </c>
      <c r="T82">
        <v>2.2471860000000001</v>
      </c>
      <c r="U82">
        <v>2.2607059999999999</v>
      </c>
      <c r="V82">
        <v>2.2827489999999999</v>
      </c>
      <c r="W82">
        <v>2.308033</v>
      </c>
      <c r="X82">
        <v>2.3336320000000002</v>
      </c>
      <c r="Y82">
        <v>2.360322</v>
      </c>
      <c r="Z82">
        <v>2.385351</v>
      </c>
      <c r="AA82">
        <v>2.4099159999999999</v>
      </c>
      <c r="AB82">
        <v>2.4330039999999999</v>
      </c>
      <c r="AC82">
        <v>2.4533589999999998</v>
      </c>
      <c r="AD82">
        <v>2.4764379999999999</v>
      </c>
      <c r="AE82" t="s">
        <v>364</v>
      </c>
    </row>
    <row r="83" spans="1:31" x14ac:dyDescent="0.45">
      <c r="A83" t="s">
        <v>207</v>
      </c>
      <c r="B83" t="s">
        <v>461</v>
      </c>
      <c r="C83" t="s">
        <v>462</v>
      </c>
      <c r="D83" t="s">
        <v>206</v>
      </c>
      <c r="E83">
        <v>2.1733630000000002</v>
      </c>
      <c r="F83">
        <v>2.158102</v>
      </c>
      <c r="G83">
        <v>2.108511</v>
      </c>
      <c r="H83">
        <v>2.0832190000000002</v>
      </c>
      <c r="I83">
        <v>2.0307460000000002</v>
      </c>
      <c r="J83">
        <v>1.970669</v>
      </c>
      <c r="K83">
        <v>1.904377</v>
      </c>
      <c r="L83">
        <v>1.8496109999999999</v>
      </c>
      <c r="M83">
        <v>1.8012349999999999</v>
      </c>
      <c r="N83">
        <v>1.757064</v>
      </c>
      <c r="O83">
        <v>1.7204680000000001</v>
      </c>
      <c r="P83">
        <v>1.6873590000000001</v>
      </c>
      <c r="Q83">
        <v>1.6586160000000001</v>
      </c>
      <c r="R83">
        <v>1.6338569999999999</v>
      </c>
      <c r="S83">
        <v>1.6115740000000001</v>
      </c>
      <c r="T83">
        <v>1.5919000000000001</v>
      </c>
      <c r="U83">
        <v>1.5750040000000001</v>
      </c>
      <c r="V83">
        <v>1.5627610000000001</v>
      </c>
      <c r="W83">
        <v>1.553944</v>
      </c>
      <c r="X83">
        <v>1.544762</v>
      </c>
      <c r="Y83">
        <v>1.534907</v>
      </c>
      <c r="Z83">
        <v>1.523909</v>
      </c>
      <c r="AA83">
        <v>1.512165</v>
      </c>
      <c r="AB83">
        <v>1.50023</v>
      </c>
      <c r="AC83">
        <v>1.4883770000000001</v>
      </c>
      <c r="AD83">
        <v>1.4782550000000001</v>
      </c>
      <c r="AE83" t="s">
        <v>393</v>
      </c>
    </row>
    <row r="84" spans="1:31" x14ac:dyDescent="0.45">
      <c r="A84" t="s">
        <v>208</v>
      </c>
      <c r="B84" t="s">
        <v>463</v>
      </c>
      <c r="C84" t="s">
        <v>464</v>
      </c>
      <c r="D84" t="s">
        <v>206</v>
      </c>
      <c r="E84">
        <v>0.81318599999999996</v>
      </c>
      <c r="F84">
        <v>0.80544899999999997</v>
      </c>
      <c r="G84">
        <v>0.76688900000000004</v>
      </c>
      <c r="H84">
        <v>0.74541999999999997</v>
      </c>
      <c r="I84">
        <v>0.733572</v>
      </c>
      <c r="J84">
        <v>0.71895100000000001</v>
      </c>
      <c r="K84">
        <v>0.69982900000000003</v>
      </c>
      <c r="L84">
        <v>0.68631799999999998</v>
      </c>
      <c r="M84">
        <v>0.67610499999999996</v>
      </c>
      <c r="N84">
        <v>0.66384200000000004</v>
      </c>
      <c r="O84">
        <v>0.65379900000000002</v>
      </c>
      <c r="P84">
        <v>0.64453300000000002</v>
      </c>
      <c r="Q84">
        <v>0.63790000000000002</v>
      </c>
      <c r="R84">
        <v>0.63291500000000001</v>
      </c>
      <c r="S84">
        <v>0.62812400000000002</v>
      </c>
      <c r="T84">
        <v>0.62343000000000004</v>
      </c>
      <c r="U84">
        <v>0.61960599999999999</v>
      </c>
      <c r="V84">
        <v>0.61806300000000003</v>
      </c>
      <c r="W84">
        <v>0.61773</v>
      </c>
      <c r="X84">
        <v>0.61830700000000005</v>
      </c>
      <c r="Y84">
        <v>0.61984499999999998</v>
      </c>
      <c r="Z84">
        <v>0.62247399999999997</v>
      </c>
      <c r="AA84">
        <v>0.62625500000000001</v>
      </c>
      <c r="AB84">
        <v>0.62990800000000002</v>
      </c>
      <c r="AC84">
        <v>0.63246199999999997</v>
      </c>
      <c r="AD84">
        <v>0.63583400000000001</v>
      </c>
      <c r="AE84" t="s">
        <v>315</v>
      </c>
    </row>
    <row r="85" spans="1:31" x14ac:dyDescent="0.45">
      <c r="A85" t="s">
        <v>209</v>
      </c>
      <c r="B85" t="s">
        <v>465</v>
      </c>
      <c r="C85" t="s">
        <v>466</v>
      </c>
      <c r="D85" t="s">
        <v>206</v>
      </c>
      <c r="E85">
        <v>0.24671499999999999</v>
      </c>
      <c r="F85">
        <v>0.24765599999999999</v>
      </c>
      <c r="G85">
        <v>0.24244099999999999</v>
      </c>
      <c r="H85">
        <v>0.24052699999999999</v>
      </c>
      <c r="I85">
        <v>0.24037800000000001</v>
      </c>
      <c r="J85">
        <v>0.24057400000000001</v>
      </c>
      <c r="K85">
        <v>0.23960899999999999</v>
      </c>
      <c r="L85">
        <v>0.23964299999999999</v>
      </c>
      <c r="M85">
        <v>0.240232</v>
      </c>
      <c r="N85">
        <v>0.24023900000000001</v>
      </c>
      <c r="O85">
        <v>0.24062900000000001</v>
      </c>
      <c r="P85">
        <v>0.241012</v>
      </c>
      <c r="Q85">
        <v>0.24180699999999999</v>
      </c>
      <c r="R85">
        <v>0.24274799999999999</v>
      </c>
      <c r="S85">
        <v>0.243419</v>
      </c>
      <c r="T85">
        <v>0.24381</v>
      </c>
      <c r="U85">
        <v>0.244093</v>
      </c>
      <c r="V85">
        <v>0.24463499999999999</v>
      </c>
      <c r="W85">
        <v>0.24520700000000001</v>
      </c>
      <c r="X85">
        <v>0.24576200000000001</v>
      </c>
      <c r="Y85">
        <v>0.246312</v>
      </c>
      <c r="Z85">
        <v>0.246892</v>
      </c>
      <c r="AA85">
        <v>0.247529</v>
      </c>
      <c r="AB85">
        <v>0.248136</v>
      </c>
      <c r="AC85">
        <v>0.24848000000000001</v>
      </c>
      <c r="AD85">
        <v>0.24904699999999999</v>
      </c>
      <c r="AE85" t="s">
        <v>467</v>
      </c>
    </row>
    <row r="86" spans="1:31" x14ac:dyDescent="0.45">
      <c r="A86" t="s">
        <v>210</v>
      </c>
      <c r="B86" t="s">
        <v>468</v>
      </c>
      <c r="C86" t="s">
        <v>469</v>
      </c>
      <c r="D86" t="s">
        <v>206</v>
      </c>
      <c r="E86">
        <v>0.48234500000000002</v>
      </c>
      <c r="F86">
        <v>0.48131800000000002</v>
      </c>
      <c r="G86">
        <v>0.46428700000000001</v>
      </c>
      <c r="H86">
        <v>0.45725500000000002</v>
      </c>
      <c r="I86">
        <v>0.45374999999999999</v>
      </c>
      <c r="J86">
        <v>0.449098</v>
      </c>
      <c r="K86">
        <v>0.44026100000000001</v>
      </c>
      <c r="L86">
        <v>0.43360399999999999</v>
      </c>
      <c r="M86">
        <v>0.42929400000000001</v>
      </c>
      <c r="N86">
        <v>0.42442000000000002</v>
      </c>
      <c r="O86">
        <v>0.42136600000000002</v>
      </c>
      <c r="P86">
        <v>0.41921900000000001</v>
      </c>
      <c r="Q86">
        <v>0.41880000000000001</v>
      </c>
      <c r="R86">
        <v>0.41978799999999999</v>
      </c>
      <c r="S86">
        <v>0.42127799999999999</v>
      </c>
      <c r="T86">
        <v>0.42329</v>
      </c>
      <c r="U86">
        <v>0.42643999999999999</v>
      </c>
      <c r="V86">
        <v>0.430477</v>
      </c>
      <c r="W86">
        <v>0.43488700000000002</v>
      </c>
      <c r="X86">
        <v>0.43937999999999999</v>
      </c>
      <c r="Y86">
        <v>0.44387300000000002</v>
      </c>
      <c r="Z86">
        <v>0.44814100000000001</v>
      </c>
      <c r="AA86">
        <v>0.45219399999999998</v>
      </c>
      <c r="AB86">
        <v>0.45593</v>
      </c>
      <c r="AC86">
        <v>0.45907399999999998</v>
      </c>
      <c r="AD86">
        <v>0.46261600000000003</v>
      </c>
      <c r="AE86" t="s">
        <v>408</v>
      </c>
    </row>
    <row r="87" spans="1:31" x14ac:dyDescent="0.45">
      <c r="A87" t="s">
        <v>144</v>
      </c>
      <c r="B87" t="s">
        <v>470</v>
      </c>
      <c r="C87" t="s">
        <v>471</v>
      </c>
      <c r="D87" t="s">
        <v>206</v>
      </c>
      <c r="E87">
        <v>0.184423</v>
      </c>
      <c r="F87">
        <v>0.18312700000000001</v>
      </c>
      <c r="G87">
        <v>0.17485600000000001</v>
      </c>
      <c r="H87">
        <v>0.17043900000000001</v>
      </c>
      <c r="I87">
        <v>0.16800599999999999</v>
      </c>
      <c r="J87">
        <v>0.165158</v>
      </c>
      <c r="K87">
        <v>0.161022</v>
      </c>
      <c r="L87">
        <v>0.15796299999999999</v>
      </c>
      <c r="M87">
        <v>0.15560299999999999</v>
      </c>
      <c r="N87">
        <v>0.152722</v>
      </c>
      <c r="O87">
        <v>0.15029799999999999</v>
      </c>
      <c r="P87">
        <v>0.14791799999999999</v>
      </c>
      <c r="Q87">
        <v>0.14600099999999999</v>
      </c>
      <c r="R87">
        <v>0.144321</v>
      </c>
      <c r="S87">
        <v>0.14255399999999999</v>
      </c>
      <c r="T87">
        <v>0.14068800000000001</v>
      </c>
      <c r="U87">
        <v>0.13892699999999999</v>
      </c>
      <c r="V87">
        <v>0.13758600000000001</v>
      </c>
      <c r="W87">
        <v>0.13642099999999999</v>
      </c>
      <c r="X87">
        <v>0.13537299999999999</v>
      </c>
      <c r="Y87">
        <v>0.134438</v>
      </c>
      <c r="Z87">
        <v>0.13366600000000001</v>
      </c>
      <c r="AA87">
        <v>0.13307099999999999</v>
      </c>
      <c r="AB87">
        <v>0.13259599999999999</v>
      </c>
      <c r="AC87">
        <v>0.132054</v>
      </c>
      <c r="AD87">
        <v>0.131858</v>
      </c>
      <c r="AE87" t="s">
        <v>418</v>
      </c>
    </row>
    <row r="88" spans="1:31" x14ac:dyDescent="0.45">
      <c r="A88" t="s">
        <v>211</v>
      </c>
      <c r="B88" t="s">
        <v>472</v>
      </c>
      <c r="C88" t="s">
        <v>473</v>
      </c>
      <c r="D88" t="s">
        <v>206</v>
      </c>
      <c r="E88">
        <v>0.42535600000000001</v>
      </c>
      <c r="F88">
        <v>0.421101</v>
      </c>
      <c r="G88">
        <v>0.40519300000000003</v>
      </c>
      <c r="H88">
        <v>0.39970099999999997</v>
      </c>
      <c r="I88">
        <v>0.39825199999999999</v>
      </c>
      <c r="J88">
        <v>0.39307199999999998</v>
      </c>
      <c r="K88">
        <v>0.38481799999999999</v>
      </c>
      <c r="L88">
        <v>0.38011600000000001</v>
      </c>
      <c r="M88">
        <v>0.37755899999999998</v>
      </c>
      <c r="N88">
        <v>0.37399500000000002</v>
      </c>
      <c r="O88">
        <v>0.37162699999999999</v>
      </c>
      <c r="P88">
        <v>0.36933500000000002</v>
      </c>
      <c r="Q88">
        <v>0.36792399999999997</v>
      </c>
      <c r="R88">
        <v>0.36700500000000003</v>
      </c>
      <c r="S88">
        <v>0.36606300000000003</v>
      </c>
      <c r="T88">
        <v>0.35884700000000003</v>
      </c>
      <c r="U88">
        <v>0.35254999999999997</v>
      </c>
      <c r="V88">
        <v>0.34818300000000002</v>
      </c>
      <c r="W88">
        <v>0.34511399999999998</v>
      </c>
      <c r="X88">
        <v>0.34303</v>
      </c>
      <c r="Y88">
        <v>0.34148800000000001</v>
      </c>
      <c r="Z88">
        <v>0.340061</v>
      </c>
      <c r="AA88">
        <v>0.33872600000000003</v>
      </c>
      <c r="AB88">
        <v>0.33753699999999998</v>
      </c>
      <c r="AC88">
        <v>0.33615699999999998</v>
      </c>
      <c r="AD88">
        <v>0.335314</v>
      </c>
      <c r="AE88" t="s">
        <v>327</v>
      </c>
    </row>
    <row r="89" spans="1:31" x14ac:dyDescent="0.45">
      <c r="A89" t="s">
        <v>212</v>
      </c>
      <c r="B89" t="s">
        <v>474</v>
      </c>
      <c r="C89" t="s">
        <v>475</v>
      </c>
      <c r="D89" t="s">
        <v>206</v>
      </c>
      <c r="E89">
        <v>9.4733999999999999E-2</v>
      </c>
      <c r="F89">
        <v>9.1841999999999993E-2</v>
      </c>
      <c r="G89">
        <v>8.5533999999999999E-2</v>
      </c>
      <c r="H89">
        <v>8.0919000000000005E-2</v>
      </c>
      <c r="I89">
        <v>7.7308000000000002E-2</v>
      </c>
      <c r="J89">
        <v>7.3555999999999996E-2</v>
      </c>
      <c r="K89">
        <v>6.9233000000000003E-2</v>
      </c>
      <c r="L89">
        <v>6.5305000000000002E-2</v>
      </c>
      <c r="M89">
        <v>6.2111E-2</v>
      </c>
      <c r="N89">
        <v>5.9149E-2</v>
      </c>
      <c r="O89">
        <v>5.679E-2</v>
      </c>
      <c r="P89">
        <v>5.4890000000000001E-2</v>
      </c>
      <c r="Q89">
        <v>5.3614000000000002E-2</v>
      </c>
      <c r="R89">
        <v>5.2914000000000003E-2</v>
      </c>
      <c r="S89">
        <v>5.2689E-2</v>
      </c>
      <c r="T89">
        <v>5.2399000000000001E-2</v>
      </c>
      <c r="U89">
        <v>5.2116999999999997E-2</v>
      </c>
      <c r="V89">
        <v>5.1973999999999999E-2</v>
      </c>
      <c r="W89">
        <v>5.1879000000000002E-2</v>
      </c>
      <c r="X89">
        <v>5.1816000000000001E-2</v>
      </c>
      <c r="Y89">
        <v>5.1785999999999999E-2</v>
      </c>
      <c r="Z89">
        <v>5.1795000000000001E-2</v>
      </c>
      <c r="AA89">
        <v>5.185E-2</v>
      </c>
      <c r="AB89">
        <v>5.1917999999999999E-2</v>
      </c>
      <c r="AC89">
        <v>5.1917999999999999E-2</v>
      </c>
      <c r="AD89">
        <v>5.2005999999999997E-2</v>
      </c>
      <c r="AE89" t="s">
        <v>476</v>
      </c>
    </row>
    <row r="90" spans="1:31" x14ac:dyDescent="0.45">
      <c r="A90" t="s">
        <v>213</v>
      </c>
      <c r="B90" t="s">
        <v>477</v>
      </c>
      <c r="C90" t="s">
        <v>478</v>
      </c>
      <c r="D90" t="s">
        <v>206</v>
      </c>
      <c r="E90">
        <v>8.6448999999999998E-2</v>
      </c>
      <c r="F90">
        <v>8.7993000000000002E-2</v>
      </c>
      <c r="G90">
        <v>8.4671999999999997E-2</v>
      </c>
      <c r="H90">
        <v>8.2943000000000003E-2</v>
      </c>
      <c r="I90">
        <v>8.2092999999999999E-2</v>
      </c>
      <c r="J90">
        <v>8.1354999999999997E-2</v>
      </c>
      <c r="K90">
        <v>7.9925999999999997E-2</v>
      </c>
      <c r="L90">
        <v>7.8953999999999996E-2</v>
      </c>
      <c r="M90">
        <v>7.8455999999999998E-2</v>
      </c>
      <c r="N90">
        <v>7.7827999999999994E-2</v>
      </c>
      <c r="O90">
        <v>7.7556E-2</v>
      </c>
      <c r="P90">
        <v>7.7447000000000002E-2</v>
      </c>
      <c r="Q90">
        <v>7.7726000000000003E-2</v>
      </c>
      <c r="R90">
        <v>7.8297000000000005E-2</v>
      </c>
      <c r="S90">
        <v>7.8994999999999996E-2</v>
      </c>
      <c r="T90">
        <v>7.9576999999999995E-2</v>
      </c>
      <c r="U90">
        <v>8.0144000000000007E-2</v>
      </c>
      <c r="V90">
        <v>8.0888000000000002E-2</v>
      </c>
      <c r="W90">
        <v>8.1675999999999999E-2</v>
      </c>
      <c r="X90">
        <v>8.2479999999999998E-2</v>
      </c>
      <c r="Y90">
        <v>8.3297999999999997E-2</v>
      </c>
      <c r="Z90">
        <v>8.4145999999999999E-2</v>
      </c>
      <c r="AA90">
        <v>8.5037000000000001E-2</v>
      </c>
      <c r="AB90">
        <v>8.5922999999999999E-2</v>
      </c>
      <c r="AC90">
        <v>8.6674000000000001E-2</v>
      </c>
      <c r="AD90">
        <v>8.7554999999999994E-2</v>
      </c>
      <c r="AE90" t="s">
        <v>307</v>
      </c>
    </row>
    <row r="91" spans="1:31" x14ac:dyDescent="0.45">
      <c r="A91" t="s">
        <v>214</v>
      </c>
      <c r="B91" t="s">
        <v>479</v>
      </c>
      <c r="C91" t="s">
        <v>480</v>
      </c>
      <c r="D91" t="s">
        <v>206</v>
      </c>
      <c r="E91">
        <v>0.29041099999999997</v>
      </c>
      <c r="F91">
        <v>0.28235199999999999</v>
      </c>
      <c r="G91">
        <v>0.264795</v>
      </c>
      <c r="H91">
        <v>0.25425399999999998</v>
      </c>
      <c r="I91">
        <v>0.246672</v>
      </c>
      <c r="J91">
        <v>0.23922599999999999</v>
      </c>
      <c r="K91">
        <v>0.23019200000000001</v>
      </c>
      <c r="L91">
        <v>0.22325800000000001</v>
      </c>
      <c r="M91">
        <v>0.21771599999999999</v>
      </c>
      <c r="N91">
        <v>0.211758</v>
      </c>
      <c r="O91">
        <v>0.206729</v>
      </c>
      <c r="P91">
        <v>0.20206199999999999</v>
      </c>
      <c r="Q91">
        <v>0.19822600000000001</v>
      </c>
      <c r="R91">
        <v>0.194997</v>
      </c>
      <c r="S91">
        <v>0.191859</v>
      </c>
      <c r="T91">
        <v>0.18878700000000001</v>
      </c>
      <c r="U91">
        <v>0.186082</v>
      </c>
      <c r="V91">
        <v>0.18415400000000001</v>
      </c>
      <c r="W91">
        <v>0.18273500000000001</v>
      </c>
      <c r="X91">
        <v>0.181675</v>
      </c>
      <c r="Y91">
        <v>0.18094099999999999</v>
      </c>
      <c r="Z91">
        <v>0.18048400000000001</v>
      </c>
      <c r="AA91">
        <v>0.180148</v>
      </c>
      <c r="AB91">
        <v>0.17990600000000001</v>
      </c>
      <c r="AC91">
        <v>0.179537</v>
      </c>
      <c r="AD91">
        <v>0.17952799999999999</v>
      </c>
      <c r="AE91" t="s">
        <v>481</v>
      </c>
    </row>
    <row r="92" spans="1:31" x14ac:dyDescent="0.45">
      <c r="A92" t="s">
        <v>215</v>
      </c>
      <c r="B92" t="s">
        <v>482</v>
      </c>
      <c r="C92" t="s">
        <v>483</v>
      </c>
      <c r="D92" t="s">
        <v>206</v>
      </c>
      <c r="E92">
        <v>0.22567799999999999</v>
      </c>
      <c r="F92">
        <v>0.22029399999999999</v>
      </c>
      <c r="G92">
        <v>0.20718800000000001</v>
      </c>
      <c r="H92">
        <v>0.199212</v>
      </c>
      <c r="I92">
        <v>0.19320799999999999</v>
      </c>
      <c r="J92">
        <v>0.18704599999999999</v>
      </c>
      <c r="K92">
        <v>0.179393</v>
      </c>
      <c r="L92">
        <v>0.17318900000000001</v>
      </c>
      <c r="M92">
        <v>0.167883</v>
      </c>
      <c r="N92">
        <v>0.16211400000000001</v>
      </c>
      <c r="O92">
        <v>0.15694</v>
      </c>
      <c r="P92">
        <v>0.15196100000000001</v>
      </c>
      <c r="Q92">
        <v>0.14754700000000001</v>
      </c>
      <c r="R92">
        <v>0.143515</v>
      </c>
      <c r="S92">
        <v>0.13952300000000001</v>
      </c>
      <c r="T92">
        <v>0.13558200000000001</v>
      </c>
      <c r="U92">
        <v>0.13191900000000001</v>
      </c>
      <c r="V92">
        <v>0.12887399999999999</v>
      </c>
      <c r="W92">
        <v>0.12623100000000001</v>
      </c>
      <c r="X92">
        <v>0.123919</v>
      </c>
      <c r="Y92">
        <v>0.121916</v>
      </c>
      <c r="Z92">
        <v>0.12023</v>
      </c>
      <c r="AA92">
        <v>0.118781</v>
      </c>
      <c r="AB92">
        <v>0.117566</v>
      </c>
      <c r="AC92">
        <v>0.116503</v>
      </c>
      <c r="AD92">
        <v>0.11584800000000001</v>
      </c>
      <c r="AE92" t="s">
        <v>484</v>
      </c>
    </row>
    <row r="93" spans="1:31" x14ac:dyDescent="0.45">
      <c r="A93" t="s">
        <v>216</v>
      </c>
      <c r="B93" t="s">
        <v>485</v>
      </c>
      <c r="C93" t="s">
        <v>486</v>
      </c>
      <c r="D93" t="s">
        <v>206</v>
      </c>
      <c r="E93">
        <v>0.36624200000000001</v>
      </c>
      <c r="F93">
        <v>0.35334700000000002</v>
      </c>
      <c r="G93">
        <v>0.33943400000000001</v>
      </c>
      <c r="H93">
        <v>0.33183299999999999</v>
      </c>
      <c r="I93">
        <v>0.32723400000000002</v>
      </c>
      <c r="J93">
        <v>0.32298300000000002</v>
      </c>
      <c r="K93">
        <v>0.31596800000000003</v>
      </c>
      <c r="L93">
        <v>0.31153900000000001</v>
      </c>
      <c r="M93">
        <v>0.30822300000000002</v>
      </c>
      <c r="N93">
        <v>0.30373099999999997</v>
      </c>
      <c r="O93">
        <v>0.29978500000000002</v>
      </c>
      <c r="P93">
        <v>0.29552</v>
      </c>
      <c r="Q93">
        <v>0.29145900000000002</v>
      </c>
      <c r="R93">
        <v>0.28720000000000001</v>
      </c>
      <c r="S93">
        <v>0.28200199999999997</v>
      </c>
      <c r="T93">
        <v>0.27594999999999997</v>
      </c>
      <c r="U93">
        <v>0.26941599999999999</v>
      </c>
      <c r="V93">
        <v>0.26350699999999999</v>
      </c>
      <c r="W93">
        <v>0.25753199999999998</v>
      </c>
      <c r="X93">
        <v>0.25156000000000001</v>
      </c>
      <c r="Y93">
        <v>0.24576100000000001</v>
      </c>
      <c r="Z93">
        <v>0.24007899999999999</v>
      </c>
      <c r="AA93">
        <v>0.234488</v>
      </c>
      <c r="AB93">
        <v>0.22922899999999999</v>
      </c>
      <c r="AC93">
        <v>0.22398000000000001</v>
      </c>
      <c r="AD93">
        <v>0.21949299999999999</v>
      </c>
      <c r="AE93" t="s">
        <v>487</v>
      </c>
    </row>
    <row r="94" spans="1:31" x14ac:dyDescent="0.45">
      <c r="A94" t="s">
        <v>217</v>
      </c>
      <c r="B94" t="s">
        <v>488</v>
      </c>
      <c r="C94" t="s">
        <v>489</v>
      </c>
      <c r="D94" t="s">
        <v>206</v>
      </c>
      <c r="E94">
        <v>5.4394080000000002</v>
      </c>
      <c r="F94">
        <v>5.4562160000000004</v>
      </c>
      <c r="G94">
        <v>5.0324090000000004</v>
      </c>
      <c r="H94">
        <v>5.0098459999999996</v>
      </c>
      <c r="I94">
        <v>5.0277620000000001</v>
      </c>
      <c r="J94">
        <v>5.0445339999999996</v>
      </c>
      <c r="K94">
        <v>5.0235430000000001</v>
      </c>
      <c r="L94">
        <v>5.0326490000000002</v>
      </c>
      <c r="M94">
        <v>5.0594799999999998</v>
      </c>
      <c r="N94">
        <v>5.07639</v>
      </c>
      <c r="O94">
        <v>5.1059979999999996</v>
      </c>
      <c r="P94">
        <v>5.1351180000000003</v>
      </c>
      <c r="Q94">
        <v>5.1772850000000004</v>
      </c>
      <c r="R94">
        <v>5.2258399999999998</v>
      </c>
      <c r="S94">
        <v>5.2686159999999997</v>
      </c>
      <c r="T94">
        <v>5.2974969999999999</v>
      </c>
      <c r="U94">
        <v>5.330908</v>
      </c>
      <c r="V94">
        <v>5.3781319999999999</v>
      </c>
      <c r="W94">
        <v>5.431978</v>
      </c>
      <c r="X94">
        <v>5.4883639999999998</v>
      </c>
      <c r="Y94">
        <v>5.5370590000000002</v>
      </c>
      <c r="Z94">
        <v>5.59293</v>
      </c>
      <c r="AA94">
        <v>5.6490859999999996</v>
      </c>
      <c r="AB94">
        <v>5.7043990000000004</v>
      </c>
      <c r="AC94">
        <v>5.7533300000000001</v>
      </c>
      <c r="AD94">
        <v>5.8103400000000001</v>
      </c>
      <c r="AE94" t="s">
        <v>312</v>
      </c>
    </row>
    <row r="95" spans="1:31" x14ac:dyDescent="0.45">
      <c r="A95" t="s">
        <v>227</v>
      </c>
      <c r="B95" t="s">
        <v>490</v>
      </c>
      <c r="C95" t="s">
        <v>491</v>
      </c>
      <c r="D95" t="s">
        <v>206</v>
      </c>
      <c r="E95">
        <v>18.714155000000002</v>
      </c>
      <c r="F95">
        <v>18.476721999999999</v>
      </c>
      <c r="G95">
        <v>17.818992000000001</v>
      </c>
      <c r="H95">
        <v>17.613568999999998</v>
      </c>
      <c r="I95">
        <v>17.463518000000001</v>
      </c>
      <c r="J95">
        <v>17.280956</v>
      </c>
      <c r="K95">
        <v>17.002585</v>
      </c>
      <c r="L95">
        <v>16.815262000000001</v>
      </c>
      <c r="M95">
        <v>16.682466000000002</v>
      </c>
      <c r="N95">
        <v>16.530287000000001</v>
      </c>
      <c r="O95">
        <v>16.419574999999998</v>
      </c>
      <c r="P95">
        <v>16.319464</v>
      </c>
      <c r="Q95">
        <v>16.254771999999999</v>
      </c>
      <c r="R95">
        <v>16.213456000000001</v>
      </c>
      <c r="S95">
        <v>16.166691</v>
      </c>
      <c r="T95">
        <v>16.100884000000001</v>
      </c>
      <c r="U95">
        <v>16.047775000000001</v>
      </c>
      <c r="V95">
        <v>16.037863000000002</v>
      </c>
      <c r="W95">
        <v>16.048698000000002</v>
      </c>
      <c r="X95">
        <v>16.067042000000001</v>
      </c>
      <c r="Y95">
        <v>16.083355000000001</v>
      </c>
      <c r="Z95">
        <v>16.104934</v>
      </c>
      <c r="AA95">
        <v>16.125921000000002</v>
      </c>
      <c r="AB95">
        <v>16.145444999999999</v>
      </c>
      <c r="AC95">
        <v>16.153224000000002</v>
      </c>
      <c r="AD95">
        <v>16.179659000000001</v>
      </c>
      <c r="AE95" t="s">
        <v>492</v>
      </c>
    </row>
    <row r="96" spans="1:31" x14ac:dyDescent="0.45">
      <c r="A96" t="s">
        <v>219</v>
      </c>
      <c r="B96" t="s">
        <v>493</v>
      </c>
      <c r="C96" t="s">
        <v>494</v>
      </c>
      <c r="D96" t="s">
        <v>206</v>
      </c>
      <c r="E96">
        <v>0.16650400000000001</v>
      </c>
      <c r="F96">
        <v>0.21598700000000001</v>
      </c>
      <c r="G96">
        <v>0.26925399999999999</v>
      </c>
      <c r="H96">
        <v>0.33085999999999999</v>
      </c>
      <c r="I96">
        <v>0.39272000000000001</v>
      </c>
      <c r="J96">
        <v>0.449766</v>
      </c>
      <c r="K96">
        <v>0.49374200000000001</v>
      </c>
      <c r="L96">
        <v>0.53491900000000003</v>
      </c>
      <c r="M96">
        <v>0.57697699999999996</v>
      </c>
      <c r="N96">
        <v>0.61697199999999996</v>
      </c>
      <c r="O96">
        <v>0.658331</v>
      </c>
      <c r="P96">
        <v>0.69895600000000002</v>
      </c>
      <c r="Q96">
        <v>0.74106099999999997</v>
      </c>
      <c r="R96">
        <v>0.78339899999999996</v>
      </c>
      <c r="S96">
        <v>0.82336200000000004</v>
      </c>
      <c r="T96">
        <v>0.860931</v>
      </c>
      <c r="U96">
        <v>0.89607599999999998</v>
      </c>
      <c r="V96">
        <v>0.93168899999999999</v>
      </c>
      <c r="W96">
        <v>0.96628400000000003</v>
      </c>
      <c r="X96">
        <v>0.99983</v>
      </c>
      <c r="Y96">
        <v>1.032259</v>
      </c>
      <c r="Z96">
        <v>1.063375</v>
      </c>
      <c r="AA96">
        <v>1.0932949999999999</v>
      </c>
      <c r="AB96">
        <v>1.122296</v>
      </c>
      <c r="AC96">
        <v>1.147967</v>
      </c>
      <c r="AD96">
        <v>1.1745829999999999</v>
      </c>
      <c r="AE96" t="s">
        <v>495</v>
      </c>
    </row>
    <row r="97" spans="1:31" x14ac:dyDescent="0.45">
      <c r="A97" t="s">
        <v>220</v>
      </c>
      <c r="B97" t="s">
        <v>496</v>
      </c>
      <c r="C97" t="s">
        <v>497</v>
      </c>
      <c r="D97" t="s">
        <v>206</v>
      </c>
      <c r="E97">
        <v>0.18513299999999999</v>
      </c>
      <c r="F97">
        <v>0.19618099999999999</v>
      </c>
      <c r="G97">
        <v>0.20807</v>
      </c>
      <c r="H97">
        <v>0.22029000000000001</v>
      </c>
      <c r="I97">
        <v>0.23191400000000001</v>
      </c>
      <c r="J97">
        <v>0.24404699999999999</v>
      </c>
      <c r="K97">
        <v>0.25698700000000002</v>
      </c>
      <c r="L97">
        <v>0.26999400000000001</v>
      </c>
      <c r="M97">
        <v>0.283557</v>
      </c>
      <c r="N97">
        <v>0.29791299999999998</v>
      </c>
      <c r="O97">
        <v>0.31315100000000001</v>
      </c>
      <c r="P97">
        <v>0.32913300000000001</v>
      </c>
      <c r="Q97">
        <v>0.346163</v>
      </c>
      <c r="R97">
        <v>0.36398999999999998</v>
      </c>
      <c r="S97">
        <v>0.38263399999999997</v>
      </c>
      <c r="T97">
        <v>0.401916</v>
      </c>
      <c r="U97">
        <v>0.42191800000000002</v>
      </c>
      <c r="V97">
        <v>0.44253399999999998</v>
      </c>
      <c r="W97">
        <v>0.46366400000000002</v>
      </c>
      <c r="X97">
        <v>0.48558299999999999</v>
      </c>
      <c r="Y97">
        <v>0.50805900000000004</v>
      </c>
      <c r="Z97">
        <v>0.53127999999999997</v>
      </c>
      <c r="AA97">
        <v>0.55522800000000005</v>
      </c>
      <c r="AB97">
        <v>0.58008000000000004</v>
      </c>
      <c r="AC97">
        <v>0.60541100000000003</v>
      </c>
      <c r="AD97">
        <v>0.63153300000000001</v>
      </c>
      <c r="AE97" t="s">
        <v>370</v>
      </c>
    </row>
    <row r="98" spans="1:31" x14ac:dyDescent="0.45">
      <c r="A98" t="s">
        <v>228</v>
      </c>
      <c r="B98" t="s">
        <v>498</v>
      </c>
      <c r="C98" t="s">
        <v>499</v>
      </c>
      <c r="D98" t="s">
        <v>206</v>
      </c>
      <c r="E98">
        <v>18.695526000000001</v>
      </c>
      <c r="F98">
        <v>18.496528000000001</v>
      </c>
      <c r="G98">
        <v>17.880175999999999</v>
      </c>
      <c r="H98">
        <v>17.724139000000001</v>
      </c>
      <c r="I98">
        <v>17.624324000000001</v>
      </c>
      <c r="J98">
        <v>17.486674000000001</v>
      </c>
      <c r="K98">
        <v>17.239339999999999</v>
      </c>
      <c r="L98">
        <v>17.080186999999999</v>
      </c>
      <c r="M98">
        <v>16.975885999999999</v>
      </c>
      <c r="N98">
        <v>16.849346000000001</v>
      </c>
      <c r="O98">
        <v>16.764755000000001</v>
      </c>
      <c r="P98">
        <v>16.689287</v>
      </c>
      <c r="Q98">
        <v>16.64967</v>
      </c>
      <c r="R98">
        <v>16.632864999999999</v>
      </c>
      <c r="S98">
        <v>16.607420000000001</v>
      </c>
      <c r="T98">
        <v>16.559899000000001</v>
      </c>
      <c r="U98">
        <v>16.521933000000001</v>
      </c>
      <c r="V98">
        <v>16.527018000000002</v>
      </c>
      <c r="W98">
        <v>16.551317999999998</v>
      </c>
      <c r="X98">
        <v>16.581289000000002</v>
      </c>
      <c r="Y98">
        <v>16.607555999999999</v>
      </c>
      <c r="Z98">
        <v>16.637028999999998</v>
      </c>
      <c r="AA98">
        <v>16.663988</v>
      </c>
      <c r="AB98">
        <v>16.687660999999999</v>
      </c>
      <c r="AC98">
        <v>16.695779999999999</v>
      </c>
      <c r="AD98">
        <v>16.722708999999998</v>
      </c>
      <c r="AE98" t="s">
        <v>344</v>
      </c>
    </row>
    <row r="99" spans="1:31" x14ac:dyDescent="0.45">
      <c r="A99" t="s">
        <v>229</v>
      </c>
    </row>
    <row r="100" spans="1:31" x14ac:dyDescent="0.45">
      <c r="A100" t="s">
        <v>230</v>
      </c>
      <c r="B100" t="s">
        <v>500</v>
      </c>
      <c r="C100" t="s">
        <v>501</v>
      </c>
      <c r="D100" t="s">
        <v>206</v>
      </c>
      <c r="E100">
        <v>4.9686000000000001E-2</v>
      </c>
      <c r="F100">
        <v>4.8801999999999998E-2</v>
      </c>
      <c r="G100">
        <v>4.9417000000000003E-2</v>
      </c>
      <c r="H100">
        <v>4.8901E-2</v>
      </c>
      <c r="I100">
        <v>4.8594999999999999E-2</v>
      </c>
      <c r="J100">
        <v>4.8425999999999997E-2</v>
      </c>
      <c r="K100">
        <v>4.8259000000000003E-2</v>
      </c>
      <c r="L100">
        <v>4.7826E-2</v>
      </c>
      <c r="M100">
        <v>4.7667000000000001E-2</v>
      </c>
      <c r="N100">
        <v>4.7592000000000002E-2</v>
      </c>
      <c r="O100">
        <v>4.7390000000000002E-2</v>
      </c>
      <c r="P100">
        <v>4.7232999999999997E-2</v>
      </c>
      <c r="Q100">
        <v>4.7174000000000001E-2</v>
      </c>
      <c r="R100">
        <v>4.7140000000000001E-2</v>
      </c>
      <c r="S100">
        <v>4.7048E-2</v>
      </c>
      <c r="T100">
        <v>4.7018999999999998E-2</v>
      </c>
      <c r="U100">
        <v>4.6747999999999998E-2</v>
      </c>
      <c r="V100">
        <v>4.6573000000000003E-2</v>
      </c>
      <c r="W100">
        <v>4.6286000000000001E-2</v>
      </c>
      <c r="X100">
        <v>4.6039999999999998E-2</v>
      </c>
      <c r="Y100">
        <v>4.5849000000000001E-2</v>
      </c>
      <c r="Z100">
        <v>4.5747999999999997E-2</v>
      </c>
      <c r="AA100">
        <v>4.5539999999999997E-2</v>
      </c>
      <c r="AB100">
        <v>4.5422999999999998E-2</v>
      </c>
      <c r="AC100">
        <v>4.5241000000000003E-2</v>
      </c>
      <c r="AD100">
        <v>4.4974E-2</v>
      </c>
      <c r="AE100" t="s">
        <v>344</v>
      </c>
    </row>
    <row r="101" spans="1:31" x14ac:dyDescent="0.45">
      <c r="A101" t="s">
        <v>180</v>
      </c>
      <c r="B101" t="s">
        <v>502</v>
      </c>
      <c r="C101" t="s">
        <v>503</v>
      </c>
      <c r="D101" t="s">
        <v>206</v>
      </c>
      <c r="E101">
        <v>0.224384</v>
      </c>
      <c r="F101">
        <v>0.23718500000000001</v>
      </c>
      <c r="G101">
        <v>0.25163400000000002</v>
      </c>
      <c r="H101">
        <v>0.26653700000000002</v>
      </c>
      <c r="I101">
        <v>0.28042699999999998</v>
      </c>
      <c r="J101">
        <v>0.29501699999999997</v>
      </c>
      <c r="K101">
        <v>0.31080999999999998</v>
      </c>
      <c r="L101">
        <v>0.32653300000000002</v>
      </c>
      <c r="M101">
        <v>0.34300900000000001</v>
      </c>
      <c r="N101">
        <v>0.36046800000000001</v>
      </c>
      <c r="O101">
        <v>0.37908199999999997</v>
      </c>
      <c r="P101">
        <v>0.39858300000000002</v>
      </c>
      <c r="Q101">
        <v>0.41947099999999998</v>
      </c>
      <c r="R101">
        <v>0.44134200000000001</v>
      </c>
      <c r="S101">
        <v>0.46438400000000002</v>
      </c>
      <c r="T101">
        <v>0.48823499999999997</v>
      </c>
      <c r="U101">
        <v>0.51302899999999996</v>
      </c>
      <c r="V101">
        <v>0.53851700000000002</v>
      </c>
      <c r="W101">
        <v>0.56479400000000002</v>
      </c>
      <c r="X101">
        <v>0.59208700000000003</v>
      </c>
      <c r="Y101">
        <v>0.61999599999999999</v>
      </c>
      <c r="Z101">
        <v>0.64872200000000002</v>
      </c>
      <c r="AA101">
        <v>0.67828999999999995</v>
      </c>
      <c r="AB101">
        <v>0.70909100000000003</v>
      </c>
      <c r="AC101">
        <v>0.74038099999999996</v>
      </c>
      <c r="AD101">
        <v>0.77279299999999995</v>
      </c>
      <c r="AE101" t="s">
        <v>504</v>
      </c>
    </row>
    <row r="102" spans="1:31" x14ac:dyDescent="0.45">
      <c r="A102" t="s">
        <v>181</v>
      </c>
      <c r="B102" t="s">
        <v>505</v>
      </c>
      <c r="C102" t="s">
        <v>506</v>
      </c>
      <c r="D102" t="s">
        <v>206</v>
      </c>
      <c r="E102">
        <v>5.8799999999999998E-4</v>
      </c>
      <c r="F102">
        <v>5.8799999999999998E-4</v>
      </c>
      <c r="G102">
        <v>5.8900000000000001E-4</v>
      </c>
      <c r="H102">
        <v>5.9000000000000003E-4</v>
      </c>
      <c r="I102">
        <v>5.9100000000000005E-4</v>
      </c>
      <c r="J102">
        <v>5.9199999999999997E-4</v>
      </c>
      <c r="K102">
        <v>5.9599999999999996E-4</v>
      </c>
      <c r="L102">
        <v>6.0099999999999997E-4</v>
      </c>
      <c r="M102">
        <v>6.0800000000000003E-4</v>
      </c>
      <c r="N102">
        <v>6.1899999999999998E-4</v>
      </c>
      <c r="O102">
        <v>6.3199999999999997E-4</v>
      </c>
      <c r="P102">
        <v>6.4599999999999998E-4</v>
      </c>
      <c r="Q102">
        <v>6.6200000000000005E-4</v>
      </c>
      <c r="R102">
        <v>6.78E-4</v>
      </c>
      <c r="S102">
        <v>6.9499999999999998E-4</v>
      </c>
      <c r="T102">
        <v>7.1299999999999998E-4</v>
      </c>
      <c r="U102">
        <v>7.3300000000000004E-4</v>
      </c>
      <c r="V102">
        <v>7.54E-4</v>
      </c>
      <c r="W102">
        <v>7.76E-4</v>
      </c>
      <c r="X102">
        <v>7.9900000000000001E-4</v>
      </c>
      <c r="Y102">
        <v>8.2200000000000003E-4</v>
      </c>
      <c r="Z102">
        <v>8.4699999999999999E-4</v>
      </c>
      <c r="AA102">
        <v>8.7299999999999997E-4</v>
      </c>
      <c r="AB102">
        <v>9.0300000000000005E-4</v>
      </c>
      <c r="AC102">
        <v>9.3300000000000002E-4</v>
      </c>
      <c r="AD102">
        <v>9.6299999999999999E-4</v>
      </c>
      <c r="AE102" t="s">
        <v>507</v>
      </c>
    </row>
    <row r="103" spans="1:31" x14ac:dyDescent="0.45">
      <c r="A103" t="s">
        <v>132</v>
      </c>
      <c r="B103" t="s">
        <v>508</v>
      </c>
      <c r="C103" t="s">
        <v>509</v>
      </c>
      <c r="D103" t="s">
        <v>206</v>
      </c>
      <c r="E103">
        <v>0.27465800000000001</v>
      </c>
      <c r="F103">
        <v>0.28657500000000002</v>
      </c>
      <c r="G103">
        <v>0.30164000000000002</v>
      </c>
      <c r="H103">
        <v>0.31602799999999998</v>
      </c>
      <c r="I103">
        <v>0.32961200000000002</v>
      </c>
      <c r="J103">
        <v>0.34403499999999998</v>
      </c>
      <c r="K103">
        <v>0.35966399999999998</v>
      </c>
      <c r="L103">
        <v>0.37496000000000002</v>
      </c>
      <c r="M103">
        <v>0.39128400000000002</v>
      </c>
      <c r="N103">
        <v>0.40867900000000001</v>
      </c>
      <c r="O103">
        <v>0.42710399999999998</v>
      </c>
      <c r="P103">
        <v>0.446461</v>
      </c>
      <c r="Q103">
        <v>0.467306</v>
      </c>
      <c r="R103">
        <v>0.48915999999999998</v>
      </c>
      <c r="S103">
        <v>0.512127</v>
      </c>
      <c r="T103">
        <v>0.53596699999999997</v>
      </c>
      <c r="U103">
        <v>0.56050999999999995</v>
      </c>
      <c r="V103">
        <v>0.58584400000000003</v>
      </c>
      <c r="W103">
        <v>0.61185599999999996</v>
      </c>
      <c r="X103">
        <v>0.63892599999999999</v>
      </c>
      <c r="Y103">
        <v>0.66666700000000001</v>
      </c>
      <c r="Z103">
        <v>0.69531799999999999</v>
      </c>
      <c r="AA103">
        <v>0.72470199999999996</v>
      </c>
      <c r="AB103">
        <v>0.75541700000000001</v>
      </c>
      <c r="AC103">
        <v>0.786555</v>
      </c>
      <c r="AD103">
        <v>0.81872999999999996</v>
      </c>
      <c r="AE103" t="s">
        <v>510</v>
      </c>
    </row>
    <row r="104" spans="1:31" x14ac:dyDescent="0.45">
      <c r="A104" t="s">
        <v>231</v>
      </c>
    </row>
    <row r="105" spans="1:31" x14ac:dyDescent="0.45">
      <c r="A105" t="s">
        <v>232</v>
      </c>
      <c r="B105" t="s">
        <v>511</v>
      </c>
      <c r="C105" t="s">
        <v>512</v>
      </c>
      <c r="D105" t="s">
        <v>233</v>
      </c>
      <c r="E105">
        <v>6045</v>
      </c>
      <c r="F105">
        <v>5873</v>
      </c>
      <c r="G105">
        <v>5850</v>
      </c>
      <c r="H105">
        <v>5826</v>
      </c>
      <c r="I105">
        <v>5803</v>
      </c>
      <c r="J105">
        <v>5779</v>
      </c>
      <c r="K105">
        <v>5755</v>
      </c>
      <c r="L105">
        <v>5732</v>
      </c>
      <c r="M105">
        <v>5708</v>
      </c>
      <c r="N105">
        <v>5684</v>
      </c>
      <c r="O105">
        <v>5661</v>
      </c>
      <c r="P105">
        <v>5637</v>
      </c>
      <c r="Q105">
        <v>5613</v>
      </c>
      <c r="R105">
        <v>5589</v>
      </c>
      <c r="S105">
        <v>5566</v>
      </c>
      <c r="T105">
        <v>5542</v>
      </c>
      <c r="U105">
        <v>5518</v>
      </c>
      <c r="V105">
        <v>5495</v>
      </c>
      <c r="W105">
        <v>5471</v>
      </c>
      <c r="X105">
        <v>5447</v>
      </c>
      <c r="Y105">
        <v>5423</v>
      </c>
      <c r="Z105">
        <v>5400</v>
      </c>
      <c r="AA105">
        <v>5376</v>
      </c>
      <c r="AB105">
        <v>5352</v>
      </c>
      <c r="AC105">
        <v>5328</v>
      </c>
      <c r="AD105">
        <v>5305</v>
      </c>
      <c r="AE105" t="s">
        <v>513</v>
      </c>
    </row>
    <row r="106" spans="1:31" x14ac:dyDescent="0.45">
      <c r="A106" t="s">
        <v>234</v>
      </c>
      <c r="B106" t="s">
        <v>514</v>
      </c>
      <c r="C106" t="s">
        <v>515</v>
      </c>
      <c r="D106" t="s">
        <v>233</v>
      </c>
      <c r="E106">
        <v>5404</v>
      </c>
      <c r="F106">
        <v>5271</v>
      </c>
      <c r="G106">
        <v>5249</v>
      </c>
      <c r="H106">
        <v>5228</v>
      </c>
      <c r="I106">
        <v>5207</v>
      </c>
      <c r="J106">
        <v>5185</v>
      </c>
      <c r="K106">
        <v>5164</v>
      </c>
      <c r="L106">
        <v>5142</v>
      </c>
      <c r="M106">
        <v>5121</v>
      </c>
      <c r="N106">
        <v>5100</v>
      </c>
      <c r="O106">
        <v>5078</v>
      </c>
      <c r="P106">
        <v>5057</v>
      </c>
      <c r="Q106">
        <v>5035</v>
      </c>
      <c r="R106">
        <v>5014</v>
      </c>
      <c r="S106">
        <v>4993</v>
      </c>
      <c r="T106">
        <v>4971</v>
      </c>
      <c r="U106">
        <v>4950</v>
      </c>
      <c r="V106">
        <v>4929</v>
      </c>
      <c r="W106">
        <v>4907</v>
      </c>
      <c r="X106">
        <v>4886</v>
      </c>
      <c r="Y106">
        <v>4865</v>
      </c>
      <c r="Z106">
        <v>4843</v>
      </c>
      <c r="AA106">
        <v>4822</v>
      </c>
      <c r="AB106">
        <v>4801</v>
      </c>
      <c r="AC106">
        <v>4780</v>
      </c>
      <c r="AD106">
        <v>4758</v>
      </c>
      <c r="AE106" t="s">
        <v>513</v>
      </c>
    </row>
    <row r="107" spans="1:31" x14ac:dyDescent="0.45">
      <c r="A107" t="s">
        <v>235</v>
      </c>
      <c r="B107" t="s">
        <v>516</v>
      </c>
      <c r="C107" t="s">
        <v>517</v>
      </c>
      <c r="D107" t="s">
        <v>233</v>
      </c>
      <c r="E107">
        <v>5984</v>
      </c>
      <c r="F107">
        <v>5836</v>
      </c>
      <c r="G107">
        <v>5817</v>
      </c>
      <c r="H107">
        <v>5798</v>
      </c>
      <c r="I107">
        <v>5779</v>
      </c>
      <c r="J107">
        <v>5760</v>
      </c>
      <c r="K107">
        <v>5741</v>
      </c>
      <c r="L107">
        <v>5722</v>
      </c>
      <c r="M107">
        <v>5703</v>
      </c>
      <c r="N107">
        <v>5683</v>
      </c>
      <c r="O107">
        <v>5664</v>
      </c>
      <c r="P107">
        <v>5645</v>
      </c>
      <c r="Q107">
        <v>5626</v>
      </c>
      <c r="R107">
        <v>5607</v>
      </c>
      <c r="S107">
        <v>5588</v>
      </c>
      <c r="T107">
        <v>5569</v>
      </c>
      <c r="U107">
        <v>5549</v>
      </c>
      <c r="V107">
        <v>5530</v>
      </c>
      <c r="W107">
        <v>5511</v>
      </c>
      <c r="X107">
        <v>5492</v>
      </c>
      <c r="Y107">
        <v>5473</v>
      </c>
      <c r="Z107">
        <v>5453</v>
      </c>
      <c r="AA107">
        <v>5434</v>
      </c>
      <c r="AB107">
        <v>5415</v>
      </c>
      <c r="AC107">
        <v>5396</v>
      </c>
      <c r="AD107">
        <v>5377</v>
      </c>
      <c r="AE107" t="s">
        <v>344</v>
      </c>
    </row>
    <row r="108" spans="1:31" x14ac:dyDescent="0.45">
      <c r="A108" t="s">
        <v>236</v>
      </c>
      <c r="B108" t="s">
        <v>518</v>
      </c>
      <c r="C108" t="s">
        <v>519</v>
      </c>
      <c r="D108" t="s">
        <v>233</v>
      </c>
      <c r="E108">
        <v>6267</v>
      </c>
      <c r="F108">
        <v>6263</v>
      </c>
      <c r="G108">
        <v>6251</v>
      </c>
      <c r="H108">
        <v>6239</v>
      </c>
      <c r="I108">
        <v>6227</v>
      </c>
      <c r="J108">
        <v>6215</v>
      </c>
      <c r="K108">
        <v>6203</v>
      </c>
      <c r="L108">
        <v>6191</v>
      </c>
      <c r="M108">
        <v>6178</v>
      </c>
      <c r="N108">
        <v>6166</v>
      </c>
      <c r="O108">
        <v>6153</v>
      </c>
      <c r="P108">
        <v>6141</v>
      </c>
      <c r="Q108">
        <v>6128</v>
      </c>
      <c r="R108">
        <v>6116</v>
      </c>
      <c r="S108">
        <v>6103</v>
      </c>
      <c r="T108">
        <v>6091</v>
      </c>
      <c r="U108">
        <v>6078</v>
      </c>
      <c r="V108">
        <v>6066</v>
      </c>
      <c r="W108">
        <v>6053</v>
      </c>
      <c r="X108">
        <v>6040</v>
      </c>
      <c r="Y108">
        <v>6028</v>
      </c>
      <c r="Z108">
        <v>6015</v>
      </c>
      <c r="AA108">
        <v>6002</v>
      </c>
      <c r="AB108">
        <v>5990</v>
      </c>
      <c r="AC108">
        <v>5977</v>
      </c>
      <c r="AD108">
        <v>5964</v>
      </c>
      <c r="AE108" t="s">
        <v>408</v>
      </c>
    </row>
    <row r="109" spans="1:31" x14ac:dyDescent="0.45">
      <c r="A109" t="s">
        <v>237</v>
      </c>
      <c r="B109" t="s">
        <v>520</v>
      </c>
      <c r="C109" t="s">
        <v>521</v>
      </c>
      <c r="D109" t="s">
        <v>233</v>
      </c>
      <c r="E109">
        <v>2431</v>
      </c>
      <c r="F109">
        <v>2296</v>
      </c>
      <c r="G109">
        <v>2280</v>
      </c>
      <c r="H109">
        <v>2263</v>
      </c>
      <c r="I109">
        <v>2245</v>
      </c>
      <c r="J109">
        <v>2228</v>
      </c>
      <c r="K109">
        <v>2210</v>
      </c>
      <c r="L109">
        <v>2192</v>
      </c>
      <c r="M109">
        <v>2175</v>
      </c>
      <c r="N109">
        <v>2157</v>
      </c>
      <c r="O109">
        <v>2139</v>
      </c>
      <c r="P109">
        <v>2122</v>
      </c>
      <c r="Q109">
        <v>2104</v>
      </c>
      <c r="R109">
        <v>2087</v>
      </c>
      <c r="S109">
        <v>2069</v>
      </c>
      <c r="T109">
        <v>2052</v>
      </c>
      <c r="U109">
        <v>2034</v>
      </c>
      <c r="V109">
        <v>2017</v>
      </c>
      <c r="W109">
        <v>2000</v>
      </c>
      <c r="X109">
        <v>1982</v>
      </c>
      <c r="Y109">
        <v>1965</v>
      </c>
      <c r="Z109">
        <v>1948</v>
      </c>
      <c r="AA109">
        <v>1930</v>
      </c>
      <c r="AB109">
        <v>1913</v>
      </c>
      <c r="AC109">
        <v>1896</v>
      </c>
      <c r="AD109">
        <v>1879</v>
      </c>
      <c r="AE109" t="s">
        <v>315</v>
      </c>
    </row>
    <row r="110" spans="1:31" x14ac:dyDescent="0.45">
      <c r="A110" t="s">
        <v>238</v>
      </c>
      <c r="B110" t="s">
        <v>522</v>
      </c>
      <c r="C110" t="s">
        <v>523</v>
      </c>
      <c r="D110" t="s">
        <v>233</v>
      </c>
      <c r="E110">
        <v>3231</v>
      </c>
      <c r="F110">
        <v>3099</v>
      </c>
      <c r="G110">
        <v>3084</v>
      </c>
      <c r="H110">
        <v>3069</v>
      </c>
      <c r="I110">
        <v>3053</v>
      </c>
      <c r="J110">
        <v>3038</v>
      </c>
      <c r="K110">
        <v>3023</v>
      </c>
      <c r="L110">
        <v>3008</v>
      </c>
      <c r="M110">
        <v>2992</v>
      </c>
      <c r="N110">
        <v>2977</v>
      </c>
      <c r="O110">
        <v>2961</v>
      </c>
      <c r="P110">
        <v>2946</v>
      </c>
      <c r="Q110">
        <v>2930</v>
      </c>
      <c r="R110">
        <v>2915</v>
      </c>
      <c r="S110">
        <v>2900</v>
      </c>
      <c r="T110">
        <v>2884</v>
      </c>
      <c r="U110">
        <v>2869</v>
      </c>
      <c r="V110">
        <v>2853</v>
      </c>
      <c r="W110">
        <v>2838</v>
      </c>
      <c r="X110">
        <v>2822</v>
      </c>
      <c r="Y110">
        <v>2807</v>
      </c>
      <c r="Z110">
        <v>2791</v>
      </c>
      <c r="AA110">
        <v>2776</v>
      </c>
      <c r="AB110">
        <v>2760</v>
      </c>
      <c r="AC110">
        <v>2745</v>
      </c>
      <c r="AD110">
        <v>2730</v>
      </c>
      <c r="AE110" t="s">
        <v>390</v>
      </c>
    </row>
    <row r="111" spans="1:31" x14ac:dyDescent="0.45">
      <c r="A111" t="s">
        <v>239</v>
      </c>
      <c r="B111" t="s">
        <v>524</v>
      </c>
      <c r="C111" t="s">
        <v>525</v>
      </c>
      <c r="D111" t="s">
        <v>233</v>
      </c>
      <c r="E111">
        <v>1966</v>
      </c>
      <c r="F111">
        <v>1889</v>
      </c>
      <c r="G111">
        <v>1880</v>
      </c>
      <c r="H111">
        <v>1870</v>
      </c>
      <c r="I111">
        <v>1860</v>
      </c>
      <c r="J111">
        <v>1851</v>
      </c>
      <c r="K111">
        <v>1841</v>
      </c>
      <c r="L111">
        <v>1831</v>
      </c>
      <c r="M111">
        <v>1822</v>
      </c>
      <c r="N111">
        <v>1812</v>
      </c>
      <c r="O111">
        <v>1803</v>
      </c>
      <c r="P111">
        <v>1793</v>
      </c>
      <c r="Q111">
        <v>1784</v>
      </c>
      <c r="R111">
        <v>1774</v>
      </c>
      <c r="S111">
        <v>1765</v>
      </c>
      <c r="T111">
        <v>1756</v>
      </c>
      <c r="U111">
        <v>1746</v>
      </c>
      <c r="V111">
        <v>1737</v>
      </c>
      <c r="W111">
        <v>1728</v>
      </c>
      <c r="X111">
        <v>1718</v>
      </c>
      <c r="Y111">
        <v>1709</v>
      </c>
      <c r="Z111">
        <v>1700</v>
      </c>
      <c r="AA111">
        <v>1690</v>
      </c>
      <c r="AB111">
        <v>1681</v>
      </c>
      <c r="AC111">
        <v>1672</v>
      </c>
      <c r="AD111">
        <v>1663</v>
      </c>
      <c r="AE111" t="s">
        <v>390</v>
      </c>
    </row>
    <row r="112" spans="1:31" x14ac:dyDescent="0.45">
      <c r="A112" t="s">
        <v>240</v>
      </c>
      <c r="B112" t="s">
        <v>526</v>
      </c>
      <c r="C112" t="s">
        <v>527</v>
      </c>
      <c r="D112" t="s">
        <v>233</v>
      </c>
      <c r="E112">
        <v>4734</v>
      </c>
      <c r="F112">
        <v>4833</v>
      </c>
      <c r="G112">
        <v>4825</v>
      </c>
      <c r="H112">
        <v>4816</v>
      </c>
      <c r="I112">
        <v>4807</v>
      </c>
      <c r="J112">
        <v>4799</v>
      </c>
      <c r="K112">
        <v>4790</v>
      </c>
      <c r="L112">
        <v>4782</v>
      </c>
      <c r="M112">
        <v>4774</v>
      </c>
      <c r="N112">
        <v>4766</v>
      </c>
      <c r="O112">
        <v>4758</v>
      </c>
      <c r="P112">
        <v>4750</v>
      </c>
      <c r="Q112">
        <v>4742</v>
      </c>
      <c r="R112">
        <v>4734</v>
      </c>
      <c r="S112">
        <v>4726</v>
      </c>
      <c r="T112">
        <v>4718</v>
      </c>
      <c r="U112">
        <v>4710</v>
      </c>
      <c r="V112">
        <v>4702</v>
      </c>
      <c r="W112">
        <v>4694</v>
      </c>
      <c r="X112">
        <v>4687</v>
      </c>
      <c r="Y112">
        <v>4679</v>
      </c>
      <c r="Z112">
        <v>4671</v>
      </c>
      <c r="AA112">
        <v>4664</v>
      </c>
      <c r="AB112">
        <v>4656</v>
      </c>
      <c r="AC112">
        <v>4648</v>
      </c>
      <c r="AD112">
        <v>4641</v>
      </c>
      <c r="AE112" t="s">
        <v>379</v>
      </c>
    </row>
    <row r="113" spans="1:31" x14ac:dyDescent="0.45">
      <c r="A113" t="s">
        <v>241</v>
      </c>
      <c r="B113" t="s">
        <v>528</v>
      </c>
      <c r="C113" t="s">
        <v>529</v>
      </c>
      <c r="D113" t="s">
        <v>233</v>
      </c>
      <c r="E113">
        <v>3251</v>
      </c>
      <c r="F113">
        <v>3291</v>
      </c>
      <c r="G113">
        <v>3285</v>
      </c>
      <c r="H113">
        <v>3279</v>
      </c>
      <c r="I113">
        <v>3272</v>
      </c>
      <c r="J113">
        <v>3266</v>
      </c>
      <c r="K113">
        <v>3259</v>
      </c>
      <c r="L113">
        <v>3252</v>
      </c>
      <c r="M113">
        <v>3245</v>
      </c>
      <c r="N113">
        <v>3238</v>
      </c>
      <c r="O113">
        <v>3231</v>
      </c>
      <c r="P113">
        <v>3224</v>
      </c>
      <c r="Q113">
        <v>3216</v>
      </c>
      <c r="R113">
        <v>3209</v>
      </c>
      <c r="S113">
        <v>3202</v>
      </c>
      <c r="T113">
        <v>3195</v>
      </c>
      <c r="U113">
        <v>3187</v>
      </c>
      <c r="V113">
        <v>3180</v>
      </c>
      <c r="W113">
        <v>3173</v>
      </c>
      <c r="X113">
        <v>3165</v>
      </c>
      <c r="Y113">
        <v>3158</v>
      </c>
      <c r="Z113">
        <v>3151</v>
      </c>
      <c r="AA113">
        <v>3143</v>
      </c>
      <c r="AB113">
        <v>3136</v>
      </c>
      <c r="AC113">
        <v>3129</v>
      </c>
      <c r="AD113">
        <v>3122</v>
      </c>
      <c r="AE113" t="s">
        <v>408</v>
      </c>
    </row>
    <row r="114" spans="1:31" x14ac:dyDescent="0.45">
      <c r="A114" t="s">
        <v>242</v>
      </c>
      <c r="B114" t="s">
        <v>530</v>
      </c>
      <c r="C114" t="s">
        <v>531</v>
      </c>
      <c r="D114" t="s">
        <v>233</v>
      </c>
      <c r="E114">
        <v>3989.5722660000001</v>
      </c>
      <c r="F114">
        <v>3910.1059570000002</v>
      </c>
      <c r="G114">
        <v>3891.6015619999998</v>
      </c>
      <c r="H114">
        <v>3872.8251949999999</v>
      </c>
      <c r="I114">
        <v>3853.7155760000001</v>
      </c>
      <c r="J114">
        <v>3835.1279300000001</v>
      </c>
      <c r="K114">
        <v>3816.111328</v>
      </c>
      <c r="L114">
        <v>3797.1376949999999</v>
      </c>
      <c r="M114">
        <v>3778.5009770000001</v>
      </c>
      <c r="N114">
        <v>3759.5527339999999</v>
      </c>
      <c r="O114">
        <v>3740.7109380000002</v>
      </c>
      <c r="P114">
        <v>3722.1608890000002</v>
      </c>
      <c r="Q114">
        <v>3703.157471</v>
      </c>
      <c r="R114">
        <v>3684.6523440000001</v>
      </c>
      <c r="S114">
        <v>3666.0649410000001</v>
      </c>
      <c r="T114">
        <v>3647.5561520000001</v>
      </c>
      <c r="U114">
        <v>3628.524414</v>
      </c>
      <c r="V114">
        <v>3610.1992190000001</v>
      </c>
      <c r="W114">
        <v>3591.7321780000002</v>
      </c>
      <c r="X114">
        <v>3572.9052729999999</v>
      </c>
      <c r="Y114">
        <v>3554.6525879999999</v>
      </c>
      <c r="Z114">
        <v>3536.1577149999998</v>
      </c>
      <c r="AA114">
        <v>3517.584961</v>
      </c>
      <c r="AB114">
        <v>3499.5966800000001</v>
      </c>
      <c r="AC114">
        <v>3481.7885740000002</v>
      </c>
      <c r="AD114">
        <v>3464.116211</v>
      </c>
      <c r="AE114" t="s">
        <v>492</v>
      </c>
    </row>
    <row r="115" spans="1:31" x14ac:dyDescent="0.45">
      <c r="A115" t="s">
        <v>243</v>
      </c>
    </row>
    <row r="116" spans="1:31" x14ac:dyDescent="0.45">
      <c r="A116" t="s">
        <v>232</v>
      </c>
      <c r="B116" t="s">
        <v>532</v>
      </c>
      <c r="C116" t="s">
        <v>533</v>
      </c>
      <c r="D116" t="s">
        <v>244</v>
      </c>
      <c r="E116">
        <v>530</v>
      </c>
      <c r="F116">
        <v>626</v>
      </c>
      <c r="G116">
        <v>633</v>
      </c>
      <c r="H116">
        <v>640</v>
      </c>
      <c r="I116">
        <v>647</v>
      </c>
      <c r="J116">
        <v>654</v>
      </c>
      <c r="K116">
        <v>662</v>
      </c>
      <c r="L116">
        <v>669</v>
      </c>
      <c r="M116">
        <v>676</v>
      </c>
      <c r="N116">
        <v>683</v>
      </c>
      <c r="O116">
        <v>690</v>
      </c>
      <c r="P116">
        <v>697</v>
      </c>
      <c r="Q116">
        <v>704</v>
      </c>
      <c r="R116">
        <v>712</v>
      </c>
      <c r="S116">
        <v>719</v>
      </c>
      <c r="T116">
        <v>726</v>
      </c>
      <c r="U116">
        <v>733</v>
      </c>
      <c r="V116">
        <v>740</v>
      </c>
      <c r="W116">
        <v>747</v>
      </c>
      <c r="X116">
        <v>754</v>
      </c>
      <c r="Y116">
        <v>761</v>
      </c>
      <c r="Z116">
        <v>769</v>
      </c>
      <c r="AA116">
        <v>776</v>
      </c>
      <c r="AB116">
        <v>783</v>
      </c>
      <c r="AC116">
        <v>790</v>
      </c>
      <c r="AD116">
        <v>797</v>
      </c>
      <c r="AE116" t="s">
        <v>534</v>
      </c>
    </row>
    <row r="117" spans="1:31" x14ac:dyDescent="0.45">
      <c r="A117" t="s">
        <v>234</v>
      </c>
      <c r="B117" t="s">
        <v>535</v>
      </c>
      <c r="C117" t="s">
        <v>536</v>
      </c>
      <c r="D117" t="s">
        <v>244</v>
      </c>
      <c r="E117">
        <v>766</v>
      </c>
      <c r="F117">
        <v>858</v>
      </c>
      <c r="G117">
        <v>866</v>
      </c>
      <c r="H117">
        <v>874</v>
      </c>
      <c r="I117">
        <v>883</v>
      </c>
      <c r="J117">
        <v>891</v>
      </c>
      <c r="K117">
        <v>899</v>
      </c>
      <c r="L117">
        <v>907</v>
      </c>
      <c r="M117">
        <v>915</v>
      </c>
      <c r="N117">
        <v>923</v>
      </c>
      <c r="O117">
        <v>932</v>
      </c>
      <c r="P117">
        <v>940</v>
      </c>
      <c r="Q117">
        <v>948</v>
      </c>
      <c r="R117">
        <v>956</v>
      </c>
      <c r="S117">
        <v>964</v>
      </c>
      <c r="T117">
        <v>973</v>
      </c>
      <c r="U117">
        <v>981</v>
      </c>
      <c r="V117">
        <v>989</v>
      </c>
      <c r="W117">
        <v>997</v>
      </c>
      <c r="X117">
        <v>1005</v>
      </c>
      <c r="Y117">
        <v>1014</v>
      </c>
      <c r="Z117">
        <v>1022</v>
      </c>
      <c r="AA117">
        <v>1030</v>
      </c>
      <c r="AB117">
        <v>1038</v>
      </c>
      <c r="AC117">
        <v>1046</v>
      </c>
      <c r="AD117">
        <v>1055</v>
      </c>
      <c r="AE117" t="s">
        <v>385</v>
      </c>
    </row>
    <row r="118" spans="1:31" x14ac:dyDescent="0.45">
      <c r="A118" t="s">
        <v>235</v>
      </c>
      <c r="B118" t="s">
        <v>537</v>
      </c>
      <c r="C118" t="s">
        <v>538</v>
      </c>
      <c r="D118" t="s">
        <v>244</v>
      </c>
      <c r="E118">
        <v>873</v>
      </c>
      <c r="F118">
        <v>857</v>
      </c>
      <c r="G118">
        <v>862</v>
      </c>
      <c r="H118">
        <v>867</v>
      </c>
      <c r="I118">
        <v>871</v>
      </c>
      <c r="J118">
        <v>876</v>
      </c>
      <c r="K118">
        <v>881</v>
      </c>
      <c r="L118">
        <v>886</v>
      </c>
      <c r="M118">
        <v>890</v>
      </c>
      <c r="N118">
        <v>895</v>
      </c>
      <c r="O118">
        <v>900</v>
      </c>
      <c r="P118">
        <v>905</v>
      </c>
      <c r="Q118">
        <v>909</v>
      </c>
      <c r="R118">
        <v>914</v>
      </c>
      <c r="S118">
        <v>919</v>
      </c>
      <c r="T118">
        <v>924</v>
      </c>
      <c r="U118">
        <v>928</v>
      </c>
      <c r="V118">
        <v>933</v>
      </c>
      <c r="W118">
        <v>938</v>
      </c>
      <c r="X118">
        <v>943</v>
      </c>
      <c r="Y118">
        <v>948</v>
      </c>
      <c r="Z118">
        <v>952</v>
      </c>
      <c r="AA118">
        <v>957</v>
      </c>
      <c r="AB118">
        <v>962</v>
      </c>
      <c r="AC118">
        <v>967</v>
      </c>
      <c r="AD118">
        <v>972</v>
      </c>
      <c r="AE118" t="s">
        <v>539</v>
      </c>
    </row>
    <row r="119" spans="1:31" x14ac:dyDescent="0.45">
      <c r="A119" t="s">
        <v>236</v>
      </c>
      <c r="B119" t="s">
        <v>540</v>
      </c>
      <c r="C119" t="s">
        <v>541</v>
      </c>
      <c r="D119" t="s">
        <v>244</v>
      </c>
      <c r="E119">
        <v>1052</v>
      </c>
      <c r="F119">
        <v>1048</v>
      </c>
      <c r="G119">
        <v>1053</v>
      </c>
      <c r="H119">
        <v>1057</v>
      </c>
      <c r="I119">
        <v>1062</v>
      </c>
      <c r="J119">
        <v>1067</v>
      </c>
      <c r="K119">
        <v>1071</v>
      </c>
      <c r="L119">
        <v>1076</v>
      </c>
      <c r="M119">
        <v>1081</v>
      </c>
      <c r="N119">
        <v>1086</v>
      </c>
      <c r="O119">
        <v>1090</v>
      </c>
      <c r="P119">
        <v>1095</v>
      </c>
      <c r="Q119">
        <v>1100</v>
      </c>
      <c r="R119">
        <v>1105</v>
      </c>
      <c r="S119">
        <v>1109</v>
      </c>
      <c r="T119">
        <v>1114</v>
      </c>
      <c r="U119">
        <v>1119</v>
      </c>
      <c r="V119">
        <v>1124</v>
      </c>
      <c r="W119">
        <v>1129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1158</v>
      </c>
      <c r="AD119">
        <v>1162</v>
      </c>
      <c r="AE119" t="s">
        <v>539</v>
      </c>
    </row>
    <row r="120" spans="1:31" x14ac:dyDescent="0.45">
      <c r="A120" t="s">
        <v>237</v>
      </c>
      <c r="B120" t="s">
        <v>542</v>
      </c>
      <c r="C120" t="s">
        <v>543</v>
      </c>
      <c r="D120" t="s">
        <v>244</v>
      </c>
      <c r="E120">
        <v>2319</v>
      </c>
      <c r="F120">
        <v>2427</v>
      </c>
      <c r="G120">
        <v>2442</v>
      </c>
      <c r="H120">
        <v>2458</v>
      </c>
      <c r="I120">
        <v>2473</v>
      </c>
      <c r="J120">
        <v>2489</v>
      </c>
      <c r="K120">
        <v>2505</v>
      </c>
      <c r="L120">
        <v>2522</v>
      </c>
      <c r="M120">
        <v>2538</v>
      </c>
      <c r="N120">
        <v>2554</v>
      </c>
      <c r="O120">
        <v>2570</v>
      </c>
      <c r="P120">
        <v>2586</v>
      </c>
      <c r="Q120">
        <v>2603</v>
      </c>
      <c r="R120">
        <v>2619</v>
      </c>
      <c r="S120">
        <v>2635</v>
      </c>
      <c r="T120">
        <v>2652</v>
      </c>
      <c r="U120">
        <v>2668</v>
      </c>
      <c r="V120">
        <v>2684</v>
      </c>
      <c r="W120">
        <v>2701</v>
      </c>
      <c r="X120">
        <v>2717</v>
      </c>
      <c r="Y120">
        <v>2734</v>
      </c>
      <c r="Z120">
        <v>2750</v>
      </c>
      <c r="AA120">
        <v>2767</v>
      </c>
      <c r="AB120">
        <v>2783</v>
      </c>
      <c r="AC120">
        <v>2800</v>
      </c>
      <c r="AD120">
        <v>2816</v>
      </c>
      <c r="AE120" t="s">
        <v>301</v>
      </c>
    </row>
    <row r="121" spans="1:31" x14ac:dyDescent="0.45">
      <c r="A121" t="s">
        <v>238</v>
      </c>
      <c r="B121" t="s">
        <v>544</v>
      </c>
      <c r="C121" t="s">
        <v>545</v>
      </c>
      <c r="D121" t="s">
        <v>244</v>
      </c>
      <c r="E121">
        <v>1790</v>
      </c>
      <c r="F121">
        <v>1783</v>
      </c>
      <c r="G121">
        <v>1790</v>
      </c>
      <c r="H121">
        <v>1797</v>
      </c>
      <c r="I121">
        <v>1804</v>
      </c>
      <c r="J121">
        <v>1811</v>
      </c>
      <c r="K121">
        <v>1819</v>
      </c>
      <c r="L121">
        <v>1826</v>
      </c>
      <c r="M121">
        <v>1833</v>
      </c>
      <c r="N121">
        <v>1840</v>
      </c>
      <c r="O121">
        <v>1847</v>
      </c>
      <c r="P121">
        <v>1854</v>
      </c>
      <c r="Q121">
        <v>1862</v>
      </c>
      <c r="R121">
        <v>1869</v>
      </c>
      <c r="S121">
        <v>1876</v>
      </c>
      <c r="T121">
        <v>1883</v>
      </c>
      <c r="U121">
        <v>1890</v>
      </c>
      <c r="V121">
        <v>1898</v>
      </c>
      <c r="W121">
        <v>1905</v>
      </c>
      <c r="X121">
        <v>1912</v>
      </c>
      <c r="Y121">
        <v>1919</v>
      </c>
      <c r="Z121">
        <v>1926</v>
      </c>
      <c r="AA121">
        <v>1934</v>
      </c>
      <c r="AB121">
        <v>1941</v>
      </c>
      <c r="AC121">
        <v>1948</v>
      </c>
      <c r="AD121">
        <v>1955</v>
      </c>
      <c r="AE121" t="s">
        <v>539</v>
      </c>
    </row>
    <row r="122" spans="1:31" x14ac:dyDescent="0.45">
      <c r="A122" t="s">
        <v>239</v>
      </c>
      <c r="B122" t="s">
        <v>546</v>
      </c>
      <c r="C122" t="s">
        <v>547</v>
      </c>
      <c r="D122" t="s">
        <v>244</v>
      </c>
      <c r="E122">
        <v>2916</v>
      </c>
      <c r="F122">
        <v>2946</v>
      </c>
      <c r="G122">
        <v>2961</v>
      </c>
      <c r="H122">
        <v>2976</v>
      </c>
      <c r="I122">
        <v>2990</v>
      </c>
      <c r="J122">
        <v>3005</v>
      </c>
      <c r="K122">
        <v>3020</v>
      </c>
      <c r="L122">
        <v>3035</v>
      </c>
      <c r="M122">
        <v>3049</v>
      </c>
      <c r="N122">
        <v>3064</v>
      </c>
      <c r="O122">
        <v>3079</v>
      </c>
      <c r="P122">
        <v>3093</v>
      </c>
      <c r="Q122">
        <v>3108</v>
      </c>
      <c r="R122">
        <v>3123</v>
      </c>
      <c r="S122">
        <v>3138</v>
      </c>
      <c r="T122">
        <v>3152</v>
      </c>
      <c r="U122">
        <v>3167</v>
      </c>
      <c r="V122">
        <v>3182</v>
      </c>
      <c r="W122">
        <v>3197</v>
      </c>
      <c r="X122">
        <v>3211</v>
      </c>
      <c r="Y122">
        <v>3226</v>
      </c>
      <c r="Z122">
        <v>3241</v>
      </c>
      <c r="AA122">
        <v>3255</v>
      </c>
      <c r="AB122">
        <v>3270</v>
      </c>
      <c r="AC122">
        <v>3285</v>
      </c>
      <c r="AD122">
        <v>3299</v>
      </c>
      <c r="AE122" t="s">
        <v>364</v>
      </c>
    </row>
    <row r="123" spans="1:31" x14ac:dyDescent="0.45">
      <c r="A123" t="s">
        <v>240</v>
      </c>
      <c r="B123" t="s">
        <v>548</v>
      </c>
      <c r="C123" t="s">
        <v>549</v>
      </c>
      <c r="D123" t="s">
        <v>244</v>
      </c>
      <c r="E123">
        <v>1515</v>
      </c>
      <c r="F123">
        <v>1608</v>
      </c>
      <c r="G123">
        <v>1617</v>
      </c>
      <c r="H123">
        <v>1627</v>
      </c>
      <c r="I123">
        <v>1636</v>
      </c>
      <c r="J123">
        <v>1645</v>
      </c>
      <c r="K123">
        <v>1655</v>
      </c>
      <c r="L123">
        <v>1664</v>
      </c>
      <c r="M123">
        <v>1673</v>
      </c>
      <c r="N123">
        <v>1682</v>
      </c>
      <c r="O123">
        <v>1691</v>
      </c>
      <c r="P123">
        <v>1701</v>
      </c>
      <c r="Q123">
        <v>1710</v>
      </c>
      <c r="R123">
        <v>1719</v>
      </c>
      <c r="S123">
        <v>1728</v>
      </c>
      <c r="T123">
        <v>1737</v>
      </c>
      <c r="U123">
        <v>1746</v>
      </c>
      <c r="V123">
        <v>1755</v>
      </c>
      <c r="W123">
        <v>1764</v>
      </c>
      <c r="X123">
        <v>1773</v>
      </c>
      <c r="Y123">
        <v>1782</v>
      </c>
      <c r="Z123">
        <v>1791</v>
      </c>
      <c r="AA123">
        <v>1800</v>
      </c>
      <c r="AB123">
        <v>1809</v>
      </c>
      <c r="AC123">
        <v>1818</v>
      </c>
      <c r="AD123">
        <v>1827</v>
      </c>
      <c r="AE123" t="s">
        <v>301</v>
      </c>
    </row>
    <row r="124" spans="1:31" x14ac:dyDescent="0.45">
      <c r="A124" t="s">
        <v>241</v>
      </c>
      <c r="B124" t="s">
        <v>550</v>
      </c>
      <c r="C124" t="s">
        <v>551</v>
      </c>
      <c r="D124" t="s">
        <v>244</v>
      </c>
      <c r="E124">
        <v>887</v>
      </c>
      <c r="F124">
        <v>1040</v>
      </c>
      <c r="G124">
        <v>1049</v>
      </c>
      <c r="H124">
        <v>1058</v>
      </c>
      <c r="I124">
        <v>1067</v>
      </c>
      <c r="J124">
        <v>1076</v>
      </c>
      <c r="K124">
        <v>1085</v>
      </c>
      <c r="L124">
        <v>1094</v>
      </c>
      <c r="M124">
        <v>1103</v>
      </c>
      <c r="N124">
        <v>1112</v>
      </c>
      <c r="O124">
        <v>1121</v>
      </c>
      <c r="P124">
        <v>1131</v>
      </c>
      <c r="Q124">
        <v>1140</v>
      </c>
      <c r="R124">
        <v>1149</v>
      </c>
      <c r="S124">
        <v>1158</v>
      </c>
      <c r="T124">
        <v>1167</v>
      </c>
      <c r="U124">
        <v>1177</v>
      </c>
      <c r="V124">
        <v>1186</v>
      </c>
      <c r="W124">
        <v>1195</v>
      </c>
      <c r="X124">
        <v>1204</v>
      </c>
      <c r="Y124">
        <v>1213</v>
      </c>
      <c r="Z124">
        <v>1223</v>
      </c>
      <c r="AA124">
        <v>1232</v>
      </c>
      <c r="AB124">
        <v>1241</v>
      </c>
      <c r="AC124">
        <v>1250</v>
      </c>
      <c r="AD124">
        <v>1259</v>
      </c>
      <c r="AE124" t="s">
        <v>330</v>
      </c>
    </row>
    <row r="125" spans="1:31" x14ac:dyDescent="0.45">
      <c r="A125" t="s">
        <v>242</v>
      </c>
      <c r="B125" t="s">
        <v>552</v>
      </c>
      <c r="C125" t="s">
        <v>553</v>
      </c>
      <c r="D125" t="s">
        <v>244</v>
      </c>
      <c r="E125">
        <v>1516.4235839999999</v>
      </c>
      <c r="F125">
        <v>1589.852905</v>
      </c>
      <c r="G125">
        <v>1602.154053</v>
      </c>
      <c r="H125">
        <v>1614.6899410000001</v>
      </c>
      <c r="I125">
        <v>1626.874268</v>
      </c>
      <c r="J125">
        <v>1639.4291989999999</v>
      </c>
      <c r="K125">
        <v>1652.126587</v>
      </c>
      <c r="L125">
        <v>1664.940918</v>
      </c>
      <c r="M125">
        <v>1677.306885</v>
      </c>
      <c r="N125">
        <v>1689.963013</v>
      </c>
      <c r="O125">
        <v>1702.6976320000001</v>
      </c>
      <c r="P125">
        <v>1715.525879</v>
      </c>
      <c r="Q125">
        <v>1728.3977050000001</v>
      </c>
      <c r="R125">
        <v>1741.1990969999999</v>
      </c>
      <c r="S125">
        <v>1753.922607</v>
      </c>
      <c r="T125">
        <v>1766.9213870000001</v>
      </c>
      <c r="U125">
        <v>1779.796143</v>
      </c>
      <c r="V125">
        <v>1792.7116699999999</v>
      </c>
      <c r="W125">
        <v>1805.8120120000001</v>
      </c>
      <c r="X125">
        <v>1818.5227050000001</v>
      </c>
      <c r="Y125">
        <v>1831.7783199999999</v>
      </c>
      <c r="Z125">
        <v>1844.803101</v>
      </c>
      <c r="AA125">
        <v>1857.8740230000001</v>
      </c>
      <c r="AB125">
        <v>1870.7852780000001</v>
      </c>
      <c r="AC125">
        <v>1883.8203120000001</v>
      </c>
      <c r="AD125">
        <v>1896.4698490000001</v>
      </c>
      <c r="AE125" t="s">
        <v>304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79"/>
  <sheetViews>
    <sheetView workbookViewId="0">
      <selection activeCell="K45" sqref="K45"/>
    </sheetView>
  </sheetViews>
  <sheetFormatPr defaultRowHeight="14.25" x14ac:dyDescent="0.45"/>
  <cols>
    <col min="1" max="1" width="23.3984375" customWidth="1"/>
    <col min="2" max="2" width="12" bestFit="1" customWidth="1"/>
  </cols>
  <sheetData>
    <row r="1" spans="1:33" x14ac:dyDescent="0.45">
      <c r="A1" s="5" t="s">
        <v>261</v>
      </c>
      <c r="B1" s="5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</row>
    <row r="2" spans="1:33" x14ac:dyDescent="0.45">
      <c r="A2" s="54" t="s">
        <v>262</v>
      </c>
      <c r="B2" s="54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</row>
    <row r="3" spans="1:33" x14ac:dyDescent="0.45">
      <c r="A3" s="6" t="s">
        <v>263</v>
      </c>
      <c r="B3">
        <v>2020</v>
      </c>
      <c r="C3">
        <v>2021</v>
      </c>
      <c r="D3">
        <v>2022</v>
      </c>
      <c r="E3">
        <v>2023</v>
      </c>
      <c r="F3">
        <v>2024</v>
      </c>
      <c r="G3">
        <v>2025</v>
      </c>
      <c r="H3">
        <v>2026</v>
      </c>
      <c r="I3">
        <v>2027</v>
      </c>
      <c r="J3">
        <v>2028</v>
      </c>
      <c r="K3">
        <v>2029</v>
      </c>
      <c r="L3">
        <v>2030</v>
      </c>
      <c r="M3">
        <v>2031</v>
      </c>
      <c r="N3">
        <v>2032</v>
      </c>
      <c r="O3">
        <v>2033</v>
      </c>
      <c r="P3">
        <v>2034</v>
      </c>
      <c r="Q3">
        <v>2035</v>
      </c>
      <c r="R3">
        <v>2036</v>
      </c>
      <c r="S3">
        <v>2037</v>
      </c>
      <c r="T3">
        <v>2038</v>
      </c>
      <c r="U3">
        <v>2039</v>
      </c>
      <c r="V3">
        <v>2040</v>
      </c>
      <c r="W3">
        <v>2041</v>
      </c>
      <c r="X3">
        <v>2042</v>
      </c>
      <c r="Y3">
        <v>2043</v>
      </c>
      <c r="Z3">
        <v>2044</v>
      </c>
      <c r="AA3">
        <v>2045</v>
      </c>
      <c r="AB3">
        <v>2046</v>
      </c>
      <c r="AC3">
        <v>2047</v>
      </c>
      <c r="AD3">
        <v>2048</v>
      </c>
      <c r="AE3">
        <v>2049</v>
      </c>
      <c r="AF3">
        <v>2050</v>
      </c>
    </row>
    <row r="4" spans="1:33" x14ac:dyDescent="0.45">
      <c r="A4" t="s">
        <v>264</v>
      </c>
      <c r="B4" s="38"/>
      <c r="C4" s="122"/>
      <c r="D4" s="122"/>
      <c r="E4" s="122"/>
      <c r="F4" s="145"/>
      <c r="G4" s="145">
        <f>'AEO 2026 Table 4'!E41/SUM('AEO 2026 Table 21'!E10:E11)*10^15/10^6</f>
        <v>46516932.371409513</v>
      </c>
      <c r="H4" s="145">
        <f>'AEO 2026 Table 4'!F41/SUM('AEO 2026 Table 21'!F10:F11)*10^15/10^6</f>
        <v>43314905.220979154</v>
      </c>
      <c r="I4" s="145">
        <f>'AEO 2026 Table 4'!G41/SUM('AEO 2026 Table 21'!G10:G11)*10^15/10^6</f>
        <v>44643472.104525574</v>
      </c>
      <c r="J4" s="145">
        <f>'AEO 2026 Table 4'!H41/SUM('AEO 2026 Table 21'!H10:H11)*10^15/10^6</f>
        <v>43979838.459862545</v>
      </c>
      <c r="K4" s="145">
        <f>'AEO 2026 Table 4'!I41/SUM('AEO 2026 Table 21'!I10:I11)*10^15/10^6</f>
        <v>43074959.295648418</v>
      </c>
      <c r="L4" s="145">
        <f>'AEO 2026 Table 4'!J41/SUM('AEO 2026 Table 21'!J10:J11)*10^15/10^6</f>
        <v>42071774.91649735</v>
      </c>
      <c r="M4" s="145">
        <f>'AEO 2026 Table 4'!K41/SUM('AEO 2026 Table 21'!K10:K11)*10^15/10^6</f>
        <v>41049438.079035915</v>
      </c>
      <c r="N4" s="145">
        <f>'AEO 2026 Table 4'!L41/SUM('AEO 2026 Table 21'!L10:L11)*10^15/10^6</f>
        <v>40090418.320942037</v>
      </c>
      <c r="O4" s="145">
        <f>'AEO 2026 Table 4'!M41/SUM('AEO 2026 Table 21'!M10:M11)*10^15/10^6</f>
        <v>39159886.187310688</v>
      </c>
      <c r="P4" s="145">
        <f>'AEO 2026 Table 4'!N41/SUM('AEO 2026 Table 21'!N10:N11)*10^15/10^6</f>
        <v>38289947.6792228</v>
      </c>
      <c r="Q4" s="145">
        <f>'AEO 2026 Table 4'!O41/SUM('AEO 2026 Table 21'!O10:O11)*10^15/10^6</f>
        <v>37455732.355214819</v>
      </c>
      <c r="R4" s="145">
        <f>'AEO 2026 Table 4'!P41/SUM('AEO 2026 Table 21'!P10:P11)*10^15/10^6</f>
        <v>36675594.415023826</v>
      </c>
      <c r="S4" s="145">
        <f>'AEO 2026 Table 4'!Q41/SUM('AEO 2026 Table 21'!Q10:Q11)*10^15/10^6</f>
        <v>35910034.686968863</v>
      </c>
      <c r="T4" s="145">
        <f>'AEO 2026 Table 4'!R41/SUM('AEO 2026 Table 21'!R10:R11)*10^15/10^6</f>
        <v>35189507.47612644</v>
      </c>
      <c r="U4" s="145">
        <f>'AEO 2026 Table 4'!S41/SUM('AEO 2026 Table 21'!S10:S11)*10^15/10^6</f>
        <v>34498927.730389751</v>
      </c>
      <c r="V4" s="145">
        <f>'AEO 2026 Table 4'!T41/SUM('AEO 2026 Table 21'!T10:T11)*10^15/10^6</f>
        <v>33842555.631308705</v>
      </c>
      <c r="W4" s="145">
        <f>'AEO 2026 Table 4'!U41/SUM('AEO 2026 Table 21'!U10:U11)*10^15/10^6</f>
        <v>33209509.383119356</v>
      </c>
      <c r="X4" s="145">
        <f>'AEO 2026 Table 4'!V41/SUM('AEO 2026 Table 21'!V10:V11)*10^15/10^6</f>
        <v>32638919.02409457</v>
      </c>
      <c r="Y4" s="145">
        <f>'AEO 2026 Table 4'!W41/SUM('AEO 2026 Table 21'!W10:W11)*10^15/10^6</f>
        <v>32105256.172750417</v>
      </c>
      <c r="Z4" s="145">
        <f>'AEO 2026 Table 4'!X41/SUM('AEO 2026 Table 21'!X10:X11)*10^15/10^6</f>
        <v>31604565.668292064</v>
      </c>
      <c r="AA4" s="145">
        <f>'AEO 2026 Table 4'!Y41/SUM('AEO 2026 Table 21'!Y10:Y11)*10^15/10^6</f>
        <v>31126727.442570921</v>
      </c>
      <c r="AB4" s="145">
        <f>'AEO 2026 Table 4'!Z41/SUM('AEO 2026 Table 21'!Z10:Z11)*10^15/10^6</f>
        <v>30641474.892597426</v>
      </c>
      <c r="AC4" s="145">
        <f>'AEO 2026 Table 4'!AA41/SUM('AEO 2026 Table 21'!AA10:AA11)*10^15/10^6</f>
        <v>30145724.355196752</v>
      </c>
      <c r="AD4" s="145">
        <f>'AEO 2026 Table 4'!AB41/SUM('AEO 2026 Table 21'!AB10:AB11)*10^15/10^6</f>
        <v>29659502.442191534</v>
      </c>
      <c r="AE4" s="145">
        <f>'AEO 2026 Table 4'!AC41/SUM('AEO 2026 Table 21'!AC10:AC11)*10^15/10^6</f>
        <v>29183826.578684084</v>
      </c>
      <c r="AF4" s="145">
        <f>'AEO 2026 Table 4'!AD41/SUM('AEO 2026 Table 21'!AD10:AD11)*10^15/10^6</f>
        <v>28723332.958095215</v>
      </c>
    </row>
    <row r="5" spans="1:33" x14ac:dyDescent="0.45">
      <c r="A5" t="s">
        <v>265</v>
      </c>
      <c r="B5" s="38"/>
      <c r="C5" s="122"/>
      <c r="D5" s="122"/>
      <c r="E5" s="122"/>
      <c r="F5" s="145"/>
      <c r="G5" s="145">
        <f>'AEO 2026 Table 4'!E49/'AEO 2026 Table 21'!E12*10^15/10^6</f>
        <v>91012044.918914229</v>
      </c>
      <c r="H5" s="145">
        <f>'AEO 2026 Table 4'!F49/'AEO 2026 Table 21'!F12*10^15/10^6</f>
        <v>88137940.839415103</v>
      </c>
      <c r="I5" s="145">
        <f>'AEO 2026 Table 4'!G49/'AEO 2026 Table 21'!G12*10^15/10^6</f>
        <v>87808767.601914272</v>
      </c>
      <c r="J5" s="145">
        <f>'AEO 2026 Table 4'!H49/'AEO 2026 Table 21'!H12*10^15/10^6</f>
        <v>87028688.981143847</v>
      </c>
      <c r="K5" s="145">
        <f>'AEO 2026 Table 4'!I49/'AEO 2026 Table 21'!I12*10^15/10^6</f>
        <v>86129870.038464114</v>
      </c>
      <c r="L5" s="145">
        <f>'AEO 2026 Table 4'!J49/'AEO 2026 Table 21'!J12*10^15/10^6</f>
        <v>85355031.780751884</v>
      </c>
      <c r="M5" s="145">
        <f>'AEO 2026 Table 4'!K49/'AEO 2026 Table 21'!K12*10^15/10^6</f>
        <v>84554459.950035393</v>
      </c>
      <c r="N5" s="145">
        <f>'AEO 2026 Table 4'!L49/'AEO 2026 Table 21'!L12*10^15/10^6</f>
        <v>83788599.588127375</v>
      </c>
      <c r="O5" s="145">
        <f>'AEO 2026 Table 4'!M49/'AEO 2026 Table 21'!M12*10^15/10^6</f>
        <v>83007066.527692527</v>
      </c>
      <c r="P5" s="145">
        <f>'AEO 2026 Table 4'!N49/'AEO 2026 Table 21'!N12*10^15/10^6</f>
        <v>82288404.283453017</v>
      </c>
      <c r="Q5" s="145">
        <f>'AEO 2026 Table 4'!O49/'AEO 2026 Table 21'!O12*10^15/10^6</f>
        <v>81551413.703001603</v>
      </c>
      <c r="R5" s="145">
        <f>'AEO 2026 Table 4'!P49/'AEO 2026 Table 21'!P12*10^15/10^6</f>
        <v>80836324.131955341</v>
      </c>
      <c r="S5" s="145">
        <f>'AEO 2026 Table 4'!Q49/'AEO 2026 Table 21'!Q12*10^15/10^6</f>
        <v>80124951.985571519</v>
      </c>
      <c r="T5" s="145">
        <f>'AEO 2026 Table 4'!R49/'AEO 2026 Table 21'!R12*10^15/10^6</f>
        <v>79435439.439735442</v>
      </c>
      <c r="U5" s="145">
        <f>'AEO 2026 Table 4'!S49/'AEO 2026 Table 21'!S12*10^15/10^6</f>
        <v>78766884.033742249</v>
      </c>
      <c r="V5" s="145">
        <f>'AEO 2026 Table 4'!T49/'AEO 2026 Table 21'!T12*10^15/10^6</f>
        <v>78094635.173581734</v>
      </c>
      <c r="W5" s="145">
        <f>'AEO 2026 Table 4'!U49/'AEO 2026 Table 21'!U12*10^15/10^6</f>
        <v>77419280.239808381</v>
      </c>
      <c r="X5" s="145">
        <f>'AEO 2026 Table 4'!V49/'AEO 2026 Table 21'!V12*10^15/10^6</f>
        <v>76768631.884335622</v>
      </c>
      <c r="Y5" s="145">
        <f>'AEO 2026 Table 4'!W49/'AEO 2026 Table 21'!W12*10^15/10^6</f>
        <v>76114083.227789372</v>
      </c>
      <c r="Z5" s="145">
        <f>'AEO 2026 Table 4'!X49/'AEO 2026 Table 21'!X12*10^15/10^6</f>
        <v>75473680.02951692</v>
      </c>
      <c r="AA5" s="145">
        <f>'AEO 2026 Table 4'!Y49/'AEO 2026 Table 21'!Y12*10^15/10^6</f>
        <v>74827411.107738674</v>
      </c>
      <c r="AB5" s="145">
        <f>'AEO 2026 Table 4'!Z49/'AEO 2026 Table 21'!Z12*10^15/10^6</f>
        <v>74187341.366462097</v>
      </c>
      <c r="AC5" s="145">
        <f>'AEO 2026 Table 4'!AA49/'AEO 2026 Table 21'!AA12*10^15/10^6</f>
        <v>73554024.334901616</v>
      </c>
      <c r="AD5" s="145">
        <f>'AEO 2026 Table 4'!AB49/'AEO 2026 Table 21'!AB12*10^15/10^6</f>
        <v>72935017.084231138</v>
      </c>
      <c r="AE5" s="145">
        <f>'AEO 2026 Table 4'!AC49/'AEO 2026 Table 21'!AC12*10^15/10^6</f>
        <v>72327410.371163696</v>
      </c>
      <c r="AF5" s="145">
        <f>'AEO 2026 Table 4'!AD49/'AEO 2026 Table 21'!AD12*10^15/10^6</f>
        <v>71754313.255027175</v>
      </c>
    </row>
    <row r="6" spans="1:33" x14ac:dyDescent="0.45">
      <c r="A6" t="s">
        <v>266</v>
      </c>
      <c r="B6" s="38"/>
      <c r="C6" s="122"/>
      <c r="D6" s="122"/>
      <c r="E6" s="122"/>
      <c r="F6" s="145"/>
      <c r="G6" s="145">
        <f>'AEO 2026 Table 4'!E59/'AEO 2026 Table 21'!E14*10^15/10^6</f>
        <v>168116956.27946055</v>
      </c>
      <c r="H6" s="145">
        <f>'AEO 2026 Table 4'!F59/'AEO 2026 Table 21'!F14*10^15/10^6</f>
        <v>155413955.57956684</v>
      </c>
      <c r="I6" s="145">
        <f>'AEO 2026 Table 4'!G59/'AEO 2026 Table 21'!G14*10^15/10^6</f>
        <v>151942472.40914479</v>
      </c>
      <c r="J6" s="145">
        <f>'AEO 2026 Table 4'!H59/'AEO 2026 Table 21'!H14*10^15/10^6</f>
        <v>150364624.16902331</v>
      </c>
      <c r="K6" s="145">
        <f>'AEO 2026 Table 4'!I59/'AEO 2026 Table 21'!I14*10^15/10^6</f>
        <v>149507080.3092548</v>
      </c>
      <c r="L6" s="145">
        <f>'AEO 2026 Table 4'!J59/'AEO 2026 Table 21'!J14*10^15/10^6</f>
        <v>147337716.67445177</v>
      </c>
      <c r="M6" s="145">
        <f>'AEO 2026 Table 4'!K59/'AEO 2026 Table 21'!K14*10^15/10^6</f>
        <v>145664775.21250924</v>
      </c>
      <c r="N6" s="145">
        <f>'AEO 2026 Table 4'!L59/'AEO 2026 Table 21'!L14*10^15/10^6</f>
        <v>144233875.62939507</v>
      </c>
      <c r="O6" s="145">
        <f>'AEO 2026 Table 4'!M59/'AEO 2026 Table 21'!M14*10^15/10^6</f>
        <v>143240874.46847674</v>
      </c>
      <c r="P6" s="145">
        <f>'AEO 2026 Table 4'!N59/'AEO 2026 Table 21'!N14*10^15/10^6</f>
        <v>141859287.97307885</v>
      </c>
      <c r="Q6" s="145">
        <f>'AEO 2026 Table 4'!O59/'AEO 2026 Table 21'!O14*10^15/10^6</f>
        <v>140671895.28895029</v>
      </c>
      <c r="R6" s="145">
        <f>'AEO 2026 Table 4'!P59/'AEO 2026 Table 21'!P14*10^15/10^6</f>
        <v>139254987.11003298</v>
      </c>
      <c r="S6" s="145">
        <f>'AEO 2026 Table 4'!Q59/'AEO 2026 Table 21'!Q14*10^15/10^6</f>
        <v>137834953.53929925</v>
      </c>
      <c r="T6" s="145">
        <f>'AEO 2026 Table 4'!R59/'AEO 2026 Table 21'!R14*10^15/10^6</f>
        <v>136450240.94541508</v>
      </c>
      <c r="U6" s="145">
        <f>'AEO 2026 Table 4'!S59/'AEO 2026 Table 21'!S14*10^15/10^6</f>
        <v>134937388.42630595</v>
      </c>
      <c r="V6" s="145">
        <f>'AEO 2026 Table 4'!T59/'AEO 2026 Table 21'!T14*10^15/10^6</f>
        <v>133357806.25479302</v>
      </c>
      <c r="W6" s="145">
        <f>'AEO 2026 Table 4'!U59/'AEO 2026 Table 21'!U14*10^15/10^6</f>
        <v>131860847.35607915</v>
      </c>
      <c r="X6" s="145">
        <f>'AEO 2026 Table 4'!V59/'AEO 2026 Table 21'!V14*10^15/10^6</f>
        <v>130495881.33812639</v>
      </c>
      <c r="Y6" s="145">
        <f>'AEO 2026 Table 4'!W59/'AEO 2026 Table 21'!W14*10^15/10^6</f>
        <v>129153836.13292275</v>
      </c>
      <c r="Z6" s="145">
        <f>'AEO 2026 Table 4'!X59/'AEO 2026 Table 21'!X14*10^15/10^6</f>
        <v>127856168.31995332</v>
      </c>
      <c r="AA6" s="145">
        <f>'AEO 2026 Table 4'!Y59/'AEO 2026 Table 21'!Y14*10^15/10^6</f>
        <v>126728746.06544873</v>
      </c>
      <c r="AB6" s="145">
        <f>'AEO 2026 Table 4'!Z59/'AEO 2026 Table 21'!Z14*10^15/10^6</f>
        <v>125618568.35242751</v>
      </c>
      <c r="AC6" s="145">
        <f>'AEO 2026 Table 4'!AA59/'AEO 2026 Table 21'!AA14*10^15/10^6</f>
        <v>124620413.061177</v>
      </c>
      <c r="AD6" s="145">
        <f>'AEO 2026 Table 4'!AB59/'AEO 2026 Table 21'!AB14*10^15/10^6</f>
        <v>123696953.36082323</v>
      </c>
      <c r="AE6" s="145">
        <f>'AEO 2026 Table 4'!AC59/'AEO 2026 Table 21'!AC14*10^15/10^6</f>
        <v>122842337.74652758</v>
      </c>
      <c r="AF6" s="145">
        <f>'AEO 2026 Table 4'!AD59/'AEO 2026 Table 21'!AD14*10^15/10^6</f>
        <v>121858267.00672688</v>
      </c>
    </row>
    <row r="8" spans="1:33" x14ac:dyDescent="0.45">
      <c r="A8" s="6" t="s">
        <v>267</v>
      </c>
      <c r="B8">
        <v>2017</v>
      </c>
      <c r="C8">
        <v>2020</v>
      </c>
      <c r="D8">
        <v>2030</v>
      </c>
      <c r="E8">
        <v>2040</v>
      </c>
      <c r="F8">
        <v>2050</v>
      </c>
    </row>
    <row r="9" spans="1:33" x14ac:dyDescent="0.45">
      <c r="A9" t="s">
        <v>268</v>
      </c>
      <c r="B9">
        <f>'EIA Costs'!E48-'EIA Costs'!E10</f>
        <v>3050</v>
      </c>
      <c r="C9">
        <f>'EIA Costs'!H48-'EIA Costs'!H10</f>
        <v>2860</v>
      </c>
      <c r="D9">
        <f>'EIA Costs'!J48-'EIA Costs'!J10</f>
        <v>2910</v>
      </c>
      <c r="E9">
        <f>'EIA Costs'!L48-'EIA Costs'!L10</f>
        <v>2910</v>
      </c>
      <c r="F9">
        <f>'EIA Costs'!N48-'EIA Costs'!N10</f>
        <v>2910</v>
      </c>
    </row>
    <row r="10" spans="1:33" x14ac:dyDescent="0.45">
      <c r="A10" t="s">
        <v>269</v>
      </c>
      <c r="B10">
        <f>'EIA Costs'!E48-AVERAGE('EIA Costs'!E23:E24)</f>
        <v>975</v>
      </c>
      <c r="C10">
        <f>'EIA Costs'!H48-AVERAGE('EIA Costs'!H23:H24)</f>
        <v>975</v>
      </c>
      <c r="D10">
        <f>'EIA Costs'!J48-AVERAGE('EIA Costs'!J23:J24)</f>
        <v>925</v>
      </c>
      <c r="E10">
        <f>'EIA Costs'!L48-AVERAGE('EIA Costs'!L23:L24)</f>
        <v>925</v>
      </c>
      <c r="F10">
        <f>'EIA Costs'!N48-AVERAGE('EIA Costs'!N23:N24)</f>
        <v>925</v>
      </c>
    </row>
    <row r="11" spans="1:33" x14ac:dyDescent="0.45">
      <c r="A11" t="s">
        <v>270</v>
      </c>
      <c r="B11">
        <f>'EIA Costs'!E48-'EIA Costs'!D36</f>
        <v>400</v>
      </c>
      <c r="C11">
        <f>'EIA Costs'!H48-'EIA Costs'!F36</f>
        <v>400</v>
      </c>
      <c r="D11">
        <f>'EIA Costs'!J48-'EIA Costs'!H36</f>
        <v>350</v>
      </c>
      <c r="E11">
        <f>'EIA Costs'!L48-'EIA Costs'!J36</f>
        <v>250</v>
      </c>
      <c r="F11">
        <f>'EIA Costs'!N48-'EIA Costs'!L36</f>
        <v>150</v>
      </c>
    </row>
    <row r="13" spans="1:33" x14ac:dyDescent="0.45">
      <c r="A13" s="6" t="s">
        <v>271</v>
      </c>
      <c r="B13">
        <v>2020</v>
      </c>
      <c r="C13">
        <v>2021</v>
      </c>
      <c r="D13">
        <v>2022</v>
      </c>
      <c r="E13">
        <v>2023</v>
      </c>
      <c r="F13">
        <v>2024</v>
      </c>
      <c r="G13">
        <v>2025</v>
      </c>
      <c r="H13">
        <v>2026</v>
      </c>
      <c r="I13">
        <v>2027</v>
      </c>
      <c r="J13">
        <v>2028</v>
      </c>
      <c r="K13">
        <v>2029</v>
      </c>
      <c r="L13">
        <v>2030</v>
      </c>
      <c r="M13">
        <v>2031</v>
      </c>
      <c r="N13">
        <v>2032</v>
      </c>
      <c r="O13">
        <v>2033</v>
      </c>
      <c r="P13">
        <v>2034</v>
      </c>
      <c r="Q13">
        <v>2035</v>
      </c>
      <c r="R13">
        <v>2036</v>
      </c>
      <c r="S13">
        <v>2037</v>
      </c>
      <c r="T13">
        <v>2038</v>
      </c>
      <c r="U13">
        <v>2039</v>
      </c>
      <c r="V13">
        <v>2040</v>
      </c>
      <c r="W13">
        <v>2041</v>
      </c>
      <c r="X13">
        <v>2042</v>
      </c>
      <c r="Y13">
        <v>2043</v>
      </c>
      <c r="Z13">
        <v>2044</v>
      </c>
      <c r="AA13">
        <v>2045</v>
      </c>
      <c r="AB13">
        <v>2046</v>
      </c>
      <c r="AC13">
        <v>2047</v>
      </c>
      <c r="AD13">
        <v>2048</v>
      </c>
      <c r="AE13">
        <v>2049</v>
      </c>
      <c r="AF13">
        <v>2050</v>
      </c>
    </row>
    <row r="14" spans="1:33" x14ac:dyDescent="0.45">
      <c r="A14" t="s">
        <v>272</v>
      </c>
      <c r="B14">
        <f>(TREND($B$9:$C$9,$B$8:$C$8,B$13))*(About!$A$53)</f>
        <v>2678.8464425587467</v>
      </c>
      <c r="C14">
        <f>(TREND($C$9:$D$9,$C$8:$D$8,C$13))*(About!$A$53)</f>
        <v>2683.529740535248</v>
      </c>
      <c r="D14">
        <f>(TREND($C$9:$D$9,$C$8:$D$8,D$13))*(About!$A$53)</f>
        <v>2688.2130385117493</v>
      </c>
      <c r="E14">
        <f>(TREND($C$9:$D$9,$C$8:$D$8,E$13))*(About!$A$53)</f>
        <v>2692.8963364882507</v>
      </c>
      <c r="F14">
        <f>(TREND($C$9:$D$9,$C$8:$D$8,F$13))*(About!$A$53)</f>
        <v>2697.579634464752</v>
      </c>
      <c r="G14">
        <f>(TREND($C$9:$D$9,$C$8:$D$8,G$13))*(About!$A$53)</f>
        <v>2702.2629324412533</v>
      </c>
      <c r="H14">
        <f>(TREND($C$9:$D$9,$C$8:$D$8,H$13))*(About!$A$53)</f>
        <v>2706.9462304177546</v>
      </c>
      <c r="I14">
        <f>(TREND($C$9:$D$9,$C$8:$D$8,I$13))*(About!$A$53)</f>
        <v>2711.6295283942559</v>
      </c>
      <c r="J14">
        <f>(TREND($C$9:$D$9,$C$8:$D$8,J$13))*(About!$A$53)</f>
        <v>2716.3128263707572</v>
      </c>
      <c r="K14">
        <f>(TREND($C$9:$D$9,$C$8:$D$8,K$13))*(About!$A$53)</f>
        <v>2720.9961243472585</v>
      </c>
      <c r="L14">
        <f>(TREND($C$9:$D$9,$C$8:$D$8,L$13))*(About!$A$53)</f>
        <v>2725.6794223237598</v>
      </c>
      <c r="M14">
        <f>(TREND($D$9:$F$9,$D$8:$F$8,M$13))*(About!$A$53)</f>
        <v>2725.6794223237598</v>
      </c>
      <c r="N14">
        <f>(TREND($D$9:$F$9,$D$8:$F$8,N$13))*(About!$A$53)</f>
        <v>2725.6794223237598</v>
      </c>
      <c r="O14">
        <f>(TREND($D$9:$F$9,$D$8:$F$8,O$13))*(About!$A$53)</f>
        <v>2725.6794223237598</v>
      </c>
      <c r="P14">
        <f>(TREND($D$9:$F$9,$D$8:$F$8,P$13))*(About!$A$53)</f>
        <v>2725.6794223237598</v>
      </c>
      <c r="Q14">
        <f>(TREND($D$9:$F$9,$D$8:$F$8,Q$13))*(About!$A$53)</f>
        <v>2725.6794223237598</v>
      </c>
      <c r="R14">
        <f>(TREND($D$9:$F$9,$D$8:$F$8,R$13))*(About!$A$53)</f>
        <v>2725.6794223237598</v>
      </c>
      <c r="S14">
        <f>(TREND($D$9:$F$9,$D$8:$F$8,S$13))*(About!$A$53)</f>
        <v>2725.6794223237598</v>
      </c>
      <c r="T14">
        <f>(TREND($D$9:$F$9,$D$8:$F$8,T$13))*(About!$A$53)</f>
        <v>2725.6794223237598</v>
      </c>
      <c r="U14">
        <f>(TREND($D$9:$F$9,$D$8:$F$8,U$13))*(About!$A$53)</f>
        <v>2725.6794223237598</v>
      </c>
      <c r="V14">
        <f>(TREND($D$9:$F$9,$D$8:$F$8,V$13))*(About!$A$53)</f>
        <v>2725.6794223237598</v>
      </c>
      <c r="W14">
        <f>(TREND($D$9:$F$9,$D$8:$F$8,W$13))*(About!$A$53)</f>
        <v>2725.6794223237598</v>
      </c>
      <c r="X14">
        <f>(TREND($D$9:$F$9,$D$8:$F$8,X$13))*(About!$A$53)</f>
        <v>2725.6794223237598</v>
      </c>
      <c r="Y14">
        <f>(TREND($D$9:$F$9,$D$8:$F$8,Y$13))*(About!$A$53)</f>
        <v>2725.6794223237598</v>
      </c>
      <c r="Z14">
        <f>(TREND($D$9:$F$9,$D$8:$F$8,Z$13))*(About!$A$53)</f>
        <v>2725.6794223237598</v>
      </c>
      <c r="AA14">
        <f>(TREND($D$9:$F$9,$D$8:$F$8,AA$13))*(About!$A$53)</f>
        <v>2725.6794223237598</v>
      </c>
      <c r="AB14">
        <f>(TREND($D$9:$F$9,$D$8:$F$8,AB$13))*(About!$A$53)</f>
        <v>2725.6794223237598</v>
      </c>
      <c r="AC14">
        <f>(TREND($D$9:$F$9,$D$8:$F$8,AC$13))*(About!$A$53)</f>
        <v>2725.6794223237598</v>
      </c>
      <c r="AD14">
        <f>(TREND($D$9:$F$9,$D$8:$F$8,AD$13))*(About!$A$53)</f>
        <v>2725.6794223237598</v>
      </c>
      <c r="AE14">
        <f>(TREND($D$9:$F$9,$D$8:$F$8,AE$13))*(About!$A$53)</f>
        <v>2725.6794223237598</v>
      </c>
      <c r="AF14">
        <f>(TREND($D$9:$F$9,$D$8:$F$8,AF$13))*(About!$A$53)</f>
        <v>2725.6794223237598</v>
      </c>
    </row>
    <row r="15" spans="1:33" x14ac:dyDescent="0.45">
      <c r="A15" t="s">
        <v>273</v>
      </c>
      <c r="B15">
        <f>(TREND($B$10:$C$10,$B$8:$C$8,B$13))*(About!$A$53)</f>
        <v>913.24310541775458</v>
      </c>
      <c r="C15">
        <f>(TREND($C$10:$D$10,$C$8:$D$8,C$13))*(About!$A$53)</f>
        <v>908.55980744125327</v>
      </c>
      <c r="D15">
        <f>(TREND($C$10:$D$10,$C$8:$D$8,D$13))*(About!$A$53)</f>
        <v>903.87650946475196</v>
      </c>
      <c r="E15">
        <f>(TREND($C$10:$D$10,$C$8:$D$8,E$13))*(About!$A$53)</f>
        <v>899.19321148825065</v>
      </c>
      <c r="F15">
        <f>(TREND($C$10:$D$10,$C$8:$D$8,F$13))*(About!$A$53)</f>
        <v>894.50991351174935</v>
      </c>
      <c r="G15">
        <f>(TREND($C$10:$D$10,$C$8:$D$8,G$13))*(About!$A$53)</f>
        <v>889.82661553524804</v>
      </c>
      <c r="H15">
        <f>(TREND($C$10:$D$10,$C$8:$D$8,H$13))*(About!$A$53)</f>
        <v>885.14331755874673</v>
      </c>
      <c r="I15">
        <f>(TREND($C$10:$D$10,$C$8:$D$8,I$13))*(About!$A$53)</f>
        <v>880.46001958224542</v>
      </c>
      <c r="J15">
        <f>(TREND($C$10:$D$10,$C$8:$D$8,J$13))*(About!$A$53)</f>
        <v>875.77672160574411</v>
      </c>
      <c r="K15">
        <f>(TREND($C$10:$D$10,$C$8:$D$8,K$13))*(About!$A$53)</f>
        <v>871.09342362924281</v>
      </c>
      <c r="L15">
        <f>(TREND($C$10:$D$10,$C$8:$D$8,L$13))*(About!$A$53)</f>
        <v>866.4101256527415</v>
      </c>
      <c r="M15">
        <f>(TREND($D$10:$F$10,$D$8:$F$8,M$13))*(About!$A$53)</f>
        <v>866.4101256527415</v>
      </c>
      <c r="N15">
        <f>(TREND($D$10:$F$10,$D$8:$F$8,N$13))*(About!$A$53)</f>
        <v>866.4101256527415</v>
      </c>
      <c r="O15">
        <f>(TREND($D$10:$F$10,$D$8:$F$8,O$13))*(About!$A$53)</f>
        <v>866.4101256527415</v>
      </c>
      <c r="P15">
        <f>(TREND($D$10:$F$10,$D$8:$F$8,P$13))*(About!$A$53)</f>
        <v>866.4101256527415</v>
      </c>
      <c r="Q15">
        <f>(TREND($D$10:$F$10,$D$8:$F$8,Q$13))*(About!$A$53)</f>
        <v>866.4101256527415</v>
      </c>
      <c r="R15">
        <f>(TREND($D$10:$F$10,$D$8:$F$8,R$13))*(About!$A$53)</f>
        <v>866.4101256527415</v>
      </c>
      <c r="S15">
        <f>(TREND($D$10:$F$10,$D$8:$F$8,S$13))*(About!$A$53)</f>
        <v>866.4101256527415</v>
      </c>
      <c r="T15">
        <f>(TREND($D$10:$F$10,$D$8:$F$8,T$13))*(About!$A$53)</f>
        <v>866.4101256527415</v>
      </c>
      <c r="U15">
        <f>(TREND($D$10:$F$10,$D$8:$F$8,U$13))*(About!$A$53)</f>
        <v>866.4101256527415</v>
      </c>
      <c r="V15">
        <f>(TREND($D$10:$F$10,$D$8:$F$8,V$13))*(About!$A$53)</f>
        <v>866.4101256527415</v>
      </c>
      <c r="W15">
        <f>(TREND($D$10:$F$10,$D$8:$F$8,W$13))*(About!$A$53)</f>
        <v>866.4101256527415</v>
      </c>
      <c r="X15">
        <f>(TREND($D$10:$F$10,$D$8:$F$8,X$13))*(About!$A$53)</f>
        <v>866.4101256527415</v>
      </c>
      <c r="Y15">
        <f>(TREND($D$10:$F$10,$D$8:$F$8,Y$13))*(About!$A$53)</f>
        <v>866.4101256527415</v>
      </c>
      <c r="Z15">
        <f>(TREND($D$10:$F$10,$D$8:$F$8,Z$13))*(About!$A$53)</f>
        <v>866.4101256527415</v>
      </c>
      <c r="AA15">
        <f>(TREND($D$10:$F$10,$D$8:$F$8,AA$13))*(About!$A$53)</f>
        <v>866.4101256527415</v>
      </c>
      <c r="AB15">
        <f>(TREND($D$10:$F$10,$D$8:$F$8,AB$13))*(About!$A$53)</f>
        <v>866.4101256527415</v>
      </c>
      <c r="AC15">
        <f>(TREND($D$10:$F$10,$D$8:$F$8,AC$13))*(About!$A$53)</f>
        <v>866.4101256527415</v>
      </c>
      <c r="AD15">
        <f>(TREND($D$10:$F$10,$D$8:$F$8,AD$13))*(About!$A$53)</f>
        <v>866.4101256527415</v>
      </c>
      <c r="AE15">
        <f>(TREND($D$10:$F$10,$D$8:$F$8,AE$13))*(About!$A$53)</f>
        <v>866.4101256527415</v>
      </c>
      <c r="AF15">
        <f>(TREND($D$10:$F$10,$D$8:$F$8,AF$13))*(About!$A$53)</f>
        <v>866.4101256527415</v>
      </c>
    </row>
    <row r="16" spans="1:33" x14ac:dyDescent="0.45">
      <c r="A16" t="s">
        <v>274</v>
      </c>
      <c r="B16">
        <f>(TREND($B$11:$C$11,$B$8:$C$8,B$13))*(About!$A$53)</f>
        <v>374.66383812010446</v>
      </c>
      <c r="C16">
        <f>(TREND($C$11:$D$11,$C$8:$D$8,C$13))*(About!$A$53)</f>
        <v>369.98054014360315</v>
      </c>
      <c r="D16">
        <f>(TREND($C$11:$D$11,$C$8:$D$8,D$13))*(About!$A$53)</f>
        <v>365.29724216710184</v>
      </c>
      <c r="E16">
        <f>(TREND($C$11:$D$11,$C$8:$D$8,E$13))*(About!$A$53)</f>
        <v>360.61394419060053</v>
      </c>
      <c r="F16">
        <f>(TREND($C$11:$D$11,$C$8:$D$8,F$13))*(About!$A$53)</f>
        <v>355.93064621409923</v>
      </c>
      <c r="G16">
        <f>(TREND($C$11:$D$11,$C$8:$D$8,G$13))*(About!$A$53)</f>
        <v>351.24734823759792</v>
      </c>
      <c r="H16">
        <f>(TREND($C$11:$D$11,$C$8:$D$8,H$13))*(About!$A$53)</f>
        <v>346.56405026109661</v>
      </c>
      <c r="I16">
        <f>(TREND($C$11:$D$11,$C$8:$D$8,I$13))*(About!$A$53)</f>
        <v>341.8807522845953</v>
      </c>
      <c r="J16">
        <f>(TREND($C$11:$D$11,$C$8:$D$8,J$13))*(About!$A$53)</f>
        <v>337.197454308094</v>
      </c>
      <c r="K16">
        <f>(TREND($C$11:$D$11,$C$8:$D$8,K$13))*(About!$A$53)</f>
        <v>332.51415633159269</v>
      </c>
      <c r="L16">
        <f>(TREND($C$11:$D$11,$C$8:$D$8,L$13))*(About!$A$53)</f>
        <v>327.83085835509138</v>
      </c>
      <c r="M16">
        <f>(TREND($D$11:$F$11,$D$8:$F$8,M$13))*(About!$A$53)</f>
        <v>318.46426240208876</v>
      </c>
      <c r="N16">
        <f>(TREND($D$11:$F$11,$D$8:$F$8,N$13))*(About!$A$53)</f>
        <v>309.09766644908615</v>
      </c>
      <c r="O16">
        <f>(TREND($D$11:$F$11,$D$8:$F$8,O$13))*(About!$A$53)</f>
        <v>299.73107049608353</v>
      </c>
      <c r="P16">
        <f>(TREND($D$11:$F$11,$D$8:$F$8,P$13))*(About!$A$53)</f>
        <v>290.36447454308092</v>
      </c>
      <c r="Q16">
        <f>(TREND($D$11:$F$11,$D$8:$F$8,Q$13))*(About!$A$53)</f>
        <v>280.99787859007836</v>
      </c>
      <c r="R16">
        <f>(TREND($D$11:$F$11,$D$8:$F$8,R$13))*(About!$A$53)</f>
        <v>271.63128263707574</v>
      </c>
      <c r="S16">
        <f>(TREND($D$11:$F$11,$D$8:$F$8,S$13))*(About!$A$53)</f>
        <v>262.26468668407313</v>
      </c>
      <c r="T16">
        <f>(TREND($D$11:$F$11,$D$8:$F$8,T$13))*(About!$A$53)</f>
        <v>252.89809073107051</v>
      </c>
      <c r="U16">
        <f>(TREND($D$11:$F$11,$D$8:$F$8,U$13))*(About!$A$53)</f>
        <v>243.53149477806789</v>
      </c>
      <c r="V16">
        <f>(TREND($D$11:$F$11,$D$8:$F$8,V$13))*(About!$A$53)</f>
        <v>234.16489882506528</v>
      </c>
      <c r="W16">
        <f>(TREND($D$11:$F$11,$D$8:$F$8,W$13))*(About!$A$53)</f>
        <v>224.79830287206266</v>
      </c>
      <c r="X16">
        <f>(TREND($D$11:$F$11,$D$8:$F$8,X$13))*(About!$A$53)</f>
        <v>215.43170691906005</v>
      </c>
      <c r="Y16">
        <f>(TREND($D$11:$F$11,$D$8:$F$8,Y$13))*(About!$A$53)</f>
        <v>206.06511096605743</v>
      </c>
      <c r="Z16">
        <f>(TREND($D$11:$F$11,$D$8:$F$8,Z$13))*(About!$A$53)</f>
        <v>196.69851501305484</v>
      </c>
      <c r="AA16">
        <f>(TREND($D$11:$F$11,$D$8:$F$8,AA$13))*(About!$A$53)</f>
        <v>187.33191906005223</v>
      </c>
      <c r="AB16">
        <f>(TREND($D$11:$F$11,$D$8:$F$8,AB$13))*(About!$A$53)</f>
        <v>177.96532310704961</v>
      </c>
      <c r="AC16">
        <f>(TREND($D$11:$F$11,$D$8:$F$8,AC$13))*(About!$A$53)</f>
        <v>168.598727154047</v>
      </c>
      <c r="AD16">
        <f>(TREND($D$11:$F$11,$D$8:$F$8,AD$13))*(About!$A$53)</f>
        <v>159.23213120104438</v>
      </c>
      <c r="AE16">
        <f>(TREND($D$11:$F$11,$D$8:$F$8,AE$13))*(About!$A$53)</f>
        <v>149.86553524804177</v>
      </c>
      <c r="AF16">
        <f>(TREND($D$11:$F$11,$D$8:$F$8,AF$13))*(About!$A$53)</f>
        <v>140.49893929503918</v>
      </c>
    </row>
    <row r="18" spans="1:33" x14ac:dyDescent="0.45">
      <c r="A18" s="6" t="s">
        <v>275</v>
      </c>
      <c r="B18">
        <v>2020</v>
      </c>
      <c r="C18">
        <v>2021</v>
      </c>
      <c r="D18">
        <v>2022</v>
      </c>
      <c r="E18">
        <v>2023</v>
      </c>
      <c r="F18">
        <v>2024</v>
      </c>
      <c r="G18">
        <v>2025</v>
      </c>
      <c r="H18">
        <v>2026</v>
      </c>
      <c r="I18">
        <v>2027</v>
      </c>
      <c r="J18">
        <v>2028</v>
      </c>
      <c r="K18">
        <v>2029</v>
      </c>
      <c r="L18">
        <v>2030</v>
      </c>
      <c r="M18">
        <v>2031</v>
      </c>
      <c r="N18">
        <v>2032</v>
      </c>
      <c r="O18">
        <v>2033</v>
      </c>
      <c r="P18">
        <v>2034</v>
      </c>
      <c r="Q18">
        <v>2035</v>
      </c>
      <c r="R18">
        <v>2036</v>
      </c>
      <c r="S18">
        <v>2037</v>
      </c>
      <c r="T18">
        <v>2038</v>
      </c>
      <c r="U18">
        <v>2039</v>
      </c>
      <c r="V18">
        <v>2040</v>
      </c>
      <c r="W18">
        <v>2041</v>
      </c>
      <c r="X18">
        <v>2042</v>
      </c>
      <c r="Y18">
        <v>2043</v>
      </c>
      <c r="Z18">
        <v>2044</v>
      </c>
      <c r="AA18">
        <v>2045</v>
      </c>
      <c r="AB18">
        <v>2046</v>
      </c>
      <c r="AC18">
        <v>2047</v>
      </c>
      <c r="AD18">
        <v>2048</v>
      </c>
      <c r="AE18">
        <v>2049</v>
      </c>
      <c r="AF18">
        <v>2050</v>
      </c>
    </row>
    <row r="19" spans="1:33" x14ac:dyDescent="0.45">
      <c r="A19" t="s">
        <v>264</v>
      </c>
      <c r="C19" s="38" t="e">
        <f t="shared" ref="C19:AF19" si="0">C14/C4</f>
        <v>#DIV/0!</v>
      </c>
      <c r="D19" s="38" t="e">
        <f t="shared" si="0"/>
        <v>#DIV/0!</v>
      </c>
      <c r="E19" s="38" t="e">
        <f t="shared" si="0"/>
        <v>#DIV/0!</v>
      </c>
      <c r="F19" s="38" t="e">
        <f t="shared" si="0"/>
        <v>#DIV/0!</v>
      </c>
      <c r="G19" s="38">
        <f t="shared" si="0"/>
        <v>5.8092027884928469E-5</v>
      </c>
      <c r="H19" s="38">
        <f t="shared" si="0"/>
        <v>6.2494566630303308E-5</v>
      </c>
      <c r="I19" s="38">
        <f t="shared" si="0"/>
        <v>6.0739664738562618E-5</v>
      </c>
      <c r="J19" s="38">
        <f t="shared" si="0"/>
        <v>6.1762683117850788E-5</v>
      </c>
      <c r="K19" s="38">
        <f t="shared" si="0"/>
        <v>6.3168861186182088E-5</v>
      </c>
      <c r="L19" s="38">
        <f t="shared" si="0"/>
        <v>6.4786413878035738E-5</v>
      </c>
      <c r="M19" s="38">
        <f t="shared" si="0"/>
        <v>6.6399920434374307E-5</v>
      </c>
      <c r="N19" s="38">
        <f t="shared" si="0"/>
        <v>6.7988300857912138E-5</v>
      </c>
      <c r="O19" s="38">
        <f t="shared" si="0"/>
        <v>6.9603864763197009E-5</v>
      </c>
      <c r="P19" s="38">
        <f t="shared" si="0"/>
        <v>7.1185248022754289E-5</v>
      </c>
      <c r="Q19" s="38">
        <f t="shared" si="0"/>
        <v>7.2770688248050602E-5</v>
      </c>
      <c r="R19" s="38">
        <f t="shared" si="0"/>
        <v>7.4318616120566813E-5</v>
      </c>
      <c r="S19" s="38">
        <f t="shared" si="0"/>
        <v>7.5903001656327061E-5</v>
      </c>
      <c r="T19" s="38">
        <f t="shared" si="0"/>
        <v>7.7457163166405152E-5</v>
      </c>
      <c r="U19" s="38">
        <f t="shared" si="0"/>
        <v>7.9007656227029243E-5</v>
      </c>
      <c r="V19" s="38">
        <f t="shared" si="0"/>
        <v>8.0539999757056082E-5</v>
      </c>
      <c r="W19" s="38">
        <f t="shared" si="0"/>
        <v>8.207526919109631E-5</v>
      </c>
      <c r="X19" s="38">
        <f t="shared" si="0"/>
        <v>8.3510100941505444E-5</v>
      </c>
      <c r="Y19" s="38">
        <f t="shared" si="0"/>
        <v>8.489822998631611E-5</v>
      </c>
      <c r="Z19" s="38">
        <f t="shared" si="0"/>
        <v>8.6243217227894209E-5</v>
      </c>
      <c r="AA19" s="38">
        <f t="shared" si="0"/>
        <v>8.7567169640710276E-5</v>
      </c>
      <c r="AB19" s="38">
        <f t="shared" si="0"/>
        <v>8.8953923787208025E-5</v>
      </c>
      <c r="AC19" s="38">
        <f t="shared" si="0"/>
        <v>9.0416783163277552E-5</v>
      </c>
      <c r="AD19" s="38">
        <f t="shared" si="0"/>
        <v>9.1899027221926653E-5</v>
      </c>
      <c r="AE19" s="38">
        <f t="shared" si="0"/>
        <v>9.3396916781111921E-5</v>
      </c>
      <c r="AF19" s="38">
        <f t="shared" si="0"/>
        <v>9.4894259879251599E-5</v>
      </c>
    </row>
    <row r="20" spans="1:33" x14ac:dyDescent="0.45">
      <c r="A20" t="s">
        <v>265</v>
      </c>
      <c r="C20" s="38" t="e">
        <f t="shared" ref="C20:AF20" si="1">C15/C5</f>
        <v>#DIV/0!</v>
      </c>
      <c r="D20" s="38" t="e">
        <f t="shared" si="1"/>
        <v>#DIV/0!</v>
      </c>
      <c r="E20" s="38" t="e">
        <f t="shared" si="1"/>
        <v>#DIV/0!</v>
      </c>
      <c r="F20" s="38" t="e">
        <f t="shared" si="1"/>
        <v>#DIV/0!</v>
      </c>
      <c r="G20" s="38">
        <f t="shared" si="1"/>
        <v>9.7770203529436717E-6</v>
      </c>
      <c r="H20" s="38">
        <f t="shared" si="1"/>
        <v>1.0042704754941501E-5</v>
      </c>
      <c r="I20" s="38">
        <f t="shared" si="1"/>
        <v>1.0027017160448691E-5</v>
      </c>
      <c r="J20" s="38">
        <f t="shared" si="1"/>
        <v>1.0063080713481678E-5</v>
      </c>
      <c r="K20" s="38">
        <f t="shared" si="1"/>
        <v>1.011372039967351E-5</v>
      </c>
      <c r="L20" s="38">
        <f t="shared" si="1"/>
        <v>1.0150662562908478E-5</v>
      </c>
      <c r="M20" s="38">
        <f t="shared" si="1"/>
        <v>1.0246770261021327E-5</v>
      </c>
      <c r="N20" s="38">
        <f t="shared" si="1"/>
        <v>1.0340429723275977E-5</v>
      </c>
      <c r="O20" s="38">
        <f t="shared" si="1"/>
        <v>1.0437787551059798E-5</v>
      </c>
      <c r="P20" s="38">
        <f t="shared" si="1"/>
        <v>1.0528945520298099E-5</v>
      </c>
      <c r="Q20" s="38">
        <f t="shared" si="1"/>
        <v>1.0624096950766314E-5</v>
      </c>
      <c r="R20" s="38">
        <f t="shared" si="1"/>
        <v>1.0718079216942543E-5</v>
      </c>
      <c r="S20" s="38">
        <f t="shared" si="1"/>
        <v>1.081323737715013E-5</v>
      </c>
      <c r="T20" s="38">
        <f t="shared" si="1"/>
        <v>1.0907098037898474E-5</v>
      </c>
      <c r="U20" s="38">
        <f t="shared" si="1"/>
        <v>1.0999675006587639E-5</v>
      </c>
      <c r="V20" s="38">
        <f t="shared" si="1"/>
        <v>1.1094361651436914E-5</v>
      </c>
      <c r="W20" s="38">
        <f t="shared" si="1"/>
        <v>1.1191141573119925E-5</v>
      </c>
      <c r="X20" s="38">
        <f t="shared" si="1"/>
        <v>1.1285991483580543E-5</v>
      </c>
      <c r="Y20" s="38">
        <f t="shared" si="1"/>
        <v>1.1383046197374598E-5</v>
      </c>
      <c r="Z20" s="38">
        <f t="shared" si="1"/>
        <v>1.1479632705254309E-5</v>
      </c>
      <c r="AA20" s="38">
        <f t="shared" si="1"/>
        <v>1.157877992605222E-5</v>
      </c>
      <c r="AB20" s="38">
        <f t="shared" si="1"/>
        <v>1.1678678730013364E-5</v>
      </c>
      <c r="AC20" s="38">
        <f t="shared" si="1"/>
        <v>1.1779234834355993E-5</v>
      </c>
      <c r="AD20" s="38">
        <f t="shared" si="1"/>
        <v>1.1879206453768873E-5</v>
      </c>
      <c r="AE20" s="38">
        <f t="shared" si="1"/>
        <v>1.197900106206722E-5</v>
      </c>
      <c r="AF20" s="38">
        <f t="shared" si="1"/>
        <v>1.2074676578303673E-5</v>
      </c>
    </row>
    <row r="21" spans="1:33" x14ac:dyDescent="0.45">
      <c r="A21" t="s">
        <v>266</v>
      </c>
      <c r="C21" s="38" t="e">
        <f t="shared" ref="C21:AF21" si="2">C16/C6</f>
        <v>#DIV/0!</v>
      </c>
      <c r="D21" s="38" t="e">
        <f t="shared" si="2"/>
        <v>#DIV/0!</v>
      </c>
      <c r="E21" s="38" t="e">
        <f t="shared" si="2"/>
        <v>#DIV/0!</v>
      </c>
      <c r="F21" s="38" t="e">
        <f t="shared" si="2"/>
        <v>#DIV/0!</v>
      </c>
      <c r="G21" s="38">
        <f t="shared" si="2"/>
        <v>2.0893035182823558E-6</v>
      </c>
      <c r="H21" s="38">
        <f t="shared" si="2"/>
        <v>2.2299416353486171E-6</v>
      </c>
      <c r="I21" s="38">
        <f t="shared" si="2"/>
        <v>2.2500670606701206E-6</v>
      </c>
      <c r="J21" s="38">
        <f t="shared" si="2"/>
        <v>2.2425318200446792E-6</v>
      </c>
      <c r="K21" s="38">
        <f t="shared" si="2"/>
        <v>2.2240696269620708E-6</v>
      </c>
      <c r="L21" s="38">
        <f t="shared" si="2"/>
        <v>2.2250301263962574E-6</v>
      </c>
      <c r="M21" s="38">
        <f t="shared" si="2"/>
        <v>2.1862819060921465E-6</v>
      </c>
      <c r="N21" s="38">
        <f t="shared" si="2"/>
        <v>2.1430309980944006E-6</v>
      </c>
      <c r="O21" s="38">
        <f t="shared" si="2"/>
        <v>2.0924967933091323E-6</v>
      </c>
      <c r="P21" s="38">
        <f t="shared" si="2"/>
        <v>2.0468485263945807E-6</v>
      </c>
      <c r="Q21" s="38">
        <f t="shared" si="2"/>
        <v>1.9975410014408941E-6</v>
      </c>
      <c r="R21" s="38">
        <f t="shared" si="2"/>
        <v>1.9506036248629648E-6</v>
      </c>
      <c r="S21" s="38">
        <f t="shared" si="2"/>
        <v>1.9027444051722099E-6</v>
      </c>
      <c r="T21" s="38">
        <f t="shared" si="2"/>
        <v>1.8534088982095583E-6</v>
      </c>
      <c r="U21" s="38">
        <f t="shared" si="2"/>
        <v>1.8047740334849374E-6</v>
      </c>
      <c r="V21" s="38">
        <f t="shared" si="2"/>
        <v>1.7559144485150764E-6</v>
      </c>
      <c r="W21" s="38">
        <f t="shared" si="2"/>
        <v>1.7048146389125934E-6</v>
      </c>
      <c r="X21" s="38">
        <f t="shared" si="2"/>
        <v>1.6508697800266769E-6</v>
      </c>
      <c r="Y21" s="38">
        <f t="shared" si="2"/>
        <v>1.5955012807670614E-6</v>
      </c>
      <c r="Z21" s="38">
        <f t="shared" si="2"/>
        <v>1.5384358658459652E-6</v>
      </c>
      <c r="AA21" s="38">
        <f t="shared" si="2"/>
        <v>1.4782117307726311E-6</v>
      </c>
      <c r="AB21" s="38">
        <f t="shared" si="2"/>
        <v>1.416711919592662E-6</v>
      </c>
      <c r="AC21" s="38">
        <f t="shared" si="2"/>
        <v>1.3528981569919909E-6</v>
      </c>
      <c r="AD21" s="38">
        <f t="shared" si="2"/>
        <v>1.2872760959323329E-6</v>
      </c>
      <c r="AE21" s="38">
        <f t="shared" si="2"/>
        <v>1.2199827681338476E-6</v>
      </c>
      <c r="AF21" s="38">
        <f t="shared" si="2"/>
        <v>1.1529701081936713E-6</v>
      </c>
    </row>
    <row r="23" spans="1:33" x14ac:dyDescent="0.45">
      <c r="A23" s="54" t="s">
        <v>276</v>
      </c>
      <c r="B23" s="54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</row>
    <row r="24" spans="1:33" x14ac:dyDescent="0.45">
      <c r="A24" s="6" t="s">
        <v>277</v>
      </c>
      <c r="B24">
        <v>2020</v>
      </c>
      <c r="C24">
        <v>2021</v>
      </c>
      <c r="D24">
        <v>2022</v>
      </c>
      <c r="E24">
        <v>2023</v>
      </c>
      <c r="F24">
        <v>2024</v>
      </c>
      <c r="G24">
        <v>2025</v>
      </c>
      <c r="H24">
        <v>2026</v>
      </c>
      <c r="I24">
        <v>2027</v>
      </c>
      <c r="J24">
        <v>2028</v>
      </c>
      <c r="K24">
        <v>2029</v>
      </c>
      <c r="L24">
        <v>2030</v>
      </c>
      <c r="M24">
        <v>2031</v>
      </c>
      <c r="N24">
        <v>2032</v>
      </c>
      <c r="O24">
        <v>2033</v>
      </c>
      <c r="P24">
        <v>2034</v>
      </c>
      <c r="Q24">
        <v>2035</v>
      </c>
      <c r="R24">
        <v>2036</v>
      </c>
      <c r="S24">
        <v>2037</v>
      </c>
      <c r="T24">
        <v>2038</v>
      </c>
      <c r="U24">
        <v>2039</v>
      </c>
      <c r="V24">
        <v>2040</v>
      </c>
      <c r="W24">
        <v>2041</v>
      </c>
      <c r="X24">
        <v>2042</v>
      </c>
      <c r="Y24">
        <v>2043</v>
      </c>
      <c r="Z24">
        <v>2044</v>
      </c>
      <c r="AA24">
        <v>2045</v>
      </c>
      <c r="AB24">
        <v>2046</v>
      </c>
      <c r="AC24">
        <v>2047</v>
      </c>
      <c r="AD24">
        <v>2048</v>
      </c>
      <c r="AE24">
        <v>2049</v>
      </c>
      <c r="AF24">
        <v>2050</v>
      </c>
    </row>
    <row r="25" spans="1:33" x14ac:dyDescent="0.45">
      <c r="A25" t="s">
        <v>264</v>
      </c>
      <c r="B25" s="38"/>
      <c r="C25" s="122"/>
      <c r="D25" s="122"/>
      <c r="E25" s="122"/>
      <c r="F25" s="145"/>
      <c r="G25" s="145">
        <f>'AEO 2026 Table 4'!E43/'AEO 2026 Table 21'!E26*10^15/10^6</f>
        <v>15730066.477747051</v>
      </c>
      <c r="H25" s="145">
        <f>'AEO 2026 Table 4'!F43/'AEO 2026 Table 21'!F26*10^15/10^6</f>
        <v>15712104.808907744</v>
      </c>
      <c r="I25" s="145">
        <f>'AEO 2026 Table 4'!G43/'AEO 2026 Table 21'!G26*10^15/10^6</f>
        <v>15684900.254500171</v>
      </c>
      <c r="J25" s="145">
        <f>'AEO 2026 Table 4'!H43/'AEO 2026 Table 21'!H26*10^15/10^6</f>
        <v>15655977.002975671</v>
      </c>
      <c r="K25" s="145">
        <f>'AEO 2026 Table 4'!I43/'AEO 2026 Table 21'!I26*10^15/10^6</f>
        <v>15503203.729138186</v>
      </c>
      <c r="L25" s="145">
        <f>'AEO 2026 Table 4'!J43/'AEO 2026 Table 21'!J26*10^15/10^6</f>
        <v>15326371.123892223</v>
      </c>
      <c r="M25" s="145">
        <f>'AEO 2026 Table 4'!K43/'AEO 2026 Table 21'!K26*10^15/10^6</f>
        <v>15162414.603156274</v>
      </c>
      <c r="N25" s="145">
        <f>'AEO 2026 Table 4'!L43/'AEO 2026 Table 21'!L26*10^15/10^6</f>
        <v>15017389.827071853</v>
      </c>
      <c r="O25" s="145">
        <f>'AEO 2026 Table 4'!M43/'AEO 2026 Table 21'!M26*10^15/10^6</f>
        <v>14863486.403385777</v>
      </c>
      <c r="P25" s="145">
        <f>'AEO 2026 Table 4'!N43/'AEO 2026 Table 21'!N26*10^15/10^6</f>
        <v>14743566.125127321</v>
      </c>
      <c r="Q25" s="145">
        <f>'AEO 2026 Table 4'!O43/'AEO 2026 Table 21'!O26*10^15/10^6</f>
        <v>14649386.630225193</v>
      </c>
      <c r="R25" s="145">
        <f>'AEO 2026 Table 4'!P43/'AEO 2026 Table 21'!P26*10^15/10^6</f>
        <v>14553450.467104943</v>
      </c>
      <c r="S25" s="145">
        <f>'AEO 2026 Table 4'!Q43/'AEO 2026 Table 21'!Q26*10^15/10^6</f>
        <v>14450486.294793265</v>
      </c>
      <c r="T25" s="145">
        <f>'AEO 2026 Table 4'!R43/'AEO 2026 Table 21'!R26*10^15/10^6</f>
        <v>14349010.381363725</v>
      </c>
      <c r="U25" s="145">
        <f>'AEO 2026 Table 4'!S43/'AEO 2026 Table 21'!S26*10^15/10^6</f>
        <v>14247127.569750134</v>
      </c>
      <c r="V25" s="145">
        <f>'AEO 2026 Table 4'!T43/'AEO 2026 Table 21'!T26*10^15/10^6</f>
        <v>14146300.456228118</v>
      </c>
      <c r="W25" s="145">
        <f>'AEO 2026 Table 4'!U43/'AEO 2026 Table 21'!U26*10^15/10^6</f>
        <v>14042267.982759394</v>
      </c>
      <c r="X25" s="145">
        <f>'AEO 2026 Table 4'!V43/'AEO 2026 Table 21'!V26*10^15/10^6</f>
        <v>13941717.290894182</v>
      </c>
      <c r="Y25" s="145">
        <f>'AEO 2026 Table 4'!W43/'AEO 2026 Table 21'!W26*10^15/10^6</f>
        <v>13840923.393913807</v>
      </c>
      <c r="Z25" s="145">
        <f>'AEO 2026 Table 4'!X43/'AEO 2026 Table 21'!X26*10^15/10^6</f>
        <v>13738014.934273839</v>
      </c>
      <c r="AA25" s="145">
        <f>'AEO 2026 Table 4'!Y43/'AEO 2026 Table 21'!Y26*10^15/10^6</f>
        <v>13626319.713400912</v>
      </c>
      <c r="AB25" s="145">
        <f>'AEO 2026 Table 4'!Z43/'AEO 2026 Table 21'!Z26*10^15/10^6</f>
        <v>13501369.566128392</v>
      </c>
      <c r="AC25" s="145">
        <f>'AEO 2026 Table 4'!AA43/'AEO 2026 Table 21'!AA26*10^15/10^6</f>
        <v>13367533.54179295</v>
      </c>
      <c r="AD25" s="145">
        <f>'AEO 2026 Table 4'!AB43/'AEO 2026 Table 21'!AB26*10^15/10^6</f>
        <v>13232475.295393739</v>
      </c>
      <c r="AE25" s="145">
        <f>'AEO 2026 Table 4'!AC43/'AEO 2026 Table 21'!AC26*10^15/10^6</f>
        <v>13102398.482038023</v>
      </c>
      <c r="AF25" s="145">
        <f>'AEO 2026 Table 4'!AD43/'AEO 2026 Table 21'!AD26*10^15/10^6</f>
        <v>12982082.755999252</v>
      </c>
    </row>
    <row r="26" spans="1:33" x14ac:dyDescent="0.45">
      <c r="A26" t="s">
        <v>265</v>
      </c>
      <c r="B26" s="38"/>
      <c r="C26" s="122"/>
      <c r="D26" s="122"/>
      <c r="E26" s="122"/>
      <c r="F26" s="145"/>
      <c r="G26" s="145">
        <f>'AEO 2026 Table 4'!E50/'AEO 2026 Table 21'!E27*10^15/10^6</f>
        <v>17014389.669388615</v>
      </c>
      <c r="H26" s="145">
        <f>'AEO 2026 Table 4'!F50/'AEO 2026 Table 21'!F27*10^15/10^6</f>
        <v>16785643.934732739</v>
      </c>
      <c r="I26" s="145">
        <f>'AEO 2026 Table 4'!G50/'AEO 2026 Table 21'!G27*10^15/10^6</f>
        <v>16432152.220177704</v>
      </c>
      <c r="J26" s="145">
        <f>'AEO 2026 Table 4'!H50/'AEO 2026 Table 21'!H27*10^15/10^6</f>
        <v>16048468.801241027</v>
      </c>
      <c r="K26" s="145">
        <f>'AEO 2026 Table 4'!I50/'AEO 2026 Table 21'!I27*10^15/10^6</f>
        <v>15646412.689218657</v>
      </c>
      <c r="L26" s="145">
        <f>'AEO 2026 Table 4'!J50/'AEO 2026 Table 21'!J27*10^15/10^6</f>
        <v>15301596.126469595</v>
      </c>
      <c r="M26" s="145">
        <f>'AEO 2026 Table 4'!K50/'AEO 2026 Table 21'!K27*10^15/10^6</f>
        <v>14991258.692309329</v>
      </c>
      <c r="N26" s="145">
        <f>'AEO 2026 Table 4'!L50/'AEO 2026 Table 21'!L27*10^15/10^6</f>
        <v>14740941.883075789</v>
      </c>
      <c r="O26" s="145">
        <f>'AEO 2026 Table 4'!M50/'AEO 2026 Table 21'!M27*10^15/10^6</f>
        <v>14543348.736696651</v>
      </c>
      <c r="P26" s="145">
        <f>'AEO 2026 Table 4'!N50/'AEO 2026 Table 21'!N27*10^15/10^6</f>
        <v>14424157.093000613</v>
      </c>
      <c r="Q26" s="145">
        <f>'AEO 2026 Table 4'!O50/'AEO 2026 Table 21'!O27*10^15/10^6</f>
        <v>14366199.746971395</v>
      </c>
      <c r="R26" s="145">
        <f>'AEO 2026 Table 4'!P50/'AEO 2026 Table 21'!P27*10^15/10^6</f>
        <v>14291302.935763564</v>
      </c>
      <c r="S26" s="145">
        <f>'AEO 2026 Table 4'!Q50/'AEO 2026 Table 21'!Q27*10^15/10^6</f>
        <v>14214652.612187358</v>
      </c>
      <c r="T26" s="145">
        <f>'AEO 2026 Table 4'!R50/'AEO 2026 Table 21'!R27*10^15/10^6</f>
        <v>14133637.601342596</v>
      </c>
      <c r="U26" s="145">
        <f>'AEO 2026 Table 4'!S50/'AEO 2026 Table 21'!S27*10^15/10^6</f>
        <v>14050328.67112617</v>
      </c>
      <c r="V26" s="145">
        <f>'AEO 2026 Table 4'!T50/'AEO 2026 Table 21'!T27*10^15/10^6</f>
        <v>13962666.834056512</v>
      </c>
      <c r="W26" s="145">
        <f>'AEO 2026 Table 4'!U50/'AEO 2026 Table 21'!U27*10^15/10^6</f>
        <v>13864281.29963515</v>
      </c>
      <c r="X26" s="145">
        <f>'AEO 2026 Table 4'!V50/'AEO 2026 Table 21'!V27*10^15/10^6</f>
        <v>13759078.647723135</v>
      </c>
      <c r="Y26" s="145">
        <f>'AEO 2026 Table 4'!W50/'AEO 2026 Table 21'!W27*10^15/10^6</f>
        <v>13646040.793901518</v>
      </c>
      <c r="Z26" s="145">
        <f>'AEO 2026 Table 4'!X50/'AEO 2026 Table 21'!X27*10^15/10^6</f>
        <v>13524126.939136542</v>
      </c>
      <c r="AA26" s="145">
        <f>'AEO 2026 Table 4'!Y50/'AEO 2026 Table 21'!Y27*10^15/10^6</f>
        <v>13390044.108380593</v>
      </c>
      <c r="AB26" s="145">
        <f>'AEO 2026 Table 4'!Z50/'AEO 2026 Table 21'!Z27*10^15/10^6</f>
        <v>13248481.133606158</v>
      </c>
      <c r="AC26" s="145">
        <f>'AEO 2026 Table 4'!AA50/'AEO 2026 Table 21'!AA27*10^15/10^6</f>
        <v>13101092.575876581</v>
      </c>
      <c r="AD26" s="145">
        <f>'AEO 2026 Table 4'!AB50/'AEO 2026 Table 21'!AB27*10^15/10^6</f>
        <v>12950516.241916627</v>
      </c>
      <c r="AE26" s="145">
        <f>'AEO 2026 Table 4'!AC50/'AEO 2026 Table 21'!AC27*10^15/10^6</f>
        <v>12802587.724933304</v>
      </c>
      <c r="AF26" s="145">
        <f>'AEO 2026 Table 4'!AD50/'AEO 2026 Table 21'!AD27*10^15/10^6</f>
        <v>12665793.07551142</v>
      </c>
    </row>
    <row r="28" spans="1:33" x14ac:dyDescent="0.45">
      <c r="A28" s="6" t="s">
        <v>267</v>
      </c>
      <c r="B28">
        <v>2017</v>
      </c>
      <c r="C28">
        <v>2020</v>
      </c>
      <c r="D28">
        <v>2030</v>
      </c>
      <c r="E28">
        <v>2040</v>
      </c>
      <c r="F28">
        <v>2050</v>
      </c>
    </row>
    <row r="29" spans="1:33" x14ac:dyDescent="0.45">
      <c r="A29" t="s">
        <v>268</v>
      </c>
      <c r="B29">
        <f>AVERAGE('EIA Costs'!D88:D89)-AVERAGE('EIA Costs'!E61:E62)</f>
        <v>150</v>
      </c>
      <c r="C29">
        <f>AVERAGE('EIA Costs'!G88:G89)-AVERAGE('EIA Costs'!H61:H62)</f>
        <v>150</v>
      </c>
      <c r="D29">
        <f>AVERAGE('EIA Costs'!I88:I89)-AVERAGE('EIA Costs'!J61:J62)</f>
        <v>150</v>
      </c>
      <c r="E29">
        <f>AVERAGE('EIA Costs'!K88:K89)-AVERAGE('EIA Costs'!L61:L62)</f>
        <v>150</v>
      </c>
      <c r="F29">
        <f>AVERAGE('EIA Costs'!M88:M89)-AVERAGE('EIA Costs'!N61:N62)</f>
        <v>150</v>
      </c>
    </row>
    <row r="30" spans="1:33" x14ac:dyDescent="0.45">
      <c r="A30" t="s">
        <v>269</v>
      </c>
      <c r="B30">
        <f>AVERAGE('EIA Costs'!D88:D89)-AVERAGE('EIA Costs'!E75:E76)</f>
        <v>-475</v>
      </c>
      <c r="C30">
        <f>AVERAGE('EIA Costs'!G88:G89)-AVERAGE('EIA Costs'!G75:G76)</f>
        <v>-475</v>
      </c>
      <c r="D30">
        <f>AVERAGE('EIA Costs'!I88:I89)-AVERAGE('EIA Costs'!I75:I76)</f>
        <v>-475</v>
      </c>
      <c r="E30">
        <f>AVERAGE('EIA Costs'!K88:K89)-AVERAGE('EIA Costs'!K75:K76)</f>
        <v>-475</v>
      </c>
      <c r="F30">
        <f>AVERAGE('EIA Costs'!M88:M89)-AVERAGE('EIA Costs'!M75:M76)</f>
        <v>-475</v>
      </c>
    </row>
    <row r="32" spans="1:33" x14ac:dyDescent="0.45">
      <c r="A32" s="6" t="s">
        <v>271</v>
      </c>
      <c r="B32">
        <v>2020</v>
      </c>
      <c r="C32">
        <v>2021</v>
      </c>
      <c r="D32">
        <v>2022</v>
      </c>
      <c r="E32">
        <v>2023</v>
      </c>
      <c r="F32">
        <v>2024</v>
      </c>
      <c r="G32">
        <v>2025</v>
      </c>
      <c r="H32">
        <v>2026</v>
      </c>
      <c r="I32">
        <v>2027</v>
      </c>
      <c r="J32">
        <v>2028</v>
      </c>
      <c r="K32">
        <v>2029</v>
      </c>
      <c r="L32">
        <v>2030</v>
      </c>
      <c r="M32">
        <v>2031</v>
      </c>
      <c r="N32">
        <v>2032</v>
      </c>
      <c r="O32">
        <v>2033</v>
      </c>
      <c r="P32">
        <v>2034</v>
      </c>
      <c r="Q32">
        <v>2035</v>
      </c>
      <c r="R32">
        <v>2036</v>
      </c>
      <c r="S32">
        <v>2037</v>
      </c>
      <c r="T32">
        <v>2038</v>
      </c>
      <c r="U32">
        <v>2039</v>
      </c>
      <c r="V32">
        <v>2040</v>
      </c>
      <c r="W32">
        <v>2041</v>
      </c>
      <c r="X32">
        <v>2042</v>
      </c>
      <c r="Y32">
        <v>2043</v>
      </c>
      <c r="Z32">
        <v>2044</v>
      </c>
      <c r="AA32">
        <v>2045</v>
      </c>
      <c r="AB32">
        <v>2046</v>
      </c>
      <c r="AC32">
        <v>2047</v>
      </c>
      <c r="AD32">
        <v>2048</v>
      </c>
      <c r="AE32">
        <v>2049</v>
      </c>
      <c r="AF32">
        <v>2050</v>
      </c>
    </row>
    <row r="33" spans="1:33" x14ac:dyDescent="0.45">
      <c r="A33" t="s">
        <v>272</v>
      </c>
      <c r="B33" s="4">
        <f>TREND($B$29:$C$29,$B$28:$C$28,B$32)</f>
        <v>150</v>
      </c>
      <c r="C33" s="4">
        <f t="shared" ref="C33:L33" si="3">TREND($C$29:$D$29,$C$28:$D$28,C$32)</f>
        <v>150</v>
      </c>
      <c r="D33" s="4">
        <f t="shared" si="3"/>
        <v>150</v>
      </c>
      <c r="E33" s="4">
        <f t="shared" si="3"/>
        <v>150</v>
      </c>
      <c r="F33" s="4">
        <f t="shared" si="3"/>
        <v>150</v>
      </c>
      <c r="G33" s="4">
        <f t="shared" si="3"/>
        <v>150</v>
      </c>
      <c r="H33" s="4">
        <f t="shared" si="3"/>
        <v>150</v>
      </c>
      <c r="I33" s="4">
        <f t="shared" si="3"/>
        <v>150</v>
      </c>
      <c r="J33" s="4">
        <f t="shared" si="3"/>
        <v>150</v>
      </c>
      <c r="K33" s="4">
        <f t="shared" si="3"/>
        <v>150</v>
      </c>
      <c r="L33" s="4">
        <f t="shared" si="3"/>
        <v>150</v>
      </c>
      <c r="M33" s="4">
        <f t="shared" ref="M33:AF33" si="4">TREND($D$29:$F$29,$D$28:$F$28,M$32)</f>
        <v>150</v>
      </c>
      <c r="N33" s="4">
        <f t="shared" si="4"/>
        <v>150</v>
      </c>
      <c r="O33" s="4">
        <f t="shared" si="4"/>
        <v>150</v>
      </c>
      <c r="P33" s="4">
        <f t="shared" si="4"/>
        <v>150</v>
      </c>
      <c r="Q33" s="4">
        <f t="shared" si="4"/>
        <v>150</v>
      </c>
      <c r="R33" s="4">
        <f t="shared" si="4"/>
        <v>150</v>
      </c>
      <c r="S33" s="4">
        <f t="shared" si="4"/>
        <v>150</v>
      </c>
      <c r="T33" s="4">
        <f t="shared" si="4"/>
        <v>150</v>
      </c>
      <c r="U33" s="4">
        <f t="shared" si="4"/>
        <v>150</v>
      </c>
      <c r="V33" s="4">
        <f t="shared" si="4"/>
        <v>150</v>
      </c>
      <c r="W33" s="4">
        <f t="shared" si="4"/>
        <v>150</v>
      </c>
      <c r="X33" s="4">
        <f t="shared" si="4"/>
        <v>150</v>
      </c>
      <c r="Y33" s="4">
        <f t="shared" si="4"/>
        <v>150</v>
      </c>
      <c r="Z33" s="4">
        <f t="shared" si="4"/>
        <v>150</v>
      </c>
      <c r="AA33" s="4">
        <f t="shared" si="4"/>
        <v>150</v>
      </c>
      <c r="AB33" s="4">
        <f t="shared" si="4"/>
        <v>150</v>
      </c>
      <c r="AC33" s="4">
        <f t="shared" si="4"/>
        <v>150</v>
      </c>
      <c r="AD33" s="4">
        <f t="shared" si="4"/>
        <v>150</v>
      </c>
      <c r="AE33" s="4">
        <f t="shared" si="4"/>
        <v>150</v>
      </c>
      <c r="AF33" s="4">
        <f t="shared" si="4"/>
        <v>150</v>
      </c>
    </row>
    <row r="34" spans="1:33" x14ac:dyDescent="0.45">
      <c r="A34" t="s">
        <v>273</v>
      </c>
      <c r="B34" s="4">
        <f>TREND($B$30:$C$30,$B$28:$C$28,B$32)</f>
        <v>-475</v>
      </c>
      <c r="C34" s="4">
        <f t="shared" ref="C34:L34" si="5">TREND($C$30:$D$30,$C$28:$D$28,C$32)</f>
        <v>-475</v>
      </c>
      <c r="D34" s="4">
        <f t="shared" si="5"/>
        <v>-475</v>
      </c>
      <c r="E34" s="4">
        <f t="shared" si="5"/>
        <v>-475</v>
      </c>
      <c r="F34" s="4">
        <f t="shared" si="5"/>
        <v>-475</v>
      </c>
      <c r="G34" s="4">
        <f t="shared" si="5"/>
        <v>-475</v>
      </c>
      <c r="H34" s="4">
        <f t="shared" si="5"/>
        <v>-475</v>
      </c>
      <c r="I34" s="4">
        <f t="shared" si="5"/>
        <v>-475</v>
      </c>
      <c r="J34" s="4">
        <f t="shared" si="5"/>
        <v>-475</v>
      </c>
      <c r="K34" s="4">
        <f t="shared" si="5"/>
        <v>-475</v>
      </c>
      <c r="L34" s="4">
        <f t="shared" si="5"/>
        <v>-475</v>
      </c>
      <c r="M34" s="4">
        <f t="shared" ref="M34:AF34" si="6">TREND($D$30:$F$30,$D$28:$F$28,M$32)</f>
        <v>-475</v>
      </c>
      <c r="N34" s="4">
        <f t="shared" si="6"/>
        <v>-475</v>
      </c>
      <c r="O34" s="4">
        <f t="shared" si="6"/>
        <v>-475</v>
      </c>
      <c r="P34" s="4">
        <f t="shared" si="6"/>
        <v>-475</v>
      </c>
      <c r="Q34" s="4">
        <f t="shared" si="6"/>
        <v>-475</v>
      </c>
      <c r="R34" s="4">
        <f t="shared" si="6"/>
        <v>-475</v>
      </c>
      <c r="S34" s="4">
        <f t="shared" si="6"/>
        <v>-475</v>
      </c>
      <c r="T34" s="4">
        <f t="shared" si="6"/>
        <v>-475</v>
      </c>
      <c r="U34" s="4">
        <f t="shared" si="6"/>
        <v>-475</v>
      </c>
      <c r="V34" s="4">
        <f t="shared" si="6"/>
        <v>-475</v>
      </c>
      <c r="W34" s="4">
        <f t="shared" si="6"/>
        <v>-475</v>
      </c>
      <c r="X34" s="4">
        <f t="shared" si="6"/>
        <v>-475</v>
      </c>
      <c r="Y34" s="4">
        <f t="shared" si="6"/>
        <v>-475</v>
      </c>
      <c r="Z34" s="4">
        <f t="shared" si="6"/>
        <v>-475</v>
      </c>
      <c r="AA34" s="4">
        <f t="shared" si="6"/>
        <v>-475</v>
      </c>
      <c r="AB34" s="4">
        <f t="shared" si="6"/>
        <v>-475</v>
      </c>
      <c r="AC34" s="4">
        <f t="shared" si="6"/>
        <v>-475</v>
      </c>
      <c r="AD34" s="4">
        <f t="shared" si="6"/>
        <v>-475</v>
      </c>
      <c r="AE34" s="4">
        <f t="shared" si="6"/>
        <v>-475</v>
      </c>
      <c r="AF34" s="4">
        <f t="shared" si="6"/>
        <v>-475</v>
      </c>
    </row>
    <row r="36" spans="1:33" x14ac:dyDescent="0.45">
      <c r="A36" s="6" t="s">
        <v>275</v>
      </c>
      <c r="B36">
        <v>2020</v>
      </c>
      <c r="C36">
        <v>2021</v>
      </c>
      <c r="D36">
        <v>2022</v>
      </c>
      <c r="E36">
        <v>2023</v>
      </c>
      <c r="F36">
        <v>2024</v>
      </c>
      <c r="G36">
        <v>2025</v>
      </c>
      <c r="H36">
        <v>2026</v>
      </c>
      <c r="I36">
        <v>2027</v>
      </c>
      <c r="J36">
        <v>2028</v>
      </c>
      <c r="K36">
        <v>2029</v>
      </c>
      <c r="L36">
        <v>2030</v>
      </c>
      <c r="M36">
        <v>2031</v>
      </c>
      <c r="N36">
        <v>2032</v>
      </c>
      <c r="O36">
        <v>2033</v>
      </c>
      <c r="P36">
        <v>2034</v>
      </c>
      <c r="Q36">
        <v>2035</v>
      </c>
      <c r="R36">
        <v>2036</v>
      </c>
      <c r="S36">
        <v>2037</v>
      </c>
      <c r="T36">
        <v>2038</v>
      </c>
      <c r="U36">
        <v>2039</v>
      </c>
      <c r="V36">
        <v>2040</v>
      </c>
      <c r="W36">
        <v>2041</v>
      </c>
      <c r="X36">
        <v>2042</v>
      </c>
      <c r="Y36">
        <v>2043</v>
      </c>
      <c r="Z36">
        <v>2044</v>
      </c>
      <c r="AA36">
        <v>2045</v>
      </c>
      <c r="AB36">
        <v>2046</v>
      </c>
      <c r="AC36">
        <v>2047</v>
      </c>
      <c r="AD36">
        <v>2048</v>
      </c>
      <c r="AE36">
        <v>2049</v>
      </c>
      <c r="AF36">
        <v>2050</v>
      </c>
    </row>
    <row r="37" spans="1:33" x14ac:dyDescent="0.45">
      <c r="A37" t="s">
        <v>264</v>
      </c>
      <c r="C37" s="38" t="e">
        <f t="shared" ref="C37:AF37" si="7">C33/C25</f>
        <v>#DIV/0!</v>
      </c>
      <c r="D37" s="38" t="e">
        <f t="shared" si="7"/>
        <v>#DIV/0!</v>
      </c>
      <c r="E37" s="38" t="e">
        <f t="shared" si="7"/>
        <v>#DIV/0!</v>
      </c>
      <c r="F37" s="38" t="e">
        <f t="shared" si="7"/>
        <v>#DIV/0!</v>
      </c>
      <c r="G37" s="38">
        <f t="shared" si="7"/>
        <v>9.5358783265284613E-6</v>
      </c>
      <c r="H37" s="38">
        <f t="shared" si="7"/>
        <v>9.5467794941744364E-6</v>
      </c>
      <c r="I37" s="38">
        <f t="shared" si="7"/>
        <v>9.5633378323182739E-6</v>
      </c>
      <c r="J37" s="38">
        <f t="shared" si="7"/>
        <v>9.5810053867280258E-6</v>
      </c>
      <c r="K37" s="38">
        <f t="shared" si="7"/>
        <v>9.675419521068141E-6</v>
      </c>
      <c r="L37" s="38">
        <f t="shared" si="7"/>
        <v>9.7870525767293705E-6</v>
      </c>
      <c r="M37" s="38">
        <f t="shared" si="7"/>
        <v>9.8928834177094291E-6</v>
      </c>
      <c r="N37" s="38">
        <f t="shared" si="7"/>
        <v>9.9884202066590126E-6</v>
      </c>
      <c r="O37" s="38">
        <f t="shared" si="7"/>
        <v>1.0091844936584412E-5</v>
      </c>
      <c r="P37" s="38">
        <f t="shared" si="7"/>
        <v>1.0173929341582862E-5</v>
      </c>
      <c r="Q37" s="38">
        <f t="shared" si="7"/>
        <v>1.0239336552870691E-5</v>
      </c>
      <c r="R37" s="38">
        <f t="shared" si="7"/>
        <v>1.0306834131125392E-5</v>
      </c>
      <c r="S37" s="38">
        <f t="shared" si="7"/>
        <v>1.0380273503601559E-5</v>
      </c>
      <c r="T37" s="38">
        <f t="shared" si="7"/>
        <v>1.0453682589484896E-5</v>
      </c>
      <c r="U37" s="38">
        <f t="shared" si="7"/>
        <v>1.0528438049399083E-5</v>
      </c>
      <c r="V37" s="38">
        <f t="shared" si="7"/>
        <v>1.0603479013056044E-5</v>
      </c>
      <c r="W37" s="38">
        <f t="shared" si="7"/>
        <v>1.0682035137355643E-5</v>
      </c>
      <c r="X37" s="38">
        <f t="shared" si="7"/>
        <v>1.0759076293848692E-5</v>
      </c>
      <c r="Y37" s="38">
        <f t="shared" si="7"/>
        <v>1.0837427224397374E-5</v>
      </c>
      <c r="Z37" s="38">
        <f t="shared" si="7"/>
        <v>1.0918608017070747E-5</v>
      </c>
      <c r="AA37" s="38">
        <f t="shared" si="7"/>
        <v>1.1008108069890751E-5</v>
      </c>
      <c r="AB37" s="38">
        <f t="shared" si="7"/>
        <v>1.1109984010534237E-5</v>
      </c>
      <c r="AC37" s="38">
        <f t="shared" si="7"/>
        <v>1.1221217401926258E-5</v>
      </c>
      <c r="AD37" s="38">
        <f t="shared" si="7"/>
        <v>1.133574759457253E-5</v>
      </c>
      <c r="AE37" s="38">
        <f t="shared" si="7"/>
        <v>1.1448285610121981E-5</v>
      </c>
      <c r="AF37" s="38">
        <f t="shared" si="7"/>
        <v>1.155438636613854E-5</v>
      </c>
    </row>
    <row r="38" spans="1:33" x14ac:dyDescent="0.45">
      <c r="A38" t="s">
        <v>265</v>
      </c>
      <c r="B38" s="38"/>
      <c r="C38" s="38" t="e">
        <f t="shared" ref="C38:AF38" si="8">C34/C26</f>
        <v>#DIV/0!</v>
      </c>
      <c r="D38" s="38" t="e">
        <f t="shared" si="8"/>
        <v>#DIV/0!</v>
      </c>
      <c r="E38" s="38" t="e">
        <f t="shared" si="8"/>
        <v>#DIV/0!</v>
      </c>
      <c r="F38" s="38" t="e">
        <f t="shared" si="8"/>
        <v>#DIV/0!</v>
      </c>
      <c r="G38" s="38">
        <f t="shared" si="8"/>
        <v>-2.791754563224767E-5</v>
      </c>
      <c r="H38" s="38">
        <f t="shared" si="8"/>
        <v>-2.8297990940766547E-5</v>
      </c>
      <c r="I38" s="38">
        <f t="shared" si="8"/>
        <v>-2.8906742929068553E-5</v>
      </c>
      <c r="J38" s="38">
        <f t="shared" si="8"/>
        <v>-2.9597839263224182E-5</v>
      </c>
      <c r="K38" s="38">
        <f t="shared" si="8"/>
        <v>-3.0358396485815838E-5</v>
      </c>
      <c r="L38" s="38">
        <f t="shared" si="8"/>
        <v>-3.1042513217187666E-5</v>
      </c>
      <c r="M38" s="38">
        <f t="shared" si="8"/>
        <v>-3.1685131298793472E-5</v>
      </c>
      <c r="N38" s="38">
        <f t="shared" si="8"/>
        <v>-3.2223178394411276E-5</v>
      </c>
      <c r="O38" s="38">
        <f t="shared" si="8"/>
        <v>-3.2660978471997405E-5</v>
      </c>
      <c r="P38" s="38">
        <f t="shared" si="8"/>
        <v>-3.2930867082035307E-5</v>
      </c>
      <c r="Q38" s="38">
        <f t="shared" si="8"/>
        <v>-3.3063719589457674E-5</v>
      </c>
      <c r="R38" s="38">
        <f t="shared" si="8"/>
        <v>-3.3236997503658434E-5</v>
      </c>
      <c r="S38" s="38">
        <f t="shared" si="8"/>
        <v>-3.3416222890508384E-5</v>
      </c>
      <c r="T38" s="38">
        <f t="shared" si="8"/>
        <v>-3.3607767044690485E-5</v>
      </c>
      <c r="U38" s="38">
        <f t="shared" si="8"/>
        <v>-3.3807038334707333E-5</v>
      </c>
      <c r="V38" s="38">
        <f t="shared" si="8"/>
        <v>-3.401928912615903E-5</v>
      </c>
      <c r="W38" s="38">
        <f t="shared" si="8"/>
        <v>-3.4260701275045542E-5</v>
      </c>
      <c r="X38" s="38">
        <f t="shared" si="8"/>
        <v>-3.4522660431089508E-5</v>
      </c>
      <c r="Y38" s="38">
        <f t="shared" si="8"/>
        <v>-3.4808631102164068E-5</v>
      </c>
      <c r="Z38" s="38">
        <f t="shared" si="8"/>
        <v>-3.5122415083625851E-5</v>
      </c>
      <c r="AA38" s="38">
        <f t="shared" si="8"/>
        <v>-3.5474117647058822E-5</v>
      </c>
      <c r="AB38" s="38">
        <f t="shared" si="8"/>
        <v>-3.5853166503374704E-5</v>
      </c>
      <c r="AC38" s="38">
        <f t="shared" si="8"/>
        <v>-3.6256518091829319E-5</v>
      </c>
      <c r="AD38" s="38">
        <f t="shared" si="8"/>
        <v>-3.6678074535946205E-5</v>
      </c>
      <c r="AE38" s="38">
        <f t="shared" si="8"/>
        <v>-3.7101874262101539E-5</v>
      </c>
      <c r="AF38" s="38">
        <f t="shared" si="8"/>
        <v>-3.7502586467987158E-5</v>
      </c>
    </row>
    <row r="40" spans="1:33" x14ac:dyDescent="0.45">
      <c r="A40" s="5" t="s">
        <v>278</v>
      </c>
      <c r="B40" s="5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 spans="1:33" x14ac:dyDescent="0.45">
      <c r="A41" s="54" t="s">
        <v>262</v>
      </c>
      <c r="B41" s="54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</row>
    <row r="42" spans="1:33" x14ac:dyDescent="0.45">
      <c r="A42" s="6" t="s">
        <v>279</v>
      </c>
    </row>
    <row r="43" spans="1:33" x14ac:dyDescent="0.45">
      <c r="A43" t="s">
        <v>280</v>
      </c>
      <c r="B43" s="102">
        <v>0.08</v>
      </c>
    </row>
    <row r="44" spans="1:33" x14ac:dyDescent="0.45">
      <c r="A44" t="s">
        <v>281</v>
      </c>
      <c r="B44" s="102">
        <v>0.25</v>
      </c>
    </row>
    <row r="47" spans="1:33" x14ac:dyDescent="0.45">
      <c r="A47" s="6" t="s">
        <v>282</v>
      </c>
      <c r="B47">
        <v>2015</v>
      </c>
      <c r="C47">
        <v>2017</v>
      </c>
      <c r="D47">
        <v>2020</v>
      </c>
      <c r="E47">
        <v>2030</v>
      </c>
      <c r="F47">
        <v>2040</v>
      </c>
      <c r="G47">
        <v>2050</v>
      </c>
    </row>
    <row r="48" spans="1:33" x14ac:dyDescent="0.45">
      <c r="A48" t="s">
        <v>268</v>
      </c>
      <c r="C48">
        <f>'EIA Costs'!D100/'EIA Costs'!D96</f>
        <v>5.375</v>
      </c>
      <c r="D48">
        <f>'EIA Costs'!F100/'EIA Costs'!F96</f>
        <v>5.375</v>
      </c>
      <c r="E48">
        <f>'EIA Costs'!H100/'EIA Costs'!H96</f>
        <v>5.5</v>
      </c>
      <c r="F48">
        <f>'EIA Costs'!J100/'EIA Costs'!J96</f>
        <v>5.5</v>
      </c>
      <c r="G48">
        <f>'EIA Costs'!L100/'EIA Costs'!L96</f>
        <v>5.5</v>
      </c>
    </row>
    <row r="49" spans="1:33" x14ac:dyDescent="0.45">
      <c r="A49" t="s">
        <v>269</v>
      </c>
      <c r="C49">
        <f>'EIA Costs'!D111/'EIA Costs'!D107</f>
        <v>16.5</v>
      </c>
      <c r="D49">
        <f>'EIA Costs'!F111/'EIA Costs'!F107</f>
        <v>16.5</v>
      </c>
      <c r="E49">
        <f>'EIA Costs'!G111/'EIA Costs'!G107</f>
        <v>16.5</v>
      </c>
      <c r="F49">
        <f>'EIA Costs'!H111/'EIA Costs'!H107</f>
        <v>16.5</v>
      </c>
      <c r="G49">
        <f>'EIA Costs'!I111/'EIA Costs'!I107</f>
        <v>16.5</v>
      </c>
    </row>
    <row r="50" spans="1:33" x14ac:dyDescent="0.45">
      <c r="A50" t="s">
        <v>283</v>
      </c>
      <c r="B50" s="37">
        <f>'NREL EF Table 22'!D5</f>
        <v>96</v>
      </c>
      <c r="C50" s="103"/>
      <c r="D50" s="89">
        <f>'NREL EF Table 22'!D11</f>
        <v>85</v>
      </c>
      <c r="E50" s="89">
        <f>'NREL EF Table 22'!D17</f>
        <v>73</v>
      </c>
      <c r="F50" s="89">
        <f>'NREL EF Table 22'!D23</f>
        <v>65</v>
      </c>
      <c r="G50" s="89">
        <f>'NREL EF Table 22'!D29</f>
        <v>60.296369222717402</v>
      </c>
    </row>
    <row r="52" spans="1:33" x14ac:dyDescent="0.45">
      <c r="A52" s="6" t="s">
        <v>284</v>
      </c>
      <c r="B52">
        <v>2020</v>
      </c>
      <c r="C52">
        <v>2021</v>
      </c>
      <c r="D52">
        <v>2022</v>
      </c>
      <c r="E52">
        <v>2023</v>
      </c>
      <c r="F52">
        <v>2024</v>
      </c>
      <c r="G52">
        <v>2025</v>
      </c>
      <c r="H52">
        <v>2026</v>
      </c>
      <c r="I52">
        <v>2027</v>
      </c>
      <c r="J52">
        <v>2028</v>
      </c>
      <c r="K52">
        <v>2029</v>
      </c>
      <c r="L52">
        <v>2030</v>
      </c>
      <c r="M52">
        <v>2031</v>
      </c>
      <c r="N52">
        <v>2032</v>
      </c>
      <c r="O52">
        <v>2033</v>
      </c>
      <c r="P52">
        <v>2034</v>
      </c>
      <c r="Q52">
        <v>2035</v>
      </c>
      <c r="R52">
        <v>2036</v>
      </c>
      <c r="S52">
        <v>2037</v>
      </c>
      <c r="T52">
        <v>2038</v>
      </c>
      <c r="U52">
        <v>2039</v>
      </c>
      <c r="V52">
        <v>2040</v>
      </c>
      <c r="W52">
        <v>2041</v>
      </c>
      <c r="X52">
        <v>2042</v>
      </c>
      <c r="Y52">
        <v>2043</v>
      </c>
      <c r="Z52">
        <v>2044</v>
      </c>
      <c r="AA52">
        <v>2045</v>
      </c>
      <c r="AB52">
        <v>2046</v>
      </c>
      <c r="AC52">
        <v>2047</v>
      </c>
      <c r="AD52">
        <v>2048</v>
      </c>
      <c r="AE52">
        <v>2049</v>
      </c>
      <c r="AF52">
        <v>2050</v>
      </c>
    </row>
    <row r="53" spans="1:33" x14ac:dyDescent="0.45">
      <c r="A53" t="s">
        <v>272</v>
      </c>
      <c r="B53">
        <f>(TREND($C$48:$D$48,$C$47:$D$47,B$32))*(About!$A$53)</f>
        <v>5.0345453247389038</v>
      </c>
      <c r="C53">
        <f>(TREND($D$48:$E$48,$D$47:$E$47,C$32))*(About!$A$53)</f>
        <v>5.0462535696801591</v>
      </c>
      <c r="D53">
        <f>(TREND($D$48:$E$48,$D$47:$E$47,D$32))*(About!$A$53)</f>
        <v>5.0579618146214118</v>
      </c>
      <c r="E53">
        <f>(TREND($D$48:$E$48,$D$47:$E$47,E$32))*(About!$A$53)</f>
        <v>5.0696700595626645</v>
      </c>
      <c r="F53">
        <f>(TREND($D$48:$E$48,$D$47:$E$47,F$32))*(About!$A$53)</f>
        <v>5.0813783045039171</v>
      </c>
      <c r="G53">
        <f>(TREND($D$48:$E$48,$D$47:$E$47,G$32))*(About!$A$53)</f>
        <v>5.0930865494451698</v>
      </c>
      <c r="H53">
        <f>(TREND($D$48:$E$48,$D$47:$E$47,H$32))*(About!$A$53)</f>
        <v>5.104794794386426</v>
      </c>
      <c r="I53">
        <f>(TREND($D$48:$E$48,$D$47:$E$47,I$32))*(About!$A$53)</f>
        <v>5.1165030393276787</v>
      </c>
      <c r="J53">
        <f>(TREND($D$48:$E$48,$D$47:$E$47,J$32))*(About!$A$53)</f>
        <v>5.1282112842689305</v>
      </c>
      <c r="K53">
        <f>(TREND($D$48:$E$48,$D$47:$E$47,K$32))*(About!$A$53)</f>
        <v>5.1399195292101831</v>
      </c>
      <c r="L53">
        <f>(TREND($D$48:$E$48,$D$47:$E$47,L$32))*(About!$A$53)</f>
        <v>5.1516277741514358</v>
      </c>
      <c r="M53">
        <f>(TREND($E$48:$G$48,$E$47:$G$47,M$32))*(About!$A$53)</f>
        <v>5.1516277741514358</v>
      </c>
      <c r="N53">
        <f>(TREND($E$48:$G$48,$E$47:$G$47,N$32))*(About!$A$53)</f>
        <v>5.1516277741514358</v>
      </c>
      <c r="O53">
        <f>(TREND($E$48:$G$48,$E$47:$G$47,O$32))*(About!$A$53)</f>
        <v>5.1516277741514358</v>
      </c>
      <c r="P53">
        <f>(TREND($E$48:$G$48,$E$47:$G$47,P$32))*(About!$A$53)</f>
        <v>5.1516277741514358</v>
      </c>
      <c r="Q53">
        <f>(TREND($E$48:$G$48,$E$47:$G$47,Q$32))*(About!$A$53)</f>
        <v>5.1516277741514358</v>
      </c>
      <c r="R53">
        <f>(TREND($E$48:$G$48,$E$47:$G$47,R$32))*(About!$A$53)</f>
        <v>5.1516277741514358</v>
      </c>
      <c r="S53">
        <f>(TREND($E$48:$G$48,$E$47:$G$47,S$32))*(About!$A$53)</f>
        <v>5.1516277741514358</v>
      </c>
      <c r="T53">
        <f>(TREND($E$48:$G$48,$E$47:$G$47,T$32))*(About!$A$53)</f>
        <v>5.1516277741514358</v>
      </c>
      <c r="U53">
        <f>(TREND($E$48:$G$48,$E$47:$G$47,U$32))*(About!$A$53)</f>
        <v>5.1516277741514358</v>
      </c>
      <c r="V53">
        <f>(TREND($E$48:$G$48,$E$47:$G$47,V$32))*(About!$A$53)</f>
        <v>5.1516277741514358</v>
      </c>
      <c r="W53">
        <f>(TREND($E$48:$G$48,$E$47:$G$47,W$32))*(About!$A$53)</f>
        <v>5.1516277741514358</v>
      </c>
      <c r="X53">
        <f>(TREND($E$48:$G$48,$E$47:$G$47,X$32))*(About!$A$53)</f>
        <v>5.1516277741514358</v>
      </c>
      <c r="Y53">
        <f>(TREND($E$48:$G$48,$E$47:$G$47,Y$32))*(About!$A$53)</f>
        <v>5.1516277741514358</v>
      </c>
      <c r="Z53">
        <f>(TREND($E$48:$G$48,$E$47:$G$47,Z$32))*(About!$A$53)</f>
        <v>5.1516277741514358</v>
      </c>
      <c r="AA53">
        <f>(TREND($E$48:$G$48,$E$47:$G$47,AA$32))*(About!$A$53)</f>
        <v>5.1516277741514358</v>
      </c>
      <c r="AB53">
        <f>(TREND($E$48:$G$48,$E$47:$G$47,AB$32))*(About!$A$53)</f>
        <v>5.1516277741514358</v>
      </c>
      <c r="AC53">
        <f>(TREND($E$48:$G$48,$E$47:$G$47,AC$32))*(About!$A$53)</f>
        <v>5.1516277741514358</v>
      </c>
      <c r="AD53">
        <f>(TREND($E$48:$G$48,$E$47:$G$47,AD$32))*(About!$A$53)</f>
        <v>5.1516277741514358</v>
      </c>
      <c r="AE53">
        <f>(TREND($E$48:$G$48,$E$47:$G$47,AE$32))*(About!$A$53)</f>
        <v>5.1516277741514358</v>
      </c>
      <c r="AF53">
        <f>(TREND($E$48:$G$48,$E$47:$G$47,AF$32))*(About!$A$53)</f>
        <v>5.1516277741514358</v>
      </c>
    </row>
    <row r="54" spans="1:33" x14ac:dyDescent="0.45">
      <c r="A54" t="s">
        <v>273</v>
      </c>
      <c r="B54">
        <f>(TREND($C$49:$D$49,$C$47:$D$47,B$32))*(About!$A$53)</f>
        <v>15.454883322454307</v>
      </c>
      <c r="C54">
        <f>(TREND($D$49:$E$49,$D$47:$E$47,C$32))*(About!$A$53)</f>
        <v>15.454883322454307</v>
      </c>
      <c r="D54">
        <f>(TREND($D$49:$E$49,$D$47:$E$47,D$32))*(About!$A$53)</f>
        <v>15.454883322454307</v>
      </c>
      <c r="E54">
        <f>(TREND($D$49:$E$49,$D$47:$E$47,E$32))*(About!$A$53)</f>
        <v>15.454883322454307</v>
      </c>
      <c r="F54">
        <f>(TREND($D$49:$E$49,$D$47:$E$47,F$32))*(About!$A$53)</f>
        <v>15.454883322454307</v>
      </c>
      <c r="G54">
        <f>(TREND($D$49:$E$49,$D$47:$E$47,G$32))*(About!$A$53)</f>
        <v>15.454883322454307</v>
      </c>
      <c r="H54">
        <f>(TREND($D$49:$E$49,$D$47:$E$47,H$32))*(About!$A$53)</f>
        <v>15.454883322454307</v>
      </c>
      <c r="I54">
        <f>(TREND($D$49:$E$49,$D$47:$E$47,I$32))*(About!$A$53)</f>
        <v>15.454883322454307</v>
      </c>
      <c r="J54">
        <f>(TREND($D$49:$E$49,$D$47:$E$47,J$32))*(About!$A$53)</f>
        <v>15.454883322454307</v>
      </c>
      <c r="K54">
        <f>(TREND($D$49:$E$49,$D$47:$E$47,K$32))*(About!$A$53)</f>
        <v>15.454883322454307</v>
      </c>
      <c r="L54">
        <f>(TREND($D$49:$E$49,$D$47:$E$47,L$32))*(About!$A$53)</f>
        <v>15.454883322454307</v>
      </c>
      <c r="M54">
        <f>(TREND($E$49:$G$49,$E$47:$G$47,M$32))*(About!$A$53)</f>
        <v>15.454883322454307</v>
      </c>
      <c r="N54">
        <f>(TREND($E$49:$G$49,$E$47:$G$47,N$32))*(About!$A$53)</f>
        <v>15.454883322454307</v>
      </c>
      <c r="O54">
        <f>(TREND($E$49:$G$49,$E$47:$G$47,O$32))*(About!$A$53)</f>
        <v>15.454883322454307</v>
      </c>
      <c r="P54">
        <f>(TREND($E$49:$G$49,$E$47:$G$47,P$32))*(About!$A$53)</f>
        <v>15.454883322454307</v>
      </c>
      <c r="Q54">
        <f>(TREND($E$49:$G$49,$E$47:$G$47,Q$32))*(About!$A$53)</f>
        <v>15.454883322454307</v>
      </c>
      <c r="R54">
        <f>(TREND($E$49:$G$49,$E$47:$G$47,R$32))*(About!$A$53)</f>
        <v>15.454883322454307</v>
      </c>
      <c r="S54">
        <f>(TREND($E$49:$G$49,$E$47:$G$47,S$32))*(About!$A$53)</f>
        <v>15.454883322454307</v>
      </c>
      <c r="T54">
        <f>(TREND($E$49:$G$49,$E$47:$G$47,T$32))*(About!$A$53)</f>
        <v>15.454883322454307</v>
      </c>
      <c r="U54">
        <f>(TREND($E$49:$G$49,$E$47:$G$47,U$32))*(About!$A$53)</f>
        <v>15.454883322454307</v>
      </c>
      <c r="V54">
        <f>(TREND($E$49:$G$49,$E$47:$G$47,V$32))*(About!$A$53)</f>
        <v>15.454883322454307</v>
      </c>
      <c r="W54">
        <f>(TREND($E$49:$G$49,$E$47:$G$47,W$32))*(About!$A$53)</f>
        <v>15.454883322454307</v>
      </c>
      <c r="X54">
        <f>(TREND($E$49:$G$49,$E$47:$G$47,X$32))*(About!$A$53)</f>
        <v>15.454883322454307</v>
      </c>
      <c r="Y54">
        <f>(TREND($E$49:$G$49,$E$47:$G$47,Y$32))*(About!$A$53)</f>
        <v>15.454883322454307</v>
      </c>
      <c r="Z54">
        <f>(TREND($E$49:$G$49,$E$47:$G$47,Z$32))*(About!$A$53)</f>
        <v>15.454883322454307</v>
      </c>
      <c r="AA54">
        <f>(TREND($E$49:$G$49,$E$47:$G$47,AA$32))*(About!$A$53)</f>
        <v>15.454883322454307</v>
      </c>
      <c r="AB54">
        <f>(TREND($E$49:$G$49,$E$47:$G$47,AB$32))*(About!$A$53)</f>
        <v>15.454883322454307</v>
      </c>
      <c r="AC54">
        <f>(TREND($E$49:$G$49,$E$47:$G$47,AC$32))*(About!$A$53)</f>
        <v>15.454883322454307</v>
      </c>
      <c r="AD54">
        <f>(TREND($E$49:$G$49,$E$47:$G$47,AD$32))*(About!$A$53)</f>
        <v>15.454883322454307</v>
      </c>
      <c r="AE54">
        <f>(TREND($E$49:$G$49,$E$47:$G$47,AE$32))*(About!$A$53)</f>
        <v>15.454883322454307</v>
      </c>
      <c r="AF54">
        <f>(TREND($E$49:$G$49,$E$47:$G$47,AF$32))*(About!$A$53)</f>
        <v>15.454883322454307</v>
      </c>
    </row>
    <row r="55" spans="1:33" x14ac:dyDescent="0.45">
      <c r="A55" t="s">
        <v>285</v>
      </c>
      <c r="B55">
        <f>(TREND($D$50:$E$50,$D$47:$E$47,B$32))*(About!$A$55)</f>
        <v>81.312170061706524</v>
      </c>
      <c r="C55">
        <f>(TREND($D$50:$E$50,$D$47:$E$47,C$32))*(About!$A$55)</f>
        <v>80.164233543188487</v>
      </c>
      <c r="D55">
        <f>(TREND($D$50:$E$50,$D$47:$E$47,D$32))*(About!$A$55)</f>
        <v>79.016297024670024</v>
      </c>
      <c r="E55">
        <f>(TREND($D$50:$E$50,$D$47:$E$47,E$32))*(About!$A$55)</f>
        <v>77.868360506151987</v>
      </c>
      <c r="F55">
        <f>(TREND($D$50:$E$50,$D$47:$E$47,F$32))*(About!$A$55)</f>
        <v>76.72042398763395</v>
      </c>
      <c r="G55">
        <f>(TREND($D$50:$E$50,$D$47:$E$47,G$32))*(About!$A$55)</f>
        <v>75.572487469115472</v>
      </c>
      <c r="H55">
        <f>(TREND($D$50:$E$50,$D$47:$E$47,H$32))*(About!$A$55)</f>
        <v>74.42455095059745</v>
      </c>
      <c r="I55">
        <f>(TREND($D$50:$E$50,$D$47:$E$47,I$32))*(About!$A$55)</f>
        <v>73.276614432078972</v>
      </c>
      <c r="J55">
        <f>(TREND($D$50:$E$50,$D$47:$E$47,J$32))*(About!$A$55)</f>
        <v>72.128677913560935</v>
      </c>
      <c r="K55">
        <f>(TREND($D$50:$E$50,$D$47:$E$47,K$32))*(About!$A$55)</f>
        <v>70.980741395042898</v>
      </c>
      <c r="L55">
        <f>(TREND($D$50:$E$50,$D$47:$E$47,L$32))*(About!$A$55)</f>
        <v>69.832804876524435</v>
      </c>
      <c r="M55">
        <f>(TREND($E$50:$G$50,$E$47:$G$47,M$32))*(About!$A$55)</f>
        <v>68.699622777166127</v>
      </c>
      <c r="N55">
        <f>(TREND($E$50:$G$50,$E$47:$G$47,N$32))*(About!$A$55)</f>
        <v>68.091999373540531</v>
      </c>
      <c r="O55">
        <f>(TREND($E$50:$G$50,$E$47:$G$47,O$32))*(About!$A$55)</f>
        <v>67.484375969914936</v>
      </c>
      <c r="P55">
        <f>(TREND($E$50:$G$50,$E$47:$G$47,P$32))*(About!$A$55)</f>
        <v>66.876752566289341</v>
      </c>
      <c r="Q55">
        <f>(TREND($E$50:$G$50,$E$47:$G$47,Q$32))*(About!$A$55)</f>
        <v>66.269129162663745</v>
      </c>
      <c r="R55">
        <f>(TREND($E$50:$G$50,$E$47:$G$47,R$32))*(About!$A$55)</f>
        <v>65.66150575903815</v>
      </c>
      <c r="S55">
        <f>(TREND($E$50:$G$50,$E$47:$G$47,S$32))*(About!$A$55)</f>
        <v>65.053882355412554</v>
      </c>
      <c r="T55">
        <f>(TREND($E$50:$G$50,$E$47:$G$47,T$32))*(About!$A$55)</f>
        <v>64.446258951786959</v>
      </c>
      <c r="U55">
        <f>(TREND($E$50:$G$50,$E$47:$G$47,U$32))*(About!$A$55)</f>
        <v>63.838635548161371</v>
      </c>
      <c r="V55">
        <f>(TREND($E$50:$G$50,$E$47:$G$47,V$32))*(About!$A$55)</f>
        <v>63.231012144535555</v>
      </c>
      <c r="W55">
        <f>(TREND($E$50:$G$50,$E$47:$G$47,W$32))*(About!$A$55)</f>
        <v>62.623388740909959</v>
      </c>
      <c r="X55">
        <f>(TREND($E$50:$G$50,$E$47:$G$47,X$32))*(About!$A$55)</f>
        <v>62.015765337284364</v>
      </c>
      <c r="Y55">
        <f>(TREND($E$50:$G$50,$E$47:$G$47,Y$32))*(About!$A$55)</f>
        <v>61.408141933658769</v>
      </c>
      <c r="Z55">
        <f>(TREND($E$50:$G$50,$E$47:$G$47,Z$32))*(About!$A$55)</f>
        <v>60.80051853003318</v>
      </c>
      <c r="AA55">
        <f>(TREND($E$50:$G$50,$E$47:$G$47,AA$32))*(About!$A$55)</f>
        <v>60.192895126407585</v>
      </c>
      <c r="AB55">
        <f>(TREND($E$50:$G$50,$E$47:$G$47,AB$32))*(About!$A$55)</f>
        <v>59.585271722781989</v>
      </c>
      <c r="AC55">
        <f>(TREND($E$50:$G$50,$E$47:$G$47,AC$32))*(About!$A$55)</f>
        <v>58.977648319156394</v>
      </c>
      <c r="AD55">
        <f>(TREND($E$50:$G$50,$E$47:$G$47,AD$32))*(About!$A$55)</f>
        <v>58.370024915530799</v>
      </c>
      <c r="AE55">
        <f>(TREND($E$50:$G$50,$E$47:$G$47,AE$32))*(About!$A$55)</f>
        <v>57.762401511905203</v>
      </c>
      <c r="AF55">
        <f>(TREND($E$50:$G$50,$E$47:$G$47,AF$32))*(About!$A$55)</f>
        <v>57.154778108279608</v>
      </c>
    </row>
    <row r="57" spans="1:33" x14ac:dyDescent="0.45">
      <c r="A57" s="6" t="s">
        <v>286</v>
      </c>
      <c r="B57">
        <v>2020</v>
      </c>
      <c r="C57">
        <v>2021</v>
      </c>
      <c r="D57">
        <v>2022</v>
      </c>
      <c r="E57">
        <v>2023</v>
      </c>
      <c r="F57">
        <v>2024</v>
      </c>
      <c r="G57">
        <v>2025</v>
      </c>
      <c r="H57">
        <v>2026</v>
      </c>
      <c r="I57">
        <v>2027</v>
      </c>
      <c r="J57">
        <v>2028</v>
      </c>
      <c r="K57">
        <v>2029</v>
      </c>
      <c r="L57">
        <v>2030</v>
      </c>
      <c r="M57">
        <v>2031</v>
      </c>
      <c r="N57">
        <v>2032</v>
      </c>
      <c r="O57">
        <v>2033</v>
      </c>
      <c r="P57">
        <v>2034</v>
      </c>
      <c r="Q57">
        <v>2035</v>
      </c>
      <c r="R57">
        <v>2036</v>
      </c>
      <c r="S57">
        <v>2037</v>
      </c>
      <c r="T57">
        <v>2038</v>
      </c>
      <c r="U57">
        <v>2039</v>
      </c>
      <c r="V57">
        <v>2040</v>
      </c>
      <c r="W57">
        <v>2041</v>
      </c>
      <c r="X57">
        <v>2042</v>
      </c>
      <c r="Y57">
        <v>2043</v>
      </c>
      <c r="Z57">
        <v>2044</v>
      </c>
      <c r="AA57">
        <v>2045</v>
      </c>
      <c r="AB57">
        <v>2046</v>
      </c>
      <c r="AC57">
        <v>2047</v>
      </c>
      <c r="AD57">
        <v>2048</v>
      </c>
      <c r="AE57">
        <v>2049</v>
      </c>
      <c r="AF57">
        <v>2050</v>
      </c>
    </row>
    <row r="58" spans="1:33" x14ac:dyDescent="0.45">
      <c r="A58" t="s">
        <v>264</v>
      </c>
      <c r="B58" s="38">
        <f t="shared" ref="B58:AF58" si="9">(B55-B53)/(8760*10^3*$B$43)</f>
        <v>1.0884364260412047E-4</v>
      </c>
      <c r="C58" s="38">
        <f t="shared" si="9"/>
        <v>1.0718889836402444E-4</v>
      </c>
      <c r="D58" s="38">
        <f t="shared" si="9"/>
        <v>1.0553415412392782E-4</v>
      </c>
      <c r="E58" s="38">
        <f t="shared" si="9"/>
        <v>1.0387940988383179E-4</v>
      </c>
      <c r="F58" s="38">
        <f t="shared" si="9"/>
        <v>1.0222466564373579E-4</v>
      </c>
      <c r="G58" s="38">
        <f t="shared" si="9"/>
        <v>1.0056992140363913E-4</v>
      </c>
      <c r="H58" s="38">
        <f t="shared" si="9"/>
        <v>9.8915177163543138E-5</v>
      </c>
      <c r="I58" s="38">
        <f t="shared" si="9"/>
        <v>9.7260432923446482E-5</v>
      </c>
      <c r="J58" s="38">
        <f t="shared" si="9"/>
        <v>9.5605688683350463E-5</v>
      </c>
      <c r="K58" s="38">
        <f t="shared" si="9"/>
        <v>9.3950944443254431E-5</v>
      </c>
      <c r="L58" s="38">
        <f t="shared" si="9"/>
        <v>9.2296200203157816E-5</v>
      </c>
      <c r="M58" s="38">
        <f t="shared" si="9"/>
        <v>9.0679216613890823E-5</v>
      </c>
      <c r="N58" s="38">
        <f t="shared" si="9"/>
        <v>8.9812174085886264E-5</v>
      </c>
      <c r="O58" s="38">
        <f t="shared" si="9"/>
        <v>8.8945131557881704E-5</v>
      </c>
      <c r="P58" s="38">
        <f t="shared" si="9"/>
        <v>8.8078089029877145E-5</v>
      </c>
      <c r="Q58" s="38">
        <f t="shared" si="9"/>
        <v>8.7211046501872586E-5</v>
      </c>
      <c r="R58" s="38">
        <f t="shared" si="9"/>
        <v>8.6344003973868027E-5</v>
      </c>
      <c r="S58" s="38">
        <f t="shared" si="9"/>
        <v>8.5476961445863468E-5</v>
      </c>
      <c r="T58" s="38">
        <f t="shared" si="9"/>
        <v>8.4609918917858909E-5</v>
      </c>
      <c r="U58" s="38">
        <f t="shared" si="9"/>
        <v>8.3742876389854363E-5</v>
      </c>
      <c r="V58" s="38">
        <f t="shared" si="9"/>
        <v>8.2875833861849478E-5</v>
      </c>
      <c r="W58" s="38">
        <f t="shared" si="9"/>
        <v>8.2008791333844919E-5</v>
      </c>
      <c r="X58" s="38">
        <f t="shared" si="9"/>
        <v>8.114174880584036E-5</v>
      </c>
      <c r="Y58" s="38">
        <f t="shared" si="9"/>
        <v>8.0274706277835801E-5</v>
      </c>
      <c r="Z58" s="38">
        <f t="shared" si="9"/>
        <v>7.9407663749831255E-5</v>
      </c>
      <c r="AA58" s="38">
        <f t="shared" si="9"/>
        <v>7.8540621221826696E-5</v>
      </c>
      <c r="AB58" s="38">
        <f t="shared" si="9"/>
        <v>7.7673578693822137E-5</v>
      </c>
      <c r="AC58" s="38">
        <f t="shared" si="9"/>
        <v>7.6806536165817578E-5</v>
      </c>
      <c r="AD58" s="38">
        <f t="shared" si="9"/>
        <v>7.5939493637813019E-5</v>
      </c>
      <c r="AE58" s="38">
        <f t="shared" si="9"/>
        <v>7.5072451109808459E-5</v>
      </c>
      <c r="AF58" s="38">
        <f t="shared" si="9"/>
        <v>7.42054085818039E-5</v>
      </c>
    </row>
    <row r="59" spans="1:33" x14ac:dyDescent="0.45">
      <c r="A59" t="s">
        <v>265</v>
      </c>
      <c r="B59" s="38">
        <f t="shared" ref="B59:AF59" si="10">(B55-B54)/(8760*10^3*$B$43)</f>
        <v>9.3974438840257161E-5</v>
      </c>
      <c r="C59" s="38">
        <f t="shared" si="10"/>
        <v>9.2336401570682338E-5</v>
      </c>
      <c r="D59" s="38">
        <f t="shared" si="10"/>
        <v>9.0698364301106905E-5</v>
      </c>
      <c r="E59" s="38">
        <f t="shared" si="10"/>
        <v>8.9060327031532081E-5</v>
      </c>
      <c r="F59" s="38">
        <f t="shared" si="10"/>
        <v>8.7422289761957258E-5</v>
      </c>
      <c r="G59" s="38">
        <f t="shared" si="10"/>
        <v>8.5784252492381797E-5</v>
      </c>
      <c r="H59" s="38">
        <f t="shared" si="10"/>
        <v>8.4146215222807001E-5</v>
      </c>
      <c r="I59" s="38">
        <f t="shared" si="10"/>
        <v>8.250817795323154E-5</v>
      </c>
      <c r="J59" s="38">
        <f t="shared" si="10"/>
        <v>8.0870140683656717E-5</v>
      </c>
      <c r="K59" s="38">
        <f t="shared" si="10"/>
        <v>7.9232103414081893E-5</v>
      </c>
      <c r="L59" s="38">
        <f t="shared" si="10"/>
        <v>7.759406614450646E-5</v>
      </c>
      <c r="M59" s="38">
        <f t="shared" si="10"/>
        <v>7.5977082555239467E-5</v>
      </c>
      <c r="N59" s="38">
        <f t="shared" si="10"/>
        <v>7.5110040027234908E-5</v>
      </c>
      <c r="O59" s="38">
        <f t="shared" si="10"/>
        <v>7.4242997499230349E-5</v>
      </c>
      <c r="P59" s="38">
        <f t="shared" si="10"/>
        <v>7.337595497122579E-5</v>
      </c>
      <c r="Q59" s="38">
        <f t="shared" si="10"/>
        <v>7.2508912443221231E-5</v>
      </c>
      <c r="R59" s="38">
        <f t="shared" si="10"/>
        <v>7.1641869915216671E-5</v>
      </c>
      <c r="S59" s="38">
        <f t="shared" si="10"/>
        <v>7.0774827387212112E-5</v>
      </c>
      <c r="T59" s="38">
        <f t="shared" si="10"/>
        <v>6.9907784859207553E-5</v>
      </c>
      <c r="U59" s="38">
        <f t="shared" si="10"/>
        <v>6.9040742331203007E-5</v>
      </c>
      <c r="V59" s="38">
        <f t="shared" si="10"/>
        <v>6.8173699803198123E-5</v>
      </c>
      <c r="W59" s="38">
        <f t="shared" si="10"/>
        <v>6.7306657275193564E-5</v>
      </c>
      <c r="X59" s="38">
        <f t="shared" si="10"/>
        <v>6.6439614747189005E-5</v>
      </c>
      <c r="Y59" s="38">
        <f t="shared" si="10"/>
        <v>6.5572572219184445E-5</v>
      </c>
      <c r="Z59" s="38">
        <f t="shared" si="10"/>
        <v>6.47055296911799E-5</v>
      </c>
      <c r="AA59" s="38">
        <f t="shared" si="10"/>
        <v>6.3838487163175341E-5</v>
      </c>
      <c r="AB59" s="38">
        <f t="shared" si="10"/>
        <v>6.2971444635170781E-5</v>
      </c>
      <c r="AC59" s="38">
        <f t="shared" si="10"/>
        <v>6.2104402107166222E-5</v>
      </c>
      <c r="AD59" s="38">
        <f t="shared" si="10"/>
        <v>6.1237359579161663E-5</v>
      </c>
      <c r="AE59" s="38">
        <f t="shared" si="10"/>
        <v>6.0370317051157097E-5</v>
      </c>
      <c r="AF59" s="38">
        <f t="shared" si="10"/>
        <v>5.9503274523152538E-5</v>
      </c>
    </row>
    <row r="61" spans="1:33" x14ac:dyDescent="0.45">
      <c r="A61" s="54" t="s">
        <v>276</v>
      </c>
      <c r="B61" s="54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</row>
    <row r="62" spans="1:33" x14ac:dyDescent="0.45">
      <c r="A62" s="6" t="s">
        <v>279</v>
      </c>
    </row>
    <row r="63" spans="1:33" x14ac:dyDescent="0.45">
      <c r="A63" t="s">
        <v>280</v>
      </c>
      <c r="B63" s="102">
        <v>0.08</v>
      </c>
    </row>
    <row r="64" spans="1:33" x14ac:dyDescent="0.45">
      <c r="A64" t="s">
        <v>281</v>
      </c>
      <c r="B64" s="102">
        <v>0.25</v>
      </c>
    </row>
    <row r="67" spans="1:32" x14ac:dyDescent="0.45">
      <c r="A67" s="6" t="s">
        <v>282</v>
      </c>
      <c r="B67">
        <v>2015</v>
      </c>
      <c r="C67">
        <v>2017</v>
      </c>
      <c r="D67">
        <v>2020</v>
      </c>
      <c r="E67">
        <v>2030</v>
      </c>
      <c r="F67">
        <v>2040</v>
      </c>
      <c r="G67">
        <v>2050</v>
      </c>
    </row>
    <row r="68" spans="1:32" x14ac:dyDescent="0.45">
      <c r="A68" t="s">
        <v>268</v>
      </c>
      <c r="C68">
        <f>AVERAGE('EIA Costs'!D134:D135)/'EIA Costs'!D131</f>
        <v>19.472361809045225</v>
      </c>
      <c r="D68">
        <f>AVERAGE('EIA Costs'!G134:G135)/'EIA Costs'!G131</f>
        <v>19.472361809045225</v>
      </c>
      <c r="E68">
        <f>AVERAGE('EIA Costs'!I134:I135)/'EIA Costs'!I131</f>
        <v>19.472361809045225</v>
      </c>
      <c r="F68">
        <f>AVERAGE('EIA Costs'!K134:K135)/'EIA Costs'!K131</f>
        <v>19.472361809045225</v>
      </c>
      <c r="G68">
        <f>AVERAGE('EIA Costs'!M134:M135)/'EIA Costs'!M131</f>
        <v>19.472361809045225</v>
      </c>
      <c r="K68" s="38"/>
    </row>
    <row r="69" spans="1:32" x14ac:dyDescent="0.45">
      <c r="A69" t="s">
        <v>269</v>
      </c>
      <c r="C69">
        <f>'EIA Costs'!D148/'EIA Costs'!D144</f>
        <v>17.333333333333332</v>
      </c>
      <c r="D69">
        <f>'EIA Costs'!F148/'EIA Costs'!F144</f>
        <v>17.333333333333332</v>
      </c>
      <c r="E69">
        <f>'EIA Costs'!H148/'EIA Costs'!H144</f>
        <v>17.333333333333332</v>
      </c>
      <c r="F69">
        <f>'EIA Costs'!J148/'EIA Costs'!J144</f>
        <v>17.333333333333332</v>
      </c>
      <c r="G69">
        <f>'EIA Costs'!L148/'EIA Costs'!L144</f>
        <v>17.333333333333332</v>
      </c>
    </row>
    <row r="70" spans="1:32" x14ac:dyDescent="0.45">
      <c r="A70" t="s">
        <v>283</v>
      </c>
      <c r="B70" s="37">
        <f>'NREL EF Table 23'!D5</f>
        <v>310</v>
      </c>
      <c r="C70" s="103"/>
      <c r="D70" s="89">
        <f>'NREL EF Table 23'!D8</f>
        <v>287.51781145613171</v>
      </c>
      <c r="E70" s="89">
        <f>'NREL EF Table 23'!D11</f>
        <v>247.326626775699</v>
      </c>
      <c r="F70" s="89">
        <f>'NREL EF Table 23'!D14</f>
        <v>212.75363777446901</v>
      </c>
      <c r="G70" s="89">
        <f>'NREL EF Table 23'!D17</f>
        <v>184.45</v>
      </c>
    </row>
    <row r="72" spans="1:32" x14ac:dyDescent="0.45">
      <c r="A72" s="6" t="s">
        <v>284</v>
      </c>
      <c r="B72">
        <v>2020</v>
      </c>
      <c r="C72">
        <v>2021</v>
      </c>
      <c r="D72">
        <v>2022</v>
      </c>
      <c r="E72">
        <v>2023</v>
      </c>
      <c r="F72">
        <v>2024</v>
      </c>
      <c r="G72">
        <v>2025</v>
      </c>
      <c r="H72">
        <v>2026</v>
      </c>
      <c r="I72">
        <v>2027</v>
      </c>
      <c r="J72">
        <v>2028</v>
      </c>
      <c r="K72">
        <v>2029</v>
      </c>
      <c r="L72">
        <v>2030</v>
      </c>
      <c r="M72">
        <v>2031</v>
      </c>
      <c r="N72">
        <v>2032</v>
      </c>
      <c r="O72">
        <v>2033</v>
      </c>
      <c r="P72">
        <v>2034</v>
      </c>
      <c r="Q72">
        <v>2035</v>
      </c>
      <c r="R72">
        <v>2036</v>
      </c>
      <c r="S72">
        <v>2037</v>
      </c>
      <c r="T72">
        <v>2038</v>
      </c>
      <c r="U72">
        <v>2039</v>
      </c>
      <c r="V72">
        <v>2040</v>
      </c>
      <c r="W72">
        <v>2041</v>
      </c>
      <c r="X72">
        <v>2042</v>
      </c>
      <c r="Y72">
        <v>2043</v>
      </c>
      <c r="Z72">
        <v>2044</v>
      </c>
      <c r="AA72">
        <v>2045</v>
      </c>
      <c r="AB72">
        <v>2046</v>
      </c>
      <c r="AC72">
        <v>2047</v>
      </c>
      <c r="AD72">
        <v>2048</v>
      </c>
      <c r="AE72">
        <v>2049</v>
      </c>
      <c r="AF72">
        <v>2050</v>
      </c>
    </row>
    <row r="73" spans="1:32" x14ac:dyDescent="0.45">
      <c r="A73" t="s">
        <v>272</v>
      </c>
      <c r="B73">
        <f>(TREND($C$68:$D$68,$C$67:$D$67,B$32))*(About!$A$53)</f>
        <v>18.238974531600562</v>
      </c>
      <c r="C73">
        <f>(TREND($D$68:$E$68,$D$67:$E$67,C$32))*(About!$A$53)</f>
        <v>18.238974531600562</v>
      </c>
      <c r="D73">
        <f>(TREND($D$68:$E$68,$D$67:$E$67,D$32))*(About!$A$53)</f>
        <v>18.238974531600562</v>
      </c>
      <c r="E73">
        <f>(TREND($D$68:$E$68,$D$67:$E$67,E$32))*(About!$A$53)</f>
        <v>18.238974531600562</v>
      </c>
      <c r="F73">
        <f>(TREND($D$68:$E$68,$D$67:$E$67,F$32))*(About!$A$53)</f>
        <v>18.238974531600562</v>
      </c>
      <c r="G73">
        <f>(TREND($D$68:$E$68,$D$67:$E$67,G$32))*(About!$A$53)</f>
        <v>18.238974531600562</v>
      </c>
      <c r="H73">
        <f>(TREND($D$68:$E$68,$D$67:$E$67,H$32))*(About!$A$53)</f>
        <v>18.238974531600562</v>
      </c>
      <c r="I73">
        <f>(TREND($D$68:$E$68,$D$67:$E$67,I$32))*(About!$A$53)</f>
        <v>18.238974531600562</v>
      </c>
      <c r="J73">
        <f>(TREND($D$68:$E$68,$D$67:$E$67,J$32))*(About!$A$53)</f>
        <v>18.238974531600562</v>
      </c>
      <c r="K73">
        <f>(TREND($D$68:$E$68,$D$67:$E$67,K$32))*(About!$A$53)</f>
        <v>18.238974531600562</v>
      </c>
      <c r="L73">
        <f>(TREND($D$68:$E$68,$D$67:$E$67,L$32))*(About!$A$53)</f>
        <v>18.238974531600562</v>
      </c>
      <c r="M73">
        <f>(TREND($E$68:$G$68,$E$67:$G$67,M$32))*(About!$A$53)</f>
        <v>18.238974531600562</v>
      </c>
      <c r="N73">
        <f>(TREND($E$68:$G$68,$E$67:$G$67,N$32))*(About!$A$53)</f>
        <v>18.238974531600562</v>
      </c>
      <c r="O73">
        <f>(TREND($E$68:$G$68,$E$67:$G$67,O$32))*(About!$A$53)</f>
        <v>18.238974531600562</v>
      </c>
      <c r="P73">
        <f>(TREND($E$68:$G$68,$E$67:$G$67,P$32))*(About!$A$53)</f>
        <v>18.238974531600562</v>
      </c>
      <c r="Q73">
        <f>(TREND($E$68:$G$68,$E$67:$G$67,Q$32))*(About!$A$53)</f>
        <v>18.238974531600562</v>
      </c>
      <c r="R73">
        <f>(TREND($E$68:$G$68,$E$67:$G$67,R$32))*(About!$A$53)</f>
        <v>18.238974531600562</v>
      </c>
      <c r="S73">
        <f>(TREND($E$68:$G$68,$E$67:$G$67,S$32))*(About!$A$53)</f>
        <v>18.238974531600562</v>
      </c>
      <c r="T73">
        <f>(TREND($E$68:$G$68,$E$67:$G$67,T$32))*(About!$A$53)</f>
        <v>18.238974531600562</v>
      </c>
      <c r="U73">
        <f>(TREND($E$68:$G$68,$E$67:$G$67,U$32))*(About!$A$53)</f>
        <v>18.238974531600562</v>
      </c>
      <c r="V73">
        <f>(TREND($E$68:$G$68,$E$67:$G$67,V$32))*(About!$A$53)</f>
        <v>18.238974531600562</v>
      </c>
      <c r="W73">
        <f>(TREND($E$68:$G$68,$E$67:$G$67,W$32))*(About!$A$53)</f>
        <v>18.238974531600562</v>
      </c>
      <c r="X73">
        <f>(TREND($E$68:$G$68,$E$67:$G$67,X$32))*(About!$A$53)</f>
        <v>18.238974531600562</v>
      </c>
      <c r="Y73">
        <f>(TREND($E$68:$G$68,$E$67:$G$67,Y$32))*(About!$A$53)</f>
        <v>18.238974531600562</v>
      </c>
      <c r="Z73">
        <f>(TREND($E$68:$G$68,$E$67:$G$67,Z$32))*(About!$A$53)</f>
        <v>18.238974531600562</v>
      </c>
      <c r="AA73">
        <f>(TREND($E$68:$G$68,$E$67:$G$67,AA$32))*(About!$A$53)</f>
        <v>18.238974531600562</v>
      </c>
      <c r="AB73">
        <f>(TREND($E$68:$G$68,$E$67:$G$67,AB$32))*(About!$A$53)</f>
        <v>18.238974531600562</v>
      </c>
      <c r="AC73">
        <f>(TREND($E$68:$G$68,$E$67:$G$67,AC$32))*(About!$A$53)</f>
        <v>18.238974531600562</v>
      </c>
      <c r="AD73">
        <f>(TREND($E$68:$G$68,$E$67:$G$67,AD$32))*(About!$A$53)</f>
        <v>18.238974531600562</v>
      </c>
      <c r="AE73">
        <f>(TREND($E$68:$G$68,$E$67:$G$67,AE$32))*(About!$A$53)</f>
        <v>18.238974531600562</v>
      </c>
      <c r="AF73">
        <f>(TREND($E$68:$G$68,$E$67:$G$67,AF$32))*(About!$A$53)</f>
        <v>18.238974531600562</v>
      </c>
    </row>
    <row r="74" spans="1:32" x14ac:dyDescent="0.45">
      <c r="A74" t="s">
        <v>273</v>
      </c>
      <c r="B74">
        <f>(TREND($C$69:$D$69,$C$67:$D$67,B$32))*(About!$A$53)</f>
        <v>16.235432985204525</v>
      </c>
      <c r="C74">
        <f>(TREND($D$69:$E$69,$D$67:$E$67,C$32))*(About!$A$53)</f>
        <v>16.235432985204525</v>
      </c>
      <c r="D74">
        <f>(TREND($D$69:$E$69,$D$67:$E$67,D$32))*(About!$A$53)</f>
        <v>16.235432985204525</v>
      </c>
      <c r="E74">
        <f>(TREND($D$69:$E$69,$D$67:$E$67,E$32))*(About!$A$53)</f>
        <v>16.235432985204525</v>
      </c>
      <c r="F74">
        <f>(TREND($D$69:$E$69,$D$67:$E$67,F$32))*(About!$A$53)</f>
        <v>16.235432985204525</v>
      </c>
      <c r="G74">
        <f>(TREND($D$69:$E$69,$D$67:$E$67,G$32))*(About!$A$53)</f>
        <v>16.235432985204525</v>
      </c>
      <c r="H74">
        <f>(TREND($D$69:$E$69,$D$67:$E$67,H$32))*(About!$A$53)</f>
        <v>16.235432985204525</v>
      </c>
      <c r="I74">
        <f>(TREND($D$69:$E$69,$D$67:$E$67,I$32))*(About!$A$53)</f>
        <v>16.235432985204525</v>
      </c>
      <c r="J74">
        <f>(TREND($D$69:$E$69,$D$67:$E$67,J$32))*(About!$A$53)</f>
        <v>16.235432985204525</v>
      </c>
      <c r="K74">
        <f>(TREND($D$69:$E$69,$D$67:$E$67,K$32))*(About!$A$53)</f>
        <v>16.235432985204525</v>
      </c>
      <c r="L74">
        <f>(TREND($D$69:$E$69,$D$67:$E$67,L$32))*(About!$A$53)</f>
        <v>16.235432985204525</v>
      </c>
      <c r="M74">
        <f>(TREND($E$69:$G$69,$E$67:$G$67,M$32))*(About!$A$53)</f>
        <v>16.235432985204525</v>
      </c>
      <c r="N74">
        <f>(TREND($E$69:$G$69,$E$67:$G$67,N$32))*(About!$A$53)</f>
        <v>16.235432985204525</v>
      </c>
      <c r="O74">
        <f>(TREND($E$69:$G$69,$E$67:$G$67,O$32))*(About!$A$53)</f>
        <v>16.235432985204525</v>
      </c>
      <c r="P74">
        <f>(TREND($E$69:$G$69,$E$67:$G$67,P$32))*(About!$A$53)</f>
        <v>16.235432985204525</v>
      </c>
      <c r="Q74">
        <f>(TREND($E$69:$G$69,$E$67:$G$67,Q$32))*(About!$A$53)</f>
        <v>16.235432985204525</v>
      </c>
      <c r="R74">
        <f>(TREND($E$69:$G$69,$E$67:$G$67,R$32))*(About!$A$53)</f>
        <v>16.235432985204525</v>
      </c>
      <c r="S74">
        <f>(TREND($E$69:$G$69,$E$67:$G$67,S$32))*(About!$A$53)</f>
        <v>16.235432985204525</v>
      </c>
      <c r="T74">
        <f>(TREND($E$69:$G$69,$E$67:$G$67,T$32))*(About!$A$53)</f>
        <v>16.235432985204525</v>
      </c>
      <c r="U74">
        <f>(TREND($E$69:$G$69,$E$67:$G$67,U$32))*(About!$A$53)</f>
        <v>16.235432985204525</v>
      </c>
      <c r="V74">
        <f>(TREND($E$69:$G$69,$E$67:$G$67,V$32))*(About!$A$53)</f>
        <v>16.235432985204525</v>
      </c>
      <c r="W74">
        <f>(TREND($E$69:$G$69,$E$67:$G$67,W$32))*(About!$A$53)</f>
        <v>16.235432985204525</v>
      </c>
      <c r="X74">
        <f>(TREND($E$69:$G$69,$E$67:$G$67,X$32))*(About!$A$53)</f>
        <v>16.235432985204525</v>
      </c>
      <c r="Y74">
        <f>(TREND($E$69:$G$69,$E$67:$G$67,Y$32))*(About!$A$53)</f>
        <v>16.235432985204525</v>
      </c>
      <c r="Z74">
        <f>(TREND($E$69:$G$69,$E$67:$G$67,Z$32))*(About!$A$53)</f>
        <v>16.235432985204525</v>
      </c>
      <c r="AA74">
        <f>(TREND($E$69:$G$69,$E$67:$G$67,AA$32))*(About!$A$53)</f>
        <v>16.235432985204525</v>
      </c>
      <c r="AB74">
        <f>(TREND($E$69:$G$69,$E$67:$G$67,AB$32))*(About!$A$53)</f>
        <v>16.235432985204525</v>
      </c>
      <c r="AC74">
        <f>(TREND($E$69:$G$69,$E$67:$G$67,AC$32))*(About!$A$53)</f>
        <v>16.235432985204525</v>
      </c>
      <c r="AD74">
        <f>(TREND($E$69:$G$69,$E$67:$G$67,AD$32))*(About!$A$53)</f>
        <v>16.235432985204525</v>
      </c>
      <c r="AE74">
        <f>(TREND($E$69:$G$69,$E$67:$G$67,AE$32))*(About!$A$53)</f>
        <v>16.235432985204525</v>
      </c>
      <c r="AF74">
        <f>(TREND($E$69:$G$69,$E$67:$G$67,AF$32))*(About!$A$53)</f>
        <v>16.235432985204525</v>
      </c>
    </row>
    <row r="75" spans="1:32" x14ac:dyDescent="0.45">
      <c r="A75" t="s">
        <v>285</v>
      </c>
      <c r="B75">
        <f>(TREND($D$70:$E$70,$D$67:$E$67,B$32))*(About!$A$55)</f>
        <v>275.04349624577378</v>
      </c>
      <c r="C75">
        <f>(TREND($D$70:$E$70,$D$67:$E$67,C$32))*(About!$A$55)</f>
        <v>271.19875219434209</v>
      </c>
      <c r="D75">
        <f>(TREND($D$70:$E$70,$D$67:$E$67,D$32))*(About!$A$55)</f>
        <v>267.35400814291046</v>
      </c>
      <c r="E75">
        <f>(TREND($D$70:$E$70,$D$67:$E$67,E$32))*(About!$A$55)</f>
        <v>263.50926409147877</v>
      </c>
      <c r="F75">
        <f>(TREND($D$70:$E$70,$D$67:$E$67,F$32))*(About!$A$55)</f>
        <v>259.66452004004708</v>
      </c>
      <c r="G75">
        <f>(TREND($D$70:$E$70,$D$67:$E$67,G$32))*(About!$A$55)</f>
        <v>255.81977598861545</v>
      </c>
      <c r="H75">
        <f>(TREND($D$70:$E$70,$D$67:$E$67,H$32))*(About!$A$55)</f>
        <v>251.97503193718379</v>
      </c>
      <c r="I75">
        <f>(TREND($D$70:$E$70,$D$67:$E$67,I$32))*(About!$A$55)</f>
        <v>248.13028788575298</v>
      </c>
      <c r="J75">
        <f>(TREND($D$70:$E$70,$D$67:$E$67,J$32))*(About!$A$55)</f>
        <v>244.28554383432132</v>
      </c>
      <c r="K75">
        <f>(TREND($D$70:$E$70,$D$67:$E$67,K$32))*(About!$A$55)</f>
        <v>240.44079978288966</v>
      </c>
      <c r="L75">
        <f>(TREND($D$70:$E$70,$D$67:$E$67,L$32))*(About!$A$55)</f>
        <v>236.59605573145797</v>
      </c>
      <c r="M75">
        <f>(TREND($E$70:$G$70,$E$67:$G$67,M$32))*(About!$A$55)</f>
        <v>232.58906544927183</v>
      </c>
      <c r="N75">
        <f>(TREND($E$70:$G$70,$E$67:$G$67,N$32))*(About!$A$55)</f>
        <v>229.58163311439381</v>
      </c>
      <c r="O75">
        <f>(TREND($E$70:$G$70,$E$67:$G$67,O$32))*(About!$A$55)</f>
        <v>226.57420077951667</v>
      </c>
      <c r="P75">
        <f>(TREND($E$70:$G$70,$E$67:$G$67,P$32))*(About!$A$55)</f>
        <v>223.56676844463868</v>
      </c>
      <c r="Q75">
        <f>(TREND($E$70:$G$70,$E$67:$G$67,Q$32))*(About!$A$55)</f>
        <v>220.55933610976066</v>
      </c>
      <c r="R75">
        <f>(TREND($E$70:$G$70,$E$67:$G$67,R$32))*(About!$A$55)</f>
        <v>217.55190377488353</v>
      </c>
      <c r="S75">
        <f>(TREND($E$70:$G$70,$E$67:$G$67,S$32))*(About!$A$55)</f>
        <v>214.54447144000551</v>
      </c>
      <c r="T75">
        <f>(TREND($E$70:$G$70,$E$67:$G$67,T$32))*(About!$A$55)</f>
        <v>211.53703910512749</v>
      </c>
      <c r="U75">
        <f>(TREND($E$70:$G$70,$E$67:$G$67,U$32))*(About!$A$55)</f>
        <v>208.52960677025035</v>
      </c>
      <c r="V75">
        <f>(TREND($E$70:$G$70,$E$67:$G$67,V$32))*(About!$A$55)</f>
        <v>205.52217443537236</v>
      </c>
      <c r="W75">
        <f>(TREND($E$70:$G$70,$E$67:$G$67,W$32))*(About!$A$55)</f>
        <v>202.51474210049435</v>
      </c>
      <c r="X75">
        <f>(TREND($E$70:$G$70,$E$67:$G$67,X$32))*(About!$A$55)</f>
        <v>199.50730976561721</v>
      </c>
      <c r="Y75">
        <f>(TREND($E$70:$G$70,$E$67:$G$67,Y$32))*(About!$A$55)</f>
        <v>196.49987743073919</v>
      </c>
      <c r="Z75">
        <f>(TREND($E$70:$G$70,$E$67:$G$67,Z$32))*(About!$A$55)</f>
        <v>193.49244509586205</v>
      </c>
      <c r="AA75">
        <f>(TREND($E$70:$G$70,$E$67:$G$67,AA$32))*(About!$A$55)</f>
        <v>190.48501276098403</v>
      </c>
      <c r="AB75">
        <f>(TREND($E$70:$G$70,$E$67:$G$67,AB$32))*(About!$A$55)</f>
        <v>187.47758042610604</v>
      </c>
      <c r="AC75">
        <f>(TREND($E$70:$G$70,$E$67:$G$67,AC$32))*(About!$A$55)</f>
        <v>184.47014809122888</v>
      </c>
      <c r="AD75">
        <f>(TREND($E$70:$G$70,$E$67:$G$67,AD$32))*(About!$A$55)</f>
        <v>181.46271575635089</v>
      </c>
      <c r="AE75">
        <f>(TREND($E$70:$G$70,$E$67:$G$67,AE$32))*(About!$A$55)</f>
        <v>178.45528342147287</v>
      </c>
      <c r="AF75">
        <f>(TREND($E$70:$G$70,$E$67:$G$67,AF$32))*(About!$A$55)</f>
        <v>175.44785108659573</v>
      </c>
    </row>
    <row r="77" spans="1:32" x14ac:dyDescent="0.45">
      <c r="A77" s="6" t="s">
        <v>286</v>
      </c>
      <c r="B77">
        <v>2020</v>
      </c>
      <c r="C77">
        <v>2021</v>
      </c>
      <c r="D77">
        <v>2022</v>
      </c>
      <c r="E77">
        <v>2023</v>
      </c>
      <c r="F77">
        <v>2024</v>
      </c>
      <c r="G77">
        <v>2025</v>
      </c>
      <c r="H77">
        <v>2026</v>
      </c>
      <c r="I77">
        <v>2027</v>
      </c>
      <c r="J77">
        <v>2028</v>
      </c>
      <c r="K77">
        <v>2029</v>
      </c>
      <c r="L77">
        <v>2030</v>
      </c>
      <c r="M77">
        <v>2031</v>
      </c>
      <c r="N77">
        <v>2032</v>
      </c>
      <c r="O77">
        <v>2033</v>
      </c>
      <c r="P77">
        <v>2034</v>
      </c>
      <c r="Q77">
        <v>2035</v>
      </c>
      <c r="R77">
        <v>2036</v>
      </c>
      <c r="S77">
        <v>2037</v>
      </c>
      <c r="T77">
        <v>2038</v>
      </c>
      <c r="U77">
        <v>2039</v>
      </c>
      <c r="V77">
        <v>2040</v>
      </c>
      <c r="W77">
        <v>2041</v>
      </c>
      <c r="X77">
        <v>2042</v>
      </c>
      <c r="Y77">
        <v>2043</v>
      </c>
      <c r="Z77">
        <v>2044</v>
      </c>
      <c r="AA77">
        <v>2045</v>
      </c>
      <c r="AB77">
        <v>2046</v>
      </c>
      <c r="AC77">
        <v>2047</v>
      </c>
      <c r="AD77">
        <v>2048</v>
      </c>
      <c r="AE77">
        <v>2049</v>
      </c>
      <c r="AF77">
        <v>2050</v>
      </c>
    </row>
    <row r="78" spans="1:32" x14ac:dyDescent="0.45">
      <c r="A78" t="s">
        <v>264</v>
      </c>
      <c r="B78" s="38">
        <f t="shared" ref="B78:AF78" si="11">(B75-B73)/(8760*10^3*$B$64)</f>
        <v>1.1726233868227088E-4</v>
      </c>
      <c r="C78" s="38">
        <f t="shared" si="11"/>
        <v>1.1550674779120618E-4</v>
      </c>
      <c r="D78" s="38">
        <f t="shared" si="11"/>
        <v>1.1375115690014151E-4</v>
      </c>
      <c r="E78" s="38">
        <f t="shared" si="11"/>
        <v>1.1199556600907681E-4</v>
      </c>
      <c r="F78" s="38">
        <f t="shared" si="11"/>
        <v>1.1023997511801212E-4</v>
      </c>
      <c r="G78" s="38">
        <f t="shared" si="11"/>
        <v>1.0848438422694745E-4</v>
      </c>
      <c r="H78" s="38">
        <f t="shared" si="11"/>
        <v>1.0672879333588274E-4</v>
      </c>
      <c r="I78" s="38">
        <f t="shared" si="11"/>
        <v>1.0497320244481846E-4</v>
      </c>
      <c r="J78" s="38">
        <f t="shared" si="11"/>
        <v>1.0321761155375376E-4</v>
      </c>
      <c r="K78" s="38">
        <f t="shared" si="11"/>
        <v>1.0146202066268909E-4</v>
      </c>
      <c r="L78" s="38">
        <f t="shared" si="11"/>
        <v>9.9706429771624386E-5</v>
      </c>
      <c r="M78" s="38">
        <f t="shared" si="11"/>
        <v>9.787675384368551E-5</v>
      </c>
      <c r="N78" s="38">
        <f t="shared" si="11"/>
        <v>9.6503497069768613E-5</v>
      </c>
      <c r="O78" s="38">
        <f t="shared" si="11"/>
        <v>9.513024029585211E-5</v>
      </c>
      <c r="P78" s="38">
        <f t="shared" si="11"/>
        <v>9.3756983521935228E-5</v>
      </c>
      <c r="Q78" s="38">
        <f t="shared" si="11"/>
        <v>9.2383726748018305E-5</v>
      </c>
      <c r="R78" s="38">
        <f t="shared" si="11"/>
        <v>9.1010469974101802E-5</v>
      </c>
      <c r="S78" s="38">
        <f t="shared" si="11"/>
        <v>8.9637213200184919E-5</v>
      </c>
      <c r="T78" s="38">
        <f t="shared" si="11"/>
        <v>8.8263956426267996E-5</v>
      </c>
      <c r="U78" s="38">
        <f t="shared" si="11"/>
        <v>8.6890699652351493E-5</v>
      </c>
      <c r="V78" s="38">
        <f t="shared" si="11"/>
        <v>8.551744287843461E-5</v>
      </c>
      <c r="W78" s="38">
        <f t="shared" si="11"/>
        <v>8.4144186104517714E-5</v>
      </c>
      <c r="X78" s="38">
        <f t="shared" si="11"/>
        <v>8.2770929330601211E-5</v>
      </c>
      <c r="Y78" s="38">
        <f t="shared" si="11"/>
        <v>8.1397672556684302E-5</v>
      </c>
      <c r="Z78" s="38">
        <f t="shared" si="11"/>
        <v>8.0024415782767799E-5</v>
      </c>
      <c r="AA78" s="38">
        <f t="shared" si="11"/>
        <v>7.8651159008850903E-5</v>
      </c>
      <c r="AB78" s="38">
        <f t="shared" si="11"/>
        <v>7.727790223493402E-5</v>
      </c>
      <c r="AC78" s="38">
        <f t="shared" si="11"/>
        <v>7.590464546101749E-5</v>
      </c>
      <c r="AD78" s="38">
        <f t="shared" si="11"/>
        <v>7.4531388687100594E-5</v>
      </c>
      <c r="AE78" s="38">
        <f t="shared" si="11"/>
        <v>7.3158131913183711E-5</v>
      </c>
      <c r="AF78" s="38">
        <f t="shared" si="11"/>
        <v>7.1784875139267208E-5</v>
      </c>
    </row>
    <row r="79" spans="1:32" x14ac:dyDescent="0.45">
      <c r="A79" t="s">
        <v>265</v>
      </c>
      <c r="B79" s="38">
        <f t="shared" ref="B79:AF79" si="12">(B75-B74)/(8760*10^3*$B$64)</f>
        <v>1.1817719783587637E-4</v>
      </c>
      <c r="C79" s="38">
        <f t="shared" si="12"/>
        <v>1.1642160694481169E-4</v>
      </c>
      <c r="D79" s="38">
        <f t="shared" si="12"/>
        <v>1.1466601605374701E-4</v>
      </c>
      <c r="E79" s="38">
        <f t="shared" si="12"/>
        <v>1.1291042516268231E-4</v>
      </c>
      <c r="F79" s="38">
        <f t="shared" si="12"/>
        <v>1.1115483427161761E-4</v>
      </c>
      <c r="G79" s="38">
        <f t="shared" si="12"/>
        <v>1.0939924338055294E-4</v>
      </c>
      <c r="H79" s="38">
        <f t="shared" si="12"/>
        <v>1.0764365248948823E-4</v>
      </c>
      <c r="I79" s="38">
        <f t="shared" si="12"/>
        <v>1.0588806159842395E-4</v>
      </c>
      <c r="J79" s="38">
        <f t="shared" si="12"/>
        <v>1.0413247070735926E-4</v>
      </c>
      <c r="K79" s="38">
        <f t="shared" si="12"/>
        <v>1.0237687981629459E-4</v>
      </c>
      <c r="L79" s="38">
        <f t="shared" si="12"/>
        <v>1.0062128892522989E-4</v>
      </c>
      <c r="M79" s="38">
        <f t="shared" si="12"/>
        <v>9.8791612997290999E-5</v>
      </c>
      <c r="N79" s="38">
        <f t="shared" si="12"/>
        <v>9.7418356223374103E-5</v>
      </c>
      <c r="O79" s="38">
        <f t="shared" si="12"/>
        <v>9.6045099449457613E-5</v>
      </c>
      <c r="P79" s="38">
        <f t="shared" si="12"/>
        <v>9.4671842675540717E-5</v>
      </c>
      <c r="Q79" s="38">
        <f t="shared" si="12"/>
        <v>9.3298585901623808E-5</v>
      </c>
      <c r="R79" s="38">
        <f t="shared" si="12"/>
        <v>9.1925329127707305E-5</v>
      </c>
      <c r="S79" s="38">
        <f t="shared" si="12"/>
        <v>9.0552072353790409E-5</v>
      </c>
      <c r="T79" s="38">
        <f t="shared" si="12"/>
        <v>8.9178815579873499E-5</v>
      </c>
      <c r="U79" s="38">
        <f t="shared" si="12"/>
        <v>8.7805558805956996E-5</v>
      </c>
      <c r="V79" s="38">
        <f t="shared" si="12"/>
        <v>8.64323020320401E-5</v>
      </c>
      <c r="W79" s="38">
        <f t="shared" si="12"/>
        <v>8.5059045258123217E-5</v>
      </c>
      <c r="X79" s="38">
        <f t="shared" si="12"/>
        <v>8.3685788484206714E-5</v>
      </c>
      <c r="Y79" s="38">
        <f t="shared" si="12"/>
        <v>8.2312531710289791E-5</v>
      </c>
      <c r="Z79" s="38">
        <f t="shared" si="12"/>
        <v>8.0939274936373288E-5</v>
      </c>
      <c r="AA79" s="38">
        <f t="shared" si="12"/>
        <v>7.9566018162456406E-5</v>
      </c>
      <c r="AB79" s="38">
        <f t="shared" si="12"/>
        <v>7.819276138853951E-5</v>
      </c>
      <c r="AC79" s="38">
        <f t="shared" si="12"/>
        <v>7.681950461462298E-5</v>
      </c>
      <c r="AD79" s="38">
        <f t="shared" si="12"/>
        <v>7.5446247840706097E-5</v>
      </c>
      <c r="AE79" s="38">
        <f t="shared" si="12"/>
        <v>7.4072991066789201E-5</v>
      </c>
      <c r="AF79" s="38">
        <f t="shared" si="12"/>
        <v>7.2699734292872698E-5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8" tint="-0.249977111117893"/>
  </sheetPr>
  <dimension ref="A1:AC11"/>
  <sheetViews>
    <sheetView zoomScaleNormal="100" workbookViewId="0">
      <selection activeCell="A18" sqref="A18"/>
    </sheetView>
  </sheetViews>
  <sheetFormatPr defaultRowHeight="14.25" x14ac:dyDescent="0.45"/>
  <cols>
    <col min="1" max="1" width="29.86328125" customWidth="1"/>
    <col min="2" max="27" width="10" customWidth="1"/>
  </cols>
  <sheetData>
    <row r="1" spans="1:29" x14ac:dyDescent="0.45">
      <c r="A1" s="6" t="s">
        <v>287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/>
      <c r="AC1" s="1"/>
    </row>
    <row r="2" spans="1:29" x14ac:dyDescent="0.45">
      <c r="A2" s="1" t="s">
        <v>288</v>
      </c>
      <c r="B2" s="123">
        <v>0</v>
      </c>
      <c r="C2" s="123">
        <v>0</v>
      </c>
      <c r="D2" s="123">
        <v>0</v>
      </c>
      <c r="E2" s="123">
        <v>0</v>
      </c>
      <c r="F2" s="123">
        <v>0</v>
      </c>
      <c r="G2" s="123">
        <v>0</v>
      </c>
      <c r="H2" s="123">
        <v>0</v>
      </c>
      <c r="I2" s="123">
        <v>0</v>
      </c>
      <c r="J2" s="123">
        <v>0</v>
      </c>
      <c r="K2" s="123">
        <v>0</v>
      </c>
      <c r="L2" s="123">
        <v>0</v>
      </c>
      <c r="M2" s="123">
        <v>0</v>
      </c>
      <c r="N2" s="123">
        <v>0</v>
      </c>
      <c r="O2" s="123">
        <v>0</v>
      </c>
      <c r="P2" s="123">
        <v>0</v>
      </c>
      <c r="Q2" s="123">
        <v>0</v>
      </c>
      <c r="R2" s="123">
        <v>0</v>
      </c>
      <c r="S2" s="123">
        <v>0</v>
      </c>
      <c r="T2" s="123">
        <v>0</v>
      </c>
      <c r="U2" s="123">
        <v>0</v>
      </c>
      <c r="V2" s="123">
        <v>0</v>
      </c>
      <c r="W2" s="123">
        <v>0</v>
      </c>
      <c r="X2" s="123">
        <v>0</v>
      </c>
      <c r="Y2" s="123">
        <v>0</v>
      </c>
      <c r="Z2" s="123">
        <v>0</v>
      </c>
      <c r="AA2" s="123">
        <v>0</v>
      </c>
      <c r="AC2" s="118"/>
    </row>
    <row r="3" spans="1:29" x14ac:dyDescent="0.45">
      <c r="A3" s="1" t="s">
        <v>289</v>
      </c>
      <c r="B3" s="36">
        <f t="shared" ref="B3:AA3" si="0">B4</f>
        <v>5.8092027884928469E-5</v>
      </c>
      <c r="C3" s="36">
        <f t="shared" si="0"/>
        <v>6.2494566630303308E-5</v>
      </c>
      <c r="D3" s="36">
        <f t="shared" si="0"/>
        <v>6.0739664738562618E-5</v>
      </c>
      <c r="E3" s="36">
        <f t="shared" si="0"/>
        <v>6.1762683117850788E-5</v>
      </c>
      <c r="F3" s="36">
        <f t="shared" si="0"/>
        <v>6.3168861186182088E-5</v>
      </c>
      <c r="G3" s="36">
        <f t="shared" si="0"/>
        <v>6.4786413878035738E-5</v>
      </c>
      <c r="H3" s="36">
        <f t="shared" si="0"/>
        <v>6.6399920434374307E-5</v>
      </c>
      <c r="I3" s="36">
        <f t="shared" si="0"/>
        <v>6.7988300857912138E-5</v>
      </c>
      <c r="J3" s="36">
        <f t="shared" si="0"/>
        <v>6.9603864763197009E-5</v>
      </c>
      <c r="K3" s="36">
        <f t="shared" si="0"/>
        <v>7.1185248022754289E-5</v>
      </c>
      <c r="L3" s="36">
        <f t="shared" si="0"/>
        <v>7.2770688248050602E-5</v>
      </c>
      <c r="M3" s="36">
        <f t="shared" si="0"/>
        <v>7.4318616120566813E-5</v>
      </c>
      <c r="N3" s="36">
        <f t="shared" si="0"/>
        <v>7.5903001656327061E-5</v>
      </c>
      <c r="O3" s="36">
        <f t="shared" si="0"/>
        <v>7.7457163166405152E-5</v>
      </c>
      <c r="P3" s="36">
        <f t="shared" si="0"/>
        <v>7.9007656227029243E-5</v>
      </c>
      <c r="Q3" s="36">
        <f t="shared" si="0"/>
        <v>8.0539999757056082E-5</v>
      </c>
      <c r="R3" s="36">
        <f t="shared" si="0"/>
        <v>8.207526919109631E-5</v>
      </c>
      <c r="S3" s="36">
        <f t="shared" si="0"/>
        <v>8.3510100941505444E-5</v>
      </c>
      <c r="T3" s="36">
        <f t="shared" si="0"/>
        <v>8.489822998631611E-5</v>
      </c>
      <c r="U3" s="36">
        <f t="shared" si="0"/>
        <v>8.6243217227894209E-5</v>
      </c>
      <c r="V3" s="36">
        <f t="shared" si="0"/>
        <v>8.7567169640710276E-5</v>
      </c>
      <c r="W3" s="36">
        <f t="shared" si="0"/>
        <v>8.8953923787208025E-5</v>
      </c>
      <c r="X3" s="36">
        <f t="shared" si="0"/>
        <v>9.0416783163277552E-5</v>
      </c>
      <c r="Y3" s="36">
        <f t="shared" si="0"/>
        <v>9.1899027221926653E-5</v>
      </c>
      <c r="Z3" s="36">
        <f t="shared" si="0"/>
        <v>9.3396916781111921E-5</v>
      </c>
      <c r="AA3" s="36">
        <f t="shared" si="0"/>
        <v>9.4894259879251599E-5</v>
      </c>
    </row>
    <row r="4" spans="1:29" x14ac:dyDescent="0.45">
      <c r="A4" s="1" t="s">
        <v>264</v>
      </c>
      <c r="B4">
        <f>Calculations!G19</f>
        <v>5.8092027884928469E-5</v>
      </c>
      <c r="C4">
        <f>Calculations!H19</f>
        <v>6.2494566630303308E-5</v>
      </c>
      <c r="D4">
        <f>Calculations!I19</f>
        <v>6.0739664738562618E-5</v>
      </c>
      <c r="E4">
        <f>Calculations!J19</f>
        <v>6.1762683117850788E-5</v>
      </c>
      <c r="F4">
        <f>Calculations!K19</f>
        <v>6.3168861186182088E-5</v>
      </c>
      <c r="G4">
        <f>Calculations!L19</f>
        <v>6.4786413878035738E-5</v>
      </c>
      <c r="H4">
        <f>Calculations!M19</f>
        <v>6.6399920434374307E-5</v>
      </c>
      <c r="I4">
        <f>Calculations!N19</f>
        <v>6.7988300857912138E-5</v>
      </c>
      <c r="J4">
        <f>Calculations!O19</f>
        <v>6.9603864763197009E-5</v>
      </c>
      <c r="K4">
        <f>Calculations!P19</f>
        <v>7.1185248022754289E-5</v>
      </c>
      <c r="L4">
        <f>Calculations!Q19</f>
        <v>7.2770688248050602E-5</v>
      </c>
      <c r="M4">
        <f>Calculations!R19</f>
        <v>7.4318616120566813E-5</v>
      </c>
      <c r="N4">
        <f>Calculations!S19</f>
        <v>7.5903001656327061E-5</v>
      </c>
      <c r="O4">
        <f>Calculations!T19</f>
        <v>7.7457163166405152E-5</v>
      </c>
      <c r="P4">
        <f>Calculations!U19</f>
        <v>7.9007656227029243E-5</v>
      </c>
      <c r="Q4">
        <f>Calculations!V19</f>
        <v>8.0539999757056082E-5</v>
      </c>
      <c r="R4">
        <f>Calculations!W19</f>
        <v>8.207526919109631E-5</v>
      </c>
      <c r="S4">
        <f>Calculations!X19</f>
        <v>8.3510100941505444E-5</v>
      </c>
      <c r="T4">
        <f>Calculations!Y19</f>
        <v>8.489822998631611E-5</v>
      </c>
      <c r="U4">
        <f>Calculations!Z19</f>
        <v>8.6243217227894209E-5</v>
      </c>
      <c r="V4">
        <f>Calculations!AA19</f>
        <v>8.7567169640710276E-5</v>
      </c>
      <c r="W4">
        <f>Calculations!AB19</f>
        <v>8.8953923787208025E-5</v>
      </c>
      <c r="X4">
        <f>Calculations!AC19</f>
        <v>9.0416783163277552E-5</v>
      </c>
      <c r="Y4">
        <f>Calculations!AD19</f>
        <v>9.1899027221926653E-5</v>
      </c>
      <c r="Z4">
        <f>Calculations!AE19</f>
        <v>9.3396916781111921E-5</v>
      </c>
      <c r="AA4">
        <f>Calculations!AF19</f>
        <v>9.4894259879251599E-5</v>
      </c>
    </row>
    <row r="5" spans="1:29" x14ac:dyDescent="0.45">
      <c r="A5" s="1" t="s">
        <v>290</v>
      </c>
      <c r="B5">
        <f>Calculations!G20</f>
        <v>9.7770203529436717E-6</v>
      </c>
      <c r="C5">
        <f>Calculations!H20</f>
        <v>1.0042704754941501E-5</v>
      </c>
      <c r="D5">
        <f>Calculations!I20</f>
        <v>1.0027017160448691E-5</v>
      </c>
      <c r="E5">
        <f>Calculations!J20</f>
        <v>1.0063080713481678E-5</v>
      </c>
      <c r="F5">
        <f>Calculations!K20</f>
        <v>1.011372039967351E-5</v>
      </c>
      <c r="G5">
        <f>Calculations!L20</f>
        <v>1.0150662562908478E-5</v>
      </c>
      <c r="H5">
        <f>Calculations!M20</f>
        <v>1.0246770261021327E-5</v>
      </c>
      <c r="I5">
        <f>Calculations!N20</f>
        <v>1.0340429723275977E-5</v>
      </c>
      <c r="J5">
        <f>Calculations!O20</f>
        <v>1.0437787551059798E-5</v>
      </c>
      <c r="K5">
        <f>Calculations!P20</f>
        <v>1.0528945520298099E-5</v>
      </c>
      <c r="L5">
        <f>Calculations!Q20</f>
        <v>1.0624096950766314E-5</v>
      </c>
      <c r="M5">
        <f>Calculations!R20</f>
        <v>1.0718079216942543E-5</v>
      </c>
      <c r="N5">
        <f>Calculations!S20</f>
        <v>1.081323737715013E-5</v>
      </c>
      <c r="O5">
        <f>Calculations!T20</f>
        <v>1.0907098037898474E-5</v>
      </c>
      <c r="P5">
        <f>Calculations!U20</f>
        <v>1.0999675006587639E-5</v>
      </c>
      <c r="Q5">
        <f>Calculations!V20</f>
        <v>1.1094361651436914E-5</v>
      </c>
      <c r="R5">
        <f>Calculations!W20</f>
        <v>1.1191141573119925E-5</v>
      </c>
      <c r="S5">
        <f>Calculations!X20</f>
        <v>1.1285991483580543E-5</v>
      </c>
      <c r="T5">
        <f>Calculations!Y20</f>
        <v>1.1383046197374598E-5</v>
      </c>
      <c r="U5">
        <f>Calculations!Z20</f>
        <v>1.1479632705254309E-5</v>
      </c>
      <c r="V5">
        <f>Calculations!AA20</f>
        <v>1.157877992605222E-5</v>
      </c>
      <c r="W5">
        <f>Calculations!AB20</f>
        <v>1.1678678730013364E-5</v>
      </c>
      <c r="X5">
        <f>Calculations!AC20</f>
        <v>1.1779234834355993E-5</v>
      </c>
      <c r="Y5">
        <f>Calculations!AD20</f>
        <v>1.1879206453768873E-5</v>
      </c>
      <c r="Z5">
        <f>Calculations!AE20</f>
        <v>1.197900106206722E-5</v>
      </c>
      <c r="AA5">
        <f>Calculations!AF20</f>
        <v>1.2074676578303673E-5</v>
      </c>
    </row>
    <row r="6" spans="1:29" x14ac:dyDescent="0.45">
      <c r="A6" s="1" t="s">
        <v>291</v>
      </c>
      <c r="B6" s="36">
        <f t="shared" ref="B6:AA6" si="1">B4</f>
        <v>5.8092027884928469E-5</v>
      </c>
      <c r="C6" s="36">
        <f t="shared" si="1"/>
        <v>6.2494566630303308E-5</v>
      </c>
      <c r="D6" s="36">
        <f t="shared" si="1"/>
        <v>6.0739664738562618E-5</v>
      </c>
      <c r="E6" s="36">
        <f t="shared" si="1"/>
        <v>6.1762683117850788E-5</v>
      </c>
      <c r="F6" s="36">
        <f t="shared" si="1"/>
        <v>6.3168861186182088E-5</v>
      </c>
      <c r="G6" s="36">
        <f t="shared" si="1"/>
        <v>6.4786413878035738E-5</v>
      </c>
      <c r="H6" s="36">
        <f t="shared" si="1"/>
        <v>6.6399920434374307E-5</v>
      </c>
      <c r="I6" s="36">
        <f t="shared" si="1"/>
        <v>6.7988300857912138E-5</v>
      </c>
      <c r="J6" s="36">
        <f t="shared" si="1"/>
        <v>6.9603864763197009E-5</v>
      </c>
      <c r="K6" s="36">
        <f t="shared" si="1"/>
        <v>7.1185248022754289E-5</v>
      </c>
      <c r="L6" s="36">
        <f t="shared" si="1"/>
        <v>7.2770688248050602E-5</v>
      </c>
      <c r="M6" s="36">
        <f t="shared" si="1"/>
        <v>7.4318616120566813E-5</v>
      </c>
      <c r="N6" s="36">
        <f t="shared" si="1"/>
        <v>7.5903001656327061E-5</v>
      </c>
      <c r="O6" s="36">
        <f t="shared" si="1"/>
        <v>7.7457163166405152E-5</v>
      </c>
      <c r="P6" s="36">
        <f t="shared" si="1"/>
        <v>7.9007656227029243E-5</v>
      </c>
      <c r="Q6" s="36">
        <f t="shared" si="1"/>
        <v>8.0539999757056082E-5</v>
      </c>
      <c r="R6" s="36">
        <f t="shared" si="1"/>
        <v>8.207526919109631E-5</v>
      </c>
      <c r="S6" s="36">
        <f t="shared" si="1"/>
        <v>8.3510100941505444E-5</v>
      </c>
      <c r="T6" s="36">
        <f t="shared" si="1"/>
        <v>8.489822998631611E-5</v>
      </c>
      <c r="U6" s="36">
        <f t="shared" si="1"/>
        <v>8.6243217227894209E-5</v>
      </c>
      <c r="V6" s="36">
        <f t="shared" si="1"/>
        <v>8.7567169640710276E-5</v>
      </c>
      <c r="W6" s="36">
        <f t="shared" si="1"/>
        <v>8.8953923787208025E-5</v>
      </c>
      <c r="X6" s="36">
        <f t="shared" si="1"/>
        <v>9.0416783163277552E-5</v>
      </c>
      <c r="Y6" s="36">
        <f t="shared" si="1"/>
        <v>9.1899027221926653E-5</v>
      </c>
      <c r="Z6" s="36">
        <f t="shared" si="1"/>
        <v>9.3396916781111921E-5</v>
      </c>
      <c r="AA6" s="36">
        <f t="shared" si="1"/>
        <v>9.4894259879251599E-5</v>
      </c>
    </row>
    <row r="7" spans="1:29" x14ac:dyDescent="0.45">
      <c r="A7" s="1" t="s">
        <v>266</v>
      </c>
      <c r="B7">
        <f>Calculations!G21</f>
        <v>2.0893035182823558E-6</v>
      </c>
      <c r="C7">
        <f>Calculations!H21</f>
        <v>2.2299416353486171E-6</v>
      </c>
      <c r="D7">
        <f>Calculations!I21</f>
        <v>2.2500670606701206E-6</v>
      </c>
      <c r="E7">
        <f>Calculations!J21</f>
        <v>2.2425318200446792E-6</v>
      </c>
      <c r="F7">
        <f>Calculations!K21</f>
        <v>2.2240696269620708E-6</v>
      </c>
      <c r="G7">
        <f>Calculations!L21</f>
        <v>2.2250301263962574E-6</v>
      </c>
      <c r="H7">
        <f>Calculations!M21</f>
        <v>2.1862819060921465E-6</v>
      </c>
      <c r="I7">
        <f>Calculations!N21</f>
        <v>2.1430309980944006E-6</v>
      </c>
      <c r="J7">
        <f>Calculations!O21</f>
        <v>2.0924967933091323E-6</v>
      </c>
      <c r="K7">
        <f>Calculations!P21</f>
        <v>2.0468485263945807E-6</v>
      </c>
      <c r="L7">
        <f>Calculations!Q21</f>
        <v>1.9975410014408941E-6</v>
      </c>
      <c r="M7">
        <f>Calculations!R21</f>
        <v>1.9506036248629648E-6</v>
      </c>
      <c r="N7">
        <f>Calculations!S21</f>
        <v>1.9027444051722099E-6</v>
      </c>
      <c r="O7">
        <f>Calculations!T21</f>
        <v>1.8534088982095583E-6</v>
      </c>
      <c r="P7">
        <f>Calculations!U21</f>
        <v>1.8047740334849374E-6</v>
      </c>
      <c r="Q7">
        <f>Calculations!V21</f>
        <v>1.7559144485150764E-6</v>
      </c>
      <c r="R7">
        <f>Calculations!W21</f>
        <v>1.7048146389125934E-6</v>
      </c>
      <c r="S7">
        <f>Calculations!X21</f>
        <v>1.6508697800266769E-6</v>
      </c>
      <c r="T7">
        <f>Calculations!Y21</f>
        <v>1.5955012807670614E-6</v>
      </c>
      <c r="U7">
        <f>Calculations!Z21</f>
        <v>1.5384358658459652E-6</v>
      </c>
      <c r="V7">
        <f>Calculations!AA21</f>
        <v>1.4782117307726311E-6</v>
      </c>
      <c r="W7">
        <f>Calculations!AB21</f>
        <v>1.416711919592662E-6</v>
      </c>
      <c r="X7">
        <f>Calculations!AC21</f>
        <v>1.3528981569919909E-6</v>
      </c>
      <c r="Y7">
        <f>Calculations!AD21</f>
        <v>1.2872760959323329E-6</v>
      </c>
      <c r="Z7">
        <f>Calculations!AE21</f>
        <v>1.2199827681338476E-6</v>
      </c>
      <c r="AA7">
        <f>Calculations!AF21</f>
        <v>1.1529701081936713E-6</v>
      </c>
    </row>
    <row r="8" spans="1:29" x14ac:dyDescent="0.45">
      <c r="A8" s="1" t="s">
        <v>292</v>
      </c>
      <c r="B8" s="36">
        <f t="shared" ref="B8:AA8" si="2">B5</f>
        <v>9.7770203529436717E-6</v>
      </c>
      <c r="C8" s="36">
        <f t="shared" si="2"/>
        <v>1.0042704754941501E-5</v>
      </c>
      <c r="D8" s="36">
        <f t="shared" si="2"/>
        <v>1.0027017160448691E-5</v>
      </c>
      <c r="E8" s="36">
        <f t="shared" si="2"/>
        <v>1.0063080713481678E-5</v>
      </c>
      <c r="F8" s="36">
        <f t="shared" si="2"/>
        <v>1.011372039967351E-5</v>
      </c>
      <c r="G8" s="36">
        <f t="shared" si="2"/>
        <v>1.0150662562908478E-5</v>
      </c>
      <c r="H8" s="36">
        <f t="shared" si="2"/>
        <v>1.0246770261021327E-5</v>
      </c>
      <c r="I8" s="36">
        <f t="shared" si="2"/>
        <v>1.0340429723275977E-5</v>
      </c>
      <c r="J8" s="36">
        <f t="shared" si="2"/>
        <v>1.0437787551059798E-5</v>
      </c>
      <c r="K8" s="36">
        <f t="shared" si="2"/>
        <v>1.0528945520298099E-5</v>
      </c>
      <c r="L8" s="36">
        <f t="shared" si="2"/>
        <v>1.0624096950766314E-5</v>
      </c>
      <c r="M8" s="36">
        <f t="shared" si="2"/>
        <v>1.0718079216942543E-5</v>
      </c>
      <c r="N8" s="36">
        <f t="shared" si="2"/>
        <v>1.081323737715013E-5</v>
      </c>
      <c r="O8" s="36">
        <f t="shared" si="2"/>
        <v>1.0907098037898474E-5</v>
      </c>
      <c r="P8" s="36">
        <f t="shared" si="2"/>
        <v>1.0999675006587639E-5</v>
      </c>
      <c r="Q8" s="36">
        <f t="shared" si="2"/>
        <v>1.1094361651436914E-5</v>
      </c>
      <c r="R8" s="36">
        <f t="shared" si="2"/>
        <v>1.1191141573119925E-5</v>
      </c>
      <c r="S8" s="36">
        <f t="shared" si="2"/>
        <v>1.1285991483580543E-5</v>
      </c>
      <c r="T8" s="36">
        <f t="shared" si="2"/>
        <v>1.1383046197374598E-5</v>
      </c>
      <c r="U8" s="36">
        <f t="shared" si="2"/>
        <v>1.1479632705254309E-5</v>
      </c>
      <c r="V8" s="36">
        <f t="shared" si="2"/>
        <v>1.157877992605222E-5</v>
      </c>
      <c r="W8" s="36">
        <f t="shared" si="2"/>
        <v>1.1678678730013364E-5</v>
      </c>
      <c r="X8" s="36">
        <f t="shared" si="2"/>
        <v>1.1779234834355993E-5</v>
      </c>
      <c r="Y8" s="36">
        <f t="shared" si="2"/>
        <v>1.1879206453768873E-5</v>
      </c>
      <c r="Z8" s="36">
        <f t="shared" si="2"/>
        <v>1.197900106206722E-5</v>
      </c>
      <c r="AA8" s="36">
        <f t="shared" si="2"/>
        <v>1.2074676578303673E-5</v>
      </c>
    </row>
    <row r="9" spans="1:29" x14ac:dyDescent="0.45">
      <c r="A9" s="1" t="s">
        <v>293</v>
      </c>
      <c r="B9" s="36">
        <f t="shared" ref="B9:AA9" si="3">B5</f>
        <v>9.7770203529436717E-6</v>
      </c>
      <c r="C9" s="36">
        <f t="shared" si="3"/>
        <v>1.0042704754941501E-5</v>
      </c>
      <c r="D9" s="36">
        <f t="shared" si="3"/>
        <v>1.0027017160448691E-5</v>
      </c>
      <c r="E9" s="36">
        <f t="shared" si="3"/>
        <v>1.0063080713481678E-5</v>
      </c>
      <c r="F9" s="36">
        <f t="shared" si="3"/>
        <v>1.011372039967351E-5</v>
      </c>
      <c r="G9" s="36">
        <f t="shared" si="3"/>
        <v>1.0150662562908478E-5</v>
      </c>
      <c r="H9" s="36">
        <f t="shared" si="3"/>
        <v>1.0246770261021327E-5</v>
      </c>
      <c r="I9" s="36">
        <f t="shared" si="3"/>
        <v>1.0340429723275977E-5</v>
      </c>
      <c r="J9" s="36">
        <f t="shared" si="3"/>
        <v>1.0437787551059798E-5</v>
      </c>
      <c r="K9" s="36">
        <f t="shared" si="3"/>
        <v>1.0528945520298099E-5</v>
      </c>
      <c r="L9" s="36">
        <f t="shared" si="3"/>
        <v>1.0624096950766314E-5</v>
      </c>
      <c r="M9" s="36">
        <f t="shared" si="3"/>
        <v>1.0718079216942543E-5</v>
      </c>
      <c r="N9" s="36">
        <f t="shared" si="3"/>
        <v>1.081323737715013E-5</v>
      </c>
      <c r="O9" s="36">
        <f t="shared" si="3"/>
        <v>1.0907098037898474E-5</v>
      </c>
      <c r="P9" s="36">
        <f t="shared" si="3"/>
        <v>1.0999675006587639E-5</v>
      </c>
      <c r="Q9" s="36">
        <f t="shared" si="3"/>
        <v>1.1094361651436914E-5</v>
      </c>
      <c r="R9" s="36">
        <f t="shared" si="3"/>
        <v>1.1191141573119925E-5</v>
      </c>
      <c r="S9" s="36">
        <f t="shared" si="3"/>
        <v>1.1285991483580543E-5</v>
      </c>
      <c r="T9" s="36">
        <f t="shared" si="3"/>
        <v>1.1383046197374598E-5</v>
      </c>
      <c r="U9" s="36">
        <f t="shared" si="3"/>
        <v>1.1479632705254309E-5</v>
      </c>
      <c r="V9" s="36">
        <f t="shared" si="3"/>
        <v>1.157877992605222E-5</v>
      </c>
      <c r="W9" s="36">
        <f t="shared" si="3"/>
        <v>1.1678678730013364E-5</v>
      </c>
      <c r="X9" s="36">
        <f t="shared" si="3"/>
        <v>1.1779234834355993E-5</v>
      </c>
      <c r="Y9" s="36">
        <f t="shared" si="3"/>
        <v>1.1879206453768873E-5</v>
      </c>
      <c r="Z9" s="36">
        <f t="shared" si="3"/>
        <v>1.197900106206722E-5</v>
      </c>
      <c r="AA9" s="36">
        <f t="shared" si="3"/>
        <v>1.2074676578303673E-5</v>
      </c>
    </row>
    <row r="10" spans="1:29" x14ac:dyDescent="0.45">
      <c r="A10" s="1" t="s">
        <v>294</v>
      </c>
      <c r="B10" s="36">
        <f t="shared" ref="B10:AA10" si="4">B4</f>
        <v>5.8092027884928469E-5</v>
      </c>
      <c r="C10" s="36">
        <f t="shared" si="4"/>
        <v>6.2494566630303308E-5</v>
      </c>
      <c r="D10" s="36">
        <f t="shared" si="4"/>
        <v>6.0739664738562618E-5</v>
      </c>
      <c r="E10" s="36">
        <f t="shared" si="4"/>
        <v>6.1762683117850788E-5</v>
      </c>
      <c r="F10" s="36">
        <f t="shared" si="4"/>
        <v>6.3168861186182088E-5</v>
      </c>
      <c r="G10" s="36">
        <f t="shared" si="4"/>
        <v>6.4786413878035738E-5</v>
      </c>
      <c r="H10" s="36">
        <f t="shared" si="4"/>
        <v>6.6399920434374307E-5</v>
      </c>
      <c r="I10" s="36">
        <f t="shared" si="4"/>
        <v>6.7988300857912138E-5</v>
      </c>
      <c r="J10" s="36">
        <f t="shared" si="4"/>
        <v>6.9603864763197009E-5</v>
      </c>
      <c r="K10" s="36">
        <f t="shared" si="4"/>
        <v>7.1185248022754289E-5</v>
      </c>
      <c r="L10" s="36">
        <f t="shared" si="4"/>
        <v>7.2770688248050602E-5</v>
      </c>
      <c r="M10" s="36">
        <f t="shared" si="4"/>
        <v>7.4318616120566813E-5</v>
      </c>
      <c r="N10" s="36">
        <f t="shared" si="4"/>
        <v>7.5903001656327061E-5</v>
      </c>
      <c r="O10" s="36">
        <f t="shared" si="4"/>
        <v>7.7457163166405152E-5</v>
      </c>
      <c r="P10" s="36">
        <f t="shared" si="4"/>
        <v>7.9007656227029243E-5</v>
      </c>
      <c r="Q10" s="36">
        <f t="shared" si="4"/>
        <v>8.0539999757056082E-5</v>
      </c>
      <c r="R10" s="36">
        <f t="shared" si="4"/>
        <v>8.207526919109631E-5</v>
      </c>
      <c r="S10" s="36">
        <f t="shared" si="4"/>
        <v>8.3510100941505444E-5</v>
      </c>
      <c r="T10" s="36">
        <f t="shared" si="4"/>
        <v>8.489822998631611E-5</v>
      </c>
      <c r="U10" s="36">
        <f t="shared" si="4"/>
        <v>8.6243217227894209E-5</v>
      </c>
      <c r="V10" s="36">
        <f t="shared" si="4"/>
        <v>8.7567169640710276E-5</v>
      </c>
      <c r="W10" s="36">
        <f t="shared" si="4"/>
        <v>8.8953923787208025E-5</v>
      </c>
      <c r="X10" s="36">
        <f t="shared" si="4"/>
        <v>9.0416783163277552E-5</v>
      </c>
      <c r="Y10" s="36">
        <f t="shared" si="4"/>
        <v>9.1899027221926653E-5</v>
      </c>
      <c r="Z10" s="36">
        <f t="shared" si="4"/>
        <v>9.3396916781111921E-5</v>
      </c>
      <c r="AA10" s="36">
        <f t="shared" si="4"/>
        <v>9.4894259879251599E-5</v>
      </c>
    </row>
    <row r="11" spans="1:29" x14ac:dyDescent="0.45">
      <c r="A11" s="1" t="s">
        <v>295</v>
      </c>
      <c r="B11" s="36">
        <f t="shared" ref="B11:AA11" si="5">B4</f>
        <v>5.8092027884928469E-5</v>
      </c>
      <c r="C11" s="36">
        <f t="shared" si="5"/>
        <v>6.2494566630303308E-5</v>
      </c>
      <c r="D11" s="36">
        <f t="shared" si="5"/>
        <v>6.0739664738562618E-5</v>
      </c>
      <c r="E11" s="36">
        <f t="shared" si="5"/>
        <v>6.1762683117850788E-5</v>
      </c>
      <c r="F11" s="36">
        <f t="shared" si="5"/>
        <v>6.3168861186182088E-5</v>
      </c>
      <c r="G11" s="36">
        <f t="shared" si="5"/>
        <v>6.4786413878035738E-5</v>
      </c>
      <c r="H11" s="36">
        <f t="shared" si="5"/>
        <v>6.6399920434374307E-5</v>
      </c>
      <c r="I11" s="36">
        <f t="shared" si="5"/>
        <v>6.7988300857912138E-5</v>
      </c>
      <c r="J11" s="36">
        <f t="shared" si="5"/>
        <v>6.9603864763197009E-5</v>
      </c>
      <c r="K11" s="36">
        <f t="shared" si="5"/>
        <v>7.1185248022754289E-5</v>
      </c>
      <c r="L11" s="36">
        <f t="shared" si="5"/>
        <v>7.2770688248050602E-5</v>
      </c>
      <c r="M11" s="36">
        <f t="shared" si="5"/>
        <v>7.4318616120566813E-5</v>
      </c>
      <c r="N11" s="36">
        <f t="shared" si="5"/>
        <v>7.5903001656327061E-5</v>
      </c>
      <c r="O11" s="36">
        <f t="shared" si="5"/>
        <v>7.7457163166405152E-5</v>
      </c>
      <c r="P11" s="36">
        <f t="shared" si="5"/>
        <v>7.9007656227029243E-5</v>
      </c>
      <c r="Q11" s="36">
        <f t="shared" si="5"/>
        <v>8.0539999757056082E-5</v>
      </c>
      <c r="R11" s="36">
        <f t="shared" si="5"/>
        <v>8.207526919109631E-5</v>
      </c>
      <c r="S11" s="36">
        <f t="shared" si="5"/>
        <v>8.3510100941505444E-5</v>
      </c>
      <c r="T11" s="36">
        <f t="shared" si="5"/>
        <v>8.489822998631611E-5</v>
      </c>
      <c r="U11" s="36">
        <f t="shared" si="5"/>
        <v>8.6243217227894209E-5</v>
      </c>
      <c r="V11" s="36">
        <f t="shared" si="5"/>
        <v>8.7567169640710276E-5</v>
      </c>
      <c r="W11" s="36">
        <f t="shared" si="5"/>
        <v>8.8953923787208025E-5</v>
      </c>
      <c r="X11" s="36">
        <f t="shared" si="5"/>
        <v>9.0416783163277552E-5</v>
      </c>
      <c r="Y11" s="36">
        <f t="shared" si="5"/>
        <v>9.1899027221926653E-5</v>
      </c>
      <c r="Z11" s="36">
        <f t="shared" si="5"/>
        <v>9.3396916781111921E-5</v>
      </c>
      <c r="AA11" s="36">
        <f t="shared" si="5"/>
        <v>9.4894259879251599E-5</v>
      </c>
    </row>
  </sheetData>
  <pageMargins left="0.7" right="0.7" top="0.75" bottom="0.75" header="0.3" footer="0.3"/>
  <pageSetup orientation="portrait" horizontalDpi="1200" verticalDpi="12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8" tint="-0.249977111117893"/>
  </sheetPr>
  <dimension ref="A1:AC11"/>
  <sheetViews>
    <sheetView zoomScaleNormal="100" workbookViewId="0">
      <selection activeCell="B1" sqref="B1:B1048576"/>
    </sheetView>
  </sheetViews>
  <sheetFormatPr defaultRowHeight="14.25" x14ac:dyDescent="0.45"/>
  <cols>
    <col min="1" max="1" width="29.86328125" customWidth="1"/>
    <col min="2" max="27" width="10" customWidth="1"/>
  </cols>
  <sheetData>
    <row r="1" spans="1:29" x14ac:dyDescent="0.45">
      <c r="A1" s="121" t="s">
        <v>287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/>
      <c r="AC1" s="1"/>
    </row>
    <row r="2" spans="1:29" x14ac:dyDescent="0.45">
      <c r="A2" s="1" t="s">
        <v>288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C2" s="118"/>
    </row>
    <row r="3" spans="1:29" x14ac:dyDescent="0.45">
      <c r="A3" s="1" t="s">
        <v>289</v>
      </c>
      <c r="B3" s="119">
        <f t="shared" ref="B3:AA3" si="0">B4</f>
        <v>9.5358783265284613E-6</v>
      </c>
      <c r="C3" s="119">
        <f t="shared" si="0"/>
        <v>9.5467794941744364E-6</v>
      </c>
      <c r="D3" s="119">
        <f t="shared" si="0"/>
        <v>9.5633378323182739E-6</v>
      </c>
      <c r="E3" s="119">
        <f t="shared" si="0"/>
        <v>9.5810053867280258E-6</v>
      </c>
      <c r="F3" s="119">
        <f t="shared" si="0"/>
        <v>9.675419521068141E-6</v>
      </c>
      <c r="G3" s="119">
        <f t="shared" si="0"/>
        <v>9.7870525767293705E-6</v>
      </c>
      <c r="H3" s="119">
        <f t="shared" si="0"/>
        <v>9.8928834177094291E-6</v>
      </c>
      <c r="I3" s="119">
        <f t="shared" si="0"/>
        <v>9.9884202066590126E-6</v>
      </c>
      <c r="J3" s="119">
        <f t="shared" si="0"/>
        <v>1.0091844936584412E-5</v>
      </c>
      <c r="K3" s="119">
        <f t="shared" si="0"/>
        <v>1.0173929341582862E-5</v>
      </c>
      <c r="L3" s="119">
        <f t="shared" si="0"/>
        <v>1.0239336552870691E-5</v>
      </c>
      <c r="M3" s="119">
        <f t="shared" si="0"/>
        <v>1.0306834131125392E-5</v>
      </c>
      <c r="N3" s="119">
        <f t="shared" si="0"/>
        <v>1.0380273503601559E-5</v>
      </c>
      <c r="O3" s="119">
        <f t="shared" si="0"/>
        <v>1.0453682589484896E-5</v>
      </c>
      <c r="P3" s="119">
        <f t="shared" si="0"/>
        <v>1.0528438049399083E-5</v>
      </c>
      <c r="Q3" s="119">
        <f t="shared" si="0"/>
        <v>1.0603479013056044E-5</v>
      </c>
      <c r="R3" s="119">
        <f t="shared" si="0"/>
        <v>1.0682035137355643E-5</v>
      </c>
      <c r="S3" s="119">
        <f t="shared" si="0"/>
        <v>1.0759076293848692E-5</v>
      </c>
      <c r="T3" s="119">
        <f t="shared" si="0"/>
        <v>1.0837427224397374E-5</v>
      </c>
      <c r="U3" s="119">
        <f t="shared" si="0"/>
        <v>1.0918608017070747E-5</v>
      </c>
      <c r="V3" s="119">
        <f t="shared" si="0"/>
        <v>1.1008108069890751E-5</v>
      </c>
      <c r="W3" s="119">
        <f t="shared" si="0"/>
        <v>1.1109984010534237E-5</v>
      </c>
      <c r="X3" s="119">
        <f t="shared" si="0"/>
        <v>1.1221217401926258E-5</v>
      </c>
      <c r="Y3" s="119">
        <f t="shared" si="0"/>
        <v>1.133574759457253E-5</v>
      </c>
      <c r="Z3" s="119">
        <f t="shared" si="0"/>
        <v>1.1448285610121981E-5</v>
      </c>
      <c r="AA3" s="119">
        <f t="shared" si="0"/>
        <v>1.155438636613854E-5</v>
      </c>
    </row>
    <row r="4" spans="1:29" x14ac:dyDescent="0.45">
      <c r="A4" s="1" t="s">
        <v>264</v>
      </c>
      <c r="B4" s="104">
        <f>Calculations!G37</f>
        <v>9.5358783265284613E-6</v>
      </c>
      <c r="C4" s="104">
        <f>Calculations!H37</f>
        <v>9.5467794941744364E-6</v>
      </c>
      <c r="D4" s="104">
        <f>Calculations!I37</f>
        <v>9.5633378323182739E-6</v>
      </c>
      <c r="E4" s="104">
        <f>Calculations!J37</f>
        <v>9.5810053867280258E-6</v>
      </c>
      <c r="F4" s="104">
        <f>Calculations!K37</f>
        <v>9.675419521068141E-6</v>
      </c>
      <c r="G4" s="104">
        <f>Calculations!L37</f>
        <v>9.7870525767293705E-6</v>
      </c>
      <c r="H4" s="104">
        <f>Calculations!M37</f>
        <v>9.8928834177094291E-6</v>
      </c>
      <c r="I4" s="104">
        <f>Calculations!N37</f>
        <v>9.9884202066590126E-6</v>
      </c>
      <c r="J4" s="104">
        <f>Calculations!O37</f>
        <v>1.0091844936584412E-5</v>
      </c>
      <c r="K4" s="104">
        <f>Calculations!P37</f>
        <v>1.0173929341582862E-5</v>
      </c>
      <c r="L4" s="104">
        <f>Calculations!Q37</f>
        <v>1.0239336552870691E-5</v>
      </c>
      <c r="M4" s="104">
        <f>Calculations!R37</f>
        <v>1.0306834131125392E-5</v>
      </c>
      <c r="N4" s="104">
        <f>Calculations!S37</f>
        <v>1.0380273503601559E-5</v>
      </c>
      <c r="O4" s="104">
        <f>Calculations!T37</f>
        <v>1.0453682589484896E-5</v>
      </c>
      <c r="P4" s="104">
        <f>Calculations!U37</f>
        <v>1.0528438049399083E-5</v>
      </c>
      <c r="Q4" s="104">
        <f>Calculations!V37</f>
        <v>1.0603479013056044E-5</v>
      </c>
      <c r="R4" s="104">
        <f>Calculations!W37</f>
        <v>1.0682035137355643E-5</v>
      </c>
      <c r="S4" s="104">
        <f>Calculations!X37</f>
        <v>1.0759076293848692E-5</v>
      </c>
      <c r="T4" s="104">
        <f>Calculations!Y37</f>
        <v>1.0837427224397374E-5</v>
      </c>
      <c r="U4" s="104">
        <f>Calculations!Z37</f>
        <v>1.0918608017070747E-5</v>
      </c>
      <c r="V4" s="104">
        <f>Calculations!AA37</f>
        <v>1.1008108069890751E-5</v>
      </c>
      <c r="W4" s="104">
        <f>Calculations!AB37</f>
        <v>1.1109984010534237E-5</v>
      </c>
      <c r="X4" s="104">
        <f>Calculations!AC37</f>
        <v>1.1221217401926258E-5</v>
      </c>
      <c r="Y4" s="104">
        <f>Calculations!AD37</f>
        <v>1.133574759457253E-5</v>
      </c>
      <c r="Z4" s="104">
        <f>Calculations!AE37</f>
        <v>1.1448285610121981E-5</v>
      </c>
      <c r="AA4" s="104">
        <f>Calculations!AF37</f>
        <v>1.155438636613854E-5</v>
      </c>
    </row>
    <row r="5" spans="1:29" x14ac:dyDescent="0.45">
      <c r="A5" s="1" t="s">
        <v>290</v>
      </c>
      <c r="B5" s="104">
        <f>Calculations!G38</f>
        <v>-2.791754563224767E-5</v>
      </c>
      <c r="C5" s="104">
        <f>Calculations!H38</f>
        <v>-2.8297990940766547E-5</v>
      </c>
      <c r="D5" s="104">
        <f>Calculations!I38</f>
        <v>-2.8906742929068553E-5</v>
      </c>
      <c r="E5" s="104">
        <f>Calculations!J38</f>
        <v>-2.9597839263224182E-5</v>
      </c>
      <c r="F5" s="104">
        <f>Calculations!K38</f>
        <v>-3.0358396485815838E-5</v>
      </c>
      <c r="G5" s="104">
        <f>Calculations!L38</f>
        <v>-3.1042513217187666E-5</v>
      </c>
      <c r="H5" s="104">
        <f>Calculations!M38</f>
        <v>-3.1685131298793472E-5</v>
      </c>
      <c r="I5" s="104">
        <f>Calculations!N38</f>
        <v>-3.2223178394411276E-5</v>
      </c>
      <c r="J5" s="104">
        <f>Calculations!O38</f>
        <v>-3.2660978471997405E-5</v>
      </c>
      <c r="K5" s="104">
        <f>Calculations!P38</f>
        <v>-3.2930867082035307E-5</v>
      </c>
      <c r="L5" s="104">
        <f>Calculations!Q38</f>
        <v>-3.3063719589457674E-5</v>
      </c>
      <c r="M5" s="104">
        <f>Calculations!R38</f>
        <v>-3.3236997503658434E-5</v>
      </c>
      <c r="N5" s="104">
        <f>Calculations!S38</f>
        <v>-3.3416222890508384E-5</v>
      </c>
      <c r="O5" s="104">
        <f>Calculations!T38</f>
        <v>-3.3607767044690485E-5</v>
      </c>
      <c r="P5" s="104">
        <f>Calculations!U38</f>
        <v>-3.3807038334707333E-5</v>
      </c>
      <c r="Q5" s="104">
        <f>Calculations!V38</f>
        <v>-3.401928912615903E-5</v>
      </c>
      <c r="R5" s="104">
        <f>Calculations!W38</f>
        <v>-3.4260701275045542E-5</v>
      </c>
      <c r="S5" s="104">
        <f>Calculations!X38</f>
        <v>-3.4522660431089508E-5</v>
      </c>
      <c r="T5" s="104">
        <f>Calculations!Y38</f>
        <v>-3.4808631102164068E-5</v>
      </c>
      <c r="U5" s="104">
        <f>Calculations!Z38</f>
        <v>-3.5122415083625851E-5</v>
      </c>
      <c r="V5" s="104">
        <f>Calculations!AA38</f>
        <v>-3.5474117647058822E-5</v>
      </c>
      <c r="W5" s="104">
        <f>Calculations!AB38</f>
        <v>-3.5853166503374704E-5</v>
      </c>
      <c r="X5" s="104">
        <f>Calculations!AC38</f>
        <v>-3.6256518091829319E-5</v>
      </c>
      <c r="Y5" s="104">
        <f>Calculations!AD38</f>
        <v>-3.6678074535946205E-5</v>
      </c>
      <c r="Z5" s="104">
        <f>Calculations!AE38</f>
        <v>-3.7101874262101539E-5</v>
      </c>
      <c r="AA5" s="104">
        <f>Calculations!AF38</f>
        <v>-3.7502586467987158E-5</v>
      </c>
    </row>
    <row r="6" spans="1:29" x14ac:dyDescent="0.45">
      <c r="A6" s="1" t="s">
        <v>291</v>
      </c>
      <c r="B6" s="119">
        <f t="shared" ref="B6:AA6" si="1">B4</f>
        <v>9.5358783265284613E-6</v>
      </c>
      <c r="C6" s="119">
        <f t="shared" si="1"/>
        <v>9.5467794941744364E-6</v>
      </c>
      <c r="D6" s="119">
        <f t="shared" si="1"/>
        <v>9.5633378323182739E-6</v>
      </c>
      <c r="E6" s="119">
        <f t="shared" si="1"/>
        <v>9.5810053867280258E-6</v>
      </c>
      <c r="F6" s="119">
        <f t="shared" si="1"/>
        <v>9.675419521068141E-6</v>
      </c>
      <c r="G6" s="119">
        <f t="shared" si="1"/>
        <v>9.7870525767293705E-6</v>
      </c>
      <c r="H6" s="119">
        <f t="shared" si="1"/>
        <v>9.8928834177094291E-6</v>
      </c>
      <c r="I6" s="119">
        <f t="shared" si="1"/>
        <v>9.9884202066590126E-6</v>
      </c>
      <c r="J6" s="119">
        <f t="shared" si="1"/>
        <v>1.0091844936584412E-5</v>
      </c>
      <c r="K6" s="119">
        <f t="shared" si="1"/>
        <v>1.0173929341582862E-5</v>
      </c>
      <c r="L6" s="119">
        <f t="shared" si="1"/>
        <v>1.0239336552870691E-5</v>
      </c>
      <c r="M6" s="119">
        <f t="shared" si="1"/>
        <v>1.0306834131125392E-5</v>
      </c>
      <c r="N6" s="119">
        <f t="shared" si="1"/>
        <v>1.0380273503601559E-5</v>
      </c>
      <c r="O6" s="119">
        <f t="shared" si="1"/>
        <v>1.0453682589484896E-5</v>
      </c>
      <c r="P6" s="119">
        <f t="shared" si="1"/>
        <v>1.0528438049399083E-5</v>
      </c>
      <c r="Q6" s="119">
        <f t="shared" si="1"/>
        <v>1.0603479013056044E-5</v>
      </c>
      <c r="R6" s="119">
        <f t="shared" si="1"/>
        <v>1.0682035137355643E-5</v>
      </c>
      <c r="S6" s="119">
        <f t="shared" si="1"/>
        <v>1.0759076293848692E-5</v>
      </c>
      <c r="T6" s="119">
        <f t="shared" si="1"/>
        <v>1.0837427224397374E-5</v>
      </c>
      <c r="U6" s="119">
        <f t="shared" si="1"/>
        <v>1.0918608017070747E-5</v>
      </c>
      <c r="V6" s="119">
        <f t="shared" si="1"/>
        <v>1.1008108069890751E-5</v>
      </c>
      <c r="W6" s="119">
        <f t="shared" si="1"/>
        <v>1.1109984010534237E-5</v>
      </c>
      <c r="X6" s="119">
        <f t="shared" si="1"/>
        <v>1.1221217401926258E-5</v>
      </c>
      <c r="Y6" s="119">
        <f t="shared" si="1"/>
        <v>1.133574759457253E-5</v>
      </c>
      <c r="Z6" s="119">
        <f t="shared" si="1"/>
        <v>1.1448285610121981E-5</v>
      </c>
      <c r="AA6" s="119">
        <f t="shared" si="1"/>
        <v>1.155438636613854E-5</v>
      </c>
    </row>
    <row r="7" spans="1:29" x14ac:dyDescent="0.45">
      <c r="A7" s="1" t="s">
        <v>266</v>
      </c>
      <c r="B7" s="119">
        <f t="shared" ref="B7:AA7" si="2">B5</f>
        <v>-2.791754563224767E-5</v>
      </c>
      <c r="C7" s="119">
        <f t="shared" si="2"/>
        <v>-2.8297990940766547E-5</v>
      </c>
      <c r="D7" s="119">
        <f t="shared" si="2"/>
        <v>-2.8906742929068553E-5</v>
      </c>
      <c r="E7" s="119">
        <f t="shared" si="2"/>
        <v>-2.9597839263224182E-5</v>
      </c>
      <c r="F7" s="119">
        <f t="shared" si="2"/>
        <v>-3.0358396485815838E-5</v>
      </c>
      <c r="G7" s="119">
        <f t="shared" si="2"/>
        <v>-3.1042513217187666E-5</v>
      </c>
      <c r="H7" s="119">
        <f t="shared" si="2"/>
        <v>-3.1685131298793472E-5</v>
      </c>
      <c r="I7" s="119">
        <f t="shared" si="2"/>
        <v>-3.2223178394411276E-5</v>
      </c>
      <c r="J7" s="119">
        <f t="shared" si="2"/>
        <v>-3.2660978471997405E-5</v>
      </c>
      <c r="K7" s="119">
        <f t="shared" si="2"/>
        <v>-3.2930867082035307E-5</v>
      </c>
      <c r="L7" s="119">
        <f t="shared" si="2"/>
        <v>-3.3063719589457674E-5</v>
      </c>
      <c r="M7" s="119">
        <f t="shared" si="2"/>
        <v>-3.3236997503658434E-5</v>
      </c>
      <c r="N7" s="119">
        <f t="shared" si="2"/>
        <v>-3.3416222890508384E-5</v>
      </c>
      <c r="O7" s="119">
        <f t="shared" si="2"/>
        <v>-3.3607767044690485E-5</v>
      </c>
      <c r="P7" s="119">
        <f t="shared" si="2"/>
        <v>-3.3807038334707333E-5</v>
      </c>
      <c r="Q7" s="119">
        <f t="shared" si="2"/>
        <v>-3.401928912615903E-5</v>
      </c>
      <c r="R7" s="119">
        <f t="shared" si="2"/>
        <v>-3.4260701275045542E-5</v>
      </c>
      <c r="S7" s="119">
        <f t="shared" si="2"/>
        <v>-3.4522660431089508E-5</v>
      </c>
      <c r="T7" s="119">
        <f t="shared" si="2"/>
        <v>-3.4808631102164068E-5</v>
      </c>
      <c r="U7" s="119">
        <f t="shared" si="2"/>
        <v>-3.5122415083625851E-5</v>
      </c>
      <c r="V7" s="119">
        <f t="shared" si="2"/>
        <v>-3.5474117647058822E-5</v>
      </c>
      <c r="W7" s="119">
        <f t="shared" si="2"/>
        <v>-3.5853166503374704E-5</v>
      </c>
      <c r="X7" s="119">
        <f t="shared" si="2"/>
        <v>-3.6256518091829319E-5</v>
      </c>
      <c r="Y7" s="119">
        <f t="shared" si="2"/>
        <v>-3.6678074535946205E-5</v>
      </c>
      <c r="Z7" s="119">
        <f t="shared" si="2"/>
        <v>-3.7101874262101539E-5</v>
      </c>
      <c r="AA7" s="119">
        <f t="shared" si="2"/>
        <v>-3.7502586467987158E-5</v>
      </c>
    </row>
    <row r="8" spans="1:29" x14ac:dyDescent="0.45">
      <c r="A8" s="1" t="s">
        <v>292</v>
      </c>
      <c r="B8" s="119">
        <f t="shared" ref="B8:AA8" si="3">B5</f>
        <v>-2.791754563224767E-5</v>
      </c>
      <c r="C8" s="119">
        <f t="shared" si="3"/>
        <v>-2.8297990940766547E-5</v>
      </c>
      <c r="D8" s="119">
        <f t="shared" si="3"/>
        <v>-2.8906742929068553E-5</v>
      </c>
      <c r="E8" s="119">
        <f t="shared" si="3"/>
        <v>-2.9597839263224182E-5</v>
      </c>
      <c r="F8" s="119">
        <f t="shared" si="3"/>
        <v>-3.0358396485815838E-5</v>
      </c>
      <c r="G8" s="119">
        <f t="shared" si="3"/>
        <v>-3.1042513217187666E-5</v>
      </c>
      <c r="H8" s="119">
        <f t="shared" si="3"/>
        <v>-3.1685131298793472E-5</v>
      </c>
      <c r="I8" s="119">
        <f t="shared" si="3"/>
        <v>-3.2223178394411276E-5</v>
      </c>
      <c r="J8" s="119">
        <f t="shared" si="3"/>
        <v>-3.2660978471997405E-5</v>
      </c>
      <c r="K8" s="119">
        <f t="shared" si="3"/>
        <v>-3.2930867082035307E-5</v>
      </c>
      <c r="L8" s="119">
        <f t="shared" si="3"/>
        <v>-3.3063719589457674E-5</v>
      </c>
      <c r="M8" s="119">
        <f t="shared" si="3"/>
        <v>-3.3236997503658434E-5</v>
      </c>
      <c r="N8" s="119">
        <f t="shared" si="3"/>
        <v>-3.3416222890508384E-5</v>
      </c>
      <c r="O8" s="119">
        <f t="shared" si="3"/>
        <v>-3.3607767044690485E-5</v>
      </c>
      <c r="P8" s="119">
        <f t="shared" si="3"/>
        <v>-3.3807038334707333E-5</v>
      </c>
      <c r="Q8" s="119">
        <f t="shared" si="3"/>
        <v>-3.401928912615903E-5</v>
      </c>
      <c r="R8" s="119">
        <f t="shared" si="3"/>
        <v>-3.4260701275045542E-5</v>
      </c>
      <c r="S8" s="119">
        <f t="shared" si="3"/>
        <v>-3.4522660431089508E-5</v>
      </c>
      <c r="T8" s="119">
        <f t="shared" si="3"/>
        <v>-3.4808631102164068E-5</v>
      </c>
      <c r="U8" s="119">
        <f t="shared" si="3"/>
        <v>-3.5122415083625851E-5</v>
      </c>
      <c r="V8" s="119">
        <f t="shared" si="3"/>
        <v>-3.5474117647058822E-5</v>
      </c>
      <c r="W8" s="119">
        <f t="shared" si="3"/>
        <v>-3.5853166503374704E-5</v>
      </c>
      <c r="X8" s="119">
        <f t="shared" si="3"/>
        <v>-3.6256518091829319E-5</v>
      </c>
      <c r="Y8" s="119">
        <f t="shared" si="3"/>
        <v>-3.6678074535946205E-5</v>
      </c>
      <c r="Z8" s="119">
        <f t="shared" si="3"/>
        <v>-3.7101874262101539E-5</v>
      </c>
      <c r="AA8" s="119">
        <f t="shared" si="3"/>
        <v>-3.7502586467987158E-5</v>
      </c>
    </row>
    <row r="9" spans="1:29" x14ac:dyDescent="0.45">
      <c r="A9" s="1" t="s">
        <v>293</v>
      </c>
      <c r="B9" s="119">
        <f t="shared" ref="B9:AA9" si="4">B5</f>
        <v>-2.791754563224767E-5</v>
      </c>
      <c r="C9" s="119">
        <f t="shared" si="4"/>
        <v>-2.8297990940766547E-5</v>
      </c>
      <c r="D9" s="119">
        <f t="shared" si="4"/>
        <v>-2.8906742929068553E-5</v>
      </c>
      <c r="E9" s="119">
        <f t="shared" si="4"/>
        <v>-2.9597839263224182E-5</v>
      </c>
      <c r="F9" s="119">
        <f t="shared" si="4"/>
        <v>-3.0358396485815838E-5</v>
      </c>
      <c r="G9" s="119">
        <f t="shared" si="4"/>
        <v>-3.1042513217187666E-5</v>
      </c>
      <c r="H9" s="119">
        <f t="shared" si="4"/>
        <v>-3.1685131298793472E-5</v>
      </c>
      <c r="I9" s="119">
        <f t="shared" si="4"/>
        <v>-3.2223178394411276E-5</v>
      </c>
      <c r="J9" s="119">
        <f t="shared" si="4"/>
        <v>-3.2660978471997405E-5</v>
      </c>
      <c r="K9" s="119">
        <f t="shared" si="4"/>
        <v>-3.2930867082035307E-5</v>
      </c>
      <c r="L9" s="119">
        <f t="shared" si="4"/>
        <v>-3.3063719589457674E-5</v>
      </c>
      <c r="M9" s="119">
        <f t="shared" si="4"/>
        <v>-3.3236997503658434E-5</v>
      </c>
      <c r="N9" s="119">
        <f t="shared" si="4"/>
        <v>-3.3416222890508384E-5</v>
      </c>
      <c r="O9" s="119">
        <f t="shared" si="4"/>
        <v>-3.3607767044690485E-5</v>
      </c>
      <c r="P9" s="119">
        <f t="shared" si="4"/>
        <v>-3.3807038334707333E-5</v>
      </c>
      <c r="Q9" s="119">
        <f t="shared" si="4"/>
        <v>-3.401928912615903E-5</v>
      </c>
      <c r="R9" s="119">
        <f t="shared" si="4"/>
        <v>-3.4260701275045542E-5</v>
      </c>
      <c r="S9" s="119">
        <f t="shared" si="4"/>
        <v>-3.4522660431089508E-5</v>
      </c>
      <c r="T9" s="119">
        <f t="shared" si="4"/>
        <v>-3.4808631102164068E-5</v>
      </c>
      <c r="U9" s="119">
        <f t="shared" si="4"/>
        <v>-3.5122415083625851E-5</v>
      </c>
      <c r="V9" s="119">
        <f t="shared" si="4"/>
        <v>-3.5474117647058822E-5</v>
      </c>
      <c r="W9" s="119">
        <f t="shared" si="4"/>
        <v>-3.5853166503374704E-5</v>
      </c>
      <c r="X9" s="119">
        <f t="shared" si="4"/>
        <v>-3.6256518091829319E-5</v>
      </c>
      <c r="Y9" s="119">
        <f t="shared" si="4"/>
        <v>-3.6678074535946205E-5</v>
      </c>
      <c r="Z9" s="119">
        <f t="shared" si="4"/>
        <v>-3.7101874262101539E-5</v>
      </c>
      <c r="AA9" s="119">
        <f t="shared" si="4"/>
        <v>-3.7502586467987158E-5</v>
      </c>
    </row>
    <row r="10" spans="1:29" x14ac:dyDescent="0.45">
      <c r="A10" s="1" t="s">
        <v>294</v>
      </c>
      <c r="B10" s="119">
        <f t="shared" ref="B10:AA10" si="5">B4</f>
        <v>9.5358783265284613E-6</v>
      </c>
      <c r="C10" s="119">
        <f t="shared" si="5"/>
        <v>9.5467794941744364E-6</v>
      </c>
      <c r="D10" s="119">
        <f t="shared" si="5"/>
        <v>9.5633378323182739E-6</v>
      </c>
      <c r="E10" s="119">
        <f t="shared" si="5"/>
        <v>9.5810053867280258E-6</v>
      </c>
      <c r="F10" s="119">
        <f t="shared" si="5"/>
        <v>9.675419521068141E-6</v>
      </c>
      <c r="G10" s="119">
        <f t="shared" si="5"/>
        <v>9.7870525767293705E-6</v>
      </c>
      <c r="H10" s="119">
        <f t="shared" si="5"/>
        <v>9.8928834177094291E-6</v>
      </c>
      <c r="I10" s="119">
        <f t="shared" si="5"/>
        <v>9.9884202066590126E-6</v>
      </c>
      <c r="J10" s="119">
        <f t="shared" si="5"/>
        <v>1.0091844936584412E-5</v>
      </c>
      <c r="K10" s="119">
        <f t="shared" si="5"/>
        <v>1.0173929341582862E-5</v>
      </c>
      <c r="L10" s="119">
        <f t="shared" si="5"/>
        <v>1.0239336552870691E-5</v>
      </c>
      <c r="M10" s="119">
        <f t="shared" si="5"/>
        <v>1.0306834131125392E-5</v>
      </c>
      <c r="N10" s="119">
        <f t="shared" si="5"/>
        <v>1.0380273503601559E-5</v>
      </c>
      <c r="O10" s="119">
        <f t="shared" si="5"/>
        <v>1.0453682589484896E-5</v>
      </c>
      <c r="P10" s="119">
        <f t="shared" si="5"/>
        <v>1.0528438049399083E-5</v>
      </c>
      <c r="Q10" s="119">
        <f t="shared" si="5"/>
        <v>1.0603479013056044E-5</v>
      </c>
      <c r="R10" s="119">
        <f t="shared" si="5"/>
        <v>1.0682035137355643E-5</v>
      </c>
      <c r="S10" s="119">
        <f t="shared" si="5"/>
        <v>1.0759076293848692E-5</v>
      </c>
      <c r="T10" s="119">
        <f t="shared" si="5"/>
        <v>1.0837427224397374E-5</v>
      </c>
      <c r="U10" s="119">
        <f t="shared" si="5"/>
        <v>1.0918608017070747E-5</v>
      </c>
      <c r="V10" s="119">
        <f t="shared" si="5"/>
        <v>1.1008108069890751E-5</v>
      </c>
      <c r="W10" s="119">
        <f t="shared" si="5"/>
        <v>1.1109984010534237E-5</v>
      </c>
      <c r="X10" s="119">
        <f t="shared" si="5"/>
        <v>1.1221217401926258E-5</v>
      </c>
      <c r="Y10" s="119">
        <f t="shared" si="5"/>
        <v>1.133574759457253E-5</v>
      </c>
      <c r="Z10" s="119">
        <f t="shared" si="5"/>
        <v>1.1448285610121981E-5</v>
      </c>
      <c r="AA10" s="119">
        <f t="shared" si="5"/>
        <v>1.155438636613854E-5</v>
      </c>
    </row>
    <row r="11" spans="1:29" x14ac:dyDescent="0.45">
      <c r="A11" s="1" t="s">
        <v>295</v>
      </c>
      <c r="B11" s="119">
        <f t="shared" ref="B11:AA11" si="6">B4</f>
        <v>9.5358783265284613E-6</v>
      </c>
      <c r="C11" s="119">
        <f t="shared" si="6"/>
        <v>9.5467794941744364E-6</v>
      </c>
      <c r="D11" s="119">
        <f t="shared" si="6"/>
        <v>9.5633378323182739E-6</v>
      </c>
      <c r="E11" s="119">
        <f t="shared" si="6"/>
        <v>9.5810053867280258E-6</v>
      </c>
      <c r="F11" s="119">
        <f t="shared" si="6"/>
        <v>9.675419521068141E-6</v>
      </c>
      <c r="G11" s="119">
        <f t="shared" si="6"/>
        <v>9.7870525767293705E-6</v>
      </c>
      <c r="H11" s="119">
        <f t="shared" si="6"/>
        <v>9.8928834177094291E-6</v>
      </c>
      <c r="I11" s="119">
        <f t="shared" si="6"/>
        <v>9.9884202066590126E-6</v>
      </c>
      <c r="J11" s="119">
        <f t="shared" si="6"/>
        <v>1.0091844936584412E-5</v>
      </c>
      <c r="K11" s="119">
        <f t="shared" si="6"/>
        <v>1.0173929341582862E-5</v>
      </c>
      <c r="L11" s="119">
        <f t="shared" si="6"/>
        <v>1.0239336552870691E-5</v>
      </c>
      <c r="M11" s="119">
        <f t="shared" si="6"/>
        <v>1.0306834131125392E-5</v>
      </c>
      <c r="N11" s="119">
        <f t="shared" si="6"/>
        <v>1.0380273503601559E-5</v>
      </c>
      <c r="O11" s="119">
        <f t="shared" si="6"/>
        <v>1.0453682589484896E-5</v>
      </c>
      <c r="P11" s="119">
        <f t="shared" si="6"/>
        <v>1.0528438049399083E-5</v>
      </c>
      <c r="Q11" s="119">
        <f t="shared" si="6"/>
        <v>1.0603479013056044E-5</v>
      </c>
      <c r="R11" s="119">
        <f t="shared" si="6"/>
        <v>1.0682035137355643E-5</v>
      </c>
      <c r="S11" s="119">
        <f t="shared" si="6"/>
        <v>1.0759076293848692E-5</v>
      </c>
      <c r="T11" s="119">
        <f t="shared" si="6"/>
        <v>1.0837427224397374E-5</v>
      </c>
      <c r="U11" s="119">
        <f t="shared" si="6"/>
        <v>1.0918608017070747E-5</v>
      </c>
      <c r="V11" s="119">
        <f t="shared" si="6"/>
        <v>1.1008108069890751E-5</v>
      </c>
      <c r="W11" s="119">
        <f t="shared" si="6"/>
        <v>1.1109984010534237E-5</v>
      </c>
      <c r="X11" s="119">
        <f t="shared" si="6"/>
        <v>1.1221217401926258E-5</v>
      </c>
      <c r="Y11" s="119">
        <f t="shared" si="6"/>
        <v>1.133574759457253E-5</v>
      </c>
      <c r="Z11" s="119">
        <f t="shared" si="6"/>
        <v>1.1448285610121981E-5</v>
      </c>
      <c r="AA11" s="119">
        <f t="shared" si="6"/>
        <v>1.155438636613854E-5</v>
      </c>
    </row>
  </sheetData>
  <pageMargins left="0.7" right="0.7" top="0.75" bottom="0.75" header="0.3" footer="0.3"/>
  <pageSetup orientation="portrait" horizontalDpi="1200" verticalDpi="12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8" tint="-0.249977111117893"/>
  </sheetPr>
  <dimension ref="A1:AC11"/>
  <sheetViews>
    <sheetView zoomScaleNormal="100" workbookViewId="0">
      <selection activeCell="B6" sqref="B1:B1048576"/>
    </sheetView>
  </sheetViews>
  <sheetFormatPr defaultRowHeight="14.25" x14ac:dyDescent="0.45"/>
  <cols>
    <col min="1" max="1" width="29.86328125" customWidth="1"/>
    <col min="2" max="27" width="10" customWidth="1"/>
  </cols>
  <sheetData>
    <row r="1" spans="1:29" x14ac:dyDescent="0.45">
      <c r="A1" s="121" t="s">
        <v>287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/>
      <c r="AC1" s="1"/>
    </row>
    <row r="2" spans="1:29" x14ac:dyDescent="0.45">
      <c r="A2" s="1" t="s">
        <v>288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C2" s="118"/>
    </row>
    <row r="3" spans="1:29" x14ac:dyDescent="0.45">
      <c r="A3" s="1" t="s">
        <v>289</v>
      </c>
      <c r="B3" s="119">
        <f t="shared" ref="B3:AA3" si="0">B4</f>
        <v>9.5358783265284613E-6</v>
      </c>
      <c r="C3" s="119">
        <f t="shared" si="0"/>
        <v>9.5467794941744364E-6</v>
      </c>
      <c r="D3" s="119">
        <f t="shared" si="0"/>
        <v>9.5633378323182739E-6</v>
      </c>
      <c r="E3" s="119">
        <f t="shared" si="0"/>
        <v>9.5810053867280258E-6</v>
      </c>
      <c r="F3" s="119">
        <f t="shared" si="0"/>
        <v>9.675419521068141E-6</v>
      </c>
      <c r="G3" s="119">
        <f t="shared" si="0"/>
        <v>9.7870525767293705E-6</v>
      </c>
      <c r="H3" s="119">
        <f t="shared" si="0"/>
        <v>9.8928834177094291E-6</v>
      </c>
      <c r="I3" s="119">
        <f t="shared" si="0"/>
        <v>9.9884202066590126E-6</v>
      </c>
      <c r="J3" s="119">
        <f t="shared" si="0"/>
        <v>1.0091844936584412E-5</v>
      </c>
      <c r="K3" s="119">
        <f t="shared" si="0"/>
        <v>1.0173929341582862E-5</v>
      </c>
      <c r="L3" s="119">
        <f t="shared" si="0"/>
        <v>1.0239336552870691E-5</v>
      </c>
      <c r="M3" s="119">
        <f t="shared" si="0"/>
        <v>1.0306834131125392E-5</v>
      </c>
      <c r="N3" s="119">
        <f t="shared" si="0"/>
        <v>1.0380273503601559E-5</v>
      </c>
      <c r="O3" s="119">
        <f t="shared" si="0"/>
        <v>1.0453682589484896E-5</v>
      </c>
      <c r="P3" s="119">
        <f t="shared" si="0"/>
        <v>1.0528438049399083E-5</v>
      </c>
      <c r="Q3" s="119">
        <f t="shared" si="0"/>
        <v>1.0603479013056044E-5</v>
      </c>
      <c r="R3" s="119">
        <f t="shared" si="0"/>
        <v>1.0682035137355643E-5</v>
      </c>
      <c r="S3" s="119">
        <f t="shared" si="0"/>
        <v>1.0759076293848692E-5</v>
      </c>
      <c r="T3" s="119">
        <f t="shared" si="0"/>
        <v>1.0837427224397374E-5</v>
      </c>
      <c r="U3" s="119">
        <f t="shared" si="0"/>
        <v>1.0918608017070747E-5</v>
      </c>
      <c r="V3" s="119">
        <f t="shared" si="0"/>
        <v>1.1008108069890751E-5</v>
      </c>
      <c r="W3" s="119">
        <f t="shared" si="0"/>
        <v>1.1109984010534237E-5</v>
      </c>
      <c r="X3" s="119">
        <f t="shared" si="0"/>
        <v>1.1221217401926258E-5</v>
      </c>
      <c r="Y3" s="119">
        <f t="shared" si="0"/>
        <v>1.133574759457253E-5</v>
      </c>
      <c r="Z3" s="119">
        <f t="shared" si="0"/>
        <v>1.1448285610121981E-5</v>
      </c>
      <c r="AA3" s="119">
        <f t="shared" si="0"/>
        <v>1.155438636613854E-5</v>
      </c>
    </row>
    <row r="4" spans="1:29" x14ac:dyDescent="0.45">
      <c r="A4" s="1" t="s">
        <v>264</v>
      </c>
      <c r="B4" s="104">
        <f>Calculations!G37</f>
        <v>9.5358783265284613E-6</v>
      </c>
      <c r="C4" s="104">
        <f>Calculations!H37</f>
        <v>9.5467794941744364E-6</v>
      </c>
      <c r="D4" s="104">
        <f>Calculations!I37</f>
        <v>9.5633378323182739E-6</v>
      </c>
      <c r="E4" s="104">
        <f>Calculations!J37</f>
        <v>9.5810053867280258E-6</v>
      </c>
      <c r="F4" s="104">
        <f>Calculations!K37</f>
        <v>9.675419521068141E-6</v>
      </c>
      <c r="G4" s="104">
        <f>Calculations!L37</f>
        <v>9.7870525767293705E-6</v>
      </c>
      <c r="H4" s="104">
        <f>Calculations!M37</f>
        <v>9.8928834177094291E-6</v>
      </c>
      <c r="I4" s="104">
        <f>Calculations!N37</f>
        <v>9.9884202066590126E-6</v>
      </c>
      <c r="J4" s="104">
        <f>Calculations!O37</f>
        <v>1.0091844936584412E-5</v>
      </c>
      <c r="K4" s="104">
        <f>Calculations!P37</f>
        <v>1.0173929341582862E-5</v>
      </c>
      <c r="L4" s="104">
        <f>Calculations!Q37</f>
        <v>1.0239336552870691E-5</v>
      </c>
      <c r="M4" s="104">
        <f>Calculations!R37</f>
        <v>1.0306834131125392E-5</v>
      </c>
      <c r="N4" s="104">
        <f>Calculations!S37</f>
        <v>1.0380273503601559E-5</v>
      </c>
      <c r="O4" s="104">
        <f>Calculations!T37</f>
        <v>1.0453682589484896E-5</v>
      </c>
      <c r="P4" s="104">
        <f>Calculations!U37</f>
        <v>1.0528438049399083E-5</v>
      </c>
      <c r="Q4" s="104">
        <f>Calculations!V37</f>
        <v>1.0603479013056044E-5</v>
      </c>
      <c r="R4" s="104">
        <f>Calculations!W37</f>
        <v>1.0682035137355643E-5</v>
      </c>
      <c r="S4" s="104">
        <f>Calculations!X37</f>
        <v>1.0759076293848692E-5</v>
      </c>
      <c r="T4" s="104">
        <f>Calculations!Y37</f>
        <v>1.0837427224397374E-5</v>
      </c>
      <c r="U4" s="104">
        <f>Calculations!Z37</f>
        <v>1.0918608017070747E-5</v>
      </c>
      <c r="V4" s="104">
        <f>Calculations!AA37</f>
        <v>1.1008108069890751E-5</v>
      </c>
      <c r="W4" s="104">
        <f>Calculations!AB37</f>
        <v>1.1109984010534237E-5</v>
      </c>
      <c r="X4" s="104">
        <f>Calculations!AC37</f>
        <v>1.1221217401926258E-5</v>
      </c>
      <c r="Y4" s="104">
        <f>Calculations!AD37</f>
        <v>1.133574759457253E-5</v>
      </c>
      <c r="Z4" s="104">
        <f>Calculations!AE37</f>
        <v>1.1448285610121981E-5</v>
      </c>
      <c r="AA4" s="104">
        <f>Calculations!AF37</f>
        <v>1.155438636613854E-5</v>
      </c>
    </row>
    <row r="5" spans="1:29" x14ac:dyDescent="0.45">
      <c r="A5" s="1" t="s">
        <v>290</v>
      </c>
      <c r="B5" s="104">
        <f>Calculations!G38</f>
        <v>-2.791754563224767E-5</v>
      </c>
      <c r="C5" s="104">
        <f>Calculations!H38</f>
        <v>-2.8297990940766547E-5</v>
      </c>
      <c r="D5" s="104">
        <f>Calculations!I38</f>
        <v>-2.8906742929068553E-5</v>
      </c>
      <c r="E5" s="104">
        <f>Calculations!J38</f>
        <v>-2.9597839263224182E-5</v>
      </c>
      <c r="F5" s="104">
        <f>Calculations!K38</f>
        <v>-3.0358396485815838E-5</v>
      </c>
      <c r="G5" s="104">
        <f>Calculations!L38</f>
        <v>-3.1042513217187666E-5</v>
      </c>
      <c r="H5" s="104">
        <f>Calculations!M38</f>
        <v>-3.1685131298793472E-5</v>
      </c>
      <c r="I5" s="104">
        <f>Calculations!N38</f>
        <v>-3.2223178394411276E-5</v>
      </c>
      <c r="J5" s="104">
        <f>Calculations!O38</f>
        <v>-3.2660978471997405E-5</v>
      </c>
      <c r="K5" s="104">
        <f>Calculations!P38</f>
        <v>-3.2930867082035307E-5</v>
      </c>
      <c r="L5" s="104">
        <f>Calculations!Q38</f>
        <v>-3.3063719589457674E-5</v>
      </c>
      <c r="M5" s="104">
        <f>Calculations!R38</f>
        <v>-3.3236997503658434E-5</v>
      </c>
      <c r="N5" s="104">
        <f>Calculations!S38</f>
        <v>-3.3416222890508384E-5</v>
      </c>
      <c r="O5" s="104">
        <f>Calculations!T38</f>
        <v>-3.3607767044690485E-5</v>
      </c>
      <c r="P5" s="104">
        <f>Calculations!U38</f>
        <v>-3.3807038334707333E-5</v>
      </c>
      <c r="Q5" s="104">
        <f>Calculations!V38</f>
        <v>-3.401928912615903E-5</v>
      </c>
      <c r="R5" s="104">
        <f>Calculations!W38</f>
        <v>-3.4260701275045542E-5</v>
      </c>
      <c r="S5" s="104">
        <f>Calculations!X38</f>
        <v>-3.4522660431089508E-5</v>
      </c>
      <c r="T5" s="104">
        <f>Calculations!Y38</f>
        <v>-3.4808631102164068E-5</v>
      </c>
      <c r="U5" s="104">
        <f>Calculations!Z38</f>
        <v>-3.5122415083625851E-5</v>
      </c>
      <c r="V5" s="104">
        <f>Calculations!AA38</f>
        <v>-3.5474117647058822E-5</v>
      </c>
      <c r="W5" s="104">
        <f>Calculations!AB38</f>
        <v>-3.5853166503374704E-5</v>
      </c>
      <c r="X5" s="104">
        <f>Calculations!AC38</f>
        <v>-3.6256518091829319E-5</v>
      </c>
      <c r="Y5" s="104">
        <f>Calculations!AD38</f>
        <v>-3.6678074535946205E-5</v>
      </c>
      <c r="Z5" s="104">
        <f>Calculations!AE38</f>
        <v>-3.7101874262101539E-5</v>
      </c>
      <c r="AA5" s="104">
        <f>Calculations!AF38</f>
        <v>-3.7502586467987158E-5</v>
      </c>
    </row>
    <row r="6" spans="1:29" x14ac:dyDescent="0.45">
      <c r="A6" s="1" t="s">
        <v>291</v>
      </c>
      <c r="B6" s="119">
        <f t="shared" ref="B6:AA6" si="1">B4</f>
        <v>9.5358783265284613E-6</v>
      </c>
      <c r="C6" s="119">
        <f t="shared" si="1"/>
        <v>9.5467794941744364E-6</v>
      </c>
      <c r="D6" s="119">
        <f t="shared" si="1"/>
        <v>9.5633378323182739E-6</v>
      </c>
      <c r="E6" s="119">
        <f t="shared" si="1"/>
        <v>9.5810053867280258E-6</v>
      </c>
      <c r="F6" s="119">
        <f t="shared" si="1"/>
        <v>9.675419521068141E-6</v>
      </c>
      <c r="G6" s="119">
        <f t="shared" si="1"/>
        <v>9.7870525767293705E-6</v>
      </c>
      <c r="H6" s="119">
        <f t="shared" si="1"/>
        <v>9.8928834177094291E-6</v>
      </c>
      <c r="I6" s="119">
        <f t="shared" si="1"/>
        <v>9.9884202066590126E-6</v>
      </c>
      <c r="J6" s="119">
        <f t="shared" si="1"/>
        <v>1.0091844936584412E-5</v>
      </c>
      <c r="K6" s="119">
        <f t="shared" si="1"/>
        <v>1.0173929341582862E-5</v>
      </c>
      <c r="L6" s="119">
        <f t="shared" si="1"/>
        <v>1.0239336552870691E-5</v>
      </c>
      <c r="M6" s="119">
        <f t="shared" si="1"/>
        <v>1.0306834131125392E-5</v>
      </c>
      <c r="N6" s="119">
        <f t="shared" si="1"/>
        <v>1.0380273503601559E-5</v>
      </c>
      <c r="O6" s="119">
        <f t="shared" si="1"/>
        <v>1.0453682589484896E-5</v>
      </c>
      <c r="P6" s="119">
        <f t="shared" si="1"/>
        <v>1.0528438049399083E-5</v>
      </c>
      <c r="Q6" s="119">
        <f t="shared" si="1"/>
        <v>1.0603479013056044E-5</v>
      </c>
      <c r="R6" s="119">
        <f t="shared" si="1"/>
        <v>1.0682035137355643E-5</v>
      </c>
      <c r="S6" s="119">
        <f t="shared" si="1"/>
        <v>1.0759076293848692E-5</v>
      </c>
      <c r="T6" s="119">
        <f t="shared" si="1"/>
        <v>1.0837427224397374E-5</v>
      </c>
      <c r="U6" s="119">
        <f t="shared" si="1"/>
        <v>1.0918608017070747E-5</v>
      </c>
      <c r="V6" s="119">
        <f t="shared" si="1"/>
        <v>1.1008108069890751E-5</v>
      </c>
      <c r="W6" s="119">
        <f t="shared" si="1"/>
        <v>1.1109984010534237E-5</v>
      </c>
      <c r="X6" s="119">
        <f t="shared" si="1"/>
        <v>1.1221217401926258E-5</v>
      </c>
      <c r="Y6" s="119">
        <f t="shared" si="1"/>
        <v>1.133574759457253E-5</v>
      </c>
      <c r="Z6" s="119">
        <f t="shared" si="1"/>
        <v>1.1448285610121981E-5</v>
      </c>
      <c r="AA6" s="119">
        <f t="shared" si="1"/>
        <v>1.155438636613854E-5</v>
      </c>
    </row>
    <row r="7" spans="1:29" x14ac:dyDescent="0.45">
      <c r="A7" s="1" t="s">
        <v>266</v>
      </c>
      <c r="B7" s="119">
        <f t="shared" ref="B7:AA7" si="2">B5</f>
        <v>-2.791754563224767E-5</v>
      </c>
      <c r="C7" s="119">
        <f t="shared" si="2"/>
        <v>-2.8297990940766547E-5</v>
      </c>
      <c r="D7" s="119">
        <f t="shared" si="2"/>
        <v>-2.8906742929068553E-5</v>
      </c>
      <c r="E7" s="119">
        <f t="shared" si="2"/>
        <v>-2.9597839263224182E-5</v>
      </c>
      <c r="F7" s="119">
        <f t="shared" si="2"/>
        <v>-3.0358396485815838E-5</v>
      </c>
      <c r="G7" s="119">
        <f t="shared" si="2"/>
        <v>-3.1042513217187666E-5</v>
      </c>
      <c r="H7" s="119">
        <f t="shared" si="2"/>
        <v>-3.1685131298793472E-5</v>
      </c>
      <c r="I7" s="119">
        <f t="shared" si="2"/>
        <v>-3.2223178394411276E-5</v>
      </c>
      <c r="J7" s="119">
        <f t="shared" si="2"/>
        <v>-3.2660978471997405E-5</v>
      </c>
      <c r="K7" s="119">
        <f t="shared" si="2"/>
        <v>-3.2930867082035307E-5</v>
      </c>
      <c r="L7" s="119">
        <f t="shared" si="2"/>
        <v>-3.3063719589457674E-5</v>
      </c>
      <c r="M7" s="119">
        <f t="shared" si="2"/>
        <v>-3.3236997503658434E-5</v>
      </c>
      <c r="N7" s="119">
        <f t="shared" si="2"/>
        <v>-3.3416222890508384E-5</v>
      </c>
      <c r="O7" s="119">
        <f t="shared" si="2"/>
        <v>-3.3607767044690485E-5</v>
      </c>
      <c r="P7" s="119">
        <f t="shared" si="2"/>
        <v>-3.3807038334707333E-5</v>
      </c>
      <c r="Q7" s="119">
        <f t="shared" si="2"/>
        <v>-3.401928912615903E-5</v>
      </c>
      <c r="R7" s="119">
        <f t="shared" si="2"/>
        <v>-3.4260701275045542E-5</v>
      </c>
      <c r="S7" s="119">
        <f t="shared" si="2"/>
        <v>-3.4522660431089508E-5</v>
      </c>
      <c r="T7" s="119">
        <f t="shared" si="2"/>
        <v>-3.4808631102164068E-5</v>
      </c>
      <c r="U7" s="119">
        <f t="shared" si="2"/>
        <v>-3.5122415083625851E-5</v>
      </c>
      <c r="V7" s="119">
        <f t="shared" si="2"/>
        <v>-3.5474117647058822E-5</v>
      </c>
      <c r="W7" s="119">
        <f t="shared" si="2"/>
        <v>-3.5853166503374704E-5</v>
      </c>
      <c r="X7" s="119">
        <f t="shared" si="2"/>
        <v>-3.6256518091829319E-5</v>
      </c>
      <c r="Y7" s="119">
        <f t="shared" si="2"/>
        <v>-3.6678074535946205E-5</v>
      </c>
      <c r="Z7" s="119">
        <f t="shared" si="2"/>
        <v>-3.7101874262101539E-5</v>
      </c>
      <c r="AA7" s="119">
        <f t="shared" si="2"/>
        <v>-3.7502586467987158E-5</v>
      </c>
    </row>
    <row r="8" spans="1:29" x14ac:dyDescent="0.45">
      <c r="A8" s="1" t="s">
        <v>292</v>
      </c>
      <c r="B8" s="119">
        <f t="shared" ref="B8:AA8" si="3">B5</f>
        <v>-2.791754563224767E-5</v>
      </c>
      <c r="C8" s="119">
        <f t="shared" si="3"/>
        <v>-2.8297990940766547E-5</v>
      </c>
      <c r="D8" s="119">
        <f t="shared" si="3"/>
        <v>-2.8906742929068553E-5</v>
      </c>
      <c r="E8" s="119">
        <f t="shared" si="3"/>
        <v>-2.9597839263224182E-5</v>
      </c>
      <c r="F8" s="119">
        <f t="shared" si="3"/>
        <v>-3.0358396485815838E-5</v>
      </c>
      <c r="G8" s="119">
        <f t="shared" si="3"/>
        <v>-3.1042513217187666E-5</v>
      </c>
      <c r="H8" s="119">
        <f t="shared" si="3"/>
        <v>-3.1685131298793472E-5</v>
      </c>
      <c r="I8" s="119">
        <f t="shared" si="3"/>
        <v>-3.2223178394411276E-5</v>
      </c>
      <c r="J8" s="119">
        <f t="shared" si="3"/>
        <v>-3.2660978471997405E-5</v>
      </c>
      <c r="K8" s="119">
        <f t="shared" si="3"/>
        <v>-3.2930867082035307E-5</v>
      </c>
      <c r="L8" s="119">
        <f t="shared" si="3"/>
        <v>-3.3063719589457674E-5</v>
      </c>
      <c r="M8" s="119">
        <f t="shared" si="3"/>
        <v>-3.3236997503658434E-5</v>
      </c>
      <c r="N8" s="119">
        <f t="shared" si="3"/>
        <v>-3.3416222890508384E-5</v>
      </c>
      <c r="O8" s="119">
        <f t="shared" si="3"/>
        <v>-3.3607767044690485E-5</v>
      </c>
      <c r="P8" s="119">
        <f t="shared" si="3"/>
        <v>-3.3807038334707333E-5</v>
      </c>
      <c r="Q8" s="119">
        <f t="shared" si="3"/>
        <v>-3.401928912615903E-5</v>
      </c>
      <c r="R8" s="119">
        <f t="shared" si="3"/>
        <v>-3.4260701275045542E-5</v>
      </c>
      <c r="S8" s="119">
        <f t="shared" si="3"/>
        <v>-3.4522660431089508E-5</v>
      </c>
      <c r="T8" s="119">
        <f t="shared" si="3"/>
        <v>-3.4808631102164068E-5</v>
      </c>
      <c r="U8" s="119">
        <f t="shared" si="3"/>
        <v>-3.5122415083625851E-5</v>
      </c>
      <c r="V8" s="119">
        <f t="shared" si="3"/>
        <v>-3.5474117647058822E-5</v>
      </c>
      <c r="W8" s="119">
        <f t="shared" si="3"/>
        <v>-3.5853166503374704E-5</v>
      </c>
      <c r="X8" s="119">
        <f t="shared" si="3"/>
        <v>-3.6256518091829319E-5</v>
      </c>
      <c r="Y8" s="119">
        <f t="shared" si="3"/>
        <v>-3.6678074535946205E-5</v>
      </c>
      <c r="Z8" s="119">
        <f t="shared" si="3"/>
        <v>-3.7101874262101539E-5</v>
      </c>
      <c r="AA8" s="119">
        <f t="shared" si="3"/>
        <v>-3.7502586467987158E-5</v>
      </c>
    </row>
    <row r="9" spans="1:29" x14ac:dyDescent="0.45">
      <c r="A9" s="1" t="s">
        <v>293</v>
      </c>
      <c r="B9" s="119">
        <f t="shared" ref="B9:AA9" si="4">B5</f>
        <v>-2.791754563224767E-5</v>
      </c>
      <c r="C9" s="119">
        <f t="shared" si="4"/>
        <v>-2.8297990940766547E-5</v>
      </c>
      <c r="D9" s="119">
        <f t="shared" si="4"/>
        <v>-2.8906742929068553E-5</v>
      </c>
      <c r="E9" s="119">
        <f t="shared" si="4"/>
        <v>-2.9597839263224182E-5</v>
      </c>
      <c r="F9" s="119">
        <f t="shared" si="4"/>
        <v>-3.0358396485815838E-5</v>
      </c>
      <c r="G9" s="119">
        <f t="shared" si="4"/>
        <v>-3.1042513217187666E-5</v>
      </c>
      <c r="H9" s="119">
        <f t="shared" si="4"/>
        <v>-3.1685131298793472E-5</v>
      </c>
      <c r="I9" s="119">
        <f t="shared" si="4"/>
        <v>-3.2223178394411276E-5</v>
      </c>
      <c r="J9" s="119">
        <f t="shared" si="4"/>
        <v>-3.2660978471997405E-5</v>
      </c>
      <c r="K9" s="119">
        <f t="shared" si="4"/>
        <v>-3.2930867082035307E-5</v>
      </c>
      <c r="L9" s="119">
        <f t="shared" si="4"/>
        <v>-3.3063719589457674E-5</v>
      </c>
      <c r="M9" s="119">
        <f t="shared" si="4"/>
        <v>-3.3236997503658434E-5</v>
      </c>
      <c r="N9" s="119">
        <f t="shared" si="4"/>
        <v>-3.3416222890508384E-5</v>
      </c>
      <c r="O9" s="119">
        <f t="shared" si="4"/>
        <v>-3.3607767044690485E-5</v>
      </c>
      <c r="P9" s="119">
        <f t="shared" si="4"/>
        <v>-3.3807038334707333E-5</v>
      </c>
      <c r="Q9" s="119">
        <f t="shared" si="4"/>
        <v>-3.401928912615903E-5</v>
      </c>
      <c r="R9" s="119">
        <f t="shared" si="4"/>
        <v>-3.4260701275045542E-5</v>
      </c>
      <c r="S9" s="119">
        <f t="shared" si="4"/>
        <v>-3.4522660431089508E-5</v>
      </c>
      <c r="T9" s="119">
        <f t="shared" si="4"/>
        <v>-3.4808631102164068E-5</v>
      </c>
      <c r="U9" s="119">
        <f t="shared" si="4"/>
        <v>-3.5122415083625851E-5</v>
      </c>
      <c r="V9" s="119">
        <f t="shared" si="4"/>
        <v>-3.5474117647058822E-5</v>
      </c>
      <c r="W9" s="119">
        <f t="shared" si="4"/>
        <v>-3.5853166503374704E-5</v>
      </c>
      <c r="X9" s="119">
        <f t="shared" si="4"/>
        <v>-3.6256518091829319E-5</v>
      </c>
      <c r="Y9" s="119">
        <f t="shared" si="4"/>
        <v>-3.6678074535946205E-5</v>
      </c>
      <c r="Z9" s="119">
        <f t="shared" si="4"/>
        <v>-3.7101874262101539E-5</v>
      </c>
      <c r="AA9" s="119">
        <f t="shared" si="4"/>
        <v>-3.7502586467987158E-5</v>
      </c>
    </row>
    <row r="10" spans="1:29" x14ac:dyDescent="0.45">
      <c r="A10" s="1" t="s">
        <v>294</v>
      </c>
      <c r="B10" s="119">
        <f t="shared" ref="B10:AA10" si="5">B4</f>
        <v>9.5358783265284613E-6</v>
      </c>
      <c r="C10" s="119">
        <f t="shared" si="5"/>
        <v>9.5467794941744364E-6</v>
      </c>
      <c r="D10" s="119">
        <f t="shared" si="5"/>
        <v>9.5633378323182739E-6</v>
      </c>
      <c r="E10" s="119">
        <f t="shared" si="5"/>
        <v>9.5810053867280258E-6</v>
      </c>
      <c r="F10" s="119">
        <f t="shared" si="5"/>
        <v>9.675419521068141E-6</v>
      </c>
      <c r="G10" s="119">
        <f t="shared" si="5"/>
        <v>9.7870525767293705E-6</v>
      </c>
      <c r="H10" s="119">
        <f t="shared" si="5"/>
        <v>9.8928834177094291E-6</v>
      </c>
      <c r="I10" s="119">
        <f t="shared" si="5"/>
        <v>9.9884202066590126E-6</v>
      </c>
      <c r="J10" s="119">
        <f t="shared" si="5"/>
        <v>1.0091844936584412E-5</v>
      </c>
      <c r="K10" s="119">
        <f t="shared" si="5"/>
        <v>1.0173929341582862E-5</v>
      </c>
      <c r="L10" s="119">
        <f t="shared" si="5"/>
        <v>1.0239336552870691E-5</v>
      </c>
      <c r="M10" s="119">
        <f t="shared" si="5"/>
        <v>1.0306834131125392E-5</v>
      </c>
      <c r="N10" s="119">
        <f t="shared" si="5"/>
        <v>1.0380273503601559E-5</v>
      </c>
      <c r="O10" s="119">
        <f t="shared" si="5"/>
        <v>1.0453682589484896E-5</v>
      </c>
      <c r="P10" s="119">
        <f t="shared" si="5"/>
        <v>1.0528438049399083E-5</v>
      </c>
      <c r="Q10" s="119">
        <f t="shared" si="5"/>
        <v>1.0603479013056044E-5</v>
      </c>
      <c r="R10" s="119">
        <f t="shared" si="5"/>
        <v>1.0682035137355643E-5</v>
      </c>
      <c r="S10" s="119">
        <f t="shared" si="5"/>
        <v>1.0759076293848692E-5</v>
      </c>
      <c r="T10" s="119">
        <f t="shared" si="5"/>
        <v>1.0837427224397374E-5</v>
      </c>
      <c r="U10" s="119">
        <f t="shared" si="5"/>
        <v>1.0918608017070747E-5</v>
      </c>
      <c r="V10" s="119">
        <f t="shared" si="5"/>
        <v>1.1008108069890751E-5</v>
      </c>
      <c r="W10" s="119">
        <f t="shared" si="5"/>
        <v>1.1109984010534237E-5</v>
      </c>
      <c r="X10" s="119">
        <f t="shared" si="5"/>
        <v>1.1221217401926258E-5</v>
      </c>
      <c r="Y10" s="119">
        <f t="shared" si="5"/>
        <v>1.133574759457253E-5</v>
      </c>
      <c r="Z10" s="119">
        <f t="shared" si="5"/>
        <v>1.1448285610121981E-5</v>
      </c>
      <c r="AA10" s="119">
        <f t="shared" si="5"/>
        <v>1.155438636613854E-5</v>
      </c>
    </row>
    <row r="11" spans="1:29" x14ac:dyDescent="0.45">
      <c r="A11" s="1" t="s">
        <v>295</v>
      </c>
      <c r="B11" s="119">
        <f t="shared" ref="B11:AA11" si="6">B4</f>
        <v>9.5358783265284613E-6</v>
      </c>
      <c r="C11" s="119">
        <f t="shared" si="6"/>
        <v>9.5467794941744364E-6</v>
      </c>
      <c r="D11" s="119">
        <f t="shared" si="6"/>
        <v>9.5633378323182739E-6</v>
      </c>
      <c r="E11" s="119">
        <f t="shared" si="6"/>
        <v>9.5810053867280258E-6</v>
      </c>
      <c r="F11" s="119">
        <f t="shared" si="6"/>
        <v>9.675419521068141E-6</v>
      </c>
      <c r="G11" s="119">
        <f t="shared" si="6"/>
        <v>9.7870525767293705E-6</v>
      </c>
      <c r="H11" s="119">
        <f t="shared" si="6"/>
        <v>9.8928834177094291E-6</v>
      </c>
      <c r="I11" s="119">
        <f t="shared" si="6"/>
        <v>9.9884202066590126E-6</v>
      </c>
      <c r="J11" s="119">
        <f t="shared" si="6"/>
        <v>1.0091844936584412E-5</v>
      </c>
      <c r="K11" s="119">
        <f t="shared" si="6"/>
        <v>1.0173929341582862E-5</v>
      </c>
      <c r="L11" s="119">
        <f t="shared" si="6"/>
        <v>1.0239336552870691E-5</v>
      </c>
      <c r="M11" s="119">
        <f t="shared" si="6"/>
        <v>1.0306834131125392E-5</v>
      </c>
      <c r="N11" s="119">
        <f t="shared" si="6"/>
        <v>1.0380273503601559E-5</v>
      </c>
      <c r="O11" s="119">
        <f t="shared" si="6"/>
        <v>1.0453682589484896E-5</v>
      </c>
      <c r="P11" s="119">
        <f t="shared" si="6"/>
        <v>1.0528438049399083E-5</v>
      </c>
      <c r="Q11" s="119">
        <f t="shared" si="6"/>
        <v>1.0603479013056044E-5</v>
      </c>
      <c r="R11" s="119">
        <f t="shared" si="6"/>
        <v>1.0682035137355643E-5</v>
      </c>
      <c r="S11" s="119">
        <f t="shared" si="6"/>
        <v>1.0759076293848692E-5</v>
      </c>
      <c r="T11" s="119">
        <f t="shared" si="6"/>
        <v>1.0837427224397374E-5</v>
      </c>
      <c r="U11" s="119">
        <f t="shared" si="6"/>
        <v>1.0918608017070747E-5</v>
      </c>
      <c r="V11" s="119">
        <f t="shared" si="6"/>
        <v>1.1008108069890751E-5</v>
      </c>
      <c r="W11" s="119">
        <f t="shared" si="6"/>
        <v>1.1109984010534237E-5</v>
      </c>
      <c r="X11" s="119">
        <f t="shared" si="6"/>
        <v>1.1221217401926258E-5</v>
      </c>
      <c r="Y11" s="119">
        <f t="shared" si="6"/>
        <v>1.133574759457253E-5</v>
      </c>
      <c r="Z11" s="119">
        <f t="shared" si="6"/>
        <v>1.1448285610121981E-5</v>
      </c>
      <c r="AA11" s="119">
        <f t="shared" si="6"/>
        <v>1.155438636613854E-5</v>
      </c>
    </row>
  </sheetData>
  <pageMargins left="0.7" right="0.7" top="0.75" bottom="0.75" header="0.3" footer="0.3"/>
  <pageSetup orientation="portrait" horizontalDpi="1200" verticalDpi="12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8" tint="-0.249977111117893"/>
  </sheetPr>
  <dimension ref="A1:AC11"/>
  <sheetViews>
    <sheetView zoomScaleNormal="100" workbookViewId="0">
      <selection activeCell="B1" sqref="B1:B1048576"/>
    </sheetView>
  </sheetViews>
  <sheetFormatPr defaultRowHeight="14.25" x14ac:dyDescent="0.45"/>
  <cols>
    <col min="1" max="1" width="29.86328125" customWidth="1"/>
    <col min="2" max="27" width="10" customWidth="1"/>
  </cols>
  <sheetData>
    <row r="1" spans="1:29" x14ac:dyDescent="0.45">
      <c r="A1" s="121" t="s">
        <v>287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/>
      <c r="AC1" s="1"/>
    </row>
    <row r="2" spans="1:29" x14ac:dyDescent="0.45">
      <c r="A2" s="1" t="s">
        <v>288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C2" s="118"/>
    </row>
    <row r="3" spans="1:29" x14ac:dyDescent="0.45">
      <c r="A3" s="1" t="s">
        <v>289</v>
      </c>
      <c r="B3" s="119">
        <f t="shared" ref="B3:AA3" si="0">B4</f>
        <v>5.8092027884928469E-5</v>
      </c>
      <c r="C3" s="119">
        <f t="shared" si="0"/>
        <v>6.2494566630303308E-5</v>
      </c>
      <c r="D3" s="119">
        <f t="shared" si="0"/>
        <v>6.0739664738562618E-5</v>
      </c>
      <c r="E3" s="119">
        <f t="shared" si="0"/>
        <v>6.1762683117850788E-5</v>
      </c>
      <c r="F3" s="119">
        <f t="shared" si="0"/>
        <v>6.3168861186182088E-5</v>
      </c>
      <c r="G3" s="119">
        <f t="shared" si="0"/>
        <v>6.4786413878035738E-5</v>
      </c>
      <c r="H3" s="119">
        <f t="shared" si="0"/>
        <v>6.6399920434374307E-5</v>
      </c>
      <c r="I3" s="119">
        <f t="shared" si="0"/>
        <v>6.7988300857912138E-5</v>
      </c>
      <c r="J3" s="119">
        <f t="shared" si="0"/>
        <v>6.9603864763197009E-5</v>
      </c>
      <c r="K3" s="119">
        <f t="shared" si="0"/>
        <v>7.1185248022754289E-5</v>
      </c>
      <c r="L3" s="119">
        <f t="shared" si="0"/>
        <v>7.2770688248050602E-5</v>
      </c>
      <c r="M3" s="119">
        <f t="shared" si="0"/>
        <v>7.4318616120566813E-5</v>
      </c>
      <c r="N3" s="119">
        <f t="shared" si="0"/>
        <v>7.5903001656327061E-5</v>
      </c>
      <c r="O3" s="119">
        <f t="shared" si="0"/>
        <v>7.7457163166405152E-5</v>
      </c>
      <c r="P3" s="119">
        <f t="shared" si="0"/>
        <v>7.9007656227029243E-5</v>
      </c>
      <c r="Q3" s="119">
        <f t="shared" si="0"/>
        <v>8.0539999757056082E-5</v>
      </c>
      <c r="R3" s="119">
        <f t="shared" si="0"/>
        <v>8.207526919109631E-5</v>
      </c>
      <c r="S3" s="119">
        <f t="shared" si="0"/>
        <v>8.3510100941505444E-5</v>
      </c>
      <c r="T3" s="119">
        <f t="shared" si="0"/>
        <v>8.489822998631611E-5</v>
      </c>
      <c r="U3" s="119">
        <f t="shared" si="0"/>
        <v>8.6243217227894209E-5</v>
      </c>
      <c r="V3" s="119">
        <f t="shared" si="0"/>
        <v>8.7567169640710276E-5</v>
      </c>
      <c r="W3" s="119">
        <f t="shared" si="0"/>
        <v>8.8953923787208025E-5</v>
      </c>
      <c r="X3" s="119">
        <f t="shared" si="0"/>
        <v>9.0416783163277552E-5</v>
      </c>
      <c r="Y3" s="119">
        <f t="shared" si="0"/>
        <v>9.1899027221926653E-5</v>
      </c>
      <c r="Z3" s="119">
        <f t="shared" si="0"/>
        <v>9.3396916781111921E-5</v>
      </c>
      <c r="AA3" s="119">
        <f t="shared" si="0"/>
        <v>9.4894259879251599E-5</v>
      </c>
    </row>
    <row r="4" spans="1:29" x14ac:dyDescent="0.45">
      <c r="A4" s="1" t="s">
        <v>264</v>
      </c>
      <c r="B4" s="104">
        <f>Calculations!G19</f>
        <v>5.8092027884928469E-5</v>
      </c>
      <c r="C4" s="104">
        <f>Calculations!H19</f>
        <v>6.2494566630303308E-5</v>
      </c>
      <c r="D4" s="104">
        <f>Calculations!I19</f>
        <v>6.0739664738562618E-5</v>
      </c>
      <c r="E4" s="104">
        <f>Calculations!J19</f>
        <v>6.1762683117850788E-5</v>
      </c>
      <c r="F4" s="104">
        <f>Calculations!K19</f>
        <v>6.3168861186182088E-5</v>
      </c>
      <c r="G4" s="104">
        <f>Calculations!L19</f>
        <v>6.4786413878035738E-5</v>
      </c>
      <c r="H4" s="104">
        <f>Calculations!M19</f>
        <v>6.6399920434374307E-5</v>
      </c>
      <c r="I4" s="104">
        <f>Calculations!N19</f>
        <v>6.7988300857912138E-5</v>
      </c>
      <c r="J4" s="104">
        <f>Calculations!O19</f>
        <v>6.9603864763197009E-5</v>
      </c>
      <c r="K4" s="104">
        <f>Calculations!P19</f>
        <v>7.1185248022754289E-5</v>
      </c>
      <c r="L4" s="104">
        <f>Calculations!Q19</f>
        <v>7.2770688248050602E-5</v>
      </c>
      <c r="M4" s="104">
        <f>Calculations!R19</f>
        <v>7.4318616120566813E-5</v>
      </c>
      <c r="N4" s="104">
        <f>Calculations!S19</f>
        <v>7.5903001656327061E-5</v>
      </c>
      <c r="O4" s="104">
        <f>Calculations!T19</f>
        <v>7.7457163166405152E-5</v>
      </c>
      <c r="P4" s="104">
        <f>Calculations!U19</f>
        <v>7.9007656227029243E-5</v>
      </c>
      <c r="Q4" s="104">
        <f>Calculations!V19</f>
        <v>8.0539999757056082E-5</v>
      </c>
      <c r="R4" s="104">
        <f>Calculations!W19</f>
        <v>8.207526919109631E-5</v>
      </c>
      <c r="S4" s="104">
        <f>Calculations!X19</f>
        <v>8.3510100941505444E-5</v>
      </c>
      <c r="T4" s="104">
        <f>Calculations!Y19</f>
        <v>8.489822998631611E-5</v>
      </c>
      <c r="U4" s="104">
        <f>Calculations!Z19</f>
        <v>8.6243217227894209E-5</v>
      </c>
      <c r="V4" s="104">
        <f>Calculations!AA19</f>
        <v>8.7567169640710276E-5</v>
      </c>
      <c r="W4" s="104">
        <f>Calculations!AB19</f>
        <v>8.8953923787208025E-5</v>
      </c>
      <c r="X4" s="104">
        <f>Calculations!AC19</f>
        <v>9.0416783163277552E-5</v>
      </c>
      <c r="Y4" s="104">
        <f>Calculations!AD19</f>
        <v>9.1899027221926653E-5</v>
      </c>
      <c r="Z4" s="104">
        <f>Calculations!AE19</f>
        <v>9.3396916781111921E-5</v>
      </c>
      <c r="AA4" s="104">
        <f>Calculations!AF19</f>
        <v>9.4894259879251599E-5</v>
      </c>
    </row>
    <row r="5" spans="1:29" x14ac:dyDescent="0.45">
      <c r="A5" s="1" t="s">
        <v>290</v>
      </c>
      <c r="B5" s="104">
        <f>Calculations!G20</f>
        <v>9.7770203529436717E-6</v>
      </c>
      <c r="C5" s="104">
        <f>Calculations!H20</f>
        <v>1.0042704754941501E-5</v>
      </c>
      <c r="D5" s="104">
        <f>Calculations!I20</f>
        <v>1.0027017160448691E-5</v>
      </c>
      <c r="E5" s="104">
        <f>Calculations!J20</f>
        <v>1.0063080713481678E-5</v>
      </c>
      <c r="F5" s="104">
        <f>Calculations!K20</f>
        <v>1.011372039967351E-5</v>
      </c>
      <c r="G5" s="104">
        <f>Calculations!L20</f>
        <v>1.0150662562908478E-5</v>
      </c>
      <c r="H5" s="104">
        <f>Calculations!M20</f>
        <v>1.0246770261021327E-5</v>
      </c>
      <c r="I5" s="104">
        <f>Calculations!N20</f>
        <v>1.0340429723275977E-5</v>
      </c>
      <c r="J5" s="104">
        <f>Calculations!O20</f>
        <v>1.0437787551059798E-5</v>
      </c>
      <c r="K5" s="104">
        <f>Calculations!P20</f>
        <v>1.0528945520298099E-5</v>
      </c>
      <c r="L5" s="104">
        <f>Calculations!Q20</f>
        <v>1.0624096950766314E-5</v>
      </c>
      <c r="M5" s="104">
        <f>Calculations!R20</f>
        <v>1.0718079216942543E-5</v>
      </c>
      <c r="N5" s="104">
        <f>Calculations!S20</f>
        <v>1.081323737715013E-5</v>
      </c>
      <c r="O5" s="104">
        <f>Calculations!T20</f>
        <v>1.0907098037898474E-5</v>
      </c>
      <c r="P5" s="104">
        <f>Calculations!U20</f>
        <v>1.0999675006587639E-5</v>
      </c>
      <c r="Q5" s="104">
        <f>Calculations!V20</f>
        <v>1.1094361651436914E-5</v>
      </c>
      <c r="R5" s="104">
        <f>Calculations!W20</f>
        <v>1.1191141573119925E-5</v>
      </c>
      <c r="S5" s="104">
        <f>Calculations!X20</f>
        <v>1.1285991483580543E-5</v>
      </c>
      <c r="T5" s="104">
        <f>Calculations!Y20</f>
        <v>1.1383046197374598E-5</v>
      </c>
      <c r="U5" s="104">
        <f>Calculations!Z20</f>
        <v>1.1479632705254309E-5</v>
      </c>
      <c r="V5" s="104">
        <f>Calculations!AA20</f>
        <v>1.157877992605222E-5</v>
      </c>
      <c r="W5" s="104">
        <f>Calculations!AB20</f>
        <v>1.1678678730013364E-5</v>
      </c>
      <c r="X5" s="104">
        <f>Calculations!AC20</f>
        <v>1.1779234834355993E-5</v>
      </c>
      <c r="Y5" s="104">
        <f>Calculations!AD20</f>
        <v>1.1879206453768873E-5</v>
      </c>
      <c r="Z5" s="104">
        <f>Calculations!AE20</f>
        <v>1.197900106206722E-5</v>
      </c>
      <c r="AA5" s="104">
        <f>Calculations!AF20</f>
        <v>1.2074676578303673E-5</v>
      </c>
    </row>
    <row r="6" spans="1:29" x14ac:dyDescent="0.45">
      <c r="A6" s="1" t="s">
        <v>291</v>
      </c>
      <c r="B6" s="119">
        <f t="shared" ref="B6:AA6" si="1">B4</f>
        <v>5.8092027884928469E-5</v>
      </c>
      <c r="C6" s="119">
        <f t="shared" si="1"/>
        <v>6.2494566630303308E-5</v>
      </c>
      <c r="D6" s="119">
        <f t="shared" si="1"/>
        <v>6.0739664738562618E-5</v>
      </c>
      <c r="E6" s="119">
        <f t="shared" si="1"/>
        <v>6.1762683117850788E-5</v>
      </c>
      <c r="F6" s="119">
        <f t="shared" si="1"/>
        <v>6.3168861186182088E-5</v>
      </c>
      <c r="G6" s="119">
        <f t="shared" si="1"/>
        <v>6.4786413878035738E-5</v>
      </c>
      <c r="H6" s="119">
        <f t="shared" si="1"/>
        <v>6.6399920434374307E-5</v>
      </c>
      <c r="I6" s="119">
        <f t="shared" si="1"/>
        <v>6.7988300857912138E-5</v>
      </c>
      <c r="J6" s="119">
        <f t="shared" si="1"/>
        <v>6.9603864763197009E-5</v>
      </c>
      <c r="K6" s="119">
        <f t="shared" si="1"/>
        <v>7.1185248022754289E-5</v>
      </c>
      <c r="L6" s="119">
        <f t="shared" si="1"/>
        <v>7.2770688248050602E-5</v>
      </c>
      <c r="M6" s="119">
        <f t="shared" si="1"/>
        <v>7.4318616120566813E-5</v>
      </c>
      <c r="N6" s="119">
        <f t="shared" si="1"/>
        <v>7.5903001656327061E-5</v>
      </c>
      <c r="O6" s="119">
        <f t="shared" si="1"/>
        <v>7.7457163166405152E-5</v>
      </c>
      <c r="P6" s="119">
        <f t="shared" si="1"/>
        <v>7.9007656227029243E-5</v>
      </c>
      <c r="Q6" s="119">
        <f t="shared" si="1"/>
        <v>8.0539999757056082E-5</v>
      </c>
      <c r="R6" s="119">
        <f t="shared" si="1"/>
        <v>8.207526919109631E-5</v>
      </c>
      <c r="S6" s="119">
        <f t="shared" si="1"/>
        <v>8.3510100941505444E-5</v>
      </c>
      <c r="T6" s="119">
        <f t="shared" si="1"/>
        <v>8.489822998631611E-5</v>
      </c>
      <c r="U6" s="119">
        <f t="shared" si="1"/>
        <v>8.6243217227894209E-5</v>
      </c>
      <c r="V6" s="119">
        <f t="shared" si="1"/>
        <v>8.7567169640710276E-5</v>
      </c>
      <c r="W6" s="119">
        <f t="shared" si="1"/>
        <v>8.8953923787208025E-5</v>
      </c>
      <c r="X6" s="119">
        <f t="shared" si="1"/>
        <v>9.0416783163277552E-5</v>
      </c>
      <c r="Y6" s="119">
        <f t="shared" si="1"/>
        <v>9.1899027221926653E-5</v>
      </c>
      <c r="Z6" s="119">
        <f t="shared" si="1"/>
        <v>9.3396916781111921E-5</v>
      </c>
      <c r="AA6" s="119">
        <f t="shared" si="1"/>
        <v>9.4894259879251599E-5</v>
      </c>
    </row>
    <row r="7" spans="1:29" x14ac:dyDescent="0.45">
      <c r="A7" s="1" t="s">
        <v>266</v>
      </c>
      <c r="B7" s="104">
        <f>Calculations!G21</f>
        <v>2.0893035182823558E-6</v>
      </c>
      <c r="C7" s="104">
        <f>Calculations!H21</f>
        <v>2.2299416353486171E-6</v>
      </c>
      <c r="D7" s="104">
        <f>Calculations!I21</f>
        <v>2.2500670606701206E-6</v>
      </c>
      <c r="E7" s="104">
        <f>Calculations!J21</f>
        <v>2.2425318200446792E-6</v>
      </c>
      <c r="F7" s="104">
        <f>Calculations!K21</f>
        <v>2.2240696269620708E-6</v>
      </c>
      <c r="G7" s="104">
        <f>Calculations!L21</f>
        <v>2.2250301263962574E-6</v>
      </c>
      <c r="H7" s="104">
        <f>Calculations!M21</f>
        <v>2.1862819060921465E-6</v>
      </c>
      <c r="I7" s="104">
        <f>Calculations!N21</f>
        <v>2.1430309980944006E-6</v>
      </c>
      <c r="J7" s="104">
        <f>Calculations!O21</f>
        <v>2.0924967933091323E-6</v>
      </c>
      <c r="K7" s="104">
        <f>Calculations!P21</f>
        <v>2.0468485263945807E-6</v>
      </c>
      <c r="L7" s="104">
        <f>Calculations!Q21</f>
        <v>1.9975410014408941E-6</v>
      </c>
      <c r="M7" s="104">
        <f>Calculations!R21</f>
        <v>1.9506036248629648E-6</v>
      </c>
      <c r="N7" s="104">
        <f>Calculations!S21</f>
        <v>1.9027444051722099E-6</v>
      </c>
      <c r="O7" s="104">
        <f>Calculations!T21</f>
        <v>1.8534088982095583E-6</v>
      </c>
      <c r="P7" s="104">
        <f>Calculations!U21</f>
        <v>1.8047740334849374E-6</v>
      </c>
      <c r="Q7" s="104">
        <f>Calculations!V21</f>
        <v>1.7559144485150764E-6</v>
      </c>
      <c r="R7" s="104">
        <f>Calculations!W21</f>
        <v>1.7048146389125934E-6</v>
      </c>
      <c r="S7" s="104">
        <f>Calculations!X21</f>
        <v>1.6508697800266769E-6</v>
      </c>
      <c r="T7" s="104">
        <f>Calculations!Y21</f>
        <v>1.5955012807670614E-6</v>
      </c>
      <c r="U7" s="104">
        <f>Calculations!Z21</f>
        <v>1.5384358658459652E-6</v>
      </c>
      <c r="V7" s="104">
        <f>Calculations!AA21</f>
        <v>1.4782117307726311E-6</v>
      </c>
      <c r="W7" s="104">
        <f>Calculations!AB21</f>
        <v>1.416711919592662E-6</v>
      </c>
      <c r="X7" s="104">
        <f>Calculations!AC21</f>
        <v>1.3528981569919909E-6</v>
      </c>
      <c r="Y7" s="104">
        <f>Calculations!AD21</f>
        <v>1.2872760959323329E-6</v>
      </c>
      <c r="Z7" s="104">
        <f>Calculations!AE21</f>
        <v>1.2199827681338476E-6</v>
      </c>
      <c r="AA7" s="104">
        <f>Calculations!AF21</f>
        <v>1.1529701081936713E-6</v>
      </c>
    </row>
    <row r="8" spans="1:29" x14ac:dyDescent="0.45">
      <c r="A8" s="1" t="s">
        <v>292</v>
      </c>
      <c r="B8" s="119">
        <f t="shared" ref="B8:AA8" si="2">B5</f>
        <v>9.7770203529436717E-6</v>
      </c>
      <c r="C8" s="119">
        <f t="shared" si="2"/>
        <v>1.0042704754941501E-5</v>
      </c>
      <c r="D8" s="119">
        <f t="shared" si="2"/>
        <v>1.0027017160448691E-5</v>
      </c>
      <c r="E8" s="119">
        <f t="shared" si="2"/>
        <v>1.0063080713481678E-5</v>
      </c>
      <c r="F8" s="119">
        <f t="shared" si="2"/>
        <v>1.011372039967351E-5</v>
      </c>
      <c r="G8" s="119">
        <f t="shared" si="2"/>
        <v>1.0150662562908478E-5</v>
      </c>
      <c r="H8" s="119">
        <f t="shared" si="2"/>
        <v>1.0246770261021327E-5</v>
      </c>
      <c r="I8" s="119">
        <f t="shared" si="2"/>
        <v>1.0340429723275977E-5</v>
      </c>
      <c r="J8" s="119">
        <f t="shared" si="2"/>
        <v>1.0437787551059798E-5</v>
      </c>
      <c r="K8" s="119">
        <f t="shared" si="2"/>
        <v>1.0528945520298099E-5</v>
      </c>
      <c r="L8" s="119">
        <f t="shared" si="2"/>
        <v>1.0624096950766314E-5</v>
      </c>
      <c r="M8" s="119">
        <f t="shared" si="2"/>
        <v>1.0718079216942543E-5</v>
      </c>
      <c r="N8" s="119">
        <f t="shared" si="2"/>
        <v>1.081323737715013E-5</v>
      </c>
      <c r="O8" s="119">
        <f t="shared" si="2"/>
        <v>1.0907098037898474E-5</v>
      </c>
      <c r="P8" s="119">
        <f t="shared" si="2"/>
        <v>1.0999675006587639E-5</v>
      </c>
      <c r="Q8" s="119">
        <f t="shared" si="2"/>
        <v>1.1094361651436914E-5</v>
      </c>
      <c r="R8" s="119">
        <f t="shared" si="2"/>
        <v>1.1191141573119925E-5</v>
      </c>
      <c r="S8" s="119">
        <f t="shared" si="2"/>
        <v>1.1285991483580543E-5</v>
      </c>
      <c r="T8" s="119">
        <f t="shared" si="2"/>
        <v>1.1383046197374598E-5</v>
      </c>
      <c r="U8" s="119">
        <f t="shared" si="2"/>
        <v>1.1479632705254309E-5</v>
      </c>
      <c r="V8" s="119">
        <f t="shared" si="2"/>
        <v>1.157877992605222E-5</v>
      </c>
      <c r="W8" s="119">
        <f t="shared" si="2"/>
        <v>1.1678678730013364E-5</v>
      </c>
      <c r="X8" s="119">
        <f t="shared" si="2"/>
        <v>1.1779234834355993E-5</v>
      </c>
      <c r="Y8" s="119">
        <f t="shared" si="2"/>
        <v>1.1879206453768873E-5</v>
      </c>
      <c r="Z8" s="119">
        <f t="shared" si="2"/>
        <v>1.197900106206722E-5</v>
      </c>
      <c r="AA8" s="119">
        <f t="shared" si="2"/>
        <v>1.2074676578303673E-5</v>
      </c>
    </row>
    <row r="9" spans="1:29" x14ac:dyDescent="0.45">
      <c r="A9" s="1" t="s">
        <v>293</v>
      </c>
      <c r="B9" s="119">
        <f t="shared" ref="B9:AA9" si="3">B5</f>
        <v>9.7770203529436717E-6</v>
      </c>
      <c r="C9" s="119">
        <f t="shared" si="3"/>
        <v>1.0042704754941501E-5</v>
      </c>
      <c r="D9" s="119">
        <f t="shared" si="3"/>
        <v>1.0027017160448691E-5</v>
      </c>
      <c r="E9" s="119">
        <f t="shared" si="3"/>
        <v>1.0063080713481678E-5</v>
      </c>
      <c r="F9" s="119">
        <f t="shared" si="3"/>
        <v>1.011372039967351E-5</v>
      </c>
      <c r="G9" s="119">
        <f t="shared" si="3"/>
        <v>1.0150662562908478E-5</v>
      </c>
      <c r="H9" s="119">
        <f t="shared" si="3"/>
        <v>1.0246770261021327E-5</v>
      </c>
      <c r="I9" s="119">
        <f t="shared" si="3"/>
        <v>1.0340429723275977E-5</v>
      </c>
      <c r="J9" s="119">
        <f t="shared" si="3"/>
        <v>1.0437787551059798E-5</v>
      </c>
      <c r="K9" s="119">
        <f t="shared" si="3"/>
        <v>1.0528945520298099E-5</v>
      </c>
      <c r="L9" s="119">
        <f t="shared" si="3"/>
        <v>1.0624096950766314E-5</v>
      </c>
      <c r="M9" s="119">
        <f t="shared" si="3"/>
        <v>1.0718079216942543E-5</v>
      </c>
      <c r="N9" s="119">
        <f t="shared" si="3"/>
        <v>1.081323737715013E-5</v>
      </c>
      <c r="O9" s="119">
        <f t="shared" si="3"/>
        <v>1.0907098037898474E-5</v>
      </c>
      <c r="P9" s="119">
        <f t="shared" si="3"/>
        <v>1.0999675006587639E-5</v>
      </c>
      <c r="Q9" s="119">
        <f t="shared" si="3"/>
        <v>1.1094361651436914E-5</v>
      </c>
      <c r="R9" s="119">
        <f t="shared" si="3"/>
        <v>1.1191141573119925E-5</v>
      </c>
      <c r="S9" s="119">
        <f t="shared" si="3"/>
        <v>1.1285991483580543E-5</v>
      </c>
      <c r="T9" s="119">
        <f t="shared" si="3"/>
        <v>1.1383046197374598E-5</v>
      </c>
      <c r="U9" s="119">
        <f t="shared" si="3"/>
        <v>1.1479632705254309E-5</v>
      </c>
      <c r="V9" s="119">
        <f t="shared" si="3"/>
        <v>1.157877992605222E-5</v>
      </c>
      <c r="W9" s="119">
        <f t="shared" si="3"/>
        <v>1.1678678730013364E-5</v>
      </c>
      <c r="X9" s="119">
        <f t="shared" si="3"/>
        <v>1.1779234834355993E-5</v>
      </c>
      <c r="Y9" s="119">
        <f t="shared" si="3"/>
        <v>1.1879206453768873E-5</v>
      </c>
      <c r="Z9" s="119">
        <f t="shared" si="3"/>
        <v>1.197900106206722E-5</v>
      </c>
      <c r="AA9" s="119">
        <f t="shared" si="3"/>
        <v>1.2074676578303673E-5</v>
      </c>
    </row>
    <row r="10" spans="1:29" x14ac:dyDescent="0.45">
      <c r="A10" s="1" t="s">
        <v>294</v>
      </c>
      <c r="B10" s="119">
        <f t="shared" ref="B10:AA10" si="4">B4</f>
        <v>5.8092027884928469E-5</v>
      </c>
      <c r="C10" s="119">
        <f t="shared" si="4"/>
        <v>6.2494566630303308E-5</v>
      </c>
      <c r="D10" s="119">
        <f t="shared" si="4"/>
        <v>6.0739664738562618E-5</v>
      </c>
      <c r="E10" s="119">
        <f t="shared" si="4"/>
        <v>6.1762683117850788E-5</v>
      </c>
      <c r="F10" s="119">
        <f t="shared" si="4"/>
        <v>6.3168861186182088E-5</v>
      </c>
      <c r="G10" s="119">
        <f t="shared" si="4"/>
        <v>6.4786413878035738E-5</v>
      </c>
      <c r="H10" s="119">
        <f t="shared" si="4"/>
        <v>6.6399920434374307E-5</v>
      </c>
      <c r="I10" s="119">
        <f t="shared" si="4"/>
        <v>6.7988300857912138E-5</v>
      </c>
      <c r="J10" s="119">
        <f t="shared" si="4"/>
        <v>6.9603864763197009E-5</v>
      </c>
      <c r="K10" s="119">
        <f t="shared" si="4"/>
        <v>7.1185248022754289E-5</v>
      </c>
      <c r="L10" s="119">
        <f t="shared" si="4"/>
        <v>7.2770688248050602E-5</v>
      </c>
      <c r="M10" s="119">
        <f t="shared" si="4"/>
        <v>7.4318616120566813E-5</v>
      </c>
      <c r="N10" s="119">
        <f t="shared" si="4"/>
        <v>7.5903001656327061E-5</v>
      </c>
      <c r="O10" s="119">
        <f t="shared" si="4"/>
        <v>7.7457163166405152E-5</v>
      </c>
      <c r="P10" s="119">
        <f t="shared" si="4"/>
        <v>7.9007656227029243E-5</v>
      </c>
      <c r="Q10" s="119">
        <f t="shared" si="4"/>
        <v>8.0539999757056082E-5</v>
      </c>
      <c r="R10" s="119">
        <f t="shared" si="4"/>
        <v>8.207526919109631E-5</v>
      </c>
      <c r="S10" s="119">
        <f t="shared" si="4"/>
        <v>8.3510100941505444E-5</v>
      </c>
      <c r="T10" s="119">
        <f t="shared" si="4"/>
        <v>8.489822998631611E-5</v>
      </c>
      <c r="U10" s="119">
        <f t="shared" si="4"/>
        <v>8.6243217227894209E-5</v>
      </c>
      <c r="V10" s="119">
        <f t="shared" si="4"/>
        <v>8.7567169640710276E-5</v>
      </c>
      <c r="W10" s="119">
        <f t="shared" si="4"/>
        <v>8.8953923787208025E-5</v>
      </c>
      <c r="X10" s="119">
        <f t="shared" si="4"/>
        <v>9.0416783163277552E-5</v>
      </c>
      <c r="Y10" s="119">
        <f t="shared" si="4"/>
        <v>9.1899027221926653E-5</v>
      </c>
      <c r="Z10" s="119">
        <f t="shared" si="4"/>
        <v>9.3396916781111921E-5</v>
      </c>
      <c r="AA10" s="119">
        <f t="shared" si="4"/>
        <v>9.4894259879251599E-5</v>
      </c>
    </row>
    <row r="11" spans="1:29" x14ac:dyDescent="0.45">
      <c r="A11" s="1" t="s">
        <v>295</v>
      </c>
      <c r="B11" s="119">
        <f t="shared" ref="B11:AA11" si="5">B4</f>
        <v>5.8092027884928469E-5</v>
      </c>
      <c r="C11" s="119">
        <f t="shared" si="5"/>
        <v>6.2494566630303308E-5</v>
      </c>
      <c r="D11" s="119">
        <f t="shared" si="5"/>
        <v>6.0739664738562618E-5</v>
      </c>
      <c r="E11" s="119">
        <f t="shared" si="5"/>
        <v>6.1762683117850788E-5</v>
      </c>
      <c r="F11" s="119">
        <f t="shared" si="5"/>
        <v>6.3168861186182088E-5</v>
      </c>
      <c r="G11" s="119">
        <f t="shared" si="5"/>
        <v>6.4786413878035738E-5</v>
      </c>
      <c r="H11" s="119">
        <f t="shared" si="5"/>
        <v>6.6399920434374307E-5</v>
      </c>
      <c r="I11" s="119">
        <f t="shared" si="5"/>
        <v>6.7988300857912138E-5</v>
      </c>
      <c r="J11" s="119">
        <f t="shared" si="5"/>
        <v>6.9603864763197009E-5</v>
      </c>
      <c r="K11" s="119">
        <f t="shared" si="5"/>
        <v>7.1185248022754289E-5</v>
      </c>
      <c r="L11" s="119">
        <f t="shared" si="5"/>
        <v>7.2770688248050602E-5</v>
      </c>
      <c r="M11" s="119">
        <f t="shared" si="5"/>
        <v>7.4318616120566813E-5</v>
      </c>
      <c r="N11" s="119">
        <f t="shared" si="5"/>
        <v>7.5903001656327061E-5</v>
      </c>
      <c r="O11" s="119">
        <f t="shared" si="5"/>
        <v>7.7457163166405152E-5</v>
      </c>
      <c r="P11" s="119">
        <f t="shared" si="5"/>
        <v>7.9007656227029243E-5</v>
      </c>
      <c r="Q11" s="119">
        <f t="shared" si="5"/>
        <v>8.0539999757056082E-5</v>
      </c>
      <c r="R11" s="119">
        <f t="shared" si="5"/>
        <v>8.207526919109631E-5</v>
      </c>
      <c r="S11" s="119">
        <f t="shared" si="5"/>
        <v>8.3510100941505444E-5</v>
      </c>
      <c r="T11" s="119">
        <f t="shared" si="5"/>
        <v>8.489822998631611E-5</v>
      </c>
      <c r="U11" s="119">
        <f t="shared" si="5"/>
        <v>8.6243217227894209E-5</v>
      </c>
      <c r="V11" s="119">
        <f t="shared" si="5"/>
        <v>8.7567169640710276E-5</v>
      </c>
      <c r="W11" s="119">
        <f t="shared" si="5"/>
        <v>8.8953923787208025E-5</v>
      </c>
      <c r="X11" s="119">
        <f t="shared" si="5"/>
        <v>9.0416783163277552E-5</v>
      </c>
      <c r="Y11" s="119">
        <f t="shared" si="5"/>
        <v>9.1899027221926653E-5</v>
      </c>
      <c r="Z11" s="119">
        <f t="shared" si="5"/>
        <v>9.3396916781111921E-5</v>
      </c>
      <c r="AA11" s="119">
        <f t="shared" si="5"/>
        <v>9.4894259879251599E-5</v>
      </c>
    </row>
  </sheetData>
  <pageMargins left="0.7" right="0.7" top="0.75" bottom="0.75" header="0.3" footer="0.3"/>
  <pageSetup orientation="portrait" horizontalDpi="1200" verticalDpi="12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8" tint="-0.249977111117893"/>
  </sheetPr>
  <dimension ref="A1:AC11"/>
  <sheetViews>
    <sheetView zoomScaleNormal="100" workbookViewId="0">
      <selection activeCell="B1" sqref="B1:B1048576"/>
    </sheetView>
  </sheetViews>
  <sheetFormatPr defaultRowHeight="14.25" x14ac:dyDescent="0.45"/>
  <cols>
    <col min="1" max="1" width="29.86328125" customWidth="1"/>
    <col min="2" max="27" width="10" customWidth="1"/>
  </cols>
  <sheetData>
    <row r="1" spans="1:29" x14ac:dyDescent="0.45">
      <c r="A1" s="121" t="s">
        <v>287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/>
      <c r="AC1" s="1"/>
    </row>
    <row r="2" spans="1:29" x14ac:dyDescent="0.45">
      <c r="A2" s="1" t="s">
        <v>288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C2" s="118"/>
    </row>
    <row r="3" spans="1:29" x14ac:dyDescent="0.45">
      <c r="A3" s="1" t="s">
        <v>289</v>
      </c>
      <c r="B3" s="119">
        <f t="shared" ref="B3:AA3" si="0">B4</f>
        <v>9.5358783265284613E-6</v>
      </c>
      <c r="C3" s="119">
        <f t="shared" si="0"/>
        <v>9.5467794941744364E-6</v>
      </c>
      <c r="D3" s="119">
        <f t="shared" si="0"/>
        <v>9.5633378323182739E-6</v>
      </c>
      <c r="E3" s="119">
        <f t="shared" si="0"/>
        <v>9.5810053867280258E-6</v>
      </c>
      <c r="F3" s="119">
        <f t="shared" si="0"/>
        <v>9.675419521068141E-6</v>
      </c>
      <c r="G3" s="119">
        <f t="shared" si="0"/>
        <v>9.7870525767293705E-6</v>
      </c>
      <c r="H3" s="119">
        <f t="shared" si="0"/>
        <v>9.8928834177094291E-6</v>
      </c>
      <c r="I3" s="119">
        <f t="shared" si="0"/>
        <v>9.9884202066590126E-6</v>
      </c>
      <c r="J3" s="119">
        <f t="shared" si="0"/>
        <v>1.0091844936584412E-5</v>
      </c>
      <c r="K3" s="119">
        <f t="shared" si="0"/>
        <v>1.0173929341582862E-5</v>
      </c>
      <c r="L3" s="119">
        <f t="shared" si="0"/>
        <v>1.0239336552870691E-5</v>
      </c>
      <c r="M3" s="119">
        <f t="shared" si="0"/>
        <v>1.0306834131125392E-5</v>
      </c>
      <c r="N3" s="119">
        <f t="shared" si="0"/>
        <v>1.0380273503601559E-5</v>
      </c>
      <c r="O3" s="119">
        <f t="shared" si="0"/>
        <v>1.0453682589484896E-5</v>
      </c>
      <c r="P3" s="119">
        <f t="shared" si="0"/>
        <v>1.0528438049399083E-5</v>
      </c>
      <c r="Q3" s="119">
        <f t="shared" si="0"/>
        <v>1.0603479013056044E-5</v>
      </c>
      <c r="R3" s="119">
        <f t="shared" si="0"/>
        <v>1.0682035137355643E-5</v>
      </c>
      <c r="S3" s="119">
        <f t="shared" si="0"/>
        <v>1.0759076293848692E-5</v>
      </c>
      <c r="T3" s="119">
        <f t="shared" si="0"/>
        <v>1.0837427224397374E-5</v>
      </c>
      <c r="U3" s="119">
        <f t="shared" si="0"/>
        <v>1.0918608017070747E-5</v>
      </c>
      <c r="V3" s="119">
        <f t="shared" si="0"/>
        <v>1.1008108069890751E-5</v>
      </c>
      <c r="W3" s="119">
        <f t="shared" si="0"/>
        <v>1.1109984010534237E-5</v>
      </c>
      <c r="X3" s="119">
        <f t="shared" si="0"/>
        <v>1.1221217401926258E-5</v>
      </c>
      <c r="Y3" s="119">
        <f t="shared" si="0"/>
        <v>1.133574759457253E-5</v>
      </c>
      <c r="Z3" s="119">
        <f t="shared" si="0"/>
        <v>1.1448285610121981E-5</v>
      </c>
      <c r="AA3" s="119">
        <f t="shared" si="0"/>
        <v>1.155438636613854E-5</v>
      </c>
    </row>
    <row r="4" spans="1:29" x14ac:dyDescent="0.45">
      <c r="A4" s="1" t="s">
        <v>264</v>
      </c>
      <c r="B4" s="104">
        <f>Calculations!G37</f>
        <v>9.5358783265284613E-6</v>
      </c>
      <c r="C4" s="104">
        <f>Calculations!H37</f>
        <v>9.5467794941744364E-6</v>
      </c>
      <c r="D4" s="104">
        <f>Calculations!I37</f>
        <v>9.5633378323182739E-6</v>
      </c>
      <c r="E4" s="104">
        <f>Calculations!J37</f>
        <v>9.5810053867280258E-6</v>
      </c>
      <c r="F4" s="104">
        <f>Calculations!K37</f>
        <v>9.675419521068141E-6</v>
      </c>
      <c r="G4" s="104">
        <f>Calculations!L37</f>
        <v>9.7870525767293705E-6</v>
      </c>
      <c r="H4" s="104">
        <f>Calculations!M37</f>
        <v>9.8928834177094291E-6</v>
      </c>
      <c r="I4" s="104">
        <f>Calculations!N37</f>
        <v>9.9884202066590126E-6</v>
      </c>
      <c r="J4" s="104">
        <f>Calculations!O37</f>
        <v>1.0091844936584412E-5</v>
      </c>
      <c r="K4" s="104">
        <f>Calculations!P37</f>
        <v>1.0173929341582862E-5</v>
      </c>
      <c r="L4" s="104">
        <f>Calculations!Q37</f>
        <v>1.0239336552870691E-5</v>
      </c>
      <c r="M4" s="104">
        <f>Calculations!R37</f>
        <v>1.0306834131125392E-5</v>
      </c>
      <c r="N4" s="104">
        <f>Calculations!S37</f>
        <v>1.0380273503601559E-5</v>
      </c>
      <c r="O4" s="104">
        <f>Calculations!T37</f>
        <v>1.0453682589484896E-5</v>
      </c>
      <c r="P4" s="104">
        <f>Calculations!U37</f>
        <v>1.0528438049399083E-5</v>
      </c>
      <c r="Q4" s="104">
        <f>Calculations!V37</f>
        <v>1.0603479013056044E-5</v>
      </c>
      <c r="R4" s="104">
        <f>Calculations!W37</f>
        <v>1.0682035137355643E-5</v>
      </c>
      <c r="S4" s="104">
        <f>Calculations!X37</f>
        <v>1.0759076293848692E-5</v>
      </c>
      <c r="T4" s="104">
        <f>Calculations!Y37</f>
        <v>1.0837427224397374E-5</v>
      </c>
      <c r="U4" s="104">
        <f>Calculations!Z37</f>
        <v>1.0918608017070747E-5</v>
      </c>
      <c r="V4" s="104">
        <f>Calculations!AA37</f>
        <v>1.1008108069890751E-5</v>
      </c>
      <c r="W4" s="104">
        <f>Calculations!AB37</f>
        <v>1.1109984010534237E-5</v>
      </c>
      <c r="X4" s="104">
        <f>Calculations!AC37</f>
        <v>1.1221217401926258E-5</v>
      </c>
      <c r="Y4" s="104">
        <f>Calculations!AD37</f>
        <v>1.133574759457253E-5</v>
      </c>
      <c r="Z4" s="104">
        <f>Calculations!AE37</f>
        <v>1.1448285610121981E-5</v>
      </c>
      <c r="AA4" s="104">
        <f>Calculations!AF37</f>
        <v>1.155438636613854E-5</v>
      </c>
    </row>
    <row r="5" spans="1:29" x14ac:dyDescent="0.45">
      <c r="A5" s="1" t="s">
        <v>290</v>
      </c>
      <c r="B5" s="104">
        <f>Calculations!G38</f>
        <v>-2.791754563224767E-5</v>
      </c>
      <c r="C5" s="104">
        <f>Calculations!H38</f>
        <v>-2.8297990940766547E-5</v>
      </c>
      <c r="D5" s="104">
        <f>Calculations!I38</f>
        <v>-2.8906742929068553E-5</v>
      </c>
      <c r="E5" s="104">
        <f>Calculations!J38</f>
        <v>-2.9597839263224182E-5</v>
      </c>
      <c r="F5" s="104">
        <f>Calculations!K38</f>
        <v>-3.0358396485815838E-5</v>
      </c>
      <c r="G5" s="104">
        <f>Calculations!L38</f>
        <v>-3.1042513217187666E-5</v>
      </c>
      <c r="H5" s="104">
        <f>Calculations!M38</f>
        <v>-3.1685131298793472E-5</v>
      </c>
      <c r="I5" s="104">
        <f>Calculations!N38</f>
        <v>-3.2223178394411276E-5</v>
      </c>
      <c r="J5" s="104">
        <f>Calculations!O38</f>
        <v>-3.2660978471997405E-5</v>
      </c>
      <c r="K5" s="104">
        <f>Calculations!P38</f>
        <v>-3.2930867082035307E-5</v>
      </c>
      <c r="L5" s="104">
        <f>Calculations!Q38</f>
        <v>-3.3063719589457674E-5</v>
      </c>
      <c r="M5" s="104">
        <f>Calculations!R38</f>
        <v>-3.3236997503658434E-5</v>
      </c>
      <c r="N5" s="104">
        <f>Calculations!S38</f>
        <v>-3.3416222890508384E-5</v>
      </c>
      <c r="O5" s="104">
        <f>Calculations!T38</f>
        <v>-3.3607767044690485E-5</v>
      </c>
      <c r="P5" s="104">
        <f>Calculations!U38</f>
        <v>-3.3807038334707333E-5</v>
      </c>
      <c r="Q5" s="104">
        <f>Calculations!V38</f>
        <v>-3.401928912615903E-5</v>
      </c>
      <c r="R5" s="104">
        <f>Calculations!W38</f>
        <v>-3.4260701275045542E-5</v>
      </c>
      <c r="S5" s="104">
        <f>Calculations!X38</f>
        <v>-3.4522660431089508E-5</v>
      </c>
      <c r="T5" s="104">
        <f>Calculations!Y38</f>
        <v>-3.4808631102164068E-5</v>
      </c>
      <c r="U5" s="104">
        <f>Calculations!Z38</f>
        <v>-3.5122415083625851E-5</v>
      </c>
      <c r="V5" s="104">
        <f>Calculations!AA38</f>
        <v>-3.5474117647058822E-5</v>
      </c>
      <c r="W5" s="104">
        <f>Calculations!AB38</f>
        <v>-3.5853166503374704E-5</v>
      </c>
      <c r="X5" s="104">
        <f>Calculations!AC38</f>
        <v>-3.6256518091829319E-5</v>
      </c>
      <c r="Y5" s="104">
        <f>Calculations!AD38</f>
        <v>-3.6678074535946205E-5</v>
      </c>
      <c r="Z5" s="104">
        <f>Calculations!AE38</f>
        <v>-3.7101874262101539E-5</v>
      </c>
      <c r="AA5" s="104">
        <f>Calculations!AF38</f>
        <v>-3.7502586467987158E-5</v>
      </c>
    </row>
    <row r="6" spans="1:29" x14ac:dyDescent="0.45">
      <c r="A6" s="1" t="s">
        <v>291</v>
      </c>
      <c r="B6" s="119">
        <f t="shared" ref="B6:AA6" si="1">B4</f>
        <v>9.5358783265284613E-6</v>
      </c>
      <c r="C6" s="119">
        <f t="shared" si="1"/>
        <v>9.5467794941744364E-6</v>
      </c>
      <c r="D6" s="119">
        <f t="shared" si="1"/>
        <v>9.5633378323182739E-6</v>
      </c>
      <c r="E6" s="119">
        <f t="shared" si="1"/>
        <v>9.5810053867280258E-6</v>
      </c>
      <c r="F6" s="119">
        <f t="shared" si="1"/>
        <v>9.675419521068141E-6</v>
      </c>
      <c r="G6" s="119">
        <f t="shared" si="1"/>
        <v>9.7870525767293705E-6</v>
      </c>
      <c r="H6" s="119">
        <f t="shared" si="1"/>
        <v>9.8928834177094291E-6</v>
      </c>
      <c r="I6" s="119">
        <f t="shared" si="1"/>
        <v>9.9884202066590126E-6</v>
      </c>
      <c r="J6" s="119">
        <f t="shared" si="1"/>
        <v>1.0091844936584412E-5</v>
      </c>
      <c r="K6" s="119">
        <f t="shared" si="1"/>
        <v>1.0173929341582862E-5</v>
      </c>
      <c r="L6" s="119">
        <f t="shared" si="1"/>
        <v>1.0239336552870691E-5</v>
      </c>
      <c r="M6" s="119">
        <f t="shared" si="1"/>
        <v>1.0306834131125392E-5</v>
      </c>
      <c r="N6" s="119">
        <f t="shared" si="1"/>
        <v>1.0380273503601559E-5</v>
      </c>
      <c r="O6" s="119">
        <f t="shared" si="1"/>
        <v>1.0453682589484896E-5</v>
      </c>
      <c r="P6" s="119">
        <f t="shared" si="1"/>
        <v>1.0528438049399083E-5</v>
      </c>
      <c r="Q6" s="119">
        <f t="shared" si="1"/>
        <v>1.0603479013056044E-5</v>
      </c>
      <c r="R6" s="119">
        <f t="shared" si="1"/>
        <v>1.0682035137355643E-5</v>
      </c>
      <c r="S6" s="119">
        <f t="shared" si="1"/>
        <v>1.0759076293848692E-5</v>
      </c>
      <c r="T6" s="119">
        <f t="shared" si="1"/>
        <v>1.0837427224397374E-5</v>
      </c>
      <c r="U6" s="119">
        <f t="shared" si="1"/>
        <v>1.0918608017070747E-5</v>
      </c>
      <c r="V6" s="119">
        <f t="shared" si="1"/>
        <v>1.1008108069890751E-5</v>
      </c>
      <c r="W6" s="119">
        <f t="shared" si="1"/>
        <v>1.1109984010534237E-5</v>
      </c>
      <c r="X6" s="119">
        <f t="shared" si="1"/>
        <v>1.1221217401926258E-5</v>
      </c>
      <c r="Y6" s="119">
        <f t="shared" si="1"/>
        <v>1.133574759457253E-5</v>
      </c>
      <c r="Z6" s="119">
        <f t="shared" si="1"/>
        <v>1.1448285610121981E-5</v>
      </c>
      <c r="AA6" s="119">
        <f t="shared" si="1"/>
        <v>1.155438636613854E-5</v>
      </c>
    </row>
    <row r="7" spans="1:29" x14ac:dyDescent="0.45">
      <c r="A7" s="1" t="s">
        <v>266</v>
      </c>
      <c r="B7" s="119">
        <f t="shared" ref="B7:AA7" si="2">B5</f>
        <v>-2.791754563224767E-5</v>
      </c>
      <c r="C7" s="119">
        <f t="shared" si="2"/>
        <v>-2.8297990940766547E-5</v>
      </c>
      <c r="D7" s="119">
        <f t="shared" si="2"/>
        <v>-2.8906742929068553E-5</v>
      </c>
      <c r="E7" s="119">
        <f t="shared" si="2"/>
        <v>-2.9597839263224182E-5</v>
      </c>
      <c r="F7" s="119">
        <f t="shared" si="2"/>
        <v>-3.0358396485815838E-5</v>
      </c>
      <c r="G7" s="119">
        <f t="shared" si="2"/>
        <v>-3.1042513217187666E-5</v>
      </c>
      <c r="H7" s="119">
        <f t="shared" si="2"/>
        <v>-3.1685131298793472E-5</v>
      </c>
      <c r="I7" s="119">
        <f t="shared" si="2"/>
        <v>-3.2223178394411276E-5</v>
      </c>
      <c r="J7" s="119">
        <f t="shared" si="2"/>
        <v>-3.2660978471997405E-5</v>
      </c>
      <c r="K7" s="119">
        <f t="shared" si="2"/>
        <v>-3.2930867082035307E-5</v>
      </c>
      <c r="L7" s="119">
        <f t="shared" si="2"/>
        <v>-3.3063719589457674E-5</v>
      </c>
      <c r="M7" s="119">
        <f t="shared" si="2"/>
        <v>-3.3236997503658434E-5</v>
      </c>
      <c r="N7" s="119">
        <f t="shared" si="2"/>
        <v>-3.3416222890508384E-5</v>
      </c>
      <c r="O7" s="119">
        <f t="shared" si="2"/>
        <v>-3.3607767044690485E-5</v>
      </c>
      <c r="P7" s="119">
        <f t="shared" si="2"/>
        <v>-3.3807038334707333E-5</v>
      </c>
      <c r="Q7" s="119">
        <f t="shared" si="2"/>
        <v>-3.401928912615903E-5</v>
      </c>
      <c r="R7" s="119">
        <f t="shared" si="2"/>
        <v>-3.4260701275045542E-5</v>
      </c>
      <c r="S7" s="119">
        <f t="shared" si="2"/>
        <v>-3.4522660431089508E-5</v>
      </c>
      <c r="T7" s="119">
        <f t="shared" si="2"/>
        <v>-3.4808631102164068E-5</v>
      </c>
      <c r="U7" s="119">
        <f t="shared" si="2"/>
        <v>-3.5122415083625851E-5</v>
      </c>
      <c r="V7" s="119">
        <f t="shared" si="2"/>
        <v>-3.5474117647058822E-5</v>
      </c>
      <c r="W7" s="119">
        <f t="shared" si="2"/>
        <v>-3.5853166503374704E-5</v>
      </c>
      <c r="X7" s="119">
        <f t="shared" si="2"/>
        <v>-3.6256518091829319E-5</v>
      </c>
      <c r="Y7" s="119">
        <f t="shared" si="2"/>
        <v>-3.6678074535946205E-5</v>
      </c>
      <c r="Z7" s="119">
        <f t="shared" si="2"/>
        <v>-3.7101874262101539E-5</v>
      </c>
      <c r="AA7" s="119">
        <f t="shared" si="2"/>
        <v>-3.7502586467987158E-5</v>
      </c>
    </row>
    <row r="8" spans="1:29" x14ac:dyDescent="0.45">
      <c r="A8" s="1" t="s">
        <v>292</v>
      </c>
      <c r="B8" s="119">
        <f t="shared" ref="B8:AA8" si="3">B5</f>
        <v>-2.791754563224767E-5</v>
      </c>
      <c r="C8" s="119">
        <f t="shared" si="3"/>
        <v>-2.8297990940766547E-5</v>
      </c>
      <c r="D8" s="119">
        <f t="shared" si="3"/>
        <v>-2.8906742929068553E-5</v>
      </c>
      <c r="E8" s="119">
        <f t="shared" si="3"/>
        <v>-2.9597839263224182E-5</v>
      </c>
      <c r="F8" s="119">
        <f t="shared" si="3"/>
        <v>-3.0358396485815838E-5</v>
      </c>
      <c r="G8" s="119">
        <f t="shared" si="3"/>
        <v>-3.1042513217187666E-5</v>
      </c>
      <c r="H8" s="119">
        <f t="shared" si="3"/>
        <v>-3.1685131298793472E-5</v>
      </c>
      <c r="I8" s="119">
        <f t="shared" si="3"/>
        <v>-3.2223178394411276E-5</v>
      </c>
      <c r="J8" s="119">
        <f t="shared" si="3"/>
        <v>-3.2660978471997405E-5</v>
      </c>
      <c r="K8" s="119">
        <f t="shared" si="3"/>
        <v>-3.2930867082035307E-5</v>
      </c>
      <c r="L8" s="119">
        <f t="shared" si="3"/>
        <v>-3.3063719589457674E-5</v>
      </c>
      <c r="M8" s="119">
        <f t="shared" si="3"/>
        <v>-3.3236997503658434E-5</v>
      </c>
      <c r="N8" s="119">
        <f t="shared" si="3"/>
        <v>-3.3416222890508384E-5</v>
      </c>
      <c r="O8" s="119">
        <f t="shared" si="3"/>
        <v>-3.3607767044690485E-5</v>
      </c>
      <c r="P8" s="119">
        <f t="shared" si="3"/>
        <v>-3.3807038334707333E-5</v>
      </c>
      <c r="Q8" s="119">
        <f t="shared" si="3"/>
        <v>-3.401928912615903E-5</v>
      </c>
      <c r="R8" s="119">
        <f t="shared" si="3"/>
        <v>-3.4260701275045542E-5</v>
      </c>
      <c r="S8" s="119">
        <f t="shared" si="3"/>
        <v>-3.4522660431089508E-5</v>
      </c>
      <c r="T8" s="119">
        <f t="shared" si="3"/>
        <v>-3.4808631102164068E-5</v>
      </c>
      <c r="U8" s="119">
        <f t="shared" si="3"/>
        <v>-3.5122415083625851E-5</v>
      </c>
      <c r="V8" s="119">
        <f t="shared" si="3"/>
        <v>-3.5474117647058822E-5</v>
      </c>
      <c r="W8" s="119">
        <f t="shared" si="3"/>
        <v>-3.5853166503374704E-5</v>
      </c>
      <c r="X8" s="119">
        <f t="shared" si="3"/>
        <v>-3.6256518091829319E-5</v>
      </c>
      <c r="Y8" s="119">
        <f t="shared" si="3"/>
        <v>-3.6678074535946205E-5</v>
      </c>
      <c r="Z8" s="119">
        <f t="shared" si="3"/>
        <v>-3.7101874262101539E-5</v>
      </c>
      <c r="AA8" s="119">
        <f t="shared" si="3"/>
        <v>-3.7502586467987158E-5</v>
      </c>
    </row>
    <row r="9" spans="1:29" x14ac:dyDescent="0.45">
      <c r="A9" s="1" t="s">
        <v>293</v>
      </c>
      <c r="B9" s="119">
        <f t="shared" ref="B9:AA9" si="4">B5</f>
        <v>-2.791754563224767E-5</v>
      </c>
      <c r="C9" s="119">
        <f t="shared" si="4"/>
        <v>-2.8297990940766547E-5</v>
      </c>
      <c r="D9" s="119">
        <f t="shared" si="4"/>
        <v>-2.8906742929068553E-5</v>
      </c>
      <c r="E9" s="119">
        <f t="shared" si="4"/>
        <v>-2.9597839263224182E-5</v>
      </c>
      <c r="F9" s="119">
        <f t="shared" si="4"/>
        <v>-3.0358396485815838E-5</v>
      </c>
      <c r="G9" s="119">
        <f t="shared" si="4"/>
        <v>-3.1042513217187666E-5</v>
      </c>
      <c r="H9" s="119">
        <f t="shared" si="4"/>
        <v>-3.1685131298793472E-5</v>
      </c>
      <c r="I9" s="119">
        <f t="shared" si="4"/>
        <v>-3.2223178394411276E-5</v>
      </c>
      <c r="J9" s="119">
        <f t="shared" si="4"/>
        <v>-3.2660978471997405E-5</v>
      </c>
      <c r="K9" s="119">
        <f t="shared" si="4"/>
        <v>-3.2930867082035307E-5</v>
      </c>
      <c r="L9" s="119">
        <f t="shared" si="4"/>
        <v>-3.3063719589457674E-5</v>
      </c>
      <c r="M9" s="119">
        <f t="shared" si="4"/>
        <v>-3.3236997503658434E-5</v>
      </c>
      <c r="N9" s="119">
        <f t="shared" si="4"/>
        <v>-3.3416222890508384E-5</v>
      </c>
      <c r="O9" s="119">
        <f t="shared" si="4"/>
        <v>-3.3607767044690485E-5</v>
      </c>
      <c r="P9" s="119">
        <f t="shared" si="4"/>
        <v>-3.3807038334707333E-5</v>
      </c>
      <c r="Q9" s="119">
        <f t="shared" si="4"/>
        <v>-3.401928912615903E-5</v>
      </c>
      <c r="R9" s="119">
        <f t="shared" si="4"/>
        <v>-3.4260701275045542E-5</v>
      </c>
      <c r="S9" s="119">
        <f t="shared" si="4"/>
        <v>-3.4522660431089508E-5</v>
      </c>
      <c r="T9" s="119">
        <f t="shared" si="4"/>
        <v>-3.4808631102164068E-5</v>
      </c>
      <c r="U9" s="119">
        <f t="shared" si="4"/>
        <v>-3.5122415083625851E-5</v>
      </c>
      <c r="V9" s="119">
        <f t="shared" si="4"/>
        <v>-3.5474117647058822E-5</v>
      </c>
      <c r="W9" s="119">
        <f t="shared" si="4"/>
        <v>-3.5853166503374704E-5</v>
      </c>
      <c r="X9" s="119">
        <f t="shared" si="4"/>
        <v>-3.6256518091829319E-5</v>
      </c>
      <c r="Y9" s="119">
        <f t="shared" si="4"/>
        <v>-3.6678074535946205E-5</v>
      </c>
      <c r="Z9" s="119">
        <f t="shared" si="4"/>
        <v>-3.7101874262101539E-5</v>
      </c>
      <c r="AA9" s="119">
        <f t="shared" si="4"/>
        <v>-3.7502586467987158E-5</v>
      </c>
    </row>
    <row r="10" spans="1:29" x14ac:dyDescent="0.45">
      <c r="A10" s="1" t="s">
        <v>294</v>
      </c>
      <c r="B10" s="119">
        <f t="shared" ref="B10:AA10" si="5">B4</f>
        <v>9.5358783265284613E-6</v>
      </c>
      <c r="C10" s="119">
        <f t="shared" si="5"/>
        <v>9.5467794941744364E-6</v>
      </c>
      <c r="D10" s="119">
        <f t="shared" si="5"/>
        <v>9.5633378323182739E-6</v>
      </c>
      <c r="E10" s="119">
        <f t="shared" si="5"/>
        <v>9.5810053867280258E-6</v>
      </c>
      <c r="F10" s="119">
        <f t="shared" si="5"/>
        <v>9.675419521068141E-6</v>
      </c>
      <c r="G10" s="119">
        <f t="shared" si="5"/>
        <v>9.7870525767293705E-6</v>
      </c>
      <c r="H10" s="119">
        <f t="shared" si="5"/>
        <v>9.8928834177094291E-6</v>
      </c>
      <c r="I10" s="119">
        <f t="shared" si="5"/>
        <v>9.9884202066590126E-6</v>
      </c>
      <c r="J10" s="119">
        <f t="shared" si="5"/>
        <v>1.0091844936584412E-5</v>
      </c>
      <c r="K10" s="119">
        <f t="shared" si="5"/>
        <v>1.0173929341582862E-5</v>
      </c>
      <c r="L10" s="119">
        <f t="shared" si="5"/>
        <v>1.0239336552870691E-5</v>
      </c>
      <c r="M10" s="119">
        <f t="shared" si="5"/>
        <v>1.0306834131125392E-5</v>
      </c>
      <c r="N10" s="119">
        <f t="shared" si="5"/>
        <v>1.0380273503601559E-5</v>
      </c>
      <c r="O10" s="119">
        <f t="shared" si="5"/>
        <v>1.0453682589484896E-5</v>
      </c>
      <c r="P10" s="119">
        <f t="shared" si="5"/>
        <v>1.0528438049399083E-5</v>
      </c>
      <c r="Q10" s="119">
        <f t="shared" si="5"/>
        <v>1.0603479013056044E-5</v>
      </c>
      <c r="R10" s="119">
        <f t="shared" si="5"/>
        <v>1.0682035137355643E-5</v>
      </c>
      <c r="S10" s="119">
        <f t="shared" si="5"/>
        <v>1.0759076293848692E-5</v>
      </c>
      <c r="T10" s="119">
        <f t="shared" si="5"/>
        <v>1.0837427224397374E-5</v>
      </c>
      <c r="U10" s="119">
        <f t="shared" si="5"/>
        <v>1.0918608017070747E-5</v>
      </c>
      <c r="V10" s="119">
        <f t="shared" si="5"/>
        <v>1.1008108069890751E-5</v>
      </c>
      <c r="W10" s="119">
        <f t="shared" si="5"/>
        <v>1.1109984010534237E-5</v>
      </c>
      <c r="X10" s="119">
        <f t="shared" si="5"/>
        <v>1.1221217401926258E-5</v>
      </c>
      <c r="Y10" s="119">
        <f t="shared" si="5"/>
        <v>1.133574759457253E-5</v>
      </c>
      <c r="Z10" s="119">
        <f t="shared" si="5"/>
        <v>1.1448285610121981E-5</v>
      </c>
      <c r="AA10" s="119">
        <f t="shared" si="5"/>
        <v>1.155438636613854E-5</v>
      </c>
    </row>
    <row r="11" spans="1:29" x14ac:dyDescent="0.45">
      <c r="A11" s="1" t="s">
        <v>295</v>
      </c>
      <c r="B11" s="119">
        <f t="shared" ref="B11:AA11" si="6">B4</f>
        <v>9.5358783265284613E-6</v>
      </c>
      <c r="C11" s="119">
        <f t="shared" si="6"/>
        <v>9.5467794941744364E-6</v>
      </c>
      <c r="D11" s="119">
        <f t="shared" si="6"/>
        <v>9.5633378323182739E-6</v>
      </c>
      <c r="E11" s="119">
        <f t="shared" si="6"/>
        <v>9.5810053867280258E-6</v>
      </c>
      <c r="F11" s="119">
        <f t="shared" si="6"/>
        <v>9.675419521068141E-6</v>
      </c>
      <c r="G11" s="119">
        <f t="shared" si="6"/>
        <v>9.7870525767293705E-6</v>
      </c>
      <c r="H11" s="119">
        <f t="shared" si="6"/>
        <v>9.8928834177094291E-6</v>
      </c>
      <c r="I11" s="119">
        <f t="shared" si="6"/>
        <v>9.9884202066590126E-6</v>
      </c>
      <c r="J11" s="119">
        <f t="shared" si="6"/>
        <v>1.0091844936584412E-5</v>
      </c>
      <c r="K11" s="119">
        <f t="shared" si="6"/>
        <v>1.0173929341582862E-5</v>
      </c>
      <c r="L11" s="119">
        <f t="shared" si="6"/>
        <v>1.0239336552870691E-5</v>
      </c>
      <c r="M11" s="119">
        <f t="shared" si="6"/>
        <v>1.0306834131125392E-5</v>
      </c>
      <c r="N11" s="119">
        <f t="shared" si="6"/>
        <v>1.0380273503601559E-5</v>
      </c>
      <c r="O11" s="119">
        <f t="shared" si="6"/>
        <v>1.0453682589484896E-5</v>
      </c>
      <c r="P11" s="119">
        <f t="shared" si="6"/>
        <v>1.0528438049399083E-5</v>
      </c>
      <c r="Q11" s="119">
        <f t="shared" si="6"/>
        <v>1.0603479013056044E-5</v>
      </c>
      <c r="R11" s="119">
        <f t="shared" si="6"/>
        <v>1.0682035137355643E-5</v>
      </c>
      <c r="S11" s="119">
        <f t="shared" si="6"/>
        <v>1.0759076293848692E-5</v>
      </c>
      <c r="T11" s="119">
        <f t="shared" si="6"/>
        <v>1.0837427224397374E-5</v>
      </c>
      <c r="U11" s="119">
        <f t="shared" si="6"/>
        <v>1.0918608017070747E-5</v>
      </c>
      <c r="V11" s="119">
        <f t="shared" si="6"/>
        <v>1.1008108069890751E-5</v>
      </c>
      <c r="W11" s="119">
        <f t="shared" si="6"/>
        <v>1.1109984010534237E-5</v>
      </c>
      <c r="X11" s="119">
        <f t="shared" si="6"/>
        <v>1.1221217401926258E-5</v>
      </c>
      <c r="Y11" s="119">
        <f t="shared" si="6"/>
        <v>1.133574759457253E-5</v>
      </c>
      <c r="Z11" s="119">
        <f t="shared" si="6"/>
        <v>1.1448285610121981E-5</v>
      </c>
      <c r="AA11" s="119">
        <f t="shared" si="6"/>
        <v>1.155438636613854E-5</v>
      </c>
    </row>
  </sheetData>
  <pageMargins left="0.7" right="0.7" top="0.75" bottom="0.75" header="0.3" footer="0.3"/>
  <pageSetup orientation="portrait" horizontalDpi="1200" verticalDpi="12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8" tint="-0.249977111117893"/>
  </sheetPr>
  <dimension ref="A1:AC11"/>
  <sheetViews>
    <sheetView zoomScaleNormal="100" workbookViewId="0">
      <selection activeCell="B1" sqref="B1:B1048576"/>
    </sheetView>
  </sheetViews>
  <sheetFormatPr defaultRowHeight="14.25" x14ac:dyDescent="0.45"/>
  <cols>
    <col min="1" max="1" width="29.86328125" customWidth="1"/>
    <col min="2" max="27" width="10" customWidth="1"/>
  </cols>
  <sheetData>
    <row r="1" spans="1:29" x14ac:dyDescent="0.45">
      <c r="A1" s="121" t="s">
        <v>287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/>
      <c r="AC1" s="1"/>
    </row>
    <row r="2" spans="1:29" x14ac:dyDescent="0.45">
      <c r="A2" s="1" t="s">
        <v>288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C2" s="118"/>
    </row>
    <row r="3" spans="1:29" x14ac:dyDescent="0.45">
      <c r="A3" s="1" t="s">
        <v>289</v>
      </c>
      <c r="B3" s="119">
        <f t="shared" ref="B3:AA3" si="0">B4</f>
        <v>9.5358783265284613E-6</v>
      </c>
      <c r="C3" s="119">
        <f t="shared" si="0"/>
        <v>9.5467794941744364E-6</v>
      </c>
      <c r="D3" s="119">
        <f t="shared" si="0"/>
        <v>9.5633378323182739E-6</v>
      </c>
      <c r="E3" s="119">
        <f t="shared" si="0"/>
        <v>9.5810053867280258E-6</v>
      </c>
      <c r="F3" s="119">
        <f t="shared" si="0"/>
        <v>9.675419521068141E-6</v>
      </c>
      <c r="G3" s="119">
        <f t="shared" si="0"/>
        <v>9.7870525767293705E-6</v>
      </c>
      <c r="H3" s="119">
        <f t="shared" si="0"/>
        <v>9.8928834177094291E-6</v>
      </c>
      <c r="I3" s="119">
        <f t="shared" si="0"/>
        <v>9.9884202066590126E-6</v>
      </c>
      <c r="J3" s="119">
        <f t="shared" si="0"/>
        <v>1.0091844936584412E-5</v>
      </c>
      <c r="K3" s="119">
        <f t="shared" si="0"/>
        <v>1.0173929341582862E-5</v>
      </c>
      <c r="L3" s="119">
        <f t="shared" si="0"/>
        <v>1.0239336552870691E-5</v>
      </c>
      <c r="M3" s="119">
        <f t="shared" si="0"/>
        <v>1.0306834131125392E-5</v>
      </c>
      <c r="N3" s="119">
        <f t="shared" si="0"/>
        <v>1.0380273503601559E-5</v>
      </c>
      <c r="O3" s="119">
        <f t="shared" si="0"/>
        <v>1.0453682589484896E-5</v>
      </c>
      <c r="P3" s="119">
        <f t="shared" si="0"/>
        <v>1.0528438049399083E-5</v>
      </c>
      <c r="Q3" s="119">
        <f t="shared" si="0"/>
        <v>1.0603479013056044E-5</v>
      </c>
      <c r="R3" s="119">
        <f t="shared" si="0"/>
        <v>1.0682035137355643E-5</v>
      </c>
      <c r="S3" s="119">
        <f t="shared" si="0"/>
        <v>1.0759076293848692E-5</v>
      </c>
      <c r="T3" s="119">
        <f t="shared" si="0"/>
        <v>1.0837427224397374E-5</v>
      </c>
      <c r="U3" s="119">
        <f t="shared" si="0"/>
        <v>1.0918608017070747E-5</v>
      </c>
      <c r="V3" s="119">
        <f t="shared" si="0"/>
        <v>1.1008108069890751E-5</v>
      </c>
      <c r="W3" s="119">
        <f t="shared" si="0"/>
        <v>1.1109984010534237E-5</v>
      </c>
      <c r="X3" s="119">
        <f t="shared" si="0"/>
        <v>1.1221217401926258E-5</v>
      </c>
      <c r="Y3" s="119">
        <f t="shared" si="0"/>
        <v>1.133574759457253E-5</v>
      </c>
      <c r="Z3" s="119">
        <f t="shared" si="0"/>
        <v>1.1448285610121981E-5</v>
      </c>
      <c r="AA3" s="119">
        <f t="shared" si="0"/>
        <v>1.155438636613854E-5</v>
      </c>
    </row>
    <row r="4" spans="1:29" x14ac:dyDescent="0.45">
      <c r="A4" s="1" t="s">
        <v>264</v>
      </c>
      <c r="B4" s="104">
        <f>Calculations!G37</f>
        <v>9.5358783265284613E-6</v>
      </c>
      <c r="C4" s="104">
        <f>Calculations!H37</f>
        <v>9.5467794941744364E-6</v>
      </c>
      <c r="D4" s="104">
        <f>Calculations!I37</f>
        <v>9.5633378323182739E-6</v>
      </c>
      <c r="E4" s="104">
        <f>Calculations!J37</f>
        <v>9.5810053867280258E-6</v>
      </c>
      <c r="F4" s="104">
        <f>Calculations!K37</f>
        <v>9.675419521068141E-6</v>
      </c>
      <c r="G4" s="104">
        <f>Calculations!L37</f>
        <v>9.7870525767293705E-6</v>
      </c>
      <c r="H4" s="104">
        <f>Calculations!M37</f>
        <v>9.8928834177094291E-6</v>
      </c>
      <c r="I4" s="104">
        <f>Calculations!N37</f>
        <v>9.9884202066590126E-6</v>
      </c>
      <c r="J4" s="104">
        <f>Calculations!O37</f>
        <v>1.0091844936584412E-5</v>
      </c>
      <c r="K4" s="104">
        <f>Calculations!P37</f>
        <v>1.0173929341582862E-5</v>
      </c>
      <c r="L4" s="104">
        <f>Calculations!Q37</f>
        <v>1.0239336552870691E-5</v>
      </c>
      <c r="M4" s="104">
        <f>Calculations!R37</f>
        <v>1.0306834131125392E-5</v>
      </c>
      <c r="N4" s="104">
        <f>Calculations!S37</f>
        <v>1.0380273503601559E-5</v>
      </c>
      <c r="O4" s="104">
        <f>Calculations!T37</f>
        <v>1.0453682589484896E-5</v>
      </c>
      <c r="P4" s="104">
        <f>Calculations!U37</f>
        <v>1.0528438049399083E-5</v>
      </c>
      <c r="Q4" s="104">
        <f>Calculations!V37</f>
        <v>1.0603479013056044E-5</v>
      </c>
      <c r="R4" s="104">
        <f>Calculations!W37</f>
        <v>1.0682035137355643E-5</v>
      </c>
      <c r="S4" s="104">
        <f>Calculations!X37</f>
        <v>1.0759076293848692E-5</v>
      </c>
      <c r="T4" s="104">
        <f>Calculations!Y37</f>
        <v>1.0837427224397374E-5</v>
      </c>
      <c r="U4" s="104">
        <f>Calculations!Z37</f>
        <v>1.0918608017070747E-5</v>
      </c>
      <c r="V4" s="104">
        <f>Calculations!AA37</f>
        <v>1.1008108069890751E-5</v>
      </c>
      <c r="W4" s="104">
        <f>Calculations!AB37</f>
        <v>1.1109984010534237E-5</v>
      </c>
      <c r="X4" s="104">
        <f>Calculations!AC37</f>
        <v>1.1221217401926258E-5</v>
      </c>
      <c r="Y4" s="104">
        <f>Calculations!AD37</f>
        <v>1.133574759457253E-5</v>
      </c>
      <c r="Z4" s="104">
        <f>Calculations!AE37</f>
        <v>1.1448285610121981E-5</v>
      </c>
      <c r="AA4" s="104">
        <f>Calculations!AF37</f>
        <v>1.155438636613854E-5</v>
      </c>
    </row>
    <row r="5" spans="1:29" x14ac:dyDescent="0.45">
      <c r="A5" s="1" t="s">
        <v>290</v>
      </c>
      <c r="B5" s="104">
        <f>Calculations!G38</f>
        <v>-2.791754563224767E-5</v>
      </c>
      <c r="C5" s="104">
        <f>Calculations!H38</f>
        <v>-2.8297990940766547E-5</v>
      </c>
      <c r="D5" s="104">
        <f>Calculations!I38</f>
        <v>-2.8906742929068553E-5</v>
      </c>
      <c r="E5" s="104">
        <f>Calculations!J38</f>
        <v>-2.9597839263224182E-5</v>
      </c>
      <c r="F5" s="104">
        <f>Calculations!K38</f>
        <v>-3.0358396485815838E-5</v>
      </c>
      <c r="G5" s="104">
        <f>Calculations!L38</f>
        <v>-3.1042513217187666E-5</v>
      </c>
      <c r="H5" s="104">
        <f>Calculations!M38</f>
        <v>-3.1685131298793472E-5</v>
      </c>
      <c r="I5" s="104">
        <f>Calculations!N38</f>
        <v>-3.2223178394411276E-5</v>
      </c>
      <c r="J5" s="104">
        <f>Calculations!O38</f>
        <v>-3.2660978471997405E-5</v>
      </c>
      <c r="K5" s="104">
        <f>Calculations!P38</f>
        <v>-3.2930867082035307E-5</v>
      </c>
      <c r="L5" s="104">
        <f>Calculations!Q38</f>
        <v>-3.3063719589457674E-5</v>
      </c>
      <c r="M5" s="104">
        <f>Calculations!R38</f>
        <v>-3.3236997503658434E-5</v>
      </c>
      <c r="N5" s="104">
        <f>Calculations!S38</f>
        <v>-3.3416222890508384E-5</v>
      </c>
      <c r="O5" s="104">
        <f>Calculations!T38</f>
        <v>-3.3607767044690485E-5</v>
      </c>
      <c r="P5" s="104">
        <f>Calculations!U38</f>
        <v>-3.3807038334707333E-5</v>
      </c>
      <c r="Q5" s="104">
        <f>Calculations!V38</f>
        <v>-3.401928912615903E-5</v>
      </c>
      <c r="R5" s="104">
        <f>Calculations!W38</f>
        <v>-3.4260701275045542E-5</v>
      </c>
      <c r="S5" s="104">
        <f>Calculations!X38</f>
        <v>-3.4522660431089508E-5</v>
      </c>
      <c r="T5" s="104">
        <f>Calculations!Y38</f>
        <v>-3.4808631102164068E-5</v>
      </c>
      <c r="U5" s="104">
        <f>Calculations!Z38</f>
        <v>-3.5122415083625851E-5</v>
      </c>
      <c r="V5" s="104">
        <f>Calculations!AA38</f>
        <v>-3.5474117647058822E-5</v>
      </c>
      <c r="W5" s="104">
        <f>Calculations!AB38</f>
        <v>-3.5853166503374704E-5</v>
      </c>
      <c r="X5" s="104">
        <f>Calculations!AC38</f>
        <v>-3.6256518091829319E-5</v>
      </c>
      <c r="Y5" s="104">
        <f>Calculations!AD38</f>
        <v>-3.6678074535946205E-5</v>
      </c>
      <c r="Z5" s="104">
        <f>Calculations!AE38</f>
        <v>-3.7101874262101539E-5</v>
      </c>
      <c r="AA5" s="104">
        <f>Calculations!AF38</f>
        <v>-3.7502586467987158E-5</v>
      </c>
    </row>
    <row r="6" spans="1:29" x14ac:dyDescent="0.45">
      <c r="A6" s="1" t="s">
        <v>291</v>
      </c>
      <c r="B6" s="119">
        <f t="shared" ref="B6:AA6" si="1">B4</f>
        <v>9.5358783265284613E-6</v>
      </c>
      <c r="C6" s="119">
        <f t="shared" si="1"/>
        <v>9.5467794941744364E-6</v>
      </c>
      <c r="D6" s="119">
        <f t="shared" si="1"/>
        <v>9.5633378323182739E-6</v>
      </c>
      <c r="E6" s="119">
        <f t="shared" si="1"/>
        <v>9.5810053867280258E-6</v>
      </c>
      <c r="F6" s="119">
        <f t="shared" si="1"/>
        <v>9.675419521068141E-6</v>
      </c>
      <c r="G6" s="119">
        <f t="shared" si="1"/>
        <v>9.7870525767293705E-6</v>
      </c>
      <c r="H6" s="119">
        <f t="shared" si="1"/>
        <v>9.8928834177094291E-6</v>
      </c>
      <c r="I6" s="119">
        <f t="shared" si="1"/>
        <v>9.9884202066590126E-6</v>
      </c>
      <c r="J6" s="119">
        <f t="shared" si="1"/>
        <v>1.0091844936584412E-5</v>
      </c>
      <c r="K6" s="119">
        <f t="shared" si="1"/>
        <v>1.0173929341582862E-5</v>
      </c>
      <c r="L6" s="119">
        <f t="shared" si="1"/>
        <v>1.0239336552870691E-5</v>
      </c>
      <c r="M6" s="119">
        <f t="shared" si="1"/>
        <v>1.0306834131125392E-5</v>
      </c>
      <c r="N6" s="119">
        <f t="shared" si="1"/>
        <v>1.0380273503601559E-5</v>
      </c>
      <c r="O6" s="119">
        <f t="shared" si="1"/>
        <v>1.0453682589484896E-5</v>
      </c>
      <c r="P6" s="119">
        <f t="shared" si="1"/>
        <v>1.0528438049399083E-5</v>
      </c>
      <c r="Q6" s="119">
        <f t="shared" si="1"/>
        <v>1.0603479013056044E-5</v>
      </c>
      <c r="R6" s="119">
        <f t="shared" si="1"/>
        <v>1.0682035137355643E-5</v>
      </c>
      <c r="S6" s="119">
        <f t="shared" si="1"/>
        <v>1.0759076293848692E-5</v>
      </c>
      <c r="T6" s="119">
        <f t="shared" si="1"/>
        <v>1.0837427224397374E-5</v>
      </c>
      <c r="U6" s="119">
        <f t="shared" si="1"/>
        <v>1.0918608017070747E-5</v>
      </c>
      <c r="V6" s="119">
        <f t="shared" si="1"/>
        <v>1.1008108069890751E-5</v>
      </c>
      <c r="W6" s="119">
        <f t="shared" si="1"/>
        <v>1.1109984010534237E-5</v>
      </c>
      <c r="X6" s="119">
        <f t="shared" si="1"/>
        <v>1.1221217401926258E-5</v>
      </c>
      <c r="Y6" s="119">
        <f t="shared" si="1"/>
        <v>1.133574759457253E-5</v>
      </c>
      <c r="Z6" s="119">
        <f t="shared" si="1"/>
        <v>1.1448285610121981E-5</v>
      </c>
      <c r="AA6" s="119">
        <f t="shared" si="1"/>
        <v>1.155438636613854E-5</v>
      </c>
    </row>
    <row r="7" spans="1:29" x14ac:dyDescent="0.45">
      <c r="A7" s="1" t="s">
        <v>266</v>
      </c>
      <c r="B7" s="119">
        <f t="shared" ref="B7:AA7" si="2">B5</f>
        <v>-2.791754563224767E-5</v>
      </c>
      <c r="C7" s="119">
        <f t="shared" si="2"/>
        <v>-2.8297990940766547E-5</v>
      </c>
      <c r="D7" s="119">
        <f t="shared" si="2"/>
        <v>-2.8906742929068553E-5</v>
      </c>
      <c r="E7" s="119">
        <f t="shared" si="2"/>
        <v>-2.9597839263224182E-5</v>
      </c>
      <c r="F7" s="119">
        <f t="shared" si="2"/>
        <v>-3.0358396485815838E-5</v>
      </c>
      <c r="G7" s="119">
        <f t="shared" si="2"/>
        <v>-3.1042513217187666E-5</v>
      </c>
      <c r="H7" s="119">
        <f t="shared" si="2"/>
        <v>-3.1685131298793472E-5</v>
      </c>
      <c r="I7" s="119">
        <f t="shared" si="2"/>
        <v>-3.2223178394411276E-5</v>
      </c>
      <c r="J7" s="119">
        <f t="shared" si="2"/>
        <v>-3.2660978471997405E-5</v>
      </c>
      <c r="K7" s="119">
        <f t="shared" si="2"/>
        <v>-3.2930867082035307E-5</v>
      </c>
      <c r="L7" s="119">
        <f t="shared" si="2"/>
        <v>-3.3063719589457674E-5</v>
      </c>
      <c r="M7" s="119">
        <f t="shared" si="2"/>
        <v>-3.3236997503658434E-5</v>
      </c>
      <c r="N7" s="119">
        <f t="shared" si="2"/>
        <v>-3.3416222890508384E-5</v>
      </c>
      <c r="O7" s="119">
        <f t="shared" si="2"/>
        <v>-3.3607767044690485E-5</v>
      </c>
      <c r="P7" s="119">
        <f t="shared" si="2"/>
        <v>-3.3807038334707333E-5</v>
      </c>
      <c r="Q7" s="119">
        <f t="shared" si="2"/>
        <v>-3.401928912615903E-5</v>
      </c>
      <c r="R7" s="119">
        <f t="shared" si="2"/>
        <v>-3.4260701275045542E-5</v>
      </c>
      <c r="S7" s="119">
        <f t="shared" si="2"/>
        <v>-3.4522660431089508E-5</v>
      </c>
      <c r="T7" s="119">
        <f t="shared" si="2"/>
        <v>-3.4808631102164068E-5</v>
      </c>
      <c r="U7" s="119">
        <f t="shared" si="2"/>
        <v>-3.5122415083625851E-5</v>
      </c>
      <c r="V7" s="119">
        <f t="shared" si="2"/>
        <v>-3.5474117647058822E-5</v>
      </c>
      <c r="W7" s="119">
        <f t="shared" si="2"/>
        <v>-3.5853166503374704E-5</v>
      </c>
      <c r="X7" s="119">
        <f t="shared" si="2"/>
        <v>-3.6256518091829319E-5</v>
      </c>
      <c r="Y7" s="119">
        <f t="shared" si="2"/>
        <v>-3.6678074535946205E-5</v>
      </c>
      <c r="Z7" s="119">
        <f t="shared" si="2"/>
        <v>-3.7101874262101539E-5</v>
      </c>
      <c r="AA7" s="119">
        <f t="shared" si="2"/>
        <v>-3.7502586467987158E-5</v>
      </c>
    </row>
    <row r="8" spans="1:29" x14ac:dyDescent="0.45">
      <c r="A8" s="1" t="s">
        <v>292</v>
      </c>
      <c r="B8" s="119">
        <f t="shared" ref="B8:AA8" si="3">B5</f>
        <v>-2.791754563224767E-5</v>
      </c>
      <c r="C8" s="119">
        <f t="shared" si="3"/>
        <v>-2.8297990940766547E-5</v>
      </c>
      <c r="D8" s="119">
        <f t="shared" si="3"/>
        <v>-2.8906742929068553E-5</v>
      </c>
      <c r="E8" s="119">
        <f t="shared" si="3"/>
        <v>-2.9597839263224182E-5</v>
      </c>
      <c r="F8" s="119">
        <f t="shared" si="3"/>
        <v>-3.0358396485815838E-5</v>
      </c>
      <c r="G8" s="119">
        <f t="shared" si="3"/>
        <v>-3.1042513217187666E-5</v>
      </c>
      <c r="H8" s="119">
        <f t="shared" si="3"/>
        <v>-3.1685131298793472E-5</v>
      </c>
      <c r="I8" s="119">
        <f t="shared" si="3"/>
        <v>-3.2223178394411276E-5</v>
      </c>
      <c r="J8" s="119">
        <f t="shared" si="3"/>
        <v>-3.2660978471997405E-5</v>
      </c>
      <c r="K8" s="119">
        <f t="shared" si="3"/>
        <v>-3.2930867082035307E-5</v>
      </c>
      <c r="L8" s="119">
        <f t="shared" si="3"/>
        <v>-3.3063719589457674E-5</v>
      </c>
      <c r="M8" s="119">
        <f t="shared" si="3"/>
        <v>-3.3236997503658434E-5</v>
      </c>
      <c r="N8" s="119">
        <f t="shared" si="3"/>
        <v>-3.3416222890508384E-5</v>
      </c>
      <c r="O8" s="119">
        <f t="shared" si="3"/>
        <v>-3.3607767044690485E-5</v>
      </c>
      <c r="P8" s="119">
        <f t="shared" si="3"/>
        <v>-3.3807038334707333E-5</v>
      </c>
      <c r="Q8" s="119">
        <f t="shared" si="3"/>
        <v>-3.401928912615903E-5</v>
      </c>
      <c r="R8" s="119">
        <f t="shared" si="3"/>
        <v>-3.4260701275045542E-5</v>
      </c>
      <c r="S8" s="119">
        <f t="shared" si="3"/>
        <v>-3.4522660431089508E-5</v>
      </c>
      <c r="T8" s="119">
        <f t="shared" si="3"/>
        <v>-3.4808631102164068E-5</v>
      </c>
      <c r="U8" s="119">
        <f t="shared" si="3"/>
        <v>-3.5122415083625851E-5</v>
      </c>
      <c r="V8" s="119">
        <f t="shared" si="3"/>
        <v>-3.5474117647058822E-5</v>
      </c>
      <c r="W8" s="119">
        <f t="shared" si="3"/>
        <v>-3.5853166503374704E-5</v>
      </c>
      <c r="X8" s="119">
        <f t="shared" si="3"/>
        <v>-3.6256518091829319E-5</v>
      </c>
      <c r="Y8" s="119">
        <f t="shared" si="3"/>
        <v>-3.6678074535946205E-5</v>
      </c>
      <c r="Z8" s="119">
        <f t="shared" si="3"/>
        <v>-3.7101874262101539E-5</v>
      </c>
      <c r="AA8" s="119">
        <f t="shared" si="3"/>
        <v>-3.7502586467987158E-5</v>
      </c>
    </row>
    <row r="9" spans="1:29" x14ac:dyDescent="0.45">
      <c r="A9" s="1" t="s">
        <v>293</v>
      </c>
      <c r="B9" s="119">
        <f t="shared" ref="B9:AA9" si="4">B5</f>
        <v>-2.791754563224767E-5</v>
      </c>
      <c r="C9" s="119">
        <f t="shared" si="4"/>
        <v>-2.8297990940766547E-5</v>
      </c>
      <c r="D9" s="119">
        <f t="shared" si="4"/>
        <v>-2.8906742929068553E-5</v>
      </c>
      <c r="E9" s="119">
        <f t="shared" si="4"/>
        <v>-2.9597839263224182E-5</v>
      </c>
      <c r="F9" s="119">
        <f t="shared" si="4"/>
        <v>-3.0358396485815838E-5</v>
      </c>
      <c r="G9" s="119">
        <f t="shared" si="4"/>
        <v>-3.1042513217187666E-5</v>
      </c>
      <c r="H9" s="119">
        <f t="shared" si="4"/>
        <v>-3.1685131298793472E-5</v>
      </c>
      <c r="I9" s="119">
        <f t="shared" si="4"/>
        <v>-3.2223178394411276E-5</v>
      </c>
      <c r="J9" s="119">
        <f t="shared" si="4"/>
        <v>-3.2660978471997405E-5</v>
      </c>
      <c r="K9" s="119">
        <f t="shared" si="4"/>
        <v>-3.2930867082035307E-5</v>
      </c>
      <c r="L9" s="119">
        <f t="shared" si="4"/>
        <v>-3.3063719589457674E-5</v>
      </c>
      <c r="M9" s="119">
        <f t="shared" si="4"/>
        <v>-3.3236997503658434E-5</v>
      </c>
      <c r="N9" s="119">
        <f t="shared" si="4"/>
        <v>-3.3416222890508384E-5</v>
      </c>
      <c r="O9" s="119">
        <f t="shared" si="4"/>
        <v>-3.3607767044690485E-5</v>
      </c>
      <c r="P9" s="119">
        <f t="shared" si="4"/>
        <v>-3.3807038334707333E-5</v>
      </c>
      <c r="Q9" s="119">
        <f t="shared" si="4"/>
        <v>-3.401928912615903E-5</v>
      </c>
      <c r="R9" s="119">
        <f t="shared" si="4"/>
        <v>-3.4260701275045542E-5</v>
      </c>
      <c r="S9" s="119">
        <f t="shared" si="4"/>
        <v>-3.4522660431089508E-5</v>
      </c>
      <c r="T9" s="119">
        <f t="shared" si="4"/>
        <v>-3.4808631102164068E-5</v>
      </c>
      <c r="U9" s="119">
        <f t="shared" si="4"/>
        <v>-3.5122415083625851E-5</v>
      </c>
      <c r="V9" s="119">
        <f t="shared" si="4"/>
        <v>-3.5474117647058822E-5</v>
      </c>
      <c r="W9" s="119">
        <f t="shared" si="4"/>
        <v>-3.5853166503374704E-5</v>
      </c>
      <c r="X9" s="119">
        <f t="shared" si="4"/>
        <v>-3.6256518091829319E-5</v>
      </c>
      <c r="Y9" s="119">
        <f t="shared" si="4"/>
        <v>-3.6678074535946205E-5</v>
      </c>
      <c r="Z9" s="119">
        <f t="shared" si="4"/>
        <v>-3.7101874262101539E-5</v>
      </c>
      <c r="AA9" s="119">
        <f t="shared" si="4"/>
        <v>-3.7502586467987158E-5</v>
      </c>
    </row>
    <row r="10" spans="1:29" x14ac:dyDescent="0.45">
      <c r="A10" s="1" t="s">
        <v>294</v>
      </c>
      <c r="B10" s="119">
        <f t="shared" ref="B10:AA10" si="5">B4</f>
        <v>9.5358783265284613E-6</v>
      </c>
      <c r="C10" s="119">
        <f t="shared" si="5"/>
        <v>9.5467794941744364E-6</v>
      </c>
      <c r="D10" s="119">
        <f t="shared" si="5"/>
        <v>9.5633378323182739E-6</v>
      </c>
      <c r="E10" s="119">
        <f t="shared" si="5"/>
        <v>9.5810053867280258E-6</v>
      </c>
      <c r="F10" s="119">
        <f t="shared" si="5"/>
        <v>9.675419521068141E-6</v>
      </c>
      <c r="G10" s="119">
        <f t="shared" si="5"/>
        <v>9.7870525767293705E-6</v>
      </c>
      <c r="H10" s="119">
        <f t="shared" si="5"/>
        <v>9.8928834177094291E-6</v>
      </c>
      <c r="I10" s="119">
        <f t="shared" si="5"/>
        <v>9.9884202066590126E-6</v>
      </c>
      <c r="J10" s="119">
        <f t="shared" si="5"/>
        <v>1.0091844936584412E-5</v>
      </c>
      <c r="K10" s="119">
        <f t="shared" si="5"/>
        <v>1.0173929341582862E-5</v>
      </c>
      <c r="L10" s="119">
        <f t="shared" si="5"/>
        <v>1.0239336552870691E-5</v>
      </c>
      <c r="M10" s="119">
        <f t="shared" si="5"/>
        <v>1.0306834131125392E-5</v>
      </c>
      <c r="N10" s="119">
        <f t="shared" si="5"/>
        <v>1.0380273503601559E-5</v>
      </c>
      <c r="O10" s="119">
        <f t="shared" si="5"/>
        <v>1.0453682589484896E-5</v>
      </c>
      <c r="P10" s="119">
        <f t="shared" si="5"/>
        <v>1.0528438049399083E-5</v>
      </c>
      <c r="Q10" s="119">
        <f t="shared" si="5"/>
        <v>1.0603479013056044E-5</v>
      </c>
      <c r="R10" s="119">
        <f t="shared" si="5"/>
        <v>1.0682035137355643E-5</v>
      </c>
      <c r="S10" s="119">
        <f t="shared" si="5"/>
        <v>1.0759076293848692E-5</v>
      </c>
      <c r="T10" s="119">
        <f t="shared" si="5"/>
        <v>1.0837427224397374E-5</v>
      </c>
      <c r="U10" s="119">
        <f t="shared" si="5"/>
        <v>1.0918608017070747E-5</v>
      </c>
      <c r="V10" s="119">
        <f t="shared" si="5"/>
        <v>1.1008108069890751E-5</v>
      </c>
      <c r="W10" s="119">
        <f t="shared" si="5"/>
        <v>1.1109984010534237E-5</v>
      </c>
      <c r="X10" s="119">
        <f t="shared" si="5"/>
        <v>1.1221217401926258E-5</v>
      </c>
      <c r="Y10" s="119">
        <f t="shared" si="5"/>
        <v>1.133574759457253E-5</v>
      </c>
      <c r="Z10" s="119">
        <f t="shared" si="5"/>
        <v>1.1448285610121981E-5</v>
      </c>
      <c r="AA10" s="119">
        <f t="shared" si="5"/>
        <v>1.155438636613854E-5</v>
      </c>
    </row>
    <row r="11" spans="1:29" x14ac:dyDescent="0.45">
      <c r="A11" s="1" t="s">
        <v>295</v>
      </c>
      <c r="B11" s="119">
        <f t="shared" ref="B11:AA11" si="6">B4</f>
        <v>9.5358783265284613E-6</v>
      </c>
      <c r="C11" s="119">
        <f t="shared" si="6"/>
        <v>9.5467794941744364E-6</v>
      </c>
      <c r="D11" s="119">
        <f t="shared" si="6"/>
        <v>9.5633378323182739E-6</v>
      </c>
      <c r="E11" s="119">
        <f t="shared" si="6"/>
        <v>9.5810053867280258E-6</v>
      </c>
      <c r="F11" s="119">
        <f t="shared" si="6"/>
        <v>9.675419521068141E-6</v>
      </c>
      <c r="G11" s="119">
        <f t="shared" si="6"/>
        <v>9.7870525767293705E-6</v>
      </c>
      <c r="H11" s="119">
        <f t="shared" si="6"/>
        <v>9.8928834177094291E-6</v>
      </c>
      <c r="I11" s="119">
        <f t="shared" si="6"/>
        <v>9.9884202066590126E-6</v>
      </c>
      <c r="J11" s="119">
        <f t="shared" si="6"/>
        <v>1.0091844936584412E-5</v>
      </c>
      <c r="K11" s="119">
        <f t="shared" si="6"/>
        <v>1.0173929341582862E-5</v>
      </c>
      <c r="L11" s="119">
        <f t="shared" si="6"/>
        <v>1.0239336552870691E-5</v>
      </c>
      <c r="M11" s="119">
        <f t="shared" si="6"/>
        <v>1.0306834131125392E-5</v>
      </c>
      <c r="N11" s="119">
        <f t="shared" si="6"/>
        <v>1.0380273503601559E-5</v>
      </c>
      <c r="O11" s="119">
        <f t="shared" si="6"/>
        <v>1.0453682589484896E-5</v>
      </c>
      <c r="P11" s="119">
        <f t="shared" si="6"/>
        <v>1.0528438049399083E-5</v>
      </c>
      <c r="Q11" s="119">
        <f t="shared" si="6"/>
        <v>1.0603479013056044E-5</v>
      </c>
      <c r="R11" s="119">
        <f t="shared" si="6"/>
        <v>1.0682035137355643E-5</v>
      </c>
      <c r="S11" s="119">
        <f t="shared" si="6"/>
        <v>1.0759076293848692E-5</v>
      </c>
      <c r="T11" s="119">
        <f t="shared" si="6"/>
        <v>1.0837427224397374E-5</v>
      </c>
      <c r="U11" s="119">
        <f t="shared" si="6"/>
        <v>1.0918608017070747E-5</v>
      </c>
      <c r="V11" s="119">
        <f t="shared" si="6"/>
        <v>1.1008108069890751E-5</v>
      </c>
      <c r="W11" s="119">
        <f t="shared" si="6"/>
        <v>1.1109984010534237E-5</v>
      </c>
      <c r="X11" s="119">
        <f t="shared" si="6"/>
        <v>1.1221217401926258E-5</v>
      </c>
      <c r="Y11" s="119">
        <f t="shared" si="6"/>
        <v>1.133574759457253E-5</v>
      </c>
      <c r="Z11" s="119">
        <f t="shared" si="6"/>
        <v>1.1448285610121981E-5</v>
      </c>
      <c r="AA11" s="119">
        <f t="shared" si="6"/>
        <v>1.155438636613854E-5</v>
      </c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8" tint="-0.249977111117893"/>
  </sheetPr>
  <dimension ref="A1:AC11"/>
  <sheetViews>
    <sheetView zoomScaleNormal="100" workbookViewId="0">
      <selection activeCell="B1" sqref="B1:B1048576"/>
    </sheetView>
  </sheetViews>
  <sheetFormatPr defaultRowHeight="14.25" x14ac:dyDescent="0.45"/>
  <cols>
    <col min="1" max="1" width="29.86328125" customWidth="1"/>
    <col min="2" max="27" width="10" customWidth="1"/>
  </cols>
  <sheetData>
    <row r="1" spans="1:29" x14ac:dyDescent="0.45">
      <c r="A1" s="121" t="s">
        <v>287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/>
      <c r="AC1" s="1"/>
    </row>
    <row r="2" spans="1:29" x14ac:dyDescent="0.45">
      <c r="A2" s="1" t="s">
        <v>288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C2" s="118"/>
    </row>
    <row r="3" spans="1:29" x14ac:dyDescent="0.45">
      <c r="A3" s="1" t="s">
        <v>289</v>
      </c>
      <c r="B3" s="119">
        <f t="shared" ref="B3:AA3" si="0">B4</f>
        <v>1.0056992140363913E-4</v>
      </c>
      <c r="C3" s="119">
        <f t="shared" si="0"/>
        <v>9.8915177163543138E-5</v>
      </c>
      <c r="D3" s="119">
        <f t="shared" si="0"/>
        <v>9.7260432923446482E-5</v>
      </c>
      <c r="E3" s="119">
        <f t="shared" si="0"/>
        <v>9.5605688683350463E-5</v>
      </c>
      <c r="F3" s="119">
        <f t="shared" si="0"/>
        <v>9.3950944443254431E-5</v>
      </c>
      <c r="G3" s="119">
        <f t="shared" si="0"/>
        <v>9.2296200203157816E-5</v>
      </c>
      <c r="H3" s="119">
        <f t="shared" si="0"/>
        <v>9.0679216613890823E-5</v>
      </c>
      <c r="I3" s="119">
        <f t="shared" si="0"/>
        <v>8.9812174085886264E-5</v>
      </c>
      <c r="J3" s="119">
        <f t="shared" si="0"/>
        <v>8.8945131557881704E-5</v>
      </c>
      <c r="K3" s="119">
        <f t="shared" si="0"/>
        <v>8.8078089029877145E-5</v>
      </c>
      <c r="L3" s="119">
        <f t="shared" si="0"/>
        <v>8.7211046501872586E-5</v>
      </c>
      <c r="M3" s="119">
        <f t="shared" si="0"/>
        <v>8.6344003973868027E-5</v>
      </c>
      <c r="N3" s="119">
        <f t="shared" si="0"/>
        <v>8.5476961445863468E-5</v>
      </c>
      <c r="O3" s="119">
        <f t="shared" si="0"/>
        <v>8.4609918917858909E-5</v>
      </c>
      <c r="P3" s="119">
        <f t="shared" si="0"/>
        <v>8.3742876389854363E-5</v>
      </c>
      <c r="Q3" s="119">
        <f t="shared" si="0"/>
        <v>8.2875833861849478E-5</v>
      </c>
      <c r="R3" s="119">
        <f t="shared" si="0"/>
        <v>8.2008791333844919E-5</v>
      </c>
      <c r="S3" s="119">
        <f t="shared" si="0"/>
        <v>8.114174880584036E-5</v>
      </c>
      <c r="T3" s="119">
        <f t="shared" si="0"/>
        <v>8.0274706277835801E-5</v>
      </c>
      <c r="U3" s="119">
        <f t="shared" si="0"/>
        <v>7.9407663749831255E-5</v>
      </c>
      <c r="V3" s="119">
        <f t="shared" si="0"/>
        <v>7.8540621221826696E-5</v>
      </c>
      <c r="W3" s="119">
        <f t="shared" si="0"/>
        <v>7.7673578693822137E-5</v>
      </c>
      <c r="X3" s="119">
        <f t="shared" si="0"/>
        <v>7.6806536165817578E-5</v>
      </c>
      <c r="Y3" s="119">
        <f t="shared" si="0"/>
        <v>7.5939493637813019E-5</v>
      </c>
      <c r="Z3" s="119">
        <f t="shared" si="0"/>
        <v>7.5072451109808459E-5</v>
      </c>
      <c r="AA3" s="119">
        <f t="shared" si="0"/>
        <v>7.42054085818039E-5</v>
      </c>
    </row>
    <row r="4" spans="1:29" x14ac:dyDescent="0.45">
      <c r="A4" s="1" t="s">
        <v>264</v>
      </c>
      <c r="B4" s="104">
        <f>Calculations!G58</f>
        <v>1.0056992140363913E-4</v>
      </c>
      <c r="C4" s="104">
        <f>Calculations!H58</f>
        <v>9.8915177163543138E-5</v>
      </c>
      <c r="D4" s="104">
        <f>Calculations!I58</f>
        <v>9.7260432923446482E-5</v>
      </c>
      <c r="E4" s="104">
        <f>Calculations!J58</f>
        <v>9.5605688683350463E-5</v>
      </c>
      <c r="F4" s="104">
        <f>Calculations!K58</f>
        <v>9.3950944443254431E-5</v>
      </c>
      <c r="G4" s="104">
        <f>Calculations!L58</f>
        <v>9.2296200203157816E-5</v>
      </c>
      <c r="H4" s="104">
        <f>Calculations!M58</f>
        <v>9.0679216613890823E-5</v>
      </c>
      <c r="I4" s="104">
        <f>Calculations!N58</f>
        <v>8.9812174085886264E-5</v>
      </c>
      <c r="J4" s="104">
        <f>Calculations!O58</f>
        <v>8.8945131557881704E-5</v>
      </c>
      <c r="K4" s="104">
        <f>Calculations!P58</f>
        <v>8.8078089029877145E-5</v>
      </c>
      <c r="L4" s="104">
        <f>Calculations!Q58</f>
        <v>8.7211046501872586E-5</v>
      </c>
      <c r="M4" s="104">
        <f>Calculations!R58</f>
        <v>8.6344003973868027E-5</v>
      </c>
      <c r="N4" s="104">
        <f>Calculations!S58</f>
        <v>8.5476961445863468E-5</v>
      </c>
      <c r="O4" s="104">
        <f>Calculations!T58</f>
        <v>8.4609918917858909E-5</v>
      </c>
      <c r="P4" s="104">
        <f>Calculations!U58</f>
        <v>8.3742876389854363E-5</v>
      </c>
      <c r="Q4" s="104">
        <f>Calculations!V58</f>
        <v>8.2875833861849478E-5</v>
      </c>
      <c r="R4" s="104">
        <f>Calculations!W58</f>
        <v>8.2008791333844919E-5</v>
      </c>
      <c r="S4" s="104">
        <f>Calculations!X58</f>
        <v>8.114174880584036E-5</v>
      </c>
      <c r="T4" s="104">
        <f>Calculations!Y58</f>
        <v>8.0274706277835801E-5</v>
      </c>
      <c r="U4" s="104">
        <f>Calculations!Z58</f>
        <v>7.9407663749831255E-5</v>
      </c>
      <c r="V4" s="104">
        <f>Calculations!AA58</f>
        <v>7.8540621221826696E-5</v>
      </c>
      <c r="W4" s="104">
        <f>Calculations!AB58</f>
        <v>7.7673578693822137E-5</v>
      </c>
      <c r="X4" s="104">
        <f>Calculations!AC58</f>
        <v>7.6806536165817578E-5</v>
      </c>
      <c r="Y4" s="104">
        <f>Calculations!AD58</f>
        <v>7.5939493637813019E-5</v>
      </c>
      <c r="Z4" s="104">
        <f>Calculations!AE58</f>
        <v>7.5072451109808459E-5</v>
      </c>
      <c r="AA4" s="104">
        <f>Calculations!AF58</f>
        <v>7.42054085818039E-5</v>
      </c>
    </row>
    <row r="5" spans="1:29" x14ac:dyDescent="0.45">
      <c r="A5" s="1" t="s">
        <v>290</v>
      </c>
      <c r="B5" s="104">
        <f>Calculations!G59</f>
        <v>8.5784252492381797E-5</v>
      </c>
      <c r="C5" s="104">
        <f>Calculations!H59</f>
        <v>8.4146215222807001E-5</v>
      </c>
      <c r="D5" s="104">
        <f>Calculations!I59</f>
        <v>8.250817795323154E-5</v>
      </c>
      <c r="E5" s="104">
        <f>Calculations!J59</f>
        <v>8.0870140683656717E-5</v>
      </c>
      <c r="F5" s="104">
        <f>Calculations!K59</f>
        <v>7.9232103414081893E-5</v>
      </c>
      <c r="G5" s="104">
        <f>Calculations!L59</f>
        <v>7.759406614450646E-5</v>
      </c>
      <c r="H5" s="104">
        <f>Calculations!M59</f>
        <v>7.5977082555239467E-5</v>
      </c>
      <c r="I5" s="104">
        <f>Calculations!N59</f>
        <v>7.5110040027234908E-5</v>
      </c>
      <c r="J5" s="104">
        <f>Calculations!O59</f>
        <v>7.4242997499230349E-5</v>
      </c>
      <c r="K5" s="104">
        <f>Calculations!P59</f>
        <v>7.337595497122579E-5</v>
      </c>
      <c r="L5" s="104">
        <f>Calculations!Q59</f>
        <v>7.2508912443221231E-5</v>
      </c>
      <c r="M5" s="104">
        <f>Calculations!R59</f>
        <v>7.1641869915216671E-5</v>
      </c>
      <c r="N5" s="104">
        <f>Calculations!S59</f>
        <v>7.0774827387212112E-5</v>
      </c>
      <c r="O5" s="104">
        <f>Calculations!T59</f>
        <v>6.9907784859207553E-5</v>
      </c>
      <c r="P5" s="104">
        <f>Calculations!U59</f>
        <v>6.9040742331203007E-5</v>
      </c>
      <c r="Q5" s="104">
        <f>Calculations!V59</f>
        <v>6.8173699803198123E-5</v>
      </c>
      <c r="R5" s="104">
        <f>Calculations!W59</f>
        <v>6.7306657275193564E-5</v>
      </c>
      <c r="S5" s="104">
        <f>Calculations!X59</f>
        <v>6.6439614747189005E-5</v>
      </c>
      <c r="T5" s="104">
        <f>Calculations!Y59</f>
        <v>6.5572572219184445E-5</v>
      </c>
      <c r="U5" s="104">
        <f>Calculations!Z59</f>
        <v>6.47055296911799E-5</v>
      </c>
      <c r="V5" s="104">
        <f>Calculations!AA59</f>
        <v>6.3838487163175341E-5</v>
      </c>
      <c r="W5" s="104">
        <f>Calculations!AB59</f>
        <v>6.2971444635170781E-5</v>
      </c>
      <c r="X5" s="104">
        <f>Calculations!AC59</f>
        <v>6.2104402107166222E-5</v>
      </c>
      <c r="Y5" s="104">
        <f>Calculations!AD59</f>
        <v>6.1237359579161663E-5</v>
      </c>
      <c r="Z5" s="104">
        <f>Calculations!AE59</f>
        <v>6.0370317051157097E-5</v>
      </c>
      <c r="AA5" s="104">
        <f>Calculations!AF59</f>
        <v>5.9503274523152538E-5</v>
      </c>
    </row>
    <row r="6" spans="1:29" x14ac:dyDescent="0.45">
      <c r="A6" s="1" t="s">
        <v>291</v>
      </c>
      <c r="B6" s="119">
        <f t="shared" ref="B6:AA6" si="1">B4</f>
        <v>1.0056992140363913E-4</v>
      </c>
      <c r="C6" s="119">
        <f t="shared" si="1"/>
        <v>9.8915177163543138E-5</v>
      </c>
      <c r="D6" s="119">
        <f t="shared" si="1"/>
        <v>9.7260432923446482E-5</v>
      </c>
      <c r="E6" s="119">
        <f t="shared" si="1"/>
        <v>9.5605688683350463E-5</v>
      </c>
      <c r="F6" s="119">
        <f t="shared" si="1"/>
        <v>9.3950944443254431E-5</v>
      </c>
      <c r="G6" s="119">
        <f t="shared" si="1"/>
        <v>9.2296200203157816E-5</v>
      </c>
      <c r="H6" s="119">
        <f t="shared" si="1"/>
        <v>9.0679216613890823E-5</v>
      </c>
      <c r="I6" s="119">
        <f t="shared" si="1"/>
        <v>8.9812174085886264E-5</v>
      </c>
      <c r="J6" s="119">
        <f t="shared" si="1"/>
        <v>8.8945131557881704E-5</v>
      </c>
      <c r="K6" s="119">
        <f t="shared" si="1"/>
        <v>8.8078089029877145E-5</v>
      </c>
      <c r="L6" s="119">
        <f t="shared" si="1"/>
        <v>8.7211046501872586E-5</v>
      </c>
      <c r="M6" s="119">
        <f t="shared" si="1"/>
        <v>8.6344003973868027E-5</v>
      </c>
      <c r="N6" s="119">
        <f t="shared" si="1"/>
        <v>8.5476961445863468E-5</v>
      </c>
      <c r="O6" s="119">
        <f t="shared" si="1"/>
        <v>8.4609918917858909E-5</v>
      </c>
      <c r="P6" s="119">
        <f t="shared" si="1"/>
        <v>8.3742876389854363E-5</v>
      </c>
      <c r="Q6" s="119">
        <f t="shared" si="1"/>
        <v>8.2875833861849478E-5</v>
      </c>
      <c r="R6" s="119">
        <f t="shared" si="1"/>
        <v>8.2008791333844919E-5</v>
      </c>
      <c r="S6" s="119">
        <f t="shared" si="1"/>
        <v>8.114174880584036E-5</v>
      </c>
      <c r="T6" s="119">
        <f t="shared" si="1"/>
        <v>8.0274706277835801E-5</v>
      </c>
      <c r="U6" s="119">
        <f t="shared" si="1"/>
        <v>7.9407663749831255E-5</v>
      </c>
      <c r="V6" s="119">
        <f t="shared" si="1"/>
        <v>7.8540621221826696E-5</v>
      </c>
      <c r="W6" s="119">
        <f t="shared" si="1"/>
        <v>7.7673578693822137E-5</v>
      </c>
      <c r="X6" s="119">
        <f t="shared" si="1"/>
        <v>7.6806536165817578E-5</v>
      </c>
      <c r="Y6" s="119">
        <f t="shared" si="1"/>
        <v>7.5939493637813019E-5</v>
      </c>
      <c r="Z6" s="119">
        <f t="shared" si="1"/>
        <v>7.5072451109808459E-5</v>
      </c>
      <c r="AA6" s="119">
        <f t="shared" si="1"/>
        <v>7.42054085818039E-5</v>
      </c>
    </row>
    <row r="7" spans="1:29" x14ac:dyDescent="0.45">
      <c r="A7" s="1" t="s">
        <v>266</v>
      </c>
      <c r="B7" s="119">
        <f t="shared" ref="B7:AA7" si="2">B5</f>
        <v>8.5784252492381797E-5</v>
      </c>
      <c r="C7" s="119">
        <f t="shared" si="2"/>
        <v>8.4146215222807001E-5</v>
      </c>
      <c r="D7" s="119">
        <f t="shared" si="2"/>
        <v>8.250817795323154E-5</v>
      </c>
      <c r="E7" s="119">
        <f t="shared" si="2"/>
        <v>8.0870140683656717E-5</v>
      </c>
      <c r="F7" s="119">
        <f t="shared" si="2"/>
        <v>7.9232103414081893E-5</v>
      </c>
      <c r="G7" s="119">
        <f t="shared" si="2"/>
        <v>7.759406614450646E-5</v>
      </c>
      <c r="H7" s="119">
        <f t="shared" si="2"/>
        <v>7.5977082555239467E-5</v>
      </c>
      <c r="I7" s="119">
        <f t="shared" si="2"/>
        <v>7.5110040027234908E-5</v>
      </c>
      <c r="J7" s="119">
        <f t="shared" si="2"/>
        <v>7.4242997499230349E-5</v>
      </c>
      <c r="K7" s="119">
        <f t="shared" si="2"/>
        <v>7.337595497122579E-5</v>
      </c>
      <c r="L7" s="119">
        <f t="shared" si="2"/>
        <v>7.2508912443221231E-5</v>
      </c>
      <c r="M7" s="119">
        <f t="shared" si="2"/>
        <v>7.1641869915216671E-5</v>
      </c>
      <c r="N7" s="119">
        <f t="shared" si="2"/>
        <v>7.0774827387212112E-5</v>
      </c>
      <c r="O7" s="119">
        <f t="shared" si="2"/>
        <v>6.9907784859207553E-5</v>
      </c>
      <c r="P7" s="119">
        <f t="shared" si="2"/>
        <v>6.9040742331203007E-5</v>
      </c>
      <c r="Q7" s="119">
        <f t="shared" si="2"/>
        <v>6.8173699803198123E-5</v>
      </c>
      <c r="R7" s="119">
        <f t="shared" si="2"/>
        <v>6.7306657275193564E-5</v>
      </c>
      <c r="S7" s="119">
        <f t="shared" si="2"/>
        <v>6.6439614747189005E-5</v>
      </c>
      <c r="T7" s="119">
        <f t="shared" si="2"/>
        <v>6.5572572219184445E-5</v>
      </c>
      <c r="U7" s="119">
        <f t="shared" si="2"/>
        <v>6.47055296911799E-5</v>
      </c>
      <c r="V7" s="119">
        <f t="shared" si="2"/>
        <v>6.3838487163175341E-5</v>
      </c>
      <c r="W7" s="119">
        <f t="shared" si="2"/>
        <v>6.2971444635170781E-5</v>
      </c>
      <c r="X7" s="119">
        <f t="shared" si="2"/>
        <v>6.2104402107166222E-5</v>
      </c>
      <c r="Y7" s="119">
        <f t="shared" si="2"/>
        <v>6.1237359579161663E-5</v>
      </c>
      <c r="Z7" s="119">
        <f t="shared" si="2"/>
        <v>6.0370317051157097E-5</v>
      </c>
      <c r="AA7" s="119">
        <f t="shared" si="2"/>
        <v>5.9503274523152538E-5</v>
      </c>
    </row>
    <row r="8" spans="1:29" x14ac:dyDescent="0.45">
      <c r="A8" s="1" t="s">
        <v>292</v>
      </c>
      <c r="B8" s="119">
        <f t="shared" ref="B8:AA8" si="3">B5</f>
        <v>8.5784252492381797E-5</v>
      </c>
      <c r="C8" s="119">
        <f t="shared" si="3"/>
        <v>8.4146215222807001E-5</v>
      </c>
      <c r="D8" s="119">
        <f t="shared" si="3"/>
        <v>8.250817795323154E-5</v>
      </c>
      <c r="E8" s="119">
        <f t="shared" si="3"/>
        <v>8.0870140683656717E-5</v>
      </c>
      <c r="F8" s="119">
        <f t="shared" si="3"/>
        <v>7.9232103414081893E-5</v>
      </c>
      <c r="G8" s="119">
        <f t="shared" si="3"/>
        <v>7.759406614450646E-5</v>
      </c>
      <c r="H8" s="119">
        <f t="shared" si="3"/>
        <v>7.5977082555239467E-5</v>
      </c>
      <c r="I8" s="119">
        <f t="shared" si="3"/>
        <v>7.5110040027234908E-5</v>
      </c>
      <c r="J8" s="119">
        <f t="shared" si="3"/>
        <v>7.4242997499230349E-5</v>
      </c>
      <c r="K8" s="119">
        <f t="shared" si="3"/>
        <v>7.337595497122579E-5</v>
      </c>
      <c r="L8" s="119">
        <f t="shared" si="3"/>
        <v>7.2508912443221231E-5</v>
      </c>
      <c r="M8" s="119">
        <f t="shared" si="3"/>
        <v>7.1641869915216671E-5</v>
      </c>
      <c r="N8" s="119">
        <f t="shared" si="3"/>
        <v>7.0774827387212112E-5</v>
      </c>
      <c r="O8" s="119">
        <f t="shared" si="3"/>
        <v>6.9907784859207553E-5</v>
      </c>
      <c r="P8" s="119">
        <f t="shared" si="3"/>
        <v>6.9040742331203007E-5</v>
      </c>
      <c r="Q8" s="119">
        <f t="shared" si="3"/>
        <v>6.8173699803198123E-5</v>
      </c>
      <c r="R8" s="119">
        <f t="shared" si="3"/>
        <v>6.7306657275193564E-5</v>
      </c>
      <c r="S8" s="119">
        <f t="shared" si="3"/>
        <v>6.6439614747189005E-5</v>
      </c>
      <c r="T8" s="119">
        <f t="shared" si="3"/>
        <v>6.5572572219184445E-5</v>
      </c>
      <c r="U8" s="119">
        <f t="shared" si="3"/>
        <v>6.47055296911799E-5</v>
      </c>
      <c r="V8" s="119">
        <f t="shared" si="3"/>
        <v>6.3838487163175341E-5</v>
      </c>
      <c r="W8" s="119">
        <f t="shared" si="3"/>
        <v>6.2971444635170781E-5</v>
      </c>
      <c r="X8" s="119">
        <f t="shared" si="3"/>
        <v>6.2104402107166222E-5</v>
      </c>
      <c r="Y8" s="119">
        <f t="shared" si="3"/>
        <v>6.1237359579161663E-5</v>
      </c>
      <c r="Z8" s="119">
        <f t="shared" si="3"/>
        <v>6.0370317051157097E-5</v>
      </c>
      <c r="AA8" s="119">
        <f t="shared" si="3"/>
        <v>5.9503274523152538E-5</v>
      </c>
    </row>
    <row r="9" spans="1:29" x14ac:dyDescent="0.45">
      <c r="A9" s="1" t="s">
        <v>293</v>
      </c>
      <c r="B9" s="119">
        <f t="shared" ref="B9:AA9" si="4">B5</f>
        <v>8.5784252492381797E-5</v>
      </c>
      <c r="C9" s="119">
        <f t="shared" si="4"/>
        <v>8.4146215222807001E-5</v>
      </c>
      <c r="D9" s="119">
        <f t="shared" si="4"/>
        <v>8.250817795323154E-5</v>
      </c>
      <c r="E9" s="119">
        <f t="shared" si="4"/>
        <v>8.0870140683656717E-5</v>
      </c>
      <c r="F9" s="119">
        <f t="shared" si="4"/>
        <v>7.9232103414081893E-5</v>
      </c>
      <c r="G9" s="119">
        <f t="shared" si="4"/>
        <v>7.759406614450646E-5</v>
      </c>
      <c r="H9" s="119">
        <f t="shared" si="4"/>
        <v>7.5977082555239467E-5</v>
      </c>
      <c r="I9" s="119">
        <f t="shared" si="4"/>
        <v>7.5110040027234908E-5</v>
      </c>
      <c r="J9" s="119">
        <f t="shared" si="4"/>
        <v>7.4242997499230349E-5</v>
      </c>
      <c r="K9" s="119">
        <f t="shared" si="4"/>
        <v>7.337595497122579E-5</v>
      </c>
      <c r="L9" s="119">
        <f t="shared" si="4"/>
        <v>7.2508912443221231E-5</v>
      </c>
      <c r="M9" s="119">
        <f t="shared" si="4"/>
        <v>7.1641869915216671E-5</v>
      </c>
      <c r="N9" s="119">
        <f t="shared" si="4"/>
        <v>7.0774827387212112E-5</v>
      </c>
      <c r="O9" s="119">
        <f t="shared" si="4"/>
        <v>6.9907784859207553E-5</v>
      </c>
      <c r="P9" s="119">
        <f t="shared" si="4"/>
        <v>6.9040742331203007E-5</v>
      </c>
      <c r="Q9" s="119">
        <f t="shared" si="4"/>
        <v>6.8173699803198123E-5</v>
      </c>
      <c r="R9" s="119">
        <f t="shared" si="4"/>
        <v>6.7306657275193564E-5</v>
      </c>
      <c r="S9" s="119">
        <f t="shared" si="4"/>
        <v>6.6439614747189005E-5</v>
      </c>
      <c r="T9" s="119">
        <f t="shared" si="4"/>
        <v>6.5572572219184445E-5</v>
      </c>
      <c r="U9" s="119">
        <f t="shared" si="4"/>
        <v>6.47055296911799E-5</v>
      </c>
      <c r="V9" s="119">
        <f t="shared" si="4"/>
        <v>6.3838487163175341E-5</v>
      </c>
      <c r="W9" s="119">
        <f t="shared" si="4"/>
        <v>6.2971444635170781E-5</v>
      </c>
      <c r="X9" s="119">
        <f t="shared" si="4"/>
        <v>6.2104402107166222E-5</v>
      </c>
      <c r="Y9" s="119">
        <f t="shared" si="4"/>
        <v>6.1237359579161663E-5</v>
      </c>
      <c r="Z9" s="119">
        <f t="shared" si="4"/>
        <v>6.0370317051157097E-5</v>
      </c>
      <c r="AA9" s="119">
        <f t="shared" si="4"/>
        <v>5.9503274523152538E-5</v>
      </c>
    </row>
    <row r="10" spans="1:29" x14ac:dyDescent="0.45">
      <c r="A10" s="1" t="s">
        <v>294</v>
      </c>
      <c r="B10" s="119">
        <f t="shared" ref="B10:AA10" si="5">B4</f>
        <v>1.0056992140363913E-4</v>
      </c>
      <c r="C10" s="119">
        <f t="shared" si="5"/>
        <v>9.8915177163543138E-5</v>
      </c>
      <c r="D10" s="119">
        <f t="shared" si="5"/>
        <v>9.7260432923446482E-5</v>
      </c>
      <c r="E10" s="119">
        <f t="shared" si="5"/>
        <v>9.5605688683350463E-5</v>
      </c>
      <c r="F10" s="119">
        <f t="shared" si="5"/>
        <v>9.3950944443254431E-5</v>
      </c>
      <c r="G10" s="119">
        <f t="shared" si="5"/>
        <v>9.2296200203157816E-5</v>
      </c>
      <c r="H10" s="119">
        <f t="shared" si="5"/>
        <v>9.0679216613890823E-5</v>
      </c>
      <c r="I10" s="119">
        <f t="shared" si="5"/>
        <v>8.9812174085886264E-5</v>
      </c>
      <c r="J10" s="119">
        <f t="shared" si="5"/>
        <v>8.8945131557881704E-5</v>
      </c>
      <c r="K10" s="119">
        <f t="shared" si="5"/>
        <v>8.8078089029877145E-5</v>
      </c>
      <c r="L10" s="119">
        <f t="shared" si="5"/>
        <v>8.7211046501872586E-5</v>
      </c>
      <c r="M10" s="119">
        <f t="shared" si="5"/>
        <v>8.6344003973868027E-5</v>
      </c>
      <c r="N10" s="119">
        <f t="shared" si="5"/>
        <v>8.5476961445863468E-5</v>
      </c>
      <c r="O10" s="119">
        <f t="shared" si="5"/>
        <v>8.4609918917858909E-5</v>
      </c>
      <c r="P10" s="119">
        <f t="shared" si="5"/>
        <v>8.3742876389854363E-5</v>
      </c>
      <c r="Q10" s="119">
        <f t="shared" si="5"/>
        <v>8.2875833861849478E-5</v>
      </c>
      <c r="R10" s="119">
        <f t="shared" si="5"/>
        <v>8.2008791333844919E-5</v>
      </c>
      <c r="S10" s="119">
        <f t="shared" si="5"/>
        <v>8.114174880584036E-5</v>
      </c>
      <c r="T10" s="119">
        <f t="shared" si="5"/>
        <v>8.0274706277835801E-5</v>
      </c>
      <c r="U10" s="119">
        <f t="shared" si="5"/>
        <v>7.9407663749831255E-5</v>
      </c>
      <c r="V10" s="119">
        <f t="shared" si="5"/>
        <v>7.8540621221826696E-5</v>
      </c>
      <c r="W10" s="119">
        <f t="shared" si="5"/>
        <v>7.7673578693822137E-5</v>
      </c>
      <c r="X10" s="119">
        <f t="shared" si="5"/>
        <v>7.6806536165817578E-5</v>
      </c>
      <c r="Y10" s="119">
        <f t="shared" si="5"/>
        <v>7.5939493637813019E-5</v>
      </c>
      <c r="Z10" s="119">
        <f t="shared" si="5"/>
        <v>7.5072451109808459E-5</v>
      </c>
      <c r="AA10" s="119">
        <f t="shared" si="5"/>
        <v>7.42054085818039E-5</v>
      </c>
    </row>
    <row r="11" spans="1:29" x14ac:dyDescent="0.45">
      <c r="A11" s="1" t="s">
        <v>295</v>
      </c>
      <c r="B11" s="119">
        <f t="shared" ref="B11:AA11" si="6">B4</f>
        <v>1.0056992140363913E-4</v>
      </c>
      <c r="C11" s="119">
        <f t="shared" si="6"/>
        <v>9.8915177163543138E-5</v>
      </c>
      <c r="D11" s="119">
        <f t="shared" si="6"/>
        <v>9.7260432923446482E-5</v>
      </c>
      <c r="E11" s="119">
        <f t="shared" si="6"/>
        <v>9.5605688683350463E-5</v>
      </c>
      <c r="F11" s="119">
        <f t="shared" si="6"/>
        <v>9.3950944443254431E-5</v>
      </c>
      <c r="G11" s="119">
        <f t="shared" si="6"/>
        <v>9.2296200203157816E-5</v>
      </c>
      <c r="H11" s="119">
        <f t="shared" si="6"/>
        <v>9.0679216613890823E-5</v>
      </c>
      <c r="I11" s="119">
        <f t="shared" si="6"/>
        <v>8.9812174085886264E-5</v>
      </c>
      <c r="J11" s="119">
        <f t="shared" si="6"/>
        <v>8.8945131557881704E-5</v>
      </c>
      <c r="K11" s="119">
        <f t="shared" si="6"/>
        <v>8.8078089029877145E-5</v>
      </c>
      <c r="L11" s="119">
        <f t="shared" si="6"/>
        <v>8.7211046501872586E-5</v>
      </c>
      <c r="M11" s="119">
        <f t="shared" si="6"/>
        <v>8.6344003973868027E-5</v>
      </c>
      <c r="N11" s="119">
        <f t="shared" si="6"/>
        <v>8.5476961445863468E-5</v>
      </c>
      <c r="O11" s="119">
        <f t="shared" si="6"/>
        <v>8.4609918917858909E-5</v>
      </c>
      <c r="P11" s="119">
        <f t="shared" si="6"/>
        <v>8.3742876389854363E-5</v>
      </c>
      <c r="Q11" s="119">
        <f t="shared" si="6"/>
        <v>8.2875833861849478E-5</v>
      </c>
      <c r="R11" s="119">
        <f t="shared" si="6"/>
        <v>8.2008791333844919E-5</v>
      </c>
      <c r="S11" s="119">
        <f t="shared" si="6"/>
        <v>8.114174880584036E-5</v>
      </c>
      <c r="T11" s="119">
        <f t="shared" si="6"/>
        <v>8.0274706277835801E-5</v>
      </c>
      <c r="U11" s="119">
        <f t="shared" si="6"/>
        <v>7.9407663749831255E-5</v>
      </c>
      <c r="V11" s="119">
        <f t="shared" si="6"/>
        <v>7.8540621221826696E-5</v>
      </c>
      <c r="W11" s="119">
        <f t="shared" si="6"/>
        <v>7.7673578693822137E-5</v>
      </c>
      <c r="X11" s="119">
        <f t="shared" si="6"/>
        <v>7.6806536165817578E-5</v>
      </c>
      <c r="Y11" s="119">
        <f t="shared" si="6"/>
        <v>7.5939493637813019E-5</v>
      </c>
      <c r="Z11" s="119">
        <f t="shared" si="6"/>
        <v>7.5072451109808459E-5</v>
      </c>
      <c r="AA11" s="119">
        <f t="shared" si="6"/>
        <v>7.42054085818039E-5</v>
      </c>
    </row>
  </sheetData>
  <pageMargins left="0.7" right="0.7" top="0.75" bottom="0.75" header="0.3" footer="0.3"/>
  <pageSetup orientation="portrait" horizontalDpi="1200" verticalDpi="12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8" tint="-0.249977111117893"/>
  </sheetPr>
  <dimension ref="A1:AC11"/>
  <sheetViews>
    <sheetView zoomScaleNormal="100" workbookViewId="0">
      <selection activeCell="B1" sqref="B1:B1048576"/>
    </sheetView>
  </sheetViews>
  <sheetFormatPr defaultRowHeight="14.25" x14ac:dyDescent="0.45"/>
  <cols>
    <col min="1" max="1" width="29.86328125" customWidth="1"/>
    <col min="2" max="27" width="10" customWidth="1"/>
  </cols>
  <sheetData>
    <row r="1" spans="1:29" x14ac:dyDescent="0.45">
      <c r="A1" s="121" t="s">
        <v>287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/>
      <c r="AC1" s="1"/>
    </row>
    <row r="2" spans="1:29" x14ac:dyDescent="0.45">
      <c r="A2" s="1" t="s">
        <v>288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C2" s="118"/>
    </row>
    <row r="3" spans="1:29" x14ac:dyDescent="0.45">
      <c r="A3" s="1" t="s">
        <v>289</v>
      </c>
      <c r="B3" s="119">
        <f t="shared" ref="B3:AA3" si="0">B4</f>
        <v>1.0848438422694745E-4</v>
      </c>
      <c r="C3" s="119">
        <f t="shared" si="0"/>
        <v>1.0672879333588274E-4</v>
      </c>
      <c r="D3" s="119">
        <f t="shared" si="0"/>
        <v>1.0497320244481846E-4</v>
      </c>
      <c r="E3" s="119">
        <f t="shared" si="0"/>
        <v>1.0321761155375376E-4</v>
      </c>
      <c r="F3" s="119">
        <f t="shared" si="0"/>
        <v>1.0146202066268909E-4</v>
      </c>
      <c r="G3" s="119">
        <f t="shared" si="0"/>
        <v>9.9706429771624386E-5</v>
      </c>
      <c r="H3" s="119">
        <f t="shared" si="0"/>
        <v>9.787675384368551E-5</v>
      </c>
      <c r="I3" s="119">
        <f t="shared" si="0"/>
        <v>9.6503497069768613E-5</v>
      </c>
      <c r="J3" s="119">
        <f t="shared" si="0"/>
        <v>9.513024029585211E-5</v>
      </c>
      <c r="K3" s="119">
        <f t="shared" si="0"/>
        <v>9.3756983521935228E-5</v>
      </c>
      <c r="L3" s="119">
        <f t="shared" si="0"/>
        <v>9.2383726748018305E-5</v>
      </c>
      <c r="M3" s="119">
        <f t="shared" si="0"/>
        <v>9.1010469974101802E-5</v>
      </c>
      <c r="N3" s="119">
        <f t="shared" si="0"/>
        <v>8.9637213200184919E-5</v>
      </c>
      <c r="O3" s="119">
        <f t="shared" si="0"/>
        <v>8.8263956426267996E-5</v>
      </c>
      <c r="P3" s="119">
        <f t="shared" si="0"/>
        <v>8.6890699652351493E-5</v>
      </c>
      <c r="Q3" s="119">
        <f t="shared" si="0"/>
        <v>8.551744287843461E-5</v>
      </c>
      <c r="R3" s="119">
        <f t="shared" si="0"/>
        <v>8.4144186104517714E-5</v>
      </c>
      <c r="S3" s="119">
        <f t="shared" si="0"/>
        <v>8.2770929330601211E-5</v>
      </c>
      <c r="T3" s="119">
        <f t="shared" si="0"/>
        <v>8.1397672556684302E-5</v>
      </c>
      <c r="U3" s="119">
        <f t="shared" si="0"/>
        <v>8.0024415782767799E-5</v>
      </c>
      <c r="V3" s="119">
        <f t="shared" si="0"/>
        <v>7.8651159008850903E-5</v>
      </c>
      <c r="W3" s="119">
        <f t="shared" si="0"/>
        <v>7.727790223493402E-5</v>
      </c>
      <c r="X3" s="119">
        <f t="shared" si="0"/>
        <v>7.590464546101749E-5</v>
      </c>
      <c r="Y3" s="119">
        <f t="shared" si="0"/>
        <v>7.4531388687100594E-5</v>
      </c>
      <c r="Z3" s="119">
        <f t="shared" si="0"/>
        <v>7.3158131913183711E-5</v>
      </c>
      <c r="AA3" s="119">
        <f t="shared" si="0"/>
        <v>7.1784875139267208E-5</v>
      </c>
    </row>
    <row r="4" spans="1:29" x14ac:dyDescent="0.45">
      <c r="A4" s="1" t="s">
        <v>264</v>
      </c>
      <c r="B4" s="104">
        <f>Calculations!G78</f>
        <v>1.0848438422694745E-4</v>
      </c>
      <c r="C4" s="104">
        <f>Calculations!H78</f>
        <v>1.0672879333588274E-4</v>
      </c>
      <c r="D4" s="104">
        <f>Calculations!I78</f>
        <v>1.0497320244481846E-4</v>
      </c>
      <c r="E4" s="104">
        <f>Calculations!J78</f>
        <v>1.0321761155375376E-4</v>
      </c>
      <c r="F4" s="104">
        <f>Calculations!K78</f>
        <v>1.0146202066268909E-4</v>
      </c>
      <c r="G4" s="104">
        <f>Calculations!L78</f>
        <v>9.9706429771624386E-5</v>
      </c>
      <c r="H4" s="104">
        <f>Calculations!M78</f>
        <v>9.787675384368551E-5</v>
      </c>
      <c r="I4" s="104">
        <f>Calculations!N78</f>
        <v>9.6503497069768613E-5</v>
      </c>
      <c r="J4" s="104">
        <f>Calculations!O78</f>
        <v>9.513024029585211E-5</v>
      </c>
      <c r="K4" s="104">
        <f>Calculations!P78</f>
        <v>9.3756983521935228E-5</v>
      </c>
      <c r="L4" s="104">
        <f>Calculations!Q78</f>
        <v>9.2383726748018305E-5</v>
      </c>
      <c r="M4" s="104">
        <f>Calculations!R78</f>
        <v>9.1010469974101802E-5</v>
      </c>
      <c r="N4" s="104">
        <f>Calculations!S78</f>
        <v>8.9637213200184919E-5</v>
      </c>
      <c r="O4" s="104">
        <f>Calculations!T78</f>
        <v>8.8263956426267996E-5</v>
      </c>
      <c r="P4" s="104">
        <f>Calculations!U78</f>
        <v>8.6890699652351493E-5</v>
      </c>
      <c r="Q4" s="104">
        <f>Calculations!V78</f>
        <v>8.551744287843461E-5</v>
      </c>
      <c r="R4" s="104">
        <f>Calculations!W78</f>
        <v>8.4144186104517714E-5</v>
      </c>
      <c r="S4" s="104">
        <f>Calculations!X78</f>
        <v>8.2770929330601211E-5</v>
      </c>
      <c r="T4" s="104">
        <f>Calculations!Y78</f>
        <v>8.1397672556684302E-5</v>
      </c>
      <c r="U4" s="104">
        <f>Calculations!Z78</f>
        <v>8.0024415782767799E-5</v>
      </c>
      <c r="V4" s="104">
        <f>Calculations!AA78</f>
        <v>7.8651159008850903E-5</v>
      </c>
      <c r="W4" s="104">
        <f>Calculations!AB78</f>
        <v>7.727790223493402E-5</v>
      </c>
      <c r="X4" s="104">
        <f>Calculations!AC78</f>
        <v>7.590464546101749E-5</v>
      </c>
      <c r="Y4" s="104">
        <f>Calculations!AD78</f>
        <v>7.4531388687100594E-5</v>
      </c>
      <c r="Z4" s="104">
        <f>Calculations!AE78</f>
        <v>7.3158131913183711E-5</v>
      </c>
      <c r="AA4" s="104">
        <f>Calculations!AF78</f>
        <v>7.1784875139267208E-5</v>
      </c>
    </row>
    <row r="5" spans="1:29" x14ac:dyDescent="0.45">
      <c r="A5" s="1" t="s">
        <v>290</v>
      </c>
      <c r="B5" s="104">
        <f>Calculations!G79</f>
        <v>1.0939924338055294E-4</v>
      </c>
      <c r="C5" s="104">
        <f>Calculations!H79</f>
        <v>1.0764365248948823E-4</v>
      </c>
      <c r="D5" s="104">
        <f>Calculations!I79</f>
        <v>1.0588806159842395E-4</v>
      </c>
      <c r="E5" s="104">
        <f>Calculations!J79</f>
        <v>1.0413247070735926E-4</v>
      </c>
      <c r="F5" s="104">
        <f>Calculations!K79</f>
        <v>1.0237687981629459E-4</v>
      </c>
      <c r="G5" s="104">
        <f>Calculations!L79</f>
        <v>1.0062128892522989E-4</v>
      </c>
      <c r="H5" s="104">
        <f>Calculations!M79</f>
        <v>9.8791612997290999E-5</v>
      </c>
      <c r="I5" s="104">
        <f>Calculations!N79</f>
        <v>9.7418356223374103E-5</v>
      </c>
      <c r="J5" s="104">
        <f>Calculations!O79</f>
        <v>9.6045099449457613E-5</v>
      </c>
      <c r="K5" s="104">
        <f>Calculations!P79</f>
        <v>9.4671842675540717E-5</v>
      </c>
      <c r="L5" s="104">
        <f>Calculations!Q79</f>
        <v>9.3298585901623808E-5</v>
      </c>
      <c r="M5" s="104">
        <f>Calculations!R79</f>
        <v>9.1925329127707305E-5</v>
      </c>
      <c r="N5" s="104">
        <f>Calculations!S79</f>
        <v>9.0552072353790409E-5</v>
      </c>
      <c r="O5" s="104">
        <f>Calculations!T79</f>
        <v>8.9178815579873499E-5</v>
      </c>
      <c r="P5" s="104">
        <f>Calculations!U79</f>
        <v>8.7805558805956996E-5</v>
      </c>
      <c r="Q5" s="104">
        <f>Calculations!V79</f>
        <v>8.64323020320401E-5</v>
      </c>
      <c r="R5" s="104">
        <f>Calculations!W79</f>
        <v>8.5059045258123217E-5</v>
      </c>
      <c r="S5" s="104">
        <f>Calculations!X79</f>
        <v>8.3685788484206714E-5</v>
      </c>
      <c r="T5" s="104">
        <f>Calculations!Y79</f>
        <v>8.2312531710289791E-5</v>
      </c>
      <c r="U5" s="104">
        <f>Calculations!Z79</f>
        <v>8.0939274936373288E-5</v>
      </c>
      <c r="V5" s="104">
        <f>Calculations!AA79</f>
        <v>7.9566018162456406E-5</v>
      </c>
      <c r="W5" s="104">
        <f>Calculations!AB79</f>
        <v>7.819276138853951E-5</v>
      </c>
      <c r="X5" s="104">
        <f>Calculations!AC79</f>
        <v>7.681950461462298E-5</v>
      </c>
      <c r="Y5" s="104">
        <f>Calculations!AD79</f>
        <v>7.5446247840706097E-5</v>
      </c>
      <c r="Z5" s="104">
        <f>Calculations!AE79</f>
        <v>7.4072991066789201E-5</v>
      </c>
      <c r="AA5" s="104">
        <f>Calculations!AF79</f>
        <v>7.2699734292872698E-5</v>
      </c>
    </row>
    <row r="6" spans="1:29" x14ac:dyDescent="0.45">
      <c r="A6" s="1" t="s">
        <v>291</v>
      </c>
      <c r="B6" s="119">
        <f t="shared" ref="B6:AA6" si="1">B4</f>
        <v>1.0848438422694745E-4</v>
      </c>
      <c r="C6" s="119">
        <f t="shared" si="1"/>
        <v>1.0672879333588274E-4</v>
      </c>
      <c r="D6" s="119">
        <f t="shared" si="1"/>
        <v>1.0497320244481846E-4</v>
      </c>
      <c r="E6" s="119">
        <f t="shared" si="1"/>
        <v>1.0321761155375376E-4</v>
      </c>
      <c r="F6" s="119">
        <f t="shared" si="1"/>
        <v>1.0146202066268909E-4</v>
      </c>
      <c r="G6" s="119">
        <f t="shared" si="1"/>
        <v>9.9706429771624386E-5</v>
      </c>
      <c r="H6" s="119">
        <f t="shared" si="1"/>
        <v>9.787675384368551E-5</v>
      </c>
      <c r="I6" s="119">
        <f t="shared" si="1"/>
        <v>9.6503497069768613E-5</v>
      </c>
      <c r="J6" s="119">
        <f t="shared" si="1"/>
        <v>9.513024029585211E-5</v>
      </c>
      <c r="K6" s="119">
        <f t="shared" si="1"/>
        <v>9.3756983521935228E-5</v>
      </c>
      <c r="L6" s="119">
        <f t="shared" si="1"/>
        <v>9.2383726748018305E-5</v>
      </c>
      <c r="M6" s="119">
        <f t="shared" si="1"/>
        <v>9.1010469974101802E-5</v>
      </c>
      <c r="N6" s="119">
        <f t="shared" si="1"/>
        <v>8.9637213200184919E-5</v>
      </c>
      <c r="O6" s="119">
        <f t="shared" si="1"/>
        <v>8.8263956426267996E-5</v>
      </c>
      <c r="P6" s="119">
        <f t="shared" si="1"/>
        <v>8.6890699652351493E-5</v>
      </c>
      <c r="Q6" s="119">
        <f t="shared" si="1"/>
        <v>8.551744287843461E-5</v>
      </c>
      <c r="R6" s="119">
        <f t="shared" si="1"/>
        <v>8.4144186104517714E-5</v>
      </c>
      <c r="S6" s="119">
        <f t="shared" si="1"/>
        <v>8.2770929330601211E-5</v>
      </c>
      <c r="T6" s="119">
        <f t="shared" si="1"/>
        <v>8.1397672556684302E-5</v>
      </c>
      <c r="U6" s="119">
        <f t="shared" si="1"/>
        <v>8.0024415782767799E-5</v>
      </c>
      <c r="V6" s="119">
        <f t="shared" si="1"/>
        <v>7.8651159008850903E-5</v>
      </c>
      <c r="W6" s="119">
        <f t="shared" si="1"/>
        <v>7.727790223493402E-5</v>
      </c>
      <c r="X6" s="119">
        <f t="shared" si="1"/>
        <v>7.590464546101749E-5</v>
      </c>
      <c r="Y6" s="119">
        <f t="shared" si="1"/>
        <v>7.4531388687100594E-5</v>
      </c>
      <c r="Z6" s="119">
        <f t="shared" si="1"/>
        <v>7.3158131913183711E-5</v>
      </c>
      <c r="AA6" s="119">
        <f t="shared" si="1"/>
        <v>7.1784875139267208E-5</v>
      </c>
    </row>
    <row r="7" spans="1:29" x14ac:dyDescent="0.45">
      <c r="A7" s="1" t="s">
        <v>266</v>
      </c>
      <c r="B7" s="119">
        <f t="shared" ref="B7:AA7" si="2">B5</f>
        <v>1.0939924338055294E-4</v>
      </c>
      <c r="C7" s="119">
        <f t="shared" si="2"/>
        <v>1.0764365248948823E-4</v>
      </c>
      <c r="D7" s="119">
        <f t="shared" si="2"/>
        <v>1.0588806159842395E-4</v>
      </c>
      <c r="E7" s="119">
        <f t="shared" si="2"/>
        <v>1.0413247070735926E-4</v>
      </c>
      <c r="F7" s="119">
        <f t="shared" si="2"/>
        <v>1.0237687981629459E-4</v>
      </c>
      <c r="G7" s="119">
        <f t="shared" si="2"/>
        <v>1.0062128892522989E-4</v>
      </c>
      <c r="H7" s="119">
        <f t="shared" si="2"/>
        <v>9.8791612997290999E-5</v>
      </c>
      <c r="I7" s="119">
        <f t="shared" si="2"/>
        <v>9.7418356223374103E-5</v>
      </c>
      <c r="J7" s="119">
        <f t="shared" si="2"/>
        <v>9.6045099449457613E-5</v>
      </c>
      <c r="K7" s="119">
        <f t="shared" si="2"/>
        <v>9.4671842675540717E-5</v>
      </c>
      <c r="L7" s="119">
        <f t="shared" si="2"/>
        <v>9.3298585901623808E-5</v>
      </c>
      <c r="M7" s="119">
        <f t="shared" si="2"/>
        <v>9.1925329127707305E-5</v>
      </c>
      <c r="N7" s="119">
        <f t="shared" si="2"/>
        <v>9.0552072353790409E-5</v>
      </c>
      <c r="O7" s="119">
        <f t="shared" si="2"/>
        <v>8.9178815579873499E-5</v>
      </c>
      <c r="P7" s="119">
        <f t="shared" si="2"/>
        <v>8.7805558805956996E-5</v>
      </c>
      <c r="Q7" s="119">
        <f t="shared" si="2"/>
        <v>8.64323020320401E-5</v>
      </c>
      <c r="R7" s="119">
        <f t="shared" si="2"/>
        <v>8.5059045258123217E-5</v>
      </c>
      <c r="S7" s="119">
        <f t="shared" si="2"/>
        <v>8.3685788484206714E-5</v>
      </c>
      <c r="T7" s="119">
        <f t="shared" si="2"/>
        <v>8.2312531710289791E-5</v>
      </c>
      <c r="U7" s="119">
        <f t="shared" si="2"/>
        <v>8.0939274936373288E-5</v>
      </c>
      <c r="V7" s="119">
        <f t="shared" si="2"/>
        <v>7.9566018162456406E-5</v>
      </c>
      <c r="W7" s="119">
        <f t="shared" si="2"/>
        <v>7.819276138853951E-5</v>
      </c>
      <c r="X7" s="119">
        <f t="shared" si="2"/>
        <v>7.681950461462298E-5</v>
      </c>
      <c r="Y7" s="119">
        <f t="shared" si="2"/>
        <v>7.5446247840706097E-5</v>
      </c>
      <c r="Z7" s="119">
        <f t="shared" si="2"/>
        <v>7.4072991066789201E-5</v>
      </c>
      <c r="AA7" s="119">
        <f t="shared" si="2"/>
        <v>7.2699734292872698E-5</v>
      </c>
    </row>
    <row r="8" spans="1:29" x14ac:dyDescent="0.45">
      <c r="A8" s="1" t="s">
        <v>292</v>
      </c>
      <c r="B8" s="119">
        <f t="shared" ref="B8:AA8" si="3">B5</f>
        <v>1.0939924338055294E-4</v>
      </c>
      <c r="C8" s="119">
        <f t="shared" si="3"/>
        <v>1.0764365248948823E-4</v>
      </c>
      <c r="D8" s="119">
        <f t="shared" si="3"/>
        <v>1.0588806159842395E-4</v>
      </c>
      <c r="E8" s="119">
        <f t="shared" si="3"/>
        <v>1.0413247070735926E-4</v>
      </c>
      <c r="F8" s="119">
        <f t="shared" si="3"/>
        <v>1.0237687981629459E-4</v>
      </c>
      <c r="G8" s="119">
        <f t="shared" si="3"/>
        <v>1.0062128892522989E-4</v>
      </c>
      <c r="H8" s="119">
        <f t="shared" si="3"/>
        <v>9.8791612997290999E-5</v>
      </c>
      <c r="I8" s="119">
        <f t="shared" si="3"/>
        <v>9.7418356223374103E-5</v>
      </c>
      <c r="J8" s="119">
        <f t="shared" si="3"/>
        <v>9.6045099449457613E-5</v>
      </c>
      <c r="K8" s="119">
        <f t="shared" si="3"/>
        <v>9.4671842675540717E-5</v>
      </c>
      <c r="L8" s="119">
        <f t="shared" si="3"/>
        <v>9.3298585901623808E-5</v>
      </c>
      <c r="M8" s="119">
        <f t="shared" si="3"/>
        <v>9.1925329127707305E-5</v>
      </c>
      <c r="N8" s="119">
        <f t="shared" si="3"/>
        <v>9.0552072353790409E-5</v>
      </c>
      <c r="O8" s="119">
        <f t="shared" si="3"/>
        <v>8.9178815579873499E-5</v>
      </c>
      <c r="P8" s="119">
        <f t="shared" si="3"/>
        <v>8.7805558805956996E-5</v>
      </c>
      <c r="Q8" s="119">
        <f t="shared" si="3"/>
        <v>8.64323020320401E-5</v>
      </c>
      <c r="R8" s="119">
        <f t="shared" si="3"/>
        <v>8.5059045258123217E-5</v>
      </c>
      <c r="S8" s="119">
        <f t="shared" si="3"/>
        <v>8.3685788484206714E-5</v>
      </c>
      <c r="T8" s="119">
        <f t="shared" si="3"/>
        <v>8.2312531710289791E-5</v>
      </c>
      <c r="U8" s="119">
        <f t="shared" si="3"/>
        <v>8.0939274936373288E-5</v>
      </c>
      <c r="V8" s="119">
        <f t="shared" si="3"/>
        <v>7.9566018162456406E-5</v>
      </c>
      <c r="W8" s="119">
        <f t="shared" si="3"/>
        <v>7.819276138853951E-5</v>
      </c>
      <c r="X8" s="119">
        <f t="shared" si="3"/>
        <v>7.681950461462298E-5</v>
      </c>
      <c r="Y8" s="119">
        <f t="shared" si="3"/>
        <v>7.5446247840706097E-5</v>
      </c>
      <c r="Z8" s="119">
        <f t="shared" si="3"/>
        <v>7.4072991066789201E-5</v>
      </c>
      <c r="AA8" s="119">
        <f t="shared" si="3"/>
        <v>7.2699734292872698E-5</v>
      </c>
    </row>
    <row r="9" spans="1:29" x14ac:dyDescent="0.45">
      <c r="A9" s="1" t="s">
        <v>293</v>
      </c>
      <c r="B9" s="119">
        <f t="shared" ref="B9:AA9" si="4">B5</f>
        <v>1.0939924338055294E-4</v>
      </c>
      <c r="C9" s="119">
        <f t="shared" si="4"/>
        <v>1.0764365248948823E-4</v>
      </c>
      <c r="D9" s="119">
        <f t="shared" si="4"/>
        <v>1.0588806159842395E-4</v>
      </c>
      <c r="E9" s="119">
        <f t="shared" si="4"/>
        <v>1.0413247070735926E-4</v>
      </c>
      <c r="F9" s="119">
        <f t="shared" si="4"/>
        <v>1.0237687981629459E-4</v>
      </c>
      <c r="G9" s="119">
        <f t="shared" si="4"/>
        <v>1.0062128892522989E-4</v>
      </c>
      <c r="H9" s="119">
        <f t="shared" si="4"/>
        <v>9.8791612997290999E-5</v>
      </c>
      <c r="I9" s="119">
        <f t="shared" si="4"/>
        <v>9.7418356223374103E-5</v>
      </c>
      <c r="J9" s="119">
        <f t="shared" si="4"/>
        <v>9.6045099449457613E-5</v>
      </c>
      <c r="K9" s="119">
        <f t="shared" si="4"/>
        <v>9.4671842675540717E-5</v>
      </c>
      <c r="L9" s="119">
        <f t="shared" si="4"/>
        <v>9.3298585901623808E-5</v>
      </c>
      <c r="M9" s="119">
        <f t="shared" si="4"/>
        <v>9.1925329127707305E-5</v>
      </c>
      <c r="N9" s="119">
        <f t="shared" si="4"/>
        <v>9.0552072353790409E-5</v>
      </c>
      <c r="O9" s="119">
        <f t="shared" si="4"/>
        <v>8.9178815579873499E-5</v>
      </c>
      <c r="P9" s="119">
        <f t="shared" si="4"/>
        <v>8.7805558805956996E-5</v>
      </c>
      <c r="Q9" s="119">
        <f t="shared" si="4"/>
        <v>8.64323020320401E-5</v>
      </c>
      <c r="R9" s="119">
        <f t="shared" si="4"/>
        <v>8.5059045258123217E-5</v>
      </c>
      <c r="S9" s="119">
        <f t="shared" si="4"/>
        <v>8.3685788484206714E-5</v>
      </c>
      <c r="T9" s="119">
        <f t="shared" si="4"/>
        <v>8.2312531710289791E-5</v>
      </c>
      <c r="U9" s="119">
        <f t="shared" si="4"/>
        <v>8.0939274936373288E-5</v>
      </c>
      <c r="V9" s="119">
        <f t="shared" si="4"/>
        <v>7.9566018162456406E-5</v>
      </c>
      <c r="W9" s="119">
        <f t="shared" si="4"/>
        <v>7.819276138853951E-5</v>
      </c>
      <c r="X9" s="119">
        <f t="shared" si="4"/>
        <v>7.681950461462298E-5</v>
      </c>
      <c r="Y9" s="119">
        <f t="shared" si="4"/>
        <v>7.5446247840706097E-5</v>
      </c>
      <c r="Z9" s="119">
        <f t="shared" si="4"/>
        <v>7.4072991066789201E-5</v>
      </c>
      <c r="AA9" s="119">
        <f t="shared" si="4"/>
        <v>7.2699734292872698E-5</v>
      </c>
    </row>
    <row r="10" spans="1:29" x14ac:dyDescent="0.45">
      <c r="A10" s="1" t="s">
        <v>294</v>
      </c>
      <c r="B10" s="119">
        <f t="shared" ref="B10:AA10" si="5">B4</f>
        <v>1.0848438422694745E-4</v>
      </c>
      <c r="C10" s="119">
        <f t="shared" si="5"/>
        <v>1.0672879333588274E-4</v>
      </c>
      <c r="D10" s="119">
        <f t="shared" si="5"/>
        <v>1.0497320244481846E-4</v>
      </c>
      <c r="E10" s="119">
        <f t="shared" si="5"/>
        <v>1.0321761155375376E-4</v>
      </c>
      <c r="F10" s="119">
        <f t="shared" si="5"/>
        <v>1.0146202066268909E-4</v>
      </c>
      <c r="G10" s="119">
        <f t="shared" si="5"/>
        <v>9.9706429771624386E-5</v>
      </c>
      <c r="H10" s="119">
        <f t="shared" si="5"/>
        <v>9.787675384368551E-5</v>
      </c>
      <c r="I10" s="119">
        <f t="shared" si="5"/>
        <v>9.6503497069768613E-5</v>
      </c>
      <c r="J10" s="119">
        <f t="shared" si="5"/>
        <v>9.513024029585211E-5</v>
      </c>
      <c r="K10" s="119">
        <f t="shared" si="5"/>
        <v>9.3756983521935228E-5</v>
      </c>
      <c r="L10" s="119">
        <f t="shared" si="5"/>
        <v>9.2383726748018305E-5</v>
      </c>
      <c r="M10" s="119">
        <f t="shared" si="5"/>
        <v>9.1010469974101802E-5</v>
      </c>
      <c r="N10" s="119">
        <f t="shared" si="5"/>
        <v>8.9637213200184919E-5</v>
      </c>
      <c r="O10" s="119">
        <f t="shared" si="5"/>
        <v>8.8263956426267996E-5</v>
      </c>
      <c r="P10" s="119">
        <f t="shared" si="5"/>
        <v>8.6890699652351493E-5</v>
      </c>
      <c r="Q10" s="119">
        <f t="shared" si="5"/>
        <v>8.551744287843461E-5</v>
      </c>
      <c r="R10" s="119">
        <f t="shared" si="5"/>
        <v>8.4144186104517714E-5</v>
      </c>
      <c r="S10" s="119">
        <f t="shared" si="5"/>
        <v>8.2770929330601211E-5</v>
      </c>
      <c r="T10" s="119">
        <f t="shared" si="5"/>
        <v>8.1397672556684302E-5</v>
      </c>
      <c r="U10" s="119">
        <f t="shared" si="5"/>
        <v>8.0024415782767799E-5</v>
      </c>
      <c r="V10" s="119">
        <f t="shared" si="5"/>
        <v>7.8651159008850903E-5</v>
      </c>
      <c r="W10" s="119">
        <f t="shared" si="5"/>
        <v>7.727790223493402E-5</v>
      </c>
      <c r="X10" s="119">
        <f t="shared" si="5"/>
        <v>7.590464546101749E-5</v>
      </c>
      <c r="Y10" s="119">
        <f t="shared" si="5"/>
        <v>7.4531388687100594E-5</v>
      </c>
      <c r="Z10" s="119">
        <f t="shared" si="5"/>
        <v>7.3158131913183711E-5</v>
      </c>
      <c r="AA10" s="119">
        <f t="shared" si="5"/>
        <v>7.1784875139267208E-5</v>
      </c>
    </row>
    <row r="11" spans="1:29" x14ac:dyDescent="0.45">
      <c r="A11" s="1" t="s">
        <v>295</v>
      </c>
      <c r="B11" s="119">
        <f t="shared" ref="B11:AA11" si="6">B4</f>
        <v>1.0848438422694745E-4</v>
      </c>
      <c r="C11" s="119">
        <f t="shared" si="6"/>
        <v>1.0672879333588274E-4</v>
      </c>
      <c r="D11" s="119">
        <f t="shared" si="6"/>
        <v>1.0497320244481846E-4</v>
      </c>
      <c r="E11" s="119">
        <f t="shared" si="6"/>
        <v>1.0321761155375376E-4</v>
      </c>
      <c r="F11" s="119">
        <f t="shared" si="6"/>
        <v>1.0146202066268909E-4</v>
      </c>
      <c r="G11" s="119">
        <f t="shared" si="6"/>
        <v>9.9706429771624386E-5</v>
      </c>
      <c r="H11" s="119">
        <f t="shared" si="6"/>
        <v>9.787675384368551E-5</v>
      </c>
      <c r="I11" s="119">
        <f t="shared" si="6"/>
        <v>9.6503497069768613E-5</v>
      </c>
      <c r="J11" s="119">
        <f t="shared" si="6"/>
        <v>9.513024029585211E-5</v>
      </c>
      <c r="K11" s="119">
        <f t="shared" si="6"/>
        <v>9.3756983521935228E-5</v>
      </c>
      <c r="L11" s="119">
        <f t="shared" si="6"/>
        <v>9.2383726748018305E-5</v>
      </c>
      <c r="M11" s="119">
        <f t="shared" si="6"/>
        <v>9.1010469974101802E-5</v>
      </c>
      <c r="N11" s="119">
        <f t="shared" si="6"/>
        <v>8.9637213200184919E-5</v>
      </c>
      <c r="O11" s="119">
        <f t="shared" si="6"/>
        <v>8.8263956426267996E-5</v>
      </c>
      <c r="P11" s="119">
        <f t="shared" si="6"/>
        <v>8.6890699652351493E-5</v>
      </c>
      <c r="Q11" s="119">
        <f t="shared" si="6"/>
        <v>8.551744287843461E-5</v>
      </c>
      <c r="R11" s="119">
        <f t="shared" si="6"/>
        <v>8.4144186104517714E-5</v>
      </c>
      <c r="S11" s="119">
        <f t="shared" si="6"/>
        <v>8.2770929330601211E-5</v>
      </c>
      <c r="T11" s="119">
        <f t="shared" si="6"/>
        <v>8.1397672556684302E-5</v>
      </c>
      <c r="U11" s="119">
        <f t="shared" si="6"/>
        <v>8.0024415782767799E-5</v>
      </c>
      <c r="V11" s="119">
        <f t="shared" si="6"/>
        <v>7.8651159008850903E-5</v>
      </c>
      <c r="W11" s="119">
        <f t="shared" si="6"/>
        <v>7.727790223493402E-5</v>
      </c>
      <c r="X11" s="119">
        <f t="shared" si="6"/>
        <v>7.590464546101749E-5</v>
      </c>
      <c r="Y11" s="119">
        <f t="shared" si="6"/>
        <v>7.4531388687100594E-5</v>
      </c>
      <c r="Z11" s="119">
        <f t="shared" si="6"/>
        <v>7.3158131913183711E-5</v>
      </c>
      <c r="AA11" s="119">
        <f t="shared" si="6"/>
        <v>7.1784875139267208E-5</v>
      </c>
    </row>
  </sheetData>
  <pageMargins left="0.7" right="0.7" top="0.75" bottom="0.75" header="0.3" footer="0.3"/>
  <pageSetup orientation="portrait" horizontalDpi="1200" verticalDpi="12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8" tint="-0.249977111117893"/>
  </sheetPr>
  <dimension ref="A1:AC11"/>
  <sheetViews>
    <sheetView zoomScaleNormal="100" workbookViewId="0">
      <selection activeCell="B1" sqref="B1:B1048576"/>
    </sheetView>
  </sheetViews>
  <sheetFormatPr defaultRowHeight="14.25" x14ac:dyDescent="0.45"/>
  <cols>
    <col min="1" max="1" width="26.265625" customWidth="1"/>
    <col min="2" max="27" width="10" customWidth="1"/>
  </cols>
  <sheetData>
    <row r="1" spans="1:29" x14ac:dyDescent="0.45">
      <c r="A1" s="121" t="s">
        <v>287</v>
      </c>
      <c r="B1" s="1">
        <v>2025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  <c r="AB1" s="1"/>
      <c r="AC1" s="1"/>
    </row>
    <row r="2" spans="1:29" x14ac:dyDescent="0.45">
      <c r="A2" s="1" t="s">
        <v>288</v>
      </c>
      <c r="B2" s="120">
        <v>0</v>
      </c>
      <c r="C2" s="120">
        <v>0</v>
      </c>
      <c r="D2" s="120">
        <v>0</v>
      </c>
      <c r="E2" s="120">
        <v>0</v>
      </c>
      <c r="F2" s="120">
        <v>0</v>
      </c>
      <c r="G2" s="120">
        <v>0</v>
      </c>
      <c r="H2" s="120">
        <v>0</v>
      </c>
      <c r="I2" s="120">
        <v>0</v>
      </c>
      <c r="J2" s="120">
        <v>0</v>
      </c>
      <c r="K2" s="120">
        <v>0</v>
      </c>
      <c r="L2" s="120">
        <v>0</v>
      </c>
      <c r="M2" s="120">
        <v>0</v>
      </c>
      <c r="N2" s="120">
        <v>0</v>
      </c>
      <c r="O2" s="120">
        <v>0</v>
      </c>
      <c r="P2" s="120">
        <v>0</v>
      </c>
      <c r="Q2" s="120">
        <v>0</v>
      </c>
      <c r="R2" s="120">
        <v>0</v>
      </c>
      <c r="S2" s="120">
        <v>0</v>
      </c>
      <c r="T2" s="120">
        <v>0</v>
      </c>
      <c r="U2" s="120">
        <v>0</v>
      </c>
      <c r="V2" s="120">
        <v>0</v>
      </c>
      <c r="W2" s="120">
        <v>0</v>
      </c>
      <c r="X2" s="120">
        <v>0</v>
      </c>
      <c r="Y2" s="120">
        <v>0</v>
      </c>
      <c r="Z2" s="120">
        <v>0</v>
      </c>
      <c r="AA2" s="120">
        <v>0</v>
      </c>
      <c r="AC2" s="118"/>
    </row>
    <row r="3" spans="1:29" x14ac:dyDescent="0.45">
      <c r="A3" s="1" t="s">
        <v>289</v>
      </c>
      <c r="B3" s="119">
        <f t="shared" ref="B3:AA3" si="0">B4</f>
        <v>1.0848438422694745E-4</v>
      </c>
      <c r="C3" s="119">
        <f t="shared" si="0"/>
        <v>1.0672879333588274E-4</v>
      </c>
      <c r="D3" s="119">
        <f t="shared" si="0"/>
        <v>1.0497320244481846E-4</v>
      </c>
      <c r="E3" s="119">
        <f t="shared" si="0"/>
        <v>1.0321761155375376E-4</v>
      </c>
      <c r="F3" s="119">
        <f t="shared" si="0"/>
        <v>1.0146202066268909E-4</v>
      </c>
      <c r="G3" s="119">
        <f t="shared" si="0"/>
        <v>9.9706429771624386E-5</v>
      </c>
      <c r="H3" s="119">
        <f t="shared" si="0"/>
        <v>9.787675384368551E-5</v>
      </c>
      <c r="I3" s="119">
        <f t="shared" si="0"/>
        <v>9.6503497069768613E-5</v>
      </c>
      <c r="J3" s="119">
        <f t="shared" si="0"/>
        <v>9.513024029585211E-5</v>
      </c>
      <c r="K3" s="119">
        <f t="shared" si="0"/>
        <v>9.3756983521935228E-5</v>
      </c>
      <c r="L3" s="119">
        <f t="shared" si="0"/>
        <v>9.2383726748018305E-5</v>
      </c>
      <c r="M3" s="119">
        <f t="shared" si="0"/>
        <v>9.1010469974101802E-5</v>
      </c>
      <c r="N3" s="119">
        <f t="shared" si="0"/>
        <v>8.9637213200184919E-5</v>
      </c>
      <c r="O3" s="119">
        <f t="shared" si="0"/>
        <v>8.8263956426267996E-5</v>
      </c>
      <c r="P3" s="119">
        <f t="shared" si="0"/>
        <v>8.6890699652351493E-5</v>
      </c>
      <c r="Q3" s="119">
        <f t="shared" si="0"/>
        <v>8.551744287843461E-5</v>
      </c>
      <c r="R3" s="119">
        <f t="shared" si="0"/>
        <v>8.4144186104517714E-5</v>
      </c>
      <c r="S3" s="119">
        <f t="shared" si="0"/>
        <v>8.2770929330601211E-5</v>
      </c>
      <c r="T3" s="119">
        <f t="shared" si="0"/>
        <v>8.1397672556684302E-5</v>
      </c>
      <c r="U3" s="119">
        <f t="shared" si="0"/>
        <v>8.0024415782767799E-5</v>
      </c>
      <c r="V3" s="119">
        <f t="shared" si="0"/>
        <v>7.8651159008850903E-5</v>
      </c>
      <c r="W3" s="119">
        <f t="shared" si="0"/>
        <v>7.727790223493402E-5</v>
      </c>
      <c r="X3" s="119">
        <f t="shared" si="0"/>
        <v>7.590464546101749E-5</v>
      </c>
      <c r="Y3" s="119">
        <f t="shared" si="0"/>
        <v>7.4531388687100594E-5</v>
      </c>
      <c r="Z3" s="119">
        <f t="shared" si="0"/>
        <v>7.3158131913183711E-5</v>
      </c>
      <c r="AA3" s="119">
        <f t="shared" si="0"/>
        <v>7.1784875139267208E-5</v>
      </c>
    </row>
    <row r="4" spans="1:29" x14ac:dyDescent="0.45">
      <c r="A4" s="1" t="s">
        <v>264</v>
      </c>
      <c r="B4" s="104">
        <f>Calculations!G78</f>
        <v>1.0848438422694745E-4</v>
      </c>
      <c r="C4" s="104">
        <f>Calculations!H78</f>
        <v>1.0672879333588274E-4</v>
      </c>
      <c r="D4" s="104">
        <f>Calculations!I78</f>
        <v>1.0497320244481846E-4</v>
      </c>
      <c r="E4" s="104">
        <f>Calculations!J78</f>
        <v>1.0321761155375376E-4</v>
      </c>
      <c r="F4" s="104">
        <f>Calculations!K78</f>
        <v>1.0146202066268909E-4</v>
      </c>
      <c r="G4" s="104">
        <f>Calculations!L78</f>
        <v>9.9706429771624386E-5</v>
      </c>
      <c r="H4" s="104">
        <f>Calculations!M78</f>
        <v>9.787675384368551E-5</v>
      </c>
      <c r="I4" s="104">
        <f>Calculations!N78</f>
        <v>9.6503497069768613E-5</v>
      </c>
      <c r="J4" s="104">
        <f>Calculations!O78</f>
        <v>9.513024029585211E-5</v>
      </c>
      <c r="K4" s="104">
        <f>Calculations!P78</f>
        <v>9.3756983521935228E-5</v>
      </c>
      <c r="L4" s="104">
        <f>Calculations!Q78</f>
        <v>9.2383726748018305E-5</v>
      </c>
      <c r="M4" s="104">
        <f>Calculations!R78</f>
        <v>9.1010469974101802E-5</v>
      </c>
      <c r="N4" s="104">
        <f>Calculations!S78</f>
        <v>8.9637213200184919E-5</v>
      </c>
      <c r="O4" s="104">
        <f>Calculations!T78</f>
        <v>8.8263956426267996E-5</v>
      </c>
      <c r="P4" s="104">
        <f>Calculations!U78</f>
        <v>8.6890699652351493E-5</v>
      </c>
      <c r="Q4" s="104">
        <f>Calculations!V78</f>
        <v>8.551744287843461E-5</v>
      </c>
      <c r="R4" s="104">
        <f>Calculations!W78</f>
        <v>8.4144186104517714E-5</v>
      </c>
      <c r="S4" s="104">
        <f>Calculations!X78</f>
        <v>8.2770929330601211E-5</v>
      </c>
      <c r="T4" s="104">
        <f>Calculations!Y78</f>
        <v>8.1397672556684302E-5</v>
      </c>
      <c r="U4" s="104">
        <f>Calculations!Z78</f>
        <v>8.0024415782767799E-5</v>
      </c>
      <c r="V4" s="104">
        <f>Calculations!AA78</f>
        <v>7.8651159008850903E-5</v>
      </c>
      <c r="W4" s="104">
        <f>Calculations!AB78</f>
        <v>7.727790223493402E-5</v>
      </c>
      <c r="X4" s="104">
        <f>Calculations!AC78</f>
        <v>7.590464546101749E-5</v>
      </c>
      <c r="Y4" s="104">
        <f>Calculations!AD78</f>
        <v>7.4531388687100594E-5</v>
      </c>
      <c r="Z4" s="104">
        <f>Calculations!AE78</f>
        <v>7.3158131913183711E-5</v>
      </c>
      <c r="AA4" s="104">
        <f>Calculations!AF78</f>
        <v>7.1784875139267208E-5</v>
      </c>
    </row>
    <row r="5" spans="1:29" x14ac:dyDescent="0.45">
      <c r="A5" s="1" t="s">
        <v>290</v>
      </c>
      <c r="B5" s="104">
        <f>Calculations!G79</f>
        <v>1.0939924338055294E-4</v>
      </c>
      <c r="C5" s="104">
        <f>Calculations!H79</f>
        <v>1.0764365248948823E-4</v>
      </c>
      <c r="D5" s="104">
        <f>Calculations!I79</f>
        <v>1.0588806159842395E-4</v>
      </c>
      <c r="E5" s="104">
        <f>Calculations!J79</f>
        <v>1.0413247070735926E-4</v>
      </c>
      <c r="F5" s="104">
        <f>Calculations!K79</f>
        <v>1.0237687981629459E-4</v>
      </c>
      <c r="G5" s="104">
        <f>Calculations!L79</f>
        <v>1.0062128892522989E-4</v>
      </c>
      <c r="H5" s="104">
        <f>Calculations!M79</f>
        <v>9.8791612997290999E-5</v>
      </c>
      <c r="I5" s="104">
        <f>Calculations!N79</f>
        <v>9.7418356223374103E-5</v>
      </c>
      <c r="J5" s="104">
        <f>Calculations!O79</f>
        <v>9.6045099449457613E-5</v>
      </c>
      <c r="K5" s="104">
        <f>Calculations!P79</f>
        <v>9.4671842675540717E-5</v>
      </c>
      <c r="L5" s="104">
        <f>Calculations!Q79</f>
        <v>9.3298585901623808E-5</v>
      </c>
      <c r="M5" s="104">
        <f>Calculations!R79</f>
        <v>9.1925329127707305E-5</v>
      </c>
      <c r="N5" s="104">
        <f>Calculations!S79</f>
        <v>9.0552072353790409E-5</v>
      </c>
      <c r="O5" s="104">
        <f>Calculations!T79</f>
        <v>8.9178815579873499E-5</v>
      </c>
      <c r="P5" s="104">
        <f>Calculations!U79</f>
        <v>8.7805558805956996E-5</v>
      </c>
      <c r="Q5" s="104">
        <f>Calculations!V79</f>
        <v>8.64323020320401E-5</v>
      </c>
      <c r="R5" s="104">
        <f>Calculations!W79</f>
        <v>8.5059045258123217E-5</v>
      </c>
      <c r="S5" s="104">
        <f>Calculations!X79</f>
        <v>8.3685788484206714E-5</v>
      </c>
      <c r="T5" s="104">
        <f>Calculations!Y79</f>
        <v>8.2312531710289791E-5</v>
      </c>
      <c r="U5" s="104">
        <f>Calculations!Z79</f>
        <v>8.0939274936373288E-5</v>
      </c>
      <c r="V5" s="104">
        <f>Calculations!AA79</f>
        <v>7.9566018162456406E-5</v>
      </c>
      <c r="W5" s="104">
        <f>Calculations!AB79</f>
        <v>7.819276138853951E-5</v>
      </c>
      <c r="X5" s="104">
        <f>Calculations!AC79</f>
        <v>7.681950461462298E-5</v>
      </c>
      <c r="Y5" s="104">
        <f>Calculations!AD79</f>
        <v>7.5446247840706097E-5</v>
      </c>
      <c r="Z5" s="104">
        <f>Calculations!AE79</f>
        <v>7.4072991066789201E-5</v>
      </c>
      <c r="AA5" s="104">
        <f>Calculations!AF79</f>
        <v>7.2699734292872698E-5</v>
      </c>
    </row>
    <row r="6" spans="1:29" x14ac:dyDescent="0.45">
      <c r="A6" s="1" t="s">
        <v>291</v>
      </c>
      <c r="B6" s="119">
        <f t="shared" ref="B6:AA6" si="1">B4</f>
        <v>1.0848438422694745E-4</v>
      </c>
      <c r="C6" s="119">
        <f t="shared" si="1"/>
        <v>1.0672879333588274E-4</v>
      </c>
      <c r="D6" s="119">
        <f t="shared" si="1"/>
        <v>1.0497320244481846E-4</v>
      </c>
      <c r="E6" s="119">
        <f t="shared" si="1"/>
        <v>1.0321761155375376E-4</v>
      </c>
      <c r="F6" s="119">
        <f t="shared" si="1"/>
        <v>1.0146202066268909E-4</v>
      </c>
      <c r="G6" s="119">
        <f t="shared" si="1"/>
        <v>9.9706429771624386E-5</v>
      </c>
      <c r="H6" s="119">
        <f t="shared" si="1"/>
        <v>9.787675384368551E-5</v>
      </c>
      <c r="I6" s="119">
        <f t="shared" si="1"/>
        <v>9.6503497069768613E-5</v>
      </c>
      <c r="J6" s="119">
        <f t="shared" si="1"/>
        <v>9.513024029585211E-5</v>
      </c>
      <c r="K6" s="119">
        <f t="shared" si="1"/>
        <v>9.3756983521935228E-5</v>
      </c>
      <c r="L6" s="119">
        <f t="shared" si="1"/>
        <v>9.2383726748018305E-5</v>
      </c>
      <c r="M6" s="119">
        <f t="shared" si="1"/>
        <v>9.1010469974101802E-5</v>
      </c>
      <c r="N6" s="119">
        <f t="shared" si="1"/>
        <v>8.9637213200184919E-5</v>
      </c>
      <c r="O6" s="119">
        <f t="shared" si="1"/>
        <v>8.8263956426267996E-5</v>
      </c>
      <c r="P6" s="119">
        <f t="shared" si="1"/>
        <v>8.6890699652351493E-5</v>
      </c>
      <c r="Q6" s="119">
        <f t="shared" si="1"/>
        <v>8.551744287843461E-5</v>
      </c>
      <c r="R6" s="119">
        <f t="shared" si="1"/>
        <v>8.4144186104517714E-5</v>
      </c>
      <c r="S6" s="119">
        <f t="shared" si="1"/>
        <v>8.2770929330601211E-5</v>
      </c>
      <c r="T6" s="119">
        <f t="shared" si="1"/>
        <v>8.1397672556684302E-5</v>
      </c>
      <c r="U6" s="119">
        <f t="shared" si="1"/>
        <v>8.0024415782767799E-5</v>
      </c>
      <c r="V6" s="119">
        <f t="shared" si="1"/>
        <v>7.8651159008850903E-5</v>
      </c>
      <c r="W6" s="119">
        <f t="shared" si="1"/>
        <v>7.727790223493402E-5</v>
      </c>
      <c r="X6" s="119">
        <f t="shared" si="1"/>
        <v>7.590464546101749E-5</v>
      </c>
      <c r="Y6" s="119">
        <f t="shared" si="1"/>
        <v>7.4531388687100594E-5</v>
      </c>
      <c r="Z6" s="119">
        <f t="shared" si="1"/>
        <v>7.3158131913183711E-5</v>
      </c>
      <c r="AA6" s="119">
        <f t="shared" si="1"/>
        <v>7.1784875139267208E-5</v>
      </c>
    </row>
    <row r="7" spans="1:29" x14ac:dyDescent="0.45">
      <c r="A7" s="1" t="s">
        <v>266</v>
      </c>
      <c r="B7" s="119">
        <f t="shared" ref="B7:AA7" si="2">B5</f>
        <v>1.0939924338055294E-4</v>
      </c>
      <c r="C7" s="119">
        <f t="shared" si="2"/>
        <v>1.0764365248948823E-4</v>
      </c>
      <c r="D7" s="119">
        <f t="shared" si="2"/>
        <v>1.0588806159842395E-4</v>
      </c>
      <c r="E7" s="119">
        <f t="shared" si="2"/>
        <v>1.0413247070735926E-4</v>
      </c>
      <c r="F7" s="119">
        <f t="shared" si="2"/>
        <v>1.0237687981629459E-4</v>
      </c>
      <c r="G7" s="119">
        <f t="shared" si="2"/>
        <v>1.0062128892522989E-4</v>
      </c>
      <c r="H7" s="119">
        <f t="shared" si="2"/>
        <v>9.8791612997290999E-5</v>
      </c>
      <c r="I7" s="119">
        <f t="shared" si="2"/>
        <v>9.7418356223374103E-5</v>
      </c>
      <c r="J7" s="119">
        <f t="shared" si="2"/>
        <v>9.6045099449457613E-5</v>
      </c>
      <c r="K7" s="119">
        <f t="shared" si="2"/>
        <v>9.4671842675540717E-5</v>
      </c>
      <c r="L7" s="119">
        <f t="shared" si="2"/>
        <v>9.3298585901623808E-5</v>
      </c>
      <c r="M7" s="119">
        <f t="shared" si="2"/>
        <v>9.1925329127707305E-5</v>
      </c>
      <c r="N7" s="119">
        <f t="shared" si="2"/>
        <v>9.0552072353790409E-5</v>
      </c>
      <c r="O7" s="119">
        <f t="shared" si="2"/>
        <v>8.9178815579873499E-5</v>
      </c>
      <c r="P7" s="119">
        <f t="shared" si="2"/>
        <v>8.7805558805956996E-5</v>
      </c>
      <c r="Q7" s="119">
        <f t="shared" si="2"/>
        <v>8.64323020320401E-5</v>
      </c>
      <c r="R7" s="119">
        <f t="shared" si="2"/>
        <v>8.5059045258123217E-5</v>
      </c>
      <c r="S7" s="119">
        <f t="shared" si="2"/>
        <v>8.3685788484206714E-5</v>
      </c>
      <c r="T7" s="119">
        <f t="shared" si="2"/>
        <v>8.2312531710289791E-5</v>
      </c>
      <c r="U7" s="119">
        <f t="shared" si="2"/>
        <v>8.0939274936373288E-5</v>
      </c>
      <c r="V7" s="119">
        <f t="shared" si="2"/>
        <v>7.9566018162456406E-5</v>
      </c>
      <c r="W7" s="119">
        <f t="shared" si="2"/>
        <v>7.819276138853951E-5</v>
      </c>
      <c r="X7" s="119">
        <f t="shared" si="2"/>
        <v>7.681950461462298E-5</v>
      </c>
      <c r="Y7" s="119">
        <f t="shared" si="2"/>
        <v>7.5446247840706097E-5</v>
      </c>
      <c r="Z7" s="119">
        <f t="shared" si="2"/>
        <v>7.4072991066789201E-5</v>
      </c>
      <c r="AA7" s="119">
        <f t="shared" si="2"/>
        <v>7.2699734292872698E-5</v>
      </c>
    </row>
    <row r="8" spans="1:29" x14ac:dyDescent="0.45">
      <c r="A8" s="1" t="s">
        <v>292</v>
      </c>
      <c r="B8" s="119">
        <f t="shared" ref="B8:AA8" si="3">B5</f>
        <v>1.0939924338055294E-4</v>
      </c>
      <c r="C8" s="119">
        <f t="shared" si="3"/>
        <v>1.0764365248948823E-4</v>
      </c>
      <c r="D8" s="119">
        <f t="shared" si="3"/>
        <v>1.0588806159842395E-4</v>
      </c>
      <c r="E8" s="119">
        <f t="shared" si="3"/>
        <v>1.0413247070735926E-4</v>
      </c>
      <c r="F8" s="119">
        <f t="shared" si="3"/>
        <v>1.0237687981629459E-4</v>
      </c>
      <c r="G8" s="119">
        <f t="shared" si="3"/>
        <v>1.0062128892522989E-4</v>
      </c>
      <c r="H8" s="119">
        <f t="shared" si="3"/>
        <v>9.8791612997290999E-5</v>
      </c>
      <c r="I8" s="119">
        <f t="shared" si="3"/>
        <v>9.7418356223374103E-5</v>
      </c>
      <c r="J8" s="119">
        <f t="shared" si="3"/>
        <v>9.6045099449457613E-5</v>
      </c>
      <c r="K8" s="119">
        <f t="shared" si="3"/>
        <v>9.4671842675540717E-5</v>
      </c>
      <c r="L8" s="119">
        <f t="shared" si="3"/>
        <v>9.3298585901623808E-5</v>
      </c>
      <c r="M8" s="119">
        <f t="shared" si="3"/>
        <v>9.1925329127707305E-5</v>
      </c>
      <c r="N8" s="119">
        <f t="shared" si="3"/>
        <v>9.0552072353790409E-5</v>
      </c>
      <c r="O8" s="119">
        <f t="shared" si="3"/>
        <v>8.9178815579873499E-5</v>
      </c>
      <c r="P8" s="119">
        <f t="shared" si="3"/>
        <v>8.7805558805956996E-5</v>
      </c>
      <c r="Q8" s="119">
        <f t="shared" si="3"/>
        <v>8.64323020320401E-5</v>
      </c>
      <c r="R8" s="119">
        <f t="shared" si="3"/>
        <v>8.5059045258123217E-5</v>
      </c>
      <c r="S8" s="119">
        <f t="shared" si="3"/>
        <v>8.3685788484206714E-5</v>
      </c>
      <c r="T8" s="119">
        <f t="shared" si="3"/>
        <v>8.2312531710289791E-5</v>
      </c>
      <c r="U8" s="119">
        <f t="shared" si="3"/>
        <v>8.0939274936373288E-5</v>
      </c>
      <c r="V8" s="119">
        <f t="shared" si="3"/>
        <v>7.9566018162456406E-5</v>
      </c>
      <c r="W8" s="119">
        <f t="shared" si="3"/>
        <v>7.819276138853951E-5</v>
      </c>
      <c r="X8" s="119">
        <f t="shared" si="3"/>
        <v>7.681950461462298E-5</v>
      </c>
      <c r="Y8" s="119">
        <f t="shared" si="3"/>
        <v>7.5446247840706097E-5</v>
      </c>
      <c r="Z8" s="119">
        <f t="shared" si="3"/>
        <v>7.4072991066789201E-5</v>
      </c>
      <c r="AA8" s="119">
        <f t="shared" si="3"/>
        <v>7.2699734292872698E-5</v>
      </c>
    </row>
    <row r="9" spans="1:29" x14ac:dyDescent="0.45">
      <c r="A9" s="1" t="s">
        <v>293</v>
      </c>
      <c r="B9" s="119">
        <f t="shared" ref="B9:AA9" si="4">B5</f>
        <v>1.0939924338055294E-4</v>
      </c>
      <c r="C9" s="119">
        <f t="shared" si="4"/>
        <v>1.0764365248948823E-4</v>
      </c>
      <c r="D9" s="119">
        <f t="shared" si="4"/>
        <v>1.0588806159842395E-4</v>
      </c>
      <c r="E9" s="119">
        <f t="shared" si="4"/>
        <v>1.0413247070735926E-4</v>
      </c>
      <c r="F9" s="119">
        <f t="shared" si="4"/>
        <v>1.0237687981629459E-4</v>
      </c>
      <c r="G9" s="119">
        <f t="shared" si="4"/>
        <v>1.0062128892522989E-4</v>
      </c>
      <c r="H9" s="119">
        <f t="shared" si="4"/>
        <v>9.8791612997290999E-5</v>
      </c>
      <c r="I9" s="119">
        <f t="shared" si="4"/>
        <v>9.7418356223374103E-5</v>
      </c>
      <c r="J9" s="119">
        <f t="shared" si="4"/>
        <v>9.6045099449457613E-5</v>
      </c>
      <c r="K9" s="119">
        <f t="shared" si="4"/>
        <v>9.4671842675540717E-5</v>
      </c>
      <c r="L9" s="119">
        <f t="shared" si="4"/>
        <v>9.3298585901623808E-5</v>
      </c>
      <c r="M9" s="119">
        <f t="shared" si="4"/>
        <v>9.1925329127707305E-5</v>
      </c>
      <c r="N9" s="119">
        <f t="shared" si="4"/>
        <v>9.0552072353790409E-5</v>
      </c>
      <c r="O9" s="119">
        <f t="shared" si="4"/>
        <v>8.9178815579873499E-5</v>
      </c>
      <c r="P9" s="119">
        <f t="shared" si="4"/>
        <v>8.7805558805956996E-5</v>
      </c>
      <c r="Q9" s="119">
        <f t="shared" si="4"/>
        <v>8.64323020320401E-5</v>
      </c>
      <c r="R9" s="119">
        <f t="shared" si="4"/>
        <v>8.5059045258123217E-5</v>
      </c>
      <c r="S9" s="119">
        <f t="shared" si="4"/>
        <v>8.3685788484206714E-5</v>
      </c>
      <c r="T9" s="119">
        <f t="shared" si="4"/>
        <v>8.2312531710289791E-5</v>
      </c>
      <c r="U9" s="119">
        <f t="shared" si="4"/>
        <v>8.0939274936373288E-5</v>
      </c>
      <c r="V9" s="119">
        <f t="shared" si="4"/>
        <v>7.9566018162456406E-5</v>
      </c>
      <c r="W9" s="119">
        <f t="shared" si="4"/>
        <v>7.819276138853951E-5</v>
      </c>
      <c r="X9" s="119">
        <f t="shared" si="4"/>
        <v>7.681950461462298E-5</v>
      </c>
      <c r="Y9" s="119">
        <f t="shared" si="4"/>
        <v>7.5446247840706097E-5</v>
      </c>
      <c r="Z9" s="119">
        <f t="shared" si="4"/>
        <v>7.4072991066789201E-5</v>
      </c>
      <c r="AA9" s="119">
        <f t="shared" si="4"/>
        <v>7.2699734292872698E-5</v>
      </c>
    </row>
    <row r="10" spans="1:29" x14ac:dyDescent="0.45">
      <c r="A10" s="1" t="s">
        <v>294</v>
      </c>
      <c r="B10" s="119">
        <f t="shared" ref="B10:AA10" si="5">B4</f>
        <v>1.0848438422694745E-4</v>
      </c>
      <c r="C10" s="119">
        <f t="shared" si="5"/>
        <v>1.0672879333588274E-4</v>
      </c>
      <c r="D10" s="119">
        <f t="shared" si="5"/>
        <v>1.0497320244481846E-4</v>
      </c>
      <c r="E10" s="119">
        <f t="shared" si="5"/>
        <v>1.0321761155375376E-4</v>
      </c>
      <c r="F10" s="119">
        <f t="shared" si="5"/>
        <v>1.0146202066268909E-4</v>
      </c>
      <c r="G10" s="119">
        <f t="shared" si="5"/>
        <v>9.9706429771624386E-5</v>
      </c>
      <c r="H10" s="119">
        <f t="shared" si="5"/>
        <v>9.787675384368551E-5</v>
      </c>
      <c r="I10" s="119">
        <f t="shared" si="5"/>
        <v>9.6503497069768613E-5</v>
      </c>
      <c r="J10" s="119">
        <f t="shared" si="5"/>
        <v>9.513024029585211E-5</v>
      </c>
      <c r="K10" s="119">
        <f t="shared" si="5"/>
        <v>9.3756983521935228E-5</v>
      </c>
      <c r="L10" s="119">
        <f t="shared" si="5"/>
        <v>9.2383726748018305E-5</v>
      </c>
      <c r="M10" s="119">
        <f t="shared" si="5"/>
        <v>9.1010469974101802E-5</v>
      </c>
      <c r="N10" s="119">
        <f t="shared" si="5"/>
        <v>8.9637213200184919E-5</v>
      </c>
      <c r="O10" s="119">
        <f t="shared" si="5"/>
        <v>8.8263956426267996E-5</v>
      </c>
      <c r="P10" s="119">
        <f t="shared" si="5"/>
        <v>8.6890699652351493E-5</v>
      </c>
      <c r="Q10" s="119">
        <f t="shared" si="5"/>
        <v>8.551744287843461E-5</v>
      </c>
      <c r="R10" s="119">
        <f t="shared" si="5"/>
        <v>8.4144186104517714E-5</v>
      </c>
      <c r="S10" s="119">
        <f t="shared" si="5"/>
        <v>8.2770929330601211E-5</v>
      </c>
      <c r="T10" s="119">
        <f t="shared" si="5"/>
        <v>8.1397672556684302E-5</v>
      </c>
      <c r="U10" s="119">
        <f t="shared" si="5"/>
        <v>8.0024415782767799E-5</v>
      </c>
      <c r="V10" s="119">
        <f t="shared" si="5"/>
        <v>7.8651159008850903E-5</v>
      </c>
      <c r="W10" s="119">
        <f t="shared" si="5"/>
        <v>7.727790223493402E-5</v>
      </c>
      <c r="X10" s="119">
        <f t="shared" si="5"/>
        <v>7.590464546101749E-5</v>
      </c>
      <c r="Y10" s="119">
        <f t="shared" si="5"/>
        <v>7.4531388687100594E-5</v>
      </c>
      <c r="Z10" s="119">
        <f t="shared" si="5"/>
        <v>7.3158131913183711E-5</v>
      </c>
      <c r="AA10" s="119">
        <f t="shared" si="5"/>
        <v>7.1784875139267208E-5</v>
      </c>
    </row>
    <row r="11" spans="1:29" x14ac:dyDescent="0.45">
      <c r="A11" s="1" t="s">
        <v>295</v>
      </c>
      <c r="B11" s="119">
        <f t="shared" ref="B11:AA11" si="6">B4</f>
        <v>1.0848438422694745E-4</v>
      </c>
      <c r="C11" s="119">
        <f t="shared" si="6"/>
        <v>1.0672879333588274E-4</v>
      </c>
      <c r="D11" s="119">
        <f t="shared" si="6"/>
        <v>1.0497320244481846E-4</v>
      </c>
      <c r="E11" s="119">
        <f t="shared" si="6"/>
        <v>1.0321761155375376E-4</v>
      </c>
      <c r="F11" s="119">
        <f t="shared" si="6"/>
        <v>1.0146202066268909E-4</v>
      </c>
      <c r="G11" s="119">
        <f t="shared" si="6"/>
        <v>9.9706429771624386E-5</v>
      </c>
      <c r="H11" s="119">
        <f t="shared" si="6"/>
        <v>9.787675384368551E-5</v>
      </c>
      <c r="I11" s="119">
        <f t="shared" si="6"/>
        <v>9.6503497069768613E-5</v>
      </c>
      <c r="J11" s="119">
        <f t="shared" si="6"/>
        <v>9.513024029585211E-5</v>
      </c>
      <c r="K11" s="119">
        <f t="shared" si="6"/>
        <v>9.3756983521935228E-5</v>
      </c>
      <c r="L11" s="119">
        <f t="shared" si="6"/>
        <v>9.2383726748018305E-5</v>
      </c>
      <c r="M11" s="119">
        <f t="shared" si="6"/>
        <v>9.1010469974101802E-5</v>
      </c>
      <c r="N11" s="119">
        <f t="shared" si="6"/>
        <v>8.9637213200184919E-5</v>
      </c>
      <c r="O11" s="119">
        <f t="shared" si="6"/>
        <v>8.8263956426267996E-5</v>
      </c>
      <c r="P11" s="119">
        <f t="shared" si="6"/>
        <v>8.6890699652351493E-5</v>
      </c>
      <c r="Q11" s="119">
        <f t="shared" si="6"/>
        <v>8.551744287843461E-5</v>
      </c>
      <c r="R11" s="119">
        <f t="shared" si="6"/>
        <v>8.4144186104517714E-5</v>
      </c>
      <c r="S11" s="119">
        <f t="shared" si="6"/>
        <v>8.2770929330601211E-5</v>
      </c>
      <c r="T11" s="119">
        <f t="shared" si="6"/>
        <v>8.1397672556684302E-5</v>
      </c>
      <c r="U11" s="119">
        <f t="shared" si="6"/>
        <v>8.0024415782767799E-5</v>
      </c>
      <c r="V11" s="119">
        <f t="shared" si="6"/>
        <v>7.8651159008850903E-5</v>
      </c>
      <c r="W11" s="119">
        <f t="shared" si="6"/>
        <v>7.727790223493402E-5</v>
      </c>
      <c r="X11" s="119">
        <f t="shared" si="6"/>
        <v>7.590464546101749E-5</v>
      </c>
      <c r="Y11" s="119">
        <f t="shared" si="6"/>
        <v>7.4531388687100594E-5</v>
      </c>
      <c r="Z11" s="119">
        <f t="shared" si="6"/>
        <v>7.3158131913183711E-5</v>
      </c>
      <c r="AA11" s="119">
        <f t="shared" si="6"/>
        <v>7.1784875139267208E-5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Source Data&gt;</vt:lpstr>
      <vt:lpstr>EIA Costs</vt:lpstr>
      <vt:lpstr>NREL EF Table 22</vt:lpstr>
      <vt:lpstr>NREL EF Table 23</vt:lpstr>
      <vt:lpstr>AEO 2026 Table 21</vt:lpstr>
      <vt:lpstr>AEO 2026 Table 4</vt:lpstr>
      <vt:lpstr>Calcs&gt;</vt:lpstr>
      <vt:lpstr>Calculations</vt:lpstr>
      <vt:lpstr>ICpUEfEBE-urb-res-heating</vt:lpstr>
      <vt:lpstr>ICpUEfEBE-urb-res-appl</vt:lpstr>
      <vt:lpstr>ICpUEfEBE-urb-res-other</vt:lpstr>
      <vt:lpstr>ICpUEfEBE-rur-res-heating</vt:lpstr>
      <vt:lpstr>ICpUEfEBE-rur-res-appl</vt:lpstr>
      <vt:lpstr>ICpUEfEBE-rur-res-other</vt:lpstr>
      <vt:lpstr>ICpUEfEBE-com-heating</vt:lpstr>
      <vt:lpstr>ICpUEfEBE-com-appl</vt:lpstr>
      <vt:lpstr>ICpUEfEBE-com-other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2020-08-26T21:37:25Z</dcterms:created>
  <dcterms:modified xsi:type="dcterms:W3CDTF">2026-04-27T21:38:03Z</dcterms:modified>
</cp:coreProperties>
</file>