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United States\us-eps\InputData\bldgs\ICpUEfEBE\"/>
    </mc:Choice>
  </mc:AlternateContent>
  <xr:revisionPtr revIDLastSave="0" documentId="13_ncr:1_{6A52D6BD-D536-4AE5-BBA7-2C9179412F1A}" xr6:coauthVersionLast="47" xr6:coauthVersionMax="47" xr10:uidLastSave="{00000000-0000-0000-0000-000000000000}"/>
  <bookViews>
    <workbookView xWindow="-120" yWindow="-120" windowWidth="29040" windowHeight="17520" tabRatio="730" firstSheet="2" activeTab="9" xr2:uid="{00000000-000D-0000-FFFF-FFFF00000000}"/>
  </bookViews>
  <sheets>
    <sheet name="About" sheetId="17" r:id="rId1"/>
    <sheet name="Source Data&gt;" sheetId="51" r:id="rId2"/>
    <sheet name="EIA Costs" sheetId="9" r:id="rId3"/>
    <sheet name="Table_21._Residential_Sector_Eq" sheetId="50" r:id="rId4"/>
    <sheet name="Table_4._Residential_Sector_Key" sheetId="49" r:id="rId5"/>
    <sheet name="NREL EF Table 22" sheetId="13" r:id="rId6"/>
    <sheet name="NREL EF Table 23" sheetId="14" r:id="rId7"/>
    <sheet name="Calcs&gt;" sheetId="52" r:id="rId8"/>
    <sheet name="Calculations" sheetId="6" r:id="rId9"/>
    <sheet name="ICpUEfEBE-urb-res-heating" sheetId="18" r:id="rId10"/>
    <sheet name="ICpUEfEBE-urb-res-appl" sheetId="38" r:id="rId11"/>
    <sheet name="ICpUEfEBE-urb-res-other" sheetId="40" r:id="rId12"/>
    <sheet name="ICpUEfEBE-rur-res-heating" sheetId="34" r:id="rId13"/>
    <sheet name="ICpUEfEBE-rur-res-appl" sheetId="39" r:id="rId14"/>
    <sheet name="ICpUEfEBE-rur-res-other" sheetId="41" r:id="rId15"/>
    <sheet name="ICpUEfEBE-com-heating" sheetId="42" r:id="rId16"/>
    <sheet name="ICpUEfEBE-com-appl" sheetId="45" r:id="rId17"/>
    <sheet name="ICpUEfEBE-com-other" sheetId="46" r:id="rId18"/>
  </sheets>
  <externalReferences>
    <externalReference r:id="rId19"/>
  </externalReferences>
  <definedNames>
    <definedName name="_AMO_UniqueIdentifier" hidden="1">"'7dff0b4d-5a4e-428f-a156-c32727f2a01b'"</definedName>
    <definedName name="Fraction_coal">[1]About!$C$50</definedName>
    <definedName name="Percent_rural">[1]About!$A$77</definedName>
    <definedName name="Percent_urban">[1]About!$A$76</definedName>
    <definedName name="quadrillion">[1]About!$B$79</definedName>
    <definedName name="Table4">#REF!</definedName>
    <definedName name="Table5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6" i="6" l="1"/>
  <c r="H26" i="6"/>
  <c r="I26" i="6"/>
  <c r="J26" i="6"/>
  <c r="K26" i="6"/>
  <c r="L26" i="6"/>
  <c r="M26" i="6"/>
  <c r="N26" i="6"/>
  <c r="O26" i="6"/>
  <c r="P26" i="6"/>
  <c r="Q26" i="6"/>
  <c r="R26" i="6"/>
  <c r="S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F26" i="6"/>
  <c r="G25" i="6"/>
  <c r="H25" i="6"/>
  <c r="I25" i="6"/>
  <c r="J25" i="6"/>
  <c r="K25" i="6"/>
  <c r="L25" i="6"/>
  <c r="M25" i="6"/>
  <c r="N25" i="6"/>
  <c r="O25" i="6"/>
  <c r="P25" i="6"/>
  <c r="Q25" i="6"/>
  <c r="R25" i="6"/>
  <c r="S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F25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F6" i="6"/>
  <c r="G5" i="6"/>
  <c r="H5" i="6"/>
  <c r="I5" i="6"/>
  <c r="J5" i="6"/>
  <c r="K5" i="6"/>
  <c r="L5" i="6"/>
  <c r="M5" i="6"/>
  <c r="N5" i="6"/>
  <c r="O5" i="6"/>
  <c r="P5" i="6"/>
  <c r="Q5" i="6"/>
  <c r="R5" i="6"/>
  <c r="S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F5" i="6"/>
  <c r="G4" i="6"/>
  <c r="H4" i="6"/>
  <c r="I4" i="6"/>
  <c r="J4" i="6"/>
  <c r="K4" i="6"/>
  <c r="L4" i="6"/>
  <c r="M4" i="6"/>
  <c r="N4" i="6"/>
  <c r="O4" i="6"/>
  <c r="P4" i="6"/>
  <c r="Q4" i="6"/>
  <c r="R4" i="6"/>
  <c r="S4" i="6"/>
  <c r="T4" i="6"/>
  <c r="U4" i="6"/>
  <c r="V4" i="6"/>
  <c r="W4" i="6"/>
  <c r="X4" i="6"/>
  <c r="Y4" i="6"/>
  <c r="Z4" i="6"/>
  <c r="AA4" i="6"/>
  <c r="AB4" i="6"/>
  <c r="AC4" i="6"/>
  <c r="AD4" i="6"/>
  <c r="AE4" i="6"/>
  <c r="AF4" i="6"/>
  <c r="F4" i="6"/>
  <c r="B73" i="6"/>
  <c r="G70" i="6" l="1"/>
  <c r="F70" i="6"/>
  <c r="E70" i="6"/>
  <c r="D70" i="6"/>
  <c r="B70" i="6"/>
  <c r="G69" i="6"/>
  <c r="F69" i="6"/>
  <c r="E69" i="6"/>
  <c r="D69" i="6"/>
  <c r="C69" i="6"/>
  <c r="G68" i="6"/>
  <c r="F68" i="6"/>
  <c r="E68" i="6"/>
  <c r="D68" i="6"/>
  <c r="D73" i="6" s="1"/>
  <c r="C68" i="6"/>
  <c r="C68" i="9"/>
  <c r="AD73" i="6" l="1"/>
  <c r="D74" i="6"/>
  <c r="F74" i="6"/>
  <c r="T73" i="6"/>
  <c r="L73" i="6"/>
  <c r="AD74" i="6"/>
  <c r="Z74" i="6"/>
  <c r="V74" i="6"/>
  <c r="R74" i="6"/>
  <c r="N74" i="6"/>
  <c r="AF74" i="6"/>
  <c r="AB74" i="6"/>
  <c r="X74" i="6"/>
  <c r="T74" i="6"/>
  <c r="P74" i="6"/>
  <c r="AF75" i="6"/>
  <c r="AB75" i="6"/>
  <c r="X75" i="6"/>
  <c r="T75" i="6"/>
  <c r="P75" i="6"/>
  <c r="AE75" i="6"/>
  <c r="AA75" i="6"/>
  <c r="W75" i="6"/>
  <c r="S75" i="6"/>
  <c r="O75" i="6"/>
  <c r="K75" i="6"/>
  <c r="G75" i="6"/>
  <c r="C75" i="6"/>
  <c r="AD75" i="6"/>
  <c r="Z75" i="6"/>
  <c r="V75" i="6"/>
  <c r="R75" i="6"/>
  <c r="N75" i="6"/>
  <c r="AC75" i="6"/>
  <c r="Y75" i="6"/>
  <c r="U75" i="6"/>
  <c r="Q75" i="6"/>
  <c r="M75" i="6"/>
  <c r="I75" i="6"/>
  <c r="E75" i="6"/>
  <c r="K73" i="6"/>
  <c r="F73" i="6"/>
  <c r="N73" i="6"/>
  <c r="V73" i="6"/>
  <c r="AE73" i="6"/>
  <c r="AA73" i="6"/>
  <c r="W73" i="6"/>
  <c r="S73" i="6"/>
  <c r="O73" i="6"/>
  <c r="AC73" i="6"/>
  <c r="Y73" i="6"/>
  <c r="U73" i="6"/>
  <c r="Q73" i="6"/>
  <c r="M73" i="6"/>
  <c r="K74" i="6"/>
  <c r="G74" i="6"/>
  <c r="C74" i="6"/>
  <c r="J74" i="6"/>
  <c r="I74" i="6"/>
  <c r="E74" i="6"/>
  <c r="H73" i="6"/>
  <c r="P73" i="6"/>
  <c r="X73" i="6"/>
  <c r="AF73" i="6"/>
  <c r="H74" i="6"/>
  <c r="AB73" i="6"/>
  <c r="AE74" i="6"/>
  <c r="L75" i="6"/>
  <c r="J73" i="6"/>
  <c r="R73" i="6"/>
  <c r="Z73" i="6"/>
  <c r="B74" i="6"/>
  <c r="L74" i="6"/>
  <c r="E73" i="6"/>
  <c r="I73" i="6"/>
  <c r="M74" i="6"/>
  <c r="Q74" i="6"/>
  <c r="U74" i="6"/>
  <c r="Y74" i="6"/>
  <c r="AC74" i="6"/>
  <c r="B75" i="6"/>
  <c r="F75" i="6"/>
  <c r="J75" i="6"/>
  <c r="C73" i="6"/>
  <c r="G73" i="6"/>
  <c r="O74" i="6"/>
  <c r="S74" i="6"/>
  <c r="W74" i="6"/>
  <c r="AA74" i="6"/>
  <c r="D75" i="6"/>
  <c r="H75" i="6"/>
  <c r="G50" i="6"/>
  <c r="F50" i="6"/>
  <c r="D50" i="6"/>
  <c r="E50" i="6"/>
  <c r="B50" i="6"/>
  <c r="E49" i="6"/>
  <c r="F49" i="6"/>
  <c r="G49" i="6"/>
  <c r="D49" i="6"/>
  <c r="C49" i="6"/>
  <c r="G48" i="6"/>
  <c r="F48" i="6"/>
  <c r="E48" i="6"/>
  <c r="D48" i="6"/>
  <c r="C48" i="6"/>
  <c r="B53" i="6" s="1"/>
  <c r="Q79" i="6" l="1"/>
  <c r="Q78" i="6"/>
  <c r="AD79" i="6"/>
  <c r="AD78" i="6"/>
  <c r="AE78" i="6"/>
  <c r="AE79" i="6"/>
  <c r="D78" i="6"/>
  <c r="D79" i="6"/>
  <c r="F78" i="6"/>
  <c r="F79" i="6"/>
  <c r="U79" i="6"/>
  <c r="U78" i="6"/>
  <c r="C78" i="6"/>
  <c r="C79" i="6"/>
  <c r="P79" i="6"/>
  <c r="P78" i="6"/>
  <c r="Y79" i="6"/>
  <c r="Y78" i="6"/>
  <c r="AC79" i="6"/>
  <c r="AC78" i="6"/>
  <c r="K79" i="6"/>
  <c r="K78" i="6"/>
  <c r="X79" i="6"/>
  <c r="X78" i="6"/>
  <c r="L79" i="6"/>
  <c r="L78" i="6"/>
  <c r="N79" i="6"/>
  <c r="N78" i="6"/>
  <c r="O78" i="6"/>
  <c r="O79" i="6"/>
  <c r="AB79" i="6"/>
  <c r="AB78" i="6"/>
  <c r="B78" i="6"/>
  <c r="B79" i="6"/>
  <c r="E78" i="6"/>
  <c r="E79" i="6"/>
  <c r="R79" i="6"/>
  <c r="R78" i="6"/>
  <c r="S79" i="6"/>
  <c r="S78" i="6"/>
  <c r="AF79" i="6"/>
  <c r="AF78" i="6"/>
  <c r="J79" i="6"/>
  <c r="J78" i="6"/>
  <c r="G78" i="6"/>
  <c r="G79" i="6"/>
  <c r="I79" i="6"/>
  <c r="I78" i="6"/>
  <c r="V79" i="6"/>
  <c r="V78" i="6"/>
  <c r="W78" i="6"/>
  <c r="W79" i="6"/>
  <c r="H79" i="6"/>
  <c r="H78" i="6"/>
  <c r="T79" i="6"/>
  <c r="T78" i="6"/>
  <c r="M79" i="6"/>
  <c r="M78" i="6"/>
  <c r="Z79" i="6"/>
  <c r="Z78" i="6"/>
  <c r="AA79" i="6"/>
  <c r="AA78" i="6"/>
  <c r="AD55" i="6"/>
  <c r="V55" i="6"/>
  <c r="N55" i="6"/>
  <c r="AB55" i="6"/>
  <c r="AA55" i="6"/>
  <c r="AC55" i="6"/>
  <c r="U55" i="6"/>
  <c r="M55" i="6"/>
  <c r="T55" i="6"/>
  <c r="S55" i="6"/>
  <c r="Z55" i="6"/>
  <c r="R55" i="6"/>
  <c r="X55" i="6"/>
  <c r="AE55" i="6"/>
  <c r="Y55" i="6"/>
  <c r="Q55" i="6"/>
  <c r="AF55" i="6"/>
  <c r="P55" i="6"/>
  <c r="W55" i="6"/>
  <c r="O55" i="6"/>
  <c r="F55" i="6"/>
  <c r="L55" i="6"/>
  <c r="K55" i="6"/>
  <c r="E55" i="6"/>
  <c r="D55" i="6"/>
  <c r="C55" i="6"/>
  <c r="J55" i="6"/>
  <c r="B55" i="6"/>
  <c r="H55" i="6"/>
  <c r="G55" i="6"/>
  <c r="I55" i="6"/>
  <c r="B54" i="6"/>
  <c r="H54" i="6"/>
  <c r="F54" i="6"/>
  <c r="E54" i="6"/>
  <c r="G54" i="6"/>
  <c r="I54" i="6"/>
  <c r="L54" i="6"/>
  <c r="D54" i="6"/>
  <c r="K54" i="6"/>
  <c r="C54" i="6"/>
  <c r="J54" i="6"/>
  <c r="H53" i="6"/>
  <c r="F53" i="6"/>
  <c r="E53" i="6"/>
  <c r="G53" i="6"/>
  <c r="L53" i="6"/>
  <c r="D53" i="6"/>
  <c r="K53" i="6"/>
  <c r="C53" i="6"/>
  <c r="J53" i="6"/>
  <c r="I53" i="6"/>
  <c r="AF54" i="6"/>
  <c r="X54" i="6"/>
  <c r="P54" i="6"/>
  <c r="AD54" i="6"/>
  <c r="N54" i="6"/>
  <c r="U54" i="6"/>
  <c r="R54" i="6"/>
  <c r="Q54" i="6"/>
  <c r="AE54" i="6"/>
  <c r="W54" i="6"/>
  <c r="O54" i="6"/>
  <c r="V54" i="6"/>
  <c r="AC54" i="6"/>
  <c r="M54" i="6"/>
  <c r="Z54" i="6"/>
  <c r="AB54" i="6"/>
  <c r="T54" i="6"/>
  <c r="AA54" i="6"/>
  <c r="S54" i="6"/>
  <c r="Y54" i="6"/>
  <c r="AF53" i="6"/>
  <c r="X53" i="6"/>
  <c r="P53" i="6"/>
  <c r="V53" i="6"/>
  <c r="U53" i="6"/>
  <c r="R53" i="6"/>
  <c r="Q53" i="6"/>
  <c r="AE53" i="6"/>
  <c r="W53" i="6"/>
  <c r="O53" i="6"/>
  <c r="AD53" i="6"/>
  <c r="N53" i="6"/>
  <c r="AC53" i="6"/>
  <c r="M53" i="6"/>
  <c r="Y53" i="6"/>
  <c r="AB53" i="6"/>
  <c r="T53" i="6"/>
  <c r="AA53" i="6"/>
  <c r="S53" i="6"/>
  <c r="Z53" i="6"/>
  <c r="F30" i="6"/>
  <c r="E30" i="6"/>
  <c r="D30" i="6"/>
  <c r="C30" i="6"/>
  <c r="B30" i="6"/>
  <c r="F29" i="6"/>
  <c r="E29" i="6"/>
  <c r="D29" i="6"/>
  <c r="C29" i="6"/>
  <c r="B29" i="6"/>
  <c r="B33" i="6" s="1"/>
  <c r="B34" i="6" l="1"/>
  <c r="I59" i="6"/>
  <c r="E5" i="42" s="1"/>
  <c r="I58" i="6"/>
  <c r="E4" i="42" s="1"/>
  <c r="K58" i="6"/>
  <c r="G4" i="42" s="1"/>
  <c r="K59" i="6"/>
  <c r="G5" i="42" s="1"/>
  <c r="Y59" i="6"/>
  <c r="U5" i="42" s="1"/>
  <c r="Y58" i="6"/>
  <c r="U4" i="42" s="1"/>
  <c r="U59" i="6"/>
  <c r="Q5" i="42" s="1"/>
  <c r="U58" i="6"/>
  <c r="Q4" i="42" s="1"/>
  <c r="G59" i="6"/>
  <c r="C5" i="42" s="1"/>
  <c r="G58" i="6"/>
  <c r="C4" i="42" s="1"/>
  <c r="L58" i="6"/>
  <c r="H4" i="42" s="1"/>
  <c r="L59" i="6"/>
  <c r="H5" i="42" s="1"/>
  <c r="AE59" i="6"/>
  <c r="AA5" i="42" s="1"/>
  <c r="AE58" i="6"/>
  <c r="AA4" i="42" s="1"/>
  <c r="AC59" i="6"/>
  <c r="Y5" i="42" s="1"/>
  <c r="AC58" i="6"/>
  <c r="Y4" i="42" s="1"/>
  <c r="H59" i="6"/>
  <c r="D5" i="42" s="1"/>
  <c r="H58" i="6"/>
  <c r="D4" i="42" s="1"/>
  <c r="F58" i="6"/>
  <c r="B4" i="42" s="1"/>
  <c r="F59" i="6"/>
  <c r="B5" i="42" s="1"/>
  <c r="X59" i="6"/>
  <c r="T5" i="42" s="1"/>
  <c r="X58" i="6"/>
  <c r="T4" i="42" s="1"/>
  <c r="AA59" i="6"/>
  <c r="W5" i="42" s="1"/>
  <c r="AA58" i="6"/>
  <c r="W4" i="42" s="1"/>
  <c r="B59" i="6"/>
  <c r="B58" i="6"/>
  <c r="O59" i="6"/>
  <c r="K5" i="42" s="1"/>
  <c r="O58" i="6"/>
  <c r="K4" i="42" s="1"/>
  <c r="R58" i="6"/>
  <c r="N4" i="42" s="1"/>
  <c r="R59" i="6"/>
  <c r="N5" i="42" s="1"/>
  <c r="AB58" i="6"/>
  <c r="X4" i="42" s="1"/>
  <c r="AB59" i="6"/>
  <c r="X5" i="42" s="1"/>
  <c r="J59" i="6"/>
  <c r="F5" i="42" s="1"/>
  <c r="J58" i="6"/>
  <c r="F4" i="42" s="1"/>
  <c r="W59" i="6"/>
  <c r="S5" i="42" s="1"/>
  <c r="W58" i="6"/>
  <c r="S4" i="42" s="1"/>
  <c r="Z59" i="6"/>
  <c r="V5" i="42" s="1"/>
  <c r="Z58" i="6"/>
  <c r="V4" i="42" s="1"/>
  <c r="N59" i="6"/>
  <c r="J5" i="42" s="1"/>
  <c r="N58" i="6"/>
  <c r="J4" i="42" s="1"/>
  <c r="C59" i="6"/>
  <c r="C58" i="6"/>
  <c r="P59" i="6"/>
  <c r="L5" i="42" s="1"/>
  <c r="P58" i="6"/>
  <c r="L4" i="42" s="1"/>
  <c r="S59" i="6"/>
  <c r="O5" i="42" s="1"/>
  <c r="S58" i="6"/>
  <c r="O4" i="42" s="1"/>
  <c r="V58" i="6"/>
  <c r="R4" i="42" s="1"/>
  <c r="V59" i="6"/>
  <c r="R5" i="42" s="1"/>
  <c r="D58" i="6"/>
  <c r="D59" i="6"/>
  <c r="AF59" i="6"/>
  <c r="AB5" i="42" s="1"/>
  <c r="AF58" i="6"/>
  <c r="AB4" i="42" s="1"/>
  <c r="T58" i="6"/>
  <c r="P4" i="42" s="1"/>
  <c r="T59" i="6"/>
  <c r="P5" i="42" s="1"/>
  <c r="AD59" i="6"/>
  <c r="Z5" i="42" s="1"/>
  <c r="AD58" i="6"/>
  <c r="Z4" i="42" s="1"/>
  <c r="E59" i="6"/>
  <c r="E58" i="6"/>
  <c r="Q59" i="6"/>
  <c r="M5" i="42" s="1"/>
  <c r="Q58" i="6"/>
  <c r="M4" i="42" s="1"/>
  <c r="M59" i="6"/>
  <c r="I5" i="42" s="1"/>
  <c r="M58" i="6"/>
  <c r="I4" i="42" s="1"/>
  <c r="AD34" i="6"/>
  <c r="H33" i="6"/>
  <c r="F34" i="6"/>
  <c r="AF33" i="6"/>
  <c r="AF34" i="6"/>
  <c r="AD33" i="6"/>
  <c r="AE33" i="6"/>
  <c r="C34" i="6"/>
  <c r="D34" i="6"/>
  <c r="G34" i="6"/>
  <c r="H34" i="6"/>
  <c r="G33" i="6"/>
  <c r="I34" i="6"/>
  <c r="O33" i="6"/>
  <c r="K34" i="6"/>
  <c r="W33" i="6"/>
  <c r="L34" i="6"/>
  <c r="W34" i="6"/>
  <c r="P33" i="6"/>
  <c r="I33" i="6"/>
  <c r="Q33" i="6"/>
  <c r="Y33" i="6"/>
  <c r="Q34" i="6"/>
  <c r="Y34" i="6"/>
  <c r="J33" i="6"/>
  <c r="R33" i="6"/>
  <c r="Z33" i="6"/>
  <c r="J34" i="6"/>
  <c r="R34" i="6"/>
  <c r="Z34" i="6"/>
  <c r="AE34" i="6"/>
  <c r="T33" i="6"/>
  <c r="AB33" i="6"/>
  <c r="C33" i="6"/>
  <c r="C37" i="6" s="1"/>
  <c r="K33" i="6"/>
  <c r="S33" i="6"/>
  <c r="AA33" i="6"/>
  <c r="S34" i="6"/>
  <c r="D33" i="6"/>
  <c r="T34" i="6"/>
  <c r="E33" i="6"/>
  <c r="M33" i="6"/>
  <c r="U33" i="6"/>
  <c r="AC33" i="6"/>
  <c r="E34" i="6"/>
  <c r="M34" i="6"/>
  <c r="U34" i="6"/>
  <c r="AC34" i="6"/>
  <c r="AA34" i="6"/>
  <c r="L33" i="6"/>
  <c r="AB34" i="6"/>
  <c r="F33" i="6"/>
  <c r="N33" i="6"/>
  <c r="V33" i="6"/>
  <c r="N34" i="6"/>
  <c r="V34" i="6"/>
  <c r="O34" i="6"/>
  <c r="X33" i="6"/>
  <c r="P34" i="6"/>
  <c r="X34" i="6"/>
  <c r="J4" i="46" l="1"/>
  <c r="J4" i="45"/>
  <c r="J5" i="46"/>
  <c r="J5" i="45"/>
  <c r="Z3" i="42"/>
  <c r="Z6" i="42"/>
  <c r="Z11" i="42"/>
  <c r="Z10" i="42"/>
  <c r="W3" i="42"/>
  <c r="W11" i="42"/>
  <c r="W6" i="42"/>
  <c r="W10" i="42"/>
  <c r="Y6" i="42"/>
  <c r="Y3" i="42"/>
  <c r="Y11" i="42"/>
  <c r="Y10" i="42"/>
  <c r="Q6" i="42"/>
  <c r="Q3" i="42"/>
  <c r="Q10" i="42"/>
  <c r="Q11" i="42"/>
  <c r="D4" i="46"/>
  <c r="D4" i="45"/>
  <c r="F4" i="46"/>
  <c r="F4" i="45"/>
  <c r="B4" i="46"/>
  <c r="B4" i="45"/>
  <c r="U4" i="46"/>
  <c r="U4" i="45"/>
  <c r="L4" i="46"/>
  <c r="L4" i="45"/>
  <c r="AA4" i="46"/>
  <c r="AA4" i="45"/>
  <c r="Z4" i="46"/>
  <c r="Z4" i="45"/>
  <c r="P4" i="46"/>
  <c r="P4" i="45"/>
  <c r="T4" i="46"/>
  <c r="T4" i="45"/>
  <c r="F9" i="42"/>
  <c r="F7" i="42"/>
  <c r="F8" i="42"/>
  <c r="Z7" i="42"/>
  <c r="Z9" i="42"/>
  <c r="Z8" i="42"/>
  <c r="J7" i="42"/>
  <c r="J9" i="42"/>
  <c r="J8" i="42"/>
  <c r="X3" i="42"/>
  <c r="X6" i="42"/>
  <c r="X11" i="42"/>
  <c r="X10" i="42"/>
  <c r="W9" i="42"/>
  <c r="W7" i="42"/>
  <c r="W8" i="42"/>
  <c r="Y7" i="42"/>
  <c r="Y9" i="42"/>
  <c r="Y8" i="42"/>
  <c r="Q9" i="42"/>
  <c r="Q7" i="42"/>
  <c r="Q8" i="42"/>
  <c r="D5" i="46"/>
  <c r="D5" i="45"/>
  <c r="F5" i="46"/>
  <c r="F5" i="45"/>
  <c r="B5" i="46"/>
  <c r="B5" i="45"/>
  <c r="U5" i="46"/>
  <c r="U5" i="45"/>
  <c r="L5" i="46"/>
  <c r="L5" i="45"/>
  <c r="AA5" i="46"/>
  <c r="AA5" i="45"/>
  <c r="Z5" i="46"/>
  <c r="Z5" i="45"/>
  <c r="P5" i="46"/>
  <c r="P5" i="45"/>
  <c r="F11" i="42"/>
  <c r="F3" i="42"/>
  <c r="F10" i="42"/>
  <c r="F6" i="42"/>
  <c r="E3" i="42"/>
  <c r="E11" i="42"/>
  <c r="E6" i="42"/>
  <c r="E10" i="42"/>
  <c r="C9" i="42"/>
  <c r="C7" i="42"/>
  <c r="C8" i="42"/>
  <c r="W5" i="46"/>
  <c r="W5" i="45"/>
  <c r="R7" i="42"/>
  <c r="R9" i="42"/>
  <c r="R8" i="42"/>
  <c r="R6" i="42"/>
  <c r="R11" i="42"/>
  <c r="R3" i="42"/>
  <c r="R10" i="42"/>
  <c r="M11" i="42"/>
  <c r="M6" i="42"/>
  <c r="M3" i="42"/>
  <c r="M10" i="42"/>
  <c r="P9" i="42"/>
  <c r="P7" i="42"/>
  <c r="P8" i="42"/>
  <c r="O11" i="42"/>
  <c r="O3" i="42"/>
  <c r="O10" i="42"/>
  <c r="O6" i="42"/>
  <c r="V3" i="42"/>
  <c r="V11" i="42"/>
  <c r="V6" i="42"/>
  <c r="V10" i="42"/>
  <c r="N7" i="42"/>
  <c r="N9" i="42"/>
  <c r="N8" i="42"/>
  <c r="T6" i="42"/>
  <c r="T11" i="42"/>
  <c r="T3" i="42"/>
  <c r="T10" i="42"/>
  <c r="AA11" i="42"/>
  <c r="AA6" i="42"/>
  <c r="AA3" i="42"/>
  <c r="AA10" i="42"/>
  <c r="U6" i="42"/>
  <c r="U11" i="42"/>
  <c r="U3" i="42"/>
  <c r="U10" i="42"/>
  <c r="Y4" i="46"/>
  <c r="Y4" i="45"/>
  <c r="Q4" i="46"/>
  <c r="Q4" i="45"/>
  <c r="C4" i="46"/>
  <c r="C4" i="45"/>
  <c r="G4" i="46"/>
  <c r="G4" i="45"/>
  <c r="R4" i="46"/>
  <c r="R4" i="45"/>
  <c r="X4" i="46"/>
  <c r="X4" i="45"/>
  <c r="E4" i="46"/>
  <c r="E4" i="45"/>
  <c r="D3" i="42"/>
  <c r="D6" i="42"/>
  <c r="D11" i="42"/>
  <c r="D10" i="42"/>
  <c r="V4" i="46"/>
  <c r="V4" i="45"/>
  <c r="N5" i="46"/>
  <c r="N5" i="45"/>
  <c r="E9" i="42"/>
  <c r="E7" i="42"/>
  <c r="E8" i="42"/>
  <c r="H5" i="45"/>
  <c r="H5" i="46"/>
  <c r="J3" i="42"/>
  <c r="J11" i="42"/>
  <c r="J10" i="42"/>
  <c r="J6" i="42"/>
  <c r="O9" i="42"/>
  <c r="O7" i="42"/>
  <c r="O8" i="42"/>
  <c r="T7" i="42"/>
  <c r="T9" i="42"/>
  <c r="T8" i="42"/>
  <c r="U7" i="42"/>
  <c r="U9" i="42"/>
  <c r="U8" i="42"/>
  <c r="Q5" i="46"/>
  <c r="Q5" i="45"/>
  <c r="C5" i="46"/>
  <c r="C5" i="45"/>
  <c r="G5" i="46"/>
  <c r="G5" i="45"/>
  <c r="R5" i="46"/>
  <c r="R5" i="45"/>
  <c r="X5" i="46"/>
  <c r="X5" i="45"/>
  <c r="E5" i="46"/>
  <c r="E5" i="45"/>
  <c r="C6" i="42"/>
  <c r="C11" i="42"/>
  <c r="C3" i="42"/>
  <c r="C10" i="42"/>
  <c r="H4" i="46"/>
  <c r="H4" i="45"/>
  <c r="V5" i="46"/>
  <c r="V5" i="45"/>
  <c r="T5" i="46"/>
  <c r="T5" i="45"/>
  <c r="I6" i="42"/>
  <c r="I11" i="42"/>
  <c r="I3" i="42"/>
  <c r="I10" i="42"/>
  <c r="I9" i="42"/>
  <c r="I7" i="42"/>
  <c r="I8" i="42"/>
  <c r="P3" i="42"/>
  <c r="P6" i="42"/>
  <c r="P10" i="42"/>
  <c r="P11" i="42"/>
  <c r="V7" i="42"/>
  <c r="V9" i="42"/>
  <c r="V8" i="42"/>
  <c r="AA7" i="42"/>
  <c r="AA9" i="42"/>
  <c r="AA8" i="42"/>
  <c r="Y5" i="46"/>
  <c r="Y5" i="45"/>
  <c r="AB6" i="42"/>
  <c r="AB3" i="42"/>
  <c r="AB11" i="42"/>
  <c r="AB10" i="42"/>
  <c r="L3" i="42"/>
  <c r="L11" i="42"/>
  <c r="L6" i="42"/>
  <c r="L10" i="42"/>
  <c r="S6" i="42"/>
  <c r="S11" i="42"/>
  <c r="S3" i="42"/>
  <c r="S10" i="42"/>
  <c r="K6" i="42"/>
  <c r="K11" i="42"/>
  <c r="K3" i="42"/>
  <c r="K10" i="42"/>
  <c r="B7" i="42"/>
  <c r="B9" i="42"/>
  <c r="B8" i="42"/>
  <c r="H9" i="42"/>
  <c r="H7" i="42"/>
  <c r="H8" i="42"/>
  <c r="G9" i="42"/>
  <c r="G7" i="42"/>
  <c r="G8" i="42"/>
  <c r="M4" i="46"/>
  <c r="M4" i="45"/>
  <c r="AB4" i="46"/>
  <c r="AB4" i="45"/>
  <c r="I4" i="46"/>
  <c r="I4" i="45"/>
  <c r="K4" i="46"/>
  <c r="K4" i="45"/>
  <c r="S4" i="46"/>
  <c r="S4" i="45"/>
  <c r="O4" i="46"/>
  <c r="O4" i="45"/>
  <c r="W4" i="46"/>
  <c r="W4" i="45"/>
  <c r="D7" i="42"/>
  <c r="D9" i="42"/>
  <c r="D8" i="42"/>
  <c r="N4" i="46"/>
  <c r="N4" i="45"/>
  <c r="X9" i="42"/>
  <c r="X7" i="42"/>
  <c r="X8" i="42"/>
  <c r="M9" i="42"/>
  <c r="M7" i="42"/>
  <c r="M8" i="42"/>
  <c r="N11" i="42"/>
  <c r="N3" i="42"/>
  <c r="N10" i="42"/>
  <c r="N6" i="42"/>
  <c r="AB7" i="42"/>
  <c r="AB8" i="42"/>
  <c r="AB9" i="42"/>
  <c r="L7" i="42"/>
  <c r="L8" i="42"/>
  <c r="L9" i="42"/>
  <c r="S9" i="42"/>
  <c r="S7" i="42"/>
  <c r="S8" i="42"/>
  <c r="K9" i="42"/>
  <c r="K7" i="42"/>
  <c r="K8" i="42"/>
  <c r="B11" i="42"/>
  <c r="B6" i="42"/>
  <c r="B3" i="42"/>
  <c r="B10" i="42"/>
  <c r="H3" i="42"/>
  <c r="H6" i="42"/>
  <c r="H10" i="42"/>
  <c r="H11" i="42"/>
  <c r="G3" i="42"/>
  <c r="G10" i="42"/>
  <c r="G6" i="42"/>
  <c r="G11" i="42"/>
  <c r="M5" i="45"/>
  <c r="M5" i="46"/>
  <c r="AB5" i="46"/>
  <c r="AB5" i="45"/>
  <c r="I5" i="46"/>
  <c r="I5" i="45"/>
  <c r="K5" i="46"/>
  <c r="K5" i="45"/>
  <c r="S5" i="46"/>
  <c r="S5" i="45"/>
  <c r="O5" i="46"/>
  <c r="O5" i="45"/>
  <c r="AB9" i="45" l="1"/>
  <c r="AB8" i="45"/>
  <c r="AB7" i="45"/>
  <c r="Q11" i="45"/>
  <c r="Q3" i="45"/>
  <c r="Q10" i="45"/>
  <c r="Q6" i="45"/>
  <c r="U9" i="45"/>
  <c r="U8" i="45"/>
  <c r="U7" i="45"/>
  <c r="K9" i="46"/>
  <c r="K7" i="46"/>
  <c r="K8" i="46"/>
  <c r="AB9" i="46"/>
  <c r="AB8" i="46"/>
  <c r="AB7" i="46"/>
  <c r="N3" i="45"/>
  <c r="N11" i="45"/>
  <c r="N10" i="45"/>
  <c r="N6" i="45"/>
  <c r="W3" i="45"/>
  <c r="W11" i="45"/>
  <c r="W6" i="45"/>
  <c r="W10" i="45"/>
  <c r="S11" i="45"/>
  <c r="S3" i="45"/>
  <c r="S10" i="45"/>
  <c r="S6" i="45"/>
  <c r="I11" i="45"/>
  <c r="I3" i="45"/>
  <c r="I10" i="45"/>
  <c r="I6" i="45"/>
  <c r="V9" i="45"/>
  <c r="V8" i="45"/>
  <c r="V7" i="45"/>
  <c r="E9" i="46"/>
  <c r="E7" i="46"/>
  <c r="E8" i="46"/>
  <c r="R3" i="46"/>
  <c r="R11" i="46"/>
  <c r="R10" i="46"/>
  <c r="R6" i="46"/>
  <c r="Q3" i="46"/>
  <c r="Q11" i="46"/>
  <c r="Q10" i="46"/>
  <c r="Q6" i="46"/>
  <c r="W9" i="45"/>
  <c r="W8" i="45"/>
  <c r="W7" i="45"/>
  <c r="P9" i="46"/>
  <c r="P7" i="46"/>
  <c r="P8" i="46"/>
  <c r="U9" i="46"/>
  <c r="U8" i="46"/>
  <c r="U7" i="46"/>
  <c r="T11" i="46"/>
  <c r="T10" i="46"/>
  <c r="T3" i="46"/>
  <c r="T6" i="46"/>
  <c r="Z11" i="46"/>
  <c r="Z3" i="46"/>
  <c r="Z6" i="46"/>
  <c r="Z10" i="46"/>
  <c r="B11" i="46"/>
  <c r="B3" i="46"/>
  <c r="B10" i="46"/>
  <c r="B6" i="46"/>
  <c r="M9" i="46"/>
  <c r="M7" i="46"/>
  <c r="M8" i="46"/>
  <c r="N11" i="46"/>
  <c r="N3" i="46"/>
  <c r="N10" i="46"/>
  <c r="N6" i="46"/>
  <c r="W3" i="46"/>
  <c r="W11" i="46"/>
  <c r="W6" i="46"/>
  <c r="W10" i="46"/>
  <c r="S11" i="46"/>
  <c r="S3" i="46"/>
  <c r="S10" i="46"/>
  <c r="S6" i="46"/>
  <c r="I3" i="46"/>
  <c r="I11" i="46"/>
  <c r="I10" i="46"/>
  <c r="I6" i="46"/>
  <c r="V9" i="46"/>
  <c r="V8" i="46"/>
  <c r="V7" i="46"/>
  <c r="X9" i="45"/>
  <c r="X8" i="45"/>
  <c r="X7" i="45"/>
  <c r="C9" i="45"/>
  <c r="C7" i="45"/>
  <c r="C8" i="45"/>
  <c r="G11" i="45"/>
  <c r="G3" i="45"/>
  <c r="G10" i="45"/>
  <c r="G6" i="45"/>
  <c r="Y3" i="45"/>
  <c r="Y11" i="45"/>
  <c r="Y6" i="45"/>
  <c r="Y10" i="45"/>
  <c r="W9" i="46"/>
  <c r="W8" i="46"/>
  <c r="W7" i="46"/>
  <c r="Z9" i="45"/>
  <c r="Z8" i="45"/>
  <c r="Z7" i="45"/>
  <c r="B9" i="45"/>
  <c r="B7" i="45"/>
  <c r="B8" i="45"/>
  <c r="AA11" i="45"/>
  <c r="AA3" i="45"/>
  <c r="AA6" i="45"/>
  <c r="AA10" i="45"/>
  <c r="F3" i="45"/>
  <c r="F11" i="45"/>
  <c r="F10" i="45"/>
  <c r="F6" i="45"/>
  <c r="O11" i="46"/>
  <c r="O3" i="46"/>
  <c r="O10" i="46"/>
  <c r="O6" i="46"/>
  <c r="P9" i="45"/>
  <c r="P7" i="45"/>
  <c r="P8" i="45"/>
  <c r="AB3" i="45"/>
  <c r="AB11" i="45"/>
  <c r="AB6" i="45"/>
  <c r="AB10" i="45"/>
  <c r="G3" i="46"/>
  <c r="G11" i="46"/>
  <c r="G10" i="46"/>
  <c r="G6" i="46"/>
  <c r="Z9" i="46"/>
  <c r="Z8" i="46"/>
  <c r="Z7" i="46"/>
  <c r="AA11" i="46"/>
  <c r="AA6" i="46"/>
  <c r="AA3" i="46"/>
  <c r="AA10" i="46"/>
  <c r="J11" i="45"/>
  <c r="J3" i="45"/>
  <c r="J10" i="45"/>
  <c r="J6" i="45"/>
  <c r="O9" i="45"/>
  <c r="O7" i="45"/>
  <c r="O8" i="45"/>
  <c r="K11" i="46"/>
  <c r="K3" i="46"/>
  <c r="K10" i="46"/>
  <c r="K6" i="46"/>
  <c r="AB11" i="46"/>
  <c r="AB6" i="46"/>
  <c r="AB10" i="46"/>
  <c r="AB3" i="46"/>
  <c r="Y9" i="45"/>
  <c r="Y8" i="45"/>
  <c r="Y7" i="45"/>
  <c r="R9" i="45"/>
  <c r="R7" i="45"/>
  <c r="R8" i="45"/>
  <c r="Q9" i="45"/>
  <c r="Q7" i="45"/>
  <c r="Q8" i="45"/>
  <c r="H9" i="45"/>
  <c r="H7" i="45"/>
  <c r="H8" i="45"/>
  <c r="N9" i="45"/>
  <c r="N7" i="45"/>
  <c r="N8" i="45"/>
  <c r="E3" i="45"/>
  <c r="E11" i="45"/>
  <c r="E10" i="45"/>
  <c r="E6" i="45"/>
  <c r="AA9" i="45"/>
  <c r="AA8" i="45"/>
  <c r="AA7" i="45"/>
  <c r="F9" i="45"/>
  <c r="F7" i="45"/>
  <c r="F8" i="45"/>
  <c r="L3" i="45"/>
  <c r="L11" i="45"/>
  <c r="L10" i="45"/>
  <c r="L6" i="45"/>
  <c r="D3" i="45"/>
  <c r="D11" i="45"/>
  <c r="D10" i="45"/>
  <c r="D6" i="45"/>
  <c r="J3" i="46"/>
  <c r="J11" i="46"/>
  <c r="J10" i="46"/>
  <c r="J6" i="46"/>
  <c r="E9" i="45"/>
  <c r="E7" i="45"/>
  <c r="E8" i="45"/>
  <c r="B11" i="45"/>
  <c r="B3" i="45"/>
  <c r="B10" i="45"/>
  <c r="B6" i="45"/>
  <c r="M9" i="45"/>
  <c r="M7" i="45"/>
  <c r="M8" i="45"/>
  <c r="F11" i="46"/>
  <c r="F3" i="46"/>
  <c r="F10" i="46"/>
  <c r="F6" i="46"/>
  <c r="Y9" i="46"/>
  <c r="Y8" i="46"/>
  <c r="Y7" i="46"/>
  <c r="R9" i="46"/>
  <c r="R7" i="46"/>
  <c r="R8" i="46"/>
  <c r="AA9" i="46"/>
  <c r="AA8" i="46"/>
  <c r="AA7" i="46"/>
  <c r="F9" i="46"/>
  <c r="F7" i="46"/>
  <c r="F8" i="46"/>
  <c r="L11" i="46"/>
  <c r="L10" i="46"/>
  <c r="L6" i="46"/>
  <c r="L3" i="46"/>
  <c r="D11" i="46"/>
  <c r="D10" i="46"/>
  <c r="D3" i="46"/>
  <c r="D6" i="46"/>
  <c r="K9" i="45"/>
  <c r="K7" i="45"/>
  <c r="K8" i="45"/>
  <c r="T9" i="46"/>
  <c r="T7" i="46"/>
  <c r="T8" i="46"/>
  <c r="R11" i="45"/>
  <c r="R3" i="45"/>
  <c r="R10" i="45"/>
  <c r="R6" i="45"/>
  <c r="T3" i="45"/>
  <c r="T10" i="45"/>
  <c r="T11" i="45"/>
  <c r="T6" i="45"/>
  <c r="Z11" i="45"/>
  <c r="Z3" i="45"/>
  <c r="Z6" i="45"/>
  <c r="Z10" i="45"/>
  <c r="K11" i="45"/>
  <c r="K3" i="45"/>
  <c r="K10" i="45"/>
  <c r="K6" i="45"/>
  <c r="X9" i="46"/>
  <c r="X8" i="46"/>
  <c r="X7" i="46"/>
  <c r="C9" i="46"/>
  <c r="C8" i="46"/>
  <c r="C7" i="46"/>
  <c r="H9" i="46"/>
  <c r="H7" i="46"/>
  <c r="H8" i="46"/>
  <c r="B9" i="46"/>
  <c r="B7" i="46"/>
  <c r="B8" i="46"/>
  <c r="M3" i="45"/>
  <c r="M11" i="45"/>
  <c r="M10" i="45"/>
  <c r="M6" i="45"/>
  <c r="N9" i="46"/>
  <c r="N7" i="46"/>
  <c r="N8" i="46"/>
  <c r="E11" i="46"/>
  <c r="E3" i="46"/>
  <c r="E10" i="46"/>
  <c r="E6" i="46"/>
  <c r="S9" i="45"/>
  <c r="S7" i="45"/>
  <c r="S8" i="45"/>
  <c r="I9" i="45"/>
  <c r="I7" i="45"/>
  <c r="I8" i="45"/>
  <c r="M11" i="46"/>
  <c r="M3" i="46"/>
  <c r="M10" i="46"/>
  <c r="M6" i="46"/>
  <c r="H11" i="45"/>
  <c r="H3" i="45"/>
  <c r="H10" i="45"/>
  <c r="H6" i="45"/>
  <c r="G9" i="45"/>
  <c r="G7" i="45"/>
  <c r="G8" i="45"/>
  <c r="V3" i="45"/>
  <c r="V11" i="45"/>
  <c r="V6" i="45"/>
  <c r="V10" i="45"/>
  <c r="X3" i="45"/>
  <c r="X11" i="45"/>
  <c r="X6" i="45"/>
  <c r="X10" i="45"/>
  <c r="C11" i="45"/>
  <c r="C3" i="45"/>
  <c r="C10" i="45"/>
  <c r="C6" i="45"/>
  <c r="L9" i="45"/>
  <c r="L7" i="45"/>
  <c r="L8" i="45"/>
  <c r="D9" i="45"/>
  <c r="D7" i="45"/>
  <c r="D8" i="45"/>
  <c r="P11" i="45"/>
  <c r="P3" i="45"/>
  <c r="P10" i="45"/>
  <c r="P6" i="45"/>
  <c r="U3" i="45"/>
  <c r="U11" i="45"/>
  <c r="U6" i="45"/>
  <c r="U10" i="45"/>
  <c r="J9" i="45"/>
  <c r="J7" i="45"/>
  <c r="J8" i="45"/>
  <c r="Y11" i="46"/>
  <c r="Y3" i="46"/>
  <c r="Y6" i="46"/>
  <c r="Y10" i="46"/>
  <c r="O9" i="46"/>
  <c r="O7" i="46"/>
  <c r="O8" i="46"/>
  <c r="Q9" i="46"/>
  <c r="Q7" i="46"/>
  <c r="Q8" i="46"/>
  <c r="S9" i="46"/>
  <c r="S7" i="46"/>
  <c r="S8" i="46"/>
  <c r="I9" i="46"/>
  <c r="I7" i="46"/>
  <c r="I8" i="46"/>
  <c r="O3" i="45"/>
  <c r="O11" i="45"/>
  <c r="O10" i="45"/>
  <c r="O6" i="45"/>
  <c r="T9" i="45"/>
  <c r="T7" i="45"/>
  <c r="T8" i="45"/>
  <c r="H3" i="46"/>
  <c r="H11" i="46"/>
  <c r="H10" i="46"/>
  <c r="H6" i="46"/>
  <c r="G9" i="46"/>
  <c r="G7" i="46"/>
  <c r="G8" i="46"/>
  <c r="V3" i="46"/>
  <c r="V11" i="46"/>
  <c r="V6" i="46"/>
  <c r="V10" i="46"/>
  <c r="X3" i="46"/>
  <c r="X11" i="46"/>
  <c r="X6" i="46"/>
  <c r="X10" i="46"/>
  <c r="C11" i="46"/>
  <c r="C3" i="46"/>
  <c r="C10" i="46"/>
  <c r="C6" i="46"/>
  <c r="L9" i="46"/>
  <c r="L7" i="46"/>
  <c r="L8" i="46"/>
  <c r="D9" i="46"/>
  <c r="D7" i="46"/>
  <c r="D8" i="46"/>
  <c r="P11" i="46"/>
  <c r="P3" i="46"/>
  <c r="P10" i="46"/>
  <c r="P6" i="46"/>
  <c r="U11" i="46"/>
  <c r="U6" i="46"/>
  <c r="U3" i="46"/>
  <c r="U10" i="46"/>
  <c r="J9" i="46"/>
  <c r="J7" i="46"/>
  <c r="J8" i="46"/>
  <c r="B11" i="6"/>
  <c r="C11" i="6"/>
  <c r="D11" i="6"/>
  <c r="E11" i="6"/>
  <c r="F11" i="6"/>
  <c r="B9" i="6"/>
  <c r="B10" i="6"/>
  <c r="D9" i="6"/>
  <c r="E9" i="6"/>
  <c r="F9" i="6"/>
  <c r="D10" i="6"/>
  <c r="E10" i="6"/>
  <c r="F10" i="6"/>
  <c r="C10" i="6"/>
  <c r="C9" i="6"/>
  <c r="B14" i="6" l="1"/>
  <c r="AF14" i="6"/>
  <c r="AF19" i="6" s="1"/>
  <c r="AB14" i="6"/>
  <c r="X14" i="6"/>
  <c r="X19" i="6" s="1"/>
  <c r="T14" i="6"/>
  <c r="T19" i="6" s="1"/>
  <c r="P14" i="6"/>
  <c r="P19" i="6" s="1"/>
  <c r="AE14" i="6"/>
  <c r="AE19" i="6" s="1"/>
  <c r="AA14" i="6"/>
  <c r="AA19" i="6" s="1"/>
  <c r="W14" i="6"/>
  <c r="W19" i="6" s="1"/>
  <c r="S14" i="6"/>
  <c r="O14" i="6"/>
  <c r="AD14" i="6"/>
  <c r="AD19" i="6" s="1"/>
  <c r="Z14" i="6"/>
  <c r="Z19" i="6" s="1"/>
  <c r="V14" i="6"/>
  <c r="V19" i="6" s="1"/>
  <c r="R14" i="6"/>
  <c r="R19" i="6" s="1"/>
  <c r="N14" i="6"/>
  <c r="N19" i="6" s="1"/>
  <c r="AC14" i="6"/>
  <c r="AC19" i="6" s="1"/>
  <c r="Y14" i="6"/>
  <c r="Y19" i="6" s="1"/>
  <c r="U14" i="6"/>
  <c r="Q14" i="6"/>
  <c r="Q19" i="6" s="1"/>
  <c r="M14" i="6"/>
  <c r="M19" i="6" s="1"/>
  <c r="L16" i="6"/>
  <c r="L21" i="6" s="1"/>
  <c r="H16" i="6"/>
  <c r="H21" i="6" s="1"/>
  <c r="D16" i="6"/>
  <c r="D21" i="6" s="1"/>
  <c r="K16" i="6"/>
  <c r="K21" i="6" s="1"/>
  <c r="G16" i="6"/>
  <c r="G21" i="6" s="1"/>
  <c r="C16" i="6"/>
  <c r="J16" i="6"/>
  <c r="J21" i="6" s="1"/>
  <c r="F16" i="6"/>
  <c r="F21" i="6" s="1"/>
  <c r="I16" i="6"/>
  <c r="I21" i="6" s="1"/>
  <c r="E16" i="6"/>
  <c r="E21" i="6" s="1"/>
  <c r="L14" i="6"/>
  <c r="L19" i="6" s="1"/>
  <c r="H14" i="6"/>
  <c r="H19" i="6" s="1"/>
  <c r="D14" i="6"/>
  <c r="D19" i="6" s="1"/>
  <c r="K14" i="6"/>
  <c r="G14" i="6"/>
  <c r="G19" i="6" s="1"/>
  <c r="C14" i="6"/>
  <c r="C19" i="6" s="1"/>
  <c r="J14" i="6"/>
  <c r="J19" i="6" s="1"/>
  <c r="F14" i="6"/>
  <c r="F19" i="6" s="1"/>
  <c r="I14" i="6"/>
  <c r="I19" i="6" s="1"/>
  <c r="E14" i="6"/>
  <c r="E19" i="6" s="1"/>
  <c r="AF15" i="6"/>
  <c r="AF20" i="6" s="1"/>
  <c r="AB15" i="6"/>
  <c r="X15" i="6"/>
  <c r="X20" i="6" s="1"/>
  <c r="T15" i="6"/>
  <c r="T20" i="6" s="1"/>
  <c r="P15" i="6"/>
  <c r="P20" i="6" s="1"/>
  <c r="AE15" i="6"/>
  <c r="AE20" i="6" s="1"/>
  <c r="AA15" i="6"/>
  <c r="AA20" i="6" s="1"/>
  <c r="W15" i="6"/>
  <c r="W20" i="6" s="1"/>
  <c r="S15" i="6"/>
  <c r="S20" i="6" s="1"/>
  <c r="O15" i="6"/>
  <c r="AD15" i="6"/>
  <c r="AD20" i="6" s="1"/>
  <c r="Z15" i="6"/>
  <c r="Z20" i="6" s="1"/>
  <c r="V15" i="6"/>
  <c r="V20" i="6" s="1"/>
  <c r="R15" i="6"/>
  <c r="R20" i="6" s="1"/>
  <c r="N15" i="6"/>
  <c r="N20" i="6" s="1"/>
  <c r="AC15" i="6"/>
  <c r="AC20" i="6" s="1"/>
  <c r="Y15" i="6"/>
  <c r="Y20" i="6" s="1"/>
  <c r="U15" i="6"/>
  <c r="Q15" i="6"/>
  <c r="Q20" i="6" s="1"/>
  <c r="M15" i="6"/>
  <c r="M20" i="6" s="1"/>
  <c r="B15" i="6"/>
  <c r="B16" i="6"/>
  <c r="L15" i="6"/>
  <c r="L20" i="6" s="1"/>
  <c r="H15" i="6"/>
  <c r="H20" i="6" s="1"/>
  <c r="D15" i="6"/>
  <c r="D20" i="6" s="1"/>
  <c r="K15" i="6"/>
  <c r="K20" i="6" s="1"/>
  <c r="G15" i="6"/>
  <c r="G20" i="6" s="1"/>
  <c r="C15" i="6"/>
  <c r="C20" i="6" s="1"/>
  <c r="J15" i="6"/>
  <c r="J20" i="6" s="1"/>
  <c r="F15" i="6"/>
  <c r="F20" i="6" s="1"/>
  <c r="I15" i="6"/>
  <c r="I20" i="6" s="1"/>
  <c r="E15" i="6"/>
  <c r="E20" i="6" s="1"/>
  <c r="AF16" i="6"/>
  <c r="AF21" i="6" s="1"/>
  <c r="AB16" i="6"/>
  <c r="AB21" i="6" s="1"/>
  <c r="X16" i="6"/>
  <c r="X21" i="6" s="1"/>
  <c r="T16" i="6"/>
  <c r="T21" i="6" s="1"/>
  <c r="P16" i="6"/>
  <c r="P21" i="6" s="1"/>
  <c r="AA16" i="6"/>
  <c r="AA21" i="6" s="1"/>
  <c r="W16" i="6"/>
  <c r="W21" i="6" s="1"/>
  <c r="S16" i="6"/>
  <c r="S21" i="6" s="1"/>
  <c r="O16" i="6"/>
  <c r="O21" i="6" s="1"/>
  <c r="AE16" i="6"/>
  <c r="AE21" i="6" s="1"/>
  <c r="AD16" i="6"/>
  <c r="AD21" i="6" s="1"/>
  <c r="Z16" i="6"/>
  <c r="Z21" i="6" s="1"/>
  <c r="V16" i="6"/>
  <c r="V21" i="6" s="1"/>
  <c r="R16" i="6"/>
  <c r="R21" i="6" s="1"/>
  <c r="N16" i="6"/>
  <c r="N21" i="6" s="1"/>
  <c r="Y16" i="6"/>
  <c r="Y21" i="6" s="1"/>
  <c r="U16" i="6"/>
  <c r="U21" i="6" s="1"/>
  <c r="Q16" i="6"/>
  <c r="Q21" i="6" s="1"/>
  <c r="M16" i="6"/>
  <c r="M21" i="6" s="1"/>
  <c r="AC16" i="6"/>
  <c r="AC21" i="6" s="1"/>
  <c r="I38" i="6"/>
  <c r="H38" i="6"/>
  <c r="F38" i="6"/>
  <c r="G38" i="6"/>
  <c r="E38" i="6"/>
  <c r="L38" i="6"/>
  <c r="D38" i="6"/>
  <c r="J38" i="6"/>
  <c r="K38" i="6"/>
  <c r="C38" i="6"/>
  <c r="Y37" i="6"/>
  <c r="Q37" i="6"/>
  <c r="N37" i="6"/>
  <c r="AF37" i="6"/>
  <c r="X37" i="6"/>
  <c r="P37" i="6"/>
  <c r="AE37" i="6"/>
  <c r="W37" i="6"/>
  <c r="O37" i="6"/>
  <c r="AD37" i="6"/>
  <c r="V37" i="6"/>
  <c r="AC37" i="6"/>
  <c r="U37" i="6"/>
  <c r="M37" i="6"/>
  <c r="Z37" i="6"/>
  <c r="AB37" i="6"/>
  <c r="T37" i="6"/>
  <c r="R37" i="6"/>
  <c r="AA37" i="6"/>
  <c r="S37" i="6"/>
  <c r="I37" i="6"/>
  <c r="H37" i="6"/>
  <c r="F37" i="6"/>
  <c r="G37" i="6"/>
  <c r="E37" i="6"/>
  <c r="L37" i="6"/>
  <c r="D37" i="6"/>
  <c r="K37" i="6"/>
  <c r="J37" i="6"/>
  <c r="Y38" i="6"/>
  <c r="Q38" i="6"/>
  <c r="V38" i="6"/>
  <c r="AF38" i="6"/>
  <c r="X38" i="6"/>
  <c r="P38" i="6"/>
  <c r="AE38" i="6"/>
  <c r="W38" i="6"/>
  <c r="O38" i="6"/>
  <c r="AD38" i="6"/>
  <c r="N38" i="6"/>
  <c r="AC38" i="6"/>
  <c r="U38" i="6"/>
  <c r="M38" i="6"/>
  <c r="R38" i="6"/>
  <c r="AB38" i="6"/>
  <c r="T38" i="6"/>
  <c r="AA38" i="6"/>
  <c r="S38" i="6"/>
  <c r="Z38" i="6"/>
  <c r="C21" i="6"/>
  <c r="K19" i="6"/>
  <c r="AB19" i="6"/>
  <c r="U19" i="6"/>
  <c r="S19" i="6"/>
  <c r="O20" i="6"/>
  <c r="U20" i="6"/>
  <c r="AB20" i="6"/>
  <c r="O19" i="6"/>
  <c r="V5" i="40" l="1"/>
  <c r="V5" i="41"/>
  <c r="V5" i="38"/>
  <c r="V5" i="39"/>
  <c r="O5" i="41"/>
  <c r="O5" i="39"/>
  <c r="O5" i="40"/>
  <c r="O5" i="38"/>
  <c r="F4" i="40"/>
  <c r="F4" i="38"/>
  <c r="F4" i="41"/>
  <c r="F4" i="39"/>
  <c r="M4" i="39"/>
  <c r="M4" i="40"/>
  <c r="M4" i="41"/>
  <c r="M4" i="38"/>
  <c r="Y5" i="39"/>
  <c r="Y5" i="40"/>
  <c r="Y5" i="41"/>
  <c r="Y5" i="38"/>
  <c r="J5" i="40"/>
  <c r="J5" i="41"/>
  <c r="J5" i="39"/>
  <c r="J5" i="38"/>
  <c r="R5" i="40"/>
  <c r="R5" i="41"/>
  <c r="R5" i="38"/>
  <c r="R5" i="39"/>
  <c r="D4" i="39"/>
  <c r="D4" i="40"/>
  <c r="D4" i="38"/>
  <c r="D4" i="41"/>
  <c r="I4" i="39"/>
  <c r="I4" i="40"/>
  <c r="I4" i="41"/>
  <c r="I4" i="38"/>
  <c r="Z4" i="40"/>
  <c r="Z4" i="41"/>
  <c r="Z4" i="39"/>
  <c r="Z4" i="38"/>
  <c r="I5" i="39"/>
  <c r="I5" i="40"/>
  <c r="I5" i="41"/>
  <c r="I5" i="38"/>
  <c r="L5" i="39"/>
  <c r="L5" i="40"/>
  <c r="L5" i="38"/>
  <c r="L5" i="41"/>
  <c r="E4" i="39"/>
  <c r="E4" i="40"/>
  <c r="E4" i="41"/>
  <c r="E4" i="38"/>
  <c r="Q4" i="39"/>
  <c r="Q4" i="40"/>
  <c r="Q4" i="41"/>
  <c r="Q4" i="38"/>
  <c r="T4" i="39"/>
  <c r="T4" i="40"/>
  <c r="T4" i="38"/>
  <c r="T4" i="41"/>
  <c r="U4" i="39"/>
  <c r="U4" i="40"/>
  <c r="U4" i="41"/>
  <c r="U4" i="38"/>
  <c r="H5" i="39"/>
  <c r="H5" i="40"/>
  <c r="H5" i="41"/>
  <c r="H5" i="38"/>
  <c r="D5" i="39"/>
  <c r="D5" i="40"/>
  <c r="D5" i="41"/>
  <c r="D5" i="38"/>
  <c r="AB5" i="41"/>
  <c r="AB5" i="39"/>
  <c r="AB5" i="40"/>
  <c r="AB5" i="38"/>
  <c r="N5" i="40"/>
  <c r="N5" i="41"/>
  <c r="N5" i="38"/>
  <c r="N5" i="39"/>
  <c r="AA5" i="41"/>
  <c r="AA5" i="39"/>
  <c r="AA5" i="38"/>
  <c r="AA5" i="40"/>
  <c r="H4" i="39"/>
  <c r="H4" i="40"/>
  <c r="H4" i="38"/>
  <c r="H4" i="41"/>
  <c r="N4" i="40"/>
  <c r="N4" i="38"/>
  <c r="N4" i="41"/>
  <c r="N4" i="39"/>
  <c r="L4" i="39"/>
  <c r="L4" i="40"/>
  <c r="L4" i="38"/>
  <c r="L4" i="41"/>
  <c r="B5" i="40"/>
  <c r="B5" i="41"/>
  <c r="B5" i="38"/>
  <c r="B5" i="39"/>
  <c r="W5" i="41"/>
  <c r="W5" i="39"/>
  <c r="W5" i="40"/>
  <c r="W5" i="38"/>
  <c r="Z5" i="40"/>
  <c r="Z5" i="41"/>
  <c r="Z5" i="39"/>
  <c r="Z5" i="38"/>
  <c r="M5" i="39"/>
  <c r="M5" i="40"/>
  <c r="M5" i="41"/>
  <c r="M5" i="38"/>
  <c r="P4" i="39"/>
  <c r="P4" i="40"/>
  <c r="P4" i="38"/>
  <c r="P4" i="41"/>
  <c r="K4" i="41"/>
  <c r="K4" i="38"/>
  <c r="K4" i="39"/>
  <c r="K4" i="40"/>
  <c r="P5" i="39"/>
  <c r="P5" i="40"/>
  <c r="P5" i="38"/>
  <c r="P5" i="41"/>
  <c r="Q5" i="39"/>
  <c r="Q5" i="40"/>
  <c r="Q5" i="41"/>
  <c r="Q5" i="38"/>
  <c r="K5" i="41"/>
  <c r="K5" i="39"/>
  <c r="K5" i="38"/>
  <c r="K5" i="40"/>
  <c r="T5" i="39"/>
  <c r="T5" i="40"/>
  <c r="T5" i="41"/>
  <c r="T5" i="38"/>
  <c r="U5" i="39"/>
  <c r="U5" i="40"/>
  <c r="U5" i="41"/>
  <c r="U5" i="38"/>
  <c r="G4" i="41"/>
  <c r="G4" i="38"/>
  <c r="G4" i="39"/>
  <c r="G4" i="40"/>
  <c r="C4" i="41"/>
  <c r="C4" i="38"/>
  <c r="C4" i="39"/>
  <c r="C4" i="40"/>
  <c r="O4" i="41"/>
  <c r="O4" i="38"/>
  <c r="O4" i="39"/>
  <c r="O4" i="40"/>
  <c r="X4" i="39"/>
  <c r="X4" i="40"/>
  <c r="X4" i="38"/>
  <c r="X4" i="41"/>
  <c r="Y4" i="39"/>
  <c r="Y4" i="40"/>
  <c r="Y4" i="41"/>
  <c r="Y4" i="38"/>
  <c r="S4" i="41"/>
  <c r="S4" i="38"/>
  <c r="S4" i="39"/>
  <c r="S4" i="40"/>
  <c r="AB4" i="39"/>
  <c r="AB4" i="40"/>
  <c r="AB4" i="38"/>
  <c r="AB4" i="41"/>
  <c r="G5" i="41"/>
  <c r="G5" i="39"/>
  <c r="G5" i="40"/>
  <c r="G5" i="38"/>
  <c r="E5" i="39"/>
  <c r="E5" i="40"/>
  <c r="E5" i="41"/>
  <c r="E5" i="38"/>
  <c r="X5" i="39"/>
  <c r="X5" i="40"/>
  <c r="X5" i="41"/>
  <c r="X5" i="38"/>
  <c r="S5" i="41"/>
  <c r="S5" i="39"/>
  <c r="S5" i="40"/>
  <c r="S5" i="38"/>
  <c r="B4" i="40"/>
  <c r="B4" i="38"/>
  <c r="B4" i="41"/>
  <c r="B4" i="39"/>
  <c r="W4" i="41"/>
  <c r="W4" i="38"/>
  <c r="W4" i="39"/>
  <c r="W4" i="40"/>
  <c r="V4" i="40"/>
  <c r="V4" i="41"/>
  <c r="V4" i="38"/>
  <c r="V4" i="39"/>
  <c r="R4" i="40"/>
  <c r="R4" i="38"/>
  <c r="R4" i="41"/>
  <c r="R4" i="39"/>
  <c r="AA4" i="41"/>
  <c r="AA4" i="38"/>
  <c r="AA4" i="39"/>
  <c r="AA4" i="40"/>
  <c r="J4" i="40"/>
  <c r="J4" i="38"/>
  <c r="J4" i="41"/>
  <c r="J4" i="39"/>
  <c r="F5" i="40"/>
  <c r="F5" i="41"/>
  <c r="F5" i="38"/>
  <c r="F5" i="39"/>
  <c r="C5" i="41"/>
  <c r="C5" i="39"/>
  <c r="C5" i="38"/>
  <c r="C5" i="40"/>
  <c r="E7" i="18"/>
  <c r="E7" i="34"/>
  <c r="AB4" i="18"/>
  <c r="AB4" i="34"/>
  <c r="Q7" i="34"/>
  <c r="Q7" i="18"/>
  <c r="U4" i="18"/>
  <c r="U4" i="34"/>
  <c r="AB5" i="18"/>
  <c r="AB5" i="34"/>
  <c r="T7" i="18"/>
  <c r="T7" i="34"/>
  <c r="J5" i="34"/>
  <c r="J5" i="18"/>
  <c r="E4" i="18"/>
  <c r="E4" i="34"/>
  <c r="I7" i="34"/>
  <c r="I7" i="18"/>
  <c r="D7" i="18"/>
  <c r="D7" i="34"/>
  <c r="AB7" i="18"/>
  <c r="AB7" i="34"/>
  <c r="S4" i="34"/>
  <c r="S4" i="18"/>
  <c r="R5" i="34"/>
  <c r="R5" i="18"/>
  <c r="D4" i="18"/>
  <c r="D4" i="34"/>
  <c r="D5" i="34"/>
  <c r="D5" i="18"/>
  <c r="M5" i="18"/>
  <c r="M5" i="34"/>
  <c r="G4" i="34"/>
  <c r="G4" i="18"/>
  <c r="G5" i="18"/>
  <c r="G5" i="34"/>
  <c r="S7" i="18"/>
  <c r="S7" i="34"/>
  <c r="W7" i="34"/>
  <c r="W7" i="18"/>
  <c r="N7" i="34"/>
  <c r="N7" i="18"/>
  <c r="C7" i="18"/>
  <c r="C7" i="34"/>
  <c r="B7" i="34"/>
  <c r="B7" i="18"/>
  <c r="K5" i="18"/>
  <c r="K5" i="34"/>
  <c r="C5" i="34"/>
  <c r="C5" i="18"/>
  <c r="H7" i="34"/>
  <c r="H7" i="18"/>
  <c r="K4" i="18"/>
  <c r="K4" i="34"/>
  <c r="Y5" i="34"/>
  <c r="Y5" i="18"/>
  <c r="X4" i="34"/>
  <c r="X4" i="18"/>
  <c r="P7" i="34"/>
  <c r="P7" i="18"/>
  <c r="V7" i="34"/>
  <c r="V7" i="18"/>
  <c r="B4" i="34"/>
  <c r="B4" i="18"/>
  <c r="AA4" i="18"/>
  <c r="AA4" i="34"/>
  <c r="Z5" i="34"/>
  <c r="Z5" i="18"/>
  <c r="Q4" i="34"/>
  <c r="Q4" i="18"/>
  <c r="U5" i="18"/>
  <c r="U5" i="34"/>
  <c r="K7" i="18"/>
  <c r="K7" i="34"/>
  <c r="O7" i="34"/>
  <c r="O7" i="18"/>
  <c r="F7" i="18"/>
  <c r="F7" i="34"/>
  <c r="M4" i="18"/>
  <c r="M4" i="34"/>
  <c r="Q5" i="34"/>
  <c r="Q5" i="18"/>
  <c r="X7" i="34"/>
  <c r="X7" i="18"/>
  <c r="T5" i="34"/>
  <c r="T5" i="18"/>
  <c r="Y4" i="34"/>
  <c r="Y4" i="18"/>
  <c r="AA5" i="18"/>
  <c r="AA5" i="34"/>
  <c r="F5" i="18"/>
  <c r="F5" i="34"/>
  <c r="X5" i="34"/>
  <c r="X5" i="18"/>
  <c r="C4" i="34"/>
  <c r="C4" i="18"/>
  <c r="O4" i="34"/>
  <c r="O4" i="18"/>
  <c r="V5" i="18"/>
  <c r="V5" i="34"/>
  <c r="I5" i="34"/>
  <c r="I5" i="18"/>
  <c r="R4" i="34"/>
  <c r="R4" i="18"/>
  <c r="J4" i="34"/>
  <c r="J4" i="18"/>
  <c r="Z7" i="34"/>
  <c r="Z7" i="18"/>
  <c r="G7" i="34"/>
  <c r="G7" i="18"/>
  <c r="M7" i="18"/>
  <c r="M7" i="34"/>
  <c r="AA7" i="18"/>
  <c r="AA7" i="34"/>
  <c r="H5" i="34"/>
  <c r="H5" i="18"/>
  <c r="V4" i="18"/>
  <c r="V4" i="34"/>
  <c r="B5" i="34"/>
  <c r="B5" i="18"/>
  <c r="W4" i="34"/>
  <c r="W4" i="18"/>
  <c r="I4" i="34"/>
  <c r="I4" i="18"/>
  <c r="F4" i="18"/>
  <c r="F4" i="34"/>
  <c r="H4" i="34"/>
  <c r="H4" i="18"/>
  <c r="W5" i="18"/>
  <c r="W5" i="34"/>
  <c r="R7" i="34"/>
  <c r="R7" i="18"/>
  <c r="N4" i="18"/>
  <c r="N4" i="34"/>
  <c r="P5" i="34"/>
  <c r="P5" i="18"/>
  <c r="P4" i="34"/>
  <c r="P4" i="18"/>
  <c r="Y7" i="34"/>
  <c r="Y7" i="18"/>
  <c r="N5" i="18"/>
  <c r="N5" i="34"/>
  <c r="T4" i="18"/>
  <c r="T4" i="34"/>
  <c r="L4" i="18"/>
  <c r="L4" i="34"/>
  <c r="L5" i="18"/>
  <c r="L5" i="34"/>
  <c r="Z4" i="34"/>
  <c r="Z4" i="18"/>
  <c r="E5" i="18"/>
  <c r="E5" i="34"/>
  <c r="O5" i="18"/>
  <c r="O5" i="34"/>
  <c r="S5" i="34"/>
  <c r="S5" i="18"/>
  <c r="J7" i="34"/>
  <c r="J7" i="18"/>
  <c r="U7" i="18"/>
  <c r="U7" i="34"/>
  <c r="L7" i="18"/>
  <c r="L7" i="34"/>
  <c r="C9" i="40" l="1"/>
  <c r="C8" i="40"/>
  <c r="C7" i="40"/>
  <c r="F9" i="39"/>
  <c r="F7" i="39"/>
  <c r="F8" i="39"/>
  <c r="J11" i="39"/>
  <c r="J3" i="39"/>
  <c r="J6" i="39"/>
  <c r="J10" i="39"/>
  <c r="AA11" i="40"/>
  <c r="AA3" i="40"/>
  <c r="AA6" i="40"/>
  <c r="AA10" i="40"/>
  <c r="R11" i="39"/>
  <c r="R3" i="39"/>
  <c r="R6" i="39"/>
  <c r="R10" i="39"/>
  <c r="V10" i="39"/>
  <c r="V3" i="39"/>
  <c r="V11" i="39"/>
  <c r="V6" i="39"/>
  <c r="W11" i="40"/>
  <c r="W3" i="40"/>
  <c r="W6" i="40"/>
  <c r="W10" i="40"/>
  <c r="B11" i="39"/>
  <c r="B3" i="39"/>
  <c r="B10" i="39"/>
  <c r="B6" i="39"/>
  <c r="S8" i="38"/>
  <c r="S9" i="38"/>
  <c r="S7" i="38"/>
  <c r="X9" i="38"/>
  <c r="X7" i="38"/>
  <c r="X8" i="38"/>
  <c r="E7" i="38"/>
  <c r="E9" i="38"/>
  <c r="E8" i="38"/>
  <c r="G8" i="38"/>
  <c r="G7" i="38"/>
  <c r="G9" i="38"/>
  <c r="AB11" i="41"/>
  <c r="AB3" i="41"/>
  <c r="AB6" i="41"/>
  <c r="AB10" i="41"/>
  <c r="S11" i="40"/>
  <c r="S3" i="40"/>
  <c r="S6" i="40"/>
  <c r="S10" i="40"/>
  <c r="Y3" i="38"/>
  <c r="Y10" i="38"/>
  <c r="Y11" i="38"/>
  <c r="Y6" i="38"/>
  <c r="X11" i="41"/>
  <c r="X3" i="41"/>
  <c r="X6" i="41"/>
  <c r="X10" i="41"/>
  <c r="O11" i="40"/>
  <c r="O3" i="40"/>
  <c r="O6" i="40"/>
  <c r="O10" i="40"/>
  <c r="C11" i="40"/>
  <c r="C3" i="40"/>
  <c r="C6" i="40"/>
  <c r="C10" i="40"/>
  <c r="G11" i="40"/>
  <c r="G3" i="40"/>
  <c r="G6" i="40"/>
  <c r="G10" i="40"/>
  <c r="U7" i="38"/>
  <c r="U9" i="38"/>
  <c r="U8" i="38"/>
  <c r="T8" i="38"/>
  <c r="T7" i="38"/>
  <c r="T9" i="38"/>
  <c r="K9" i="40"/>
  <c r="K7" i="40"/>
  <c r="K8" i="40"/>
  <c r="Q9" i="38"/>
  <c r="Q8" i="38"/>
  <c r="Q7" i="38"/>
  <c r="P9" i="41"/>
  <c r="P7" i="41"/>
  <c r="P8" i="41"/>
  <c r="K11" i="40"/>
  <c r="K3" i="40"/>
  <c r="K6" i="40"/>
  <c r="K10" i="40"/>
  <c r="P11" i="41"/>
  <c r="P3" i="41"/>
  <c r="P6" i="41"/>
  <c r="P10" i="41"/>
  <c r="M8" i="38"/>
  <c r="M7" i="38"/>
  <c r="M9" i="38"/>
  <c r="Z9" i="38"/>
  <c r="Z8" i="38"/>
  <c r="Z7" i="38"/>
  <c r="W8" i="38"/>
  <c r="W9" i="38"/>
  <c r="W7" i="38"/>
  <c r="B9" i="39"/>
  <c r="B7" i="39"/>
  <c r="B8" i="39"/>
  <c r="L11" i="41"/>
  <c r="L3" i="41"/>
  <c r="L6" i="41"/>
  <c r="L10" i="41"/>
  <c r="N10" i="39"/>
  <c r="N3" i="39"/>
  <c r="N6" i="39"/>
  <c r="N11" i="39"/>
  <c r="H11" i="41"/>
  <c r="H3" i="41"/>
  <c r="H10" i="41"/>
  <c r="H6" i="41"/>
  <c r="AA9" i="40"/>
  <c r="AA7" i="40"/>
  <c r="AA8" i="40"/>
  <c r="N7" i="39"/>
  <c r="N8" i="39"/>
  <c r="N9" i="39"/>
  <c r="AB8" i="38"/>
  <c r="AB7" i="38"/>
  <c r="AB9" i="38"/>
  <c r="D9" i="38"/>
  <c r="D7" i="38"/>
  <c r="D8" i="38"/>
  <c r="H9" i="38"/>
  <c r="H7" i="38"/>
  <c r="H8" i="38"/>
  <c r="U10" i="38"/>
  <c r="U6" i="38"/>
  <c r="U3" i="38"/>
  <c r="U11" i="38"/>
  <c r="T11" i="41"/>
  <c r="T3" i="41"/>
  <c r="T6" i="41"/>
  <c r="T10" i="41"/>
  <c r="Q3" i="38"/>
  <c r="Q6" i="38"/>
  <c r="Q11" i="38"/>
  <c r="Q10" i="38"/>
  <c r="E10" i="38"/>
  <c r="E11" i="38"/>
  <c r="E6" i="38"/>
  <c r="E3" i="38"/>
  <c r="L9" i="41"/>
  <c r="L7" i="41"/>
  <c r="L8" i="41"/>
  <c r="I9" i="38"/>
  <c r="I8" i="38"/>
  <c r="I7" i="38"/>
  <c r="Z3" i="38"/>
  <c r="Z6" i="38"/>
  <c r="Z10" i="38"/>
  <c r="Z11" i="38"/>
  <c r="I3" i="38"/>
  <c r="I11" i="38"/>
  <c r="I10" i="38"/>
  <c r="I6" i="38"/>
  <c r="D11" i="41"/>
  <c r="D3" i="41"/>
  <c r="D10" i="41"/>
  <c r="D6" i="41"/>
  <c r="R9" i="39"/>
  <c r="R7" i="39"/>
  <c r="R8" i="39"/>
  <c r="J8" i="38"/>
  <c r="J7" i="38"/>
  <c r="J9" i="38"/>
  <c r="Y9" i="38"/>
  <c r="Y8" i="38"/>
  <c r="Y7" i="38"/>
  <c r="M10" i="38"/>
  <c r="M11" i="38"/>
  <c r="M6" i="38"/>
  <c r="M3" i="38"/>
  <c r="F10" i="39"/>
  <c r="F11" i="39"/>
  <c r="F3" i="39"/>
  <c r="F6" i="39"/>
  <c r="O7" i="38"/>
  <c r="O9" i="38"/>
  <c r="O8" i="38"/>
  <c r="V9" i="39"/>
  <c r="V7" i="39"/>
  <c r="V8" i="39"/>
  <c r="C7" i="38"/>
  <c r="C8" i="38"/>
  <c r="C9" i="38"/>
  <c r="F9" i="38"/>
  <c r="F8" i="38"/>
  <c r="F7" i="38"/>
  <c r="J11" i="41"/>
  <c r="J3" i="41"/>
  <c r="J6" i="41"/>
  <c r="J10" i="41"/>
  <c r="AA11" i="39"/>
  <c r="AA3" i="39"/>
  <c r="AA6" i="39"/>
  <c r="AA10" i="39"/>
  <c r="R11" i="41"/>
  <c r="R3" i="41"/>
  <c r="R10" i="41"/>
  <c r="R6" i="41"/>
  <c r="V3" i="38"/>
  <c r="V6" i="38"/>
  <c r="V11" i="38"/>
  <c r="V10" i="38"/>
  <c r="W11" i="39"/>
  <c r="W3" i="39"/>
  <c r="W6" i="39"/>
  <c r="W10" i="39"/>
  <c r="B11" i="41"/>
  <c r="B3" i="41"/>
  <c r="B6" i="41"/>
  <c r="B10" i="41"/>
  <c r="S9" i="40"/>
  <c r="S7" i="40"/>
  <c r="S8" i="40"/>
  <c r="X9" i="41"/>
  <c r="X7" i="41"/>
  <c r="X8" i="41"/>
  <c r="E9" i="41"/>
  <c r="E7" i="41"/>
  <c r="E8" i="41"/>
  <c r="G9" i="40"/>
  <c r="G7" i="40"/>
  <c r="G8" i="40"/>
  <c r="AB3" i="38"/>
  <c r="AB6" i="38"/>
  <c r="AB10" i="38"/>
  <c r="AB11" i="38"/>
  <c r="S11" i="39"/>
  <c r="S3" i="39"/>
  <c r="S6" i="39"/>
  <c r="S10" i="39"/>
  <c r="Y11" i="41"/>
  <c r="Y3" i="41"/>
  <c r="Y6" i="41"/>
  <c r="Y10" i="41"/>
  <c r="X3" i="38"/>
  <c r="X6" i="38"/>
  <c r="X10" i="38"/>
  <c r="X11" i="38"/>
  <c r="O11" i="39"/>
  <c r="O3" i="39"/>
  <c r="O6" i="39"/>
  <c r="O10" i="39"/>
  <c r="C11" i="39"/>
  <c r="C3" i="39"/>
  <c r="C6" i="39"/>
  <c r="C10" i="39"/>
  <c r="G11" i="39"/>
  <c r="G3" i="39"/>
  <c r="G6" i="39"/>
  <c r="G10" i="39"/>
  <c r="U9" i="41"/>
  <c r="U7" i="41"/>
  <c r="U8" i="41"/>
  <c r="T9" i="41"/>
  <c r="T7" i="41"/>
  <c r="T8" i="41"/>
  <c r="K7" i="38"/>
  <c r="K9" i="38"/>
  <c r="K8" i="38"/>
  <c r="Q9" i="41"/>
  <c r="Q7" i="41"/>
  <c r="Q8" i="41"/>
  <c r="P9" i="38"/>
  <c r="P7" i="38"/>
  <c r="P8" i="38"/>
  <c r="K11" i="39"/>
  <c r="K3" i="39"/>
  <c r="K6" i="39"/>
  <c r="K10" i="39"/>
  <c r="P3" i="38"/>
  <c r="P10" i="38"/>
  <c r="P11" i="38"/>
  <c r="P6" i="38"/>
  <c r="M9" i="41"/>
  <c r="M7" i="41"/>
  <c r="M8" i="41"/>
  <c r="Z9" i="39"/>
  <c r="Z7" i="39"/>
  <c r="Z8" i="39"/>
  <c r="W9" i="40"/>
  <c r="W7" i="40"/>
  <c r="W8" i="40"/>
  <c r="B8" i="38"/>
  <c r="B7" i="38"/>
  <c r="B9" i="38"/>
  <c r="L3" i="38"/>
  <c r="L6" i="38"/>
  <c r="L10" i="38"/>
  <c r="L11" i="38"/>
  <c r="N6" i="41"/>
  <c r="N11" i="41"/>
  <c r="N10" i="41"/>
  <c r="N3" i="41"/>
  <c r="H3" i="38"/>
  <c r="H6" i="38"/>
  <c r="H10" i="38"/>
  <c r="H11" i="38"/>
  <c r="AA7" i="38"/>
  <c r="AA9" i="38"/>
  <c r="AA8" i="38"/>
  <c r="N9" i="38"/>
  <c r="N8" i="38"/>
  <c r="N7" i="38"/>
  <c r="AB9" i="40"/>
  <c r="AB7" i="40"/>
  <c r="AB8" i="40"/>
  <c r="D9" i="41"/>
  <c r="D7" i="41"/>
  <c r="D8" i="41"/>
  <c r="H9" i="41"/>
  <c r="H7" i="41"/>
  <c r="H8" i="41"/>
  <c r="U11" i="41"/>
  <c r="U10" i="41"/>
  <c r="U3" i="41"/>
  <c r="U6" i="41"/>
  <c r="T3" i="38"/>
  <c r="T6" i="38"/>
  <c r="T11" i="38"/>
  <c r="T10" i="38"/>
  <c r="Q11" i="41"/>
  <c r="Q3" i="41"/>
  <c r="Q6" i="41"/>
  <c r="Q10" i="41"/>
  <c r="E11" i="41"/>
  <c r="E6" i="41"/>
  <c r="E10" i="41"/>
  <c r="E3" i="41"/>
  <c r="L8" i="38"/>
  <c r="L7" i="38"/>
  <c r="L9" i="38"/>
  <c r="I9" i="41"/>
  <c r="I7" i="41"/>
  <c r="I8" i="41"/>
  <c r="Z11" i="39"/>
  <c r="Z3" i="39"/>
  <c r="Z6" i="39"/>
  <c r="Z10" i="39"/>
  <c r="I11" i="41"/>
  <c r="I3" i="41"/>
  <c r="I10" i="41"/>
  <c r="I6" i="41"/>
  <c r="D3" i="38"/>
  <c r="D6" i="38"/>
  <c r="D10" i="38"/>
  <c r="D11" i="38"/>
  <c r="R8" i="38"/>
  <c r="R9" i="38"/>
  <c r="R7" i="38"/>
  <c r="J9" i="39"/>
  <c r="J7" i="39"/>
  <c r="J8" i="39"/>
  <c r="Y9" i="41"/>
  <c r="Y7" i="41"/>
  <c r="Y8" i="41"/>
  <c r="M11" i="41"/>
  <c r="M10" i="41"/>
  <c r="M6" i="41"/>
  <c r="M3" i="41"/>
  <c r="F11" i="41"/>
  <c r="F3" i="41"/>
  <c r="F6" i="41"/>
  <c r="F10" i="41"/>
  <c r="O9" i="40"/>
  <c r="O7" i="40"/>
  <c r="O8" i="40"/>
  <c r="V9" i="38"/>
  <c r="V7" i="38"/>
  <c r="V8" i="38"/>
  <c r="C9" i="39"/>
  <c r="C8" i="39"/>
  <c r="C7" i="39"/>
  <c r="F9" i="41"/>
  <c r="F7" i="41"/>
  <c r="F8" i="41"/>
  <c r="J3" i="38"/>
  <c r="J6" i="38"/>
  <c r="J11" i="38"/>
  <c r="J10" i="38"/>
  <c r="AA3" i="38"/>
  <c r="AA6" i="38"/>
  <c r="AA10" i="38"/>
  <c r="AA11" i="38"/>
  <c r="R3" i="38"/>
  <c r="R10" i="38"/>
  <c r="R6" i="38"/>
  <c r="R11" i="38"/>
  <c r="V6" i="41"/>
  <c r="V3" i="41"/>
  <c r="V10" i="41"/>
  <c r="V11" i="41"/>
  <c r="W3" i="38"/>
  <c r="W6" i="38"/>
  <c r="W11" i="38"/>
  <c r="W10" i="38"/>
  <c r="B3" i="38"/>
  <c r="B6" i="38"/>
  <c r="B10" i="38"/>
  <c r="B11" i="38"/>
  <c r="S9" i="39"/>
  <c r="S7" i="39"/>
  <c r="S8" i="39"/>
  <c r="X9" i="40"/>
  <c r="X7" i="40"/>
  <c r="X8" i="40"/>
  <c r="E9" i="40"/>
  <c r="E8" i="40"/>
  <c r="E7" i="40"/>
  <c r="G9" i="39"/>
  <c r="G7" i="39"/>
  <c r="G8" i="39"/>
  <c r="AB11" i="40"/>
  <c r="AB3" i="40"/>
  <c r="AB6" i="40"/>
  <c r="AB10" i="40"/>
  <c r="S3" i="38"/>
  <c r="S11" i="38"/>
  <c r="S10" i="38"/>
  <c r="S6" i="38"/>
  <c r="Y11" i="40"/>
  <c r="Y3" i="40"/>
  <c r="Y6" i="40"/>
  <c r="Y10" i="40"/>
  <c r="X11" i="40"/>
  <c r="X3" i="40"/>
  <c r="X6" i="40"/>
  <c r="X10" i="40"/>
  <c r="O3" i="38"/>
  <c r="O6" i="38"/>
  <c r="O11" i="38"/>
  <c r="O10" i="38"/>
  <c r="C3" i="38"/>
  <c r="C11" i="38"/>
  <c r="C6" i="38"/>
  <c r="C10" i="38"/>
  <c r="G3" i="38"/>
  <c r="G6" i="38"/>
  <c r="G11" i="38"/>
  <c r="G10" i="38"/>
  <c r="U7" i="40"/>
  <c r="U8" i="40"/>
  <c r="U9" i="40"/>
  <c r="T9" i="40"/>
  <c r="T7" i="40"/>
  <c r="T8" i="40"/>
  <c r="K9" i="39"/>
  <c r="K7" i="39"/>
  <c r="K8" i="39"/>
  <c r="Q9" i="40"/>
  <c r="Q8" i="40"/>
  <c r="Q7" i="40"/>
  <c r="P9" i="40"/>
  <c r="P8" i="40"/>
  <c r="P7" i="40"/>
  <c r="K3" i="38"/>
  <c r="K10" i="38"/>
  <c r="K6" i="38"/>
  <c r="K11" i="38"/>
  <c r="P11" i="40"/>
  <c r="P3" i="40"/>
  <c r="P10" i="40"/>
  <c r="P6" i="40"/>
  <c r="M9" i="40"/>
  <c r="M7" i="40"/>
  <c r="M8" i="40"/>
  <c r="Z9" i="41"/>
  <c r="Z7" i="41"/>
  <c r="Z8" i="41"/>
  <c r="W9" i="39"/>
  <c r="W7" i="39"/>
  <c r="W8" i="39"/>
  <c r="B9" i="41"/>
  <c r="B7" i="41"/>
  <c r="B8" i="41"/>
  <c r="L11" i="40"/>
  <c r="L3" i="40"/>
  <c r="L6" i="40"/>
  <c r="L10" i="40"/>
  <c r="N3" i="38"/>
  <c r="N11" i="38"/>
  <c r="N10" i="38"/>
  <c r="N6" i="38"/>
  <c r="H11" i="40"/>
  <c r="H3" i="40"/>
  <c r="H6" i="40"/>
  <c r="H10" i="40"/>
  <c r="AA9" i="39"/>
  <c r="AA7" i="39"/>
  <c r="AA8" i="39"/>
  <c r="N8" i="41"/>
  <c r="N9" i="41"/>
  <c r="N7" i="41"/>
  <c r="AB9" i="39"/>
  <c r="AB7" i="39"/>
  <c r="AB8" i="39"/>
  <c r="D9" i="40"/>
  <c r="D7" i="40"/>
  <c r="D8" i="40"/>
  <c r="H9" i="40"/>
  <c r="H7" i="40"/>
  <c r="H8" i="40"/>
  <c r="U10" i="40"/>
  <c r="U11" i="40"/>
  <c r="U3" i="40"/>
  <c r="U6" i="40"/>
  <c r="T11" i="40"/>
  <c r="T3" i="40"/>
  <c r="T6" i="40"/>
  <c r="T10" i="40"/>
  <c r="Q11" i="40"/>
  <c r="Q3" i="40"/>
  <c r="Q10" i="40"/>
  <c r="Q6" i="40"/>
  <c r="E11" i="40"/>
  <c r="E3" i="40"/>
  <c r="E6" i="40"/>
  <c r="E10" i="40"/>
  <c r="L9" i="40"/>
  <c r="L7" i="40"/>
  <c r="L8" i="40"/>
  <c r="I9" i="40"/>
  <c r="I7" i="40"/>
  <c r="I8" i="40"/>
  <c r="Z11" i="41"/>
  <c r="Z3" i="41"/>
  <c r="Z6" i="41"/>
  <c r="Z10" i="41"/>
  <c r="I11" i="40"/>
  <c r="I3" i="40"/>
  <c r="I6" i="40"/>
  <c r="I10" i="40"/>
  <c r="D11" i="40"/>
  <c r="D3" i="40"/>
  <c r="D6" i="40"/>
  <c r="D10" i="40"/>
  <c r="R9" i="41"/>
  <c r="R8" i="41"/>
  <c r="R7" i="41"/>
  <c r="J9" i="41"/>
  <c r="J7" i="41"/>
  <c r="J8" i="41"/>
  <c r="Y9" i="40"/>
  <c r="Y7" i="40"/>
  <c r="Y8" i="40"/>
  <c r="M11" i="40"/>
  <c r="M10" i="40"/>
  <c r="M3" i="40"/>
  <c r="M6" i="40"/>
  <c r="F3" i="38"/>
  <c r="F6" i="38"/>
  <c r="F10" i="38"/>
  <c r="F11" i="38"/>
  <c r="O9" i="39"/>
  <c r="O8" i="39"/>
  <c r="O7" i="39"/>
  <c r="V9" i="41"/>
  <c r="V7" i="41"/>
  <c r="V8" i="41"/>
  <c r="C9" i="41"/>
  <c r="C7" i="41"/>
  <c r="C8" i="41"/>
  <c r="F9" i="40"/>
  <c r="F7" i="40"/>
  <c r="F8" i="40"/>
  <c r="J11" i="40"/>
  <c r="J3" i="40"/>
  <c r="J6" i="40"/>
  <c r="J10" i="40"/>
  <c r="AA11" i="41"/>
  <c r="AA3" i="41"/>
  <c r="AA10" i="41"/>
  <c r="AA6" i="41"/>
  <c r="R11" i="40"/>
  <c r="R3" i="40"/>
  <c r="R6" i="40"/>
  <c r="R10" i="40"/>
  <c r="V11" i="40"/>
  <c r="V3" i="40"/>
  <c r="V6" i="40"/>
  <c r="V10" i="40"/>
  <c r="W11" i="41"/>
  <c r="W3" i="41"/>
  <c r="W6" i="41"/>
  <c r="W10" i="41"/>
  <c r="B11" i="40"/>
  <c r="B3" i="40"/>
  <c r="B10" i="40"/>
  <c r="B6" i="40"/>
  <c r="S9" i="41"/>
  <c r="S7" i="41"/>
  <c r="S8" i="41"/>
  <c r="X9" i="39"/>
  <c r="X7" i="39"/>
  <c r="X8" i="39"/>
  <c r="E9" i="39"/>
  <c r="E7" i="39"/>
  <c r="E8" i="39"/>
  <c r="G9" i="41"/>
  <c r="G7" i="41"/>
  <c r="G8" i="41"/>
  <c r="AB11" i="39"/>
  <c r="AB3" i="39"/>
  <c r="AB6" i="39"/>
  <c r="AB10" i="39"/>
  <c r="S11" i="41"/>
  <c r="S3" i="41"/>
  <c r="S6" i="41"/>
  <c r="S10" i="41"/>
  <c r="Y11" i="39"/>
  <c r="Y3" i="39"/>
  <c r="Y6" i="39"/>
  <c r="Y10" i="39"/>
  <c r="X11" i="39"/>
  <c r="X3" i="39"/>
  <c r="X6" i="39"/>
  <c r="X10" i="39"/>
  <c r="O11" i="41"/>
  <c r="O3" i="41"/>
  <c r="O6" i="41"/>
  <c r="O10" i="41"/>
  <c r="C11" i="41"/>
  <c r="C3" i="41"/>
  <c r="C6" i="41"/>
  <c r="C10" i="41"/>
  <c r="G11" i="41"/>
  <c r="G3" i="41"/>
  <c r="G10" i="41"/>
  <c r="G6" i="41"/>
  <c r="U9" i="39"/>
  <c r="U7" i="39"/>
  <c r="U8" i="39"/>
  <c r="T9" i="39"/>
  <c r="T7" i="39"/>
  <c r="T8" i="39"/>
  <c r="K9" i="41"/>
  <c r="K7" i="41"/>
  <c r="K8" i="41"/>
  <c r="Q9" i="39"/>
  <c r="Q7" i="39"/>
  <c r="Q8" i="39"/>
  <c r="P9" i="39"/>
  <c r="P7" i="39"/>
  <c r="P8" i="39"/>
  <c r="K11" i="41"/>
  <c r="K3" i="41"/>
  <c r="K6" i="41"/>
  <c r="K10" i="41"/>
  <c r="P11" i="39"/>
  <c r="P3" i="39"/>
  <c r="P6" i="39"/>
  <c r="P10" i="39"/>
  <c r="M9" i="39"/>
  <c r="M7" i="39"/>
  <c r="M8" i="39"/>
  <c r="Z9" i="40"/>
  <c r="Z7" i="40"/>
  <c r="Z8" i="40"/>
  <c r="W9" i="41"/>
  <c r="W7" i="41"/>
  <c r="W8" i="41"/>
  <c r="B9" i="40"/>
  <c r="B8" i="40"/>
  <c r="B7" i="40"/>
  <c r="L11" i="39"/>
  <c r="L3" i="39"/>
  <c r="L6" i="39"/>
  <c r="L10" i="39"/>
  <c r="N11" i="40"/>
  <c r="N3" i="40"/>
  <c r="N6" i="40"/>
  <c r="N10" i="40"/>
  <c r="H11" i="39"/>
  <c r="H3" i="39"/>
  <c r="H6" i="39"/>
  <c r="H10" i="39"/>
  <c r="AA9" i="41"/>
  <c r="AA7" i="41"/>
  <c r="AA8" i="41"/>
  <c r="N9" i="40"/>
  <c r="N7" i="40"/>
  <c r="N8" i="40"/>
  <c r="AB9" i="41"/>
  <c r="AB7" i="41"/>
  <c r="AB8" i="41"/>
  <c r="D9" i="39"/>
  <c r="D7" i="39"/>
  <c r="D8" i="39"/>
  <c r="H9" i="39"/>
  <c r="H8" i="39"/>
  <c r="H7" i="39"/>
  <c r="U11" i="39"/>
  <c r="U10" i="39"/>
  <c r="U3" i="39"/>
  <c r="U6" i="39"/>
  <c r="T11" i="39"/>
  <c r="T3" i="39"/>
  <c r="T6" i="39"/>
  <c r="T10" i="39"/>
  <c r="Q11" i="39"/>
  <c r="Q3" i="39"/>
  <c r="Q6" i="39"/>
  <c r="Q10" i="39"/>
  <c r="E11" i="39"/>
  <c r="E3" i="39"/>
  <c r="E10" i="39"/>
  <c r="E6" i="39"/>
  <c r="L9" i="39"/>
  <c r="L7" i="39"/>
  <c r="L8" i="39"/>
  <c r="I9" i="39"/>
  <c r="I8" i="39"/>
  <c r="I7" i="39"/>
  <c r="Z11" i="40"/>
  <c r="Z3" i="40"/>
  <c r="Z6" i="40"/>
  <c r="Z10" i="40"/>
  <c r="I11" i="39"/>
  <c r="I3" i="39"/>
  <c r="I6" i="39"/>
  <c r="I10" i="39"/>
  <c r="D11" i="39"/>
  <c r="D3" i="39"/>
  <c r="D10" i="39"/>
  <c r="D6" i="39"/>
  <c r="R9" i="40"/>
  <c r="R7" i="40"/>
  <c r="R8" i="40"/>
  <c r="J9" i="40"/>
  <c r="J7" i="40"/>
  <c r="J8" i="40"/>
  <c r="Y9" i="39"/>
  <c r="Y7" i="39"/>
  <c r="Y8" i="39"/>
  <c r="M11" i="39"/>
  <c r="M3" i="39"/>
  <c r="M10" i="39"/>
  <c r="M6" i="39"/>
  <c r="F11" i="40"/>
  <c r="F3" i="40"/>
  <c r="F6" i="40"/>
  <c r="F10" i="40"/>
  <c r="O9" i="41"/>
  <c r="O7" i="41"/>
  <c r="O8" i="41"/>
  <c r="V9" i="40"/>
  <c r="V7" i="40"/>
  <c r="V8" i="40"/>
  <c r="N6" i="34"/>
  <c r="N11" i="34"/>
  <c r="N10" i="34"/>
  <c r="N3" i="34"/>
  <c r="V9" i="34"/>
  <c r="V8" i="34"/>
  <c r="M10" i="18"/>
  <c r="M11" i="18"/>
  <c r="M6" i="18"/>
  <c r="M3" i="18"/>
  <c r="D9" i="34"/>
  <c r="D8" i="34"/>
  <c r="W9" i="34"/>
  <c r="W8" i="34"/>
  <c r="O3" i="18"/>
  <c r="O6" i="18"/>
  <c r="O11" i="18"/>
  <c r="O10" i="18"/>
  <c r="B3" i="18"/>
  <c r="B6" i="18"/>
  <c r="B10" i="18"/>
  <c r="B11" i="18"/>
  <c r="Y8" i="18"/>
  <c r="Y9" i="18"/>
  <c r="K9" i="34"/>
  <c r="K8" i="34"/>
  <c r="G9" i="34"/>
  <c r="G8" i="34"/>
  <c r="D11" i="34"/>
  <c r="D3" i="34"/>
  <c r="D6" i="34"/>
  <c r="D10" i="34"/>
  <c r="I6" i="18"/>
  <c r="I11" i="18"/>
  <c r="I10" i="18"/>
  <c r="I3" i="18"/>
  <c r="D8" i="18"/>
  <c r="D9" i="18"/>
  <c r="S9" i="34"/>
  <c r="S8" i="34"/>
  <c r="H9" i="34"/>
  <c r="H8" i="34"/>
  <c r="O9" i="34"/>
  <c r="O8" i="34"/>
  <c r="W3" i="18"/>
  <c r="W6" i="18"/>
  <c r="W10" i="18"/>
  <c r="W11" i="18"/>
  <c r="F9" i="34"/>
  <c r="F8" i="34"/>
  <c r="O8" i="18"/>
  <c r="O9" i="18"/>
  <c r="W8" i="18"/>
  <c r="W9" i="18"/>
  <c r="W11" i="34"/>
  <c r="W3" i="34"/>
  <c r="W6" i="34"/>
  <c r="W10" i="34"/>
  <c r="J11" i="34"/>
  <c r="J3" i="34"/>
  <c r="J6" i="34"/>
  <c r="J10" i="34"/>
  <c r="O11" i="34"/>
  <c r="O3" i="34"/>
  <c r="O6" i="34"/>
  <c r="O10" i="34"/>
  <c r="F9" i="18"/>
  <c r="F8" i="18"/>
  <c r="B11" i="34"/>
  <c r="B3" i="34"/>
  <c r="B6" i="34"/>
  <c r="B10" i="34"/>
  <c r="Y9" i="34"/>
  <c r="Y8" i="34"/>
  <c r="K8" i="18"/>
  <c r="K9" i="18"/>
  <c r="G8" i="18"/>
  <c r="G9" i="18"/>
  <c r="D6" i="18"/>
  <c r="D3" i="18"/>
  <c r="D11" i="18"/>
  <c r="D10" i="18"/>
  <c r="AB11" i="34"/>
  <c r="AB3" i="34"/>
  <c r="AB6" i="34"/>
  <c r="AB10" i="34"/>
  <c r="S8" i="18"/>
  <c r="S9" i="18"/>
  <c r="X8" i="18"/>
  <c r="X9" i="18"/>
  <c r="X6" i="18"/>
  <c r="X3" i="18"/>
  <c r="X10" i="18"/>
  <c r="X11" i="18"/>
  <c r="V9" i="18"/>
  <c r="V8" i="18"/>
  <c r="H3" i="18"/>
  <c r="H11" i="18"/>
  <c r="H6" i="18"/>
  <c r="H10" i="18"/>
  <c r="AA9" i="34"/>
  <c r="AA8" i="34"/>
  <c r="R8" i="18"/>
  <c r="R9" i="18"/>
  <c r="E9" i="18"/>
  <c r="E8" i="18"/>
  <c r="H11" i="34"/>
  <c r="H3" i="34"/>
  <c r="H6" i="34"/>
  <c r="H10" i="34"/>
  <c r="B9" i="34"/>
  <c r="B8" i="34"/>
  <c r="R11" i="34"/>
  <c r="R3" i="34"/>
  <c r="R6" i="34"/>
  <c r="R10" i="34"/>
  <c r="C11" i="34"/>
  <c r="C3" i="34"/>
  <c r="C10" i="34"/>
  <c r="C6" i="34"/>
  <c r="AA8" i="18"/>
  <c r="AA9" i="18"/>
  <c r="Q9" i="34"/>
  <c r="Q8" i="34"/>
  <c r="Z9" i="34"/>
  <c r="Z8" i="34"/>
  <c r="K6" i="18"/>
  <c r="K3" i="18"/>
  <c r="K10" i="18"/>
  <c r="K11" i="18"/>
  <c r="G11" i="34"/>
  <c r="G3" i="34"/>
  <c r="G6" i="34"/>
  <c r="G10" i="34"/>
  <c r="R9" i="34"/>
  <c r="R8" i="34"/>
  <c r="AB9" i="18"/>
  <c r="AB8" i="18"/>
  <c r="AB6" i="18"/>
  <c r="AB3" i="18"/>
  <c r="AB11" i="18"/>
  <c r="AB10" i="18"/>
  <c r="L9" i="34"/>
  <c r="L8" i="34"/>
  <c r="H8" i="18"/>
  <c r="H9" i="18"/>
  <c r="T9" i="18"/>
  <c r="T8" i="18"/>
  <c r="AA11" i="34"/>
  <c r="AA3" i="34"/>
  <c r="AA10" i="34"/>
  <c r="AA6" i="34"/>
  <c r="J9" i="18"/>
  <c r="J8" i="18"/>
  <c r="N9" i="18"/>
  <c r="N8" i="18"/>
  <c r="I11" i="34"/>
  <c r="I3" i="34"/>
  <c r="I6" i="34"/>
  <c r="I10" i="34"/>
  <c r="X9" i="34"/>
  <c r="X8" i="34"/>
  <c r="AA3" i="18"/>
  <c r="AA6" i="18"/>
  <c r="AA10" i="18"/>
  <c r="AA11" i="18"/>
  <c r="C9" i="34"/>
  <c r="C8" i="34"/>
  <c r="J9" i="34"/>
  <c r="J8" i="34"/>
  <c r="J3" i="18"/>
  <c r="J6" i="18"/>
  <c r="J11" i="18"/>
  <c r="J10" i="18"/>
  <c r="E9" i="34"/>
  <c r="E8" i="34"/>
  <c r="P3" i="18"/>
  <c r="P6" i="18"/>
  <c r="P11" i="18"/>
  <c r="P10" i="18"/>
  <c r="B9" i="18"/>
  <c r="B8" i="18"/>
  <c r="R3" i="18"/>
  <c r="R10" i="18"/>
  <c r="R6" i="18"/>
  <c r="R11" i="18"/>
  <c r="Q8" i="18"/>
  <c r="Q9" i="18"/>
  <c r="L6" i="18"/>
  <c r="L3" i="18"/>
  <c r="L11" i="18"/>
  <c r="L10" i="18"/>
  <c r="Z3" i="18"/>
  <c r="Z6" i="18"/>
  <c r="Z10" i="18"/>
  <c r="Z11" i="18"/>
  <c r="T11" i="34"/>
  <c r="T3" i="34"/>
  <c r="T6" i="34"/>
  <c r="T10" i="34"/>
  <c r="P8" i="18"/>
  <c r="P9" i="18"/>
  <c r="F10" i="34"/>
  <c r="F11" i="34"/>
  <c r="F3" i="34"/>
  <c r="F6" i="34"/>
  <c r="V11" i="34"/>
  <c r="V10" i="34"/>
  <c r="V3" i="34"/>
  <c r="V6" i="34"/>
  <c r="I8" i="18"/>
  <c r="I9" i="18"/>
  <c r="Y6" i="18"/>
  <c r="Y10" i="18"/>
  <c r="Y11" i="18"/>
  <c r="Y3" i="18"/>
  <c r="U9" i="34"/>
  <c r="U8" i="34"/>
  <c r="M9" i="34"/>
  <c r="M8" i="34"/>
  <c r="S6" i="18"/>
  <c r="S11" i="18"/>
  <c r="S10" i="18"/>
  <c r="S3" i="18"/>
  <c r="E11" i="34"/>
  <c r="E3" i="34"/>
  <c r="E6" i="34"/>
  <c r="E10" i="34"/>
  <c r="U10" i="34"/>
  <c r="U3" i="34"/>
  <c r="U6" i="34"/>
  <c r="U11" i="34"/>
  <c r="N9" i="34"/>
  <c r="N8" i="34"/>
  <c r="M6" i="34"/>
  <c r="M10" i="34"/>
  <c r="M3" i="34"/>
  <c r="M11" i="34"/>
  <c r="Q6" i="18"/>
  <c r="Q11" i="18"/>
  <c r="Q10" i="18"/>
  <c r="Q3" i="18"/>
  <c r="C9" i="18"/>
  <c r="C8" i="18"/>
  <c r="L8" i="18"/>
  <c r="L9" i="18"/>
  <c r="N3" i="18"/>
  <c r="N6" i="18"/>
  <c r="N10" i="18"/>
  <c r="N11" i="18"/>
  <c r="T9" i="34"/>
  <c r="T8" i="34"/>
  <c r="Q11" i="34"/>
  <c r="Q3" i="34"/>
  <c r="Q10" i="34"/>
  <c r="Q6" i="34"/>
  <c r="X11" i="34"/>
  <c r="X3" i="34"/>
  <c r="X6" i="34"/>
  <c r="X10" i="34"/>
  <c r="L11" i="34"/>
  <c r="L3" i="34"/>
  <c r="L6" i="34"/>
  <c r="L10" i="34"/>
  <c r="C6" i="18"/>
  <c r="C10" i="18"/>
  <c r="C11" i="18"/>
  <c r="C3" i="18"/>
  <c r="Z8" i="18"/>
  <c r="Z9" i="18"/>
  <c r="K11" i="34"/>
  <c r="K3" i="34"/>
  <c r="K6" i="34"/>
  <c r="K10" i="34"/>
  <c r="G3" i="18"/>
  <c r="G10" i="18"/>
  <c r="G11" i="18"/>
  <c r="G6" i="18"/>
  <c r="AB9" i="34"/>
  <c r="AB8" i="34"/>
  <c r="P11" i="34"/>
  <c r="P3" i="34"/>
  <c r="P6" i="34"/>
  <c r="P10" i="34"/>
  <c r="Z11" i="34"/>
  <c r="Z3" i="34"/>
  <c r="Z6" i="34"/>
  <c r="Z10" i="34"/>
  <c r="T6" i="18"/>
  <c r="T3" i="18"/>
  <c r="T11" i="18"/>
  <c r="T10" i="18"/>
  <c r="P9" i="34"/>
  <c r="P8" i="34"/>
  <c r="F3" i="18"/>
  <c r="F6" i="18"/>
  <c r="F10" i="18"/>
  <c r="F11" i="18"/>
  <c r="V3" i="18"/>
  <c r="V6" i="18"/>
  <c r="V11" i="18"/>
  <c r="V10" i="18"/>
  <c r="I9" i="34"/>
  <c r="I8" i="34"/>
  <c r="Y11" i="34"/>
  <c r="Y3" i="34"/>
  <c r="Y6" i="34"/>
  <c r="Y10" i="34"/>
  <c r="U9" i="18"/>
  <c r="U8" i="18"/>
  <c r="M9" i="18"/>
  <c r="M8" i="18"/>
  <c r="S11" i="34"/>
  <c r="S3" i="34"/>
  <c r="S6" i="34"/>
  <c r="S10" i="34"/>
  <c r="E10" i="18"/>
  <c r="E11" i="18"/>
  <c r="E6" i="18"/>
  <c r="E3" i="18"/>
  <c r="U10" i="18"/>
  <c r="U6" i="18"/>
  <c r="U3" i="18"/>
  <c r="U11" i="18"/>
</calcChain>
</file>

<file path=xl/sharedStrings.xml><?xml version="1.0" encoding="utf-8"?>
<sst xmlns="http://schemas.openxmlformats.org/spreadsheetml/2006/main" count="1332" uniqueCount="648">
  <si>
    <t xml:space="preserve">Installed Base </t>
  </si>
  <si>
    <t xml:space="preserve">Current Standard </t>
  </si>
  <si>
    <t xml:space="preserve">Typical </t>
  </si>
  <si>
    <t xml:space="preserve">ENERGY STAR </t>
  </si>
  <si>
    <t xml:space="preserve">High </t>
  </si>
  <si>
    <t xml:space="preserve">Average Life (yrs) </t>
  </si>
  <si>
    <t xml:space="preserve">Retail Equipment Cost (2017$) </t>
  </si>
  <si>
    <t xml:space="preserve">Typical Capacity (gal) </t>
  </si>
  <si>
    <t xml:space="preserve">Uniform Energy Factor (UEF)* </t>
  </si>
  <si>
    <t xml:space="preserve">Total Installed Cost (2017$)** </t>
  </si>
  <si>
    <t xml:space="preserve">Annual Maintenance Cost (2017$)*** </t>
  </si>
  <si>
    <t xml:space="preserve">- </t>
  </si>
  <si>
    <t>Residential Equipment</t>
  </si>
  <si>
    <t>natural gas</t>
  </si>
  <si>
    <t>oil</t>
  </si>
  <si>
    <t>Key Indicators</t>
  </si>
  <si>
    <t>Electricity Related Losses</t>
  </si>
  <si>
    <t>Heating Degree Days</t>
  </si>
  <si>
    <t>Cooling Degree Days</t>
  </si>
  <si>
    <t>Equipment Stock (million units)</t>
  </si>
  <si>
    <t>Stock Average Equipment Efficiency</t>
  </si>
  <si>
    <t>Heating Energy Consumption per Unit per Year by Fuel (btu/unit)</t>
  </si>
  <si>
    <t>Incremental Equipment Cost</t>
  </si>
  <si>
    <r>
      <rPr>
        <b/>
        <sz val="11"/>
        <color rgb="FFFFFFFF"/>
        <rFont val="Calibri"/>
        <family val="2"/>
      </rPr>
      <t>DATA</t>
    </r>
  </si>
  <si>
    <r>
      <rPr>
        <b/>
        <sz val="11"/>
        <rFont val="Calibri"/>
        <family val="2"/>
      </rPr>
      <t>Installed Base</t>
    </r>
  </si>
  <si>
    <r>
      <rPr>
        <b/>
        <sz val="11"/>
        <rFont val="Calibri"/>
        <family val="2"/>
      </rPr>
      <t>Current Standard</t>
    </r>
  </si>
  <si>
    <r>
      <rPr>
        <b/>
        <sz val="11"/>
        <rFont val="Calibri"/>
        <family val="2"/>
      </rPr>
      <t>Typical</t>
    </r>
  </si>
  <si>
    <r>
      <rPr>
        <b/>
        <sz val="11"/>
        <rFont val="Calibri"/>
        <family val="2"/>
      </rPr>
      <t>ENERGY STAR</t>
    </r>
  </si>
  <si>
    <r>
      <rPr>
        <b/>
        <sz val="11"/>
        <rFont val="Calibri"/>
        <family val="2"/>
      </rPr>
      <t>High</t>
    </r>
  </si>
  <si>
    <r>
      <rPr>
        <b/>
        <sz val="11"/>
        <rFont val="Calibri"/>
        <family val="2"/>
      </rPr>
      <t>High      Typical</t>
    </r>
  </si>
  <si>
    <r>
      <rPr>
        <b/>
        <sz val="11"/>
        <rFont val="Calibri"/>
        <family val="2"/>
      </rPr>
      <t>Typical Input Capacity (kBtu/h)</t>
    </r>
  </si>
  <si>
    <r>
      <rPr>
        <b/>
        <sz val="11"/>
        <rFont val="Calibri"/>
        <family val="2"/>
      </rPr>
      <t>AFUE (%)</t>
    </r>
  </si>
  <si>
    <r>
      <rPr>
        <b/>
        <sz val="11"/>
        <rFont val="Calibri"/>
        <family val="2"/>
      </rPr>
      <t>Electric Consumption (kWh/yr)*</t>
    </r>
  </si>
  <si>
    <r>
      <rPr>
        <b/>
        <sz val="11"/>
        <rFont val="Calibri"/>
        <family val="2"/>
      </rPr>
      <t>Average Life (yrs)**</t>
    </r>
  </si>
  <si>
    <r>
      <rPr>
        <b/>
        <sz val="11"/>
        <rFont val="Calibri"/>
        <family val="2"/>
      </rPr>
      <t>Retail Equipment Cost (2017$)</t>
    </r>
  </si>
  <si>
    <r>
      <rPr>
        <b/>
        <sz val="11"/>
        <rFont val="Calibri"/>
        <family val="2"/>
      </rPr>
      <t>Total Installed Cost (2017$)</t>
    </r>
  </si>
  <si>
    <r>
      <rPr>
        <b/>
        <sz val="11"/>
        <rFont val="Calibri"/>
        <family val="2"/>
      </rPr>
      <t>Annual Maintenance Cost (2017$)</t>
    </r>
  </si>
  <si>
    <t>Residential Oil Fired Furnaces</t>
  </si>
  <si>
    <r>
      <rPr>
        <b/>
        <sz val="11"/>
        <rFont val="Calibri"/>
        <family val="2"/>
      </rPr>
      <t xml:space="preserve">ENERGY STAR
</t>
    </r>
    <r>
      <rPr>
        <b/>
        <sz val="11"/>
        <rFont val="Calibri"/>
        <family val="2"/>
      </rPr>
      <t>(South)</t>
    </r>
  </si>
  <si>
    <t>Residential Gas Fired Furnaces</t>
  </si>
  <si>
    <r>
      <rPr>
        <b/>
        <sz val="11"/>
        <color rgb="FFFFFFFF"/>
        <rFont val="Calibri"/>
        <family val="2"/>
      </rPr>
      <t>2030**</t>
    </r>
  </si>
  <si>
    <r>
      <rPr>
        <b/>
        <sz val="11"/>
        <rFont val="Calibri"/>
        <family val="2"/>
      </rPr>
      <t>Typical Capacity (kBtu/h)</t>
    </r>
  </si>
  <si>
    <r>
      <rPr>
        <b/>
        <sz val="11"/>
        <rFont val="Calibri"/>
        <family val="2"/>
      </rPr>
      <t>SEER (Cooling)*</t>
    </r>
  </si>
  <si>
    <r>
      <rPr>
        <b/>
        <sz val="11"/>
        <rFont val="Calibri"/>
        <family val="2"/>
      </rPr>
      <t>HSPF (Heating)*</t>
    </r>
  </si>
  <si>
    <r>
      <rPr>
        <sz val="11"/>
        <rFont val="Calibri"/>
        <family val="2"/>
      </rPr>
      <t>7 .0</t>
    </r>
  </si>
  <si>
    <r>
      <rPr>
        <b/>
        <sz val="11"/>
        <rFont val="Calibri"/>
        <family val="2"/>
      </rPr>
      <t>Average Life (yrs)</t>
    </r>
  </si>
  <si>
    <r>
      <rPr>
        <b/>
        <sz val="11"/>
        <rFont val="Calibri"/>
        <family val="2"/>
      </rPr>
      <t>Retail Equipment Cost (2017$)*</t>
    </r>
  </si>
  <si>
    <r>
      <rPr>
        <b/>
        <sz val="11"/>
        <rFont val="Calibri"/>
        <family val="2"/>
      </rPr>
      <t>Total Installed Cost (2017$)*</t>
    </r>
  </si>
  <si>
    <t>Residential Air Source Heat Pumps</t>
  </si>
  <si>
    <t>Annualized Incremental Equipment Cost</t>
  </si>
  <si>
    <t>biomass</t>
  </si>
  <si>
    <r>
      <rPr>
        <b/>
        <sz val="11"/>
        <rFont val="Calibri"/>
        <family val="2"/>
      </rPr>
      <t xml:space="preserve">Installed
</t>
    </r>
    <r>
      <rPr>
        <b/>
        <sz val="11"/>
        <rFont val="Calibri"/>
        <family val="2"/>
      </rPr>
      <t>Base</t>
    </r>
  </si>
  <si>
    <r>
      <rPr>
        <b/>
        <sz val="11"/>
        <rFont val="Calibri"/>
        <family val="2"/>
      </rPr>
      <t>Efficiency (HHV)</t>
    </r>
  </si>
  <si>
    <r>
      <rPr>
        <b/>
        <sz val="11"/>
        <rFont val="Calibri"/>
        <family val="2"/>
      </rPr>
      <t>Annual Electricity Consumption (kWh)</t>
    </r>
  </si>
  <si>
    <t>Residential Wood Pellet Stoves</t>
  </si>
  <si>
    <t>Annualized Incremental Cost per BTU Shifted</t>
  </si>
  <si>
    <t>Heating</t>
  </si>
  <si>
    <t>Appliances Energy Consumption per Unit per Year by Fuel (btu/unit)</t>
  </si>
  <si>
    <r>
      <rPr>
        <b/>
        <sz val="11"/>
        <rFont val="Calibri"/>
        <family val="2"/>
      </rPr>
      <t xml:space="preserve">Current
</t>
    </r>
    <r>
      <rPr>
        <b/>
        <sz val="11"/>
        <rFont val="Calibri"/>
        <family val="2"/>
      </rPr>
      <t>Standard</t>
    </r>
  </si>
  <si>
    <r>
      <rPr>
        <b/>
        <sz val="11"/>
        <rFont val="Calibri"/>
        <family val="2"/>
      </rPr>
      <t>Typical Capacity (gal)</t>
    </r>
  </si>
  <si>
    <r>
      <rPr>
        <b/>
        <sz val="11"/>
        <rFont val="Calibri"/>
        <family val="2"/>
      </rPr>
      <t>Uniform Energy Factor (UEF)*</t>
    </r>
  </si>
  <si>
    <t>Residential Oil Water Heater</t>
  </si>
  <si>
    <r>
      <rPr>
        <sz val="11"/>
        <rFont val="Calibri"/>
        <family val="2"/>
      </rPr>
      <t>-</t>
    </r>
  </si>
  <si>
    <t>Residential Gas Water Heater</t>
  </si>
  <si>
    <r>
      <rPr>
        <b/>
        <sz val="11"/>
        <rFont val="Calibri"/>
        <family val="2"/>
      </rPr>
      <t xml:space="preserve">ENERGY
</t>
    </r>
    <r>
      <rPr>
        <b/>
        <sz val="11"/>
        <rFont val="Calibri"/>
        <family val="2"/>
      </rPr>
      <t>STAR</t>
    </r>
  </si>
  <si>
    <t>Residential Heat Pump Water Heater</t>
  </si>
  <si>
    <t>Appliances (water heaters)</t>
  </si>
  <si>
    <t>Commercial Equipment</t>
  </si>
  <si>
    <t>Figure Notes:</t>
  </si>
  <si>
    <t>Technology</t>
  </si>
  <si>
    <t>Air Source Heat Pump</t>
  </si>
  <si>
    <t>Cold Climate Air Source Heat Pump</t>
  </si>
  <si>
    <t>Heat Pump Water Heater</t>
  </si>
  <si>
    <t>Figure 22. Installed unit costs (left) and performance projections (right) for commercial air-source heat pumps</t>
  </si>
  <si>
    <t xml:space="preserve">Installed costs include both capital and installation costs.
</t>
  </si>
  <si>
    <t>Year</t>
  </si>
  <si>
    <t>EFS Case</t>
  </si>
  <si>
    <t>Installed Cost ($/kBtu/hr)</t>
  </si>
  <si>
    <t>Efficiency (COP)</t>
  </si>
  <si>
    <t>Moderate Advancement</t>
  </si>
  <si>
    <t>Rapid Advancement</t>
  </si>
  <si>
    <t>Slow Advancement</t>
  </si>
  <si>
    <t>Figure 23. Installed costs (left) and performance projections (right) for commercial HPWHs</t>
  </si>
  <si>
    <t>Installed costs include both capital and installation costs.</t>
  </si>
  <si>
    <t>Annualized Incremental Capital Cost per BTU Shifted</t>
  </si>
  <si>
    <r>
      <rPr>
        <b/>
        <sz val="11"/>
        <rFont val="Calibri"/>
        <family val="2"/>
      </rPr>
      <t>Thermal Efficiency (%)*</t>
    </r>
  </si>
  <si>
    <r>
      <rPr>
        <b/>
        <sz val="11"/>
        <rFont val="Calibri"/>
        <family val="2"/>
      </rPr>
      <t>Annual Maintenance Cost (2017$)**</t>
    </r>
  </si>
  <si>
    <r>
      <rPr>
        <sz val="10"/>
        <rFont val="Palatino Linotype"/>
        <family val="1"/>
      </rPr>
      <t>* DOE's efficiency metric for commercial furnaces accounts only for flue losses, not jacket losses.</t>
    </r>
  </si>
  <si>
    <r>
      <rPr>
        <b/>
        <sz val="11"/>
        <color rgb="FFFFFFFF"/>
        <rFont val="Calibri"/>
        <family val="2"/>
      </rPr>
      <t>2020***</t>
    </r>
  </si>
  <si>
    <r>
      <rPr>
        <b/>
        <sz val="11"/>
        <color rgb="FFFFFFFF"/>
        <rFont val="Calibri"/>
        <family val="2"/>
      </rPr>
      <t>2030****</t>
    </r>
  </si>
  <si>
    <r>
      <rPr>
        <b/>
        <sz val="11"/>
        <rFont val="Calibri"/>
        <family val="2"/>
      </rPr>
      <t xml:space="preserve">ENERGY
</t>
    </r>
    <r>
      <rPr>
        <b/>
        <sz val="11"/>
        <rFont val="Calibri"/>
        <family val="2"/>
      </rPr>
      <t>STAR**</t>
    </r>
  </si>
  <si>
    <r>
      <rPr>
        <b/>
        <sz val="11"/>
        <rFont val="Calibri"/>
        <family val="2"/>
      </rPr>
      <t>Efficiency (EER)*</t>
    </r>
  </si>
  <si>
    <r>
      <rPr>
        <b/>
        <sz val="11"/>
        <rFont val="Calibri"/>
        <family val="2"/>
      </rPr>
      <t>Part Load Efficiency (IEER)</t>
    </r>
  </si>
  <si>
    <r>
      <rPr>
        <b/>
        <sz val="11"/>
        <rFont val="Calibri"/>
        <family val="2"/>
      </rPr>
      <t>COP (Heating)</t>
    </r>
  </si>
  <si>
    <t>Commercial Gas Furnace</t>
  </si>
  <si>
    <t>Commercial Oil Furnace</t>
  </si>
  <si>
    <t>Commercial Heat Pump</t>
  </si>
  <si>
    <t>space heating</t>
  </si>
  <si>
    <t>water heating</t>
  </si>
  <si>
    <t>Utilization Assumption</t>
  </si>
  <si>
    <t>Installed Cost ($/kBTU/hr)</t>
  </si>
  <si>
    <t xml:space="preserve">Annualized Installed Cost ($/kBTU/hr) </t>
  </si>
  <si>
    <t>ASHP (2016 USD)</t>
  </si>
  <si>
    <t>natural gas (2017 USD)</t>
  </si>
  <si>
    <t>oil (2017 USD)</t>
  </si>
  <si>
    <t>2017 to 2012 USD</t>
  </si>
  <si>
    <t>2016 to 2012 USD</t>
  </si>
  <si>
    <t>natural gas (2012 USD)</t>
  </si>
  <si>
    <t>oil (2012 USD)</t>
  </si>
  <si>
    <t>ASHP (2012 USD)</t>
  </si>
  <si>
    <r>
      <rPr>
        <b/>
        <sz val="11"/>
        <rFont val="Calibri"/>
        <family val="2"/>
      </rPr>
      <t>Typical Storage Capacity (gal)</t>
    </r>
  </si>
  <si>
    <r>
      <rPr>
        <b/>
        <sz val="11"/>
        <rFont val="Calibri"/>
        <family val="2"/>
      </rPr>
      <t>Thermal Efficiency (%)</t>
    </r>
  </si>
  <si>
    <r>
      <rPr>
        <b/>
        <sz val="11"/>
        <rFont val="Calibri"/>
        <family val="2"/>
      </rPr>
      <t>Retail Equipment Cost (2017$)**</t>
    </r>
  </si>
  <si>
    <r>
      <rPr>
        <b/>
        <sz val="11"/>
        <rFont val="Calibri"/>
        <family val="2"/>
      </rPr>
      <t>Total Installed Cost (2017$)**</t>
    </r>
  </si>
  <si>
    <t>Commercial Gas Water Heater</t>
  </si>
  <si>
    <t>Commercial Oil Water Heater</t>
  </si>
  <si>
    <t>biomass (2017 USD)</t>
  </si>
  <si>
    <t>biomass (2012 USD)</t>
  </si>
  <si>
    <t>Sources:</t>
  </si>
  <si>
    <t>EIA</t>
  </si>
  <si>
    <t>Cost of technologies except commerial heat pumps</t>
  </si>
  <si>
    <t>Updated Buildings Sector Appliance and Equipment Costs and Efficiencies</t>
  </si>
  <si>
    <t>https://www.eia.gov/analysis/studies/buildings/equipcosts/pdf/full.pdf</t>
  </si>
  <si>
    <t>p. 9, 12, 29, 46, 51, 54, 58, 90, 92, 120, 123</t>
  </si>
  <si>
    <t>Residential building equipment stock and average annual energy consumption</t>
  </si>
  <si>
    <t>Tables 4 and 21</t>
  </si>
  <si>
    <t>Commercial heating and water heating heat pump costs</t>
  </si>
  <si>
    <t>NREL</t>
  </si>
  <si>
    <t>Electrification Futures Study Technology Report Figure Data</t>
  </si>
  <si>
    <t>https://data.nrel.gov/system/files/93/EFS_70485_figure_data.xlsx</t>
  </si>
  <si>
    <t>Tables 22 and 23</t>
  </si>
  <si>
    <t>Notes:</t>
  </si>
  <si>
    <t>For residential buildings, we calculate the average energy used by equipment</t>
  </si>
  <si>
    <t>of different types, which allows us to find a $/BTU value. We then estimate</t>
  </si>
  <si>
    <t>the cost of switching to heat pump equipment based on the data from EIA</t>
  </si>
  <si>
    <t xml:space="preserve">and annual energy consumption. </t>
  </si>
  <si>
    <t>For commercial buildings, we lack data on annual energy use, but the NREL</t>
  </si>
  <si>
    <t>Commercial building equipment load factors</t>
  </si>
  <si>
    <t>https://www.nrel.gov/docs/fy18osti/70485.pdf</t>
  </si>
  <si>
    <t>P.90</t>
  </si>
  <si>
    <t>Electrification Futures Study: End-Use Electric Technology Cost and Performance Projections through 2050</t>
  </si>
  <si>
    <t>report provides data on annual heating and water heating utilization rates</t>
  </si>
  <si>
    <t>and the costs are normalized to $/(kBTU/hr) input, so we standardize the costs</t>
  </si>
  <si>
    <t>from EIA and then estimate the cost per BTU shifted using the annual load factors.</t>
  </si>
  <si>
    <t>For residential heating equipment, we have data for natural gas, oil, and biomass.</t>
  </si>
  <si>
    <t xml:space="preserve">Other liquids are assumed to have the same costs as petroleum. Propane and coal are </t>
  </si>
  <si>
    <t>assigned to natural gas.</t>
  </si>
  <si>
    <t xml:space="preserve">For residential and commercial appliances, we use data for water heaters for </t>
  </si>
  <si>
    <t xml:space="preserve">natural gas and oil water heaters following the mapping above. All appliance </t>
  </si>
  <si>
    <t>energy shifting assumes the costs of water heating shifting, which is the dominant</t>
  </si>
  <si>
    <t>energy consumer among all the appliance equipment.</t>
  </si>
  <si>
    <t>Other equipment also uses the appliance values.</t>
  </si>
  <si>
    <t>For commercial heating, we only have data for natural gas and oil, and assign</t>
  </si>
  <si>
    <t>other fuels based on the above mapping, with biomass mapped to petroleum.</t>
  </si>
  <si>
    <t>All policy-driven electrification in the EPS is assumed to rely on heat pumps,</t>
  </si>
  <si>
    <t>not electric resistance heating</t>
  </si>
  <si>
    <t>Methodology:</t>
  </si>
  <si>
    <t>ICpUEfEBE Incremental Cost per Unit Energy for Electrified Building Equipment</t>
  </si>
  <si>
    <t>electricity</t>
  </si>
  <si>
    <t>coal</t>
  </si>
  <si>
    <t>petroleum diesel</t>
  </si>
  <si>
    <t>heat</t>
  </si>
  <si>
    <t>kerosene</t>
  </si>
  <si>
    <t>heavy or residual fuel oil</t>
  </si>
  <si>
    <t>LPG propane or butane</t>
  </si>
  <si>
    <t>hydrogen</t>
  </si>
  <si>
    <t>than thermal fuels, and this adjustment is made within Vensim.</t>
  </si>
  <si>
    <t>Data in this variable are reported in $/(BTU/yr) of fuel burned by the equipment</t>
  </si>
  <si>
    <t>that would have been purchased in the absence of the fuel shifting policy (e.g.</t>
  </si>
  <si>
    <t>a natural gas appliance, an oil appliance, etc.), not $/(BTU/yr) of electricity used by</t>
  </si>
  <si>
    <t>the electrified appliance that is purchased instead.  Electricity is used more efficiently</t>
  </si>
  <si>
    <t>Unit: $/(BTU/yr) - a measure of capacity of the fuel-burning equipment that would have been purchased in the absence of an electrification policy</t>
  </si>
  <si>
    <t>Energy Consumption by Fuel</t>
  </si>
  <si>
    <t>Table 21.  Residential Sector Equipment Stock and Efficiency, and Distributed Generation</t>
  </si>
  <si>
    <t>Source: U.S. Energy Information Administration</t>
  </si>
  <si>
    <t>full name</t>
  </si>
  <si>
    <t>api key</t>
  </si>
  <si>
    <t>units</t>
  </si>
  <si>
    <t>Main Space Heaters</t>
  </si>
  <si>
    <t>Electric Heat Pumps</t>
  </si>
  <si>
    <t>millions</t>
  </si>
  <si>
    <t>Electric Other</t>
  </si>
  <si>
    <t>Natural Gas Heat Pumps</t>
  </si>
  <si>
    <t>Natural Gas Other</t>
  </si>
  <si>
    <t>Distillate Fuel Oil</t>
  </si>
  <si>
    <t>Propane</t>
  </si>
  <si>
    <t>Kerosene</t>
  </si>
  <si>
    <t>Wood Stoves</t>
  </si>
  <si>
    <t>Geothermal Heat Pumps</t>
  </si>
  <si>
    <t>Total</t>
  </si>
  <si>
    <t>Space Cooling (million units)</t>
  </si>
  <si>
    <t>Central Air Conditioners</t>
  </si>
  <si>
    <t>Room Air Conditioners</t>
  </si>
  <si>
    <t>Water Heaters (million units)</t>
  </si>
  <si>
    <t>Electric</t>
  </si>
  <si>
    <t>Natural Gas</t>
  </si>
  <si>
    <t>Solar Thermal</t>
  </si>
  <si>
    <t>Cooking Equipment (million units)</t>
  </si>
  <si>
    <t>Clothes Dryers (million units)</t>
  </si>
  <si>
    <t>Other Appliances (million units)</t>
  </si>
  <si>
    <t>Refrigerators</t>
  </si>
  <si>
    <t>Freezers</t>
  </si>
  <si>
    <t>Electric Heat Pumps (HSPF)</t>
  </si>
  <si>
    <t>HSPF</t>
  </si>
  <si>
    <t>Natural Gas Heat Pumps (GCOP)</t>
  </si>
  <si>
    <t>GCOP</t>
  </si>
  <si>
    <t>Geothermal Heat Pumps (COP)</t>
  </si>
  <si>
    <t>COP</t>
  </si>
  <si>
    <t>Natural Gas Furnace (AFUE)</t>
  </si>
  <si>
    <t>AFUE</t>
  </si>
  <si>
    <t>Distillate Furnace (AFUE)</t>
  </si>
  <si>
    <t>Space Cooling</t>
  </si>
  <si>
    <t>Electric Heat Pumps (SEER)</t>
  </si>
  <si>
    <t>SEER</t>
  </si>
  <si>
    <t>Geothermal Heat Pumps (EER)</t>
  </si>
  <si>
    <t>EER</t>
  </si>
  <si>
    <t>Central Air Conditioners (SEER)</t>
  </si>
  <si>
    <t>Room Air Conditioners (EER)</t>
  </si>
  <si>
    <t>Water Heaters</t>
  </si>
  <si>
    <t>Electric (EF)</t>
  </si>
  <si>
    <t>EF</t>
  </si>
  <si>
    <t>Natural Gas (EF)</t>
  </si>
  <si>
    <t>Distillate Fuel Oil (EF)</t>
  </si>
  <si>
    <t>Propane (EF)</t>
  </si>
  <si>
    <t>Other Appliances (kilowatthours per year)</t>
  </si>
  <si>
    <t>kWh</t>
  </si>
  <si>
    <t>Building Shell Efficiency Index</t>
  </si>
  <si>
    <t>Space Heating</t>
  </si>
  <si>
    <t>2015=1.00</t>
  </si>
  <si>
    <t>New Construction</t>
  </si>
  <si>
    <t>All Homes</t>
  </si>
  <si>
    <t>Distributed Generation and</t>
  </si>
  <si>
    <t>Combined Heat and Power</t>
  </si>
  <si>
    <t>Generating Capacity (gigawatts)</t>
  </si>
  <si>
    <t>Natural Gas Fuel Cells</t>
  </si>
  <si>
    <t>GW</t>
  </si>
  <si>
    <t>Solar Photovoltaic</t>
  </si>
  <si>
    <t>Wind</t>
  </si>
  <si>
    <t>Net Generation (billion kilowatthours)</t>
  </si>
  <si>
    <t>billion kWh</t>
  </si>
  <si>
    <t>Disposition</t>
  </si>
  <si>
    <t>Sales to the Grid</t>
  </si>
  <si>
    <t>Generation for Own Use</t>
  </si>
  <si>
    <t>Energy Input (trillion Btu)</t>
  </si>
  <si>
    <t>trillion Btu</t>
  </si>
  <si>
    <t>https://www.eia.gov/outlooks/aeo/tables_side.php</t>
  </si>
  <si>
    <t>AEO 2022, AEO 2023</t>
  </si>
  <si>
    <t>CDD</t>
  </si>
  <si>
    <t>AEO.2025.HIGHZTC.KEI_CDD_RESD_NA_NA_NA_USA_CDD.A</t>
  </si>
  <si>
    <t>Residential: Cooling Degree Days: United States: High Zero-Carbon Technology Cost</t>
  </si>
  <si>
    <t>United States</t>
  </si>
  <si>
    <t>AEO.2025.HIGHZTC.KEI_CDD_RESD_NA_NA_NA_PCF_CDD.A</t>
  </si>
  <si>
    <t>Residential: Cooling Degree Days: Pacific: High Zero-Carbon Technology Cost</t>
  </si>
  <si>
    <t>Pacific</t>
  </si>
  <si>
    <t>AEO.2025.HIGHZTC.KEI_CDD_RESD_NA_NA_NA_MTN_CDD.A</t>
  </si>
  <si>
    <t>Residential: Cooling Degree Days: Mountain: High Zero-Carbon Technology Cost</t>
  </si>
  <si>
    <t>Mountain</t>
  </si>
  <si>
    <t>AEO.2025.HIGHZTC.KEI_CDD_RESD_NA_NA_NA_WSC_CDD.A</t>
  </si>
  <si>
    <t>Residential: Cooling Degree Days: West South Central: High Zero-Carbon Technology Cost</t>
  </si>
  <si>
    <t>West South Central</t>
  </si>
  <si>
    <t>AEO.2025.HIGHZTC.KEI_CDD_RESD_NA_NA_NA_ESC_CDD.A</t>
  </si>
  <si>
    <t>Residential: Cooling Degree Days: East South Central: High Zero-Carbon Technology Cost</t>
  </si>
  <si>
    <t>East South Central</t>
  </si>
  <si>
    <t>AEO.2025.HIGHZTC.KEI_CDD_RESD_NA_NA_NA_SATL_CDD.A</t>
  </si>
  <si>
    <t>Residential: Cooling Degree Days: South Atlantic: High Zero-Carbon Technology Cost</t>
  </si>
  <si>
    <t>South Atlantic</t>
  </si>
  <si>
    <t>AEO.2025.HIGHZTC.KEI_CDD_RESD_NA_NA_NA_WNC_CDD.A</t>
  </si>
  <si>
    <t>Residential: Cooling Degree Days: West North Central: High Zero-Carbon Technology Cost</t>
  </si>
  <si>
    <t>West North Central</t>
  </si>
  <si>
    <t>AEO.2025.HIGHZTC.KEI_CDD_RESD_NA_NA_NA_ENC_CDD.A</t>
  </si>
  <si>
    <t>Residential: Cooling Degree Days: East North Central: High Zero-Carbon Technology Cost</t>
  </si>
  <si>
    <t>East North Central</t>
  </si>
  <si>
    <t>AEO.2025.HIGHZTC.KEI_CDD_RESD_NA_NA_NA_MATL_CDD.A</t>
  </si>
  <si>
    <t>Residential: Cooling Degree Days: Middle Atlantic: High Zero-Carbon Technology Cost</t>
  </si>
  <si>
    <t>Middle Atlantic</t>
  </si>
  <si>
    <t>AEO.2025.HIGHZTC.KEI_CDD_RESD_NA_NA_NA_NENGL_CDD.A</t>
  </si>
  <si>
    <t>Residential: Cooling Degree Days: New England: High Zero-Carbon Technology Cost</t>
  </si>
  <si>
    <t>New England</t>
  </si>
  <si>
    <t>HDD</t>
  </si>
  <si>
    <t>AEO.2025.HIGHZTC.KEI_HDD_RESD_NA_NA_NA_USA_HDD.A</t>
  </si>
  <si>
    <t>Residential: Heating Degree Days: United States: High Zero-Carbon Technology Cost</t>
  </si>
  <si>
    <t>AEO.2025.HIGHZTC.KEI_HDD_RESD_NA_NA_NA_PCF_HDD.A</t>
  </si>
  <si>
    <t>Residential: Heating Degree Days: Pacific: High Zero-Carbon Technology Cost</t>
  </si>
  <si>
    <t>AEO.2025.HIGHZTC.KEI_HDD_RESD_NA_NA_NA_MTN_HDD.A</t>
  </si>
  <si>
    <t>Residential: Heating Degree Days: Mountain: High Zero-Carbon Technology Cost</t>
  </si>
  <si>
    <t>AEO.2025.HIGHZTC.KEI_HDD_RESD_NA_NA_NA_WSC_HDD.A</t>
  </si>
  <si>
    <t>Residential: Heating Degree Days: West South Central: High Zero-Carbon Technology Cost</t>
  </si>
  <si>
    <t>AEO.2025.HIGHZTC.KEI_HDD_RESD_NA_NA_NA_ESC_HDD.A</t>
  </si>
  <si>
    <t>Residential: Heating Degree Days: East South Central: High Zero-Carbon Technology Cost</t>
  </si>
  <si>
    <t>AEO.2025.HIGHZTC.KEI_HDD_RESD_NA_NA_NA_SATL_HDD.A</t>
  </si>
  <si>
    <t>Residential: Heating Degree Days: South Atlantic: High Zero-Carbon Technology Cost</t>
  </si>
  <si>
    <t>AEO.2025.HIGHZTC.KEI_HDD_RESD_NA_NA_NA_WNC_HDD.A</t>
  </si>
  <si>
    <t>Residential: Heating Degree Days: West North Central: High Zero-Carbon Technology Cost</t>
  </si>
  <si>
    <t>AEO.2025.HIGHZTC.KEI_HDD_RESD_NA_NA_NA_ENC_HDD.A</t>
  </si>
  <si>
    <t>Residential: Heating Degree Days: East North Central: High Zero-Carbon Technology Cost</t>
  </si>
  <si>
    <t>AEO.2025.HIGHZTC.KEI_HDD_RESD_NA_NA_NA_MATL_HDD.A</t>
  </si>
  <si>
    <t>Residential: Heating Degree Days: Middle Atlantic: High Zero-Carbon Technology Cost</t>
  </si>
  <si>
    <t>AEO.2025.HIGHZTC.KEI_HDD_RESD_NA_NA_NA_NENGL_HDD.A</t>
  </si>
  <si>
    <t>Residential: Heating Degree Days: New England: High Zero-Carbon Technology Cost</t>
  </si>
  <si>
    <t>quads</t>
  </si>
  <si>
    <t>AEO.2025.HIGHZTC.CNSM_NA_RESD_NA_NRW_NA_USA_QBTU.A</t>
  </si>
  <si>
    <t>Residential: Nonmarketed Renewables: Total: High Zero-Carbon Technology Cost</t>
  </si>
  <si>
    <t>AEO.2025.HIGHZTC.CNSM_NA_RESD_WND_NRW_NA_USA_QBTU.A</t>
  </si>
  <si>
    <t>Residential: Nonmarketed Renewables: Wind: High Zero-Carbon Technology Cost</t>
  </si>
  <si>
    <t>AEO.2025.HIGHZTC.CNSM_NA_RESD_SOPH_NRW_NA_USA_QBTU.A</t>
  </si>
  <si>
    <t>Residential: Nonmarketed Renewables: Solar Photovoltaic: High Zero-Carbon Technology Cost</t>
  </si>
  <si>
    <t>AEO.2025.HIGHZTC.CNSM_NA_RESD_SHW_NRW_NA_USA_QBTU.A</t>
  </si>
  <si>
    <t>Residential: Nonmarketed Renewables: Solar Hot Water Heating: High Zero-Carbon Technology Cost</t>
  </si>
  <si>
    <t>Solar Hot Water Heating</t>
  </si>
  <si>
    <t>Nonmarketed Renewables</t>
  </si>
  <si>
    <t>AEO.2025.HIGHZTC.GEN_NA_RESD_TTG_TEE_NA_USA_QBTU.A</t>
  </si>
  <si>
    <t>Residential: Total Net Own-use Generation: Total Gross End-use Consumption: High Zero-Carbon Technology Cost</t>
  </si>
  <si>
    <t>Total Energy</t>
  </si>
  <si>
    <t>AEO.2025.HIGHZTC.GEN_NA_RESD_GFO_TEE_NA_USA_QBTU.A</t>
  </si>
  <si>
    <t>Residential: Generation for Own Use: Total Gross End-use Consumption: High Zero-Carbon Technology Cost</t>
  </si>
  <si>
    <t>On-site Generation for Own Use</t>
  </si>
  <si>
    <t>AEO.2025.HIGHZTC.GEN_NA_RESD_PUELEVCHRG_TEE_NA_USA_QBTU.A</t>
  </si>
  <si>
    <t>Residential: Generation for Own Use: Purchased Electricity for EV Charging: High Zero-Carbon Technology Cost</t>
  </si>
  <si>
    <t>Purchased Electricity for Electric Vehicle Charging</t>
  </si>
  <si>
    <t>AEO.2025.HIGHZTC.CNSM_NA_RESD_TOTENCONS_TEE_NA_USA_QBTU.A</t>
  </si>
  <si>
    <t>Residential: Total Energy Use by End Use: Total Gross End-use Consumption: High Zero-Carbon Technology Cost</t>
  </si>
  <si>
    <t>Total Gross End-use Consumption</t>
  </si>
  <si>
    <t>AEO.2025.HIGHZTC.CNSM_NA_RESD_OTHU_TEE_NA_USA_QBTU.A</t>
  </si>
  <si>
    <t>Residential: Total Energy Use by End Use: Other Uses: High Zero-Carbon Technology Cost</t>
  </si>
  <si>
    <t>Other Uses</t>
  </si>
  <si>
    <t>AEO.2025.HIGHZTC.CNSM_NA_RESD_FPR_TEE_NA_USA_QBTU.A</t>
  </si>
  <si>
    <t>Residential: Total Energy Use by End Use: Fans and Pumps: High Zero-Carbon Technology Cost</t>
  </si>
  <si>
    <t>Furnace Fans and Boiler Circulation Pumps</t>
  </si>
  <si>
    <t>AEO.2025.HIGHZTC.CNSM_NA_RESD_CMPR_TEE_NA_USA_QBTU.A</t>
  </si>
  <si>
    <t>Residential: Total Energy Use by End Use: Computers: High Zero-Carbon Technology Cost</t>
  </si>
  <si>
    <t>Computers and Related Equipment</t>
  </si>
  <si>
    <t>AEO.2025.HIGHZTC.CNSM_NA_RESD_TVR_TEE_NA_USA_QBTU.A</t>
  </si>
  <si>
    <t>Residential: Total Energy Use by End Use: Televisions: High Zero-Carbon Technology Cost</t>
  </si>
  <si>
    <t>Televisions and Related Equipment</t>
  </si>
  <si>
    <t>AEO.2025.HIGHZTC.CNSM_NA_RESD_DSW_TEE_NA_USA_QBTU.A</t>
  </si>
  <si>
    <t>Residential: Total Energy Use by End Use: Dishwashers: High Zero-Carbon Technology Cost</t>
  </si>
  <si>
    <t>Dishwashers</t>
  </si>
  <si>
    <t>AEO.2025.HIGHZTC.CNSM_NA_RESD_CLW_TEE_NA_USA_QBTU.A</t>
  </si>
  <si>
    <t>Residential: Total Energy Use by End Use: Clothes Washers: High Zero-Carbon Technology Cost</t>
  </si>
  <si>
    <t>Clothes Washers</t>
  </si>
  <si>
    <t>AEO.2025.HIGHZTC.CNSM_NA_RESD_LGHTNG_TEE_NA_USA_QBTU.A</t>
  </si>
  <si>
    <t>Residential: Total Energy Use by End Use: Lighting: High Zero-Carbon Technology Cost</t>
  </si>
  <si>
    <t>Lighting</t>
  </si>
  <si>
    <t>AEO.2025.HIGHZTC.CNSM_NA_RESD_FRZ_TEE_NA_USA_QBTU.A</t>
  </si>
  <si>
    <t>Residential: Total Energy Use by End Use: Freezers: High Zero-Carbon Technology Cost</t>
  </si>
  <si>
    <t>AEO.2025.HIGHZTC.CNSM_NA_RESD_CDR_TEE_NA_USA_QBTU.A</t>
  </si>
  <si>
    <t>Residential: Total Energy Use by End Use: Clothes Dryers: High Zero-Carbon Technology Cost</t>
  </si>
  <si>
    <t>Clothes Dryers</t>
  </si>
  <si>
    <t>AEO.2025.HIGHZTC.CNSM_NA_RESD_CGR_TEE_NA_USA_QBTU.A</t>
  </si>
  <si>
    <t>Residential: Total Energy Use by End Use: Cooking: High Zero-Carbon Technology Cost</t>
  </si>
  <si>
    <t>Cooking</t>
  </si>
  <si>
    <t>AEO.2025.HIGHZTC.CNSM_NA_RESD_REFR_TEE_NA_USA_QBTU.A</t>
  </si>
  <si>
    <t>Residential: Total Energy Use by End Use: Refrigeration: High Zero-Carbon Technology Cost</t>
  </si>
  <si>
    <t>Refrigeration</t>
  </si>
  <si>
    <t>AEO.2025.HIGHZTC.CNSM_NA_RESD_WTHT_TEE_NA_USA_QBTU.A</t>
  </si>
  <si>
    <t>Residential: Total Energy Use by End Use: Water Heating: High Zero-Carbon Technology Cost</t>
  </si>
  <si>
    <t>Water Heating</t>
  </si>
  <si>
    <t>AEO.2025.HIGHZTC.CNSM_NA_RESD_SPC_TEE_NA_USA_QBTU.A</t>
  </si>
  <si>
    <t>Residential: Total Energy Use by End Use: Space Cooling: High Zero-Carbon Technology Cost</t>
  </si>
  <si>
    <t>AEO.2025.HIGHZTC.CNSM_NA_RESD_SPH_TEE_NA_USA_QBTU.A</t>
  </si>
  <si>
    <t>Residential: Total Energy Use by End Use: Space Heating: High Zero-Carbon Technology Cost</t>
  </si>
  <si>
    <t>Total Energy Consumption by End Use</t>
  </si>
  <si>
    <t>AEO.2025.HIGHZTC.CNSM_LOSSES_RESD_NA_ENRL_NA_USA_QBTU.A</t>
  </si>
  <si>
    <t>Residential: Electricity Related Losses: High Zero-Carbon Technology Cost</t>
  </si>
  <si>
    <t>AEO.2025.HIGHZTC.CNSM_NA_RESD_DELE_DEE_NA_USA_QBTU.A</t>
  </si>
  <si>
    <t>Residential: Energy Consumption by End Use: Delivered Energy: High Zero-Carbon Technology Cost</t>
  </si>
  <si>
    <t>Delivered Energy</t>
  </si>
  <si>
    <t>AEO.2025.HIGHZTC.GEN_NA_RESD_GFO_DEE_NA_USA_QBTU.A</t>
  </si>
  <si>
    <t>Residential: Energy Consumption by End Use: Generation for Own Use: High Zero-Carbon Technology Cost</t>
  </si>
  <si>
    <t>AEO.2025.HIGHZTC.CNSM_NA_RESD_PUELEVCHRG_DEE_NA_USA_QBTU.A</t>
  </si>
  <si>
    <t>Residential: Energy Consumption by End Use: Purchased Electricity for EV Charging: High Zero-Carbon Technology Cost</t>
  </si>
  <si>
    <t>AEO.2025.HIGHZTC.CNSM_NA_RESD_TUS_DEE_NA_USA_QBTU.A</t>
  </si>
  <si>
    <t>Residential: Energy Consumption by End Use: Gross End-use Consumption: High Zero-Carbon Technology Cost</t>
  </si>
  <si>
    <t>Gross End-use Electricity Consumption</t>
  </si>
  <si>
    <t>AEO.2025.HIGHZTC.CNSM_NA_RESD_OTHU_DEE_NA_USA_QBTU.A</t>
  </si>
  <si>
    <t>Residential: Delivered Energy Use by End Use: Other Uses: High Zero-Carbon Technology Cost</t>
  </si>
  <si>
    <t>AEO.2025.HIGHZTC.CNSM_NA_RESD_FPR_DEE_NA_USA_QBTU.A</t>
  </si>
  <si>
    <t>Residential: Delivered Energy Use by End Use: Fans and Pumps: High Zero-Carbon Technology Cost</t>
  </si>
  <si>
    <t>AEO.2025.HIGHZTC.CNSM_NA_RESD_CMPR_DEE_NA_USA_QBTU.A</t>
  </si>
  <si>
    <t>Residential: Delivered Energy Use by End Use: Computers: High Zero-Carbon Technology Cost</t>
  </si>
  <si>
    <t>AEO.2025.HIGHZTC.CNSM_NA_RESD_TVR_DEE_NA_USA_QBTU.A</t>
  </si>
  <si>
    <t>Residential: Delivered Energy Use by End Use: Televisions: High Zero-Carbon Technology Cost</t>
  </si>
  <si>
    <t>AEO.2025.HIGHZTC.CNSM_NA_RESD_DSW_DEE_NA_USA_QBTU.A</t>
  </si>
  <si>
    <t>Residential: Delivered Energy Use by End Use: Dishwashers: High Zero-Carbon Technology Cost</t>
  </si>
  <si>
    <t>AEO.2025.HIGHZTC.CNSM_NA_RESD_CLW_DEE_NA_USA_QBTU.A</t>
  </si>
  <si>
    <t>Residential: Delivered Energy Use by End Use: Clothes Washers: High Zero-Carbon Technology Cost</t>
  </si>
  <si>
    <t>AEO.2025.HIGHZTC.CNSM_NA_RESD_LGHTNG_DEE_NA_USA_QBTU.A</t>
  </si>
  <si>
    <t>Residential: Delivered Energy Use by End Use: Lighting: High Zero-Carbon Technology Cost</t>
  </si>
  <si>
    <t>AEO.2025.HIGHZTC.CNSM_NA_RESD_FRZ_DEE_NA_USA_QBTU.A</t>
  </si>
  <si>
    <t>Residential: Delivered Energy Use by End Use: Freezers: High Zero-Carbon Technology Cost</t>
  </si>
  <si>
    <t>AEO.2025.HIGHZTC.CNSM_NA_RESD_CDR_DEE_NA_USA_QBTU.A</t>
  </si>
  <si>
    <t>Residential: Delivered Energy Use by End Use: Clothes Dryers: High Zero-Carbon Technology Cost</t>
  </si>
  <si>
    <t>AEO.2025.HIGHZTC.CNSM_NA_RESD_CGR_DEE_NA_USA_QBTU.A</t>
  </si>
  <si>
    <t>Residential: Delivered Energy Use by End Use: Cooking: High Zero-Carbon Technology Cost</t>
  </si>
  <si>
    <t>AEO.2025.HIGHZTC.CNSM_NA_RESD_REFR_DEE_NA_USA_QBTU.A</t>
  </si>
  <si>
    <t>Residential: Delivered Energy Use by End Use: Refrigeration: High Zero-Carbon Technology Cost</t>
  </si>
  <si>
    <t>AEO.2025.HIGHZTC.CNSM_NA_RESD_WTHT_DEE_NA_USA_QBTU.A</t>
  </si>
  <si>
    <t>Residential: Delivered Energy Use by End Use: Water Heating: High Zero-Carbon Technology Cost</t>
  </si>
  <si>
    <t>AEO.2025.HIGHZTC.CNSM_NA_RESD_SPC_DEE_NA_USA_QBTU.A</t>
  </si>
  <si>
    <t>Residential: Delivered Energy Use by End Use: Space Cooling: High Zero-Carbon Technology Cost</t>
  </si>
  <si>
    <t>AEO.2025.HIGHZTC.CNSM_NA_RESD_SPH_DEE_NA_USA_QBTU.A</t>
  </si>
  <si>
    <t>Residential: Delivered Energy Use by End Use: Space Heating: High Zero-Carbon Technology Cost</t>
  </si>
  <si>
    <t>Energy Consumption by End Use</t>
  </si>
  <si>
    <t>AEO.2025.HIGHZTC.CNSM_NA_RESD_NA_MRW_NA_USA_QBTU.A</t>
  </si>
  <si>
    <t>Residential: Marketed Renewables (wood): High Zero-Carbon Technology Cost</t>
  </si>
  <si>
    <t>Marketed Renewables (wood)</t>
  </si>
  <si>
    <t>AEO.2025.HIGHZTC.CNSM_NA_RESD_DELE_PROP_NA_USA_QBTU.A</t>
  </si>
  <si>
    <t>Residential: Propane: Delivered Energy: High Zero-Carbon Technology Cost</t>
  </si>
  <si>
    <t>AEO.2025.HIGHZTC.CNSM_NA_RESD_OTHU_PROP_NA_USA_QBTU.A</t>
  </si>
  <si>
    <t>Residential: Propane: Other Uses: High Zero-Carbon Technology Cost</t>
  </si>
  <si>
    <t>AEO.2025.HIGHZTC.CNSM_NA_RESD_CGR_PROP_NA_USA_QBTU.A</t>
  </si>
  <si>
    <t>Residential: Propane: Cooking: High Zero-Carbon Technology Cost</t>
  </si>
  <si>
    <t>AEO.2025.HIGHZTC.CNSM_NA_RESD_WTHT_PROP_NA_USA_QBTU.A</t>
  </si>
  <si>
    <t>Residential: Propane: Water Heating: High Zero-Carbon Technology Cost</t>
  </si>
  <si>
    <t>AEO.2025.HIGHZTC.CNSM_NA_RESD_SPH_PROP_NA_USA_QBTU.A</t>
  </si>
  <si>
    <t>Residential: Propane: Space Heating: High Zero-Carbon Technology Cost</t>
  </si>
  <si>
    <t>AEO.2025.HIGHZTC.CNSM_NA_RESD_NA_DFO_NA_USA_QBTU.A</t>
  </si>
  <si>
    <t>Residential: Distillate Fuel Oil: Delivered Energy: High Zero-Carbon Technology Cost</t>
  </si>
  <si>
    <t>AEO.2025.HIGHZTC.CNSM_NA_RESD_OTHU_DFO_NA_USA_QBTU.A</t>
  </si>
  <si>
    <t>Residential: Distillate Fuel Oil: Other Uses: High Zero-Carbon Technology Cost</t>
  </si>
  <si>
    <t>AEO.2025.HIGHZTC.CNSM_NA_RESD_WTHT_DFO_NA_USA_QBTU.A</t>
  </si>
  <si>
    <t>Residential: Distillate Fuel Oil: Water Heating: High Zero-Carbon Technology Cost</t>
  </si>
  <si>
    <t>AEO.2025.HIGHZTC.CNSM_NA_RESD_SPH_DFO_NA_USA_QBTU.A</t>
  </si>
  <si>
    <t>Residential: Distillate Fuel Oil: Space Heating: High Zero-Carbon Technology Cost</t>
  </si>
  <si>
    <t>AEO.2025.HIGHZTC.CNSM_NA_RESD_DELE_NG_NA_USA_QBTU.A</t>
  </si>
  <si>
    <t>Residential: Natural Gas: Delivered Energy: High Zero-Carbon Technology Cost</t>
  </si>
  <si>
    <t>AEO.2025.HIGHZTC.CNSM_NA_RESD_OTHU_NG_NA_USA_QBTU.A</t>
  </si>
  <si>
    <t>Residential: Natural Gas: Other Uses: High Zero-Carbon Technology Cost</t>
  </si>
  <si>
    <t>AEO.2025.HIGHZTC.CNSM_NA_RESD_CDR_NG_NA_USA_QBTU.A</t>
  </si>
  <si>
    <t>Residential: Natural Gas: Clothes Dryers: High Zero-Carbon Technology Cost</t>
  </si>
  <si>
    <t>AEO.2025.HIGHZTC.CNSM_NA_RESD_CGR_NG_NA_USA_QBTU.A</t>
  </si>
  <si>
    <t>Residential: Natural Gas: Cooking: High Zero-Carbon Technology Cost</t>
  </si>
  <si>
    <t>AEO.2025.HIGHZTC.CNSM_NA_RESD_WTHT_NG_NA_USA_QBTU.A</t>
  </si>
  <si>
    <t>Residential: Natural Gas: Water Heating: High Zero-Carbon Technology Cost</t>
  </si>
  <si>
    <t>AEO.2025.HIGHZTC.CNSM_NA_RESD_SPC_NG_NA_USA_QBTU.A</t>
  </si>
  <si>
    <t>Residential: Natural Gas: Space Cooling: High Zero-Carbon Technology Cost</t>
  </si>
  <si>
    <t>AEO.2025.HIGHZTC.CNSM_NA_RESD_SPH_NG_NA_USA_QBTU.A</t>
  </si>
  <si>
    <t>Residential: Natural Gas: Space Heating: High Zero-Carbon Technology Cost</t>
  </si>
  <si>
    <t>AEO.2025.HIGHZTC.CNSM_NA_RESD_PURCHELEC_ELC_NA_USA_QBTU.A</t>
  </si>
  <si>
    <t>Residential: Electricity: Purchased Electricity at Residential Location: High Zero-Carbon Technology Cost</t>
  </si>
  <si>
    <t>Purchased Electricity at Residential Location</t>
  </si>
  <si>
    <t>AEO.2025.HIGHZTC.GEN_NA_RESD_GFO_ELC_NA_USA_QBTU.A</t>
  </si>
  <si>
    <t>Residential: Electricity: Generation for Own Use: High Zero-Carbon Technology Cost</t>
  </si>
  <si>
    <t>AEO.2025.HIGHZTC.CNSM_NA_RESD_EVCHRING_ELC_NA_USA_QBTU.A</t>
  </si>
  <si>
    <t>Residential: Electricity: Purchased Electricity for EV Charging: High Zero-Carbon Technology Cost</t>
  </si>
  <si>
    <t>AEO.2025.HIGHZTC.CNSM_NA_RESD_DELE_ELC_NA_USA_QBTU.A</t>
  </si>
  <si>
    <t>Residential: Electricity: Gross End-use Electricity Consumption: High Zero-Carbon Technology Cost</t>
  </si>
  <si>
    <t>AEO.2025.HIGHZTC.CNSM_NA_RESD_OTHU_ELC_NA_USA_QBTU.A</t>
  </si>
  <si>
    <t>Residential: Electricity: Other Uses: High Zero-Carbon Technology Cost</t>
  </si>
  <si>
    <t>AEO.2025.HIGHZTC.CNSM_NA_RESD_FPR_ELC_NA_USA_QBTU.A</t>
  </si>
  <si>
    <t>Residential: Electricity: Fans and Pumps: High Zero-Carbon Technology Cost</t>
  </si>
  <si>
    <t>AEO.2025.HIGHZTC.CNSM_NA_RESD_CMPR_ELC_NA_USA_QBTU.A</t>
  </si>
  <si>
    <t>Residential: Electricity: Computers: High Zero-Carbon Technology Cost</t>
  </si>
  <si>
    <t>AEO.2025.HIGHZTC.CNSM_NA_RESD_TVR_ELC_NA_USA_QBTU.A</t>
  </si>
  <si>
    <t>Residential: Electricity: Televisions: High Zero-Carbon Technology Cost</t>
  </si>
  <si>
    <t>AEO.2025.HIGHZTC.CNSM_NA_RESD_DSW_ELC_NA_USA_QBTU.A</t>
  </si>
  <si>
    <t>Residential: Electricity: Dishwashers: High Zero-Carbon Technology Cost</t>
  </si>
  <si>
    <t>AEO.2025.HIGHZTC.CNSM_NA_RESD_CLW_ELC_NA_USA_QBTU.A</t>
  </si>
  <si>
    <t>Residential: Electricity: Clothes Washers: High Zero-Carbon Technology Cost</t>
  </si>
  <si>
    <t>AEO.2025.HIGHZTC.CNSM_NA_RESD_LGHTNG_ELC_NA_USA_QBTU.A</t>
  </si>
  <si>
    <t>Residential: Electricity: Lighting: High Zero-Carbon Technology Cost</t>
  </si>
  <si>
    <t>AEO.2025.HIGHZTC.CNSM_NA_RESD_FRZ_ELC_NA_USA_QBTU.A</t>
  </si>
  <si>
    <t>Residential: Electricity: Freezers: High Zero-Carbon Technology Cost</t>
  </si>
  <si>
    <t>AEO.2025.HIGHZTC.CNSM_NA_RESD_CDR_ELC_NA_USA_QBTU.A</t>
  </si>
  <si>
    <t>Residential: Electricity: Clothes Dryers: High Zero-Carbon Technology Cost</t>
  </si>
  <si>
    <t>AEO.2025.HIGHZTC.CNSM_NA_RESD_CGR_ELC_NA_USA_QBTU.A</t>
  </si>
  <si>
    <t>Residential: Electricity: Cooking: High Zero-Carbon Technology Cost</t>
  </si>
  <si>
    <t>AEO.2025.HIGHZTC.CNSM_NA_RESD_REFR_ELC_NA_USA_QBTU.A</t>
  </si>
  <si>
    <t>Residential: Electricity: Refrigeration: High Zero-Carbon Technology Cost</t>
  </si>
  <si>
    <t>AEO.2025.HIGHZTC.CNSM_NA_RESD_WTHT_ELC_NA_USA_QBTU.A</t>
  </si>
  <si>
    <t>Residential: Electricity: Water Heating: High Zero-Carbon Technology Cost</t>
  </si>
  <si>
    <t>AEO.2025.HIGHZTC.CNSM_NA_RESD_SPC_ELC_NA_USA_QBTU.A</t>
  </si>
  <si>
    <t>Residential: Electricity: Space Cooling: High Zero-Carbon Technology Cost</t>
  </si>
  <si>
    <t>AEO.2025.HIGHZTC.CNSM_HHD_RESD_SPH_ELC_NA_USA_QBTU.A</t>
  </si>
  <si>
    <t>Residential: Electricity: Space Heating: High Zero-Carbon Technology Cost</t>
  </si>
  <si>
    <t>Electricity</t>
  </si>
  <si>
    <t>thousand Btu/sq ft</t>
  </si>
  <si>
    <t>AEO.2025.HIGHZTC.INY_HHD_RESD_TEN_NA_NA_USA_THBTUPSQFT.A</t>
  </si>
  <si>
    <t>Residential: Energy Intensity per Square Foot: Delivered Energy Consumption: High Zero-Carbon Technology Cost</t>
  </si>
  <si>
    <t>Delivered Energy Consumption</t>
  </si>
  <si>
    <t>AEO.2025.HIGHZTC.INY_HHD_RESD_DELE_NA_NA_USA_THBTUPSQFT.A</t>
  </si>
  <si>
    <t>Residential: Energy Intensity per Square Foot: Gross End-use Consumption: High Zero-Carbon Technology Cost</t>
  </si>
  <si>
    <t>Gross End-use Consumption</t>
  </si>
  <si>
    <t>(thousand Btu per square foot)</t>
  </si>
  <si>
    <t>MMBtu/household</t>
  </si>
  <si>
    <t>AEO.2025.HIGHZTC.INY_HHD_RESD_TEN_NA_NA_USA_MILLBTUPHOSD.A</t>
  </si>
  <si>
    <t>Residential: Household Energy Intensity: Delivered Energy Consumption: High Zero-Carbon Technology Cost</t>
  </si>
  <si>
    <t>AEO.2025.HIGHZTC.INY_HHD_RESD_DELE_NA_NA_USA_MILLBTUPHOSD.A</t>
  </si>
  <si>
    <t>Residential: Household Energy Intensity: Gross End-use Consumption: High Zero-Carbon Technology Cost</t>
  </si>
  <si>
    <t>(MMBtu per household)</t>
  </si>
  <si>
    <t>Energy Intensity</t>
  </si>
  <si>
    <t>sq ft</t>
  </si>
  <si>
    <t>AEO.2025.HIGHZTC.KEI_HHD_RESD_NA_NA_NA_USA_SQFT.A</t>
  </si>
  <si>
    <t>Residential: Key Indicators: Average House Square Footage: High Zero-Carbon Technology Cost</t>
  </si>
  <si>
    <t>Average House Square Footage</t>
  </si>
  <si>
    <t>AEO.2025.HIGHZTC.KEI_HHD_RESD_TEN_NA_NA_USA_MILL.A</t>
  </si>
  <si>
    <t>Residential: Key Indicators: Households: Total: High Zero-Carbon Technology Cost</t>
  </si>
  <si>
    <t>AEO.2025.HIGHZTC.KEI_HHD_RESD_MBH_NA_NA_USA_MILL.A</t>
  </si>
  <si>
    <t>Residential: Key Indicators: Households: Mobile Homes: High Zero-Carbon Technology Cost</t>
  </si>
  <si>
    <t>Mobile Homes</t>
  </si>
  <si>
    <t>AEO.2025.HIGHZTC.KEI_HHD_RESD_MFR_NA_NA_USA_MILL.A</t>
  </si>
  <si>
    <t>Residential: Key Indicators: Households: Multifamily: High Zero-Carbon Technology Cost</t>
  </si>
  <si>
    <t>Multifamily</t>
  </si>
  <si>
    <t>AEO.2025.HIGHZTC.KEI_HHD_RESD_SFR_NA_NA_USA_MILL.A</t>
  </si>
  <si>
    <t>Residential: Key Indicators: Households: Single-Family: High Zero-Carbon Technology Cost</t>
  </si>
  <si>
    <t>Single-Family</t>
  </si>
  <si>
    <t>Households (millions)</t>
  </si>
  <si>
    <t>Growth (2024-2050)</t>
  </si>
  <si>
    <t>Tue Dec 02 2025 13:13:01 GMT-0800 (Pacific Standard Time)</t>
  </si>
  <si>
    <t>https://www.eia.gov/outlooks/aeo/data/browser/#/?id=4-AEO2025&amp;cases=highZTC&amp;sourcekey=0</t>
  </si>
  <si>
    <t>Table 4.  Residential Sector Key Indicators and Consumption</t>
  </si>
  <si>
    <t>AEO.2025.HIGHZTC.CNSM_NA_COMM_CHP_TOT_NA_NA_TRLBTU.A</t>
  </si>
  <si>
    <t>Residential: Combined Heat and Power: Energy Input: Total: High Zero-Carbon Technology Cost</t>
  </si>
  <si>
    <t>AEO.2025.HIGHZTC.CNSM_NA_COMM_CHP_WND_NA_NA_TRLBTU.A</t>
  </si>
  <si>
    <t>Residential: Combined Heat and Power: Energy Input: Wind: High Zero-Carbon Technology Cost</t>
  </si>
  <si>
    <t>AEO.2025.HIGHZTC.CNSM_NA_COMM_CHP_SLR_PHTVL_NA_TRLBTU.A</t>
  </si>
  <si>
    <t>Residential: Combined Heat and Power: Energy Input: Solar Photovoltaic: High Zero-Carbon Technology Cost</t>
  </si>
  <si>
    <t>AEO.2025.HIGHZTC.CNSM_NA_COMM_CHP_FCL_NA_NA_TRLBTU.A</t>
  </si>
  <si>
    <t>Residential: Combined Heat and Power: Energy Input: Fuel Cells: High Zero-Carbon Technology Cost</t>
  </si>
  <si>
    <t>AEO.2025.HIGHZTC.GEN_NA_COMM_CHP_GFO_NA_NA_MILLKWH.A</t>
  </si>
  <si>
    <t>Residential: Combined Heat and Power: Net Generation: Generation for Own Use: High Zero-Carbon Technology Cost</t>
  </si>
  <si>
    <t>AEO.2025.HIGHZTC.GEN_NA_COMM_CHP_STG_NA_NA_MILLKWH.A</t>
  </si>
  <si>
    <t>Residential: Combined Heat and Power: Net Generation: Sales to the Grid: High Zero-Carbon Technology Cost</t>
  </si>
  <si>
    <t>AEO.2025.HIGHZTC.GEN_NA_COMM_CHP_TOT_NA_NA_MILLKWH.A</t>
  </si>
  <si>
    <t>Residential: Combined Heat and Power: Net Generation: Total: High Zero-Carbon Technology Cost</t>
  </si>
  <si>
    <t>AEO.2025.HIGHZTC.GEN_NA_COMM_CHP_WND_NA_NA_MILLKWH.A</t>
  </si>
  <si>
    <t>Residential: Combined Heat and Power: Net Generation: Wind: High Zero-Carbon Technology Cost</t>
  </si>
  <si>
    <t>AEO.2025.HIGHZTC.GEN_NA_COMM_CHP_SLR_PHTVL_NA_MILLKWH.A</t>
  </si>
  <si>
    <t>Residential: Combined Heat and Power: Net Generation: Solar Photovoltaic: High Zero-Carbon Technology Cost</t>
  </si>
  <si>
    <t>AEO.2025.HIGHZTC.GEN_NA_COMM_CHP_FCL_NA_NA_MILLKWH.A</t>
  </si>
  <si>
    <t>Residential: Combined Heat and Power: Net Generation: Fuel Cells: High Zero-Carbon Technology Cost</t>
  </si>
  <si>
    <t>AEO.2025.HIGHZTC.CAP_NA_RESD_CHP_TOT_NA_NA_MW.A</t>
  </si>
  <si>
    <t>Residential: Combined Heat and Power: Generating Capacity: Total: High Zero-Carbon Technology Cost</t>
  </si>
  <si>
    <t>AEO.2025.HIGHZTC.CAP_NA_RESD_CHP_WND_NA_NA_MW.A</t>
  </si>
  <si>
    <t>Residential: Combined Heat and Power: Generating Capacity: Wind: High Zero-Carbon Technology Cost</t>
  </si>
  <si>
    <t>AEO.2025.HIGHZTC.CAP_NA_RESD_CHP_SLR_PHTVL_NA_MW.A</t>
  </si>
  <si>
    <t>Residential: Combined Heat and Power: Generating Capacity: Solar Photovoltaic: High Zero-Carbon Technology Cost</t>
  </si>
  <si>
    <t>AEO.2025.HIGHZTC.CAP_NA_COMM_CHP_FCL_NA_NA_MW.A</t>
  </si>
  <si>
    <t>Residential: Combined Heat and Power: Generating Capacity: Fuel Cells: High Zero-Carbon Technology Cost</t>
  </si>
  <si>
    <t>AEO.2025.HIGHZTC.EFI_BSE_RESD_SPC_AHM_NA_NA_Y15EQ1.A</t>
  </si>
  <si>
    <t>Residential Equipment: Building Shell Efficiency Index: Space Cooling: All Homes: High Zero-Carbon Technology Cost</t>
  </si>
  <si>
    <t>AEO.2025.HIGHZTC.EFI_BSE_RESD_SPC_NCO_NA_NA_Y15EQ1.A</t>
  </si>
  <si>
    <t>Residential Equipment: Building Shell Efficiency Index: Space Cooling: New Construction: High Zero-Carbon Technology Cost</t>
  </si>
  <si>
    <t>AEO.2025.HIGHZTC.EFI_BSE_RESD_SPC_OLD_NA_NA_Y15EQ1.A</t>
  </si>
  <si>
    <t>Residential Equipment: Building Shell Efficiency Index: Space Cooling: Pre-2015 Homes: High Zero-Carbon Technology Cost</t>
  </si>
  <si>
    <t>Pre-2020 Homes</t>
  </si>
  <si>
    <t>AEO.2025.HIGHZTC.EFI_BSE_RESD_SPH_AHM_NA_NA_Y15EQ1.A</t>
  </si>
  <si>
    <t>Residential Equipment: Building Shell Efficiency Index: Space Heating: All Homes: High Zero-Carbon Technology Cost</t>
  </si>
  <si>
    <t>AEO.2025.HIGHZTC.EFI_BSE_RESD_SPH_NCO_NA_NA_Y15EQ1.A</t>
  </si>
  <si>
    <t>Residential Equipment: Building Shell Efficiency Index: Space Heating: New Construction: High Zero-Carbon Technology Cost</t>
  </si>
  <si>
    <t>AEO.2025.HIGHZTC.EFI_BSE_RESD_SPH_OLD_NA_NA_Y15EQ1.A</t>
  </si>
  <si>
    <t>Residential Equipment: Building Shell Efficiency Index: Space Heating: Pre-2015 Homes: High Zero-Carbon Technology Cost</t>
  </si>
  <si>
    <t>AEO.2025.HIGHZTC.EFI_STK_RESD_OTAR_FRZ_NA_NA_KWH.A</t>
  </si>
  <si>
    <t>Residential Equipment: Stock Average Efficiency: Other Appliances: Freezers: High Zero-Carbon Technology Cost</t>
  </si>
  <si>
    <t>AEO.2025.HIGHZTC.EFI_STK_RESD_OTAR_RFG_NA_NA_KWH.A</t>
  </si>
  <si>
    <t>Residential Equipment: Stock Average Efficiency: Other Appliances: Refrigerators: High Zero-Carbon Technology Cost</t>
  </si>
  <si>
    <t>AEO.2025.HIGHZTC.EFI_STK_RESD_WHT_PROP_NA_NA_EF.A</t>
  </si>
  <si>
    <t>Residential Equipment: Stock Average Efficiency: Water Heaters: Propane: High Zero-Carbon Technology Cost</t>
  </si>
  <si>
    <t>AEO.2025.HIGHZTC.EFI_STK_RESD_WHT_DFO_NA_NA_EF.A</t>
  </si>
  <si>
    <t>Residential Equipment: Stock Average Efficiency: Water Heaters: Distillate Fuel Oil: High Zero-Carbon Technology Cost</t>
  </si>
  <si>
    <t>AEO.2025.HIGHZTC.EFI_STK_RESD_WHT_NG_NA_NA_EF.A</t>
  </si>
  <si>
    <t>Residential Equipment: Stock Average Efficiency: Water Heaters: Natural Gas: High Zero-Carbon Technology Cost</t>
  </si>
  <si>
    <t>AEO.2025.HIGHZTC.EFI_STK_RESD_WHT_ELE_NA_NA_EF.A</t>
  </si>
  <si>
    <t>Residential Equipment: Stock Average Efficiency: Water Heaters: Electric: High Zero-Carbon Technology Cost</t>
  </si>
  <si>
    <t>AEO.2025.HIGHZTC.EFI_STK_RESD_SPC_RAC_NA_NA_EER.A</t>
  </si>
  <si>
    <t>Residential Equipment: Stock Average Efficiency: Space Cooling: Room Air Conditioners: High Zero-Carbon Technology Cost</t>
  </si>
  <si>
    <t>AEO.2025.HIGHZTC.EFI_STK_RESD_SPC_CAC_NA_NA_SEER.A</t>
  </si>
  <si>
    <t>Residential Equipment: Stock Average Efficiency: Space Cooling: Central Air Conditioners: High Zero-Carbon Technology Cost</t>
  </si>
  <si>
    <t>AEO.2025.HIGHZTC.EFI_STK_RESD_SPC_GEHP_NA_NA_EER.A</t>
  </si>
  <si>
    <t>Residential Equipment: Stock Average Efficiency: Space Cooling: Geothermal Heat Pumps: High Zero-Carbon Technology Cost</t>
  </si>
  <si>
    <t>AEO.2025.HIGHZTC.EFI_STK_RESD_SPC_NHU_NA_NA_GCOP.A</t>
  </si>
  <si>
    <t>Residential Equipment: Stock Average Efficiency: Space Cooling: Natural Gas Heat Pumps: High Zero-Carbon Technology Cost</t>
  </si>
  <si>
    <t>AEO.2025.HIGHZTC.EFI_STK_RESD_SPC_EHP_NA_NA_SEER.A</t>
  </si>
  <si>
    <t>Residential Equipment: Stock Average Efficiency: Space Cooling: Electric Heat Pumps: High Zero-Carbon Technology Cost</t>
  </si>
  <si>
    <t>AEO.2025.HIGHZTC.EFI_STK_RESD_SPHR_DFR_NA_NA_AFUE.A</t>
  </si>
  <si>
    <t>Residential Equipment: Stock Average Efficiency: Main Space Heaters: Distillate Furnace: High Zero-Carbon Technology Cost</t>
  </si>
  <si>
    <t>AEO.2025.HIGHZTC.EFI_STK_RESD_SPHR_NFR_NA_NA_AFUE.A</t>
  </si>
  <si>
    <t>Residential Equipment: Stock Average Efficiency: Main Space Heaters: Natural Gas Furnace: High Zero-Carbon Technology Cost</t>
  </si>
  <si>
    <t>AEO.2025.HIGHZTC.EFI_STK_RESD_SPHR_GEHP_NA_NA_COP.A</t>
  </si>
  <si>
    <t>Residential Equipment: Stock Average Efficiency: Main Space Heaters: Geothermal Heat Pumps: High Zero-Carbon Technology Cost</t>
  </si>
  <si>
    <t>AEO.2025.HIGHZTC.EFI_STK_RESD_SPHR_NHU_NA_NA_GCOP.A</t>
  </si>
  <si>
    <t>Residential Equipment: Stock Average Efficiency: Main Space Heaters: Natural Gas Heat Pumps: High Zero-Carbon Technology Cost</t>
  </si>
  <si>
    <t>AEO.2025.HIGHZTC.EFI_STK_RESD_SPHR_EHP_NA_NA_HSPF.A</t>
  </si>
  <si>
    <t>Residential Equipment: Stock Average Efficiency: Main Space Heaters: Electric Heat Pumps: High Zero-Carbon Technology Cost</t>
  </si>
  <si>
    <t>AEO.2025.HIGHZTC.EQNR_STK_RESD_OTAR_FRZ_NA_NA_MILL.A</t>
  </si>
  <si>
    <t>Residential Equipment: Equipment Stock: Other Appliances: Freezers: High Zero-Carbon Technology Cost</t>
  </si>
  <si>
    <t>AEO.2025.HIGHZTC.EQNR_STK_RESD_OTAR_RFG_NA_NA_MILL.A</t>
  </si>
  <si>
    <t>Residential Equipment: Equipment Stock: Other Appliances: Refrigerators: High Zero-Carbon Technology Cost</t>
  </si>
  <si>
    <t>AEO.2025.HIGHZTC.EQNR_STK_RESD_CDR_TOT_NA_NA_MILL.A</t>
  </si>
  <si>
    <t>Residential Equipment: Equipment Stock: Clothes Dryers: Total: High Zero-Carbon Technology Cost</t>
  </si>
  <si>
    <t>AEO.2025.HIGHZTC.EQNR_STK_RESD_CDR_NG_NA_NA_MILL.A</t>
  </si>
  <si>
    <t>Residential Equipment: Equipment Stock: Clothes Dryers: Natural Gas: High Zero-Carbon Technology Cost</t>
  </si>
  <si>
    <t>AEO.2025.HIGHZTC.EQNR_STK_RESD_CDR_ELE_NA_NA_MILL.A</t>
  </si>
  <si>
    <t>Residential Equipment: Equipment Stock: Clothes Dryers: Electric: High Zero-Carbon Technology Cost</t>
  </si>
  <si>
    <t>AEO.2025.HIGHZTC.EQNR_STK_RESD_CER_TOT_NA_NA_MILL.A</t>
  </si>
  <si>
    <t>Residential Equipment: Equipment Stock: Cooking Equipment: Total: High Zero-Carbon Technology Cost</t>
  </si>
  <si>
    <t>AEO.2025.HIGHZTC.EQNR_STK_RESD_CER_PROP_NA_NA_MILL.A</t>
  </si>
  <si>
    <t>Residential Equipment: Equipment Stock: Cooking Equipment: Propane: High Zero-Carbon Technology Cost</t>
  </si>
  <si>
    <t>AEO.2025.HIGHZTC.EQNR_STK_RESD_CER_NG_NA_NA_MILL.A</t>
  </si>
  <si>
    <t>Residential Equipment: Equipment Stock: Cooking Equipment: Natural Gas: High Zero-Carbon Technology Cost</t>
  </si>
  <si>
    <t>AEO.2025.HIGHZTC.EQNR_STK_RESD_CER_ELE_NA_NA_MILL.A</t>
  </si>
  <si>
    <t>Residential Equipment: Equipment Stock: Cooking Equipment: Electric: High Zero-Carbon Technology Cost</t>
  </si>
  <si>
    <t>AEO.2025.HIGHZTC.EQNR_STK_RESD_WHT_TOT_NA_NA_MILL.A</t>
  </si>
  <si>
    <t>Residential Equipment: Equipment Stock: Water Heaters: Total: High Zero-Carbon Technology Cost</t>
  </si>
  <si>
    <t>AEO.2025.HIGHZTC.EQNR_STK_RESD_WHT_SLR_THERM_NA_MILL.A</t>
  </si>
  <si>
    <t>Residential Equipment: Equipment Stock: Water Heaters: Solar Thermal: High Zero-Carbon Technology Cost</t>
  </si>
  <si>
    <t>AEO.2025.HIGHZTC.EQNR_STK_RESD_WHT_PROP_NA_NA_MILL.A</t>
  </si>
  <si>
    <t>Residential Equipment: Equipment Stock: Water Heaters: Propane: High Zero-Carbon Technology Cost</t>
  </si>
  <si>
    <t>AEO.2025.HIGHZTC.EQNR_STK_RESD_WHT_DFO_NA_NA_MILL.A</t>
  </si>
  <si>
    <t>Residential Equipment: Equipment Stock: Water Heaters: Distillate Fuel Oil: High Zero-Carbon Technology Cost</t>
  </si>
  <si>
    <t>AEO.2025.HIGHZTC.EQNR_STK_RESD_WHT_NG_NA_NA_MILL.A</t>
  </si>
  <si>
    <t>Residential Equipment: Equipment Stock: Water Heaters: Natural Gas: High Zero-Carbon Technology Cost</t>
  </si>
  <si>
    <t>AEO.2025.HIGHZTC.EQNR_STK_RESD_WHT_ELE_NA_NA_MILL.A</t>
  </si>
  <si>
    <t>Residential Equipment: Equipment Stock: Water Heaters: Electric: High Zero-Carbon Technology Cost</t>
  </si>
  <si>
    <t>AEO.2025.HIGHZTC.EQNR_STK_RESD_SPC_TOT_NA_NA_MILL.A</t>
  </si>
  <si>
    <t>Residential Equipment: Equipment Stock: Space Cooling: Total: High Zero-Carbon Technology Cost</t>
  </si>
  <si>
    <t>AEO.2025.HIGHZTC.EQNR_STK_RESD_SPC_RAC_NA_NA_MILL.A</t>
  </si>
  <si>
    <t>Residential Equipment: Equipment Stock: Space Cooling: Room Air Conditioners: High Zero-Carbon Technology Cost</t>
  </si>
  <si>
    <t>AEO.2025.HIGHZTC.EQNR_STK_RESD_SPC_CAC_NA_NA_MILL.A</t>
  </si>
  <si>
    <t>Residential Equipment: Equipment Stock: Space Cooling: Central Air Conditioners: High Zero-Carbon Technology Cost</t>
  </si>
  <si>
    <t>AEO.2025.HIGHZTC.EQNR_STK_RESD_SPC_GEHP_NA_NA_MILL.A</t>
  </si>
  <si>
    <t>Residential Equipment: Equipment Stock: Space Cooling: Geothermal Heat Pumps: High Zero-Carbon Technology Cost</t>
  </si>
  <si>
    <t>AEO.2025.HIGHZTC.EQNR_STK_RESD_SPC_NHU_NA_NA_MILL.A</t>
  </si>
  <si>
    <t>Residential Equipment: Equipment Stock: Space Cooling: Natural Gas Heat Pumps: High Zero-Carbon Technology Cost</t>
  </si>
  <si>
    <t>AEO.2025.HIGHZTC.EQNR_STK_RESD_SPC_EHP_NA_NA_MILL.A</t>
  </si>
  <si>
    <t>Residential Equipment: Equipment Stock: Space Cooling: Electric Heat Pumps: High Zero-Carbon Technology Cost</t>
  </si>
  <si>
    <t>AEO.2025.HIGHZTC.EQNR_STK_RESD_MSHR_TOT_NA_NA_MILL.A</t>
  </si>
  <si>
    <t>Residential Equipment: Equipment Stock: Main Space Heaters: Total: High Zero-Carbon Technology Cost</t>
  </si>
  <si>
    <t>AEO.2025.HIGHZTC.EQNR_STK_RESD_MSHR_GEHP_NA_NA_MILL.A</t>
  </si>
  <si>
    <t>Residential Equipment: Equipment Stock: Main Space Heaters: Geothermal Heat Pumps: High Zero-Carbon Technology Cost</t>
  </si>
  <si>
    <t>AEO.2025.HIGHZTC.EQNR_STK_RESD_MSHR_WDS_NA_NA_MILL.A</t>
  </si>
  <si>
    <t>Residential Equipment: Equipment Stock: Main Space Heaters: Wood Stoves: High Zero-Carbon Technology Cost</t>
  </si>
  <si>
    <t>AEO.2025.HIGHZTC.EQNR_STK_RESD_MSHR_KRS_NA_NA_MILL.A</t>
  </si>
  <si>
    <t>Residential Equipment: Equipment Stock: Main Space Heaters: Kerosene: High Zero-Carbon Technology Cost</t>
  </si>
  <si>
    <t>AEO.2025.HIGHZTC.EQNR_STK_RESD_MSHR_PROP_NA_NA_MILL.A</t>
  </si>
  <si>
    <t>Residential Equipment: Equipment Stock: Main Space Heaters: Propane: High Zero-Carbon Technology Cost</t>
  </si>
  <si>
    <t>AEO.2025.HIGHZTC.EQNR_STK_RESD_MSHR_DFO_NA_NA_MILL.A</t>
  </si>
  <si>
    <t>Residential Equipment: Equipment Stock: Main Space Heaters: Distillate Fuel Oil: High Zero-Carbon Technology Cost</t>
  </si>
  <si>
    <t>AEO.2025.HIGHZTC.EQNR_STK_RESD_MSHR_NGO_NA_NA_MILL.A</t>
  </si>
  <si>
    <t>Residential Equipment: Equipment Stock: Main Space Heaters: Natural Gas Other: High Zero-Carbon Technology Cost</t>
  </si>
  <si>
    <t>AEO.2025.HIGHZTC.EQNR_STK_RESD_MSHR_NHU_NA_NA_MILL.A</t>
  </si>
  <si>
    <t>Residential Equipment: Equipment Stock: Main Space Heaters: Natural Gas Heat Pumps: High Zero-Carbon Technology Cost</t>
  </si>
  <si>
    <t>AEO.2025.HIGHZTC.EQNR_STK_RESD_MSHR_ELO_NA_NA_MILL.A</t>
  </si>
  <si>
    <t>Residential Equipment: Equipment Stock: Main Space Heaters: Electric Other: High Zero-Carbon Technology Cost</t>
  </si>
  <si>
    <t>AEO.2025.HIGHZTC.EQNR_STK_RESD_MSHR_EHP_NA_NA_MILL.A</t>
  </si>
  <si>
    <t>Residential Equipment: Equipment Stock: Main Space Heaters: Electric Heat Pumps: High Zero-Carbon Technology Cost</t>
  </si>
  <si>
    <t>Tue Dec 02 2025 13:21:44 GMT-0800 (Pacific Standard Time)</t>
  </si>
  <si>
    <t>https://www.eia.gov/outlooks/aeo/data/browser/#/?id=30-AEO2025&amp;cases=highZTC&amp;sourcekey=0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</si>
</sst>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6" formatCode="###0;###0"/>
    <numFmt numFmtId="167" formatCode="#,##0;#,##0"/>
    <numFmt numFmtId="168" formatCode="###0.0;###0.0"/>
    <numFmt numFmtId="169" formatCode="###0.00;###0.00"/>
    <numFmt numFmtId="170" formatCode="0.000E+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theme="0"/>
      <name val="Calibri"/>
      <family val="2"/>
    </font>
    <font>
      <b/>
      <sz val="14"/>
      <color theme="0"/>
      <name val="Calibri"/>
      <family val="2"/>
    </font>
    <font>
      <sz val="11"/>
      <name val="Calibri"/>
      <family val="2"/>
    </font>
    <font>
      <sz val="10"/>
      <name val="Palatino Linotype"/>
      <family val="1"/>
    </font>
    <font>
      <i/>
      <sz val="11"/>
      <color indexed="8"/>
      <name val="Calibri"/>
      <family val="2"/>
      <scheme val="minor"/>
    </font>
    <font>
      <b/>
      <sz val="12"/>
      <color indexed="3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93678"/>
      </patternFill>
    </fill>
    <fill>
      <patternFill patternType="solid">
        <fgColor rgb="FFCCCED6"/>
      </patternFill>
    </fill>
    <fill>
      <patternFill patternType="solid">
        <fgColor rgb="FFE7E8EC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ck">
        <color theme="0"/>
      </left>
      <right style="thick">
        <color theme="0"/>
      </right>
      <top/>
      <bottom style="thin">
        <color theme="0" tint="-0.24994659260841701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  <border>
      <left/>
      <right/>
      <top style="medium">
        <color rgb="FF0096D7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3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 applyNumberFormat="0" applyProtection="0">
      <alignment horizontal="left"/>
    </xf>
    <xf numFmtId="0" fontId="6" fillId="0" borderId="2" applyNumberFormat="0" applyProtection="0">
      <alignment horizontal="left" wrapText="1"/>
    </xf>
    <xf numFmtId="0" fontId="6" fillId="0" borderId="1" applyNumberFormat="0" applyProtection="0">
      <alignment wrapText="1"/>
    </xf>
    <xf numFmtId="0" fontId="7" fillId="0" borderId="3" applyNumberFormat="0" applyFont="0" applyProtection="0">
      <alignment wrapText="1"/>
    </xf>
    <xf numFmtId="0" fontId="6" fillId="0" borderId="4" applyNumberFormat="0" applyProtection="0">
      <alignment wrapText="1"/>
    </xf>
    <xf numFmtId="0" fontId="7" fillId="0" borderId="5" applyNumberFormat="0" applyProtection="0">
      <alignment vertical="top" wrapText="1"/>
    </xf>
    <xf numFmtId="0" fontId="8" fillId="0" borderId="0" applyNumberFormat="0" applyFill="0" applyBorder="0" applyAlignment="0" applyProtection="0"/>
    <xf numFmtId="0" fontId="8" fillId="0" borderId="0"/>
    <xf numFmtId="0" fontId="8" fillId="0" borderId="6">
      <alignment wrapText="1"/>
    </xf>
    <xf numFmtId="0" fontId="9" fillId="0" borderId="19">
      <alignment wrapText="1"/>
    </xf>
    <xf numFmtId="0" fontId="8" fillId="0" borderId="20">
      <alignment wrapText="1"/>
    </xf>
    <xf numFmtId="0" fontId="9" fillId="0" borderId="21">
      <alignment wrapText="1"/>
    </xf>
    <xf numFmtId="0" fontId="8" fillId="0" borderId="0"/>
    <xf numFmtId="0" fontId="18" fillId="0" borderId="0">
      <alignment horizontal="left"/>
    </xf>
    <xf numFmtId="0" fontId="1" fillId="0" borderId="0"/>
    <xf numFmtId="0" fontId="8" fillId="0" borderId="0"/>
    <xf numFmtId="0" fontId="8" fillId="0" borderId="20">
      <alignment wrapText="1"/>
    </xf>
    <xf numFmtId="0" fontId="8" fillId="0" borderId="0"/>
    <xf numFmtId="0" fontId="8" fillId="0" borderId="6">
      <alignment wrapText="1"/>
    </xf>
    <xf numFmtId="0" fontId="9" fillId="0" borderId="21">
      <alignment wrapText="1"/>
    </xf>
    <xf numFmtId="0" fontId="9" fillId="0" borderId="19">
      <alignment wrapText="1"/>
    </xf>
    <xf numFmtId="0" fontId="18" fillId="0" borderId="0">
      <alignment horizontal="left"/>
    </xf>
    <xf numFmtId="0" fontId="1" fillId="0" borderId="0"/>
    <xf numFmtId="0" fontId="1" fillId="0" borderId="0"/>
    <xf numFmtId="0" fontId="1" fillId="0" borderId="0"/>
    <xf numFmtId="0" fontId="1" fillId="0" borderId="0"/>
  </cellStyleXfs>
  <cellXfs count="159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3" fillId="0" borderId="0" xfId="3"/>
    <xf numFmtId="1" fontId="0" fillId="0" borderId="0" xfId="0" applyNumberFormat="1"/>
    <xf numFmtId="0" fontId="2" fillId="2" borderId="0" xfId="0" applyFont="1" applyFill="1"/>
    <xf numFmtId="0" fontId="4" fillId="0" borderId="0" xfId="0" applyFont="1"/>
    <xf numFmtId="166" fontId="11" fillId="3" borderId="8" xfId="0" applyNumberFormat="1" applyFont="1" applyFill="1" applyBorder="1" applyAlignment="1">
      <alignment horizontal="left" vertical="top" wrapText="1"/>
    </xf>
    <xf numFmtId="0" fontId="10" fillId="4" borderId="8" xfId="0" applyFont="1" applyFill="1" applyBorder="1" applyAlignment="1">
      <alignment horizontal="left" vertical="top" wrapText="1"/>
    </xf>
    <xf numFmtId="0" fontId="10" fillId="5" borderId="8" xfId="0" applyFont="1" applyFill="1" applyBorder="1" applyAlignment="1">
      <alignment horizontal="left" vertical="top" wrapText="1"/>
    </xf>
    <xf numFmtId="166" fontId="12" fillId="5" borderId="8" xfId="0" applyNumberFormat="1" applyFont="1" applyFill="1" applyBorder="1" applyAlignment="1">
      <alignment horizontal="left" vertical="top" wrapText="1"/>
    </xf>
    <xf numFmtId="166" fontId="12" fillId="5" borderId="9" xfId="0" applyNumberFormat="1" applyFont="1" applyFill="1" applyBorder="1" applyAlignment="1">
      <alignment horizontal="left" vertical="top" wrapText="1"/>
    </xf>
    <xf numFmtId="166" fontId="12" fillId="5" borderId="11" xfId="0" applyNumberFormat="1" applyFont="1" applyFill="1" applyBorder="1" applyAlignment="1">
      <alignment horizontal="left" vertical="top" wrapText="1"/>
    </xf>
    <xf numFmtId="166" fontId="12" fillId="4" borderId="8" xfId="0" applyNumberFormat="1" applyFont="1" applyFill="1" applyBorder="1" applyAlignment="1">
      <alignment horizontal="left" vertical="top" wrapText="1"/>
    </xf>
    <xf numFmtId="166" fontId="12" fillId="4" borderId="9" xfId="0" applyNumberFormat="1" applyFont="1" applyFill="1" applyBorder="1" applyAlignment="1">
      <alignment horizontal="left" vertical="top" wrapText="1"/>
    </xf>
    <xf numFmtId="166" fontId="12" fillId="4" borderId="11" xfId="0" applyNumberFormat="1" applyFont="1" applyFill="1" applyBorder="1" applyAlignment="1">
      <alignment horizontal="left" vertical="top" wrapText="1"/>
    </xf>
    <xf numFmtId="167" fontId="12" fillId="5" borderId="8" xfId="0" applyNumberFormat="1" applyFont="1" applyFill="1" applyBorder="1" applyAlignment="1">
      <alignment horizontal="left" vertical="top" wrapText="1"/>
    </xf>
    <xf numFmtId="167" fontId="12" fillId="5" borderId="9" xfId="0" applyNumberFormat="1" applyFont="1" applyFill="1" applyBorder="1" applyAlignment="1">
      <alignment horizontal="left" vertical="top" wrapText="1"/>
    </xf>
    <xf numFmtId="167" fontId="12" fillId="5" borderId="11" xfId="0" applyNumberFormat="1" applyFont="1" applyFill="1" applyBorder="1" applyAlignment="1">
      <alignment horizontal="left" vertical="top" wrapText="1"/>
    </xf>
    <xf numFmtId="167" fontId="12" fillId="4" borderId="8" xfId="0" applyNumberFormat="1" applyFont="1" applyFill="1" applyBorder="1" applyAlignment="1">
      <alignment horizontal="left" vertical="top" wrapText="1"/>
    </xf>
    <xf numFmtId="167" fontId="12" fillId="4" borderId="9" xfId="0" applyNumberFormat="1" applyFont="1" applyFill="1" applyBorder="1" applyAlignment="1">
      <alignment horizontal="left" vertical="top" wrapText="1"/>
    </xf>
    <xf numFmtId="167" fontId="12" fillId="4" borderId="11" xfId="0" applyNumberFormat="1" applyFont="1" applyFill="1" applyBorder="1" applyAlignment="1">
      <alignment horizontal="left" vertical="top" wrapText="1"/>
    </xf>
    <xf numFmtId="0" fontId="10" fillId="3" borderId="7" xfId="0" applyFont="1" applyFill="1" applyBorder="1" applyAlignment="1">
      <alignment horizont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7" xfId="0" applyFont="1" applyFill="1" applyBorder="1" applyAlignment="1">
      <alignment horizontal="left"/>
    </xf>
    <xf numFmtId="0" fontId="10" fillId="4" borderId="8" xfId="0" applyFont="1" applyFill="1" applyBorder="1" applyAlignment="1">
      <alignment horizontal="left" vertical="center" wrapText="1"/>
    </xf>
    <xf numFmtId="0" fontId="0" fillId="4" borderId="8" xfId="0" applyFill="1" applyBorder="1" applyAlignment="1">
      <alignment horizontal="left" vertical="top" wrapText="1"/>
    </xf>
    <xf numFmtId="166" fontId="11" fillId="3" borderId="11" xfId="0" applyNumberFormat="1" applyFont="1" applyFill="1" applyBorder="1" applyAlignment="1">
      <alignment horizontal="left" vertical="top" wrapText="1"/>
    </xf>
    <xf numFmtId="0" fontId="10" fillId="5" borderId="9" xfId="0" applyFont="1" applyFill="1" applyBorder="1" applyAlignment="1">
      <alignment horizontal="left" vertical="top" wrapText="1"/>
    </xf>
    <xf numFmtId="0" fontId="10" fillId="4" borderId="9" xfId="0" applyFont="1" applyFill="1" applyBorder="1" applyAlignment="1">
      <alignment horizontal="left" vertical="top" wrapText="1"/>
    </xf>
    <xf numFmtId="168" fontId="12" fillId="4" borderId="11" xfId="0" applyNumberFormat="1" applyFont="1" applyFill="1" applyBorder="1" applyAlignment="1">
      <alignment horizontal="left" vertical="top" wrapText="1"/>
    </xf>
    <xf numFmtId="168" fontId="12" fillId="4" borderId="8" xfId="0" applyNumberFormat="1" applyFont="1" applyFill="1" applyBorder="1" applyAlignment="1">
      <alignment horizontal="left" vertical="top" wrapText="1"/>
    </xf>
    <xf numFmtId="0" fontId="15" fillId="5" borderId="11" xfId="0" applyFont="1" applyFill="1" applyBorder="1" applyAlignment="1">
      <alignment horizontal="left" vertical="top" wrapText="1"/>
    </xf>
    <xf numFmtId="168" fontId="12" fillId="5" borderId="8" xfId="0" applyNumberFormat="1" applyFont="1" applyFill="1" applyBorder="1" applyAlignment="1">
      <alignment horizontal="left" vertical="top" wrapText="1"/>
    </xf>
    <xf numFmtId="166" fontId="12" fillId="4" borderId="11" xfId="0" applyNumberFormat="1" applyFont="1" applyFill="1" applyBorder="1" applyAlignment="1">
      <alignment horizontal="right" vertical="top" wrapText="1"/>
    </xf>
    <xf numFmtId="166" fontId="12" fillId="4" borderId="8" xfId="0" applyNumberFormat="1" applyFont="1" applyFill="1" applyBorder="1" applyAlignment="1">
      <alignment horizontal="right" vertical="top" wrapText="1"/>
    </xf>
    <xf numFmtId="0" fontId="0" fillId="2" borderId="0" xfId="0" applyFill="1"/>
    <xf numFmtId="2" fontId="0" fillId="0" borderId="0" xfId="0" applyNumberFormat="1"/>
    <xf numFmtId="11" fontId="0" fillId="0" borderId="0" xfId="0" applyNumberFormat="1"/>
    <xf numFmtId="0" fontId="10" fillId="3" borderId="7" xfId="0" applyFont="1" applyFill="1" applyBorder="1" applyAlignment="1">
      <alignment horizontal="center" vertical="center" wrapText="1"/>
    </xf>
    <xf numFmtId="166" fontId="11" fillId="3" borderId="15" xfId="0" applyNumberFormat="1" applyFont="1" applyFill="1" applyBorder="1" applyAlignment="1">
      <alignment horizontal="left" vertical="top" wrapText="1"/>
    </xf>
    <xf numFmtId="166" fontId="11" fillId="3" borderId="16" xfId="0" applyNumberFormat="1" applyFont="1" applyFill="1" applyBorder="1" applyAlignment="1">
      <alignment horizontal="left" vertical="top" wrapText="1"/>
    </xf>
    <xf numFmtId="166" fontId="11" fillId="3" borderId="7" xfId="0" applyNumberFormat="1" applyFont="1" applyFill="1" applyBorder="1" applyAlignment="1">
      <alignment horizontal="left" vertical="top" wrapText="1"/>
    </xf>
    <xf numFmtId="0" fontId="0" fillId="3" borderId="16" xfId="0" applyFill="1" applyBorder="1" applyAlignment="1">
      <alignment horizontal="left" vertical="top" wrapText="1"/>
    </xf>
    <xf numFmtId="0" fontId="0" fillId="3" borderId="14" xfId="0" applyFill="1" applyBorder="1" applyAlignment="1">
      <alignment horizontal="left" vertical="top" wrapText="1"/>
    </xf>
    <xf numFmtId="0" fontId="0" fillId="4" borderId="14" xfId="0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left" vertical="top" wrapText="1"/>
    </xf>
    <xf numFmtId="0" fontId="10" fillId="4" borderId="17" xfId="0" applyFont="1" applyFill="1" applyBorder="1" applyAlignment="1">
      <alignment horizontal="left" vertical="top" wrapText="1"/>
    </xf>
    <xf numFmtId="0" fontId="10" fillId="4" borderId="13" xfId="0" applyFont="1" applyFill="1" applyBorder="1" applyAlignment="1">
      <alignment horizontal="left" vertical="center" wrapText="1"/>
    </xf>
    <xf numFmtId="166" fontId="12" fillId="4" borderId="7" xfId="0" applyNumberFormat="1" applyFont="1" applyFill="1" applyBorder="1" applyAlignment="1">
      <alignment horizontal="left" vertical="top" wrapText="1"/>
    </xf>
    <xf numFmtId="166" fontId="12" fillId="4" borderId="16" xfId="0" applyNumberFormat="1" applyFont="1" applyFill="1" applyBorder="1" applyAlignment="1">
      <alignment horizontal="left" vertical="top" wrapText="1"/>
    </xf>
    <xf numFmtId="0" fontId="0" fillId="4" borderId="14" xfId="0" applyFill="1" applyBorder="1" applyAlignment="1">
      <alignment horizontal="left" vertical="top" wrapText="1"/>
    </xf>
    <xf numFmtId="166" fontId="12" fillId="4" borderId="12" xfId="0" applyNumberFormat="1" applyFont="1" applyFill="1" applyBorder="1" applyAlignment="1">
      <alignment horizontal="left" vertical="top" wrapText="1"/>
    </xf>
    <xf numFmtId="166" fontId="12" fillId="4" borderId="17" xfId="0" applyNumberFormat="1" applyFont="1" applyFill="1" applyBorder="1" applyAlignment="1">
      <alignment horizontal="left" vertical="top" wrapText="1"/>
    </xf>
    <xf numFmtId="0" fontId="2" fillId="6" borderId="0" xfId="0" applyFont="1" applyFill="1"/>
    <xf numFmtId="0" fontId="0" fillId="6" borderId="0" xfId="0" applyFill="1"/>
    <xf numFmtId="0" fontId="0" fillId="3" borderId="7" xfId="0" applyFill="1" applyBorder="1" applyAlignment="1">
      <alignment horizontal="left" vertical="top" wrapText="1"/>
    </xf>
    <xf numFmtId="0" fontId="10" fillId="4" borderId="14" xfId="0" applyFont="1" applyFill="1" applyBorder="1" applyAlignment="1">
      <alignment horizontal="left" vertical="top" wrapText="1"/>
    </xf>
    <xf numFmtId="169" fontId="12" fillId="4" borderId="8" xfId="0" applyNumberFormat="1" applyFont="1" applyFill="1" applyBorder="1" applyAlignment="1">
      <alignment horizontal="left" vertical="top" wrapText="1"/>
    </xf>
    <xf numFmtId="169" fontId="12" fillId="4" borderId="9" xfId="0" applyNumberFormat="1" applyFont="1" applyFill="1" applyBorder="1" applyAlignment="1">
      <alignment horizontal="left" vertical="top" wrapText="1"/>
    </xf>
    <xf numFmtId="169" fontId="12" fillId="4" borderId="11" xfId="0" applyNumberFormat="1" applyFont="1" applyFill="1" applyBorder="1" applyAlignment="1">
      <alignment horizontal="left" vertical="top" wrapText="1"/>
    </xf>
    <xf numFmtId="0" fontId="10" fillId="5" borderId="13" xfId="0" applyFont="1" applyFill="1" applyBorder="1" applyAlignment="1">
      <alignment horizontal="left" vertical="center" wrapText="1"/>
    </xf>
    <xf numFmtId="166" fontId="12" fillId="5" borderId="13" xfId="0" applyNumberFormat="1" applyFont="1" applyFill="1" applyBorder="1" applyAlignment="1">
      <alignment horizontal="right" vertical="top" wrapText="1"/>
    </xf>
    <xf numFmtId="166" fontId="12" fillId="5" borderId="7" xfId="0" applyNumberFormat="1" applyFont="1" applyFill="1" applyBorder="1" applyAlignment="1">
      <alignment horizontal="left" vertical="top" wrapText="1"/>
    </xf>
    <xf numFmtId="166" fontId="12" fillId="5" borderId="16" xfId="0" applyNumberFormat="1" applyFont="1" applyFill="1" applyBorder="1" applyAlignment="1">
      <alignment horizontal="right" vertical="top" wrapText="1"/>
    </xf>
    <xf numFmtId="0" fontId="0" fillId="5" borderId="14" xfId="0" applyFill="1" applyBorder="1" applyAlignment="1">
      <alignment horizontal="left" vertical="top" wrapText="1"/>
    </xf>
    <xf numFmtId="166" fontId="12" fillId="5" borderId="14" xfId="0" applyNumberFormat="1" applyFont="1" applyFill="1" applyBorder="1" applyAlignment="1">
      <alignment horizontal="left" vertical="top" wrapText="1"/>
    </xf>
    <xf numFmtId="166" fontId="12" fillId="5" borderId="12" xfId="0" applyNumberFormat="1" applyFont="1" applyFill="1" applyBorder="1" applyAlignment="1">
      <alignment horizontal="left" vertical="top" wrapText="1"/>
    </xf>
    <xf numFmtId="166" fontId="12" fillId="5" borderId="17" xfId="0" applyNumberFormat="1" applyFont="1" applyFill="1" applyBorder="1" applyAlignment="1">
      <alignment horizontal="left" vertical="top" wrapText="1"/>
    </xf>
    <xf numFmtId="167" fontId="12" fillId="4" borderId="13" xfId="0" applyNumberFormat="1" applyFont="1" applyFill="1" applyBorder="1" applyAlignment="1">
      <alignment horizontal="left" vertical="top" wrapText="1"/>
    </xf>
    <xf numFmtId="167" fontId="12" fillId="4" borderId="7" xfId="0" applyNumberFormat="1" applyFont="1" applyFill="1" applyBorder="1" applyAlignment="1">
      <alignment horizontal="left" vertical="top" wrapText="1"/>
    </xf>
    <xf numFmtId="167" fontId="12" fillId="4" borderId="16" xfId="0" applyNumberFormat="1" applyFont="1" applyFill="1" applyBorder="1" applyAlignment="1">
      <alignment horizontal="left" vertical="top" wrapText="1"/>
    </xf>
    <xf numFmtId="167" fontId="12" fillId="4" borderId="14" xfId="0" applyNumberFormat="1" applyFont="1" applyFill="1" applyBorder="1" applyAlignment="1">
      <alignment horizontal="left" vertical="top" wrapText="1"/>
    </xf>
    <xf numFmtId="167" fontId="12" fillId="4" borderId="12" xfId="0" applyNumberFormat="1" applyFont="1" applyFill="1" applyBorder="1" applyAlignment="1">
      <alignment horizontal="left" vertical="top" wrapText="1"/>
    </xf>
    <xf numFmtId="167" fontId="12" fillId="4" borderId="17" xfId="0" applyNumberFormat="1" applyFont="1" applyFill="1" applyBorder="1" applyAlignment="1">
      <alignment horizontal="left" vertical="top" wrapText="1"/>
    </xf>
    <xf numFmtId="167" fontId="12" fillId="5" borderId="13" xfId="0" applyNumberFormat="1" applyFont="1" applyFill="1" applyBorder="1" applyAlignment="1">
      <alignment horizontal="left" vertical="top" wrapText="1"/>
    </xf>
    <xf numFmtId="167" fontId="12" fillId="5" borderId="7" xfId="0" applyNumberFormat="1" applyFont="1" applyFill="1" applyBorder="1" applyAlignment="1">
      <alignment horizontal="left" vertical="top" wrapText="1"/>
    </xf>
    <xf numFmtId="167" fontId="12" fillId="5" borderId="16" xfId="0" applyNumberFormat="1" applyFont="1" applyFill="1" applyBorder="1" applyAlignment="1">
      <alignment horizontal="left" vertical="top" wrapText="1"/>
    </xf>
    <xf numFmtId="167" fontId="12" fillId="5" borderId="14" xfId="0" applyNumberFormat="1" applyFont="1" applyFill="1" applyBorder="1" applyAlignment="1">
      <alignment horizontal="left" vertical="top" wrapText="1"/>
    </xf>
    <xf numFmtId="167" fontId="12" fillId="5" borderId="12" xfId="0" applyNumberFormat="1" applyFont="1" applyFill="1" applyBorder="1" applyAlignment="1">
      <alignment horizontal="left" vertical="top" wrapText="1"/>
    </xf>
    <xf numFmtId="167" fontId="12" fillId="5" borderId="17" xfId="0" applyNumberFormat="1" applyFont="1" applyFill="1" applyBorder="1" applyAlignment="1">
      <alignment horizontal="left" vertical="top" wrapText="1"/>
    </xf>
    <xf numFmtId="0" fontId="0" fillId="3" borderId="15" xfId="0" applyFill="1" applyBorder="1" applyAlignment="1">
      <alignment horizontal="left" vertical="top" wrapText="1"/>
    </xf>
    <xf numFmtId="166" fontId="12" fillId="5" borderId="10" xfId="0" applyNumberFormat="1" applyFont="1" applyFill="1" applyBorder="1" applyAlignment="1">
      <alignment horizontal="left" vertical="top" wrapText="1"/>
    </xf>
    <xf numFmtId="166" fontId="12" fillId="5" borderId="16" xfId="0" applyNumberFormat="1" applyFont="1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10" fillId="4" borderId="18" xfId="0" applyFont="1" applyFill="1" applyBorder="1" applyAlignment="1">
      <alignment horizontal="left" vertical="top" wrapText="1"/>
    </xf>
    <xf numFmtId="0" fontId="10" fillId="4" borderId="13" xfId="0" applyFont="1" applyFill="1" applyBorder="1" applyAlignment="1">
      <alignment horizontal="left" vertical="top" wrapText="1"/>
    </xf>
    <xf numFmtId="0" fontId="10" fillId="5" borderId="13" xfId="0" applyFont="1" applyFill="1" applyBorder="1" applyAlignment="1">
      <alignment horizontal="left" vertical="top" wrapText="1"/>
    </xf>
    <xf numFmtId="43" fontId="0" fillId="0" borderId="0" xfId="1" applyFont="1"/>
    <xf numFmtId="43" fontId="0" fillId="0" borderId="0" xfId="0" applyNumberFormat="1"/>
    <xf numFmtId="166" fontId="12" fillId="5" borderId="9" xfId="0" applyNumberFormat="1" applyFont="1" applyFill="1" applyBorder="1" applyAlignment="1">
      <alignment horizontal="center" vertical="top" wrapText="1"/>
    </xf>
    <xf numFmtId="166" fontId="12" fillId="4" borderId="9" xfId="0" applyNumberFormat="1" applyFont="1" applyFill="1" applyBorder="1" applyAlignment="1">
      <alignment horizontal="center" vertical="top" wrapText="1"/>
    </xf>
    <xf numFmtId="166" fontId="12" fillId="4" borderId="10" xfId="0" applyNumberFormat="1" applyFont="1" applyFill="1" applyBorder="1" applyAlignment="1">
      <alignment horizontal="left" vertical="top" wrapText="1"/>
    </xf>
    <xf numFmtId="167" fontId="12" fillId="4" borderId="10" xfId="0" applyNumberFormat="1" applyFont="1" applyFill="1" applyBorder="1" applyAlignment="1">
      <alignment horizontal="left" vertical="top" wrapText="1"/>
    </xf>
    <xf numFmtId="167" fontId="12" fillId="5" borderId="10" xfId="0" applyNumberFormat="1" applyFont="1" applyFill="1" applyBorder="1" applyAlignment="1">
      <alignment horizontal="left" vertical="top" wrapText="1"/>
    </xf>
    <xf numFmtId="0" fontId="10" fillId="3" borderId="8" xfId="0" applyFont="1" applyFill="1" applyBorder="1" applyAlignment="1">
      <alignment horizontal="left" vertical="top" wrapText="1"/>
    </xf>
    <xf numFmtId="166" fontId="11" fillId="3" borderId="9" xfId="0" applyNumberFormat="1" applyFont="1" applyFill="1" applyBorder="1" applyAlignment="1">
      <alignment horizontal="left" vertical="top" wrapText="1"/>
    </xf>
    <xf numFmtId="0" fontId="10" fillId="4" borderId="8" xfId="0" applyFont="1" applyFill="1" applyBorder="1" applyAlignment="1">
      <alignment horizontal="center" vertical="top" wrapText="1"/>
    </xf>
    <xf numFmtId="166" fontId="12" fillId="5" borderId="8" xfId="0" applyNumberFormat="1" applyFont="1" applyFill="1" applyBorder="1" applyAlignment="1">
      <alignment horizontal="right" vertical="top" wrapText="1"/>
    </xf>
    <xf numFmtId="0" fontId="16" fillId="0" borderId="0" xfId="0" applyFont="1" applyAlignment="1">
      <alignment horizontal="left" vertical="top"/>
    </xf>
    <xf numFmtId="0" fontId="10" fillId="4" borderId="11" xfId="0" applyFont="1" applyFill="1" applyBorder="1" applyAlignment="1">
      <alignment horizontal="left" vertical="top" wrapText="1"/>
    </xf>
    <xf numFmtId="0" fontId="15" fillId="5" borderId="8" xfId="0" applyFont="1" applyFill="1" applyBorder="1" applyAlignment="1">
      <alignment horizontal="right" vertical="top" wrapText="1"/>
    </xf>
    <xf numFmtId="9" fontId="0" fillId="0" borderId="0" xfId="0" applyNumberFormat="1"/>
    <xf numFmtId="9" fontId="0" fillId="0" borderId="0" xfId="2" applyFont="1"/>
    <xf numFmtId="170" fontId="0" fillId="0" borderId="0" xfId="0" applyNumberFormat="1"/>
    <xf numFmtId="0" fontId="0" fillId="3" borderId="12" xfId="0" applyFill="1" applyBorder="1" applyAlignment="1">
      <alignment horizontal="left" vertical="top" wrapText="1"/>
    </xf>
    <xf numFmtId="0" fontId="0" fillId="4" borderId="18" xfId="0" applyFill="1" applyBorder="1" applyAlignment="1">
      <alignment horizontal="center" vertical="top" wrapText="1"/>
    </xf>
    <xf numFmtId="0" fontId="0" fillId="4" borderId="17" xfId="0" applyFill="1" applyBorder="1" applyAlignment="1">
      <alignment horizontal="left" vertical="top" wrapText="1"/>
    </xf>
    <xf numFmtId="166" fontId="12" fillId="5" borderId="9" xfId="0" applyNumberFormat="1" applyFont="1" applyFill="1" applyBorder="1" applyAlignment="1">
      <alignment horizontal="right" vertical="top" wrapText="1"/>
    </xf>
    <xf numFmtId="166" fontId="12" fillId="4" borderId="9" xfId="0" applyNumberFormat="1" applyFont="1" applyFill="1" applyBorder="1" applyAlignment="1">
      <alignment horizontal="right" vertical="top" wrapText="1"/>
    </xf>
    <xf numFmtId="166" fontId="12" fillId="5" borderId="13" xfId="0" applyNumberFormat="1" applyFont="1" applyFill="1" applyBorder="1" applyAlignment="1">
      <alignment horizontal="left" vertical="top" wrapText="1"/>
    </xf>
    <xf numFmtId="167" fontId="0" fillId="4" borderId="14" xfId="0" applyNumberFormat="1" applyFill="1" applyBorder="1" applyAlignment="1">
      <alignment horizontal="center" vertical="top" wrapText="1"/>
    </xf>
    <xf numFmtId="0" fontId="0" fillId="4" borderId="12" xfId="0" applyFill="1" applyBorder="1" applyAlignment="1">
      <alignment vertical="top" wrapText="1"/>
    </xf>
    <xf numFmtId="0" fontId="10" fillId="4" borderId="12" xfId="0" applyFont="1" applyFill="1" applyBorder="1" applyAlignment="1">
      <alignment vertical="top" wrapText="1"/>
    </xf>
    <xf numFmtId="167" fontId="12" fillId="5" borderId="7" xfId="0" applyNumberFormat="1" applyFont="1" applyFill="1" applyBorder="1" applyAlignment="1">
      <alignment vertical="top" wrapText="1"/>
    </xf>
    <xf numFmtId="167" fontId="12" fillId="5" borderId="12" xfId="0" applyNumberFormat="1" applyFont="1" applyFill="1" applyBorder="1" applyAlignment="1">
      <alignment vertical="top" wrapText="1"/>
    </xf>
    <xf numFmtId="167" fontId="12" fillId="4" borderId="7" xfId="0" applyNumberFormat="1" applyFont="1" applyFill="1" applyBorder="1" applyAlignment="1">
      <alignment vertical="top" wrapText="1"/>
    </xf>
    <xf numFmtId="167" fontId="12" fillId="4" borderId="12" xfId="0" applyNumberFormat="1" applyFont="1" applyFill="1" applyBorder="1" applyAlignment="1">
      <alignment vertical="top" wrapText="1"/>
    </xf>
    <xf numFmtId="4" fontId="0" fillId="0" borderId="0" xfId="0" applyNumberFormat="1"/>
    <xf numFmtId="170" fontId="0" fillId="2" borderId="0" xfId="0" applyNumberFormat="1" applyFill="1"/>
    <xf numFmtId="170" fontId="0" fillId="7" borderId="0" xfId="0" applyNumberFormat="1" applyFill="1"/>
    <xf numFmtId="0" fontId="17" fillId="0" borderId="0" xfId="0" applyFont="1"/>
    <xf numFmtId="10" fontId="0" fillId="0" borderId="0" xfId="0" applyNumberFormat="1"/>
    <xf numFmtId="3" fontId="0" fillId="0" borderId="0" xfId="0" applyNumberFormat="1" applyAlignment="1">
      <alignment horizontal="left"/>
    </xf>
    <xf numFmtId="166" fontId="11" fillId="3" borderId="10" xfId="0" applyNumberFormat="1" applyFont="1" applyFill="1" applyBorder="1" applyAlignment="1">
      <alignment horizontal="center" vertical="top" wrapText="1"/>
    </xf>
    <xf numFmtId="166" fontId="11" fillId="3" borderId="11" xfId="0" applyNumberFormat="1" applyFont="1" applyFill="1" applyBorder="1" applyAlignment="1">
      <alignment horizontal="center" vertical="top" wrapText="1"/>
    </xf>
    <xf numFmtId="166" fontId="11" fillId="3" borderId="9" xfId="0" applyNumberFormat="1" applyFont="1" applyFill="1" applyBorder="1" applyAlignment="1">
      <alignment horizontal="center" vertical="top" wrapText="1"/>
    </xf>
    <xf numFmtId="0" fontId="10" fillId="4" borderId="9" xfId="0" applyFont="1" applyFill="1" applyBorder="1" applyAlignment="1">
      <alignment horizontal="left" vertical="top" wrapText="1"/>
    </xf>
    <xf numFmtId="0" fontId="10" fillId="4" borderId="11" xfId="0" applyFont="1" applyFill="1" applyBorder="1" applyAlignment="1">
      <alignment horizontal="left" vertical="top" wrapText="1"/>
    </xf>
    <xf numFmtId="0" fontId="10" fillId="3" borderId="7" xfId="0" applyFont="1" applyFill="1" applyBorder="1" applyAlignment="1">
      <alignment horizontal="center" wrapText="1"/>
    </xf>
    <xf numFmtId="0" fontId="10" fillId="3" borderId="12" xfId="0" applyFont="1" applyFill="1" applyBorder="1" applyAlignment="1">
      <alignment horizontal="center" wrapText="1"/>
    </xf>
    <xf numFmtId="0" fontId="10" fillId="4" borderId="7" xfId="0" applyFont="1" applyFill="1" applyBorder="1" applyAlignment="1">
      <alignment horizontal="left" wrapText="1"/>
    </xf>
    <xf numFmtId="0" fontId="10" fillId="4" borderId="12" xfId="0" applyFont="1" applyFill="1" applyBorder="1" applyAlignment="1">
      <alignment horizontal="left" wrapText="1"/>
    </xf>
    <xf numFmtId="0" fontId="10" fillId="5" borderId="7" xfId="0" applyFont="1" applyFill="1" applyBorder="1" applyAlignment="1">
      <alignment horizontal="left" vertical="top" wrapText="1"/>
    </xf>
    <xf numFmtId="0" fontId="10" fillId="5" borderId="12" xfId="0" applyFont="1" applyFill="1" applyBorder="1" applyAlignment="1">
      <alignment horizontal="left" vertical="top" wrapText="1"/>
    </xf>
    <xf numFmtId="0" fontId="10" fillId="3" borderId="13" xfId="0" applyFont="1" applyFill="1" applyBorder="1" applyAlignment="1">
      <alignment horizontal="center" wrapText="1"/>
    </xf>
    <xf numFmtId="0" fontId="10" fillId="3" borderId="14" xfId="0" applyFont="1" applyFill="1" applyBorder="1" applyAlignment="1">
      <alignment horizontal="center" wrapText="1"/>
    </xf>
    <xf numFmtId="0" fontId="13" fillId="3" borderId="9" xfId="0" applyFont="1" applyFill="1" applyBorder="1" applyAlignment="1">
      <alignment horizontal="center" vertical="top" wrapText="1"/>
    </xf>
    <xf numFmtId="0" fontId="13" fillId="3" borderId="11" xfId="0" applyFont="1" applyFill="1" applyBorder="1" applyAlignment="1">
      <alignment horizontal="center" vertical="top" wrapText="1"/>
    </xf>
    <xf numFmtId="0" fontId="10" fillId="4" borderId="13" xfId="0" applyFont="1" applyFill="1" applyBorder="1" applyAlignment="1">
      <alignment horizontal="left" vertical="center" wrapText="1"/>
    </xf>
    <xf numFmtId="0" fontId="10" fillId="4" borderId="14" xfId="0" applyFont="1" applyFill="1" applyBorder="1" applyAlignment="1">
      <alignment horizontal="left" vertical="center" wrapText="1"/>
    </xf>
    <xf numFmtId="0" fontId="10" fillId="5" borderId="13" xfId="0" applyFont="1" applyFill="1" applyBorder="1" applyAlignment="1">
      <alignment horizontal="left" vertical="center" wrapText="1"/>
    </xf>
    <xf numFmtId="0" fontId="10" fillId="5" borderId="14" xfId="0" applyFont="1" applyFill="1" applyBorder="1" applyAlignment="1">
      <alignment horizontal="left" vertical="center" wrapText="1"/>
    </xf>
    <xf numFmtId="0" fontId="10" fillId="3" borderId="9" xfId="0" applyFont="1" applyFill="1" applyBorder="1" applyAlignment="1">
      <alignment horizontal="center" vertical="top" wrapText="1"/>
    </xf>
    <xf numFmtId="0" fontId="10" fillId="3" borderId="11" xfId="0" applyFont="1" applyFill="1" applyBorder="1" applyAlignment="1">
      <alignment horizontal="center" vertical="top" wrapText="1"/>
    </xf>
    <xf numFmtId="0" fontId="10" fillId="3" borderId="9" xfId="0" applyFont="1" applyFill="1" applyBorder="1" applyAlignment="1">
      <alignment horizontal="left" vertical="top" wrapText="1"/>
    </xf>
    <xf numFmtId="0" fontId="10" fillId="3" borderId="11" xfId="0" applyFont="1" applyFill="1" applyBorder="1" applyAlignment="1">
      <alignment horizontal="left" vertical="top" wrapText="1"/>
    </xf>
    <xf numFmtId="166" fontId="11" fillId="3" borderId="15" xfId="0" applyNumberFormat="1" applyFont="1" applyFill="1" applyBorder="1" applyAlignment="1">
      <alignment horizontal="center" vertical="top" wrapText="1"/>
    </xf>
    <xf numFmtId="166" fontId="11" fillId="3" borderId="7" xfId="0" applyNumberFormat="1" applyFont="1" applyFill="1" applyBorder="1" applyAlignment="1">
      <alignment horizontal="left" vertical="top" wrapText="1"/>
    </xf>
    <xf numFmtId="166" fontId="11" fillId="3" borderId="15" xfId="0" applyNumberFormat="1" applyFont="1" applyFill="1" applyBorder="1" applyAlignment="1">
      <alignment horizontal="left" vertical="top" wrapText="1"/>
    </xf>
    <xf numFmtId="166" fontId="11" fillId="3" borderId="7" xfId="0" applyNumberFormat="1" applyFont="1" applyFill="1" applyBorder="1" applyAlignment="1">
      <alignment horizontal="center" vertical="top" wrapText="1"/>
    </xf>
    <xf numFmtId="11" fontId="0" fillId="8" borderId="0" xfId="0" applyNumberFormat="1" applyFill="1"/>
    <xf numFmtId="0" fontId="0" fillId="8" borderId="0" xfId="0" applyFill="1"/>
    <xf numFmtId="10" fontId="0" fillId="8" borderId="0" xfId="0" applyNumberFormat="1" applyFill="1"/>
    <xf numFmtId="11" fontId="0" fillId="0" borderId="0" xfId="0" applyNumberFormat="1" applyFill="1"/>
    <xf numFmtId="11" fontId="0" fillId="0" borderId="0" xfId="0" applyNumberFormat="1" applyFont="1" applyFill="1"/>
    <xf numFmtId="0" fontId="0" fillId="7" borderId="0" xfId="0" applyNumberFormat="1" applyFill="1"/>
    <xf numFmtId="0" fontId="0" fillId="2" borderId="0" xfId="0" applyNumberFormat="1" applyFill="1"/>
    <xf numFmtId="0" fontId="0" fillId="0" borderId="0" xfId="0" applyNumberFormat="1"/>
  </cellXfs>
  <cellStyles count="30">
    <cellStyle name="Body: normal cell" xfId="7" xr:uid="{00000000-0005-0000-0000-000000000000}"/>
    <cellStyle name="Body: normal cell 2" xfId="14" xr:uid="{3C016EEE-BC16-4BDD-9180-22DB21FAF461}"/>
    <cellStyle name="Body: normal cell 3" xfId="20" xr:uid="{B562DBAF-DECB-454A-968D-D884DE696157}"/>
    <cellStyle name="Comma" xfId="1" builtinId="3"/>
    <cellStyle name="Font: Calibri, 9pt regular" xfId="10" xr:uid="{00000000-0005-0000-0000-000002000000}"/>
    <cellStyle name="Font: Calibri, 9pt regular 2" xfId="16" xr:uid="{C04C520F-3D0B-4B06-AC0B-5C21FB84F810}"/>
    <cellStyle name="Font: Calibri, 9pt regular 3" xfId="21" xr:uid="{B97457BE-B921-40C7-8253-BE0A36546BDC}"/>
    <cellStyle name="Footnotes: top row" xfId="9" xr:uid="{00000000-0005-0000-0000-000003000000}"/>
    <cellStyle name="Footnotes: top row 2" xfId="12" xr:uid="{AD69FF84-0683-4CF1-8883-AAE65747F5C8}"/>
    <cellStyle name="Footnotes: top row 3" xfId="22" xr:uid="{FE8AFB7B-F585-4E26-ACAF-6364F40A7601}"/>
    <cellStyle name="Header: bottom row" xfId="6" xr:uid="{00000000-0005-0000-0000-000004000000}"/>
    <cellStyle name="Header: bottom row 2" xfId="15" xr:uid="{53F4C789-D978-4E59-8AA0-891FA5C96579}"/>
    <cellStyle name="Header: bottom row 3" xfId="23" xr:uid="{A7BCAAE6-1033-44C2-AC81-BB73EDAD4528}"/>
    <cellStyle name="Header: top rows" xfId="5" xr:uid="{00000000-0005-0000-0000-000005000000}"/>
    <cellStyle name="Hyperlink" xfId="3" builtinId="8"/>
    <cellStyle name="Normal" xfId="0" builtinId="0"/>
    <cellStyle name="Normal 2" xfId="11" xr:uid="{024B6A21-D54A-49EE-AE91-3CB5D8FB634E}"/>
    <cellStyle name="Normal 3" xfId="26" xr:uid="{431440E1-213D-4FF7-A2F4-7601B803477E}"/>
    <cellStyle name="Normal 3 2" xfId="28" xr:uid="{841A9F1C-F171-4E03-A4F4-700F02E977BA}"/>
    <cellStyle name="Normal 4" xfId="19" xr:uid="{188AE159-3026-41DC-AB3B-792AC7E08E24}"/>
    <cellStyle name="Normal 5" xfId="18" xr:uid="{A6F66E74-ABB7-48D7-9F9F-A163B03BDA5A}"/>
    <cellStyle name="Normal 5 2" xfId="29" xr:uid="{4F281ADC-82A7-47AA-A109-A8E67439AF9A}"/>
    <cellStyle name="Normal 6" xfId="27" xr:uid="{7251735F-F713-49C6-AE60-607E4E5DAC8A}"/>
    <cellStyle name="Parent row" xfId="8" xr:uid="{00000000-0005-0000-0000-000008000000}"/>
    <cellStyle name="Parent row 2" xfId="13" xr:uid="{25FEC9E5-71A8-49B7-9829-999CAA2457CF}"/>
    <cellStyle name="Parent row 3" xfId="24" xr:uid="{1BE2E8A9-F147-4BC0-87E1-E3A6245073C0}"/>
    <cellStyle name="Percent" xfId="2" builtinId="5"/>
    <cellStyle name="Table title" xfId="4" xr:uid="{00000000-0005-0000-0000-00000A000000}"/>
    <cellStyle name="Table title 2" xfId="17" xr:uid="{DBD42574-1D61-49B9-B50D-F8D6C4793F96}"/>
    <cellStyle name="Table title 3" xfId="25" xr:uid="{F9266FFF-9DB7-48DB-A13F-D8DC3FF070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orvis/Dropbox%20(Energy%20InNovation)/My%20Documents/Energy%20Policy%20Solutions/US/Models/eps-us/InputData/bldgs/BCEU/BAU%20Components%20Energy%20U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AEO Table 4"/>
      <sheetName val="AEO Table 5"/>
      <sheetName val="District Heat"/>
      <sheetName val="RECS HC2.1"/>
      <sheetName val="Calculations"/>
      <sheetName val="BCEU-urban-residential-heating"/>
      <sheetName val="BCEU-urban-residential-cooling"/>
      <sheetName val="BCEU-urban-residential-lighting"/>
      <sheetName val="BCEU-urban-residential-appl"/>
      <sheetName val="BCEU-urban-residential-other"/>
      <sheetName val="BCEU-rural-residential-heating"/>
      <sheetName val="BCEU-rural-residential-cooling"/>
      <sheetName val="BCEU-rural-residential-lighting"/>
      <sheetName val="BCEU-rural-residential-appl"/>
      <sheetName val="BCEU-rural-residential-other"/>
      <sheetName val="BCEU-commercial-heating"/>
      <sheetName val="BCEU-commercial-cooling"/>
      <sheetName val="BCEU-commercial-lighting"/>
      <sheetName val="BCEU-commercial-appl"/>
      <sheetName val="BCEU-commercial-other"/>
      <sheetName val="BCEU-all-envelope"/>
    </sheetNames>
    <sheetDataSet>
      <sheetData sheetId="0">
        <row r="50">
          <cell r="C50">
            <v>0.04</v>
          </cell>
        </row>
        <row r="76">
          <cell r="A76">
            <v>0.80118443316412857</v>
          </cell>
        </row>
        <row r="77">
          <cell r="A77">
            <v>0.1988155668358714</v>
          </cell>
        </row>
        <row r="79">
          <cell r="B79">
            <v>1000000000000000</v>
          </cell>
        </row>
      </sheetData>
      <sheetData sheetId="1">
        <row r="34">
          <cell r="C34">
            <v>0.71245800000000004</v>
          </cell>
        </row>
      </sheetData>
      <sheetData sheetId="2">
        <row r="31">
          <cell r="C31">
            <v>0.123686</v>
          </cell>
        </row>
      </sheetData>
      <sheetData sheetId="3" refreshError="1"/>
      <sheetData sheetId="4" refreshError="1"/>
      <sheetData sheetId="5">
        <row r="4">
          <cell r="J4">
            <v>570810258883248.75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rel.gov/docs/fy18osti/70485.pdf" TargetMode="External"/><Relationship Id="rId2" Type="http://schemas.openxmlformats.org/officeDocument/2006/relationships/hyperlink" Target="https://data.nrel.gov/system/files/93/EFS_70485_figure_data.xlsx" TargetMode="External"/><Relationship Id="rId1" Type="http://schemas.openxmlformats.org/officeDocument/2006/relationships/hyperlink" Target="https://www.eia.gov/analysis/studies/buildings/equipcosts/pdf/full.pdf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eia.gov/outlooks/aeo/tables_side.php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workbookViewId="0">
      <selection activeCell="B13" sqref="B13"/>
    </sheetView>
  </sheetViews>
  <sheetFormatPr defaultRowHeight="15" x14ac:dyDescent="0.25"/>
  <cols>
    <col min="1" max="1" width="13.28515625" customWidth="1"/>
    <col min="2" max="2" width="69.42578125" customWidth="1"/>
    <col min="4" max="4" width="61.85546875" customWidth="1"/>
  </cols>
  <sheetData>
    <row r="1" spans="1:4" x14ac:dyDescent="0.25">
      <c r="A1" s="1" t="s">
        <v>157</v>
      </c>
    </row>
    <row r="3" spans="1:4" x14ac:dyDescent="0.25">
      <c r="A3" s="1" t="s">
        <v>118</v>
      </c>
      <c r="B3" s="5" t="s">
        <v>120</v>
      </c>
      <c r="D3" s="5" t="s">
        <v>126</v>
      </c>
    </row>
    <row r="4" spans="1:4" x14ac:dyDescent="0.25">
      <c r="B4" t="s">
        <v>119</v>
      </c>
      <c r="D4" t="s">
        <v>127</v>
      </c>
    </row>
    <row r="5" spans="1:4" x14ac:dyDescent="0.25">
      <c r="B5" s="2">
        <v>2018</v>
      </c>
      <c r="D5" s="2">
        <v>2018</v>
      </c>
    </row>
    <row r="6" spans="1:4" x14ac:dyDescent="0.25">
      <c r="B6" t="s">
        <v>121</v>
      </c>
      <c r="D6" t="s">
        <v>128</v>
      </c>
    </row>
    <row r="7" spans="1:4" x14ac:dyDescent="0.25">
      <c r="B7" s="3" t="s">
        <v>122</v>
      </c>
      <c r="D7" s="3" t="s">
        <v>129</v>
      </c>
    </row>
    <row r="8" spans="1:4" x14ac:dyDescent="0.25">
      <c r="B8" t="s">
        <v>123</v>
      </c>
      <c r="D8" t="s">
        <v>130</v>
      </c>
    </row>
    <row r="10" spans="1:4" x14ac:dyDescent="0.25">
      <c r="B10" s="5" t="s">
        <v>124</v>
      </c>
      <c r="D10" s="5" t="s">
        <v>137</v>
      </c>
    </row>
    <row r="11" spans="1:4" x14ac:dyDescent="0.25">
      <c r="B11" t="s">
        <v>119</v>
      </c>
      <c r="D11" t="s">
        <v>127</v>
      </c>
    </row>
    <row r="12" spans="1:4" x14ac:dyDescent="0.25">
      <c r="B12" s="123">
        <v>20222023</v>
      </c>
      <c r="D12" s="2">
        <v>2018</v>
      </c>
    </row>
    <row r="13" spans="1:4" x14ac:dyDescent="0.25">
      <c r="B13" t="s">
        <v>246</v>
      </c>
      <c r="D13" t="s">
        <v>140</v>
      </c>
    </row>
    <row r="14" spans="1:4" x14ac:dyDescent="0.25">
      <c r="B14" s="3" t="s">
        <v>245</v>
      </c>
      <c r="D14" s="3" t="s">
        <v>138</v>
      </c>
    </row>
    <row r="15" spans="1:4" x14ac:dyDescent="0.25">
      <c r="B15" t="s">
        <v>125</v>
      </c>
      <c r="D15" t="s">
        <v>139</v>
      </c>
    </row>
    <row r="17" spans="1:1" x14ac:dyDescent="0.25">
      <c r="A17" s="1" t="s">
        <v>131</v>
      </c>
    </row>
    <row r="18" spans="1:1" x14ac:dyDescent="0.25">
      <c r="A18" t="s">
        <v>154</v>
      </c>
    </row>
    <row r="19" spans="1:1" x14ac:dyDescent="0.25">
      <c r="A19" t="s">
        <v>155</v>
      </c>
    </row>
    <row r="21" spans="1:1" x14ac:dyDescent="0.25">
      <c r="A21" s="1" t="s">
        <v>156</v>
      </c>
    </row>
    <row r="22" spans="1:1" x14ac:dyDescent="0.25">
      <c r="A22" t="s">
        <v>132</v>
      </c>
    </row>
    <row r="23" spans="1:1" x14ac:dyDescent="0.25">
      <c r="A23" t="s">
        <v>133</v>
      </c>
    </row>
    <row r="24" spans="1:1" x14ac:dyDescent="0.25">
      <c r="A24" t="s">
        <v>134</v>
      </c>
    </row>
    <row r="25" spans="1:1" x14ac:dyDescent="0.25">
      <c r="A25" t="s">
        <v>135</v>
      </c>
    </row>
    <row r="27" spans="1:1" x14ac:dyDescent="0.25">
      <c r="A27" t="s">
        <v>136</v>
      </c>
    </row>
    <row r="28" spans="1:1" x14ac:dyDescent="0.25">
      <c r="A28" t="s">
        <v>141</v>
      </c>
    </row>
    <row r="29" spans="1:1" x14ac:dyDescent="0.25">
      <c r="A29" t="s">
        <v>142</v>
      </c>
    </row>
    <row r="30" spans="1:1" x14ac:dyDescent="0.25">
      <c r="A30" t="s">
        <v>143</v>
      </c>
    </row>
    <row r="32" spans="1:1" x14ac:dyDescent="0.25">
      <c r="A32" t="s">
        <v>167</v>
      </c>
    </row>
    <row r="33" spans="1:1" x14ac:dyDescent="0.25">
      <c r="A33" t="s">
        <v>168</v>
      </c>
    </row>
    <row r="34" spans="1:1" x14ac:dyDescent="0.25">
      <c r="A34" t="s">
        <v>169</v>
      </c>
    </row>
    <row r="35" spans="1:1" x14ac:dyDescent="0.25">
      <c r="A35" t="s">
        <v>170</v>
      </c>
    </row>
    <row r="36" spans="1:1" x14ac:dyDescent="0.25">
      <c r="A36" t="s">
        <v>166</v>
      </c>
    </row>
    <row r="38" spans="1:1" x14ac:dyDescent="0.25">
      <c r="A38" t="s">
        <v>144</v>
      </c>
    </row>
    <row r="39" spans="1:1" x14ac:dyDescent="0.25">
      <c r="A39" t="s">
        <v>145</v>
      </c>
    </row>
    <row r="40" spans="1:1" x14ac:dyDescent="0.25">
      <c r="A40" t="s">
        <v>146</v>
      </c>
    </row>
    <row r="42" spans="1:1" x14ac:dyDescent="0.25">
      <c r="A42" t="s">
        <v>147</v>
      </c>
    </row>
    <row r="43" spans="1:1" x14ac:dyDescent="0.25">
      <c r="A43" t="s">
        <v>148</v>
      </c>
    </row>
    <row r="44" spans="1:1" x14ac:dyDescent="0.25">
      <c r="A44" t="s">
        <v>149</v>
      </c>
    </row>
    <row r="45" spans="1:1" x14ac:dyDescent="0.25">
      <c r="A45" t="s">
        <v>150</v>
      </c>
    </row>
    <row r="47" spans="1:1" x14ac:dyDescent="0.25">
      <c r="A47" t="s">
        <v>151</v>
      </c>
    </row>
    <row r="49" spans="1:1" x14ac:dyDescent="0.25">
      <c r="A49" t="s">
        <v>152</v>
      </c>
    </row>
    <row r="50" spans="1:1" x14ac:dyDescent="0.25">
      <c r="A50" t="s">
        <v>153</v>
      </c>
    </row>
    <row r="52" spans="1:1" x14ac:dyDescent="0.25">
      <c r="A52" s="1" t="s">
        <v>105</v>
      </c>
    </row>
    <row r="53" spans="1:1" x14ac:dyDescent="0.25">
      <c r="A53">
        <v>0.93665959530026111</v>
      </c>
    </row>
    <row r="54" spans="1:1" x14ac:dyDescent="0.25">
      <c r="A54" s="1" t="s">
        <v>106</v>
      </c>
    </row>
    <row r="55" spans="1:1" x14ac:dyDescent="0.25">
      <c r="A55">
        <v>0.95661376543184151</v>
      </c>
    </row>
  </sheetData>
  <hyperlinks>
    <hyperlink ref="B7" r:id="rId1" xr:uid="{00000000-0004-0000-0000-000000000000}"/>
    <hyperlink ref="D7" r:id="rId2" xr:uid="{00000000-0004-0000-0000-000002000000}"/>
    <hyperlink ref="D14" r:id="rId3" xr:uid="{00000000-0004-0000-0000-000003000000}"/>
    <hyperlink ref="B14" r:id="rId4" xr:uid="{C46C2C2B-4784-4796-817E-285780C3313C}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F2813-F7D9-464E-8DC9-5A83862CF6D8}">
  <sheetPr>
    <tabColor theme="6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49"/>
  <sheetViews>
    <sheetView workbookViewId="0"/>
  </sheetViews>
  <sheetFormatPr defaultRowHeight="15" x14ac:dyDescent="0.25"/>
  <cols>
    <col min="1" max="1" width="28" bestFit="1" customWidth="1"/>
    <col min="16" max="16" width="12" bestFit="1" customWidth="1"/>
  </cols>
  <sheetData>
    <row r="1" spans="1:15" ht="18.75" x14ac:dyDescent="0.3">
      <c r="A1" s="24" t="s">
        <v>39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</row>
    <row r="2" spans="1:15" x14ac:dyDescent="0.25">
      <c r="A2" s="135" t="s">
        <v>23</v>
      </c>
      <c r="B2" s="7">
        <v>2009</v>
      </c>
      <c r="C2" s="7">
        <v>2015</v>
      </c>
      <c r="D2" s="126">
        <v>2017</v>
      </c>
      <c r="E2" s="124"/>
      <c r="F2" s="124"/>
      <c r="G2" s="125"/>
      <c r="H2" s="126">
        <v>2020</v>
      </c>
      <c r="I2" s="125"/>
      <c r="J2" s="126">
        <v>2030</v>
      </c>
      <c r="K2" s="125"/>
      <c r="L2" s="126">
        <v>2040</v>
      </c>
      <c r="M2" s="125"/>
      <c r="N2" s="126">
        <v>2050</v>
      </c>
      <c r="O2" s="125"/>
    </row>
    <row r="3" spans="1:15" ht="45" x14ac:dyDescent="0.25">
      <c r="A3" s="136"/>
      <c r="B3" s="8" t="s">
        <v>24</v>
      </c>
      <c r="C3" s="8" t="s">
        <v>24</v>
      </c>
      <c r="D3" s="8" t="s">
        <v>25</v>
      </c>
      <c r="E3" s="25" t="s">
        <v>26</v>
      </c>
      <c r="F3" s="26" t="s">
        <v>38</v>
      </c>
      <c r="G3" s="25" t="s">
        <v>28</v>
      </c>
      <c r="H3" s="25" t="s">
        <v>26</v>
      </c>
      <c r="I3" s="25" t="s">
        <v>28</v>
      </c>
      <c r="J3" s="25" t="s">
        <v>26</v>
      </c>
      <c r="K3" s="25" t="s">
        <v>28</v>
      </c>
      <c r="L3" s="25" t="s">
        <v>26</v>
      </c>
      <c r="M3" s="25" t="s">
        <v>28</v>
      </c>
      <c r="N3" s="25" t="s">
        <v>26</v>
      </c>
      <c r="O3" s="25" t="s">
        <v>28</v>
      </c>
    </row>
    <row r="4" spans="1:15" ht="30" x14ac:dyDescent="0.25">
      <c r="A4" s="9" t="s">
        <v>30</v>
      </c>
      <c r="B4" s="10">
        <v>80</v>
      </c>
      <c r="C4" s="10">
        <v>80</v>
      </c>
      <c r="D4" s="10">
        <v>80</v>
      </c>
      <c r="E4" s="10">
        <v>80</v>
      </c>
      <c r="F4" s="10">
        <v>80</v>
      </c>
      <c r="G4" s="10">
        <v>80</v>
      </c>
      <c r="H4" s="10">
        <v>80</v>
      </c>
      <c r="I4" s="10">
        <v>80</v>
      </c>
      <c r="J4" s="10">
        <v>80</v>
      </c>
      <c r="K4" s="10">
        <v>80</v>
      </c>
      <c r="L4" s="10">
        <v>80</v>
      </c>
      <c r="M4" s="10">
        <v>80</v>
      </c>
      <c r="N4" s="10">
        <v>80</v>
      </c>
      <c r="O4" s="10">
        <v>80</v>
      </c>
    </row>
    <row r="5" spans="1:15" x14ac:dyDescent="0.25">
      <c r="A5" s="8" t="s">
        <v>31</v>
      </c>
      <c r="B5" s="13">
        <v>80</v>
      </c>
      <c r="C5" s="13">
        <v>80</v>
      </c>
      <c r="D5" s="13">
        <v>80</v>
      </c>
      <c r="E5" s="13">
        <v>80</v>
      </c>
      <c r="F5" s="13">
        <v>90</v>
      </c>
      <c r="G5" s="13">
        <v>99</v>
      </c>
      <c r="H5" s="13">
        <v>80</v>
      </c>
      <c r="I5" s="13">
        <v>99</v>
      </c>
      <c r="J5" s="13">
        <v>80</v>
      </c>
      <c r="K5" s="13">
        <v>99</v>
      </c>
      <c r="L5" s="13">
        <v>80</v>
      </c>
      <c r="M5" s="13">
        <v>99</v>
      </c>
      <c r="N5" s="13">
        <v>80</v>
      </c>
      <c r="O5" s="13">
        <v>99</v>
      </c>
    </row>
    <row r="6" spans="1:15" ht="30" x14ac:dyDescent="0.25">
      <c r="A6" s="9" t="s">
        <v>32</v>
      </c>
      <c r="B6" s="10">
        <v>548</v>
      </c>
      <c r="C6" s="10">
        <v>522</v>
      </c>
      <c r="D6" s="10">
        <v>470</v>
      </c>
      <c r="E6" s="10">
        <v>470</v>
      </c>
      <c r="F6" s="10">
        <v>408</v>
      </c>
      <c r="G6" s="10">
        <v>418</v>
      </c>
      <c r="H6" s="10">
        <v>329</v>
      </c>
      <c r="I6" s="10">
        <v>334</v>
      </c>
      <c r="J6" s="10">
        <v>329</v>
      </c>
      <c r="K6" s="10">
        <v>334</v>
      </c>
      <c r="L6" s="10">
        <v>329</v>
      </c>
      <c r="M6" s="10">
        <v>334</v>
      </c>
      <c r="N6" s="10">
        <v>329</v>
      </c>
      <c r="O6" s="10">
        <v>334</v>
      </c>
    </row>
    <row r="7" spans="1:15" x14ac:dyDescent="0.25">
      <c r="A7" s="139" t="s">
        <v>33</v>
      </c>
      <c r="B7" s="13">
        <v>16</v>
      </c>
      <c r="C7" s="13">
        <v>16</v>
      </c>
      <c r="D7" s="13">
        <v>16</v>
      </c>
      <c r="E7" s="13">
        <v>16</v>
      </c>
      <c r="F7" s="13">
        <v>16</v>
      </c>
      <c r="G7" s="13">
        <v>16</v>
      </c>
      <c r="H7" s="13">
        <v>16</v>
      </c>
      <c r="I7" s="13">
        <v>16</v>
      </c>
      <c r="J7" s="13">
        <v>16</v>
      </c>
      <c r="K7" s="13">
        <v>16</v>
      </c>
      <c r="L7" s="13">
        <v>16</v>
      </c>
      <c r="M7" s="13">
        <v>16</v>
      </c>
      <c r="N7" s="13">
        <v>16</v>
      </c>
      <c r="O7" s="13">
        <v>16</v>
      </c>
    </row>
    <row r="8" spans="1:15" x14ac:dyDescent="0.25">
      <c r="A8" s="140"/>
      <c r="B8" s="13">
        <v>27</v>
      </c>
      <c r="C8" s="13">
        <v>27</v>
      </c>
      <c r="D8" s="13">
        <v>27</v>
      </c>
      <c r="E8" s="13">
        <v>27</v>
      </c>
      <c r="F8" s="13">
        <v>27</v>
      </c>
      <c r="G8" s="13">
        <v>27</v>
      </c>
      <c r="H8" s="13">
        <v>27</v>
      </c>
      <c r="I8" s="13">
        <v>27</v>
      </c>
      <c r="J8" s="13">
        <v>27</v>
      </c>
      <c r="K8" s="13">
        <v>27</v>
      </c>
      <c r="L8" s="13">
        <v>27</v>
      </c>
      <c r="M8" s="13">
        <v>27</v>
      </c>
      <c r="N8" s="13">
        <v>27</v>
      </c>
      <c r="O8" s="13">
        <v>27</v>
      </c>
    </row>
    <row r="9" spans="1:15" x14ac:dyDescent="0.25">
      <c r="A9" s="9" t="s">
        <v>34</v>
      </c>
      <c r="B9" s="10">
        <v>840</v>
      </c>
      <c r="C9" s="10">
        <v>860</v>
      </c>
      <c r="D9" s="10">
        <v>890</v>
      </c>
      <c r="E9" s="10">
        <v>890</v>
      </c>
      <c r="F9" s="16">
        <v>1150</v>
      </c>
      <c r="G9" s="16">
        <v>1620</v>
      </c>
      <c r="H9" s="16">
        <v>1080</v>
      </c>
      <c r="I9" s="16">
        <v>1620</v>
      </c>
      <c r="J9" s="16">
        <v>1080</v>
      </c>
      <c r="K9" s="16">
        <v>1620</v>
      </c>
      <c r="L9" s="16">
        <v>1080</v>
      </c>
      <c r="M9" s="16">
        <v>1620</v>
      </c>
      <c r="N9" s="16">
        <v>1080</v>
      </c>
      <c r="O9" s="16">
        <v>1620</v>
      </c>
    </row>
    <row r="10" spans="1:15" x14ac:dyDescent="0.25">
      <c r="A10" s="8" t="s">
        <v>35</v>
      </c>
      <c r="B10" s="19">
        <v>2000</v>
      </c>
      <c r="C10" s="19">
        <v>2020</v>
      </c>
      <c r="D10" s="19">
        <v>2050</v>
      </c>
      <c r="E10" s="19">
        <v>2050</v>
      </c>
      <c r="F10" s="19">
        <v>2560</v>
      </c>
      <c r="G10" s="19">
        <v>3040</v>
      </c>
      <c r="H10" s="19">
        <v>2240</v>
      </c>
      <c r="I10" s="19">
        <v>3040</v>
      </c>
      <c r="J10" s="19">
        <v>2240</v>
      </c>
      <c r="K10" s="19">
        <v>3040</v>
      </c>
      <c r="L10" s="19">
        <v>2240</v>
      </c>
      <c r="M10" s="19">
        <v>3040</v>
      </c>
      <c r="N10" s="19">
        <v>2240</v>
      </c>
      <c r="O10" s="19">
        <v>3040</v>
      </c>
    </row>
    <row r="11" spans="1:15" ht="30" x14ac:dyDescent="0.25">
      <c r="A11" s="9" t="s">
        <v>36</v>
      </c>
      <c r="B11" s="10">
        <v>40</v>
      </c>
      <c r="C11" s="10">
        <v>40</v>
      </c>
      <c r="D11" s="10">
        <v>40</v>
      </c>
      <c r="E11" s="10">
        <v>40</v>
      </c>
      <c r="F11" s="10">
        <v>40</v>
      </c>
      <c r="G11" s="10">
        <v>40</v>
      </c>
      <c r="H11" s="10">
        <v>40</v>
      </c>
      <c r="I11" s="10">
        <v>40</v>
      </c>
      <c r="J11" s="10">
        <v>40</v>
      </c>
      <c r="K11" s="10">
        <v>40</v>
      </c>
      <c r="L11" s="10">
        <v>40</v>
      </c>
      <c r="M11" s="10">
        <v>40</v>
      </c>
      <c r="N11" s="10">
        <v>40</v>
      </c>
      <c r="O11" s="10">
        <v>40</v>
      </c>
    </row>
    <row r="13" spans="1:15" ht="18.75" x14ac:dyDescent="0.3">
      <c r="A13" s="24" t="s">
        <v>37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</row>
    <row r="14" spans="1:15" x14ac:dyDescent="0.25">
      <c r="A14" s="129" t="s">
        <v>23</v>
      </c>
      <c r="B14" s="7">
        <v>2009</v>
      </c>
      <c r="C14" s="7">
        <v>2015</v>
      </c>
      <c r="D14" s="126">
        <v>2017</v>
      </c>
      <c r="E14" s="124"/>
      <c r="F14" s="124"/>
      <c r="G14" s="125"/>
      <c r="H14" s="126">
        <v>2020</v>
      </c>
      <c r="I14" s="124"/>
      <c r="J14" s="124">
        <v>2030</v>
      </c>
      <c r="K14" s="125"/>
      <c r="L14" s="126">
        <v>2040</v>
      </c>
      <c r="M14" s="125"/>
      <c r="N14" s="126">
        <v>2050</v>
      </c>
      <c r="O14" s="125"/>
    </row>
    <row r="15" spans="1:15" ht="30" x14ac:dyDescent="0.25">
      <c r="A15" s="130"/>
      <c r="B15" s="8" t="s">
        <v>24</v>
      </c>
      <c r="C15" s="8" t="s">
        <v>24</v>
      </c>
      <c r="D15" s="8" t="s">
        <v>25</v>
      </c>
      <c r="E15" s="8" t="s">
        <v>26</v>
      </c>
      <c r="F15" s="8" t="s">
        <v>27</v>
      </c>
      <c r="G15" s="8" t="s">
        <v>28</v>
      </c>
      <c r="H15" s="8" t="s">
        <v>26</v>
      </c>
      <c r="I15" s="127" t="s">
        <v>29</v>
      </c>
      <c r="J15" s="128"/>
      <c r="K15" s="8" t="s">
        <v>28</v>
      </c>
      <c r="L15" s="8" t="s">
        <v>26</v>
      </c>
      <c r="M15" s="8" t="s">
        <v>28</v>
      </c>
      <c r="N15" s="8" t="s">
        <v>26</v>
      </c>
      <c r="O15" s="8" t="s">
        <v>28</v>
      </c>
    </row>
    <row r="16" spans="1:15" ht="30" x14ac:dyDescent="0.25">
      <c r="A16" s="9" t="s">
        <v>30</v>
      </c>
      <c r="B16" s="10">
        <v>105</v>
      </c>
      <c r="C16" s="10">
        <v>105</v>
      </c>
      <c r="D16" s="10">
        <v>105</v>
      </c>
      <c r="E16" s="10">
        <v>105</v>
      </c>
      <c r="F16" s="10">
        <v>105</v>
      </c>
      <c r="G16" s="10">
        <v>105</v>
      </c>
      <c r="H16" s="10">
        <v>105</v>
      </c>
      <c r="I16" s="11">
        <v>105</v>
      </c>
      <c r="J16" s="12">
        <v>105</v>
      </c>
      <c r="K16" s="10">
        <v>105</v>
      </c>
      <c r="L16" s="10">
        <v>105</v>
      </c>
      <c r="M16" s="10">
        <v>105</v>
      </c>
      <c r="N16" s="10">
        <v>105</v>
      </c>
      <c r="O16" s="10">
        <v>105</v>
      </c>
    </row>
    <row r="17" spans="1:15" x14ac:dyDescent="0.25">
      <c r="A17" s="8" t="s">
        <v>31</v>
      </c>
      <c r="B17" s="13">
        <v>80</v>
      </c>
      <c r="C17" s="13">
        <v>83</v>
      </c>
      <c r="D17" s="13">
        <v>83</v>
      </c>
      <c r="E17" s="13">
        <v>83</v>
      </c>
      <c r="F17" s="13">
        <v>85</v>
      </c>
      <c r="G17" s="13">
        <v>97</v>
      </c>
      <c r="H17" s="13">
        <v>83</v>
      </c>
      <c r="I17" s="14">
        <v>97</v>
      </c>
      <c r="J17" s="15">
        <v>84</v>
      </c>
      <c r="K17" s="13">
        <v>97</v>
      </c>
      <c r="L17" s="13">
        <v>84</v>
      </c>
      <c r="M17" s="13">
        <v>97</v>
      </c>
      <c r="N17" s="13">
        <v>84</v>
      </c>
      <c r="O17" s="13">
        <v>97</v>
      </c>
    </row>
    <row r="18" spans="1:15" ht="30" x14ac:dyDescent="0.25">
      <c r="A18" s="9" t="s">
        <v>32</v>
      </c>
      <c r="B18" s="10">
        <v>490</v>
      </c>
      <c r="C18" s="10">
        <v>477</v>
      </c>
      <c r="D18" s="10">
        <v>477</v>
      </c>
      <c r="E18" s="10">
        <v>477</v>
      </c>
      <c r="F18" s="10">
        <v>466</v>
      </c>
      <c r="G18" s="10">
        <v>410</v>
      </c>
      <c r="H18" s="10">
        <v>477</v>
      </c>
      <c r="I18" s="11">
        <v>410</v>
      </c>
      <c r="J18" s="12">
        <v>472</v>
      </c>
      <c r="K18" s="10">
        <v>410</v>
      </c>
      <c r="L18" s="10">
        <v>472</v>
      </c>
      <c r="M18" s="10">
        <v>410</v>
      </c>
      <c r="N18" s="10">
        <v>472</v>
      </c>
      <c r="O18" s="10">
        <v>410</v>
      </c>
    </row>
    <row r="19" spans="1:15" x14ac:dyDescent="0.25">
      <c r="A19" s="139" t="s">
        <v>33</v>
      </c>
      <c r="B19" s="13">
        <v>20</v>
      </c>
      <c r="C19" s="13">
        <v>20</v>
      </c>
      <c r="D19" s="13">
        <v>20</v>
      </c>
      <c r="E19" s="13">
        <v>20</v>
      </c>
      <c r="F19" s="13">
        <v>20</v>
      </c>
      <c r="G19" s="13">
        <v>20</v>
      </c>
      <c r="H19" s="13">
        <v>20</v>
      </c>
      <c r="I19" s="14">
        <v>20</v>
      </c>
      <c r="J19" s="15">
        <v>20</v>
      </c>
      <c r="K19" s="13">
        <v>20</v>
      </c>
      <c r="L19" s="13">
        <v>20</v>
      </c>
      <c r="M19" s="13">
        <v>20</v>
      </c>
      <c r="N19" s="13">
        <v>20</v>
      </c>
      <c r="O19" s="13">
        <v>20</v>
      </c>
    </row>
    <row r="20" spans="1:15" x14ac:dyDescent="0.25">
      <c r="A20" s="140"/>
      <c r="B20" s="13">
        <v>33</v>
      </c>
      <c r="C20" s="13">
        <v>33</v>
      </c>
      <c r="D20" s="13">
        <v>33</v>
      </c>
      <c r="E20" s="13">
        <v>33</v>
      </c>
      <c r="F20" s="13">
        <v>33</v>
      </c>
      <c r="G20" s="13">
        <v>33</v>
      </c>
      <c r="H20" s="13">
        <v>33</v>
      </c>
      <c r="I20" s="14">
        <v>33</v>
      </c>
      <c r="J20" s="15">
        <v>33</v>
      </c>
      <c r="K20" s="13">
        <v>33</v>
      </c>
      <c r="L20" s="13">
        <v>33</v>
      </c>
      <c r="M20" s="13">
        <v>33</v>
      </c>
      <c r="N20" s="13">
        <v>33</v>
      </c>
      <c r="O20" s="13">
        <v>33</v>
      </c>
    </row>
    <row r="21" spans="1:15" x14ac:dyDescent="0.25">
      <c r="A21" s="141" t="s">
        <v>34</v>
      </c>
      <c r="B21" s="16">
        <v>2150</v>
      </c>
      <c r="C21" s="16">
        <v>2200</v>
      </c>
      <c r="D21" s="16">
        <v>2200</v>
      </c>
      <c r="E21" s="16">
        <v>2200</v>
      </c>
      <c r="F21" s="16">
        <v>2250</v>
      </c>
      <c r="G21" s="16">
        <v>2700</v>
      </c>
      <c r="H21" s="16">
        <v>2200</v>
      </c>
      <c r="I21" s="17">
        <v>2700</v>
      </c>
      <c r="J21" s="18">
        <v>2250</v>
      </c>
      <c r="K21" s="16">
        <v>2700</v>
      </c>
      <c r="L21" s="16">
        <v>2250</v>
      </c>
      <c r="M21" s="16">
        <v>2700</v>
      </c>
      <c r="N21" s="16">
        <v>2250</v>
      </c>
      <c r="O21" s="16">
        <v>2700</v>
      </c>
    </row>
    <row r="22" spans="1:15" x14ac:dyDescent="0.25">
      <c r="A22" s="142"/>
      <c r="B22" s="16">
        <v>2350</v>
      </c>
      <c r="C22" s="16">
        <v>2900</v>
      </c>
      <c r="D22" s="16">
        <v>2900</v>
      </c>
      <c r="E22" s="16">
        <v>2900</v>
      </c>
      <c r="F22" s="16">
        <v>2950</v>
      </c>
      <c r="G22" s="16">
        <v>3450</v>
      </c>
      <c r="H22" s="16">
        <v>2900</v>
      </c>
      <c r="I22" s="17">
        <v>3450</v>
      </c>
      <c r="J22" s="18">
        <v>2950</v>
      </c>
      <c r="K22" s="16">
        <v>3450</v>
      </c>
      <c r="L22" s="16">
        <v>2950</v>
      </c>
      <c r="M22" s="16">
        <v>3450</v>
      </c>
      <c r="N22" s="16">
        <v>2950</v>
      </c>
      <c r="O22" s="16">
        <v>3450</v>
      </c>
    </row>
    <row r="23" spans="1:15" x14ac:dyDescent="0.25">
      <c r="A23" s="139" t="s">
        <v>35</v>
      </c>
      <c r="B23" s="19">
        <v>2700</v>
      </c>
      <c r="C23" s="19">
        <v>2750</v>
      </c>
      <c r="D23" s="19">
        <v>2750</v>
      </c>
      <c r="E23" s="19">
        <v>2750</v>
      </c>
      <c r="F23" s="19">
        <v>2950</v>
      </c>
      <c r="G23" s="19">
        <v>4350</v>
      </c>
      <c r="H23" s="19">
        <v>2750</v>
      </c>
      <c r="I23" s="20">
        <v>4350</v>
      </c>
      <c r="J23" s="21">
        <v>2750</v>
      </c>
      <c r="K23" s="19">
        <v>4350</v>
      </c>
      <c r="L23" s="19">
        <v>2750</v>
      </c>
      <c r="M23" s="19">
        <v>4350</v>
      </c>
      <c r="N23" s="19">
        <v>2750</v>
      </c>
      <c r="O23" s="19">
        <v>4350</v>
      </c>
    </row>
    <row r="24" spans="1:15" x14ac:dyDescent="0.25">
      <c r="A24" s="140"/>
      <c r="B24" s="19">
        <v>3400</v>
      </c>
      <c r="C24" s="19">
        <v>5500</v>
      </c>
      <c r="D24" s="19">
        <v>5500</v>
      </c>
      <c r="E24" s="19">
        <v>5500</v>
      </c>
      <c r="F24" s="19">
        <v>5750</v>
      </c>
      <c r="G24" s="19">
        <v>8550</v>
      </c>
      <c r="H24" s="19">
        <v>5500</v>
      </c>
      <c r="I24" s="20">
        <v>8550</v>
      </c>
      <c r="J24" s="21">
        <v>5700</v>
      </c>
      <c r="K24" s="19">
        <v>8550</v>
      </c>
      <c r="L24" s="19">
        <v>5700</v>
      </c>
      <c r="M24" s="19">
        <v>8550</v>
      </c>
      <c r="N24" s="19">
        <v>5700</v>
      </c>
      <c r="O24" s="19">
        <v>8550</v>
      </c>
    </row>
    <row r="25" spans="1:15" ht="30" x14ac:dyDescent="0.25">
      <c r="A25" s="9" t="s">
        <v>36</v>
      </c>
      <c r="B25" s="10">
        <v>70</v>
      </c>
      <c r="C25" s="10">
        <v>70</v>
      </c>
      <c r="D25" s="10">
        <v>70</v>
      </c>
      <c r="E25" s="10">
        <v>70</v>
      </c>
      <c r="F25" s="10">
        <v>70</v>
      </c>
      <c r="G25" s="10">
        <v>200</v>
      </c>
      <c r="H25" s="10">
        <v>70</v>
      </c>
      <c r="I25" s="11">
        <v>200</v>
      </c>
      <c r="J25" s="12">
        <v>70</v>
      </c>
      <c r="K25" s="10">
        <v>200</v>
      </c>
      <c r="L25" s="10">
        <v>70</v>
      </c>
      <c r="M25" s="10">
        <v>200</v>
      </c>
      <c r="N25" s="10">
        <v>70</v>
      </c>
      <c r="O25" s="10">
        <v>200</v>
      </c>
    </row>
    <row r="27" spans="1:15" ht="18.75" x14ac:dyDescent="0.3">
      <c r="A27" s="24" t="s">
        <v>54</v>
      </c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</row>
    <row r="28" spans="1:15" x14ac:dyDescent="0.25">
      <c r="A28" s="39" t="s">
        <v>23</v>
      </c>
      <c r="B28" s="40">
        <v>2009</v>
      </c>
      <c r="C28" s="41">
        <v>2015</v>
      </c>
      <c r="D28" s="42">
        <v>2017</v>
      </c>
      <c r="E28" s="43"/>
      <c r="F28" s="42">
        <v>2020</v>
      </c>
      <c r="G28" s="43"/>
      <c r="H28" s="42">
        <v>2030</v>
      </c>
      <c r="I28" s="43"/>
      <c r="J28" s="42">
        <v>2040</v>
      </c>
      <c r="K28" s="43"/>
      <c r="L28" s="42">
        <v>2050</v>
      </c>
      <c r="M28" s="43"/>
    </row>
    <row r="29" spans="1:15" ht="30" x14ac:dyDescent="0.25">
      <c r="A29" s="44"/>
      <c r="B29" s="45" t="s">
        <v>51</v>
      </c>
      <c r="C29" s="45" t="s">
        <v>51</v>
      </c>
      <c r="D29" s="46" t="s">
        <v>26</v>
      </c>
      <c r="E29" s="47" t="s">
        <v>28</v>
      </c>
      <c r="F29" s="46" t="s">
        <v>26</v>
      </c>
      <c r="G29" s="47" t="s">
        <v>28</v>
      </c>
      <c r="H29" s="46" t="s">
        <v>26</v>
      </c>
      <c r="I29" s="47" t="s">
        <v>28</v>
      </c>
      <c r="J29" s="46" t="s">
        <v>26</v>
      </c>
      <c r="K29" s="47" t="s">
        <v>28</v>
      </c>
      <c r="L29" s="46" t="s">
        <v>26</v>
      </c>
      <c r="M29" s="47" t="s">
        <v>28</v>
      </c>
    </row>
    <row r="30" spans="1:15" x14ac:dyDescent="0.25">
      <c r="A30" s="9" t="s">
        <v>41</v>
      </c>
      <c r="B30" s="11">
        <v>50</v>
      </c>
      <c r="C30" s="12">
        <v>50</v>
      </c>
      <c r="D30" s="11">
        <v>50</v>
      </c>
      <c r="E30" s="12">
        <v>50</v>
      </c>
      <c r="F30" s="11">
        <v>50</v>
      </c>
      <c r="G30" s="12">
        <v>50</v>
      </c>
      <c r="H30" s="11">
        <v>50</v>
      </c>
      <c r="I30" s="12">
        <v>50</v>
      </c>
      <c r="J30" s="11">
        <v>50</v>
      </c>
      <c r="K30" s="12">
        <v>50</v>
      </c>
      <c r="L30" s="11">
        <v>50</v>
      </c>
      <c r="M30" s="12">
        <v>50</v>
      </c>
    </row>
    <row r="31" spans="1:15" x14ac:dyDescent="0.25">
      <c r="A31" s="8" t="s">
        <v>52</v>
      </c>
      <c r="B31" s="14">
        <v>65</v>
      </c>
      <c r="C31" s="15">
        <v>70</v>
      </c>
      <c r="D31" s="14">
        <v>76</v>
      </c>
      <c r="E31" s="15">
        <v>87</v>
      </c>
      <c r="F31" s="14">
        <v>76</v>
      </c>
      <c r="G31" s="15">
        <v>87</v>
      </c>
      <c r="H31" s="14">
        <v>77</v>
      </c>
      <c r="I31" s="15">
        <v>87</v>
      </c>
      <c r="J31" s="14">
        <v>78</v>
      </c>
      <c r="K31" s="15">
        <v>88</v>
      </c>
      <c r="L31" s="14">
        <v>79</v>
      </c>
      <c r="M31" s="15">
        <v>89</v>
      </c>
    </row>
    <row r="32" spans="1:15" ht="30" x14ac:dyDescent="0.25">
      <c r="A32" s="9" t="s">
        <v>53</v>
      </c>
      <c r="B32" s="11">
        <v>600</v>
      </c>
      <c r="C32" s="12">
        <v>600</v>
      </c>
      <c r="D32" s="11">
        <v>600</v>
      </c>
      <c r="E32" s="12">
        <v>600</v>
      </c>
      <c r="F32" s="11">
        <v>600</v>
      </c>
      <c r="G32" s="12">
        <v>600</v>
      </c>
      <c r="H32" s="11">
        <v>600</v>
      </c>
      <c r="I32" s="12">
        <v>600</v>
      </c>
      <c r="J32" s="11">
        <v>600</v>
      </c>
      <c r="K32" s="12">
        <v>600</v>
      </c>
      <c r="L32" s="11">
        <v>600</v>
      </c>
      <c r="M32" s="12">
        <v>600</v>
      </c>
    </row>
    <row r="33" spans="1:15" x14ac:dyDescent="0.25">
      <c r="A33" s="48" t="s">
        <v>45</v>
      </c>
      <c r="B33" s="49">
        <v>12</v>
      </c>
      <c r="C33" s="50">
        <v>12</v>
      </c>
      <c r="D33" s="49">
        <v>12</v>
      </c>
      <c r="E33" s="50">
        <v>12</v>
      </c>
      <c r="F33" s="49">
        <v>12</v>
      </c>
      <c r="G33" s="50">
        <v>12</v>
      </c>
      <c r="H33" s="49">
        <v>12</v>
      </c>
      <c r="I33" s="50">
        <v>12</v>
      </c>
      <c r="J33" s="49">
        <v>12</v>
      </c>
      <c r="K33" s="50">
        <v>12</v>
      </c>
      <c r="L33" s="49">
        <v>12</v>
      </c>
      <c r="M33" s="50">
        <v>12</v>
      </c>
    </row>
    <row r="34" spans="1:15" x14ac:dyDescent="0.25">
      <c r="A34" s="51"/>
      <c r="B34" s="52">
        <v>25</v>
      </c>
      <c r="C34" s="53">
        <v>25</v>
      </c>
      <c r="D34" s="52">
        <v>25</v>
      </c>
      <c r="E34" s="53">
        <v>25</v>
      </c>
      <c r="F34" s="52">
        <v>25</v>
      </c>
      <c r="G34" s="53">
        <v>25</v>
      </c>
      <c r="H34" s="52">
        <v>25</v>
      </c>
      <c r="I34" s="53">
        <v>25</v>
      </c>
      <c r="J34" s="52">
        <v>25</v>
      </c>
      <c r="K34" s="53">
        <v>25</v>
      </c>
      <c r="L34" s="52">
        <v>25</v>
      </c>
      <c r="M34" s="53">
        <v>25</v>
      </c>
    </row>
    <row r="35" spans="1:15" x14ac:dyDescent="0.25">
      <c r="A35" s="9" t="s">
        <v>34</v>
      </c>
      <c r="B35" s="17">
        <v>3300</v>
      </c>
      <c r="C35" s="18">
        <v>3300</v>
      </c>
      <c r="D35" s="17">
        <v>3300</v>
      </c>
      <c r="E35" s="18">
        <v>4000</v>
      </c>
      <c r="F35" s="17">
        <v>3300</v>
      </c>
      <c r="G35" s="18">
        <v>4000</v>
      </c>
      <c r="H35" s="17">
        <v>3400</v>
      </c>
      <c r="I35" s="18">
        <v>4000</v>
      </c>
      <c r="J35" s="17">
        <v>3500</v>
      </c>
      <c r="K35" s="18">
        <v>4100</v>
      </c>
      <c r="L35" s="17">
        <v>3600</v>
      </c>
      <c r="M35" s="18">
        <v>4200</v>
      </c>
    </row>
    <row r="36" spans="1:15" x14ac:dyDescent="0.25">
      <c r="A36" s="8" t="s">
        <v>35</v>
      </c>
      <c r="B36" s="20">
        <v>4700</v>
      </c>
      <c r="C36" s="21">
        <v>4700</v>
      </c>
      <c r="D36" s="20">
        <v>4700</v>
      </c>
      <c r="E36" s="21">
        <v>5400</v>
      </c>
      <c r="F36" s="20">
        <v>4700</v>
      </c>
      <c r="G36" s="21">
        <v>5400</v>
      </c>
      <c r="H36" s="20">
        <v>4800</v>
      </c>
      <c r="I36" s="21">
        <v>5400</v>
      </c>
      <c r="J36" s="20">
        <v>4900</v>
      </c>
      <c r="K36" s="21">
        <v>5500</v>
      </c>
      <c r="L36" s="20">
        <v>5000</v>
      </c>
      <c r="M36" s="21">
        <v>5600</v>
      </c>
    </row>
    <row r="37" spans="1:15" ht="30" x14ac:dyDescent="0.25">
      <c r="A37" s="9" t="s">
        <v>36</v>
      </c>
      <c r="B37" s="11">
        <v>260</v>
      </c>
      <c r="C37" s="12">
        <v>260</v>
      </c>
      <c r="D37" s="11">
        <v>260</v>
      </c>
      <c r="E37" s="12">
        <v>260</v>
      </c>
      <c r="F37" s="11">
        <v>260</v>
      </c>
      <c r="G37" s="12">
        <v>260</v>
      </c>
      <c r="H37" s="11">
        <v>260</v>
      </c>
      <c r="I37" s="12">
        <v>260</v>
      </c>
      <c r="J37" s="11">
        <v>260</v>
      </c>
      <c r="K37" s="12">
        <v>260</v>
      </c>
      <c r="L37" s="11">
        <v>260</v>
      </c>
      <c r="M37" s="12">
        <v>260</v>
      </c>
    </row>
    <row r="39" spans="1:15" ht="18.75" x14ac:dyDescent="0.3">
      <c r="A39" s="24" t="s">
        <v>48</v>
      </c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</row>
    <row r="40" spans="1:15" x14ac:dyDescent="0.25">
      <c r="A40" s="129" t="s">
        <v>23</v>
      </c>
      <c r="B40" s="27">
        <v>2009</v>
      </c>
      <c r="C40" s="7">
        <v>2015</v>
      </c>
      <c r="D40" s="126">
        <v>2017</v>
      </c>
      <c r="E40" s="124"/>
      <c r="F40" s="124"/>
      <c r="G40" s="125"/>
      <c r="H40" s="126">
        <v>2020</v>
      </c>
      <c r="I40" s="125"/>
      <c r="J40" s="143" t="s">
        <v>40</v>
      </c>
      <c r="K40" s="144"/>
      <c r="L40" s="126">
        <v>2040</v>
      </c>
      <c r="M40" s="125"/>
      <c r="N40" s="126">
        <v>2050</v>
      </c>
      <c r="O40" s="125"/>
    </row>
    <row r="41" spans="1:15" ht="30" x14ac:dyDescent="0.25">
      <c r="A41" s="130"/>
      <c r="B41" s="8" t="s">
        <v>24</v>
      </c>
      <c r="C41" s="8" t="s">
        <v>24</v>
      </c>
      <c r="D41" s="8" t="s">
        <v>25</v>
      </c>
      <c r="E41" s="8" t="s">
        <v>26</v>
      </c>
      <c r="F41" s="8" t="s">
        <v>27</v>
      </c>
      <c r="G41" s="8" t="s">
        <v>28</v>
      </c>
      <c r="H41" s="8" t="s">
        <v>26</v>
      </c>
      <c r="I41" s="8" t="s">
        <v>28</v>
      </c>
      <c r="J41" s="8" t="s">
        <v>26</v>
      </c>
      <c r="K41" s="8" t="s">
        <v>28</v>
      </c>
      <c r="L41" s="8" t="s">
        <v>26</v>
      </c>
      <c r="M41" s="8" t="s">
        <v>28</v>
      </c>
      <c r="N41" s="8" t="s">
        <v>26</v>
      </c>
      <c r="O41" s="8" t="s">
        <v>28</v>
      </c>
    </row>
    <row r="42" spans="1:15" x14ac:dyDescent="0.25">
      <c r="A42" s="28" t="s">
        <v>41</v>
      </c>
      <c r="B42" s="12">
        <v>36</v>
      </c>
      <c r="C42" s="10">
        <v>36</v>
      </c>
      <c r="D42" s="10">
        <v>36</v>
      </c>
      <c r="E42" s="10">
        <v>36</v>
      </c>
      <c r="F42" s="10">
        <v>36</v>
      </c>
      <c r="G42" s="10">
        <v>36</v>
      </c>
      <c r="H42" s="10">
        <v>36</v>
      </c>
      <c r="I42" s="10">
        <v>36</v>
      </c>
      <c r="J42" s="10">
        <v>36</v>
      </c>
      <c r="K42" s="10">
        <v>36</v>
      </c>
      <c r="L42" s="10">
        <v>36</v>
      </c>
      <c r="M42" s="10">
        <v>36</v>
      </c>
      <c r="N42" s="10">
        <v>36</v>
      </c>
      <c r="O42" s="10">
        <v>36</v>
      </c>
    </row>
    <row r="43" spans="1:15" x14ac:dyDescent="0.25">
      <c r="A43" s="29" t="s">
        <v>42</v>
      </c>
      <c r="B43" s="30">
        <v>12</v>
      </c>
      <c r="C43" s="31">
        <v>13.1</v>
      </c>
      <c r="D43" s="31">
        <v>14</v>
      </c>
      <c r="E43" s="31">
        <v>15.3</v>
      </c>
      <c r="F43" s="31">
        <v>15</v>
      </c>
      <c r="G43" s="31">
        <v>19</v>
      </c>
      <c r="H43" s="31">
        <v>15.3</v>
      </c>
      <c r="I43" s="31">
        <v>19</v>
      </c>
      <c r="J43" s="31">
        <v>15.8</v>
      </c>
      <c r="K43" s="31">
        <v>19</v>
      </c>
      <c r="L43" s="31">
        <v>15.8</v>
      </c>
      <c r="M43" s="31">
        <v>19</v>
      </c>
      <c r="N43" s="31">
        <v>15.8</v>
      </c>
      <c r="O43" s="31">
        <v>19</v>
      </c>
    </row>
    <row r="44" spans="1:15" x14ac:dyDescent="0.25">
      <c r="A44" s="28" t="s">
        <v>43</v>
      </c>
      <c r="B44" s="32" t="s">
        <v>44</v>
      </c>
      <c r="C44" s="33">
        <v>7.9</v>
      </c>
      <c r="D44" s="33">
        <v>8.1999999999999993</v>
      </c>
      <c r="E44" s="33">
        <v>8.6</v>
      </c>
      <c r="F44" s="33">
        <v>8.5</v>
      </c>
      <c r="G44" s="33">
        <v>9</v>
      </c>
      <c r="H44" s="33">
        <v>8.6</v>
      </c>
      <c r="I44" s="33">
        <v>9</v>
      </c>
      <c r="J44" s="33">
        <v>8.8000000000000007</v>
      </c>
      <c r="K44" s="33">
        <v>9</v>
      </c>
      <c r="L44" s="33">
        <v>8.8000000000000007</v>
      </c>
      <c r="M44" s="33">
        <v>9</v>
      </c>
      <c r="N44" s="33">
        <v>8.8000000000000007</v>
      </c>
      <c r="O44" s="33">
        <v>9</v>
      </c>
    </row>
    <row r="45" spans="1:15" x14ac:dyDescent="0.25">
      <c r="A45" s="131" t="s">
        <v>45</v>
      </c>
      <c r="B45" s="34">
        <v>9</v>
      </c>
      <c r="C45" s="35">
        <v>9</v>
      </c>
      <c r="D45" s="35">
        <v>9</v>
      </c>
      <c r="E45" s="35">
        <v>9</v>
      </c>
      <c r="F45" s="35">
        <v>9</v>
      </c>
      <c r="G45" s="35">
        <v>9</v>
      </c>
      <c r="H45" s="35">
        <v>9</v>
      </c>
      <c r="I45" s="35">
        <v>9</v>
      </c>
      <c r="J45" s="35">
        <v>9</v>
      </c>
      <c r="K45" s="35">
        <v>9</v>
      </c>
      <c r="L45" s="35">
        <v>9</v>
      </c>
      <c r="M45" s="35">
        <v>9</v>
      </c>
      <c r="N45" s="35">
        <v>9</v>
      </c>
      <c r="O45" s="35">
        <v>9</v>
      </c>
    </row>
    <row r="46" spans="1:15" x14ac:dyDescent="0.25">
      <c r="A46" s="132"/>
      <c r="B46" s="15">
        <v>22</v>
      </c>
      <c r="C46" s="13">
        <v>22</v>
      </c>
      <c r="D46" s="13">
        <v>22</v>
      </c>
      <c r="E46" s="13">
        <v>22</v>
      </c>
      <c r="F46" s="13">
        <v>22</v>
      </c>
      <c r="G46" s="13">
        <v>22</v>
      </c>
      <c r="H46" s="13">
        <v>22</v>
      </c>
      <c r="I46" s="13">
        <v>22</v>
      </c>
      <c r="J46" s="13">
        <v>22</v>
      </c>
      <c r="K46" s="13">
        <v>22</v>
      </c>
      <c r="L46" s="13">
        <v>22</v>
      </c>
      <c r="M46" s="13">
        <v>22</v>
      </c>
      <c r="N46" s="13">
        <v>22</v>
      </c>
      <c r="O46" s="13">
        <v>22</v>
      </c>
    </row>
    <row r="47" spans="1:15" ht="30" x14ac:dyDescent="0.25">
      <c r="A47" s="28" t="s">
        <v>46</v>
      </c>
      <c r="B47" s="18">
        <v>2550</v>
      </c>
      <c r="C47" s="16">
        <v>2800</v>
      </c>
      <c r="D47" s="16">
        <v>3350</v>
      </c>
      <c r="E47" s="16">
        <v>3600</v>
      </c>
      <c r="F47" s="16">
        <v>3500</v>
      </c>
      <c r="G47" s="16">
        <v>4550</v>
      </c>
      <c r="H47" s="16">
        <v>3600</v>
      </c>
      <c r="I47" s="16">
        <v>4550</v>
      </c>
      <c r="J47" s="16">
        <v>3700</v>
      </c>
      <c r="K47" s="16">
        <v>4550</v>
      </c>
      <c r="L47" s="16">
        <v>3700</v>
      </c>
      <c r="M47" s="16">
        <v>4550</v>
      </c>
      <c r="N47" s="16">
        <v>3700</v>
      </c>
      <c r="O47" s="16">
        <v>4550</v>
      </c>
    </row>
    <row r="48" spans="1:15" x14ac:dyDescent="0.25">
      <c r="A48" s="29" t="s">
        <v>47</v>
      </c>
      <c r="B48" s="21">
        <v>3000</v>
      </c>
      <c r="C48" s="19">
        <v>3250</v>
      </c>
      <c r="D48" s="19">
        <v>4850</v>
      </c>
      <c r="E48" s="19">
        <v>5100</v>
      </c>
      <c r="F48" s="19">
        <v>4950</v>
      </c>
      <c r="G48" s="19">
        <v>6100</v>
      </c>
      <c r="H48" s="19">
        <v>5100</v>
      </c>
      <c r="I48" s="19">
        <v>6100</v>
      </c>
      <c r="J48" s="19">
        <v>5150</v>
      </c>
      <c r="K48" s="19">
        <v>6100</v>
      </c>
      <c r="L48" s="19">
        <v>5150</v>
      </c>
      <c r="M48" s="19">
        <v>6100</v>
      </c>
      <c r="N48" s="19">
        <v>5150</v>
      </c>
      <c r="O48" s="19">
        <v>6100</v>
      </c>
    </row>
    <row r="49" spans="1:15" x14ac:dyDescent="0.25">
      <c r="A49" s="133" t="s">
        <v>36</v>
      </c>
      <c r="B49" s="12">
        <v>20</v>
      </c>
      <c r="C49" s="10">
        <v>20</v>
      </c>
      <c r="D49" s="10">
        <v>20</v>
      </c>
      <c r="E49" s="10">
        <v>20</v>
      </c>
      <c r="F49" s="10">
        <v>20</v>
      </c>
      <c r="G49" s="10">
        <v>20</v>
      </c>
      <c r="H49" s="10">
        <v>20</v>
      </c>
      <c r="I49" s="10">
        <v>20</v>
      </c>
      <c r="J49" s="10">
        <v>20</v>
      </c>
      <c r="K49" s="10">
        <v>20</v>
      </c>
      <c r="L49" s="10">
        <v>20</v>
      </c>
      <c r="M49" s="10">
        <v>20</v>
      </c>
      <c r="N49" s="10">
        <v>20</v>
      </c>
      <c r="O49" s="10">
        <v>20</v>
      </c>
    </row>
    <row r="50" spans="1:15" x14ac:dyDescent="0.25">
      <c r="A50" s="134"/>
      <c r="B50" s="12">
        <v>125</v>
      </c>
      <c r="C50" s="10">
        <v>125</v>
      </c>
      <c r="D50" s="10">
        <v>125</v>
      </c>
      <c r="E50" s="10">
        <v>125</v>
      </c>
      <c r="F50" s="10">
        <v>125</v>
      </c>
      <c r="G50" s="10">
        <v>125</v>
      </c>
      <c r="H50" s="10">
        <v>125</v>
      </c>
      <c r="I50" s="10">
        <v>125</v>
      </c>
      <c r="J50" s="10">
        <v>125</v>
      </c>
      <c r="K50" s="10">
        <v>125</v>
      </c>
      <c r="L50" s="10">
        <v>125</v>
      </c>
      <c r="M50" s="10">
        <v>125</v>
      </c>
      <c r="N50" s="10">
        <v>125</v>
      </c>
      <c r="O50" s="10">
        <v>125</v>
      </c>
    </row>
    <row r="52" spans="1:15" ht="18.75" x14ac:dyDescent="0.3">
      <c r="A52" s="24" t="s">
        <v>63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</row>
    <row r="53" spans="1:15" x14ac:dyDescent="0.25">
      <c r="A53" s="39"/>
      <c r="B53" s="27">
        <v>2009</v>
      </c>
      <c r="C53" s="7">
        <v>2015</v>
      </c>
      <c r="D53" s="126">
        <v>2017</v>
      </c>
      <c r="E53" s="124"/>
      <c r="F53" s="124"/>
      <c r="G53" s="125"/>
      <c r="H53" s="126">
        <v>2020</v>
      </c>
      <c r="I53" s="125"/>
      <c r="J53" s="137">
        <v>2030</v>
      </c>
      <c r="K53" s="138"/>
      <c r="L53" s="126">
        <v>2040</v>
      </c>
      <c r="M53" s="125"/>
      <c r="N53" s="126">
        <v>2050</v>
      </c>
      <c r="O53" s="125"/>
    </row>
    <row r="54" spans="1:15" ht="30" x14ac:dyDescent="0.25">
      <c r="A54" s="44"/>
      <c r="B54" s="8" t="s">
        <v>0</v>
      </c>
      <c r="C54" s="8" t="s">
        <v>0</v>
      </c>
      <c r="D54" s="8" t="s">
        <v>1</v>
      </c>
      <c r="E54" s="8" t="s">
        <v>2</v>
      </c>
      <c r="F54" s="8" t="s">
        <v>3</v>
      </c>
      <c r="G54" s="8" t="s">
        <v>4</v>
      </c>
      <c r="H54" s="8" t="s">
        <v>2</v>
      </c>
      <c r="I54" s="8" t="s">
        <v>4</v>
      </c>
      <c r="J54" s="8" t="s">
        <v>2</v>
      </c>
      <c r="K54" s="8" t="s">
        <v>4</v>
      </c>
      <c r="L54" s="8" t="s">
        <v>2</v>
      </c>
      <c r="M54" s="8" t="s">
        <v>4</v>
      </c>
      <c r="N54" s="8" t="s">
        <v>2</v>
      </c>
      <c r="O54" s="8" t="s">
        <v>4</v>
      </c>
    </row>
    <row r="55" spans="1:15" x14ac:dyDescent="0.25">
      <c r="A55" s="9" t="s">
        <v>7</v>
      </c>
      <c r="B55" s="10">
        <v>40</v>
      </c>
      <c r="C55" s="10">
        <v>40</v>
      </c>
      <c r="D55" s="10">
        <v>40</v>
      </c>
      <c r="E55" s="10">
        <v>40</v>
      </c>
      <c r="F55" s="10">
        <v>40</v>
      </c>
      <c r="G55" s="11">
        <v>40</v>
      </c>
      <c r="H55" s="12">
        <v>40</v>
      </c>
      <c r="I55" s="11">
        <v>40</v>
      </c>
      <c r="J55" s="12">
        <v>40</v>
      </c>
      <c r="K55" s="11">
        <v>40</v>
      </c>
      <c r="L55" s="12">
        <v>40</v>
      </c>
      <c r="M55" s="11">
        <v>40</v>
      </c>
      <c r="N55" s="12">
        <v>40</v>
      </c>
      <c r="O55" s="9">
        <v>40</v>
      </c>
    </row>
    <row r="56" spans="1:15" x14ac:dyDescent="0.25">
      <c r="A56" s="8" t="s">
        <v>8</v>
      </c>
      <c r="B56" s="58">
        <v>0.57999999999999996</v>
      </c>
      <c r="C56" s="58">
        <v>0.57999999999999996</v>
      </c>
      <c r="D56" s="58">
        <v>0.61</v>
      </c>
      <c r="E56" s="58">
        <v>0.63</v>
      </c>
      <c r="F56" s="58">
        <v>0.66</v>
      </c>
      <c r="G56" s="59">
        <v>0.81</v>
      </c>
      <c r="H56" s="60">
        <v>0.63</v>
      </c>
      <c r="I56" s="59">
        <v>0.81</v>
      </c>
      <c r="J56" s="60">
        <v>0.63</v>
      </c>
      <c r="K56" s="59">
        <v>0.81</v>
      </c>
      <c r="L56" s="60">
        <v>0.63</v>
      </c>
      <c r="M56" s="59">
        <v>0.81</v>
      </c>
      <c r="N56" s="60">
        <v>0.63</v>
      </c>
      <c r="O56" s="8">
        <v>0.81</v>
      </c>
    </row>
    <row r="57" spans="1:15" x14ac:dyDescent="0.25">
      <c r="A57" s="61" t="s">
        <v>5</v>
      </c>
      <c r="B57" s="62">
        <v>6</v>
      </c>
      <c r="C57" s="62">
        <v>6</v>
      </c>
      <c r="D57" s="62">
        <v>6</v>
      </c>
      <c r="E57" s="62">
        <v>6</v>
      </c>
      <c r="F57" s="62">
        <v>6</v>
      </c>
      <c r="G57" s="63">
        <v>6</v>
      </c>
      <c r="H57" s="64">
        <v>6</v>
      </c>
      <c r="I57" s="63">
        <v>6</v>
      </c>
      <c r="J57" s="64">
        <v>6</v>
      </c>
      <c r="K57" s="63">
        <v>6</v>
      </c>
      <c r="L57" s="64">
        <v>6</v>
      </c>
      <c r="M57" s="63">
        <v>6</v>
      </c>
      <c r="N57" s="64">
        <v>6</v>
      </c>
      <c r="O57" s="61">
        <v>6</v>
      </c>
    </row>
    <row r="58" spans="1:15" x14ac:dyDescent="0.25">
      <c r="A58" s="65"/>
      <c r="B58" s="66">
        <v>20</v>
      </c>
      <c r="C58" s="66">
        <v>20</v>
      </c>
      <c r="D58" s="66">
        <v>20</v>
      </c>
      <c r="E58" s="66">
        <v>20</v>
      </c>
      <c r="F58" s="66">
        <v>20</v>
      </c>
      <c r="G58" s="67">
        <v>20</v>
      </c>
      <c r="H58" s="68">
        <v>20</v>
      </c>
      <c r="I58" s="67">
        <v>20</v>
      </c>
      <c r="J58" s="68">
        <v>20</v>
      </c>
      <c r="K58" s="67">
        <v>20</v>
      </c>
      <c r="L58" s="68">
        <v>20</v>
      </c>
      <c r="M58" s="67">
        <v>20</v>
      </c>
      <c r="N58" s="68">
        <v>20</v>
      </c>
      <c r="O58" s="65">
        <v>20</v>
      </c>
    </row>
    <row r="59" spans="1:15" x14ac:dyDescent="0.25">
      <c r="A59" s="48" t="s">
        <v>6</v>
      </c>
      <c r="B59" s="69">
        <v>500</v>
      </c>
      <c r="C59" s="69">
        <v>500</v>
      </c>
      <c r="D59" s="69">
        <v>700</v>
      </c>
      <c r="E59" s="69">
        <v>750</v>
      </c>
      <c r="F59" s="69">
        <v>800</v>
      </c>
      <c r="G59" s="70">
        <v>1850</v>
      </c>
      <c r="H59" s="71">
        <v>750</v>
      </c>
      <c r="I59" s="70">
        <v>1850</v>
      </c>
      <c r="J59" s="71">
        <v>750</v>
      </c>
      <c r="K59" s="70">
        <v>1850</v>
      </c>
      <c r="L59" s="71">
        <v>750</v>
      </c>
      <c r="M59" s="70">
        <v>1850</v>
      </c>
      <c r="N59" s="71">
        <v>750</v>
      </c>
      <c r="O59" s="48">
        <v>1850</v>
      </c>
    </row>
    <row r="60" spans="1:15" x14ac:dyDescent="0.25">
      <c r="A60" s="51"/>
      <c r="B60" s="72">
        <v>550</v>
      </c>
      <c r="C60" s="72">
        <v>550</v>
      </c>
      <c r="D60" s="72">
        <v>1000</v>
      </c>
      <c r="E60" s="72">
        <v>1200</v>
      </c>
      <c r="F60" s="72">
        <v>1350</v>
      </c>
      <c r="G60" s="73">
        <v>2100</v>
      </c>
      <c r="H60" s="74">
        <v>1200</v>
      </c>
      <c r="I60" s="73">
        <v>2100</v>
      </c>
      <c r="J60" s="74">
        <v>1200</v>
      </c>
      <c r="K60" s="73">
        <v>2100</v>
      </c>
      <c r="L60" s="74">
        <v>1200</v>
      </c>
      <c r="M60" s="73">
        <v>2100</v>
      </c>
      <c r="N60" s="74">
        <v>1200</v>
      </c>
      <c r="O60" s="51">
        <v>2100</v>
      </c>
    </row>
    <row r="61" spans="1:15" x14ac:dyDescent="0.25">
      <c r="A61" s="61" t="s">
        <v>9</v>
      </c>
      <c r="B61" s="75">
        <v>1050</v>
      </c>
      <c r="C61" s="75">
        <v>1050</v>
      </c>
      <c r="D61" s="75">
        <v>1350</v>
      </c>
      <c r="E61" s="75">
        <v>1400</v>
      </c>
      <c r="F61" s="75">
        <v>1500</v>
      </c>
      <c r="G61" s="76">
        <v>2450</v>
      </c>
      <c r="H61" s="77">
        <v>1400</v>
      </c>
      <c r="I61" s="76">
        <v>2450</v>
      </c>
      <c r="J61" s="77">
        <v>1400</v>
      </c>
      <c r="K61" s="76">
        <v>2450</v>
      </c>
      <c r="L61" s="77">
        <v>1400</v>
      </c>
      <c r="M61" s="76">
        <v>2450</v>
      </c>
      <c r="N61" s="77">
        <v>1400</v>
      </c>
      <c r="O61" s="61">
        <v>2450</v>
      </c>
    </row>
    <row r="62" spans="1:15" x14ac:dyDescent="0.25">
      <c r="A62" s="65"/>
      <c r="B62" s="78">
        <v>1050</v>
      </c>
      <c r="C62" s="78">
        <v>1050</v>
      </c>
      <c r="D62" s="78">
        <v>2300</v>
      </c>
      <c r="E62" s="78">
        <v>2450</v>
      </c>
      <c r="F62" s="78">
        <v>2550</v>
      </c>
      <c r="G62" s="79">
        <v>3700</v>
      </c>
      <c r="H62" s="80">
        <v>2450</v>
      </c>
      <c r="I62" s="79">
        <v>3700</v>
      </c>
      <c r="J62" s="80">
        <v>2450</v>
      </c>
      <c r="K62" s="79">
        <v>3700</v>
      </c>
      <c r="L62" s="80">
        <v>2450</v>
      </c>
      <c r="M62" s="79">
        <v>3700</v>
      </c>
      <c r="N62" s="80">
        <v>2450</v>
      </c>
      <c r="O62" s="65">
        <v>3700</v>
      </c>
    </row>
    <row r="63" spans="1:15" ht="15" customHeight="1" x14ac:dyDescent="0.25">
      <c r="A63" s="8" t="s">
        <v>10</v>
      </c>
      <c r="B63" s="13" t="s">
        <v>11</v>
      </c>
      <c r="C63" s="13" t="s">
        <v>11</v>
      </c>
      <c r="D63" s="13" t="s">
        <v>11</v>
      </c>
      <c r="E63" s="13" t="s">
        <v>11</v>
      </c>
      <c r="F63" s="13" t="s">
        <v>11</v>
      </c>
      <c r="G63" s="14" t="s">
        <v>11</v>
      </c>
      <c r="H63" s="15" t="s">
        <v>11</v>
      </c>
      <c r="I63" s="14" t="s">
        <v>11</v>
      </c>
      <c r="J63" s="15" t="s">
        <v>11</v>
      </c>
      <c r="K63" s="14" t="s">
        <v>11</v>
      </c>
      <c r="L63" s="15" t="s">
        <v>11</v>
      </c>
      <c r="M63" s="14" t="s">
        <v>11</v>
      </c>
      <c r="N63" s="15" t="s">
        <v>11</v>
      </c>
      <c r="O63" s="8" t="s">
        <v>11</v>
      </c>
    </row>
    <row r="66" spans="1:14" ht="18.75" x14ac:dyDescent="0.3">
      <c r="A66" s="24" t="s">
        <v>61</v>
      </c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</row>
    <row r="67" spans="1:14" x14ac:dyDescent="0.25">
      <c r="A67" s="39" t="s">
        <v>23</v>
      </c>
      <c r="B67" s="40">
        <v>2009</v>
      </c>
      <c r="C67" s="41">
        <v>2015</v>
      </c>
      <c r="D67" s="56"/>
      <c r="E67" s="40">
        <v>2017</v>
      </c>
      <c r="F67" s="43"/>
      <c r="G67" s="42">
        <v>2020</v>
      </c>
      <c r="H67" s="43"/>
      <c r="I67" s="42">
        <v>2030</v>
      </c>
      <c r="J67" s="43"/>
      <c r="K67" s="42">
        <v>2040</v>
      </c>
      <c r="L67" s="43"/>
      <c r="M67" s="42">
        <v>2050</v>
      </c>
      <c r="N67" s="43"/>
    </row>
    <row r="68" spans="1:14" ht="30" x14ac:dyDescent="0.25">
      <c r="A68" s="44"/>
      <c r="B68" s="45" t="s">
        <v>51</v>
      </c>
      <c r="C68" s="111">
        <f>AVERAGE('EIA Costs'!D136:D137)</f>
        <v>5225</v>
      </c>
      <c r="D68" s="51" t="s">
        <v>58</v>
      </c>
      <c r="E68" s="57" t="s">
        <v>26</v>
      </c>
      <c r="F68" s="57" t="s">
        <v>28</v>
      </c>
      <c r="G68" s="46" t="s">
        <v>26</v>
      </c>
      <c r="H68" s="47" t="s">
        <v>28</v>
      </c>
      <c r="I68" s="46" t="s">
        <v>26</v>
      </c>
      <c r="J68" s="47" t="s">
        <v>28</v>
      </c>
      <c r="K68" s="46" t="s">
        <v>26</v>
      </c>
      <c r="L68" s="47" t="s">
        <v>28</v>
      </c>
      <c r="M68" s="46" t="s">
        <v>26</v>
      </c>
      <c r="N68" s="47" t="s">
        <v>28</v>
      </c>
    </row>
    <row r="69" spans="1:14" x14ac:dyDescent="0.25">
      <c r="A69" s="9" t="s">
        <v>59</v>
      </c>
      <c r="B69" s="10">
        <v>30</v>
      </c>
      <c r="C69" s="10">
        <v>32</v>
      </c>
      <c r="D69" s="10">
        <v>32</v>
      </c>
      <c r="E69" s="10">
        <v>32</v>
      </c>
      <c r="F69" s="10">
        <v>32</v>
      </c>
      <c r="G69" s="11">
        <v>32</v>
      </c>
      <c r="H69" s="12">
        <v>32</v>
      </c>
      <c r="I69" s="11">
        <v>32</v>
      </c>
      <c r="J69" s="12">
        <v>32</v>
      </c>
      <c r="K69" s="11">
        <v>32</v>
      </c>
      <c r="L69" s="12">
        <v>32</v>
      </c>
      <c r="M69" s="11">
        <v>32</v>
      </c>
      <c r="N69" s="12">
        <v>32</v>
      </c>
    </row>
    <row r="70" spans="1:14" x14ac:dyDescent="0.25">
      <c r="A70" s="8" t="s">
        <v>60</v>
      </c>
      <c r="B70" s="58">
        <v>0.51</v>
      </c>
      <c r="C70" s="58">
        <v>0.51</v>
      </c>
      <c r="D70" s="58">
        <v>0.64</v>
      </c>
      <c r="E70" s="58">
        <v>0.67</v>
      </c>
      <c r="F70" s="58">
        <v>0.69</v>
      </c>
      <c r="G70" s="59">
        <v>0.67</v>
      </c>
      <c r="H70" s="60">
        <v>0.69</v>
      </c>
      <c r="I70" s="59">
        <v>0.67</v>
      </c>
      <c r="J70" s="60">
        <v>0.69</v>
      </c>
      <c r="K70" s="59">
        <v>0.67</v>
      </c>
      <c r="L70" s="60">
        <v>0.69</v>
      </c>
      <c r="M70" s="59">
        <v>0.67</v>
      </c>
      <c r="N70" s="60">
        <v>0.69</v>
      </c>
    </row>
    <row r="71" spans="1:14" x14ac:dyDescent="0.25">
      <c r="A71" s="61" t="s">
        <v>45</v>
      </c>
      <c r="B71" s="62">
        <v>6</v>
      </c>
      <c r="C71" s="62">
        <v>6</v>
      </c>
      <c r="D71" s="62">
        <v>6</v>
      </c>
      <c r="E71" s="62">
        <v>6</v>
      </c>
      <c r="F71" s="62">
        <v>6</v>
      </c>
      <c r="G71" s="63">
        <v>6</v>
      </c>
      <c r="H71" s="64">
        <v>6</v>
      </c>
      <c r="I71" s="63">
        <v>6</v>
      </c>
      <c r="J71" s="64">
        <v>6</v>
      </c>
      <c r="K71" s="63">
        <v>6</v>
      </c>
      <c r="L71" s="64">
        <v>6</v>
      </c>
      <c r="M71" s="63">
        <v>6</v>
      </c>
      <c r="N71" s="64">
        <v>6</v>
      </c>
    </row>
    <row r="72" spans="1:14" x14ac:dyDescent="0.25">
      <c r="A72" s="65"/>
      <c r="B72" s="66">
        <v>20</v>
      </c>
      <c r="C72" s="66">
        <v>20</v>
      </c>
      <c r="D72" s="66">
        <v>20</v>
      </c>
      <c r="E72" s="66">
        <v>20</v>
      </c>
      <c r="F72" s="66">
        <v>20</v>
      </c>
      <c r="G72" s="67">
        <v>20</v>
      </c>
      <c r="H72" s="68">
        <v>20</v>
      </c>
      <c r="I72" s="67">
        <v>20</v>
      </c>
      <c r="J72" s="68">
        <v>20</v>
      </c>
      <c r="K72" s="67">
        <v>20</v>
      </c>
      <c r="L72" s="68">
        <v>20</v>
      </c>
      <c r="M72" s="67">
        <v>20</v>
      </c>
      <c r="N72" s="68">
        <v>20</v>
      </c>
    </row>
    <row r="73" spans="1:14" x14ac:dyDescent="0.25">
      <c r="A73" s="48" t="s">
        <v>34</v>
      </c>
      <c r="B73" s="69">
        <v>1350</v>
      </c>
      <c r="C73" s="69">
        <v>1350</v>
      </c>
      <c r="D73" s="69">
        <v>1500</v>
      </c>
      <c r="E73" s="69">
        <v>1600</v>
      </c>
      <c r="F73" s="69">
        <v>1600</v>
      </c>
      <c r="G73" s="70">
        <v>1600</v>
      </c>
      <c r="H73" s="71">
        <v>1600</v>
      </c>
      <c r="I73" s="70">
        <v>1600</v>
      </c>
      <c r="J73" s="71">
        <v>1600</v>
      </c>
      <c r="K73" s="70">
        <v>1600</v>
      </c>
      <c r="L73" s="71">
        <v>1600</v>
      </c>
      <c r="M73" s="70">
        <v>1600</v>
      </c>
      <c r="N73" s="71">
        <v>1600</v>
      </c>
    </row>
    <row r="74" spans="1:14" x14ac:dyDescent="0.25">
      <c r="A74" s="51"/>
      <c r="B74" s="72">
        <v>1450</v>
      </c>
      <c r="C74" s="72">
        <v>1450</v>
      </c>
      <c r="D74" s="72">
        <v>1900</v>
      </c>
      <c r="E74" s="72">
        <v>2050</v>
      </c>
      <c r="F74" s="72">
        <v>2050</v>
      </c>
      <c r="G74" s="73">
        <v>2050</v>
      </c>
      <c r="H74" s="74">
        <v>2050</v>
      </c>
      <c r="I74" s="73">
        <v>2050</v>
      </c>
      <c r="J74" s="74">
        <v>2050</v>
      </c>
      <c r="K74" s="73">
        <v>2050</v>
      </c>
      <c r="L74" s="74">
        <v>2050</v>
      </c>
      <c r="M74" s="73">
        <v>2050</v>
      </c>
      <c r="N74" s="74">
        <v>2050</v>
      </c>
    </row>
    <row r="75" spans="1:14" x14ac:dyDescent="0.25">
      <c r="A75" s="61" t="s">
        <v>35</v>
      </c>
      <c r="B75" s="75">
        <v>2000</v>
      </c>
      <c r="C75" s="75">
        <v>2000</v>
      </c>
      <c r="D75" s="75">
        <v>2100</v>
      </c>
      <c r="E75" s="75">
        <v>2250</v>
      </c>
      <c r="F75" s="75">
        <v>2200</v>
      </c>
      <c r="G75" s="76">
        <v>2250</v>
      </c>
      <c r="H75" s="77">
        <v>2200</v>
      </c>
      <c r="I75" s="76">
        <v>2250</v>
      </c>
      <c r="J75" s="77">
        <v>2200</v>
      </c>
      <c r="K75" s="76">
        <v>2250</v>
      </c>
      <c r="L75" s="77">
        <v>2200</v>
      </c>
      <c r="M75" s="76">
        <v>2250</v>
      </c>
      <c r="N75" s="77">
        <v>2200</v>
      </c>
    </row>
    <row r="76" spans="1:14" x14ac:dyDescent="0.25">
      <c r="A76" s="65"/>
      <c r="B76" s="78">
        <v>2100</v>
      </c>
      <c r="C76" s="78">
        <v>2100</v>
      </c>
      <c r="D76" s="78">
        <v>2700</v>
      </c>
      <c r="E76" s="78">
        <v>2850</v>
      </c>
      <c r="F76" s="78">
        <v>2850</v>
      </c>
      <c r="G76" s="79">
        <v>2850</v>
      </c>
      <c r="H76" s="80">
        <v>2850</v>
      </c>
      <c r="I76" s="79">
        <v>2850</v>
      </c>
      <c r="J76" s="80">
        <v>2850</v>
      </c>
      <c r="K76" s="79">
        <v>2850</v>
      </c>
      <c r="L76" s="80">
        <v>2850</v>
      </c>
      <c r="M76" s="79">
        <v>2850</v>
      </c>
      <c r="N76" s="80">
        <v>2850</v>
      </c>
    </row>
    <row r="77" spans="1:14" ht="30" x14ac:dyDescent="0.25">
      <c r="A77" s="8" t="s">
        <v>36</v>
      </c>
      <c r="B77" s="13">
        <v>180</v>
      </c>
      <c r="C77" s="13">
        <v>180</v>
      </c>
      <c r="D77" s="13">
        <v>180</v>
      </c>
      <c r="E77" s="13">
        <v>180</v>
      </c>
      <c r="F77" s="13">
        <v>180</v>
      </c>
      <c r="G77" s="14">
        <v>180</v>
      </c>
      <c r="H77" s="15">
        <v>180</v>
      </c>
      <c r="I77" s="14">
        <v>180</v>
      </c>
      <c r="J77" s="15">
        <v>180</v>
      </c>
      <c r="K77" s="14">
        <v>180</v>
      </c>
      <c r="L77" s="15">
        <v>180</v>
      </c>
      <c r="M77" s="14">
        <v>180</v>
      </c>
      <c r="N77" s="15">
        <v>180</v>
      </c>
    </row>
    <row r="79" spans="1:14" ht="18.75" x14ac:dyDescent="0.3">
      <c r="A79" s="24" t="s">
        <v>65</v>
      </c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</row>
    <row r="80" spans="1:14" x14ac:dyDescent="0.25">
      <c r="A80" s="39" t="s">
        <v>23</v>
      </c>
      <c r="B80" s="40">
        <v>2009</v>
      </c>
      <c r="C80" s="41">
        <v>2015</v>
      </c>
      <c r="D80" s="56"/>
      <c r="E80" s="40">
        <v>2017</v>
      </c>
      <c r="F80" s="43"/>
      <c r="G80" s="42">
        <v>2020</v>
      </c>
      <c r="H80" s="43"/>
      <c r="I80" s="42">
        <v>2030</v>
      </c>
      <c r="J80" s="43"/>
      <c r="K80" s="42">
        <v>2040</v>
      </c>
      <c r="L80" s="43"/>
      <c r="M80" s="42">
        <v>2050</v>
      </c>
      <c r="N80" s="43"/>
    </row>
    <row r="81" spans="1:14" ht="30" x14ac:dyDescent="0.25">
      <c r="A81" s="44"/>
      <c r="B81" s="45" t="s">
        <v>51</v>
      </c>
      <c r="C81" s="45" t="s">
        <v>51</v>
      </c>
      <c r="D81" s="57" t="s">
        <v>26</v>
      </c>
      <c r="E81" s="45" t="s">
        <v>64</v>
      </c>
      <c r="F81" s="57" t="s">
        <v>28</v>
      </c>
      <c r="G81" s="46" t="s">
        <v>26</v>
      </c>
      <c r="H81" s="47" t="s">
        <v>28</v>
      </c>
      <c r="I81" s="46" t="s">
        <v>26</v>
      </c>
      <c r="J81" s="47" t="s">
        <v>28</v>
      </c>
      <c r="K81" s="46" t="s">
        <v>26</v>
      </c>
      <c r="L81" s="47" t="s">
        <v>28</v>
      </c>
      <c r="M81" s="46" t="s">
        <v>26</v>
      </c>
      <c r="N81" s="47" t="s">
        <v>28</v>
      </c>
    </row>
    <row r="82" spans="1:14" x14ac:dyDescent="0.25">
      <c r="A82" s="9" t="s">
        <v>59</v>
      </c>
      <c r="B82" s="10">
        <v>50</v>
      </c>
      <c r="C82" s="10">
        <v>50</v>
      </c>
      <c r="D82" s="10">
        <v>50</v>
      </c>
      <c r="E82" s="10">
        <v>50</v>
      </c>
      <c r="F82" s="10">
        <v>50</v>
      </c>
      <c r="G82" s="11">
        <v>50</v>
      </c>
      <c r="H82" s="12">
        <v>50</v>
      </c>
      <c r="I82" s="11">
        <v>50</v>
      </c>
      <c r="J82" s="12">
        <v>50</v>
      </c>
      <c r="K82" s="11">
        <v>50</v>
      </c>
      <c r="L82" s="12">
        <v>50</v>
      </c>
      <c r="M82" s="11">
        <v>50</v>
      </c>
      <c r="N82" s="12">
        <v>50</v>
      </c>
    </row>
    <row r="83" spans="1:14" x14ac:dyDescent="0.25">
      <c r="A83" s="8" t="s">
        <v>60</v>
      </c>
      <c r="B83" s="58">
        <v>2.0499999999999998</v>
      </c>
      <c r="C83" s="58">
        <v>2.0499999999999998</v>
      </c>
      <c r="D83" s="58">
        <v>3.28</v>
      </c>
      <c r="E83" s="58">
        <v>2</v>
      </c>
      <c r="F83" s="58">
        <v>3.55</v>
      </c>
      <c r="G83" s="59">
        <v>3.28</v>
      </c>
      <c r="H83" s="60">
        <v>3.55</v>
      </c>
      <c r="I83" s="59">
        <v>3.28</v>
      </c>
      <c r="J83" s="60">
        <v>3.55</v>
      </c>
      <c r="K83" s="59">
        <v>3.28</v>
      </c>
      <c r="L83" s="60">
        <v>3.55</v>
      </c>
      <c r="M83" s="59">
        <v>3.28</v>
      </c>
      <c r="N83" s="60">
        <v>3.55</v>
      </c>
    </row>
    <row r="84" spans="1:14" x14ac:dyDescent="0.25">
      <c r="A84" s="61" t="s">
        <v>45</v>
      </c>
      <c r="B84" s="62">
        <v>6</v>
      </c>
      <c r="C84" s="62">
        <v>6</v>
      </c>
      <c r="D84" s="62">
        <v>6</v>
      </c>
      <c r="E84" s="62">
        <v>6</v>
      </c>
      <c r="F84" s="62">
        <v>6</v>
      </c>
      <c r="G84" s="63">
        <v>6</v>
      </c>
      <c r="H84" s="64">
        <v>6</v>
      </c>
      <c r="I84" s="63">
        <v>6</v>
      </c>
      <c r="J84" s="64">
        <v>6</v>
      </c>
      <c r="K84" s="63">
        <v>6</v>
      </c>
      <c r="L84" s="64">
        <v>6</v>
      </c>
      <c r="M84" s="63">
        <v>6</v>
      </c>
      <c r="N84" s="64">
        <v>6</v>
      </c>
    </row>
    <row r="85" spans="1:14" x14ac:dyDescent="0.25">
      <c r="A85" s="65"/>
      <c r="B85" s="66">
        <v>20</v>
      </c>
      <c r="C85" s="66">
        <v>20</v>
      </c>
      <c r="D85" s="66">
        <v>20</v>
      </c>
      <c r="E85" s="66">
        <v>20</v>
      </c>
      <c r="F85" s="66">
        <v>20</v>
      </c>
      <c r="G85" s="67">
        <v>20</v>
      </c>
      <c r="H85" s="68">
        <v>20</v>
      </c>
      <c r="I85" s="67">
        <v>20</v>
      </c>
      <c r="J85" s="68">
        <v>20</v>
      </c>
      <c r="K85" s="67">
        <v>20</v>
      </c>
      <c r="L85" s="68">
        <v>20</v>
      </c>
      <c r="M85" s="67">
        <v>20</v>
      </c>
      <c r="N85" s="68">
        <v>20</v>
      </c>
    </row>
    <row r="86" spans="1:14" x14ac:dyDescent="0.25">
      <c r="A86" s="86" t="s">
        <v>34</v>
      </c>
      <c r="B86" s="69">
        <v>1550</v>
      </c>
      <c r="C86" s="69">
        <v>1100</v>
      </c>
      <c r="D86" s="69">
        <v>1200</v>
      </c>
      <c r="E86" s="69">
        <v>1050</v>
      </c>
      <c r="F86" s="69">
        <v>1200</v>
      </c>
      <c r="G86" s="70">
        <v>1200</v>
      </c>
      <c r="H86" s="71">
        <v>1200</v>
      </c>
      <c r="I86" s="70">
        <v>1200</v>
      </c>
      <c r="J86" s="71">
        <v>1200</v>
      </c>
      <c r="K86" s="70">
        <v>1200</v>
      </c>
      <c r="L86" s="71">
        <v>1200</v>
      </c>
      <c r="M86" s="70">
        <v>1200</v>
      </c>
      <c r="N86" s="71">
        <v>1200</v>
      </c>
    </row>
    <row r="87" spans="1:14" x14ac:dyDescent="0.25">
      <c r="A87" s="51"/>
      <c r="B87" s="72">
        <v>1900</v>
      </c>
      <c r="C87" s="72">
        <v>1400</v>
      </c>
      <c r="D87" s="72">
        <v>1500</v>
      </c>
      <c r="E87" s="72">
        <v>1350</v>
      </c>
      <c r="F87" s="72">
        <v>2300</v>
      </c>
      <c r="G87" s="73">
        <v>1500</v>
      </c>
      <c r="H87" s="74">
        <v>2300</v>
      </c>
      <c r="I87" s="73">
        <v>1500</v>
      </c>
      <c r="J87" s="74">
        <v>2300</v>
      </c>
      <c r="K87" s="73">
        <v>1500</v>
      </c>
      <c r="L87" s="74">
        <v>2300</v>
      </c>
      <c r="M87" s="73">
        <v>1500</v>
      </c>
      <c r="N87" s="74">
        <v>2300</v>
      </c>
    </row>
    <row r="88" spans="1:14" x14ac:dyDescent="0.25">
      <c r="A88" s="87" t="s">
        <v>35</v>
      </c>
      <c r="B88" s="75">
        <v>1700</v>
      </c>
      <c r="C88" s="75">
        <v>1450</v>
      </c>
      <c r="D88" s="75">
        <v>1600</v>
      </c>
      <c r="E88" s="75">
        <v>1400</v>
      </c>
      <c r="F88" s="75">
        <v>1600</v>
      </c>
      <c r="G88" s="76">
        <v>1600</v>
      </c>
      <c r="H88" s="77">
        <v>1600</v>
      </c>
      <c r="I88" s="76">
        <v>1600</v>
      </c>
      <c r="J88" s="77">
        <v>1600</v>
      </c>
      <c r="K88" s="76">
        <v>1600</v>
      </c>
      <c r="L88" s="77">
        <v>1600</v>
      </c>
      <c r="M88" s="76">
        <v>1600</v>
      </c>
      <c r="N88" s="77">
        <v>1600</v>
      </c>
    </row>
    <row r="89" spans="1:14" x14ac:dyDescent="0.25">
      <c r="A89" s="65"/>
      <c r="B89" s="78">
        <v>2450</v>
      </c>
      <c r="C89" s="78">
        <v>2500</v>
      </c>
      <c r="D89" s="78">
        <v>2550</v>
      </c>
      <c r="E89" s="78">
        <v>2400</v>
      </c>
      <c r="F89" s="78">
        <v>3350</v>
      </c>
      <c r="G89" s="79">
        <v>2550</v>
      </c>
      <c r="H89" s="80">
        <v>3350</v>
      </c>
      <c r="I89" s="79">
        <v>2550</v>
      </c>
      <c r="J89" s="80">
        <v>3350</v>
      </c>
      <c r="K89" s="79">
        <v>2550</v>
      </c>
      <c r="L89" s="80">
        <v>3350</v>
      </c>
      <c r="M89" s="79">
        <v>2550</v>
      </c>
      <c r="N89" s="80">
        <v>3350</v>
      </c>
    </row>
    <row r="90" spans="1:14" ht="30" x14ac:dyDescent="0.25">
      <c r="A90" s="8" t="s">
        <v>36</v>
      </c>
      <c r="B90" s="13">
        <v>20</v>
      </c>
      <c r="C90" s="13">
        <v>20</v>
      </c>
      <c r="D90" s="13">
        <v>20</v>
      </c>
      <c r="E90" s="13">
        <v>20</v>
      </c>
      <c r="F90" s="13">
        <v>20</v>
      </c>
      <c r="G90" s="14">
        <v>20</v>
      </c>
      <c r="H90" s="15">
        <v>20</v>
      </c>
      <c r="I90" s="14">
        <v>20</v>
      </c>
      <c r="J90" s="15">
        <v>20</v>
      </c>
      <c r="K90" s="14">
        <v>20</v>
      </c>
      <c r="L90" s="15">
        <v>20</v>
      </c>
      <c r="M90" s="14">
        <v>20</v>
      </c>
      <c r="N90" s="15">
        <v>20</v>
      </c>
    </row>
    <row r="93" spans="1:14" ht="18.75" x14ac:dyDescent="0.3">
      <c r="A93" s="24" t="s">
        <v>94</v>
      </c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</row>
    <row r="94" spans="1:14" x14ac:dyDescent="0.25">
      <c r="A94" s="22" t="s">
        <v>23</v>
      </c>
      <c r="B94" s="41">
        <v>2012</v>
      </c>
      <c r="C94" s="56"/>
      <c r="D94" s="40">
        <v>2017</v>
      </c>
      <c r="E94" s="43"/>
      <c r="F94" s="42">
        <v>2020</v>
      </c>
      <c r="G94" s="43"/>
      <c r="H94" s="42">
        <v>2030</v>
      </c>
      <c r="I94" s="43"/>
      <c r="J94" s="42">
        <v>2040</v>
      </c>
      <c r="K94" s="81"/>
      <c r="L94" s="40">
        <v>2050</v>
      </c>
      <c r="M94" s="43"/>
    </row>
    <row r="95" spans="1:14" ht="30" x14ac:dyDescent="0.25">
      <c r="A95" s="44"/>
      <c r="B95" s="45" t="s">
        <v>51</v>
      </c>
      <c r="C95" s="51" t="s">
        <v>58</v>
      </c>
      <c r="D95" s="57" t="s">
        <v>26</v>
      </c>
      <c r="E95" s="57" t="s">
        <v>28</v>
      </c>
      <c r="F95" s="46" t="s">
        <v>26</v>
      </c>
      <c r="G95" s="47" t="s">
        <v>28</v>
      </c>
      <c r="H95" s="46" t="s">
        <v>26</v>
      </c>
      <c r="I95" s="47" t="s">
        <v>28</v>
      </c>
      <c r="J95" s="46" t="s">
        <v>26</v>
      </c>
      <c r="K95" s="85" t="s">
        <v>28</v>
      </c>
      <c r="L95" s="85" t="s">
        <v>26</v>
      </c>
      <c r="M95" s="47" t="s">
        <v>28</v>
      </c>
    </row>
    <row r="96" spans="1:14" ht="30" x14ac:dyDescent="0.25">
      <c r="A96" s="9" t="s">
        <v>30</v>
      </c>
      <c r="B96" s="10">
        <v>400</v>
      </c>
      <c r="C96" s="10">
        <v>400</v>
      </c>
      <c r="D96" s="10">
        <v>400</v>
      </c>
      <c r="E96" s="10">
        <v>400</v>
      </c>
      <c r="F96" s="90">
        <v>400</v>
      </c>
      <c r="G96" s="12">
        <v>400</v>
      </c>
      <c r="H96" s="90">
        <v>400</v>
      </c>
      <c r="I96" s="12">
        <v>400</v>
      </c>
      <c r="J96" s="90">
        <v>400</v>
      </c>
      <c r="K96" s="82">
        <v>400</v>
      </c>
      <c r="L96" s="82">
        <v>400</v>
      </c>
      <c r="M96" s="12">
        <v>400</v>
      </c>
    </row>
    <row r="97" spans="1:13" x14ac:dyDescent="0.25">
      <c r="A97" s="8" t="s">
        <v>85</v>
      </c>
      <c r="B97" s="13">
        <v>80</v>
      </c>
      <c r="C97" s="13">
        <v>80</v>
      </c>
      <c r="D97" s="13">
        <v>80</v>
      </c>
      <c r="E97" s="13">
        <v>95</v>
      </c>
      <c r="F97" s="91">
        <v>80</v>
      </c>
      <c r="G97" s="15">
        <v>95</v>
      </c>
      <c r="H97" s="91">
        <v>81</v>
      </c>
      <c r="I97" s="15">
        <v>95</v>
      </c>
      <c r="J97" s="91">
        <v>81</v>
      </c>
      <c r="K97" s="92">
        <v>95</v>
      </c>
      <c r="L97" s="92">
        <v>81</v>
      </c>
      <c r="M97" s="15">
        <v>95</v>
      </c>
    </row>
    <row r="98" spans="1:13" x14ac:dyDescent="0.25">
      <c r="A98" s="9" t="s">
        <v>45</v>
      </c>
      <c r="B98" s="10">
        <v>23</v>
      </c>
      <c r="C98" s="10">
        <v>23</v>
      </c>
      <c r="D98" s="10">
        <v>23</v>
      </c>
      <c r="E98" s="10">
        <v>23</v>
      </c>
      <c r="F98" s="90">
        <v>23</v>
      </c>
      <c r="G98" s="12">
        <v>23</v>
      </c>
      <c r="H98" s="90">
        <v>23</v>
      </c>
      <c r="I98" s="12">
        <v>23</v>
      </c>
      <c r="J98" s="90">
        <v>23</v>
      </c>
      <c r="K98" s="82">
        <v>23</v>
      </c>
      <c r="L98" s="82">
        <v>23</v>
      </c>
      <c r="M98" s="12">
        <v>23</v>
      </c>
    </row>
    <row r="99" spans="1:13" x14ac:dyDescent="0.25">
      <c r="A99" s="8" t="s">
        <v>34</v>
      </c>
      <c r="B99" s="19">
        <v>1050</v>
      </c>
      <c r="C99" s="19">
        <v>1050</v>
      </c>
      <c r="D99" s="19">
        <v>1050</v>
      </c>
      <c r="E99" s="19">
        <v>2450</v>
      </c>
      <c r="F99" s="20">
        <v>1050</v>
      </c>
      <c r="G99" s="21">
        <v>2450</v>
      </c>
      <c r="H99" s="20">
        <v>1050</v>
      </c>
      <c r="I99" s="21">
        <v>2450</v>
      </c>
      <c r="J99" s="20">
        <v>1050</v>
      </c>
      <c r="K99" s="93">
        <v>2450</v>
      </c>
      <c r="L99" s="93">
        <v>1050</v>
      </c>
      <c r="M99" s="21">
        <v>2450</v>
      </c>
    </row>
    <row r="100" spans="1:13" x14ac:dyDescent="0.25">
      <c r="A100" s="9" t="s">
        <v>35</v>
      </c>
      <c r="B100" s="16">
        <v>2150</v>
      </c>
      <c r="C100" s="16">
        <v>2150</v>
      </c>
      <c r="D100" s="16">
        <v>2150</v>
      </c>
      <c r="E100" s="16">
        <v>3950</v>
      </c>
      <c r="F100" s="17">
        <v>2150</v>
      </c>
      <c r="G100" s="18">
        <v>3950</v>
      </c>
      <c r="H100" s="17">
        <v>2200</v>
      </c>
      <c r="I100" s="18">
        <v>3950</v>
      </c>
      <c r="J100" s="17">
        <v>2200</v>
      </c>
      <c r="K100" s="94">
        <v>3950</v>
      </c>
      <c r="L100" s="94">
        <v>2200</v>
      </c>
      <c r="M100" s="18">
        <v>3950</v>
      </c>
    </row>
    <row r="101" spans="1:13" ht="30" x14ac:dyDescent="0.25">
      <c r="A101" s="8" t="s">
        <v>86</v>
      </c>
      <c r="B101" s="13">
        <v>170</v>
      </c>
      <c r="C101" s="13">
        <v>170</v>
      </c>
      <c r="D101" s="13">
        <v>170</v>
      </c>
      <c r="E101" s="13">
        <v>180</v>
      </c>
      <c r="F101" s="91">
        <v>170</v>
      </c>
      <c r="G101" s="15">
        <v>180</v>
      </c>
      <c r="H101" s="91">
        <v>170</v>
      </c>
      <c r="I101" s="15">
        <v>180</v>
      </c>
      <c r="J101" s="91">
        <v>170</v>
      </c>
      <c r="K101" s="92">
        <v>180</v>
      </c>
      <c r="L101" s="92">
        <v>170</v>
      </c>
      <c r="M101" s="15">
        <v>180</v>
      </c>
    </row>
    <row r="104" spans="1:13" ht="18.75" x14ac:dyDescent="0.3">
      <c r="A104" s="24" t="s">
        <v>95</v>
      </c>
      <c r="B104" s="23"/>
      <c r="C104" s="23"/>
      <c r="D104" s="23"/>
      <c r="E104" s="23"/>
      <c r="F104" s="23"/>
      <c r="G104" s="23"/>
      <c r="H104" s="23"/>
      <c r="I104" s="23"/>
    </row>
    <row r="105" spans="1:13" x14ac:dyDescent="0.25">
      <c r="A105" s="129" t="s">
        <v>23</v>
      </c>
      <c r="B105" s="7">
        <v>2012</v>
      </c>
      <c r="C105" s="126">
        <v>2017</v>
      </c>
      <c r="D105" s="124"/>
      <c r="E105" s="125"/>
      <c r="F105" s="7">
        <v>2020</v>
      </c>
      <c r="G105" s="95" t="s">
        <v>40</v>
      </c>
      <c r="H105" s="7">
        <v>2040</v>
      </c>
      <c r="I105" s="96">
        <v>2050</v>
      </c>
    </row>
    <row r="106" spans="1:13" ht="30" x14ac:dyDescent="0.25">
      <c r="A106" s="130"/>
      <c r="B106" s="8" t="s">
        <v>24</v>
      </c>
      <c r="C106" s="8" t="s">
        <v>25</v>
      </c>
      <c r="D106" s="8" t="s">
        <v>26</v>
      </c>
      <c r="E106" s="97" t="s">
        <v>28</v>
      </c>
      <c r="F106" s="8" t="s">
        <v>26</v>
      </c>
      <c r="G106" s="8" t="s">
        <v>26</v>
      </c>
      <c r="H106" s="8" t="s">
        <v>26</v>
      </c>
      <c r="I106" s="8" t="s">
        <v>26</v>
      </c>
    </row>
    <row r="107" spans="1:13" ht="30" x14ac:dyDescent="0.25">
      <c r="A107" s="9" t="s">
        <v>30</v>
      </c>
      <c r="B107" s="10">
        <v>400</v>
      </c>
      <c r="C107" s="10">
        <v>400</v>
      </c>
      <c r="D107" s="10">
        <v>400</v>
      </c>
      <c r="E107" s="10">
        <v>400</v>
      </c>
      <c r="F107" s="10">
        <v>400</v>
      </c>
      <c r="G107" s="10">
        <v>400</v>
      </c>
      <c r="H107" s="10">
        <v>400</v>
      </c>
      <c r="I107" s="10">
        <v>400</v>
      </c>
    </row>
    <row r="108" spans="1:13" x14ac:dyDescent="0.25">
      <c r="A108" s="8" t="s">
        <v>85</v>
      </c>
      <c r="B108" s="35">
        <v>81</v>
      </c>
      <c r="C108" s="35">
        <v>81</v>
      </c>
      <c r="D108" s="35">
        <v>82</v>
      </c>
      <c r="E108" s="35">
        <v>85</v>
      </c>
      <c r="F108" s="35">
        <v>82</v>
      </c>
      <c r="G108" s="35">
        <v>82</v>
      </c>
      <c r="H108" s="35">
        <v>82</v>
      </c>
      <c r="I108" s="35">
        <v>82</v>
      </c>
    </row>
    <row r="109" spans="1:13" x14ac:dyDescent="0.25">
      <c r="A109" s="9" t="s">
        <v>45</v>
      </c>
      <c r="B109" s="98">
        <v>23</v>
      </c>
      <c r="C109" s="98">
        <v>23</v>
      </c>
      <c r="D109" s="98">
        <v>23</v>
      </c>
      <c r="E109" s="98">
        <v>23</v>
      </c>
      <c r="F109" s="98">
        <v>23</v>
      </c>
      <c r="G109" s="98">
        <v>23</v>
      </c>
      <c r="H109" s="98">
        <v>23</v>
      </c>
      <c r="I109" s="98">
        <v>23</v>
      </c>
    </row>
    <row r="110" spans="1:13" x14ac:dyDescent="0.25">
      <c r="A110" s="8" t="s">
        <v>34</v>
      </c>
      <c r="B110" s="19">
        <v>4650</v>
      </c>
      <c r="C110" s="19">
        <v>4650</v>
      </c>
      <c r="D110" s="19">
        <v>4700</v>
      </c>
      <c r="E110" s="19">
        <v>5050</v>
      </c>
      <c r="F110" s="19">
        <v>4700</v>
      </c>
      <c r="G110" s="19">
        <v>4700</v>
      </c>
      <c r="H110" s="19">
        <v>4700</v>
      </c>
      <c r="I110" s="19">
        <v>4700</v>
      </c>
    </row>
    <row r="111" spans="1:13" x14ac:dyDescent="0.25">
      <c r="A111" s="9" t="s">
        <v>35</v>
      </c>
      <c r="B111" s="16">
        <v>6550</v>
      </c>
      <c r="C111" s="16">
        <v>6550</v>
      </c>
      <c r="D111" s="16">
        <v>6600</v>
      </c>
      <c r="E111" s="16">
        <v>6750</v>
      </c>
      <c r="F111" s="16">
        <v>6600</v>
      </c>
      <c r="G111" s="16">
        <v>6600</v>
      </c>
      <c r="H111" s="16">
        <v>6600</v>
      </c>
      <c r="I111" s="16">
        <v>6600</v>
      </c>
    </row>
    <row r="112" spans="1:13" ht="30" x14ac:dyDescent="0.25">
      <c r="A112" s="8" t="s">
        <v>86</v>
      </c>
      <c r="B112" s="13">
        <v>300</v>
      </c>
      <c r="C112" s="13">
        <v>300</v>
      </c>
      <c r="D112" s="13">
        <v>300</v>
      </c>
      <c r="E112" s="13">
        <v>300</v>
      </c>
      <c r="F112" s="13">
        <v>300</v>
      </c>
      <c r="G112" s="13">
        <v>300</v>
      </c>
      <c r="H112" s="13">
        <v>300</v>
      </c>
      <c r="I112" s="13">
        <v>300</v>
      </c>
    </row>
    <row r="113" spans="1:14" x14ac:dyDescent="0.25">
      <c r="A113" s="99" t="s">
        <v>87</v>
      </c>
      <c r="B113" s="84"/>
      <c r="C113" s="84"/>
      <c r="D113" s="84"/>
      <c r="E113" s="84"/>
      <c r="F113" s="84"/>
      <c r="G113" s="84"/>
      <c r="H113" s="84"/>
      <c r="I113" s="84"/>
    </row>
    <row r="114" spans="1:14" x14ac:dyDescent="0.25">
      <c r="A114" s="99"/>
      <c r="B114" s="84"/>
      <c r="C114" s="84"/>
      <c r="D114" s="84"/>
      <c r="E114" s="84"/>
      <c r="F114" s="84"/>
      <c r="G114" s="84"/>
      <c r="H114" s="84"/>
      <c r="I114" s="84"/>
    </row>
    <row r="115" spans="1:14" ht="18.75" x14ac:dyDescent="0.3">
      <c r="A115" s="24" t="s">
        <v>96</v>
      </c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</row>
    <row r="116" spans="1:14" x14ac:dyDescent="0.25">
      <c r="A116" s="129" t="s">
        <v>23</v>
      </c>
      <c r="B116" s="7">
        <v>2012</v>
      </c>
      <c r="C116" s="126">
        <v>2017</v>
      </c>
      <c r="D116" s="124"/>
      <c r="E116" s="124"/>
      <c r="F116" s="125"/>
      <c r="G116" s="145" t="s">
        <v>88</v>
      </c>
      <c r="H116" s="146"/>
      <c r="I116" s="145" t="s">
        <v>89</v>
      </c>
      <c r="J116" s="146"/>
      <c r="K116" s="126">
        <v>2040</v>
      </c>
      <c r="L116" s="125"/>
      <c r="M116" s="126">
        <v>2050</v>
      </c>
      <c r="N116" s="125"/>
    </row>
    <row r="117" spans="1:14" ht="30" x14ac:dyDescent="0.25">
      <c r="A117" s="130"/>
      <c r="B117" s="100" t="s">
        <v>24</v>
      </c>
      <c r="C117" s="8" t="s">
        <v>25</v>
      </c>
      <c r="D117" s="8" t="s">
        <v>26</v>
      </c>
      <c r="E117" s="26" t="s">
        <v>90</v>
      </c>
      <c r="F117" s="8" t="s">
        <v>28</v>
      </c>
      <c r="G117" s="8" t="s">
        <v>26</v>
      </c>
      <c r="H117" s="8" t="s">
        <v>28</v>
      </c>
      <c r="I117" s="8" t="s">
        <v>26</v>
      </c>
      <c r="J117" s="8" t="s">
        <v>28</v>
      </c>
      <c r="K117" s="8" t="s">
        <v>26</v>
      </c>
      <c r="L117" s="8" t="s">
        <v>28</v>
      </c>
      <c r="M117" s="8" t="s">
        <v>26</v>
      </c>
      <c r="N117" s="8" t="s">
        <v>28</v>
      </c>
    </row>
    <row r="118" spans="1:14" x14ac:dyDescent="0.25">
      <c r="A118" s="9" t="s">
        <v>41</v>
      </c>
      <c r="B118" s="98">
        <v>90</v>
      </c>
      <c r="C118" s="10">
        <v>90</v>
      </c>
      <c r="D118" s="10">
        <v>90</v>
      </c>
      <c r="E118" s="10">
        <v>90</v>
      </c>
      <c r="F118" s="10">
        <v>90</v>
      </c>
      <c r="G118" s="10">
        <v>90</v>
      </c>
      <c r="H118" s="10">
        <v>90</v>
      </c>
      <c r="I118" s="10">
        <v>90</v>
      </c>
      <c r="J118" s="10">
        <v>90</v>
      </c>
      <c r="K118" s="10">
        <v>90</v>
      </c>
      <c r="L118" s="10">
        <v>90</v>
      </c>
      <c r="M118" s="10">
        <v>90</v>
      </c>
      <c r="N118" s="10">
        <v>90</v>
      </c>
    </row>
    <row r="119" spans="1:14" x14ac:dyDescent="0.25">
      <c r="A119" s="8" t="s">
        <v>91</v>
      </c>
      <c r="B119" s="31">
        <v>10.199999999999999</v>
      </c>
      <c r="C119" s="31">
        <v>11</v>
      </c>
      <c r="D119" s="31">
        <v>11.2</v>
      </c>
      <c r="E119" s="31">
        <v>11.3</v>
      </c>
      <c r="F119" s="31">
        <v>13.1</v>
      </c>
      <c r="G119" s="31">
        <v>11.2</v>
      </c>
      <c r="H119" s="31">
        <v>13.1</v>
      </c>
      <c r="I119" s="31">
        <v>11.7</v>
      </c>
      <c r="J119" s="31">
        <v>13.1</v>
      </c>
      <c r="K119" s="31">
        <v>11.7</v>
      </c>
      <c r="L119" s="31">
        <v>13.1</v>
      </c>
      <c r="M119" s="31">
        <v>11.7</v>
      </c>
      <c r="N119" s="31">
        <v>13.1</v>
      </c>
    </row>
    <row r="120" spans="1:14" x14ac:dyDescent="0.25">
      <c r="A120" s="9" t="s">
        <v>92</v>
      </c>
      <c r="B120" s="33">
        <v>12</v>
      </c>
      <c r="C120" s="101" t="s">
        <v>62</v>
      </c>
      <c r="D120" s="33">
        <v>11.3</v>
      </c>
      <c r="E120" s="33">
        <v>11.4</v>
      </c>
      <c r="F120" s="33">
        <v>20.3</v>
      </c>
      <c r="G120" s="33">
        <v>12.4</v>
      </c>
      <c r="H120" s="33">
        <v>20.3</v>
      </c>
      <c r="I120" s="33">
        <v>14.4</v>
      </c>
      <c r="J120" s="33">
        <v>20.3</v>
      </c>
      <c r="K120" s="33">
        <v>14.4</v>
      </c>
      <c r="L120" s="33">
        <v>20.3</v>
      </c>
      <c r="M120" s="33">
        <v>14.4</v>
      </c>
      <c r="N120" s="33">
        <v>20.3</v>
      </c>
    </row>
    <row r="121" spans="1:14" x14ac:dyDescent="0.25">
      <c r="A121" s="8" t="s">
        <v>93</v>
      </c>
      <c r="B121" s="31">
        <v>3.3</v>
      </c>
      <c r="C121" s="31">
        <v>3.3</v>
      </c>
      <c r="D121" s="31">
        <v>3.3</v>
      </c>
      <c r="E121" s="31">
        <v>3.4</v>
      </c>
      <c r="F121" s="31">
        <v>3.7</v>
      </c>
      <c r="G121" s="31">
        <v>3.3</v>
      </c>
      <c r="H121" s="31">
        <v>3.7</v>
      </c>
      <c r="I121" s="31">
        <v>3.4</v>
      </c>
      <c r="J121" s="31">
        <v>3.7</v>
      </c>
      <c r="K121" s="31">
        <v>3.4</v>
      </c>
      <c r="L121" s="31">
        <v>3.7</v>
      </c>
      <c r="M121" s="31">
        <v>3.4</v>
      </c>
      <c r="N121" s="31">
        <v>3.7</v>
      </c>
    </row>
    <row r="122" spans="1:14" x14ac:dyDescent="0.25">
      <c r="A122" s="9" t="s">
        <v>45</v>
      </c>
      <c r="B122" s="98">
        <v>21</v>
      </c>
      <c r="C122" s="10">
        <v>21</v>
      </c>
      <c r="D122" s="10">
        <v>21</v>
      </c>
      <c r="E122" s="10">
        <v>21</v>
      </c>
      <c r="F122" s="10">
        <v>21</v>
      </c>
      <c r="G122" s="10">
        <v>21</v>
      </c>
      <c r="H122" s="10">
        <v>21</v>
      </c>
      <c r="I122" s="10">
        <v>21</v>
      </c>
      <c r="J122" s="10">
        <v>21</v>
      </c>
      <c r="K122" s="10">
        <v>21</v>
      </c>
      <c r="L122" s="10">
        <v>21</v>
      </c>
      <c r="M122" s="10">
        <v>21</v>
      </c>
      <c r="N122" s="10">
        <v>21</v>
      </c>
    </row>
    <row r="123" spans="1:14" x14ac:dyDescent="0.25">
      <c r="A123" s="8" t="s">
        <v>34</v>
      </c>
      <c r="B123" s="19">
        <v>6050</v>
      </c>
      <c r="C123" s="19">
        <v>6050</v>
      </c>
      <c r="D123" s="19">
        <v>6050</v>
      </c>
      <c r="E123" s="19">
        <v>6250</v>
      </c>
      <c r="F123" s="19">
        <v>11000</v>
      </c>
      <c r="G123" s="19">
        <v>7750</v>
      </c>
      <c r="H123" s="19">
        <v>11000</v>
      </c>
      <c r="I123" s="19">
        <v>8750</v>
      </c>
      <c r="J123" s="19">
        <v>11000</v>
      </c>
      <c r="K123" s="19">
        <v>8750</v>
      </c>
      <c r="L123" s="19">
        <v>11000</v>
      </c>
      <c r="M123" s="19">
        <v>8750</v>
      </c>
      <c r="N123" s="19">
        <v>11000</v>
      </c>
    </row>
    <row r="124" spans="1:14" x14ac:dyDescent="0.25">
      <c r="A124" s="9" t="s">
        <v>35</v>
      </c>
      <c r="B124" s="16">
        <v>7550</v>
      </c>
      <c r="C124" s="16">
        <v>7550</v>
      </c>
      <c r="D124" s="16">
        <v>7550</v>
      </c>
      <c r="E124" s="16">
        <v>7750</v>
      </c>
      <c r="F124" s="16">
        <v>16050</v>
      </c>
      <c r="G124" s="16">
        <v>11150</v>
      </c>
      <c r="H124" s="16">
        <v>16050</v>
      </c>
      <c r="I124" s="16">
        <v>12750</v>
      </c>
      <c r="J124" s="16">
        <v>16050</v>
      </c>
      <c r="K124" s="16">
        <v>12750</v>
      </c>
      <c r="L124" s="16">
        <v>16050</v>
      </c>
      <c r="M124" s="16">
        <v>12750</v>
      </c>
      <c r="N124" s="16">
        <v>16050</v>
      </c>
    </row>
    <row r="125" spans="1:14" ht="30" x14ac:dyDescent="0.25">
      <c r="A125" s="86" t="s">
        <v>36</v>
      </c>
      <c r="B125" s="13">
        <v>310</v>
      </c>
      <c r="C125" s="13">
        <v>310</v>
      </c>
      <c r="D125" s="13">
        <v>310</v>
      </c>
      <c r="E125" s="13">
        <v>310</v>
      </c>
      <c r="F125" s="13">
        <v>310</v>
      </c>
      <c r="G125" s="13">
        <v>310</v>
      </c>
      <c r="H125" s="13">
        <v>310</v>
      </c>
      <c r="I125" s="13">
        <v>310</v>
      </c>
      <c r="J125" s="13">
        <v>310</v>
      </c>
      <c r="K125" s="13">
        <v>310</v>
      </c>
      <c r="L125" s="13">
        <v>310</v>
      </c>
      <c r="M125" s="13">
        <v>310</v>
      </c>
      <c r="N125" s="13">
        <v>310</v>
      </c>
    </row>
    <row r="127" spans="1:14" ht="18.75" x14ac:dyDescent="0.3">
      <c r="A127" s="24" t="s">
        <v>114</v>
      </c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</row>
    <row r="128" spans="1:14" x14ac:dyDescent="0.25">
      <c r="A128" s="39" t="s">
        <v>23</v>
      </c>
      <c r="B128" s="40">
        <v>2012</v>
      </c>
      <c r="C128" s="81"/>
      <c r="D128" s="147">
        <v>2017</v>
      </c>
      <c r="E128" s="147"/>
      <c r="F128" s="147"/>
      <c r="G128" s="148">
        <v>2020</v>
      </c>
      <c r="H128" s="149"/>
      <c r="I128" s="148">
        <v>2030</v>
      </c>
      <c r="J128" s="149"/>
      <c r="K128" s="150">
        <v>2040</v>
      </c>
      <c r="L128" s="147"/>
      <c r="M128" s="42">
        <v>2050</v>
      </c>
      <c r="N128" s="43"/>
    </row>
    <row r="129" spans="1:14" ht="30" x14ac:dyDescent="0.25">
      <c r="A129" s="105"/>
      <c r="B129" s="106" t="s">
        <v>51</v>
      </c>
      <c r="C129" s="107" t="s">
        <v>58</v>
      </c>
      <c r="D129" s="57" t="s">
        <v>26</v>
      </c>
      <c r="E129" s="112" t="s">
        <v>64</v>
      </c>
      <c r="F129" s="57" t="s">
        <v>28</v>
      </c>
      <c r="G129" s="57" t="s">
        <v>26</v>
      </c>
      <c r="H129" s="113" t="s">
        <v>28</v>
      </c>
      <c r="I129" s="57" t="s">
        <v>26</v>
      </c>
      <c r="J129" s="47" t="s">
        <v>28</v>
      </c>
      <c r="K129" s="57" t="s">
        <v>26</v>
      </c>
      <c r="L129" s="47" t="s">
        <v>28</v>
      </c>
      <c r="M129" s="46" t="s">
        <v>26</v>
      </c>
      <c r="N129" s="47" t="s">
        <v>28</v>
      </c>
    </row>
    <row r="130" spans="1:14" x14ac:dyDescent="0.25">
      <c r="A130" s="9" t="s">
        <v>110</v>
      </c>
      <c r="B130" s="11">
        <v>100</v>
      </c>
      <c r="C130" s="12">
        <v>100</v>
      </c>
      <c r="D130" s="10">
        <v>100</v>
      </c>
      <c r="E130" s="12">
        <v>100</v>
      </c>
      <c r="F130" s="10">
        <v>100</v>
      </c>
      <c r="G130" s="10">
        <v>100</v>
      </c>
      <c r="H130" s="12">
        <v>100</v>
      </c>
      <c r="I130" s="10">
        <v>100</v>
      </c>
      <c r="J130" s="12">
        <v>100</v>
      </c>
      <c r="K130" s="10">
        <v>100</v>
      </c>
      <c r="L130" s="12">
        <v>100</v>
      </c>
      <c r="M130" s="11">
        <v>100</v>
      </c>
      <c r="N130" s="12">
        <v>100</v>
      </c>
    </row>
    <row r="131" spans="1:14" ht="30" x14ac:dyDescent="0.25">
      <c r="A131" s="8" t="s">
        <v>30</v>
      </c>
      <c r="B131" s="14">
        <v>199</v>
      </c>
      <c r="C131" s="15">
        <v>199</v>
      </c>
      <c r="D131" s="13">
        <v>199</v>
      </c>
      <c r="E131" s="15">
        <v>199</v>
      </c>
      <c r="F131" s="13">
        <v>199</v>
      </c>
      <c r="G131" s="13">
        <v>199</v>
      </c>
      <c r="H131" s="15">
        <v>199</v>
      </c>
      <c r="I131" s="13">
        <v>199</v>
      </c>
      <c r="J131" s="15">
        <v>199</v>
      </c>
      <c r="K131" s="13">
        <v>199</v>
      </c>
      <c r="L131" s="15">
        <v>199</v>
      </c>
      <c r="M131" s="14">
        <v>199</v>
      </c>
      <c r="N131" s="15">
        <v>199</v>
      </c>
    </row>
    <row r="132" spans="1:14" x14ac:dyDescent="0.25">
      <c r="A132" s="9" t="s">
        <v>111</v>
      </c>
      <c r="B132" s="108">
        <v>81</v>
      </c>
      <c r="C132" s="12">
        <v>80</v>
      </c>
      <c r="D132" s="10">
        <v>82</v>
      </c>
      <c r="E132" s="12">
        <v>94</v>
      </c>
      <c r="F132" s="10">
        <v>99</v>
      </c>
      <c r="G132" s="10">
        <v>82</v>
      </c>
      <c r="H132" s="12">
        <v>99</v>
      </c>
      <c r="I132" s="10">
        <v>82</v>
      </c>
      <c r="J132" s="12">
        <v>99</v>
      </c>
      <c r="K132" s="10">
        <v>82</v>
      </c>
      <c r="L132" s="12">
        <v>99</v>
      </c>
      <c r="M132" s="11">
        <v>82</v>
      </c>
      <c r="N132" s="12">
        <v>99</v>
      </c>
    </row>
    <row r="133" spans="1:14" x14ac:dyDescent="0.25">
      <c r="A133" s="8" t="s">
        <v>45</v>
      </c>
      <c r="B133" s="109">
        <v>13</v>
      </c>
      <c r="C133" s="15">
        <v>10</v>
      </c>
      <c r="D133" s="13">
        <v>10</v>
      </c>
      <c r="E133" s="15">
        <v>10</v>
      </c>
      <c r="F133" s="13">
        <v>10</v>
      </c>
      <c r="G133" s="13">
        <v>10</v>
      </c>
      <c r="H133" s="15">
        <v>10</v>
      </c>
      <c r="I133" s="13">
        <v>10</v>
      </c>
      <c r="J133" s="15">
        <v>10</v>
      </c>
      <c r="K133" s="13">
        <v>10</v>
      </c>
      <c r="L133" s="15">
        <v>10</v>
      </c>
      <c r="M133" s="14">
        <v>10</v>
      </c>
      <c r="N133" s="15">
        <v>10</v>
      </c>
    </row>
    <row r="134" spans="1:14" ht="30" x14ac:dyDescent="0.25">
      <c r="A134" s="61" t="s">
        <v>112</v>
      </c>
      <c r="B134" s="76">
        <v>3400</v>
      </c>
      <c r="C134" s="77">
        <v>3300</v>
      </c>
      <c r="D134" s="75">
        <v>3450</v>
      </c>
      <c r="E134" s="77">
        <v>3950</v>
      </c>
      <c r="F134" s="75">
        <v>4050</v>
      </c>
      <c r="G134" s="75">
        <v>3450</v>
      </c>
      <c r="H134" s="77">
        <v>4050</v>
      </c>
      <c r="I134" s="75">
        <v>3450</v>
      </c>
      <c r="J134" s="114">
        <v>4050</v>
      </c>
      <c r="K134" s="75">
        <v>3450</v>
      </c>
      <c r="L134" s="114">
        <v>4050</v>
      </c>
      <c r="M134" s="76">
        <v>3450</v>
      </c>
      <c r="N134" s="77">
        <v>4050</v>
      </c>
    </row>
    <row r="135" spans="1:14" x14ac:dyDescent="0.25">
      <c r="A135" s="65"/>
      <c r="B135" s="79">
        <v>4200</v>
      </c>
      <c r="C135" s="80">
        <v>4100</v>
      </c>
      <c r="D135" s="78">
        <v>4300</v>
      </c>
      <c r="E135" s="80">
        <v>4850</v>
      </c>
      <c r="F135" s="78">
        <v>4950</v>
      </c>
      <c r="G135" s="78">
        <v>4300</v>
      </c>
      <c r="H135" s="80">
        <v>4950</v>
      </c>
      <c r="I135" s="78">
        <v>4300</v>
      </c>
      <c r="J135" s="115">
        <v>4950</v>
      </c>
      <c r="K135" s="78">
        <v>4300</v>
      </c>
      <c r="L135" s="115">
        <v>4950</v>
      </c>
      <c r="M135" s="79">
        <v>4300</v>
      </c>
      <c r="N135" s="80">
        <v>4950</v>
      </c>
    </row>
    <row r="136" spans="1:14" x14ac:dyDescent="0.25">
      <c r="A136" s="48" t="s">
        <v>113</v>
      </c>
      <c r="B136" s="70">
        <v>4200</v>
      </c>
      <c r="C136" s="71">
        <v>4150</v>
      </c>
      <c r="D136" s="69">
        <v>4300</v>
      </c>
      <c r="E136" s="71">
        <v>5450</v>
      </c>
      <c r="F136" s="69">
        <v>5550</v>
      </c>
      <c r="G136" s="69">
        <v>4300</v>
      </c>
      <c r="H136" s="71">
        <v>5550</v>
      </c>
      <c r="I136" s="69">
        <v>4300</v>
      </c>
      <c r="J136" s="116">
        <v>5550</v>
      </c>
      <c r="K136" s="69">
        <v>4300</v>
      </c>
      <c r="L136" s="116">
        <v>5550</v>
      </c>
      <c r="M136" s="70">
        <v>4300</v>
      </c>
      <c r="N136" s="71">
        <v>5550</v>
      </c>
    </row>
    <row r="137" spans="1:14" x14ac:dyDescent="0.25">
      <c r="A137" s="51"/>
      <c r="B137" s="73">
        <v>6050</v>
      </c>
      <c r="C137" s="74">
        <v>5950</v>
      </c>
      <c r="D137" s="72">
        <v>6150</v>
      </c>
      <c r="E137" s="74">
        <v>6500</v>
      </c>
      <c r="F137" s="72">
        <v>6600</v>
      </c>
      <c r="G137" s="72">
        <v>6150</v>
      </c>
      <c r="H137" s="74">
        <v>6600</v>
      </c>
      <c r="I137" s="72">
        <v>6150</v>
      </c>
      <c r="J137" s="117">
        <v>6600</v>
      </c>
      <c r="K137" s="72">
        <v>6150</v>
      </c>
      <c r="L137" s="117">
        <v>6600</v>
      </c>
      <c r="M137" s="73">
        <v>6150</v>
      </c>
      <c r="N137" s="74">
        <v>6600</v>
      </c>
    </row>
    <row r="138" spans="1:14" ht="30" x14ac:dyDescent="0.25">
      <c r="A138" s="9" t="s">
        <v>36</v>
      </c>
      <c r="B138" s="63">
        <v>270</v>
      </c>
      <c r="C138" s="83">
        <v>270</v>
      </c>
      <c r="D138" s="110">
        <v>270</v>
      </c>
      <c r="E138" s="83">
        <v>270</v>
      </c>
      <c r="F138" s="110">
        <v>270</v>
      </c>
      <c r="G138" s="110">
        <v>270</v>
      </c>
      <c r="H138" s="83">
        <v>270</v>
      </c>
      <c r="I138" s="110">
        <v>270</v>
      </c>
      <c r="J138" s="83">
        <v>270</v>
      </c>
      <c r="K138" s="110">
        <v>270</v>
      </c>
      <c r="L138" s="83">
        <v>270</v>
      </c>
      <c r="M138" s="63">
        <v>270</v>
      </c>
      <c r="N138" s="83">
        <v>270</v>
      </c>
    </row>
    <row r="140" spans="1:14" ht="18.75" x14ac:dyDescent="0.3">
      <c r="A140" s="24" t="s">
        <v>115</v>
      </c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</row>
    <row r="141" spans="1:14" x14ac:dyDescent="0.25">
      <c r="A141" s="129" t="s">
        <v>23</v>
      </c>
      <c r="B141" s="7">
        <v>2012</v>
      </c>
      <c r="C141" s="126">
        <v>2017</v>
      </c>
      <c r="D141" s="124"/>
      <c r="E141" s="125"/>
      <c r="F141" s="126">
        <v>2020</v>
      </c>
      <c r="G141" s="125"/>
      <c r="H141" s="126">
        <v>2030</v>
      </c>
      <c r="I141" s="125"/>
      <c r="J141" s="126">
        <v>2040</v>
      </c>
      <c r="K141" s="125"/>
      <c r="L141" s="126">
        <v>2050</v>
      </c>
      <c r="M141" s="125"/>
    </row>
    <row r="142" spans="1:14" ht="30" x14ac:dyDescent="0.25">
      <c r="A142" s="130"/>
      <c r="B142" s="100" t="s">
        <v>24</v>
      </c>
      <c r="C142" s="8" t="s">
        <v>25</v>
      </c>
      <c r="D142" s="8" t="s">
        <v>26</v>
      </c>
      <c r="E142" s="8" t="s">
        <v>28</v>
      </c>
      <c r="F142" s="8" t="s">
        <v>26</v>
      </c>
      <c r="G142" s="8" t="s">
        <v>28</v>
      </c>
      <c r="H142" s="8" t="s">
        <v>26</v>
      </c>
      <c r="I142" s="8" t="s">
        <v>28</v>
      </c>
      <c r="J142" s="8" t="s">
        <v>26</v>
      </c>
      <c r="K142" s="8" t="s">
        <v>28</v>
      </c>
      <c r="L142" s="8" t="s">
        <v>26</v>
      </c>
      <c r="M142" s="8" t="s">
        <v>28</v>
      </c>
    </row>
    <row r="143" spans="1:14" x14ac:dyDescent="0.25">
      <c r="A143" s="9" t="s">
        <v>110</v>
      </c>
      <c r="B143" s="98">
        <v>70</v>
      </c>
      <c r="C143" s="98">
        <v>85</v>
      </c>
      <c r="D143" s="98">
        <v>85</v>
      </c>
      <c r="E143" s="98">
        <v>85</v>
      </c>
      <c r="F143" s="10">
        <v>85</v>
      </c>
      <c r="G143" s="10">
        <v>85</v>
      </c>
      <c r="H143" s="10">
        <v>85</v>
      </c>
      <c r="I143" s="10">
        <v>85</v>
      </c>
      <c r="J143" s="10">
        <v>85</v>
      </c>
      <c r="K143" s="10">
        <v>85</v>
      </c>
      <c r="L143" s="10">
        <v>85</v>
      </c>
      <c r="M143" s="10">
        <v>85</v>
      </c>
    </row>
    <row r="144" spans="1:14" ht="30" x14ac:dyDescent="0.25">
      <c r="A144" s="8" t="s">
        <v>30</v>
      </c>
      <c r="B144" s="13">
        <v>300</v>
      </c>
      <c r="C144" s="13">
        <v>300</v>
      </c>
      <c r="D144" s="13">
        <v>300</v>
      </c>
      <c r="E144" s="13">
        <v>300</v>
      </c>
      <c r="F144" s="13">
        <v>300</v>
      </c>
      <c r="G144" s="13">
        <v>300</v>
      </c>
      <c r="H144" s="13">
        <v>300</v>
      </c>
      <c r="I144" s="13">
        <v>300</v>
      </c>
      <c r="J144" s="13">
        <v>300</v>
      </c>
      <c r="K144" s="13">
        <v>300</v>
      </c>
      <c r="L144" s="13">
        <v>300</v>
      </c>
      <c r="M144" s="13">
        <v>300</v>
      </c>
    </row>
    <row r="145" spans="1:13" x14ac:dyDescent="0.25">
      <c r="A145" s="9" t="s">
        <v>111</v>
      </c>
      <c r="B145" s="98">
        <v>79</v>
      </c>
      <c r="C145" s="98">
        <v>80</v>
      </c>
      <c r="D145" s="98">
        <v>81</v>
      </c>
      <c r="E145" s="98">
        <v>82</v>
      </c>
      <c r="F145" s="10">
        <v>81</v>
      </c>
      <c r="G145" s="10">
        <v>82</v>
      </c>
      <c r="H145" s="10">
        <v>81</v>
      </c>
      <c r="I145" s="10">
        <v>82</v>
      </c>
      <c r="J145" s="10">
        <v>81</v>
      </c>
      <c r="K145" s="10">
        <v>82</v>
      </c>
      <c r="L145" s="10">
        <v>81</v>
      </c>
      <c r="M145" s="10">
        <v>82</v>
      </c>
    </row>
    <row r="146" spans="1:13" x14ac:dyDescent="0.25">
      <c r="A146" s="8" t="s">
        <v>45</v>
      </c>
      <c r="B146" s="35">
        <v>13</v>
      </c>
      <c r="C146" s="35">
        <v>13</v>
      </c>
      <c r="D146" s="35">
        <v>13</v>
      </c>
      <c r="E146" s="35">
        <v>13</v>
      </c>
      <c r="F146" s="13">
        <v>13</v>
      </c>
      <c r="G146" s="13">
        <v>13</v>
      </c>
      <c r="H146" s="13">
        <v>13</v>
      </c>
      <c r="I146" s="13">
        <v>13</v>
      </c>
      <c r="J146" s="13">
        <v>13</v>
      </c>
      <c r="K146" s="13">
        <v>13</v>
      </c>
      <c r="L146" s="13">
        <v>13</v>
      </c>
      <c r="M146" s="13">
        <v>13</v>
      </c>
    </row>
    <row r="147" spans="1:13" x14ac:dyDescent="0.25">
      <c r="A147" s="9" t="s">
        <v>34</v>
      </c>
      <c r="B147" s="16">
        <v>4650</v>
      </c>
      <c r="C147" s="16">
        <v>4650</v>
      </c>
      <c r="D147" s="16">
        <v>4650</v>
      </c>
      <c r="E147" s="16">
        <v>4650</v>
      </c>
      <c r="F147" s="16">
        <v>4650</v>
      </c>
      <c r="G147" s="16">
        <v>4650</v>
      </c>
      <c r="H147" s="16">
        <v>4650</v>
      </c>
      <c r="I147" s="16">
        <v>4650</v>
      </c>
      <c r="J147" s="16">
        <v>4650</v>
      </c>
      <c r="K147" s="16">
        <v>4650</v>
      </c>
      <c r="L147" s="16">
        <v>4650</v>
      </c>
      <c r="M147" s="16">
        <v>4650</v>
      </c>
    </row>
    <row r="148" spans="1:13" x14ac:dyDescent="0.25">
      <c r="A148" s="8" t="s">
        <v>35</v>
      </c>
      <c r="B148" s="19">
        <v>5200</v>
      </c>
      <c r="C148" s="19">
        <v>5200</v>
      </c>
      <c r="D148" s="19">
        <v>5200</v>
      </c>
      <c r="E148" s="19">
        <v>5200</v>
      </c>
      <c r="F148" s="19">
        <v>5200</v>
      </c>
      <c r="G148" s="19">
        <v>5200</v>
      </c>
      <c r="H148" s="19">
        <v>5200</v>
      </c>
      <c r="I148" s="19">
        <v>5200</v>
      </c>
      <c r="J148" s="19">
        <v>5200</v>
      </c>
      <c r="K148" s="19">
        <v>5200</v>
      </c>
      <c r="L148" s="19">
        <v>5200</v>
      </c>
      <c r="M148" s="19">
        <v>5200</v>
      </c>
    </row>
    <row r="149" spans="1:13" ht="30" x14ac:dyDescent="0.25">
      <c r="A149" s="87" t="s">
        <v>36</v>
      </c>
      <c r="B149" s="10">
        <v>168</v>
      </c>
      <c r="C149" s="10">
        <v>168</v>
      </c>
      <c r="D149" s="10">
        <v>168</v>
      </c>
      <c r="E149" s="10">
        <v>168</v>
      </c>
      <c r="F149" s="10">
        <v>168</v>
      </c>
      <c r="G149" s="10">
        <v>168</v>
      </c>
      <c r="H149" s="10">
        <v>168</v>
      </c>
      <c r="I149" s="10">
        <v>168</v>
      </c>
      <c r="J149" s="10">
        <v>168</v>
      </c>
      <c r="K149" s="10">
        <v>168</v>
      </c>
      <c r="L149" s="10">
        <v>168</v>
      </c>
      <c r="M149" s="10">
        <v>168</v>
      </c>
    </row>
  </sheetData>
  <mergeCells count="48">
    <mergeCell ref="A141:A142"/>
    <mergeCell ref="C141:E141"/>
    <mergeCell ref="F141:G141"/>
    <mergeCell ref="H141:I141"/>
    <mergeCell ref="J141:K141"/>
    <mergeCell ref="L141:M141"/>
    <mergeCell ref="K116:L116"/>
    <mergeCell ref="M116:N116"/>
    <mergeCell ref="D128:F128"/>
    <mergeCell ref="G128:H128"/>
    <mergeCell ref="I128:J128"/>
    <mergeCell ref="K128:L128"/>
    <mergeCell ref="I116:J116"/>
    <mergeCell ref="A105:A106"/>
    <mergeCell ref="C105:E105"/>
    <mergeCell ref="A116:A117"/>
    <mergeCell ref="C116:F116"/>
    <mergeCell ref="G116:H116"/>
    <mergeCell ref="A2:A3"/>
    <mergeCell ref="N53:O53"/>
    <mergeCell ref="L53:M53"/>
    <mergeCell ref="D53:G53"/>
    <mergeCell ref="H53:I53"/>
    <mergeCell ref="J53:K53"/>
    <mergeCell ref="L40:M40"/>
    <mergeCell ref="N40:O40"/>
    <mergeCell ref="A19:A20"/>
    <mergeCell ref="A21:A22"/>
    <mergeCell ref="A23:A24"/>
    <mergeCell ref="A7:A8"/>
    <mergeCell ref="A40:A41"/>
    <mergeCell ref="D40:G40"/>
    <mergeCell ref="H40:I40"/>
    <mergeCell ref="J40:K40"/>
    <mergeCell ref="A14:A15"/>
    <mergeCell ref="D14:G14"/>
    <mergeCell ref="H14:I14"/>
    <mergeCell ref="A45:A46"/>
    <mergeCell ref="A49:A50"/>
    <mergeCell ref="J14:K14"/>
    <mergeCell ref="L14:M14"/>
    <mergeCell ref="N14:O14"/>
    <mergeCell ref="I15:J15"/>
    <mergeCell ref="D2:G2"/>
    <mergeCell ref="H2:I2"/>
    <mergeCell ref="J2:K2"/>
    <mergeCell ref="L2:M2"/>
    <mergeCell ref="N2:O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17102-9A12-4461-BF9B-3C3DA136A6A6}">
  <dimension ref="A1:AG93"/>
  <sheetViews>
    <sheetView workbookViewId="0"/>
  </sheetViews>
  <sheetFormatPr defaultRowHeight="15" x14ac:dyDescent="0.25"/>
  <cols>
    <col min="1" max="1" width="28" customWidth="1"/>
  </cols>
  <sheetData>
    <row r="1" spans="1:33" x14ac:dyDescent="0.25">
      <c r="A1" t="s">
        <v>173</v>
      </c>
    </row>
    <row r="2" spans="1:33" x14ac:dyDescent="0.25">
      <c r="A2" t="s">
        <v>647</v>
      </c>
    </row>
    <row r="3" spans="1:33" x14ac:dyDescent="0.25">
      <c r="A3" t="s">
        <v>646</v>
      </c>
    </row>
    <row r="4" spans="1:33" x14ac:dyDescent="0.25">
      <c r="A4" t="s">
        <v>174</v>
      </c>
    </row>
    <row r="5" spans="1:33" x14ac:dyDescent="0.25">
      <c r="B5" t="s">
        <v>175</v>
      </c>
      <c r="C5" t="s">
        <v>176</v>
      </c>
      <c r="D5" t="s">
        <v>177</v>
      </c>
      <c r="E5">
        <v>2023</v>
      </c>
      <c r="F5">
        <v>2024</v>
      </c>
      <c r="G5">
        <v>2025</v>
      </c>
      <c r="H5">
        <v>2026</v>
      </c>
      <c r="I5">
        <v>2027</v>
      </c>
      <c r="J5">
        <v>2028</v>
      </c>
      <c r="K5">
        <v>2029</v>
      </c>
      <c r="L5">
        <v>2030</v>
      </c>
      <c r="M5">
        <v>2031</v>
      </c>
      <c r="N5">
        <v>2032</v>
      </c>
      <c r="O5">
        <v>2033</v>
      </c>
      <c r="P5">
        <v>2034</v>
      </c>
      <c r="Q5">
        <v>2035</v>
      </c>
      <c r="R5">
        <v>2036</v>
      </c>
      <c r="S5">
        <v>2037</v>
      </c>
      <c r="T5">
        <v>2038</v>
      </c>
      <c r="U5">
        <v>2039</v>
      </c>
      <c r="V5">
        <v>2040</v>
      </c>
      <c r="W5">
        <v>2041</v>
      </c>
      <c r="X5">
        <v>2042</v>
      </c>
      <c r="Y5">
        <v>2043</v>
      </c>
      <c r="Z5">
        <v>2044</v>
      </c>
      <c r="AA5">
        <v>2045</v>
      </c>
      <c r="AB5">
        <v>2046</v>
      </c>
      <c r="AC5">
        <v>2047</v>
      </c>
      <c r="AD5">
        <v>2048</v>
      </c>
      <c r="AE5">
        <v>2049</v>
      </c>
      <c r="AF5">
        <v>2050</v>
      </c>
      <c r="AG5" t="s">
        <v>507</v>
      </c>
    </row>
    <row r="6" spans="1:33" x14ac:dyDescent="0.25">
      <c r="A6" t="s">
        <v>19</v>
      </c>
    </row>
    <row r="7" spans="1:33" x14ac:dyDescent="0.25">
      <c r="A7" t="s">
        <v>178</v>
      </c>
    </row>
    <row r="8" spans="1:33" x14ac:dyDescent="0.25">
      <c r="A8" t="s">
        <v>179</v>
      </c>
      <c r="B8" t="s">
        <v>645</v>
      </c>
      <c r="C8" t="s">
        <v>644</v>
      </c>
      <c r="D8" t="s">
        <v>180</v>
      </c>
      <c r="F8">
        <v>16.645529</v>
      </c>
      <c r="G8">
        <v>16.962237999999999</v>
      </c>
      <c r="H8">
        <v>17.297937000000001</v>
      </c>
      <c r="I8">
        <v>17.637350000000001</v>
      </c>
      <c r="J8">
        <v>17.975957999999999</v>
      </c>
      <c r="K8">
        <v>18.323191000000001</v>
      </c>
      <c r="L8">
        <v>18.671122</v>
      </c>
      <c r="M8">
        <v>19.020292000000001</v>
      </c>
      <c r="N8">
        <v>19.366976000000001</v>
      </c>
      <c r="O8">
        <v>19.701832</v>
      </c>
      <c r="P8">
        <v>20.022341000000001</v>
      </c>
      <c r="Q8">
        <v>20.338335000000001</v>
      </c>
      <c r="R8">
        <v>20.648126999999999</v>
      </c>
      <c r="S8">
        <v>20.945910000000001</v>
      </c>
      <c r="T8">
        <v>21.232154999999999</v>
      </c>
      <c r="U8">
        <v>21.506626000000001</v>
      </c>
      <c r="V8">
        <v>21.772038999999999</v>
      </c>
      <c r="W8">
        <v>22.026168999999999</v>
      </c>
      <c r="X8">
        <v>22.271370000000001</v>
      </c>
      <c r="Y8">
        <v>22.506741000000002</v>
      </c>
      <c r="Z8">
        <v>22.737044999999998</v>
      </c>
      <c r="AA8">
        <v>22.966515999999999</v>
      </c>
      <c r="AB8">
        <v>23.194811000000001</v>
      </c>
      <c r="AC8">
        <v>23.422667000000001</v>
      </c>
      <c r="AD8">
        <v>23.650106000000001</v>
      </c>
      <c r="AE8">
        <v>23.877323000000001</v>
      </c>
      <c r="AF8">
        <v>24.103532999999999</v>
      </c>
      <c r="AG8" s="122">
        <v>1.4E-2</v>
      </c>
    </row>
    <row r="9" spans="1:33" x14ac:dyDescent="0.25">
      <c r="A9" t="s">
        <v>181</v>
      </c>
      <c r="B9" t="s">
        <v>643</v>
      </c>
      <c r="C9" t="s">
        <v>642</v>
      </c>
      <c r="D9" t="s">
        <v>180</v>
      </c>
      <c r="F9">
        <v>26.605318</v>
      </c>
      <c r="G9">
        <v>26.781590000000001</v>
      </c>
      <c r="H9">
        <v>26.987282</v>
      </c>
      <c r="I9">
        <v>27.200581</v>
      </c>
      <c r="J9">
        <v>27.420453999999999</v>
      </c>
      <c r="K9">
        <v>27.653373999999999</v>
      </c>
      <c r="L9">
        <v>27.889208</v>
      </c>
      <c r="M9">
        <v>28.127293000000002</v>
      </c>
      <c r="N9">
        <v>28.362696</v>
      </c>
      <c r="O9">
        <v>28.587047999999999</v>
      </c>
      <c r="P9">
        <v>28.798484999999999</v>
      </c>
      <c r="Q9">
        <v>29.005108</v>
      </c>
      <c r="R9">
        <v>29.206934</v>
      </c>
      <c r="S9">
        <v>29.397682</v>
      </c>
      <c r="T9">
        <v>29.579087999999999</v>
      </c>
      <c r="U9">
        <v>29.751591000000001</v>
      </c>
      <c r="V9">
        <v>29.918130999999999</v>
      </c>
      <c r="W9">
        <v>30.076429000000001</v>
      </c>
      <c r="X9">
        <v>30.228321000000001</v>
      </c>
      <c r="Y9">
        <v>30.375741999999999</v>
      </c>
      <c r="Z9">
        <v>30.522755</v>
      </c>
      <c r="AA9">
        <v>30.670508999999999</v>
      </c>
      <c r="AB9">
        <v>30.818306</v>
      </c>
      <c r="AC9">
        <v>30.966200000000001</v>
      </c>
      <c r="AD9">
        <v>31.114232999999999</v>
      </c>
      <c r="AE9">
        <v>31.262747000000001</v>
      </c>
      <c r="AF9">
        <v>31.41095</v>
      </c>
      <c r="AG9" s="122">
        <v>6.0000000000000001E-3</v>
      </c>
    </row>
    <row r="10" spans="1:33" s="152" customFormat="1" x14ac:dyDescent="0.25">
      <c r="A10" s="152" t="s">
        <v>182</v>
      </c>
      <c r="B10" s="152" t="s">
        <v>641</v>
      </c>
      <c r="C10" s="152" t="s">
        <v>640</v>
      </c>
      <c r="D10" s="152" t="s">
        <v>180</v>
      </c>
      <c r="F10" s="152">
        <v>1.3358559999999999</v>
      </c>
      <c r="G10" s="152">
        <v>1.335485</v>
      </c>
      <c r="H10" s="152">
        <v>1.335121</v>
      </c>
      <c r="I10" s="152">
        <v>1.3347629999999999</v>
      </c>
      <c r="J10" s="152">
        <v>1.334411</v>
      </c>
      <c r="K10" s="152">
        <v>1.3340669999999999</v>
      </c>
      <c r="L10" s="152">
        <v>1.333728</v>
      </c>
      <c r="M10" s="152">
        <v>1.333394</v>
      </c>
      <c r="N10" s="152">
        <v>1.333067</v>
      </c>
      <c r="O10" s="152">
        <v>1.332746</v>
      </c>
      <c r="P10" s="152">
        <v>1.3324309999999999</v>
      </c>
      <c r="Q10" s="152">
        <v>1.33212</v>
      </c>
      <c r="R10" s="152">
        <v>1.3318160000000001</v>
      </c>
      <c r="S10" s="152">
        <v>1.3315170000000001</v>
      </c>
      <c r="T10" s="152">
        <v>1.331223</v>
      </c>
      <c r="U10" s="152">
        <v>1.3309340000000001</v>
      </c>
      <c r="V10" s="152">
        <v>1.330651</v>
      </c>
      <c r="W10" s="152">
        <v>1.330373</v>
      </c>
      <c r="X10" s="152">
        <v>1.3300989999999999</v>
      </c>
      <c r="Y10" s="152">
        <v>1.329831</v>
      </c>
      <c r="Z10" s="152">
        <v>1.3295669999999999</v>
      </c>
      <c r="AA10" s="152">
        <v>1.3293079999999999</v>
      </c>
      <c r="AB10" s="152">
        <v>1.329053</v>
      </c>
      <c r="AC10" s="152">
        <v>1.3288040000000001</v>
      </c>
      <c r="AD10" s="152">
        <v>1.3285579999999999</v>
      </c>
      <c r="AE10" s="152">
        <v>1.3283160000000001</v>
      </c>
      <c r="AF10" s="152">
        <v>1.328079</v>
      </c>
      <c r="AG10" s="153">
        <v>0</v>
      </c>
    </row>
    <row r="11" spans="1:33" s="152" customFormat="1" x14ac:dyDescent="0.25">
      <c r="A11" s="152" t="s">
        <v>183</v>
      </c>
      <c r="B11" s="152" t="s">
        <v>639</v>
      </c>
      <c r="C11" s="152" t="s">
        <v>638</v>
      </c>
      <c r="D11" s="152" t="s">
        <v>180</v>
      </c>
      <c r="F11" s="152">
        <v>65.614693000000003</v>
      </c>
      <c r="G11" s="152">
        <v>66.503310999999997</v>
      </c>
      <c r="H11" s="152">
        <v>67.422646</v>
      </c>
      <c r="I11" s="152">
        <v>68.347206</v>
      </c>
      <c r="J11" s="152">
        <v>69.275345000000002</v>
      </c>
      <c r="K11" s="152">
        <v>70.215851000000001</v>
      </c>
      <c r="L11" s="152">
        <v>71.155624000000003</v>
      </c>
      <c r="M11" s="152">
        <v>72.095222000000007</v>
      </c>
      <c r="N11" s="152">
        <v>73.022018000000003</v>
      </c>
      <c r="O11" s="152">
        <v>73.917961000000005</v>
      </c>
      <c r="P11" s="152">
        <v>74.776138000000003</v>
      </c>
      <c r="Q11" s="152">
        <v>75.619468999999995</v>
      </c>
      <c r="R11" s="152">
        <v>76.443016</v>
      </c>
      <c r="S11" s="152">
        <v>77.232451999999995</v>
      </c>
      <c r="T11" s="152">
        <v>77.991675999999998</v>
      </c>
      <c r="U11" s="152">
        <v>78.71611</v>
      </c>
      <c r="V11" s="152">
        <v>79.412209000000004</v>
      </c>
      <c r="W11" s="152">
        <v>80.076683000000003</v>
      </c>
      <c r="X11" s="152">
        <v>80.717903000000007</v>
      </c>
      <c r="Y11" s="152">
        <v>81.333213999999998</v>
      </c>
      <c r="Z11" s="152">
        <v>81.934601000000001</v>
      </c>
      <c r="AA11" s="152">
        <v>82.534103000000002</v>
      </c>
      <c r="AB11" s="152">
        <v>83.129738000000003</v>
      </c>
      <c r="AC11" s="152">
        <v>83.726119999999995</v>
      </c>
      <c r="AD11" s="152">
        <v>84.322975</v>
      </c>
      <c r="AE11" s="152">
        <v>84.920402999999993</v>
      </c>
      <c r="AF11" s="152">
        <v>85.516907000000003</v>
      </c>
      <c r="AG11" s="153">
        <v>0.01</v>
      </c>
    </row>
    <row r="12" spans="1:33" x14ac:dyDescent="0.25">
      <c r="A12" t="s">
        <v>184</v>
      </c>
      <c r="B12" t="s">
        <v>637</v>
      </c>
      <c r="C12" t="s">
        <v>636</v>
      </c>
      <c r="D12" t="s">
        <v>180</v>
      </c>
      <c r="F12">
        <v>4.7679400000000003</v>
      </c>
      <c r="G12">
        <v>4.7259000000000002</v>
      </c>
      <c r="H12">
        <v>4.6848210000000003</v>
      </c>
      <c r="I12">
        <v>4.6445790000000002</v>
      </c>
      <c r="J12">
        <v>4.6050199999999997</v>
      </c>
      <c r="K12">
        <v>4.5659689999999999</v>
      </c>
      <c r="L12">
        <v>4.5268259999999998</v>
      </c>
      <c r="M12">
        <v>4.4876120000000004</v>
      </c>
      <c r="N12">
        <v>4.4495209999999998</v>
      </c>
      <c r="O12">
        <v>4.412687</v>
      </c>
      <c r="P12">
        <v>4.3773140000000001</v>
      </c>
      <c r="Q12">
        <v>4.3434270000000001</v>
      </c>
      <c r="R12">
        <v>4.3103170000000004</v>
      </c>
      <c r="S12">
        <v>4.2779480000000003</v>
      </c>
      <c r="T12">
        <v>4.246086</v>
      </c>
      <c r="U12">
        <v>4.2144880000000002</v>
      </c>
      <c r="V12">
        <v>4.1831740000000002</v>
      </c>
      <c r="W12">
        <v>4.1520609999999998</v>
      </c>
      <c r="X12">
        <v>4.1220239999999997</v>
      </c>
      <c r="Y12">
        <v>4.0930540000000004</v>
      </c>
      <c r="Z12">
        <v>4.0651210000000004</v>
      </c>
      <c r="AA12">
        <v>4.0385</v>
      </c>
      <c r="AB12">
        <v>4.0128209999999997</v>
      </c>
      <c r="AC12">
        <v>3.9867460000000001</v>
      </c>
      <c r="AD12">
        <v>3.9604469999999998</v>
      </c>
      <c r="AE12">
        <v>3.9341620000000002</v>
      </c>
      <c r="AF12">
        <v>3.908093</v>
      </c>
      <c r="AG12" s="122">
        <v>-8.0000000000000002E-3</v>
      </c>
    </row>
    <row r="13" spans="1:33" x14ac:dyDescent="0.25">
      <c r="A13" t="s">
        <v>185</v>
      </c>
      <c r="B13" t="s">
        <v>635</v>
      </c>
      <c r="C13" t="s">
        <v>634</v>
      </c>
      <c r="D13" t="s">
        <v>180</v>
      </c>
      <c r="F13">
        <v>5.242597</v>
      </c>
      <c r="G13">
        <v>5.231007</v>
      </c>
      <c r="H13">
        <v>5.2227259999999998</v>
      </c>
      <c r="I13">
        <v>5.2138559999999998</v>
      </c>
      <c r="J13">
        <v>5.2017620000000004</v>
      </c>
      <c r="K13">
        <v>5.1923170000000001</v>
      </c>
      <c r="L13">
        <v>5.1804410000000001</v>
      </c>
      <c r="M13">
        <v>5.1671880000000003</v>
      </c>
      <c r="N13">
        <v>5.1553120000000003</v>
      </c>
      <c r="O13">
        <v>5.1438940000000004</v>
      </c>
      <c r="P13">
        <v>5.1323730000000003</v>
      </c>
      <c r="Q13">
        <v>5.1213470000000001</v>
      </c>
      <c r="R13">
        <v>5.111237</v>
      </c>
      <c r="S13">
        <v>5.1019629999999996</v>
      </c>
      <c r="T13">
        <v>5.0929900000000004</v>
      </c>
      <c r="U13">
        <v>5.0845039999999999</v>
      </c>
      <c r="V13">
        <v>5.0773279999999996</v>
      </c>
      <c r="W13">
        <v>5.0708909999999996</v>
      </c>
      <c r="X13">
        <v>5.0646820000000004</v>
      </c>
      <c r="Y13">
        <v>5.0585370000000003</v>
      </c>
      <c r="Z13">
        <v>5.0526479999999996</v>
      </c>
      <c r="AA13">
        <v>5.0474759999999996</v>
      </c>
      <c r="AB13">
        <v>5.0432449999999998</v>
      </c>
      <c r="AC13">
        <v>5.0376599999999998</v>
      </c>
      <c r="AD13">
        <v>5.0307449999999996</v>
      </c>
      <c r="AE13">
        <v>5.0227019999999998</v>
      </c>
      <c r="AF13">
        <v>5.0133200000000002</v>
      </c>
      <c r="AG13" s="122">
        <v>-2E-3</v>
      </c>
    </row>
    <row r="14" spans="1:33" x14ac:dyDescent="0.25">
      <c r="A14" t="s">
        <v>186</v>
      </c>
      <c r="B14" t="s">
        <v>633</v>
      </c>
      <c r="C14" t="s">
        <v>632</v>
      </c>
      <c r="D14" t="s">
        <v>180</v>
      </c>
      <c r="F14">
        <v>4.9249999999999997E-3</v>
      </c>
      <c r="G14">
        <v>7.8969999999999995E-3</v>
      </c>
      <c r="H14">
        <v>1.1523E-2</v>
      </c>
      <c r="I14">
        <v>1.5072E-2</v>
      </c>
      <c r="J14">
        <v>1.8269000000000001E-2</v>
      </c>
      <c r="K14">
        <v>2.1329999999999998E-2</v>
      </c>
      <c r="L14">
        <v>2.419E-2</v>
      </c>
      <c r="M14">
        <v>2.7018E-2</v>
      </c>
      <c r="N14">
        <v>2.9863000000000001E-2</v>
      </c>
      <c r="O14">
        <v>3.2679E-2</v>
      </c>
      <c r="P14">
        <v>3.5394000000000002E-2</v>
      </c>
      <c r="Q14">
        <v>3.8012999999999998E-2</v>
      </c>
      <c r="R14">
        <v>4.0598000000000002E-2</v>
      </c>
      <c r="S14">
        <v>4.3115000000000001E-2</v>
      </c>
      <c r="T14">
        <v>4.5557E-2</v>
      </c>
      <c r="U14">
        <v>4.7931000000000001E-2</v>
      </c>
      <c r="V14">
        <v>5.0323E-2</v>
      </c>
      <c r="W14">
        <v>5.2707999999999998E-2</v>
      </c>
      <c r="X14">
        <v>5.5048E-2</v>
      </c>
      <c r="Y14">
        <v>5.7336999999999999E-2</v>
      </c>
      <c r="Z14">
        <v>5.9591999999999999E-2</v>
      </c>
      <c r="AA14">
        <v>6.182E-2</v>
      </c>
      <c r="AB14">
        <v>6.3983999999999999E-2</v>
      </c>
      <c r="AC14">
        <v>6.6125000000000003E-2</v>
      </c>
      <c r="AD14">
        <v>6.8224000000000007E-2</v>
      </c>
      <c r="AE14">
        <v>7.0300000000000001E-2</v>
      </c>
      <c r="AF14">
        <v>7.2325E-2</v>
      </c>
      <c r="AG14" s="122">
        <v>0.109</v>
      </c>
    </row>
    <row r="15" spans="1:33" x14ac:dyDescent="0.25">
      <c r="A15" t="s">
        <v>187</v>
      </c>
      <c r="B15" t="s">
        <v>631</v>
      </c>
      <c r="C15" t="s">
        <v>630</v>
      </c>
      <c r="D15" t="s">
        <v>180</v>
      </c>
      <c r="F15">
        <v>2.220637</v>
      </c>
      <c r="G15">
        <v>2.2126389999999998</v>
      </c>
      <c r="H15">
        <v>2.2048290000000001</v>
      </c>
      <c r="I15">
        <v>2.1970589999999999</v>
      </c>
      <c r="J15">
        <v>2.1893750000000001</v>
      </c>
      <c r="K15">
        <v>2.1817530000000001</v>
      </c>
      <c r="L15">
        <v>2.1741869999999999</v>
      </c>
      <c r="M15">
        <v>2.1666919999999998</v>
      </c>
      <c r="N15">
        <v>2.1590280000000002</v>
      </c>
      <c r="O15">
        <v>2.1512479999999998</v>
      </c>
      <c r="P15">
        <v>2.1434000000000002</v>
      </c>
      <c r="Q15">
        <v>2.135421</v>
      </c>
      <c r="R15">
        <v>2.1273569999999999</v>
      </c>
      <c r="S15">
        <v>2.1191689999999999</v>
      </c>
      <c r="T15">
        <v>2.1109499999999999</v>
      </c>
      <c r="U15">
        <v>2.102684</v>
      </c>
      <c r="V15">
        <v>2.0943290000000001</v>
      </c>
      <c r="W15">
        <v>2.085804</v>
      </c>
      <c r="X15">
        <v>2.0775749999999999</v>
      </c>
      <c r="Y15">
        <v>2.0696460000000001</v>
      </c>
      <c r="Z15">
        <v>2.062065</v>
      </c>
      <c r="AA15">
        <v>2.054862</v>
      </c>
      <c r="AB15">
        <v>2.0480360000000002</v>
      </c>
      <c r="AC15">
        <v>2.0416629999999998</v>
      </c>
      <c r="AD15">
        <v>2.0357189999999998</v>
      </c>
      <c r="AE15">
        <v>2.030173</v>
      </c>
      <c r="AF15">
        <v>2.0250210000000002</v>
      </c>
      <c r="AG15" s="122">
        <v>-4.0000000000000001E-3</v>
      </c>
    </row>
    <row r="16" spans="1:33" x14ac:dyDescent="0.25">
      <c r="A16" t="s">
        <v>188</v>
      </c>
      <c r="B16" t="s">
        <v>629</v>
      </c>
      <c r="C16" t="s">
        <v>628</v>
      </c>
      <c r="D16" t="s">
        <v>180</v>
      </c>
      <c r="F16">
        <v>1.3606750000000001</v>
      </c>
      <c r="G16">
        <v>1.4081809999999999</v>
      </c>
      <c r="H16">
        <v>1.455492</v>
      </c>
      <c r="I16">
        <v>1.5027200000000001</v>
      </c>
      <c r="J16">
        <v>1.5491330000000001</v>
      </c>
      <c r="K16">
        <v>1.595817</v>
      </c>
      <c r="L16">
        <v>1.642325</v>
      </c>
      <c r="M16">
        <v>1.688836</v>
      </c>
      <c r="N16">
        <v>1.7355499999999999</v>
      </c>
      <c r="O16">
        <v>1.7816719999999999</v>
      </c>
      <c r="P16">
        <v>1.826767</v>
      </c>
      <c r="Q16">
        <v>1.8719479999999999</v>
      </c>
      <c r="R16">
        <v>1.9167529999999999</v>
      </c>
      <c r="S16">
        <v>1.9607570000000001</v>
      </c>
      <c r="T16">
        <v>2.0037910000000001</v>
      </c>
      <c r="U16">
        <v>2.0454750000000002</v>
      </c>
      <c r="V16">
        <v>2.0861049999999999</v>
      </c>
      <c r="W16">
        <v>2.1256249999999999</v>
      </c>
      <c r="X16">
        <v>2.1640130000000002</v>
      </c>
      <c r="Y16">
        <v>2.2007629999999998</v>
      </c>
      <c r="Z16">
        <v>2.2363569999999999</v>
      </c>
      <c r="AA16">
        <v>2.271668</v>
      </c>
      <c r="AB16">
        <v>2.306613</v>
      </c>
      <c r="AC16">
        <v>2.34118</v>
      </c>
      <c r="AD16">
        <v>2.3753600000000001</v>
      </c>
      <c r="AE16">
        <v>2.4091840000000002</v>
      </c>
      <c r="AF16">
        <v>2.4425819999999998</v>
      </c>
      <c r="AG16" s="122">
        <v>2.3E-2</v>
      </c>
    </row>
    <row r="17" spans="1:33" x14ac:dyDescent="0.25">
      <c r="A17" t="s">
        <v>189</v>
      </c>
      <c r="B17" t="s">
        <v>627</v>
      </c>
      <c r="C17" t="s">
        <v>626</v>
      </c>
      <c r="D17" t="s">
        <v>180</v>
      </c>
      <c r="F17">
        <v>123.798164</v>
      </c>
      <c r="G17">
        <v>125.168251</v>
      </c>
      <c r="H17">
        <v>126.62236799999999</v>
      </c>
      <c r="I17">
        <v>128.09318500000001</v>
      </c>
      <c r="J17">
        <v>129.569717</v>
      </c>
      <c r="K17">
        <v>131.083664</v>
      </c>
      <c r="L17">
        <v>132.59764100000001</v>
      </c>
      <c r="M17">
        <v>134.11355599999999</v>
      </c>
      <c r="N17">
        <v>135.61402899999999</v>
      </c>
      <c r="O17">
        <v>137.061768</v>
      </c>
      <c r="P17">
        <v>138.44465600000001</v>
      </c>
      <c r="Q17">
        <v>139.80519100000001</v>
      </c>
      <c r="R17">
        <v>141.13613900000001</v>
      </c>
      <c r="S17">
        <v>142.41052199999999</v>
      </c>
      <c r="T17">
        <v>143.633499</v>
      </c>
      <c r="U17">
        <v>144.800354</v>
      </c>
      <c r="V17">
        <v>145.92430100000001</v>
      </c>
      <c r="W17">
        <v>146.996735</v>
      </c>
      <c r="X17">
        <v>148.03105199999999</v>
      </c>
      <c r="Y17">
        <v>149.024857</v>
      </c>
      <c r="Z17">
        <v>149.99975599999999</v>
      </c>
      <c r="AA17">
        <v>150.97473099999999</v>
      </c>
      <c r="AB17">
        <v>151.946594</v>
      </c>
      <c r="AC17">
        <v>152.91716</v>
      </c>
      <c r="AD17">
        <v>153.886368</v>
      </c>
      <c r="AE17">
        <v>154.855301</v>
      </c>
      <c r="AF17">
        <v>155.82081600000001</v>
      </c>
      <c r="AG17" s="122">
        <v>8.9999999999999993E-3</v>
      </c>
    </row>
    <row r="18" spans="1:33" x14ac:dyDescent="0.25">
      <c r="A18" t="s">
        <v>190</v>
      </c>
    </row>
    <row r="19" spans="1:33" x14ac:dyDescent="0.25">
      <c r="A19" t="s">
        <v>179</v>
      </c>
      <c r="B19" t="s">
        <v>625</v>
      </c>
      <c r="C19" t="s">
        <v>624</v>
      </c>
      <c r="D19" t="s">
        <v>180</v>
      </c>
      <c r="F19">
        <v>16.645529</v>
      </c>
      <c r="G19">
        <v>16.962236000000001</v>
      </c>
      <c r="H19">
        <v>17.297931999999999</v>
      </c>
      <c r="I19">
        <v>17.637352</v>
      </c>
      <c r="J19">
        <v>17.975957999999999</v>
      </c>
      <c r="K19">
        <v>18.323191000000001</v>
      </c>
      <c r="L19">
        <v>18.671116000000001</v>
      </c>
      <c r="M19">
        <v>19.020289999999999</v>
      </c>
      <c r="N19">
        <v>19.366969999999998</v>
      </c>
      <c r="O19">
        <v>19.701841000000002</v>
      </c>
      <c r="P19">
        <v>20.022338999999999</v>
      </c>
      <c r="Q19">
        <v>20.338339000000001</v>
      </c>
      <c r="R19">
        <v>20.648116999999999</v>
      </c>
      <c r="S19">
        <v>20.945914999999999</v>
      </c>
      <c r="T19">
        <v>21.232161000000001</v>
      </c>
      <c r="U19">
        <v>21.506636</v>
      </c>
      <c r="V19">
        <v>21.772034000000001</v>
      </c>
      <c r="W19">
        <v>22.026174999999999</v>
      </c>
      <c r="X19">
        <v>22.271376</v>
      </c>
      <c r="Y19">
        <v>22.506746</v>
      </c>
      <c r="Z19">
        <v>22.737047</v>
      </c>
      <c r="AA19">
        <v>22.966528</v>
      </c>
      <c r="AB19">
        <v>23.194814999999998</v>
      </c>
      <c r="AC19">
        <v>23.422671999999999</v>
      </c>
      <c r="AD19">
        <v>23.650103000000001</v>
      </c>
      <c r="AE19">
        <v>23.87734</v>
      </c>
      <c r="AF19">
        <v>24.103531</v>
      </c>
      <c r="AG19" s="122">
        <v>1.4E-2</v>
      </c>
    </row>
    <row r="20" spans="1:33" x14ac:dyDescent="0.25">
      <c r="A20" t="s">
        <v>182</v>
      </c>
      <c r="B20" t="s">
        <v>623</v>
      </c>
      <c r="C20" t="s">
        <v>622</v>
      </c>
      <c r="D20" t="s">
        <v>180</v>
      </c>
      <c r="F20">
        <v>1.3358559999999999</v>
      </c>
      <c r="G20">
        <v>1.335485</v>
      </c>
      <c r="H20">
        <v>1.335121</v>
      </c>
      <c r="I20">
        <v>1.3347629999999999</v>
      </c>
      <c r="J20">
        <v>1.3344119999999999</v>
      </c>
      <c r="K20">
        <v>1.334066</v>
      </c>
      <c r="L20">
        <v>1.3337270000000001</v>
      </c>
      <c r="M20">
        <v>1.333394</v>
      </c>
      <c r="N20">
        <v>1.333067</v>
      </c>
      <c r="O20">
        <v>1.332746</v>
      </c>
      <c r="P20">
        <v>1.33243</v>
      </c>
      <c r="Q20">
        <v>1.33212</v>
      </c>
      <c r="R20">
        <v>1.3318160000000001</v>
      </c>
      <c r="S20">
        <v>1.3315170000000001</v>
      </c>
      <c r="T20">
        <v>1.331223</v>
      </c>
      <c r="U20">
        <v>1.3309340000000001</v>
      </c>
      <c r="V20">
        <v>1.330651</v>
      </c>
      <c r="W20">
        <v>1.3303720000000001</v>
      </c>
      <c r="X20">
        <v>1.3300989999999999</v>
      </c>
      <c r="Y20">
        <v>1.329831</v>
      </c>
      <c r="Z20">
        <v>1.3295669999999999</v>
      </c>
      <c r="AA20">
        <v>1.3293079999999999</v>
      </c>
      <c r="AB20">
        <v>1.329053</v>
      </c>
      <c r="AC20">
        <v>1.328803</v>
      </c>
      <c r="AD20">
        <v>1.3285579999999999</v>
      </c>
      <c r="AE20">
        <v>1.3283160000000001</v>
      </c>
      <c r="AF20">
        <v>1.3280799999999999</v>
      </c>
      <c r="AG20" s="122">
        <v>0</v>
      </c>
    </row>
    <row r="21" spans="1:33" x14ac:dyDescent="0.25">
      <c r="A21" t="s">
        <v>188</v>
      </c>
      <c r="B21" t="s">
        <v>621</v>
      </c>
      <c r="C21" t="s">
        <v>620</v>
      </c>
      <c r="D21" t="s">
        <v>180</v>
      </c>
      <c r="F21">
        <v>1.3606750000000001</v>
      </c>
      <c r="G21">
        <v>1.40818</v>
      </c>
      <c r="H21">
        <v>1.4554910000000001</v>
      </c>
      <c r="I21">
        <v>1.5027200000000001</v>
      </c>
      <c r="J21">
        <v>1.549134</v>
      </c>
      <c r="K21">
        <v>1.595817</v>
      </c>
      <c r="L21">
        <v>1.642326</v>
      </c>
      <c r="M21">
        <v>1.688836</v>
      </c>
      <c r="N21">
        <v>1.7355499999999999</v>
      </c>
      <c r="O21">
        <v>1.781671</v>
      </c>
      <c r="P21">
        <v>1.8267679999999999</v>
      </c>
      <c r="Q21">
        <v>1.8719479999999999</v>
      </c>
      <c r="R21">
        <v>1.9167529999999999</v>
      </c>
      <c r="S21">
        <v>1.9607559999999999</v>
      </c>
      <c r="T21">
        <v>2.00379</v>
      </c>
      <c r="U21">
        <v>2.0454750000000002</v>
      </c>
      <c r="V21">
        <v>2.0861049999999999</v>
      </c>
      <c r="W21">
        <v>2.125626</v>
      </c>
      <c r="X21">
        <v>2.1640130000000002</v>
      </c>
      <c r="Y21">
        <v>2.2007639999999999</v>
      </c>
      <c r="Z21">
        <v>2.2363559999999998</v>
      </c>
      <c r="AA21">
        <v>2.2716669999999999</v>
      </c>
      <c r="AB21">
        <v>2.306613</v>
      </c>
      <c r="AC21">
        <v>2.3411789999999999</v>
      </c>
      <c r="AD21">
        <v>2.3753600000000001</v>
      </c>
      <c r="AE21">
        <v>2.4091849999999999</v>
      </c>
      <c r="AF21">
        <v>2.4425810000000001</v>
      </c>
      <c r="AG21" s="122">
        <v>2.3E-2</v>
      </c>
    </row>
    <row r="22" spans="1:33" x14ac:dyDescent="0.25">
      <c r="A22" t="s">
        <v>191</v>
      </c>
      <c r="B22" t="s">
        <v>619</v>
      </c>
      <c r="C22" t="s">
        <v>618</v>
      </c>
      <c r="D22" t="s">
        <v>180</v>
      </c>
      <c r="F22">
        <v>79.649451999999997</v>
      </c>
      <c r="G22">
        <v>80.900047000000001</v>
      </c>
      <c r="H22">
        <v>82.197365000000005</v>
      </c>
      <c r="I22">
        <v>83.504149999999996</v>
      </c>
      <c r="J22">
        <v>84.811256</v>
      </c>
      <c r="K22">
        <v>86.135658000000006</v>
      </c>
      <c r="L22">
        <v>87.457458000000003</v>
      </c>
      <c r="M22">
        <v>88.779007000000007</v>
      </c>
      <c r="N22">
        <v>90.091567999999995</v>
      </c>
      <c r="O22">
        <v>91.374115000000003</v>
      </c>
      <c r="P22">
        <v>92.619193999999993</v>
      </c>
      <c r="Q22">
        <v>93.851294999999993</v>
      </c>
      <c r="R22">
        <v>95.065894999999998</v>
      </c>
      <c r="S22">
        <v>96.248183999999995</v>
      </c>
      <c r="T22">
        <v>97.400749000000005</v>
      </c>
      <c r="U22">
        <v>98.520065000000002</v>
      </c>
      <c r="V22">
        <v>99.614029000000002</v>
      </c>
      <c r="W22">
        <v>100.677948</v>
      </c>
      <c r="X22">
        <v>101.719604</v>
      </c>
      <c r="Y22">
        <v>102.736504</v>
      </c>
      <c r="Z22">
        <v>103.740959</v>
      </c>
      <c r="AA22">
        <v>104.74514000000001</v>
      </c>
      <c r="AB22">
        <v>105.747086</v>
      </c>
      <c r="AC22">
        <v>106.748116</v>
      </c>
      <c r="AD22">
        <v>107.748085</v>
      </c>
      <c r="AE22">
        <v>108.747696</v>
      </c>
      <c r="AF22">
        <v>109.74496499999999</v>
      </c>
      <c r="AG22" s="122">
        <v>1.2E-2</v>
      </c>
    </row>
    <row r="23" spans="1:33" x14ac:dyDescent="0.25">
      <c r="A23" t="s">
        <v>192</v>
      </c>
      <c r="B23" t="s">
        <v>617</v>
      </c>
      <c r="C23" t="s">
        <v>616</v>
      </c>
      <c r="D23" t="s">
        <v>180</v>
      </c>
      <c r="F23">
        <v>43.140506999999999</v>
      </c>
      <c r="G23">
        <v>43.232368000000001</v>
      </c>
      <c r="H23">
        <v>43.345275999999998</v>
      </c>
      <c r="I23">
        <v>43.463279999999997</v>
      </c>
      <c r="J23">
        <v>43.586711999999999</v>
      </c>
      <c r="K23">
        <v>43.719509000000002</v>
      </c>
      <c r="L23">
        <v>43.854377999999997</v>
      </c>
      <c r="M23">
        <v>43.990794999999999</v>
      </c>
      <c r="N23">
        <v>44.124844000000003</v>
      </c>
      <c r="O23">
        <v>44.250751000000001</v>
      </c>
      <c r="P23">
        <v>44.367279000000003</v>
      </c>
      <c r="Q23">
        <v>44.480221</v>
      </c>
      <c r="R23">
        <v>44.589432000000002</v>
      </c>
      <c r="S23">
        <v>44.690407</v>
      </c>
      <c r="T23">
        <v>44.784587999999999</v>
      </c>
      <c r="U23">
        <v>44.872436999999998</v>
      </c>
      <c r="V23">
        <v>44.956017000000003</v>
      </c>
      <c r="W23">
        <v>45.033755999999997</v>
      </c>
      <c r="X23">
        <v>45.107017999999997</v>
      </c>
      <c r="Y23">
        <v>45.177340999999998</v>
      </c>
      <c r="Z23">
        <v>45.247604000000003</v>
      </c>
      <c r="AA23">
        <v>45.318492999999997</v>
      </c>
      <c r="AB23">
        <v>45.389637</v>
      </c>
      <c r="AC23">
        <v>45.461101999999997</v>
      </c>
      <c r="AD23">
        <v>45.532989999999998</v>
      </c>
      <c r="AE23">
        <v>45.605553</v>
      </c>
      <c r="AF23">
        <v>45.678272</v>
      </c>
      <c r="AG23" s="122">
        <v>2E-3</v>
      </c>
    </row>
    <row r="24" spans="1:33" x14ac:dyDescent="0.25">
      <c r="A24" t="s">
        <v>189</v>
      </c>
      <c r="B24" t="s">
        <v>615</v>
      </c>
      <c r="C24" t="s">
        <v>614</v>
      </c>
      <c r="D24" t="s">
        <v>180</v>
      </c>
      <c r="F24">
        <v>142.13201900000001</v>
      </c>
      <c r="G24">
        <v>143.83831799999999</v>
      </c>
      <c r="H24">
        <v>145.63118</v>
      </c>
      <c r="I24">
        <v>147.442261</v>
      </c>
      <c r="J24">
        <v>149.25747699999999</v>
      </c>
      <c r="K24">
        <v>151.10824600000001</v>
      </c>
      <c r="L24">
        <v>152.95901499999999</v>
      </c>
      <c r="M24">
        <v>154.812332</v>
      </c>
      <c r="N24">
        <v>156.651993</v>
      </c>
      <c r="O24">
        <v>158.44113200000001</v>
      </c>
      <c r="P24">
        <v>160.168015</v>
      </c>
      <c r="Q24">
        <v>161.873932</v>
      </c>
      <c r="R24">
        <v>163.55201700000001</v>
      </c>
      <c r="S24">
        <v>165.17678799999999</v>
      </c>
      <c r="T24">
        <v>166.75251800000001</v>
      </c>
      <c r="U24">
        <v>168.275543</v>
      </c>
      <c r="V24">
        <v>169.758835</v>
      </c>
      <c r="W24">
        <v>171.19387800000001</v>
      </c>
      <c r="X24">
        <v>172.59210200000001</v>
      </c>
      <c r="Y24">
        <v>173.951187</v>
      </c>
      <c r="Z24">
        <v>175.29153400000001</v>
      </c>
      <c r="AA24">
        <v>176.631134</v>
      </c>
      <c r="AB24">
        <v>177.96719400000001</v>
      </c>
      <c r="AC24">
        <v>179.30188000000001</v>
      </c>
      <c r="AD24">
        <v>180.63510099999999</v>
      </c>
      <c r="AE24">
        <v>181.96807899999999</v>
      </c>
      <c r="AF24">
        <v>183.29742400000001</v>
      </c>
      <c r="AG24" s="122">
        <v>0.01</v>
      </c>
    </row>
    <row r="25" spans="1:33" x14ac:dyDescent="0.25">
      <c r="A25" t="s">
        <v>193</v>
      </c>
    </row>
    <row r="26" spans="1:33" x14ac:dyDescent="0.25">
      <c r="A26" t="s">
        <v>194</v>
      </c>
      <c r="B26" t="s">
        <v>613</v>
      </c>
      <c r="C26" t="s">
        <v>612</v>
      </c>
      <c r="D26" t="s">
        <v>180</v>
      </c>
      <c r="F26">
        <v>62.064090999999998</v>
      </c>
      <c r="G26">
        <v>62.296463000000003</v>
      </c>
      <c r="H26">
        <v>62.600315000000002</v>
      </c>
      <c r="I26">
        <v>62.926879999999997</v>
      </c>
      <c r="J26">
        <v>63.228167999999997</v>
      </c>
      <c r="K26">
        <v>64.053841000000006</v>
      </c>
      <c r="L26">
        <v>64.829207999999994</v>
      </c>
      <c r="M26">
        <v>65.567513000000005</v>
      </c>
      <c r="N26">
        <v>66.280677999999995</v>
      </c>
      <c r="O26">
        <v>66.984313999999998</v>
      </c>
      <c r="P26">
        <v>67.653503000000001</v>
      </c>
      <c r="Q26">
        <v>68.314453</v>
      </c>
      <c r="R26">
        <v>68.978340000000003</v>
      </c>
      <c r="S26">
        <v>69.632026999999994</v>
      </c>
      <c r="T26">
        <v>70.273940999999994</v>
      </c>
      <c r="U26">
        <v>70.902107000000001</v>
      </c>
      <c r="V26">
        <v>71.522514000000001</v>
      </c>
      <c r="W26">
        <v>72.129929000000004</v>
      </c>
      <c r="X26">
        <v>72.728317000000004</v>
      </c>
      <c r="Y26">
        <v>73.317879000000005</v>
      </c>
      <c r="Z26">
        <v>73.899185000000003</v>
      </c>
      <c r="AA26">
        <v>74.478476999999998</v>
      </c>
      <c r="AB26">
        <v>75.054726000000002</v>
      </c>
      <c r="AC26">
        <v>75.626357999999996</v>
      </c>
      <c r="AD26">
        <v>76.193161000000003</v>
      </c>
      <c r="AE26">
        <v>76.757141000000004</v>
      </c>
      <c r="AF26">
        <v>77.316254000000001</v>
      </c>
      <c r="AG26" s="122">
        <v>8.0000000000000002E-3</v>
      </c>
    </row>
    <row r="27" spans="1:33" x14ac:dyDescent="0.25">
      <c r="A27" t="s">
        <v>195</v>
      </c>
      <c r="B27" t="s">
        <v>611</v>
      </c>
      <c r="C27" t="s">
        <v>610</v>
      </c>
      <c r="D27" t="s">
        <v>180</v>
      </c>
      <c r="F27">
        <v>64.896248</v>
      </c>
      <c r="G27">
        <v>65.896964999999994</v>
      </c>
      <c r="H27">
        <v>66.916297999999998</v>
      </c>
      <c r="I27">
        <v>67.939789000000005</v>
      </c>
      <c r="J27">
        <v>68.981887999999998</v>
      </c>
      <c r="K27">
        <v>69.718718999999993</v>
      </c>
      <c r="L27">
        <v>70.479590999999999</v>
      </c>
      <c r="M27">
        <v>71.256225999999998</v>
      </c>
      <c r="N27">
        <v>72.025870999999995</v>
      </c>
      <c r="O27">
        <v>72.786704999999998</v>
      </c>
      <c r="P27">
        <v>73.528267</v>
      </c>
      <c r="Q27">
        <v>74.274551000000002</v>
      </c>
      <c r="R27">
        <v>74.990111999999996</v>
      </c>
      <c r="S27">
        <v>75.663230999999996</v>
      </c>
      <c r="T27">
        <v>76.299582999999998</v>
      </c>
      <c r="U27">
        <v>76.895554000000004</v>
      </c>
      <c r="V27">
        <v>77.456969999999998</v>
      </c>
      <c r="W27">
        <v>77.980125000000001</v>
      </c>
      <c r="X27">
        <v>78.474029999999999</v>
      </c>
      <c r="Y27">
        <v>78.935935999999998</v>
      </c>
      <c r="Z27">
        <v>79.385979000000006</v>
      </c>
      <c r="AA27">
        <v>79.836296000000004</v>
      </c>
      <c r="AB27">
        <v>80.284760000000006</v>
      </c>
      <c r="AC27">
        <v>80.734145999999996</v>
      </c>
      <c r="AD27">
        <v>81.184737999999996</v>
      </c>
      <c r="AE27">
        <v>81.635727000000003</v>
      </c>
      <c r="AF27">
        <v>82.086112999999997</v>
      </c>
      <c r="AG27" s="122">
        <v>8.9999999999999993E-3</v>
      </c>
    </row>
    <row r="28" spans="1:33" x14ac:dyDescent="0.25">
      <c r="A28" t="s">
        <v>184</v>
      </c>
      <c r="B28" t="s">
        <v>609</v>
      </c>
      <c r="C28" t="s">
        <v>608</v>
      </c>
      <c r="D28" t="s">
        <v>180</v>
      </c>
      <c r="F28">
        <v>2.3288120000000001</v>
      </c>
      <c r="G28">
        <v>2.2297609999999999</v>
      </c>
      <c r="H28">
        <v>2.1372330000000002</v>
      </c>
      <c r="I28">
        <v>2.0504609999999999</v>
      </c>
      <c r="J28">
        <v>1.970477</v>
      </c>
      <c r="K28">
        <v>1.8960379999999999</v>
      </c>
      <c r="L28">
        <v>1.8306039999999999</v>
      </c>
      <c r="M28">
        <v>1.773455</v>
      </c>
      <c r="N28">
        <v>1.7249589999999999</v>
      </c>
      <c r="O28">
        <v>1.6851780000000001</v>
      </c>
      <c r="P28">
        <v>1.6544099999999999</v>
      </c>
      <c r="Q28">
        <v>1.632862</v>
      </c>
      <c r="R28">
        <v>1.6100810000000001</v>
      </c>
      <c r="S28">
        <v>1.586346</v>
      </c>
      <c r="T28">
        <v>1.561976</v>
      </c>
      <c r="U28">
        <v>1.537204</v>
      </c>
      <c r="V28">
        <v>1.5122819999999999</v>
      </c>
      <c r="W28">
        <v>1.4873860000000001</v>
      </c>
      <c r="X28">
        <v>1.4626790000000001</v>
      </c>
      <c r="Y28">
        <v>1.4382870000000001</v>
      </c>
      <c r="Z28">
        <v>1.4143269999999999</v>
      </c>
      <c r="AA28">
        <v>1.390946</v>
      </c>
      <c r="AB28">
        <v>1.368182</v>
      </c>
      <c r="AC28">
        <v>1.346109</v>
      </c>
      <c r="AD28">
        <v>1.3247599999999999</v>
      </c>
      <c r="AE28">
        <v>1.3041579999999999</v>
      </c>
      <c r="AF28">
        <v>1.284297</v>
      </c>
      <c r="AG28" s="122">
        <v>-2.3E-2</v>
      </c>
    </row>
    <row r="29" spans="1:33" x14ac:dyDescent="0.25">
      <c r="A29" t="s">
        <v>185</v>
      </c>
      <c r="B29" t="s">
        <v>607</v>
      </c>
      <c r="C29" t="s">
        <v>606</v>
      </c>
      <c r="D29" t="s">
        <v>180</v>
      </c>
      <c r="F29">
        <v>3.9946730000000001</v>
      </c>
      <c r="G29">
        <v>3.890314</v>
      </c>
      <c r="H29">
        <v>3.7962470000000001</v>
      </c>
      <c r="I29">
        <v>3.7080109999999999</v>
      </c>
      <c r="J29">
        <v>3.6263679999999998</v>
      </c>
      <c r="K29">
        <v>3.5316860000000001</v>
      </c>
      <c r="L29">
        <v>3.4475519999999999</v>
      </c>
      <c r="M29">
        <v>3.3742220000000001</v>
      </c>
      <c r="N29">
        <v>3.3114400000000002</v>
      </c>
      <c r="O29">
        <v>3.2595969999999999</v>
      </c>
      <c r="P29">
        <v>3.218467</v>
      </c>
      <c r="Q29">
        <v>3.1894399999999998</v>
      </c>
      <c r="R29">
        <v>3.1571709999999999</v>
      </c>
      <c r="S29">
        <v>3.1220840000000001</v>
      </c>
      <c r="T29">
        <v>3.0848930000000001</v>
      </c>
      <c r="U29">
        <v>3.04617</v>
      </c>
      <c r="V29">
        <v>3.0071240000000001</v>
      </c>
      <c r="W29">
        <v>2.9679280000000001</v>
      </c>
      <c r="X29">
        <v>2.9288409999999998</v>
      </c>
      <c r="Y29">
        <v>2.889926</v>
      </c>
      <c r="Z29">
        <v>2.8518140000000001</v>
      </c>
      <c r="AA29">
        <v>2.814927</v>
      </c>
      <c r="AB29">
        <v>2.7792430000000001</v>
      </c>
      <c r="AC29">
        <v>2.7452239999999999</v>
      </c>
      <c r="AD29">
        <v>2.7127650000000001</v>
      </c>
      <c r="AE29">
        <v>2.6819009999999999</v>
      </c>
      <c r="AF29">
        <v>2.6522920000000001</v>
      </c>
      <c r="AG29" s="122">
        <v>-1.6E-2</v>
      </c>
    </row>
    <row r="30" spans="1:33" x14ac:dyDescent="0.25">
      <c r="A30" t="s">
        <v>196</v>
      </c>
      <c r="B30" t="s">
        <v>605</v>
      </c>
      <c r="C30" t="s">
        <v>604</v>
      </c>
      <c r="D30" t="s">
        <v>180</v>
      </c>
      <c r="F30">
        <v>1.564945</v>
      </c>
      <c r="G30">
        <v>1.899681</v>
      </c>
      <c r="H30">
        <v>2.211646</v>
      </c>
      <c r="I30">
        <v>2.5019809999999998</v>
      </c>
      <c r="J30">
        <v>2.7914560000000002</v>
      </c>
      <c r="K30">
        <v>2.9067609999999999</v>
      </c>
      <c r="L30">
        <v>3.0289009999999998</v>
      </c>
      <c r="M30">
        <v>3.1553260000000001</v>
      </c>
      <c r="N30">
        <v>3.279312</v>
      </c>
      <c r="O30">
        <v>3.349281</v>
      </c>
      <c r="P30">
        <v>3.3885100000000001</v>
      </c>
      <c r="Q30">
        <v>3.3877120000000001</v>
      </c>
      <c r="R30">
        <v>3.389602</v>
      </c>
      <c r="S30">
        <v>3.3914620000000002</v>
      </c>
      <c r="T30">
        <v>3.3933059999999999</v>
      </c>
      <c r="U30">
        <v>3.395105</v>
      </c>
      <c r="V30">
        <v>3.3968569999999998</v>
      </c>
      <c r="W30">
        <v>3.398571</v>
      </c>
      <c r="X30">
        <v>3.4002330000000001</v>
      </c>
      <c r="Y30">
        <v>3.4018389999999998</v>
      </c>
      <c r="Z30">
        <v>3.4034949999999999</v>
      </c>
      <c r="AA30">
        <v>3.405192</v>
      </c>
      <c r="AB30">
        <v>3.40693</v>
      </c>
      <c r="AC30">
        <v>3.4087040000000002</v>
      </c>
      <c r="AD30">
        <v>3.410507</v>
      </c>
      <c r="AE30">
        <v>3.4123410000000001</v>
      </c>
      <c r="AF30">
        <v>3.4142049999999999</v>
      </c>
      <c r="AG30" s="122">
        <v>0.03</v>
      </c>
    </row>
    <row r="31" spans="1:33" x14ac:dyDescent="0.25">
      <c r="A31" t="s">
        <v>189</v>
      </c>
      <c r="B31" t="s">
        <v>603</v>
      </c>
      <c r="C31" t="s">
        <v>602</v>
      </c>
      <c r="D31" t="s">
        <v>180</v>
      </c>
      <c r="F31">
        <v>134.84877</v>
      </c>
      <c r="G31">
        <v>136.21318099999999</v>
      </c>
      <c r="H31">
        <v>137.661743</v>
      </c>
      <c r="I31">
        <v>139.12712099999999</v>
      </c>
      <c r="J31">
        <v>140.59835799999999</v>
      </c>
      <c r="K31">
        <v>142.107056</v>
      </c>
      <c r="L31">
        <v>143.61586</v>
      </c>
      <c r="M31">
        <v>145.126724</v>
      </c>
      <c r="N31">
        <v>146.62226899999999</v>
      </c>
      <c r="O31">
        <v>148.065079</v>
      </c>
      <c r="P31">
        <v>149.44313</v>
      </c>
      <c r="Q31">
        <v>150.79901100000001</v>
      </c>
      <c r="R31">
        <v>152.12529000000001</v>
      </c>
      <c r="S31">
        <v>153.39515700000001</v>
      </c>
      <c r="T31">
        <v>154.613708</v>
      </c>
      <c r="U31">
        <v>155.77615399999999</v>
      </c>
      <c r="V31">
        <v>156.89575199999999</v>
      </c>
      <c r="W31">
        <v>157.96392800000001</v>
      </c>
      <c r="X31">
        <v>158.99411000000001</v>
      </c>
      <c r="Y31">
        <v>159.98387099999999</v>
      </c>
      <c r="Z31">
        <v>160.95477299999999</v>
      </c>
      <c r="AA31">
        <v>161.92584199999999</v>
      </c>
      <c r="AB31">
        <v>162.893845</v>
      </c>
      <c r="AC31">
        <v>163.86054999999999</v>
      </c>
      <c r="AD31">
        <v>164.825928</v>
      </c>
      <c r="AE31">
        <v>165.79125999999999</v>
      </c>
      <c r="AF31">
        <v>166.753174</v>
      </c>
      <c r="AG31" s="122">
        <v>8.0000000000000002E-3</v>
      </c>
    </row>
    <row r="32" spans="1:33" x14ac:dyDescent="0.25">
      <c r="A32" t="s">
        <v>197</v>
      </c>
    </row>
    <row r="33" spans="1:33" x14ac:dyDescent="0.25">
      <c r="A33" t="s">
        <v>194</v>
      </c>
      <c r="B33" t="s">
        <v>601</v>
      </c>
      <c r="C33" t="s">
        <v>600</v>
      </c>
      <c r="D33" t="s">
        <v>180</v>
      </c>
      <c r="F33">
        <v>100.278122</v>
      </c>
      <c r="G33">
        <v>101.102592</v>
      </c>
      <c r="H33">
        <v>101.98053</v>
      </c>
      <c r="I33">
        <v>102.86320499999999</v>
      </c>
      <c r="J33">
        <v>103.745369</v>
      </c>
      <c r="K33">
        <v>104.65044399999999</v>
      </c>
      <c r="L33">
        <v>105.550758</v>
      </c>
      <c r="M33">
        <v>106.44516</v>
      </c>
      <c r="N33">
        <v>107.318939</v>
      </c>
      <c r="O33">
        <v>108.14340199999999</v>
      </c>
      <c r="P33">
        <v>108.88472</v>
      </c>
      <c r="Q33">
        <v>109.571144</v>
      </c>
      <c r="R33">
        <v>110.186699</v>
      </c>
      <c r="S33">
        <v>110.704346</v>
      </c>
      <c r="T33">
        <v>111.208107</v>
      </c>
      <c r="U33">
        <v>111.71865099999999</v>
      </c>
      <c r="V33">
        <v>112.249855</v>
      </c>
      <c r="W33">
        <v>112.808708</v>
      </c>
      <c r="X33">
        <v>113.413826</v>
      </c>
      <c r="Y33">
        <v>113.983414</v>
      </c>
      <c r="Z33">
        <v>114.533653</v>
      </c>
      <c r="AA33">
        <v>115.07654599999999</v>
      </c>
      <c r="AB33">
        <v>115.60882599999999</v>
      </c>
      <c r="AC33">
        <v>116.130173</v>
      </c>
      <c r="AD33">
        <v>116.639099</v>
      </c>
      <c r="AE33">
        <v>117.134621</v>
      </c>
      <c r="AF33">
        <v>117.61185500000001</v>
      </c>
      <c r="AG33" s="122">
        <v>6.0000000000000001E-3</v>
      </c>
    </row>
    <row r="34" spans="1:33" x14ac:dyDescent="0.25">
      <c r="A34" t="s">
        <v>195</v>
      </c>
      <c r="B34" t="s">
        <v>599</v>
      </c>
      <c r="C34" t="s">
        <v>598</v>
      </c>
      <c r="D34" t="s">
        <v>180</v>
      </c>
      <c r="F34">
        <v>53.972369999999998</v>
      </c>
      <c r="G34">
        <v>54.503726999999998</v>
      </c>
      <c r="H34">
        <v>55.061763999999997</v>
      </c>
      <c r="I34">
        <v>55.632815999999998</v>
      </c>
      <c r="J34">
        <v>56.213551000000002</v>
      </c>
      <c r="K34">
        <v>56.809649999999998</v>
      </c>
      <c r="L34">
        <v>57.412582</v>
      </c>
      <c r="M34">
        <v>58.024859999999997</v>
      </c>
      <c r="N34">
        <v>58.644409000000003</v>
      </c>
      <c r="O34">
        <v>59.262939000000003</v>
      </c>
      <c r="P34">
        <v>59.903132999999997</v>
      </c>
      <c r="Q34">
        <v>60.579704</v>
      </c>
      <c r="R34">
        <v>61.301079000000001</v>
      </c>
      <c r="S34">
        <v>62.067855999999999</v>
      </c>
      <c r="T34">
        <v>62.795506000000003</v>
      </c>
      <c r="U34">
        <v>63.458030999999998</v>
      </c>
      <c r="V34">
        <v>64.053505000000001</v>
      </c>
      <c r="W34">
        <v>64.565849</v>
      </c>
      <c r="X34">
        <v>64.989624000000006</v>
      </c>
      <c r="Y34">
        <v>65.410422999999994</v>
      </c>
      <c r="Z34">
        <v>65.833290000000005</v>
      </c>
      <c r="AA34">
        <v>66.264915000000002</v>
      </c>
      <c r="AB34">
        <v>66.705817999999994</v>
      </c>
      <c r="AC34">
        <v>67.157866999999996</v>
      </c>
      <c r="AD34">
        <v>67.622642999999997</v>
      </c>
      <c r="AE34">
        <v>68.102385999999996</v>
      </c>
      <c r="AF34">
        <v>68.598465000000004</v>
      </c>
      <c r="AG34" s="122">
        <v>8.9999999999999993E-3</v>
      </c>
    </row>
    <row r="35" spans="1:33" x14ac:dyDescent="0.25">
      <c r="A35" t="s">
        <v>185</v>
      </c>
      <c r="B35" t="s">
        <v>597</v>
      </c>
      <c r="C35" t="s">
        <v>596</v>
      </c>
      <c r="D35" t="s">
        <v>180</v>
      </c>
      <c r="F35">
        <v>6.2497920000000002</v>
      </c>
      <c r="G35">
        <v>6.2491399999999997</v>
      </c>
      <c r="H35">
        <v>6.2527059999999999</v>
      </c>
      <c r="I35">
        <v>6.2554980000000002</v>
      </c>
      <c r="J35">
        <v>6.2551610000000002</v>
      </c>
      <c r="K35">
        <v>6.2540430000000002</v>
      </c>
      <c r="L35">
        <v>6.2512809999999996</v>
      </c>
      <c r="M35">
        <v>6.2471810000000003</v>
      </c>
      <c r="N35">
        <v>6.2412419999999997</v>
      </c>
      <c r="O35">
        <v>6.2331770000000004</v>
      </c>
      <c r="P35">
        <v>6.2218739999999997</v>
      </c>
      <c r="Q35">
        <v>6.2071079999999998</v>
      </c>
      <c r="R35">
        <v>6.1889000000000003</v>
      </c>
      <c r="S35">
        <v>6.166887</v>
      </c>
      <c r="T35">
        <v>6.1467599999999996</v>
      </c>
      <c r="U35">
        <v>6.1289179999999996</v>
      </c>
      <c r="V35">
        <v>6.1148509999999998</v>
      </c>
      <c r="W35">
        <v>6.1049769999999999</v>
      </c>
      <c r="X35">
        <v>6.099405</v>
      </c>
      <c r="Y35">
        <v>6.0921519999999996</v>
      </c>
      <c r="Z35">
        <v>6.0834679999999999</v>
      </c>
      <c r="AA35">
        <v>6.0735400000000004</v>
      </c>
      <c r="AB35">
        <v>6.0620159999999998</v>
      </c>
      <c r="AC35">
        <v>6.049131</v>
      </c>
      <c r="AD35">
        <v>6.0346979999999997</v>
      </c>
      <c r="AE35">
        <v>6.0188639999999998</v>
      </c>
      <c r="AF35">
        <v>6.0015609999999997</v>
      </c>
      <c r="AG35" s="122">
        <v>-2E-3</v>
      </c>
    </row>
    <row r="36" spans="1:33" x14ac:dyDescent="0.25">
      <c r="A36" t="s">
        <v>189</v>
      </c>
      <c r="B36" t="s">
        <v>595</v>
      </c>
      <c r="C36" t="s">
        <v>594</v>
      </c>
      <c r="D36" t="s">
        <v>180</v>
      </c>
      <c r="F36">
        <v>160.50027499999999</v>
      </c>
      <c r="G36">
        <v>161.855469</v>
      </c>
      <c r="H36">
        <v>163.29499799999999</v>
      </c>
      <c r="I36">
        <v>164.75151099999999</v>
      </c>
      <c r="J36">
        <v>166.21408099999999</v>
      </c>
      <c r="K36">
        <v>167.71414200000001</v>
      </c>
      <c r="L36">
        <v>169.21463</v>
      </c>
      <c r="M36">
        <v>170.71719400000001</v>
      </c>
      <c r="N36">
        <v>172.20459</v>
      </c>
      <c r="O36">
        <v>173.63952599999999</v>
      </c>
      <c r="P36">
        <v>175.00973500000001</v>
      </c>
      <c r="Q36">
        <v>176.357956</v>
      </c>
      <c r="R36">
        <v>177.676682</v>
      </c>
      <c r="S36">
        <v>178.939087</v>
      </c>
      <c r="T36">
        <v>180.150375</v>
      </c>
      <c r="U36">
        <v>181.30560299999999</v>
      </c>
      <c r="V36">
        <v>182.41821300000001</v>
      </c>
      <c r="W36">
        <v>183.47953799999999</v>
      </c>
      <c r="X36">
        <v>184.50285299999999</v>
      </c>
      <c r="Y36">
        <v>185.48597699999999</v>
      </c>
      <c r="Z36">
        <v>186.45040900000001</v>
      </c>
      <c r="AA36">
        <v>187.415009</v>
      </c>
      <c r="AB36">
        <v>188.37664799999999</v>
      </c>
      <c r="AC36">
        <v>189.33717300000001</v>
      </c>
      <c r="AD36">
        <v>190.296448</v>
      </c>
      <c r="AE36">
        <v>191.25585899999999</v>
      </c>
      <c r="AF36">
        <v>192.211884</v>
      </c>
      <c r="AG36" s="122">
        <v>7.0000000000000001E-3</v>
      </c>
    </row>
    <row r="37" spans="1:33" x14ac:dyDescent="0.25">
      <c r="A37" t="s">
        <v>198</v>
      </c>
    </row>
    <row r="38" spans="1:33" x14ac:dyDescent="0.25">
      <c r="A38" t="s">
        <v>194</v>
      </c>
      <c r="B38" t="s">
        <v>593</v>
      </c>
      <c r="C38" t="s">
        <v>592</v>
      </c>
      <c r="D38" t="s">
        <v>180</v>
      </c>
      <c r="F38">
        <v>92.221107000000003</v>
      </c>
      <c r="G38">
        <v>94.908974000000001</v>
      </c>
      <c r="H38">
        <v>97.661568000000003</v>
      </c>
      <c r="I38">
        <v>100.444298</v>
      </c>
      <c r="J38">
        <v>103.246483</v>
      </c>
      <c r="K38">
        <v>106.05999</v>
      </c>
      <c r="L38">
        <v>108.873177</v>
      </c>
      <c r="M38">
        <v>111.66229199999999</v>
      </c>
      <c r="N38">
        <v>114.413849</v>
      </c>
      <c r="O38">
        <v>117.12387099999999</v>
      </c>
      <c r="P38">
        <v>119.780914</v>
      </c>
      <c r="Q38">
        <v>122.4272</v>
      </c>
      <c r="R38">
        <v>125.052719</v>
      </c>
      <c r="S38">
        <v>127.63446</v>
      </c>
      <c r="T38">
        <v>130.176163</v>
      </c>
      <c r="U38">
        <v>132.67475899999999</v>
      </c>
      <c r="V38">
        <v>135.14604199999999</v>
      </c>
      <c r="W38">
        <v>137.59196499999999</v>
      </c>
      <c r="X38">
        <v>139.98710600000001</v>
      </c>
      <c r="Y38">
        <v>142.33012400000001</v>
      </c>
      <c r="Z38">
        <v>144.64094499999999</v>
      </c>
      <c r="AA38">
        <v>146.94053600000001</v>
      </c>
      <c r="AB38">
        <v>149.23036200000001</v>
      </c>
      <c r="AC38">
        <v>151.51019299999999</v>
      </c>
      <c r="AD38">
        <v>153.78225699999999</v>
      </c>
      <c r="AE38">
        <v>156.04994199999999</v>
      </c>
      <c r="AF38">
        <v>158.30891399999999</v>
      </c>
      <c r="AG38" s="122">
        <v>2.1000000000000001E-2</v>
      </c>
    </row>
    <row r="39" spans="1:33" x14ac:dyDescent="0.25">
      <c r="A39" t="s">
        <v>195</v>
      </c>
      <c r="B39" t="s">
        <v>591</v>
      </c>
      <c r="C39" t="s">
        <v>590</v>
      </c>
      <c r="D39" t="s">
        <v>180</v>
      </c>
      <c r="F39">
        <v>20.353802000000002</v>
      </c>
      <c r="G39">
        <v>20.727464999999999</v>
      </c>
      <c r="H39">
        <v>21.108975999999998</v>
      </c>
      <c r="I39">
        <v>21.498467999999999</v>
      </c>
      <c r="J39">
        <v>21.905369</v>
      </c>
      <c r="K39">
        <v>22.331651999999998</v>
      </c>
      <c r="L39">
        <v>22.776668999999998</v>
      </c>
      <c r="M39">
        <v>23.246670000000002</v>
      </c>
      <c r="N39">
        <v>23.740404000000002</v>
      </c>
      <c r="O39">
        <v>24.225313</v>
      </c>
      <c r="P39">
        <v>24.699818</v>
      </c>
      <c r="Q39">
        <v>25.166246000000001</v>
      </c>
      <c r="R39">
        <v>25.623446000000001</v>
      </c>
      <c r="S39">
        <v>26.068548</v>
      </c>
      <c r="T39">
        <v>26.501984</v>
      </c>
      <c r="U39">
        <v>26.919896999999999</v>
      </c>
      <c r="V39">
        <v>27.319825999999999</v>
      </c>
      <c r="W39">
        <v>27.699757000000002</v>
      </c>
      <c r="X39">
        <v>28.090371999999999</v>
      </c>
      <c r="Y39">
        <v>28.489045999999998</v>
      </c>
      <c r="Z39">
        <v>28.897078</v>
      </c>
      <c r="AA39">
        <v>29.315380000000001</v>
      </c>
      <c r="AB39">
        <v>29.741956999999999</v>
      </c>
      <c r="AC39">
        <v>30.175975999999999</v>
      </c>
      <c r="AD39">
        <v>30.615866</v>
      </c>
      <c r="AE39">
        <v>31.060276000000002</v>
      </c>
      <c r="AF39">
        <v>31.508205</v>
      </c>
      <c r="AG39" s="122">
        <v>1.7000000000000001E-2</v>
      </c>
    </row>
    <row r="40" spans="1:33" x14ac:dyDescent="0.25">
      <c r="A40" t="s">
        <v>189</v>
      </c>
      <c r="B40" t="s">
        <v>589</v>
      </c>
      <c r="C40" t="s">
        <v>588</v>
      </c>
      <c r="D40" t="s">
        <v>180</v>
      </c>
      <c r="F40">
        <v>112.574905</v>
      </c>
      <c r="G40">
        <v>115.636436</v>
      </c>
      <c r="H40">
        <v>118.770546</v>
      </c>
      <c r="I40">
        <v>121.942764</v>
      </c>
      <c r="J40">
        <v>125.151855</v>
      </c>
      <c r="K40">
        <v>128.39164700000001</v>
      </c>
      <c r="L40">
        <v>131.64984100000001</v>
      </c>
      <c r="M40">
        <v>134.90896599999999</v>
      </c>
      <c r="N40">
        <v>138.15425099999999</v>
      </c>
      <c r="O40">
        <v>141.34918200000001</v>
      </c>
      <c r="P40">
        <v>144.480728</v>
      </c>
      <c r="Q40">
        <v>147.593445</v>
      </c>
      <c r="R40">
        <v>150.676163</v>
      </c>
      <c r="S40">
        <v>153.703003</v>
      </c>
      <c r="T40">
        <v>156.678146</v>
      </c>
      <c r="U40">
        <v>159.59465</v>
      </c>
      <c r="V40">
        <v>162.46586600000001</v>
      </c>
      <c r="W40">
        <v>165.291718</v>
      </c>
      <c r="X40">
        <v>168.077484</v>
      </c>
      <c r="Y40">
        <v>170.81916799999999</v>
      </c>
      <c r="Z40">
        <v>173.538025</v>
      </c>
      <c r="AA40">
        <v>176.25592</v>
      </c>
      <c r="AB40">
        <v>178.97232099999999</v>
      </c>
      <c r="AC40">
        <v>181.686172</v>
      </c>
      <c r="AD40">
        <v>184.39811700000001</v>
      </c>
      <c r="AE40">
        <v>187.11021400000001</v>
      </c>
      <c r="AF40">
        <v>189.81712300000001</v>
      </c>
      <c r="AG40" s="122">
        <v>0.02</v>
      </c>
    </row>
    <row r="41" spans="1:33" x14ac:dyDescent="0.25">
      <c r="A41" t="s">
        <v>199</v>
      </c>
    </row>
    <row r="42" spans="1:33" x14ac:dyDescent="0.25">
      <c r="A42" t="s">
        <v>200</v>
      </c>
      <c r="B42" t="s">
        <v>587</v>
      </c>
      <c r="C42" t="s">
        <v>586</v>
      </c>
      <c r="D42" t="s">
        <v>180</v>
      </c>
      <c r="F42">
        <v>185.51213100000001</v>
      </c>
      <c r="G42">
        <v>187.57015999999999</v>
      </c>
      <c r="H42">
        <v>189.72297699999999</v>
      </c>
      <c r="I42">
        <v>191.892639</v>
      </c>
      <c r="J42">
        <v>194.05687</v>
      </c>
      <c r="K42">
        <v>196.26173399999999</v>
      </c>
      <c r="L42">
        <v>198.461578</v>
      </c>
      <c r="M42">
        <v>200.66261299999999</v>
      </c>
      <c r="N42">
        <v>202.84565699999999</v>
      </c>
      <c r="O42">
        <v>204.960297</v>
      </c>
      <c r="P42">
        <v>206.98817399999999</v>
      </c>
      <c r="Q42">
        <v>208.988495</v>
      </c>
      <c r="R42">
        <v>210.94859299999999</v>
      </c>
      <c r="S42">
        <v>212.83372499999999</v>
      </c>
      <c r="T42">
        <v>214.64849899999999</v>
      </c>
      <c r="U42">
        <v>216.38301100000001</v>
      </c>
      <c r="V42">
        <v>218.05542</v>
      </c>
      <c r="W42">
        <v>219.65475499999999</v>
      </c>
      <c r="X42">
        <v>221.20091199999999</v>
      </c>
      <c r="Y42">
        <v>222.68464700000001</v>
      </c>
      <c r="Z42">
        <v>224.13630699999999</v>
      </c>
      <c r="AA42">
        <v>225.58776900000001</v>
      </c>
      <c r="AB42">
        <v>227.03428600000001</v>
      </c>
      <c r="AC42">
        <v>228.47901899999999</v>
      </c>
      <c r="AD42">
        <v>229.92160000000001</v>
      </c>
      <c r="AE42">
        <v>231.36346399999999</v>
      </c>
      <c r="AF42">
        <v>232.79994199999999</v>
      </c>
      <c r="AG42" s="122">
        <v>8.9999999999999993E-3</v>
      </c>
    </row>
    <row r="43" spans="1:33" x14ac:dyDescent="0.25">
      <c r="A43" t="s">
        <v>201</v>
      </c>
      <c r="B43" t="s">
        <v>585</v>
      </c>
      <c r="C43" t="s">
        <v>584</v>
      </c>
      <c r="D43" t="s">
        <v>180</v>
      </c>
      <c r="F43">
        <v>48.421523999999998</v>
      </c>
      <c r="G43">
        <v>48.897556000000002</v>
      </c>
      <c r="H43">
        <v>49.389957000000003</v>
      </c>
      <c r="I43">
        <v>49.883246999999997</v>
      </c>
      <c r="J43">
        <v>50.367457999999999</v>
      </c>
      <c r="K43">
        <v>50.854793999999998</v>
      </c>
      <c r="L43">
        <v>51.338000999999998</v>
      </c>
      <c r="M43">
        <v>51.821067999999997</v>
      </c>
      <c r="N43">
        <v>52.302494000000003</v>
      </c>
      <c r="O43">
        <v>52.772449000000002</v>
      </c>
      <c r="P43">
        <v>53.225802999999999</v>
      </c>
      <c r="Q43">
        <v>53.674511000000003</v>
      </c>
      <c r="R43">
        <v>54.115622999999999</v>
      </c>
      <c r="S43">
        <v>54.542957000000001</v>
      </c>
      <c r="T43">
        <v>54.956287000000003</v>
      </c>
      <c r="U43">
        <v>55.352367000000001</v>
      </c>
      <c r="V43">
        <v>55.735515999999997</v>
      </c>
      <c r="W43">
        <v>56.103614999999998</v>
      </c>
      <c r="X43">
        <v>56.460856999999997</v>
      </c>
      <c r="Y43">
        <v>56.802979000000001</v>
      </c>
      <c r="Z43">
        <v>57.136333</v>
      </c>
      <c r="AA43">
        <v>57.469645999999997</v>
      </c>
      <c r="AB43">
        <v>57.801506000000003</v>
      </c>
      <c r="AC43">
        <v>58.133105999999998</v>
      </c>
      <c r="AD43">
        <v>58.464126999999998</v>
      </c>
      <c r="AE43">
        <v>58.794894999999997</v>
      </c>
      <c r="AF43">
        <v>59.124156999999997</v>
      </c>
      <c r="AG43" s="122">
        <v>8.0000000000000002E-3</v>
      </c>
    </row>
    <row r="44" spans="1:33" x14ac:dyDescent="0.25">
      <c r="A44" t="s">
        <v>20</v>
      </c>
    </row>
    <row r="45" spans="1:33" x14ac:dyDescent="0.25">
      <c r="A45" t="s">
        <v>178</v>
      </c>
    </row>
    <row r="46" spans="1:33" x14ac:dyDescent="0.25">
      <c r="A46" t="s">
        <v>202</v>
      </c>
      <c r="B46" t="s">
        <v>583</v>
      </c>
      <c r="C46" t="s">
        <v>582</v>
      </c>
      <c r="D46" t="s">
        <v>203</v>
      </c>
      <c r="F46">
        <v>8.3015749999999997</v>
      </c>
      <c r="G46">
        <v>8.4117829999999998</v>
      </c>
      <c r="H46">
        <v>8.5242609999999992</v>
      </c>
      <c r="I46">
        <v>8.6396730000000002</v>
      </c>
      <c r="J46">
        <v>8.7591149999999995</v>
      </c>
      <c r="K46">
        <v>8.8707279999999997</v>
      </c>
      <c r="L46">
        <v>8.974126</v>
      </c>
      <c r="M46">
        <v>9.0690150000000003</v>
      </c>
      <c r="N46">
        <v>9.1557250000000003</v>
      </c>
      <c r="O46">
        <v>9.2265060000000005</v>
      </c>
      <c r="P46">
        <v>9.2895909999999997</v>
      </c>
      <c r="Q46">
        <v>9.3448089999999997</v>
      </c>
      <c r="R46">
        <v>9.3924570000000003</v>
      </c>
      <c r="S46">
        <v>9.4328009999999995</v>
      </c>
      <c r="T46">
        <v>9.4657739999999997</v>
      </c>
      <c r="U46">
        <v>9.4915289999999999</v>
      </c>
      <c r="V46">
        <v>9.5116619999999994</v>
      </c>
      <c r="W46">
        <v>9.5233550000000005</v>
      </c>
      <c r="X46">
        <v>9.5257579999999997</v>
      </c>
      <c r="Y46">
        <v>9.5284410000000008</v>
      </c>
      <c r="Z46">
        <v>9.5312710000000003</v>
      </c>
      <c r="AA46">
        <v>9.5340980000000002</v>
      </c>
      <c r="AB46">
        <v>9.5369150000000005</v>
      </c>
      <c r="AC46">
        <v>9.5396990000000006</v>
      </c>
      <c r="AD46">
        <v>9.5424229999999994</v>
      </c>
      <c r="AE46">
        <v>9.5450660000000003</v>
      </c>
      <c r="AF46">
        <v>9.5476329999999994</v>
      </c>
      <c r="AG46" s="122">
        <v>5.0000000000000001E-3</v>
      </c>
    </row>
    <row r="47" spans="1:33" x14ac:dyDescent="0.25">
      <c r="A47" t="s">
        <v>204</v>
      </c>
      <c r="B47" t="s">
        <v>581</v>
      </c>
      <c r="C47" t="s">
        <v>580</v>
      </c>
      <c r="D47" t="s">
        <v>205</v>
      </c>
      <c r="F47">
        <v>1.3</v>
      </c>
      <c r="G47">
        <v>1.3</v>
      </c>
      <c r="H47">
        <v>1.3</v>
      </c>
      <c r="I47">
        <v>1.3</v>
      </c>
      <c r="J47">
        <v>1.3</v>
      </c>
      <c r="K47">
        <v>1.3</v>
      </c>
      <c r="L47">
        <v>1.3</v>
      </c>
      <c r="M47">
        <v>1.3</v>
      </c>
      <c r="N47">
        <v>1.3</v>
      </c>
      <c r="O47">
        <v>1.3</v>
      </c>
      <c r="P47">
        <v>1.3</v>
      </c>
      <c r="Q47">
        <v>1.3</v>
      </c>
      <c r="R47">
        <v>1.3</v>
      </c>
      <c r="S47">
        <v>1.3</v>
      </c>
      <c r="T47">
        <v>1.3</v>
      </c>
      <c r="U47">
        <v>1.3</v>
      </c>
      <c r="V47">
        <v>1.3</v>
      </c>
      <c r="W47">
        <v>1.3</v>
      </c>
      <c r="X47">
        <v>1.3</v>
      </c>
      <c r="Y47">
        <v>1.3</v>
      </c>
      <c r="Z47">
        <v>1.3</v>
      </c>
      <c r="AA47">
        <v>1.3</v>
      </c>
      <c r="AB47">
        <v>1.3</v>
      </c>
      <c r="AC47">
        <v>1.3</v>
      </c>
      <c r="AD47">
        <v>1.3</v>
      </c>
      <c r="AE47">
        <v>1.3</v>
      </c>
      <c r="AF47">
        <v>1.3</v>
      </c>
      <c r="AG47" s="122">
        <v>0</v>
      </c>
    </row>
    <row r="48" spans="1:33" x14ac:dyDescent="0.25">
      <c r="A48" t="s">
        <v>206</v>
      </c>
      <c r="B48" t="s">
        <v>579</v>
      </c>
      <c r="C48" t="s">
        <v>578</v>
      </c>
      <c r="D48" t="s">
        <v>207</v>
      </c>
      <c r="F48">
        <v>3.1980179999999998</v>
      </c>
      <c r="G48">
        <v>3.2298360000000002</v>
      </c>
      <c r="H48">
        <v>3.2606570000000001</v>
      </c>
      <c r="I48">
        <v>3.2903829999999998</v>
      </c>
      <c r="J48">
        <v>3.3189289999999998</v>
      </c>
      <c r="K48">
        <v>3.3464049999999999</v>
      </c>
      <c r="L48">
        <v>3.3728039999999999</v>
      </c>
      <c r="M48">
        <v>3.3982709999999998</v>
      </c>
      <c r="N48">
        <v>3.4217919999999999</v>
      </c>
      <c r="O48">
        <v>3.4418000000000002</v>
      </c>
      <c r="P48">
        <v>3.4592320000000001</v>
      </c>
      <c r="Q48">
        <v>3.469077</v>
      </c>
      <c r="R48">
        <v>3.477528</v>
      </c>
      <c r="S48">
        <v>3.485055</v>
      </c>
      <c r="T48">
        <v>3.4917150000000001</v>
      </c>
      <c r="U48">
        <v>3.4976020000000001</v>
      </c>
      <c r="V48">
        <v>3.5028269999999999</v>
      </c>
      <c r="W48">
        <v>3.5072960000000002</v>
      </c>
      <c r="X48">
        <v>3.5110809999999999</v>
      </c>
      <c r="Y48">
        <v>3.5141840000000002</v>
      </c>
      <c r="Z48">
        <v>3.5166650000000002</v>
      </c>
      <c r="AA48">
        <v>3.5184199999999999</v>
      </c>
      <c r="AB48">
        <v>3.5196239999999999</v>
      </c>
      <c r="AC48">
        <v>3.5202610000000001</v>
      </c>
      <c r="AD48">
        <v>3.5203120000000001</v>
      </c>
      <c r="AE48">
        <v>3.5199310000000001</v>
      </c>
      <c r="AF48">
        <v>3.519072</v>
      </c>
      <c r="AG48" s="122">
        <v>4.0000000000000001E-3</v>
      </c>
    </row>
    <row r="49" spans="1:33" x14ac:dyDescent="0.25">
      <c r="A49" t="s">
        <v>208</v>
      </c>
      <c r="B49" t="s">
        <v>577</v>
      </c>
      <c r="C49" t="s">
        <v>576</v>
      </c>
      <c r="D49" t="s">
        <v>209</v>
      </c>
      <c r="F49">
        <v>0.81869000000000003</v>
      </c>
      <c r="G49">
        <v>0.82376499999999997</v>
      </c>
      <c r="H49">
        <v>0.82883799999999996</v>
      </c>
      <c r="I49">
        <v>0.83387900000000004</v>
      </c>
      <c r="J49">
        <v>0.83890600000000004</v>
      </c>
      <c r="K49">
        <v>0.84789700000000001</v>
      </c>
      <c r="L49">
        <v>0.85755800000000004</v>
      </c>
      <c r="M49">
        <v>0.86722600000000005</v>
      </c>
      <c r="N49">
        <v>0.87631700000000001</v>
      </c>
      <c r="O49">
        <v>0.88464299999999996</v>
      </c>
      <c r="P49">
        <v>0.89239999999999997</v>
      </c>
      <c r="Q49">
        <v>0.89957799999999999</v>
      </c>
      <c r="R49">
        <v>0.90626099999999998</v>
      </c>
      <c r="S49">
        <v>0.91242199999999996</v>
      </c>
      <c r="T49">
        <v>0.91810099999999994</v>
      </c>
      <c r="U49">
        <v>0.92328900000000003</v>
      </c>
      <c r="V49">
        <v>0.92801299999999998</v>
      </c>
      <c r="W49">
        <v>0.93226600000000004</v>
      </c>
      <c r="X49">
        <v>0.93608599999999997</v>
      </c>
      <c r="Y49">
        <v>0.939438</v>
      </c>
      <c r="Z49">
        <v>0.94230899999999995</v>
      </c>
      <c r="AA49">
        <v>0.944658</v>
      </c>
      <c r="AB49">
        <v>0.94646699999999995</v>
      </c>
      <c r="AC49">
        <v>0.948268</v>
      </c>
      <c r="AD49">
        <v>0.95002399999999998</v>
      </c>
      <c r="AE49">
        <v>0.95170399999999999</v>
      </c>
      <c r="AF49">
        <v>0.95327700000000004</v>
      </c>
      <c r="AG49" s="122">
        <v>6.0000000000000001E-3</v>
      </c>
    </row>
    <row r="50" spans="1:33" x14ac:dyDescent="0.25">
      <c r="A50" t="s">
        <v>210</v>
      </c>
      <c r="B50" t="s">
        <v>575</v>
      </c>
      <c r="C50" t="s">
        <v>574</v>
      </c>
      <c r="D50" t="s">
        <v>209</v>
      </c>
      <c r="F50">
        <v>0.83582100000000004</v>
      </c>
      <c r="G50">
        <v>0.83736999999999995</v>
      </c>
      <c r="H50">
        <v>0.83893399999999996</v>
      </c>
      <c r="I50">
        <v>0.84047899999999998</v>
      </c>
      <c r="J50">
        <v>0.84198799999999996</v>
      </c>
      <c r="K50">
        <v>0.84346500000000002</v>
      </c>
      <c r="L50">
        <v>0.84493399999999996</v>
      </c>
      <c r="M50">
        <v>0.84641200000000005</v>
      </c>
      <c r="N50">
        <v>0.84782100000000005</v>
      </c>
      <c r="O50">
        <v>0.84907299999999997</v>
      </c>
      <c r="P50">
        <v>0.85023499999999996</v>
      </c>
      <c r="Q50">
        <v>0.85128599999999999</v>
      </c>
      <c r="R50">
        <v>0.85225200000000001</v>
      </c>
      <c r="S50">
        <v>0.85311000000000003</v>
      </c>
      <c r="T50">
        <v>0.85387800000000003</v>
      </c>
      <c r="U50">
        <v>0.85455499999999995</v>
      </c>
      <c r="V50">
        <v>0.85513799999999995</v>
      </c>
      <c r="W50">
        <v>0.85562499999999997</v>
      </c>
      <c r="X50">
        <v>0.85601799999999995</v>
      </c>
      <c r="Y50">
        <v>0.85631400000000002</v>
      </c>
      <c r="Z50">
        <v>0.85650599999999999</v>
      </c>
      <c r="AA50">
        <v>0.85658599999999996</v>
      </c>
      <c r="AB50">
        <v>0.856572</v>
      </c>
      <c r="AC50">
        <v>0.85655800000000004</v>
      </c>
      <c r="AD50">
        <v>0.856545</v>
      </c>
      <c r="AE50">
        <v>0.85653199999999996</v>
      </c>
      <c r="AF50">
        <v>0.85651900000000003</v>
      </c>
      <c r="AG50" s="122">
        <v>1E-3</v>
      </c>
    </row>
    <row r="51" spans="1:33" x14ac:dyDescent="0.25">
      <c r="A51" t="s">
        <v>211</v>
      </c>
    </row>
    <row r="52" spans="1:33" x14ac:dyDescent="0.25">
      <c r="A52" t="s">
        <v>212</v>
      </c>
      <c r="B52" t="s">
        <v>573</v>
      </c>
      <c r="C52" t="s">
        <v>572</v>
      </c>
      <c r="D52" t="s">
        <v>213</v>
      </c>
      <c r="F52">
        <v>13.990335</v>
      </c>
      <c r="G52">
        <v>14.225822000000001</v>
      </c>
      <c r="H52">
        <v>14.465521000000001</v>
      </c>
      <c r="I52">
        <v>14.710986</v>
      </c>
      <c r="J52">
        <v>14.964726000000001</v>
      </c>
      <c r="K52">
        <v>15.201395</v>
      </c>
      <c r="L52">
        <v>15.42023</v>
      </c>
      <c r="M52">
        <v>15.620710000000001</v>
      </c>
      <c r="N52">
        <v>15.803606</v>
      </c>
      <c r="O52">
        <v>15.951933</v>
      </c>
      <c r="P52">
        <v>16.083611999999999</v>
      </c>
      <c r="Q52">
        <v>16.198575999999999</v>
      </c>
      <c r="R52">
        <v>16.297474000000001</v>
      </c>
      <c r="S52">
        <v>16.380913</v>
      </c>
      <c r="T52">
        <v>16.448741999999999</v>
      </c>
      <c r="U52">
        <v>16.501339000000002</v>
      </c>
      <c r="V52">
        <v>16.546972</v>
      </c>
      <c r="W52">
        <v>16.574265</v>
      </c>
      <c r="X52">
        <v>16.581530000000001</v>
      </c>
      <c r="Y52">
        <v>16.589703</v>
      </c>
      <c r="Z52">
        <v>16.598382999999998</v>
      </c>
      <c r="AA52">
        <v>16.607206000000001</v>
      </c>
      <c r="AB52">
        <v>16.616085000000002</v>
      </c>
      <c r="AC52">
        <v>16.624941</v>
      </c>
      <c r="AD52">
        <v>16.633641999999998</v>
      </c>
      <c r="AE52">
        <v>16.642115</v>
      </c>
      <c r="AF52">
        <v>16.650321999999999</v>
      </c>
      <c r="AG52" s="122">
        <v>7.0000000000000001E-3</v>
      </c>
    </row>
    <row r="53" spans="1:33" x14ac:dyDescent="0.25">
      <c r="A53" t="s">
        <v>204</v>
      </c>
      <c r="B53" t="s">
        <v>571</v>
      </c>
      <c r="C53" t="s">
        <v>570</v>
      </c>
      <c r="D53" t="s">
        <v>205</v>
      </c>
      <c r="F53">
        <v>0.62333899999999998</v>
      </c>
      <c r="G53">
        <v>0.62898399999999999</v>
      </c>
      <c r="H53">
        <v>0.63492199999999999</v>
      </c>
      <c r="I53">
        <v>0.64126799999999995</v>
      </c>
      <c r="J53">
        <v>0.64812000000000003</v>
      </c>
      <c r="K53">
        <v>0.65468099999999996</v>
      </c>
      <c r="L53">
        <v>0.66091200000000005</v>
      </c>
      <c r="M53">
        <v>0.66676400000000002</v>
      </c>
      <c r="N53">
        <v>0.672238</v>
      </c>
      <c r="O53">
        <v>0.677284</v>
      </c>
      <c r="P53">
        <v>0.68191199999999996</v>
      </c>
      <c r="Q53">
        <v>0.68607399999999996</v>
      </c>
      <c r="R53">
        <v>0.68975900000000001</v>
      </c>
      <c r="S53">
        <v>0.69294900000000004</v>
      </c>
      <c r="T53">
        <v>0.695604</v>
      </c>
      <c r="U53">
        <v>0.69770399999999999</v>
      </c>
      <c r="V53">
        <v>0.69920199999999999</v>
      </c>
      <c r="W53">
        <v>0.7</v>
      </c>
      <c r="X53">
        <v>0.7</v>
      </c>
      <c r="Y53">
        <v>0.7</v>
      </c>
      <c r="Z53">
        <v>0.7</v>
      </c>
      <c r="AA53">
        <v>0.7</v>
      </c>
      <c r="AB53">
        <v>0.7</v>
      </c>
      <c r="AC53">
        <v>0.7</v>
      </c>
      <c r="AD53">
        <v>0.7</v>
      </c>
      <c r="AE53">
        <v>0.7</v>
      </c>
      <c r="AF53">
        <v>0.7</v>
      </c>
      <c r="AG53" s="122">
        <v>4.0000000000000001E-3</v>
      </c>
    </row>
    <row r="54" spans="1:33" x14ac:dyDescent="0.25">
      <c r="A54" t="s">
        <v>214</v>
      </c>
      <c r="B54" t="s">
        <v>569</v>
      </c>
      <c r="C54" t="s">
        <v>568</v>
      </c>
      <c r="D54" t="s">
        <v>215</v>
      </c>
      <c r="F54">
        <v>13.993668</v>
      </c>
      <c r="G54">
        <v>14.221729</v>
      </c>
      <c r="H54">
        <v>14.442513999999999</v>
      </c>
      <c r="I54">
        <v>14.655156</v>
      </c>
      <c r="J54">
        <v>14.858943</v>
      </c>
      <c r="K54">
        <v>15.054792000000001</v>
      </c>
      <c r="L54">
        <v>15.242620000000001</v>
      </c>
      <c r="M54">
        <v>15.423491</v>
      </c>
      <c r="N54">
        <v>15.590322</v>
      </c>
      <c r="O54">
        <v>15.732929</v>
      </c>
      <c r="P54">
        <v>15.857524</v>
      </c>
      <c r="Q54">
        <v>15.92991</v>
      </c>
      <c r="R54">
        <v>15.991645999999999</v>
      </c>
      <c r="S54">
        <v>16.046742999999999</v>
      </c>
      <c r="T54">
        <v>16.095617000000001</v>
      </c>
      <c r="U54">
        <v>16.138884999999998</v>
      </c>
      <c r="V54">
        <v>16.177298</v>
      </c>
      <c r="W54">
        <v>16.210196</v>
      </c>
      <c r="X54">
        <v>16.238112999999998</v>
      </c>
      <c r="Y54">
        <v>16.261043999999998</v>
      </c>
      <c r="Z54">
        <v>16.279423000000001</v>
      </c>
      <c r="AA54">
        <v>16.292555</v>
      </c>
      <c r="AB54">
        <v>16.301682</v>
      </c>
      <c r="AC54">
        <v>16.306694</v>
      </c>
      <c r="AD54">
        <v>16.307490999999999</v>
      </c>
      <c r="AE54">
        <v>16.305126000000001</v>
      </c>
      <c r="AF54">
        <v>16.299299000000001</v>
      </c>
      <c r="AG54" s="122">
        <v>6.0000000000000001E-3</v>
      </c>
    </row>
    <row r="55" spans="1:33" x14ac:dyDescent="0.25">
      <c r="A55" t="s">
        <v>216</v>
      </c>
      <c r="B55" t="s">
        <v>567</v>
      </c>
      <c r="C55" t="s">
        <v>566</v>
      </c>
      <c r="D55" t="s">
        <v>213</v>
      </c>
      <c r="F55">
        <v>13.469367999999999</v>
      </c>
      <c r="G55">
        <v>13.760479999999999</v>
      </c>
      <c r="H55">
        <v>14.051945</v>
      </c>
      <c r="I55">
        <v>14.34586</v>
      </c>
      <c r="J55">
        <v>14.645688</v>
      </c>
      <c r="K55">
        <v>14.925357</v>
      </c>
      <c r="L55">
        <v>15.18473</v>
      </c>
      <c r="M55">
        <v>15.422160999999999</v>
      </c>
      <c r="N55">
        <v>15.637525</v>
      </c>
      <c r="O55">
        <v>15.709616</v>
      </c>
      <c r="P55">
        <v>15.752591000000001</v>
      </c>
      <c r="Q55">
        <v>15.78285</v>
      </c>
      <c r="R55">
        <v>15.799917000000001</v>
      </c>
      <c r="S55">
        <v>15.80462</v>
      </c>
      <c r="T55">
        <v>15.79846</v>
      </c>
      <c r="U55">
        <v>15.781046</v>
      </c>
      <c r="V55">
        <v>15.753360000000001</v>
      </c>
      <c r="W55">
        <v>15.715132000000001</v>
      </c>
      <c r="X55">
        <v>15.665411000000001</v>
      </c>
      <c r="Y55">
        <v>15.616528000000001</v>
      </c>
      <c r="Z55">
        <v>15.568357000000001</v>
      </c>
      <c r="AA55">
        <v>15.521165999999999</v>
      </c>
      <c r="AB55">
        <v>15.475282</v>
      </c>
      <c r="AC55">
        <v>15.430944999999999</v>
      </c>
      <c r="AD55">
        <v>15.388375999999999</v>
      </c>
      <c r="AE55">
        <v>15.347758000000001</v>
      </c>
      <c r="AF55">
        <v>15.309222</v>
      </c>
      <c r="AG55" s="122">
        <v>5.0000000000000001E-3</v>
      </c>
    </row>
    <row r="56" spans="1:33" x14ac:dyDescent="0.25">
      <c r="A56" t="s">
        <v>217</v>
      </c>
      <c r="B56" t="s">
        <v>565</v>
      </c>
      <c r="C56" t="s">
        <v>564</v>
      </c>
      <c r="D56" t="s">
        <v>215</v>
      </c>
      <c r="F56">
        <v>11.448732</v>
      </c>
      <c r="G56">
        <v>11.644736999999999</v>
      </c>
      <c r="H56">
        <v>11.847325</v>
      </c>
      <c r="I56">
        <v>12.298437</v>
      </c>
      <c r="J56">
        <v>12.757018</v>
      </c>
      <c r="K56">
        <v>13.272966</v>
      </c>
      <c r="L56">
        <v>13.771557</v>
      </c>
      <c r="M56">
        <v>14.233993999999999</v>
      </c>
      <c r="N56">
        <v>14.651569</v>
      </c>
      <c r="O56">
        <v>15.024331999999999</v>
      </c>
      <c r="P56">
        <v>15.341799</v>
      </c>
      <c r="Q56">
        <v>15.580716000000001</v>
      </c>
      <c r="R56">
        <v>15.738295000000001</v>
      </c>
      <c r="S56">
        <v>15.813057000000001</v>
      </c>
      <c r="T56">
        <v>15.872056000000001</v>
      </c>
      <c r="U56">
        <v>15.916221999999999</v>
      </c>
      <c r="V56">
        <v>15.947607</v>
      </c>
      <c r="W56">
        <v>15.968753</v>
      </c>
      <c r="X56">
        <v>15.982252000000001</v>
      </c>
      <c r="Y56">
        <v>15.990417000000001</v>
      </c>
      <c r="Z56">
        <v>15.995094999999999</v>
      </c>
      <c r="AA56">
        <v>15.997622</v>
      </c>
      <c r="AB56">
        <v>15.998911</v>
      </c>
      <c r="AC56">
        <v>15.999532</v>
      </c>
      <c r="AD56">
        <v>15.999801</v>
      </c>
      <c r="AE56">
        <v>15.999924</v>
      </c>
      <c r="AF56">
        <v>15.999976</v>
      </c>
      <c r="AG56" s="122">
        <v>1.2999999999999999E-2</v>
      </c>
    </row>
    <row r="57" spans="1:33" x14ac:dyDescent="0.25">
      <c r="A57" t="s">
        <v>218</v>
      </c>
    </row>
    <row r="58" spans="1:33" x14ac:dyDescent="0.25">
      <c r="A58" t="s">
        <v>219</v>
      </c>
      <c r="B58" t="s">
        <v>563</v>
      </c>
      <c r="C58" t="s">
        <v>562</v>
      </c>
      <c r="D58" t="s">
        <v>220</v>
      </c>
      <c r="F58">
        <v>1.089594</v>
      </c>
      <c r="G58">
        <v>1.1425160000000001</v>
      </c>
      <c r="H58">
        <v>1.194647</v>
      </c>
      <c r="I58">
        <v>1.2457849999999999</v>
      </c>
      <c r="J58">
        <v>1.296718</v>
      </c>
      <c r="K58">
        <v>1.427567</v>
      </c>
      <c r="L58">
        <v>1.530845</v>
      </c>
      <c r="M58">
        <v>1.6406940000000001</v>
      </c>
      <c r="N58">
        <v>1.7447140000000001</v>
      </c>
      <c r="O58">
        <v>1.833205</v>
      </c>
      <c r="P58">
        <v>1.91778</v>
      </c>
      <c r="Q58">
        <v>1.995061</v>
      </c>
      <c r="R58">
        <v>2.064635</v>
      </c>
      <c r="S58">
        <v>2.1261709999999998</v>
      </c>
      <c r="T58">
        <v>2.179694</v>
      </c>
      <c r="U58">
        <v>2.225028</v>
      </c>
      <c r="V58">
        <v>2.2624460000000002</v>
      </c>
      <c r="W58">
        <v>2.291731</v>
      </c>
      <c r="X58">
        <v>2.3127049999999998</v>
      </c>
      <c r="Y58">
        <v>2.3256410000000001</v>
      </c>
      <c r="Z58">
        <v>2.3376600000000001</v>
      </c>
      <c r="AA58">
        <v>2.3487290000000001</v>
      </c>
      <c r="AB58">
        <v>2.3588469999999999</v>
      </c>
      <c r="AC58">
        <v>2.3680279999999998</v>
      </c>
      <c r="AD58">
        <v>2.3763190000000001</v>
      </c>
      <c r="AE58">
        <v>2.3837579999999998</v>
      </c>
      <c r="AF58">
        <v>2.3903810000000001</v>
      </c>
      <c r="AG58" s="122">
        <v>3.1E-2</v>
      </c>
    </row>
    <row r="59" spans="1:33" x14ac:dyDescent="0.25">
      <c r="A59" t="s">
        <v>221</v>
      </c>
      <c r="B59" t="s">
        <v>561</v>
      </c>
      <c r="C59" t="s">
        <v>560</v>
      </c>
      <c r="D59" t="s">
        <v>220</v>
      </c>
      <c r="F59">
        <v>0.60598600000000002</v>
      </c>
      <c r="G59">
        <v>0.61377400000000004</v>
      </c>
      <c r="H59">
        <v>0.62073199999999995</v>
      </c>
      <c r="I59">
        <v>0.62687899999999996</v>
      </c>
      <c r="J59">
        <v>0.63224800000000003</v>
      </c>
      <c r="K59">
        <v>0.64028099999999999</v>
      </c>
      <c r="L59">
        <v>0.64717400000000003</v>
      </c>
      <c r="M59">
        <v>0.653142</v>
      </c>
      <c r="N59">
        <v>0.65814099999999998</v>
      </c>
      <c r="O59">
        <v>0.66080300000000003</v>
      </c>
      <c r="P59">
        <v>0.66259400000000002</v>
      </c>
      <c r="Q59">
        <v>0.66352299999999997</v>
      </c>
      <c r="R59">
        <v>0.66439199999999998</v>
      </c>
      <c r="S59">
        <v>0.66519700000000004</v>
      </c>
      <c r="T59">
        <v>0.66593599999999997</v>
      </c>
      <c r="U59">
        <v>0.66660900000000001</v>
      </c>
      <c r="V59">
        <v>0.66721600000000003</v>
      </c>
      <c r="W59">
        <v>0.66775799999999996</v>
      </c>
      <c r="X59">
        <v>0.668238</v>
      </c>
      <c r="Y59">
        <v>0.66866000000000003</v>
      </c>
      <c r="Z59">
        <v>0.66902799999999996</v>
      </c>
      <c r="AA59">
        <v>0.669346</v>
      </c>
      <c r="AB59">
        <v>0.66961800000000005</v>
      </c>
      <c r="AC59">
        <v>0.66984900000000003</v>
      </c>
      <c r="AD59">
        <v>0.67004300000000006</v>
      </c>
      <c r="AE59">
        <v>0.67020400000000002</v>
      </c>
      <c r="AF59">
        <v>0.67033699999999996</v>
      </c>
      <c r="AG59" s="122">
        <v>4.0000000000000001E-3</v>
      </c>
    </row>
    <row r="60" spans="1:33" x14ac:dyDescent="0.25">
      <c r="A60" t="s">
        <v>222</v>
      </c>
      <c r="B60" t="s">
        <v>559</v>
      </c>
      <c r="C60" t="s">
        <v>558</v>
      </c>
      <c r="D60" t="s">
        <v>220</v>
      </c>
      <c r="F60">
        <v>0.54769800000000002</v>
      </c>
      <c r="G60">
        <v>0.55999399999999999</v>
      </c>
      <c r="H60">
        <v>0.57217899999999999</v>
      </c>
      <c r="I60">
        <v>0.58399400000000001</v>
      </c>
      <c r="J60">
        <v>0.59521000000000002</v>
      </c>
      <c r="K60">
        <v>0.60663999999999996</v>
      </c>
      <c r="L60">
        <v>0.61675899999999995</v>
      </c>
      <c r="M60">
        <v>0.625502</v>
      </c>
      <c r="N60">
        <v>0.63254699999999997</v>
      </c>
      <c r="O60">
        <v>0.63764500000000002</v>
      </c>
      <c r="P60">
        <v>0.640544</v>
      </c>
      <c r="Q60">
        <v>0.64108200000000004</v>
      </c>
      <c r="R60">
        <v>0.64163400000000004</v>
      </c>
      <c r="S60">
        <v>0.64219300000000001</v>
      </c>
      <c r="T60">
        <v>0.64275400000000005</v>
      </c>
      <c r="U60">
        <v>0.64331199999999999</v>
      </c>
      <c r="V60">
        <v>0.64386200000000005</v>
      </c>
      <c r="W60">
        <v>0.644401</v>
      </c>
      <c r="X60">
        <v>0.64492499999999997</v>
      </c>
      <c r="Y60">
        <v>0.64542999999999995</v>
      </c>
      <c r="Z60">
        <v>0.64591299999999996</v>
      </c>
      <c r="AA60">
        <v>0.646374</v>
      </c>
      <c r="AB60">
        <v>0.64680899999999997</v>
      </c>
      <c r="AC60">
        <v>0.64721899999999999</v>
      </c>
      <c r="AD60">
        <v>0.64760200000000001</v>
      </c>
      <c r="AE60">
        <v>0.64795700000000001</v>
      </c>
      <c r="AF60">
        <v>0.648285</v>
      </c>
      <c r="AG60" s="122">
        <v>7.0000000000000001E-3</v>
      </c>
    </row>
    <row r="61" spans="1:33" x14ac:dyDescent="0.25">
      <c r="A61" t="s">
        <v>223</v>
      </c>
      <c r="B61" t="s">
        <v>557</v>
      </c>
      <c r="C61" t="s">
        <v>556</v>
      </c>
      <c r="D61" t="s">
        <v>220</v>
      </c>
      <c r="F61">
        <v>0.60939900000000002</v>
      </c>
      <c r="G61">
        <v>0.61870400000000003</v>
      </c>
      <c r="H61">
        <v>0.627502</v>
      </c>
      <c r="I61">
        <v>0.635687</v>
      </c>
      <c r="J61">
        <v>0.64312899999999995</v>
      </c>
      <c r="K61">
        <v>0.650474</v>
      </c>
      <c r="L61">
        <v>0.65689600000000004</v>
      </c>
      <c r="M61">
        <v>0.662416</v>
      </c>
      <c r="N61">
        <v>0.66691800000000001</v>
      </c>
      <c r="O61">
        <v>0.66920900000000005</v>
      </c>
      <c r="P61">
        <v>0.67036200000000001</v>
      </c>
      <c r="Q61">
        <v>0.67031200000000002</v>
      </c>
      <c r="R61">
        <v>0.67021699999999995</v>
      </c>
      <c r="S61">
        <v>0.67008400000000001</v>
      </c>
      <c r="T61">
        <v>0.66991699999999998</v>
      </c>
      <c r="U61">
        <v>0.66972299999999996</v>
      </c>
      <c r="V61">
        <v>0.66950500000000002</v>
      </c>
      <c r="W61">
        <v>0.66927000000000003</v>
      </c>
      <c r="X61">
        <v>0.66902200000000001</v>
      </c>
      <c r="Y61">
        <v>0.66876599999999997</v>
      </c>
      <c r="Z61">
        <v>0.66850799999999999</v>
      </c>
      <c r="AA61">
        <v>0.66824899999999998</v>
      </c>
      <c r="AB61">
        <v>0.66799500000000001</v>
      </c>
      <c r="AC61">
        <v>0.66774800000000001</v>
      </c>
      <c r="AD61">
        <v>0.66751099999999997</v>
      </c>
      <c r="AE61">
        <v>0.66728600000000005</v>
      </c>
      <c r="AF61">
        <v>0.66707499999999997</v>
      </c>
      <c r="AG61" s="122">
        <v>3.0000000000000001E-3</v>
      </c>
    </row>
    <row r="62" spans="1:33" x14ac:dyDescent="0.25">
      <c r="A62" t="s">
        <v>224</v>
      </c>
    </row>
    <row r="63" spans="1:33" x14ac:dyDescent="0.25">
      <c r="A63" t="s">
        <v>200</v>
      </c>
      <c r="B63" t="s">
        <v>555</v>
      </c>
      <c r="C63" t="s">
        <v>554</v>
      </c>
      <c r="D63" t="s">
        <v>225</v>
      </c>
      <c r="F63">
        <v>605.32141100000001</v>
      </c>
      <c r="G63">
        <v>596.56372099999999</v>
      </c>
      <c r="H63">
        <v>587.74408000000005</v>
      </c>
      <c r="I63">
        <v>578.85461399999997</v>
      </c>
      <c r="J63">
        <v>569.90594499999997</v>
      </c>
      <c r="K63">
        <v>561.43499799999995</v>
      </c>
      <c r="L63">
        <v>548.93573000000004</v>
      </c>
      <c r="M63">
        <v>536.88128700000004</v>
      </c>
      <c r="N63">
        <v>525.27539100000001</v>
      </c>
      <c r="O63">
        <v>514.09533699999997</v>
      </c>
      <c r="P63">
        <v>503.33850100000001</v>
      </c>
      <c r="Q63">
        <v>493.03497299999998</v>
      </c>
      <c r="R63">
        <v>483.48178100000001</v>
      </c>
      <c r="S63">
        <v>474.760132</v>
      </c>
      <c r="T63">
        <v>466.87344400000001</v>
      </c>
      <c r="U63">
        <v>459.84948700000001</v>
      </c>
      <c r="V63">
        <v>453.64550800000001</v>
      </c>
      <c r="W63">
        <v>448.24676499999998</v>
      </c>
      <c r="X63">
        <v>443.60870399999999</v>
      </c>
      <c r="Y63">
        <v>439.75659200000001</v>
      </c>
      <c r="Z63">
        <v>436.64328</v>
      </c>
      <c r="AA63">
        <v>434.29330399999998</v>
      </c>
      <c r="AB63">
        <v>432.73150600000002</v>
      </c>
      <c r="AC63">
        <v>431.93127399999997</v>
      </c>
      <c r="AD63">
        <v>431.20816000000002</v>
      </c>
      <c r="AE63">
        <v>430.55432100000002</v>
      </c>
      <c r="AF63">
        <v>429.95950299999998</v>
      </c>
      <c r="AG63" s="122">
        <v>-1.2999999999999999E-2</v>
      </c>
    </row>
    <row r="64" spans="1:33" x14ac:dyDescent="0.25">
      <c r="A64" t="s">
        <v>201</v>
      </c>
      <c r="B64" t="s">
        <v>553</v>
      </c>
      <c r="C64" t="s">
        <v>552</v>
      </c>
      <c r="D64" t="s">
        <v>225</v>
      </c>
      <c r="F64">
        <v>463.55093399999998</v>
      </c>
      <c r="G64">
        <v>458.890198</v>
      </c>
      <c r="H64">
        <v>454.28131100000002</v>
      </c>
      <c r="I64">
        <v>449.72030599999999</v>
      </c>
      <c r="J64">
        <v>445.12622099999999</v>
      </c>
      <c r="K64">
        <v>440.455017</v>
      </c>
      <c r="L64">
        <v>433.68933099999998</v>
      </c>
      <c r="M64">
        <v>426.78295900000001</v>
      </c>
      <c r="N64">
        <v>419.79501299999998</v>
      </c>
      <c r="O64">
        <v>413.10067700000002</v>
      </c>
      <c r="P64">
        <v>406.70031699999998</v>
      </c>
      <c r="Q64">
        <v>400.597534</v>
      </c>
      <c r="R64">
        <v>394.77926600000001</v>
      </c>
      <c r="S64">
        <v>389.23379499999999</v>
      </c>
      <c r="T64">
        <v>383.98913599999997</v>
      </c>
      <c r="U64">
        <v>379.06469700000002</v>
      </c>
      <c r="V64">
        <v>374.43823200000003</v>
      </c>
      <c r="W64">
        <v>370.161316</v>
      </c>
      <c r="X64">
        <v>366.20214800000002</v>
      </c>
      <c r="Y64">
        <v>362.57891799999999</v>
      </c>
      <c r="Z64">
        <v>359.27200299999998</v>
      </c>
      <c r="AA64">
        <v>356.26269500000001</v>
      </c>
      <c r="AB64">
        <v>353.61422700000003</v>
      </c>
      <c r="AC64">
        <v>351.29882800000001</v>
      </c>
      <c r="AD64">
        <v>349.36639400000001</v>
      </c>
      <c r="AE64">
        <v>347.84356700000001</v>
      </c>
      <c r="AF64">
        <v>346.73440599999998</v>
      </c>
      <c r="AG64" s="122">
        <v>-1.0999999999999999E-2</v>
      </c>
    </row>
    <row r="65" spans="1:33" x14ac:dyDescent="0.25">
      <c r="A65" t="s">
        <v>226</v>
      </c>
    </row>
    <row r="66" spans="1:33" x14ac:dyDescent="0.25">
      <c r="A66" t="s">
        <v>227</v>
      </c>
    </row>
    <row r="67" spans="1:33" x14ac:dyDescent="0.25">
      <c r="A67" t="s">
        <v>545</v>
      </c>
      <c r="B67" t="s">
        <v>551</v>
      </c>
      <c r="C67" t="s">
        <v>550</v>
      </c>
      <c r="D67" t="s">
        <v>228</v>
      </c>
      <c r="F67">
        <v>0.96249899999999999</v>
      </c>
      <c r="G67">
        <v>0.95829299999999995</v>
      </c>
      <c r="H67">
        <v>0.95386099999999996</v>
      </c>
      <c r="I67">
        <v>0.94897600000000004</v>
      </c>
      <c r="J67">
        <v>0.94338</v>
      </c>
      <c r="K67">
        <v>0.93713900000000006</v>
      </c>
      <c r="L67">
        <v>0.93051399999999995</v>
      </c>
      <c r="M67">
        <v>0.92341399999999996</v>
      </c>
      <c r="N67">
        <v>0.91581699999999999</v>
      </c>
      <c r="O67">
        <v>0.90795400000000004</v>
      </c>
      <c r="P67">
        <v>0.90028900000000001</v>
      </c>
      <c r="Q67">
        <v>0.89305000000000001</v>
      </c>
      <c r="R67">
        <v>0.88626899999999997</v>
      </c>
      <c r="S67">
        <v>0.87971500000000002</v>
      </c>
      <c r="T67">
        <v>0.87315799999999999</v>
      </c>
      <c r="U67">
        <v>0.86665999999999999</v>
      </c>
      <c r="V67">
        <v>0.860093</v>
      </c>
      <c r="W67">
        <v>0.85333700000000001</v>
      </c>
      <c r="X67">
        <v>0.84650400000000003</v>
      </c>
      <c r="Y67">
        <v>0.83967000000000003</v>
      </c>
      <c r="Z67">
        <v>0.83284999999999998</v>
      </c>
      <c r="AA67">
        <v>0.82602600000000004</v>
      </c>
      <c r="AB67">
        <v>0.81914399999999998</v>
      </c>
      <c r="AC67">
        <v>0.81228999999999996</v>
      </c>
      <c r="AD67">
        <v>0.80550299999999997</v>
      </c>
      <c r="AE67">
        <v>0.79870200000000002</v>
      </c>
      <c r="AF67">
        <v>0.791856</v>
      </c>
      <c r="AG67" s="122">
        <v>-7.0000000000000001E-3</v>
      </c>
    </row>
    <row r="68" spans="1:33" x14ac:dyDescent="0.25">
      <c r="A68" t="s">
        <v>229</v>
      </c>
      <c r="B68" t="s">
        <v>549</v>
      </c>
      <c r="C68" t="s">
        <v>548</v>
      </c>
      <c r="D68" t="s">
        <v>228</v>
      </c>
      <c r="F68">
        <v>0.77779500000000001</v>
      </c>
      <c r="G68">
        <v>0.77780400000000005</v>
      </c>
      <c r="H68">
        <v>0.78845600000000005</v>
      </c>
      <c r="I68">
        <v>0.79193599999999997</v>
      </c>
      <c r="J68">
        <v>0.79717300000000002</v>
      </c>
      <c r="K68">
        <v>0.79640299999999997</v>
      </c>
      <c r="L68">
        <v>0.79713100000000003</v>
      </c>
      <c r="M68">
        <v>0.79560699999999995</v>
      </c>
      <c r="N68">
        <v>0.79143799999999997</v>
      </c>
      <c r="O68">
        <v>0.90783000000000003</v>
      </c>
      <c r="P68">
        <v>0.90350900000000001</v>
      </c>
      <c r="Q68">
        <v>0.90333200000000002</v>
      </c>
      <c r="R68">
        <v>0.90135600000000005</v>
      </c>
      <c r="S68">
        <v>0.89688199999999996</v>
      </c>
      <c r="T68">
        <v>0.89327900000000005</v>
      </c>
      <c r="U68">
        <v>0.89083299999999999</v>
      </c>
      <c r="V68">
        <v>0.88829000000000002</v>
      </c>
      <c r="W68">
        <v>0.88452799999999998</v>
      </c>
      <c r="X68">
        <v>0.88126199999999999</v>
      </c>
      <c r="Y68">
        <v>0.88093200000000005</v>
      </c>
      <c r="Z68">
        <v>0.88181200000000004</v>
      </c>
      <c r="AA68">
        <v>0.88065700000000002</v>
      </c>
      <c r="AB68">
        <v>0.87968900000000005</v>
      </c>
      <c r="AC68">
        <v>0.87822</v>
      </c>
      <c r="AD68">
        <v>0.87721899999999997</v>
      </c>
      <c r="AE68">
        <v>0.87615900000000002</v>
      </c>
      <c r="AF68">
        <v>0.87512100000000004</v>
      </c>
      <c r="AG68" s="122">
        <v>5.0000000000000001E-3</v>
      </c>
    </row>
    <row r="69" spans="1:33" x14ac:dyDescent="0.25">
      <c r="A69" t="s">
        <v>230</v>
      </c>
      <c r="B69" t="s">
        <v>547</v>
      </c>
      <c r="C69" t="s">
        <v>546</v>
      </c>
      <c r="D69" t="s">
        <v>228</v>
      </c>
      <c r="F69">
        <v>0.95514299999999996</v>
      </c>
      <c r="G69">
        <v>0.94909500000000002</v>
      </c>
      <c r="H69">
        <v>0.94300399999999995</v>
      </c>
      <c r="I69">
        <v>0.93666700000000003</v>
      </c>
      <c r="J69">
        <v>0.92990099999999998</v>
      </c>
      <c r="K69">
        <v>0.922678</v>
      </c>
      <c r="L69">
        <v>0.9153</v>
      </c>
      <c r="M69">
        <v>0.907667</v>
      </c>
      <c r="N69">
        <v>0.89975099999999997</v>
      </c>
      <c r="O69">
        <v>0.89316200000000001</v>
      </c>
      <c r="P69">
        <v>0.88683000000000001</v>
      </c>
      <c r="Q69">
        <v>0.88098299999999996</v>
      </c>
      <c r="R69">
        <v>0.87561</v>
      </c>
      <c r="S69">
        <v>0.870475</v>
      </c>
      <c r="T69">
        <v>0.86539299999999997</v>
      </c>
      <c r="U69">
        <v>0.86041800000000002</v>
      </c>
      <c r="V69">
        <v>0.85544500000000001</v>
      </c>
      <c r="W69">
        <v>0.85036100000000003</v>
      </c>
      <c r="X69">
        <v>0.84526299999999999</v>
      </c>
      <c r="Y69">
        <v>0.840229</v>
      </c>
      <c r="Z69">
        <v>0.83528000000000002</v>
      </c>
      <c r="AA69">
        <v>0.83039099999999999</v>
      </c>
      <c r="AB69">
        <v>0.82552000000000003</v>
      </c>
      <c r="AC69">
        <v>0.82072599999999996</v>
      </c>
      <c r="AD69">
        <v>0.81604299999999996</v>
      </c>
      <c r="AE69">
        <v>0.81140699999999999</v>
      </c>
      <c r="AF69">
        <v>0.80679100000000004</v>
      </c>
      <c r="AG69" s="122">
        <v>-6.0000000000000001E-3</v>
      </c>
    </row>
    <row r="70" spans="1:33" x14ac:dyDescent="0.25">
      <c r="A70" t="s">
        <v>211</v>
      </c>
    </row>
    <row r="71" spans="1:33" x14ac:dyDescent="0.25">
      <c r="A71" t="s">
        <v>545</v>
      </c>
      <c r="B71" t="s">
        <v>544</v>
      </c>
      <c r="C71" t="s">
        <v>543</v>
      </c>
      <c r="D71" t="s">
        <v>228</v>
      </c>
      <c r="F71">
        <v>0.98706400000000005</v>
      </c>
      <c r="G71">
        <v>0.98577199999999998</v>
      </c>
      <c r="H71">
        <v>0.98426999999999998</v>
      </c>
      <c r="I71">
        <v>0.98250800000000005</v>
      </c>
      <c r="J71">
        <v>0.98045800000000005</v>
      </c>
      <c r="K71">
        <v>0.97818700000000003</v>
      </c>
      <c r="L71">
        <v>0.97578299999999996</v>
      </c>
      <c r="M71">
        <v>0.97324600000000006</v>
      </c>
      <c r="N71">
        <v>0.97056500000000001</v>
      </c>
      <c r="O71">
        <v>0.96779499999999996</v>
      </c>
      <c r="P71">
        <v>0.96509599999999995</v>
      </c>
      <c r="Q71">
        <v>0.96253900000000003</v>
      </c>
      <c r="R71">
        <v>0.96013199999999999</v>
      </c>
      <c r="S71">
        <v>0.95780299999999996</v>
      </c>
      <c r="T71">
        <v>0.95547099999999996</v>
      </c>
      <c r="U71">
        <v>0.95317200000000002</v>
      </c>
      <c r="V71">
        <v>0.95085500000000001</v>
      </c>
      <c r="W71">
        <v>0.94845699999999999</v>
      </c>
      <c r="X71">
        <v>0.94602200000000003</v>
      </c>
      <c r="Y71">
        <v>0.94357500000000005</v>
      </c>
      <c r="Z71">
        <v>0.94112799999999996</v>
      </c>
      <c r="AA71">
        <v>0.93869599999999997</v>
      </c>
      <c r="AB71">
        <v>0.93624700000000005</v>
      </c>
      <c r="AC71">
        <v>0.933813</v>
      </c>
      <c r="AD71">
        <v>0.931396</v>
      </c>
      <c r="AE71">
        <v>0.92897200000000002</v>
      </c>
      <c r="AF71">
        <v>0.92652999999999996</v>
      </c>
      <c r="AG71" s="122">
        <v>-2E-3</v>
      </c>
    </row>
    <row r="72" spans="1:33" x14ac:dyDescent="0.25">
      <c r="A72" t="s">
        <v>229</v>
      </c>
      <c r="B72" t="s">
        <v>542</v>
      </c>
      <c r="C72" t="s">
        <v>541</v>
      </c>
      <c r="D72" t="s">
        <v>228</v>
      </c>
      <c r="F72">
        <v>0.96223800000000004</v>
      </c>
      <c r="G72">
        <v>0.96373500000000001</v>
      </c>
      <c r="H72">
        <v>0.97250599999999998</v>
      </c>
      <c r="I72">
        <v>0.97536900000000004</v>
      </c>
      <c r="J72">
        <v>0.97906000000000004</v>
      </c>
      <c r="K72">
        <v>0.98203700000000005</v>
      </c>
      <c r="L72">
        <v>0.98287800000000003</v>
      </c>
      <c r="M72">
        <v>0.982742</v>
      </c>
      <c r="N72">
        <v>0.98086799999999996</v>
      </c>
      <c r="O72">
        <v>1.0203709999999999</v>
      </c>
      <c r="P72">
        <v>1.0181690000000001</v>
      </c>
      <c r="Q72">
        <v>1.0179069999999999</v>
      </c>
      <c r="R72">
        <v>1.016993</v>
      </c>
      <c r="S72">
        <v>1.014689</v>
      </c>
      <c r="T72">
        <v>1.0129760000000001</v>
      </c>
      <c r="U72">
        <v>1.0120750000000001</v>
      </c>
      <c r="V72">
        <v>1.0114399999999999</v>
      </c>
      <c r="W72">
        <v>1.010168</v>
      </c>
      <c r="X72">
        <v>1.0089360000000001</v>
      </c>
      <c r="Y72">
        <v>1.0096099999999999</v>
      </c>
      <c r="Z72">
        <v>1.0109030000000001</v>
      </c>
      <c r="AA72">
        <v>1.0107729999999999</v>
      </c>
      <c r="AB72">
        <v>1.010664</v>
      </c>
      <c r="AC72">
        <v>1.0103740000000001</v>
      </c>
      <c r="AD72">
        <v>1.010311</v>
      </c>
      <c r="AE72">
        <v>1.0102930000000001</v>
      </c>
      <c r="AF72">
        <v>1.0102</v>
      </c>
      <c r="AG72" s="122">
        <v>2E-3</v>
      </c>
    </row>
    <row r="73" spans="1:33" x14ac:dyDescent="0.25">
      <c r="A73" t="s">
        <v>230</v>
      </c>
      <c r="B73" t="s">
        <v>540</v>
      </c>
      <c r="C73" t="s">
        <v>539</v>
      </c>
      <c r="D73" t="s">
        <v>228</v>
      </c>
      <c r="F73">
        <v>0.98711800000000005</v>
      </c>
      <c r="G73">
        <v>0.98565800000000003</v>
      </c>
      <c r="H73">
        <v>0.98411000000000004</v>
      </c>
      <c r="I73">
        <v>0.98237699999999994</v>
      </c>
      <c r="J73">
        <v>0.98045300000000002</v>
      </c>
      <c r="K73">
        <v>0.97839399999999999</v>
      </c>
      <c r="L73">
        <v>0.97626400000000002</v>
      </c>
      <c r="M73">
        <v>0.974055</v>
      </c>
      <c r="N73">
        <v>0.97173900000000002</v>
      </c>
      <c r="O73">
        <v>0.96975900000000004</v>
      </c>
      <c r="P73">
        <v>0.96782999999999997</v>
      </c>
      <c r="Q73">
        <v>0.96604500000000004</v>
      </c>
      <c r="R73">
        <v>0.96439600000000003</v>
      </c>
      <c r="S73">
        <v>0.96279999999999999</v>
      </c>
      <c r="T73">
        <v>0.96119299999999996</v>
      </c>
      <c r="U73">
        <v>0.95961099999999999</v>
      </c>
      <c r="V73">
        <v>0.95801400000000003</v>
      </c>
      <c r="W73">
        <v>0.95634399999999997</v>
      </c>
      <c r="X73">
        <v>0.95464099999999996</v>
      </c>
      <c r="Y73">
        <v>0.95293700000000003</v>
      </c>
      <c r="Z73">
        <v>0.95125099999999996</v>
      </c>
      <c r="AA73">
        <v>0.94959099999999996</v>
      </c>
      <c r="AB73">
        <v>0.94793099999999997</v>
      </c>
      <c r="AC73">
        <v>0.946295</v>
      </c>
      <c r="AD73">
        <v>0.94468700000000005</v>
      </c>
      <c r="AE73">
        <v>0.94308499999999995</v>
      </c>
      <c r="AF73">
        <v>0.94148100000000001</v>
      </c>
      <c r="AG73" s="122">
        <v>-2E-3</v>
      </c>
    </row>
    <row r="74" spans="1:33" x14ac:dyDescent="0.25">
      <c r="A74" t="s">
        <v>231</v>
      </c>
    </row>
    <row r="75" spans="1:33" x14ac:dyDescent="0.25">
      <c r="A75" t="s">
        <v>232</v>
      </c>
    </row>
    <row r="76" spans="1:33" x14ac:dyDescent="0.25">
      <c r="A76" t="s">
        <v>233</v>
      </c>
    </row>
    <row r="77" spans="1:33" x14ac:dyDescent="0.25">
      <c r="A77" t="s">
        <v>234</v>
      </c>
      <c r="B77" t="s">
        <v>538</v>
      </c>
      <c r="C77" t="s">
        <v>537</v>
      </c>
      <c r="D77" t="s">
        <v>235</v>
      </c>
      <c r="F77">
        <v>1.725E-3</v>
      </c>
      <c r="G77">
        <v>3.088E-3</v>
      </c>
      <c r="H77">
        <v>3.101E-3</v>
      </c>
      <c r="I77">
        <v>3.114E-3</v>
      </c>
      <c r="J77">
        <v>3.127E-3</v>
      </c>
      <c r="K77">
        <v>3.14E-3</v>
      </c>
      <c r="L77">
        <v>3.153E-3</v>
      </c>
      <c r="M77">
        <v>3.166E-3</v>
      </c>
      <c r="N77">
        <v>3.179E-3</v>
      </c>
      <c r="O77">
        <v>3.192E-3</v>
      </c>
      <c r="P77">
        <v>3.2049999999999999E-3</v>
      </c>
      <c r="Q77">
        <v>3.2179999999999999E-3</v>
      </c>
      <c r="R77">
        <v>3.2309999999999999E-3</v>
      </c>
      <c r="S77">
        <v>3.2439999999999999E-3</v>
      </c>
      <c r="T77">
        <v>3.2569999999999999E-3</v>
      </c>
      <c r="U77">
        <v>3.2699999999999999E-3</v>
      </c>
      <c r="V77">
        <v>3.2850000000000002E-3</v>
      </c>
      <c r="W77">
        <v>3.3010000000000001E-3</v>
      </c>
      <c r="X77">
        <v>3.3219999999999999E-3</v>
      </c>
      <c r="Y77">
        <v>3.3519999999999999E-3</v>
      </c>
      <c r="Z77">
        <v>3.3990000000000001E-3</v>
      </c>
      <c r="AA77">
        <v>3.4780000000000002E-3</v>
      </c>
      <c r="AB77">
        <v>3.6180000000000001E-3</v>
      </c>
      <c r="AC77">
        <v>3.7590000000000002E-3</v>
      </c>
      <c r="AD77">
        <v>3.8999999999999998E-3</v>
      </c>
      <c r="AE77">
        <v>4.0419999999999996E-3</v>
      </c>
      <c r="AF77">
        <v>4.1850000000000004E-3</v>
      </c>
      <c r="AG77" s="122">
        <v>3.5000000000000003E-2</v>
      </c>
    </row>
    <row r="78" spans="1:33" x14ac:dyDescent="0.25">
      <c r="A78" t="s">
        <v>236</v>
      </c>
      <c r="B78" t="s">
        <v>536</v>
      </c>
      <c r="C78" t="s">
        <v>535</v>
      </c>
      <c r="D78" t="s">
        <v>235</v>
      </c>
      <c r="F78">
        <v>41.307827000000003</v>
      </c>
      <c r="G78">
        <v>47.377986999999997</v>
      </c>
      <c r="H78">
        <v>53.527718</v>
      </c>
      <c r="I78">
        <v>59.344631</v>
      </c>
      <c r="J78">
        <v>65.296081999999998</v>
      </c>
      <c r="K78">
        <v>71.340698000000003</v>
      </c>
      <c r="L78">
        <v>77.804955000000007</v>
      </c>
      <c r="M78">
        <v>84.770461999999995</v>
      </c>
      <c r="N78">
        <v>91.686965999999998</v>
      </c>
      <c r="O78">
        <v>98.871689000000003</v>
      </c>
      <c r="P78">
        <v>105.994034</v>
      </c>
      <c r="Q78">
        <v>111.568611</v>
      </c>
      <c r="R78">
        <v>117.32034299999999</v>
      </c>
      <c r="S78">
        <v>123.133934</v>
      </c>
      <c r="T78">
        <v>129.23361199999999</v>
      </c>
      <c r="U78">
        <v>135.37600699999999</v>
      </c>
      <c r="V78">
        <v>141.64863600000001</v>
      </c>
      <c r="W78">
        <v>147.97232099999999</v>
      </c>
      <c r="X78">
        <v>154.48625200000001</v>
      </c>
      <c r="Y78">
        <v>161.08810399999999</v>
      </c>
      <c r="Z78">
        <v>167.799713</v>
      </c>
      <c r="AA78">
        <v>174.750168</v>
      </c>
      <c r="AB78">
        <v>181.85144</v>
      </c>
      <c r="AC78">
        <v>189.17082199999999</v>
      </c>
      <c r="AD78">
        <v>196.66996800000001</v>
      </c>
      <c r="AE78">
        <v>204.34806800000001</v>
      </c>
      <c r="AF78">
        <v>212.126541</v>
      </c>
      <c r="AG78" s="122">
        <v>6.5000000000000002E-2</v>
      </c>
    </row>
    <row r="79" spans="1:33" x14ac:dyDescent="0.25">
      <c r="A79" t="s">
        <v>237</v>
      </c>
      <c r="B79" t="s">
        <v>534</v>
      </c>
      <c r="C79" t="s">
        <v>533</v>
      </c>
      <c r="D79" t="s">
        <v>235</v>
      </c>
      <c r="F79">
        <v>0.30817899999999998</v>
      </c>
      <c r="G79">
        <v>0.560921</v>
      </c>
      <c r="H79">
        <v>0.80604399999999998</v>
      </c>
      <c r="I79">
        <v>0.90843200000000002</v>
      </c>
      <c r="J79">
        <v>1.022869</v>
      </c>
      <c r="K79">
        <v>1.146172</v>
      </c>
      <c r="L79">
        <v>1.390895</v>
      </c>
      <c r="M79">
        <v>1.6908190000000001</v>
      </c>
      <c r="N79">
        <v>1.994769</v>
      </c>
      <c r="O79">
        <v>2.108177</v>
      </c>
      <c r="P79">
        <v>2.1611229999999999</v>
      </c>
      <c r="Q79">
        <v>2.1623380000000001</v>
      </c>
      <c r="R79">
        <v>2.1638169999999999</v>
      </c>
      <c r="S79">
        <v>2.1655449999999998</v>
      </c>
      <c r="T79">
        <v>2.1675360000000001</v>
      </c>
      <c r="U79">
        <v>2.1697259999999998</v>
      </c>
      <c r="V79">
        <v>2.172139</v>
      </c>
      <c r="W79">
        <v>2.1747999999999998</v>
      </c>
      <c r="X79">
        <v>2.1776339999999998</v>
      </c>
      <c r="Y79">
        <v>2.18058</v>
      </c>
      <c r="Z79">
        <v>2.1836340000000001</v>
      </c>
      <c r="AA79">
        <v>2.1868249999999998</v>
      </c>
      <c r="AB79">
        <v>2.190188</v>
      </c>
      <c r="AC79">
        <v>2.193648</v>
      </c>
      <c r="AD79">
        <v>2.1972459999999998</v>
      </c>
      <c r="AE79">
        <v>2.2009859999999999</v>
      </c>
      <c r="AF79">
        <v>2.2048700000000001</v>
      </c>
      <c r="AG79" s="122">
        <v>7.9000000000000001E-2</v>
      </c>
    </row>
    <row r="80" spans="1:33" x14ac:dyDescent="0.25">
      <c r="A80" t="s">
        <v>189</v>
      </c>
      <c r="B80" t="s">
        <v>532</v>
      </c>
      <c r="C80" t="s">
        <v>531</v>
      </c>
      <c r="D80" t="s">
        <v>235</v>
      </c>
      <c r="F80">
        <v>41.617728999999997</v>
      </c>
      <c r="G80">
        <v>47.941997999999998</v>
      </c>
      <c r="H80">
        <v>54.336863999999998</v>
      </c>
      <c r="I80">
        <v>60.256176000000004</v>
      </c>
      <c r="J80">
        <v>66.322074999999998</v>
      </c>
      <c r="K80">
        <v>72.490013000000005</v>
      </c>
      <c r="L80">
        <v>79.198997000000006</v>
      </c>
      <c r="M80">
        <v>86.464447000000007</v>
      </c>
      <c r="N80">
        <v>93.684914000000006</v>
      </c>
      <c r="O80">
        <v>100.98305499999999</v>
      </c>
      <c r="P80">
        <v>108.15836299999999</v>
      </c>
      <c r="Q80">
        <v>113.73416899999999</v>
      </c>
      <c r="R80">
        <v>119.487396</v>
      </c>
      <c r="S80">
        <v>125.302719</v>
      </c>
      <c r="T80">
        <v>131.404404</v>
      </c>
      <c r="U80">
        <v>137.54899599999999</v>
      </c>
      <c r="V80">
        <v>143.824051</v>
      </c>
      <c r="W80">
        <v>150.15042099999999</v>
      </c>
      <c r="X80">
        <v>156.66720599999999</v>
      </c>
      <c r="Y80">
        <v>163.27203399999999</v>
      </c>
      <c r="Z80">
        <v>169.98675499999999</v>
      </c>
      <c r="AA80">
        <v>176.94047499999999</v>
      </c>
      <c r="AB80">
        <v>184.045242</v>
      </c>
      <c r="AC80">
        <v>191.368225</v>
      </c>
      <c r="AD80">
        <v>198.87112400000001</v>
      </c>
      <c r="AE80">
        <v>206.553101</v>
      </c>
      <c r="AF80">
        <v>214.335587</v>
      </c>
      <c r="AG80" s="122">
        <v>6.5000000000000002E-2</v>
      </c>
    </row>
    <row r="81" spans="1:33" x14ac:dyDescent="0.25">
      <c r="A81" t="s">
        <v>238</v>
      </c>
    </row>
    <row r="82" spans="1:33" x14ac:dyDescent="0.25">
      <c r="A82" t="s">
        <v>234</v>
      </c>
      <c r="B82" t="s">
        <v>530</v>
      </c>
      <c r="C82" t="s">
        <v>529</v>
      </c>
      <c r="D82" t="s">
        <v>239</v>
      </c>
      <c r="F82">
        <v>6.8329999999999997E-3</v>
      </c>
      <c r="G82">
        <v>1.223E-2</v>
      </c>
      <c r="H82">
        <v>1.2281E-2</v>
      </c>
      <c r="I82">
        <v>1.2333E-2</v>
      </c>
      <c r="J82">
        <v>1.2383999999999999E-2</v>
      </c>
      <c r="K82">
        <v>1.2435999999999999E-2</v>
      </c>
      <c r="L82">
        <v>1.2487E-2</v>
      </c>
      <c r="M82">
        <v>1.2539E-2</v>
      </c>
      <c r="N82">
        <v>1.259E-2</v>
      </c>
      <c r="O82">
        <v>1.2642E-2</v>
      </c>
      <c r="P82">
        <v>1.2692999999999999E-2</v>
      </c>
      <c r="Q82">
        <v>1.2744E-2</v>
      </c>
      <c r="R82">
        <v>1.2796E-2</v>
      </c>
      <c r="S82">
        <v>1.2847000000000001E-2</v>
      </c>
      <c r="T82">
        <v>1.2899000000000001E-2</v>
      </c>
      <c r="U82">
        <v>1.2951000000000001E-2</v>
      </c>
      <c r="V82">
        <v>1.3006999999999999E-2</v>
      </c>
      <c r="W82">
        <v>1.3070999999999999E-2</v>
      </c>
      <c r="X82">
        <v>1.3154000000000001E-2</v>
      </c>
      <c r="Y82">
        <v>1.3272000000000001E-2</v>
      </c>
      <c r="Z82">
        <v>1.3459E-2</v>
      </c>
      <c r="AA82">
        <v>1.3774E-2</v>
      </c>
      <c r="AB82">
        <v>1.4328E-2</v>
      </c>
      <c r="AC82">
        <v>1.4885000000000001E-2</v>
      </c>
      <c r="AD82">
        <v>1.5443999999999999E-2</v>
      </c>
      <c r="AE82">
        <v>1.6007E-2</v>
      </c>
      <c r="AF82">
        <v>1.6572E-2</v>
      </c>
      <c r="AG82" s="122">
        <v>3.5000000000000003E-2</v>
      </c>
    </row>
    <row r="83" spans="1:33" x14ac:dyDescent="0.25">
      <c r="A83" t="s">
        <v>236</v>
      </c>
      <c r="B83" t="s">
        <v>528</v>
      </c>
      <c r="C83" t="s">
        <v>527</v>
      </c>
      <c r="D83" t="s">
        <v>239</v>
      </c>
      <c r="F83">
        <v>62.697704000000002</v>
      </c>
      <c r="G83">
        <v>71.294235</v>
      </c>
      <c r="H83">
        <v>79.992973000000006</v>
      </c>
      <c r="I83">
        <v>88.178039999999996</v>
      </c>
      <c r="J83">
        <v>96.523482999999999</v>
      </c>
      <c r="K83">
        <v>104.968887</v>
      </c>
      <c r="L83">
        <v>113.990364</v>
      </c>
      <c r="M83">
        <v>123.68132</v>
      </c>
      <c r="N83">
        <v>133.259018</v>
      </c>
      <c r="O83">
        <v>143.18649300000001</v>
      </c>
      <c r="P83">
        <v>153.01391599999999</v>
      </c>
      <c r="Q83">
        <v>160.67247</v>
      </c>
      <c r="R83">
        <v>168.56346099999999</v>
      </c>
      <c r="S83">
        <v>176.51448099999999</v>
      </c>
      <c r="T83">
        <v>184.853317</v>
      </c>
      <c r="U83">
        <v>193.228027</v>
      </c>
      <c r="V83">
        <v>201.758499</v>
      </c>
      <c r="W83">
        <v>210.33152799999999</v>
      </c>
      <c r="X83">
        <v>219.14546200000001</v>
      </c>
      <c r="Y83">
        <v>228.058289</v>
      </c>
      <c r="Z83">
        <v>237.096405</v>
      </c>
      <c r="AA83">
        <v>246.43699599999999</v>
      </c>
      <c r="AB83">
        <v>255.963303</v>
      </c>
      <c r="AC83">
        <v>265.76538099999999</v>
      </c>
      <c r="AD83">
        <v>275.789062</v>
      </c>
      <c r="AE83">
        <v>286.03298999999998</v>
      </c>
      <c r="AF83">
        <v>296.38397200000003</v>
      </c>
      <c r="AG83" s="122">
        <v>6.2E-2</v>
      </c>
    </row>
    <row r="84" spans="1:33" x14ac:dyDescent="0.25">
      <c r="A84" t="s">
        <v>237</v>
      </c>
      <c r="B84" t="s">
        <v>526</v>
      </c>
      <c r="C84" t="s">
        <v>525</v>
      </c>
      <c r="D84" t="s">
        <v>239</v>
      </c>
      <c r="F84">
        <v>0.36942000000000003</v>
      </c>
      <c r="G84">
        <v>0.62720100000000001</v>
      </c>
      <c r="H84">
        <v>0.87962300000000004</v>
      </c>
      <c r="I84">
        <v>0.99686600000000003</v>
      </c>
      <c r="J84">
        <v>1.1279790000000001</v>
      </c>
      <c r="K84">
        <v>1.269903</v>
      </c>
      <c r="L84">
        <v>1.541979</v>
      </c>
      <c r="M84">
        <v>1.9001189999999999</v>
      </c>
      <c r="N84">
        <v>2.2639939999999998</v>
      </c>
      <c r="O84">
        <v>2.3875139999999999</v>
      </c>
      <c r="P84">
        <v>2.4449730000000001</v>
      </c>
      <c r="Q84">
        <v>2.4463569999999999</v>
      </c>
      <c r="R84">
        <v>2.448035</v>
      </c>
      <c r="S84">
        <v>2.4499900000000001</v>
      </c>
      <c r="T84">
        <v>2.4522360000000001</v>
      </c>
      <c r="U84">
        <v>2.4546999999999999</v>
      </c>
      <c r="V84">
        <v>2.4574090000000002</v>
      </c>
      <c r="W84">
        <v>2.4603890000000002</v>
      </c>
      <c r="X84">
        <v>2.4635590000000001</v>
      </c>
      <c r="Y84">
        <v>2.4668480000000002</v>
      </c>
      <c r="Z84">
        <v>2.4702540000000002</v>
      </c>
      <c r="AA84">
        <v>2.4738060000000002</v>
      </c>
      <c r="AB84">
        <v>2.4775369999999999</v>
      </c>
      <c r="AC84">
        <v>2.4813749999999999</v>
      </c>
      <c r="AD84">
        <v>2.4853670000000001</v>
      </c>
      <c r="AE84">
        <v>2.4895170000000002</v>
      </c>
      <c r="AF84">
        <v>2.493827</v>
      </c>
      <c r="AG84" s="122">
        <v>7.5999999999999998E-2</v>
      </c>
    </row>
    <row r="85" spans="1:33" x14ac:dyDescent="0.25">
      <c r="A85" t="s">
        <v>189</v>
      </c>
      <c r="B85" t="s">
        <v>524</v>
      </c>
      <c r="C85" t="s">
        <v>523</v>
      </c>
      <c r="D85" t="s">
        <v>239</v>
      </c>
      <c r="F85">
        <v>63.073956000000003</v>
      </c>
      <c r="G85">
        <v>71.933661999999998</v>
      </c>
      <c r="H85">
        <v>80.884879999999995</v>
      </c>
      <c r="I85">
        <v>89.187233000000006</v>
      </c>
      <c r="J85">
        <v>97.663848999999999</v>
      </c>
      <c r="K85">
        <v>106.251228</v>
      </c>
      <c r="L85">
        <v>115.54483</v>
      </c>
      <c r="M85">
        <v>125.593971</v>
      </c>
      <c r="N85">
        <v>135.53559899999999</v>
      </c>
      <c r="O85">
        <v>145.58663899999999</v>
      </c>
      <c r="P85">
        <v>155.471588</v>
      </c>
      <c r="Q85">
        <v>163.131561</v>
      </c>
      <c r="R85">
        <v>171.024292</v>
      </c>
      <c r="S85">
        <v>178.97732500000001</v>
      </c>
      <c r="T85">
        <v>187.31845100000001</v>
      </c>
      <c r="U85">
        <v>195.69567900000001</v>
      </c>
      <c r="V85">
        <v>204.22891200000001</v>
      </c>
      <c r="W85">
        <v>212.804993</v>
      </c>
      <c r="X85">
        <v>221.62217699999999</v>
      </c>
      <c r="Y85">
        <v>230.53840600000001</v>
      </c>
      <c r="Z85">
        <v>239.58012400000001</v>
      </c>
      <c r="AA85">
        <v>248.924576</v>
      </c>
      <c r="AB85">
        <v>258.45517000000001</v>
      </c>
      <c r="AC85">
        <v>268.26165800000001</v>
      </c>
      <c r="AD85">
        <v>278.28988600000002</v>
      </c>
      <c r="AE85">
        <v>288.53851300000002</v>
      </c>
      <c r="AF85">
        <v>298.89437900000001</v>
      </c>
      <c r="AG85" s="122">
        <v>6.2E-2</v>
      </c>
    </row>
    <row r="86" spans="1:33" x14ac:dyDescent="0.25">
      <c r="A86" t="s">
        <v>240</v>
      </c>
    </row>
    <row r="87" spans="1:33" x14ac:dyDescent="0.25">
      <c r="A87" t="s">
        <v>241</v>
      </c>
      <c r="B87" t="s">
        <v>522</v>
      </c>
      <c r="C87" t="s">
        <v>521</v>
      </c>
      <c r="D87" t="s">
        <v>239</v>
      </c>
      <c r="F87">
        <v>11.527926000000001</v>
      </c>
      <c r="G87">
        <v>13.327674999999999</v>
      </c>
      <c r="H87">
        <v>15.115705</v>
      </c>
      <c r="I87">
        <v>16.711511999999999</v>
      </c>
      <c r="J87">
        <v>18.336743999999999</v>
      </c>
      <c r="K87">
        <v>19.964907</v>
      </c>
      <c r="L87">
        <v>21.847279</v>
      </c>
      <c r="M87">
        <v>23.999292000000001</v>
      </c>
      <c r="N87">
        <v>26.075050000000001</v>
      </c>
      <c r="O87">
        <v>28.288122000000001</v>
      </c>
      <c r="P87">
        <v>30.488133999999999</v>
      </c>
      <c r="Q87">
        <v>32.147984000000001</v>
      </c>
      <c r="R87">
        <v>33.877605000000003</v>
      </c>
      <c r="S87">
        <v>35.583419999999997</v>
      </c>
      <c r="T87">
        <v>37.429049999999997</v>
      </c>
      <c r="U87">
        <v>39.226177</v>
      </c>
      <c r="V87">
        <v>41.045380000000002</v>
      </c>
      <c r="W87">
        <v>42.813847000000003</v>
      </c>
      <c r="X87">
        <v>44.644409000000003</v>
      </c>
      <c r="Y87">
        <v>46.466735999999997</v>
      </c>
      <c r="Z87">
        <v>48.275852</v>
      </c>
      <c r="AA87">
        <v>50.168255000000002</v>
      </c>
      <c r="AB87">
        <v>52.062747999999999</v>
      </c>
      <c r="AC87">
        <v>54.058846000000003</v>
      </c>
      <c r="AD87">
        <v>56.059513000000003</v>
      </c>
      <c r="AE87">
        <v>58.126334999999997</v>
      </c>
      <c r="AF87">
        <v>60.175502999999999</v>
      </c>
      <c r="AG87" s="122">
        <v>6.6000000000000003E-2</v>
      </c>
    </row>
    <row r="88" spans="1:33" x14ac:dyDescent="0.25">
      <c r="A88" t="s">
        <v>242</v>
      </c>
      <c r="B88" t="s">
        <v>520</v>
      </c>
      <c r="C88" t="s">
        <v>519</v>
      </c>
      <c r="D88" t="s">
        <v>239</v>
      </c>
      <c r="F88">
        <v>51.546031999999997</v>
      </c>
      <c r="G88">
        <v>58.605991000000003</v>
      </c>
      <c r="H88">
        <v>65.769172999999995</v>
      </c>
      <c r="I88">
        <v>72.475723000000002</v>
      </c>
      <c r="J88">
        <v>79.327110000000005</v>
      </c>
      <c r="K88">
        <v>86.286323999999993</v>
      </c>
      <c r="L88">
        <v>93.697556000000006</v>
      </c>
      <c r="M88">
        <v>101.594688</v>
      </c>
      <c r="N88">
        <v>109.460548</v>
      </c>
      <c r="O88">
        <v>117.298531</v>
      </c>
      <c r="P88">
        <v>124.983452</v>
      </c>
      <c r="Q88">
        <v>130.98358200000001</v>
      </c>
      <c r="R88">
        <v>137.146683</v>
      </c>
      <c r="S88">
        <v>143.39390599999999</v>
      </c>
      <c r="T88">
        <v>149.88938899999999</v>
      </c>
      <c r="U88">
        <v>156.46949799999999</v>
      </c>
      <c r="V88">
        <v>163.18351699999999</v>
      </c>
      <c r="W88">
        <v>169.99115</v>
      </c>
      <c r="X88">
        <v>176.977768</v>
      </c>
      <c r="Y88">
        <v>184.07167100000001</v>
      </c>
      <c r="Z88">
        <v>191.30427599999999</v>
      </c>
      <c r="AA88">
        <v>198.75633199999999</v>
      </c>
      <c r="AB88">
        <v>206.39241000000001</v>
      </c>
      <c r="AC88">
        <v>214.20282</v>
      </c>
      <c r="AD88">
        <v>222.230377</v>
      </c>
      <c r="AE88">
        <v>230.41217</v>
      </c>
      <c r="AF88">
        <v>238.718842</v>
      </c>
      <c r="AG88" s="122">
        <v>6.0999999999999999E-2</v>
      </c>
    </row>
    <row r="89" spans="1:33" x14ac:dyDescent="0.25">
      <c r="A89" t="s">
        <v>243</v>
      </c>
    </row>
    <row r="90" spans="1:33" x14ac:dyDescent="0.25">
      <c r="A90" t="s">
        <v>234</v>
      </c>
      <c r="B90" t="s">
        <v>518</v>
      </c>
      <c r="C90" t="s">
        <v>517</v>
      </c>
      <c r="D90" t="s">
        <v>244</v>
      </c>
      <c r="F90">
        <v>5.2158999999999997E-2</v>
      </c>
      <c r="G90">
        <v>9.3352000000000004E-2</v>
      </c>
      <c r="H90">
        <v>9.3744999999999995E-2</v>
      </c>
      <c r="I90">
        <v>9.4137999999999999E-2</v>
      </c>
      <c r="J90">
        <v>9.4531000000000004E-2</v>
      </c>
      <c r="K90">
        <v>9.4923999999999994E-2</v>
      </c>
      <c r="L90">
        <v>9.5316999999999999E-2</v>
      </c>
      <c r="M90">
        <v>9.5710000000000003E-2</v>
      </c>
      <c r="N90">
        <v>9.6102999999999994E-2</v>
      </c>
      <c r="O90">
        <v>9.6495999999999998E-2</v>
      </c>
      <c r="P90">
        <v>9.6889000000000003E-2</v>
      </c>
      <c r="Q90">
        <v>9.7281999999999993E-2</v>
      </c>
      <c r="R90">
        <v>9.7674999999999998E-2</v>
      </c>
      <c r="S90">
        <v>9.8068000000000002E-2</v>
      </c>
      <c r="T90">
        <v>9.8461000000000007E-2</v>
      </c>
      <c r="U90">
        <v>9.8860000000000003E-2</v>
      </c>
      <c r="V90">
        <v>9.9283999999999997E-2</v>
      </c>
      <c r="W90">
        <v>9.9774000000000002E-2</v>
      </c>
      <c r="X90">
        <v>0.100407</v>
      </c>
      <c r="Y90">
        <v>0.101309</v>
      </c>
      <c r="Z90">
        <v>0.10273500000000001</v>
      </c>
      <c r="AA90">
        <v>0.105142</v>
      </c>
      <c r="AB90">
        <v>0.109371</v>
      </c>
      <c r="AC90">
        <v>0.113619</v>
      </c>
      <c r="AD90">
        <v>0.117891</v>
      </c>
      <c r="AE90">
        <v>0.122184</v>
      </c>
      <c r="AF90">
        <v>0.126495</v>
      </c>
      <c r="AG90" s="122">
        <v>3.5000000000000003E-2</v>
      </c>
    </row>
    <row r="91" spans="1:33" x14ac:dyDescent="0.25">
      <c r="A91" t="s">
        <v>236</v>
      </c>
      <c r="B91" t="s">
        <v>516</v>
      </c>
      <c r="C91" t="s">
        <v>515</v>
      </c>
      <c r="D91" t="s">
        <v>244</v>
      </c>
      <c r="F91">
        <v>213.92456100000001</v>
      </c>
      <c r="G91">
        <v>243.25592</v>
      </c>
      <c r="H91">
        <v>272.93600500000002</v>
      </c>
      <c r="I91">
        <v>300.86346400000002</v>
      </c>
      <c r="J91">
        <v>329.33810399999999</v>
      </c>
      <c r="K91">
        <v>358.15386999999998</v>
      </c>
      <c r="L91">
        <v>388.93511999999998</v>
      </c>
      <c r="M91">
        <v>422.00060999999999</v>
      </c>
      <c r="N91">
        <v>454.67974900000002</v>
      </c>
      <c r="O91">
        <v>488.55230699999998</v>
      </c>
      <c r="P91">
        <v>522.08343500000001</v>
      </c>
      <c r="Q91">
        <v>548.21447799999999</v>
      </c>
      <c r="R91">
        <v>575.13855000000001</v>
      </c>
      <c r="S91">
        <v>602.26739499999996</v>
      </c>
      <c r="T91">
        <v>630.71948199999997</v>
      </c>
      <c r="U91">
        <v>659.29394500000001</v>
      </c>
      <c r="V91">
        <v>688.399902</v>
      </c>
      <c r="W91">
        <v>717.65118399999994</v>
      </c>
      <c r="X91">
        <v>747.72436500000003</v>
      </c>
      <c r="Y91">
        <v>778.13476600000001</v>
      </c>
      <c r="Z91">
        <v>808.97296100000005</v>
      </c>
      <c r="AA91">
        <v>840.84301800000003</v>
      </c>
      <c r="AB91">
        <v>873.34674099999995</v>
      </c>
      <c r="AC91">
        <v>906.79150400000003</v>
      </c>
      <c r="AD91">
        <v>940.99224900000002</v>
      </c>
      <c r="AE91">
        <v>975.94445800000005</v>
      </c>
      <c r="AF91">
        <v>1011.261963</v>
      </c>
      <c r="AG91" s="122">
        <v>6.2E-2</v>
      </c>
    </row>
    <row r="92" spans="1:33" x14ac:dyDescent="0.25">
      <c r="A92" t="s">
        <v>237</v>
      </c>
      <c r="B92" t="s">
        <v>514</v>
      </c>
      <c r="C92" t="s">
        <v>513</v>
      </c>
      <c r="D92" t="s">
        <v>244</v>
      </c>
      <c r="F92">
        <v>1.2604599999999999</v>
      </c>
      <c r="G92">
        <v>2.1400079999999999</v>
      </c>
      <c r="H92">
        <v>3.0012729999999999</v>
      </c>
      <c r="I92">
        <v>3.4013070000000001</v>
      </c>
      <c r="J92">
        <v>3.848665</v>
      </c>
      <c r="K92">
        <v>4.3329079999999998</v>
      </c>
      <c r="L92">
        <v>5.2612310000000004</v>
      </c>
      <c r="M92">
        <v>6.483206</v>
      </c>
      <c r="N92">
        <v>7.7247459999999997</v>
      </c>
      <c r="O92">
        <v>8.1461970000000008</v>
      </c>
      <c r="P92">
        <v>8.3422479999999997</v>
      </c>
      <c r="Q92">
        <v>8.3469700000000007</v>
      </c>
      <c r="R92">
        <v>8.3526950000000006</v>
      </c>
      <c r="S92">
        <v>8.3593650000000004</v>
      </c>
      <c r="T92">
        <v>8.3670290000000005</v>
      </c>
      <c r="U92">
        <v>8.3754380000000008</v>
      </c>
      <c r="V92">
        <v>8.3846799999999995</v>
      </c>
      <c r="W92">
        <v>8.3948470000000004</v>
      </c>
      <c r="X92">
        <v>8.4056619999999995</v>
      </c>
      <c r="Y92">
        <v>8.4168839999999996</v>
      </c>
      <c r="Z92">
        <v>8.4285049999999995</v>
      </c>
      <c r="AA92">
        <v>8.4406239999999997</v>
      </c>
      <c r="AB92">
        <v>8.4533539999999991</v>
      </c>
      <c r="AC92">
        <v>8.46645</v>
      </c>
      <c r="AD92">
        <v>8.4800719999999998</v>
      </c>
      <c r="AE92">
        <v>8.4942320000000002</v>
      </c>
      <c r="AF92">
        <v>8.5089380000000006</v>
      </c>
      <c r="AG92" s="122">
        <v>7.5999999999999998E-2</v>
      </c>
    </row>
    <row r="93" spans="1:33" x14ac:dyDescent="0.25">
      <c r="A93" t="s">
        <v>189</v>
      </c>
      <c r="B93" t="s">
        <v>512</v>
      </c>
      <c r="C93" t="s">
        <v>511</v>
      </c>
      <c r="D93" t="s">
        <v>244</v>
      </c>
      <c r="F93">
        <v>215.237167</v>
      </c>
      <c r="G93">
        <v>245.48928799999999</v>
      </c>
      <c r="H93">
        <v>276.03103599999997</v>
      </c>
      <c r="I93">
        <v>304.35891700000002</v>
      </c>
      <c r="J93">
        <v>333.28131100000002</v>
      </c>
      <c r="K93">
        <v>362.58169600000002</v>
      </c>
      <c r="L93">
        <v>394.29165599999999</v>
      </c>
      <c r="M93">
        <v>428.57952899999998</v>
      </c>
      <c r="N93">
        <v>462.50058000000001</v>
      </c>
      <c r="O93">
        <v>496.79501299999998</v>
      </c>
      <c r="P93">
        <v>530.52252199999998</v>
      </c>
      <c r="Q93">
        <v>556.65875200000005</v>
      </c>
      <c r="R93">
        <v>583.58892800000001</v>
      </c>
      <c r="S93">
        <v>610.72485400000005</v>
      </c>
      <c r="T93">
        <v>639.18493699999999</v>
      </c>
      <c r="U93">
        <v>667.76824999999997</v>
      </c>
      <c r="V93">
        <v>696.88391100000001</v>
      </c>
      <c r="W93">
        <v>726.14581299999998</v>
      </c>
      <c r="X93">
        <v>756.23040800000001</v>
      </c>
      <c r="Y93">
        <v>786.65295400000002</v>
      </c>
      <c r="Z93">
        <v>817.50421100000005</v>
      </c>
      <c r="AA93">
        <v>849.38879399999996</v>
      </c>
      <c r="AB93">
        <v>881.90948500000002</v>
      </c>
      <c r="AC93">
        <v>915.37158199999999</v>
      </c>
      <c r="AD93">
        <v>949.59020999999996</v>
      </c>
      <c r="AE93">
        <v>984.56091300000003</v>
      </c>
      <c r="AF93">
        <v>1019.897339</v>
      </c>
      <c r="AG93" s="122">
        <v>6.2E-2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74C1E-F91F-4AC6-A9B8-15498632FA6D}">
  <dimension ref="A1:AG125"/>
  <sheetViews>
    <sheetView workbookViewId="0"/>
  </sheetViews>
  <sheetFormatPr defaultRowHeight="15" x14ac:dyDescent="0.25"/>
  <cols>
    <col min="1" max="1" width="16.140625" customWidth="1"/>
    <col min="2" max="2" width="71" customWidth="1"/>
  </cols>
  <sheetData>
    <row r="1" spans="1:33" x14ac:dyDescent="0.25">
      <c r="A1" t="s">
        <v>510</v>
      </c>
    </row>
    <row r="2" spans="1:33" x14ac:dyDescent="0.25">
      <c r="A2" t="s">
        <v>509</v>
      </c>
    </row>
    <row r="3" spans="1:33" x14ac:dyDescent="0.25">
      <c r="A3" t="s">
        <v>508</v>
      </c>
    </row>
    <row r="4" spans="1:33" x14ac:dyDescent="0.25">
      <c r="A4" t="s">
        <v>174</v>
      </c>
    </row>
    <row r="5" spans="1:33" x14ac:dyDescent="0.25">
      <c r="B5" t="s">
        <v>175</v>
      </c>
      <c r="C5" t="s">
        <v>176</v>
      </c>
      <c r="D5" t="s">
        <v>177</v>
      </c>
      <c r="E5">
        <v>2023</v>
      </c>
      <c r="F5">
        <v>2024</v>
      </c>
      <c r="G5">
        <v>2025</v>
      </c>
      <c r="H5">
        <v>2026</v>
      </c>
      <c r="I5">
        <v>2027</v>
      </c>
      <c r="J5">
        <v>2028</v>
      </c>
      <c r="K5">
        <v>2029</v>
      </c>
      <c r="L5">
        <v>2030</v>
      </c>
      <c r="M5">
        <v>2031</v>
      </c>
      <c r="N5">
        <v>2032</v>
      </c>
      <c r="O5">
        <v>2033</v>
      </c>
      <c r="P5">
        <v>2034</v>
      </c>
      <c r="Q5">
        <v>2035</v>
      </c>
      <c r="R5">
        <v>2036</v>
      </c>
      <c r="S5">
        <v>2037</v>
      </c>
      <c r="T5">
        <v>2038</v>
      </c>
      <c r="U5">
        <v>2039</v>
      </c>
      <c r="V5">
        <v>2040</v>
      </c>
      <c r="W5">
        <v>2041</v>
      </c>
      <c r="X5">
        <v>2042</v>
      </c>
      <c r="Y5">
        <v>2043</v>
      </c>
      <c r="Z5">
        <v>2044</v>
      </c>
      <c r="AA5">
        <v>2045</v>
      </c>
      <c r="AB5">
        <v>2046</v>
      </c>
      <c r="AC5">
        <v>2047</v>
      </c>
      <c r="AD5">
        <v>2048</v>
      </c>
      <c r="AE5">
        <v>2049</v>
      </c>
      <c r="AF5">
        <v>2050</v>
      </c>
      <c r="AG5" t="s">
        <v>507</v>
      </c>
    </row>
    <row r="6" spans="1:33" x14ac:dyDescent="0.25">
      <c r="A6" t="s">
        <v>15</v>
      </c>
    </row>
    <row r="7" spans="1:33" x14ac:dyDescent="0.25">
      <c r="A7" t="s">
        <v>506</v>
      </c>
    </row>
    <row r="8" spans="1:33" x14ac:dyDescent="0.25">
      <c r="A8" t="s">
        <v>505</v>
      </c>
      <c r="B8" t="s">
        <v>504</v>
      </c>
      <c r="C8" t="s">
        <v>503</v>
      </c>
      <c r="D8" t="s">
        <v>180</v>
      </c>
      <c r="F8">
        <v>88.609744000000006</v>
      </c>
      <c r="G8">
        <v>89.620168000000007</v>
      </c>
      <c r="H8">
        <v>90.630560000000003</v>
      </c>
      <c r="I8">
        <v>91.639144000000002</v>
      </c>
      <c r="J8">
        <v>92.631343999999999</v>
      </c>
      <c r="K8">
        <v>93.625568000000001</v>
      </c>
      <c r="L8">
        <v>94.612880000000004</v>
      </c>
      <c r="M8">
        <v>95.597920000000002</v>
      </c>
      <c r="N8">
        <v>96.579055999999994</v>
      </c>
      <c r="O8">
        <v>97.539760000000001</v>
      </c>
      <c r="P8">
        <v>98.471496000000002</v>
      </c>
      <c r="Q8">
        <v>99.397143999999997</v>
      </c>
      <c r="R8">
        <v>100.30808</v>
      </c>
      <c r="S8">
        <v>101.19444</v>
      </c>
      <c r="T8">
        <v>102.05505599999999</v>
      </c>
      <c r="U8">
        <v>102.881776</v>
      </c>
      <c r="V8">
        <v>103.68031999999999</v>
      </c>
      <c r="W8">
        <v>104.448032</v>
      </c>
      <c r="X8">
        <v>105.19444</v>
      </c>
      <c r="Y8">
        <v>105.909008</v>
      </c>
      <c r="Z8">
        <v>106.60332</v>
      </c>
      <c r="AA8">
        <v>107.296992</v>
      </c>
      <c r="AB8">
        <v>107.988176</v>
      </c>
      <c r="AC8">
        <v>108.678416</v>
      </c>
      <c r="AD8">
        <v>109.36732000000001</v>
      </c>
      <c r="AE8">
        <v>110.055008</v>
      </c>
      <c r="AF8">
        <v>110.739904</v>
      </c>
      <c r="AG8" s="122">
        <v>8.9999999999999993E-3</v>
      </c>
    </row>
    <row r="9" spans="1:33" x14ac:dyDescent="0.25">
      <c r="A9" t="s">
        <v>502</v>
      </c>
      <c r="B9" t="s">
        <v>501</v>
      </c>
      <c r="C9" t="s">
        <v>500</v>
      </c>
      <c r="D9" t="s">
        <v>180</v>
      </c>
      <c r="F9">
        <v>34.017912000000003</v>
      </c>
      <c r="G9">
        <v>34.380360000000003</v>
      </c>
      <c r="H9">
        <v>34.797955999999999</v>
      </c>
      <c r="I9">
        <v>35.233648000000002</v>
      </c>
      <c r="J9">
        <v>35.702292</v>
      </c>
      <c r="K9">
        <v>36.208235999999999</v>
      </c>
      <c r="L9">
        <v>36.726044000000002</v>
      </c>
      <c r="M9">
        <v>37.246780000000001</v>
      </c>
      <c r="N9">
        <v>37.753312000000001</v>
      </c>
      <c r="O9">
        <v>38.226855999999998</v>
      </c>
      <c r="P9">
        <v>38.666983999999999</v>
      </c>
      <c r="Q9">
        <v>39.093076000000003</v>
      </c>
      <c r="R9">
        <v>39.503836</v>
      </c>
      <c r="S9">
        <v>39.883567999999997</v>
      </c>
      <c r="T9">
        <v>40.239072</v>
      </c>
      <c r="U9">
        <v>40.573248</v>
      </c>
      <c r="V9">
        <v>40.890327999999997</v>
      </c>
      <c r="W9">
        <v>41.185544</v>
      </c>
      <c r="X9">
        <v>41.464128000000002</v>
      </c>
      <c r="Y9">
        <v>41.734527999999997</v>
      </c>
      <c r="Z9">
        <v>42.005980000000001</v>
      </c>
      <c r="AA9">
        <v>42.277656</v>
      </c>
      <c r="AB9">
        <v>42.549807999999999</v>
      </c>
      <c r="AC9">
        <v>42.820991999999997</v>
      </c>
      <c r="AD9">
        <v>43.092480000000002</v>
      </c>
      <c r="AE9">
        <v>43.364628000000003</v>
      </c>
      <c r="AF9">
        <v>43.636816000000003</v>
      </c>
      <c r="AG9" s="122">
        <v>0.01</v>
      </c>
    </row>
    <row r="10" spans="1:33" x14ac:dyDescent="0.25">
      <c r="A10" t="s">
        <v>499</v>
      </c>
      <c r="B10" t="s">
        <v>498</v>
      </c>
      <c r="C10" t="s">
        <v>497</v>
      </c>
      <c r="D10" t="s">
        <v>180</v>
      </c>
      <c r="F10">
        <v>6.7559019999999999</v>
      </c>
      <c r="G10">
        <v>6.748634</v>
      </c>
      <c r="H10">
        <v>6.7704029999999999</v>
      </c>
      <c r="I10">
        <v>6.7926659999999996</v>
      </c>
      <c r="J10">
        <v>6.8042179999999997</v>
      </c>
      <c r="K10">
        <v>6.8138589999999999</v>
      </c>
      <c r="L10">
        <v>6.8186530000000003</v>
      </c>
      <c r="M10">
        <v>6.8248490000000004</v>
      </c>
      <c r="N10">
        <v>6.8337789999999998</v>
      </c>
      <c r="O10">
        <v>6.8433950000000001</v>
      </c>
      <c r="P10">
        <v>6.8506429999999998</v>
      </c>
      <c r="Q10">
        <v>6.8557889999999997</v>
      </c>
      <c r="R10">
        <v>6.86137</v>
      </c>
      <c r="S10">
        <v>6.8660889999999997</v>
      </c>
      <c r="T10">
        <v>6.8694940000000004</v>
      </c>
      <c r="U10">
        <v>6.8719570000000001</v>
      </c>
      <c r="V10">
        <v>6.8768599999999998</v>
      </c>
      <c r="W10">
        <v>6.8830470000000004</v>
      </c>
      <c r="X10">
        <v>6.8891169999999997</v>
      </c>
      <c r="Y10">
        <v>6.8947900000000004</v>
      </c>
      <c r="Z10">
        <v>6.9008120000000002</v>
      </c>
      <c r="AA10">
        <v>6.9073529999999996</v>
      </c>
      <c r="AB10">
        <v>6.9128509999999999</v>
      </c>
      <c r="AC10">
        <v>6.9189319999999999</v>
      </c>
      <c r="AD10">
        <v>6.9247629999999996</v>
      </c>
      <c r="AE10">
        <v>6.931044</v>
      </c>
      <c r="AF10">
        <v>6.9366469999999998</v>
      </c>
      <c r="AG10" s="122">
        <v>1E-3</v>
      </c>
    </row>
    <row r="11" spans="1:33" x14ac:dyDescent="0.25">
      <c r="A11" t="s">
        <v>189</v>
      </c>
      <c r="B11" t="s">
        <v>496</v>
      </c>
      <c r="C11" t="s">
        <v>495</v>
      </c>
      <c r="D11" t="s">
        <v>180</v>
      </c>
      <c r="F11">
        <v>129.383557</v>
      </c>
      <c r="G11">
        <v>130.74916300000001</v>
      </c>
      <c r="H11">
        <v>132.19891899999999</v>
      </c>
      <c r="I11">
        <v>133.665458</v>
      </c>
      <c r="J11">
        <v>135.137854</v>
      </c>
      <c r="K11">
        <v>136.64766299999999</v>
      </c>
      <c r="L11">
        <v>138.157577</v>
      </c>
      <c r="M11">
        <v>139.66954899999999</v>
      </c>
      <c r="N11">
        <v>141.166146</v>
      </c>
      <c r="O11">
        <v>142.61001099999999</v>
      </c>
      <c r="P11">
        <v>143.98912300000001</v>
      </c>
      <c r="Q11">
        <v>145.34600800000001</v>
      </c>
      <c r="R11">
        <v>146.67328499999999</v>
      </c>
      <c r="S11">
        <v>147.944097</v>
      </c>
      <c r="T11">
        <v>149.163622</v>
      </c>
      <c r="U11">
        <v>150.32698099999999</v>
      </c>
      <c r="V11">
        <v>151.447508</v>
      </c>
      <c r="W11">
        <v>152.51662300000001</v>
      </c>
      <c r="X11">
        <v>153.547685</v>
      </c>
      <c r="Y11">
        <v>154.53832600000001</v>
      </c>
      <c r="Z11">
        <v>155.51011199999999</v>
      </c>
      <c r="AA11">
        <v>156.482</v>
      </c>
      <c r="AB11">
        <v>157.45083500000001</v>
      </c>
      <c r="AC11">
        <v>158.41834</v>
      </c>
      <c r="AD11">
        <v>159.38456300000001</v>
      </c>
      <c r="AE11">
        <v>160.35067900000001</v>
      </c>
      <c r="AF11">
        <v>161.313367</v>
      </c>
      <c r="AG11" s="122">
        <v>8.9999999999999993E-3</v>
      </c>
    </row>
    <row r="12" spans="1:33" x14ac:dyDescent="0.25">
      <c r="A12" t="s">
        <v>494</v>
      </c>
      <c r="B12" t="s">
        <v>493</v>
      </c>
      <c r="C12" t="s">
        <v>492</v>
      </c>
      <c r="D12" t="s">
        <v>491</v>
      </c>
      <c r="F12">
        <v>1643.956909</v>
      </c>
      <c r="G12">
        <v>1650.5161129999999</v>
      </c>
      <c r="H12">
        <v>1656.4620359999999</v>
      </c>
      <c r="I12">
        <v>1662.1602780000001</v>
      </c>
      <c r="J12">
        <v>1667.528687</v>
      </c>
      <c r="K12">
        <v>1672.5445560000001</v>
      </c>
      <c r="L12">
        <v>1677.3793949999999</v>
      </c>
      <c r="M12">
        <v>1682.0760499999999</v>
      </c>
      <c r="N12">
        <v>1686.7470699999999</v>
      </c>
      <c r="O12">
        <v>1691.494995</v>
      </c>
      <c r="P12">
        <v>1696.3217770000001</v>
      </c>
      <c r="Q12">
        <v>1701.145996</v>
      </c>
      <c r="R12">
        <v>1705.9552000000001</v>
      </c>
      <c r="S12">
        <v>1710.841187</v>
      </c>
      <c r="T12">
        <v>1715.764404</v>
      </c>
      <c r="U12">
        <v>1720.697754</v>
      </c>
      <c r="V12">
        <v>1725.6134030000001</v>
      </c>
      <c r="W12">
        <v>1730.5462649999999</v>
      </c>
      <c r="X12">
        <v>1735.488159</v>
      </c>
      <c r="Y12">
        <v>1740.372437</v>
      </c>
      <c r="Z12">
        <v>1745.155029</v>
      </c>
      <c r="AA12">
        <v>1749.8751219999999</v>
      </c>
      <c r="AB12">
        <v>1754.534302</v>
      </c>
      <c r="AC12">
        <v>1759.1407469999999</v>
      </c>
      <c r="AD12">
        <v>1763.687866</v>
      </c>
      <c r="AE12">
        <v>1768.173706</v>
      </c>
      <c r="AF12">
        <v>1772.6058350000001</v>
      </c>
      <c r="AG12" s="122">
        <v>3.0000000000000001E-3</v>
      </c>
    </row>
    <row r="13" spans="1:33" x14ac:dyDescent="0.25">
      <c r="A13" t="s">
        <v>490</v>
      </c>
    </row>
    <row r="14" spans="1:33" x14ac:dyDescent="0.25">
      <c r="A14" t="s">
        <v>489</v>
      </c>
    </row>
    <row r="15" spans="1:33" x14ac:dyDescent="0.25">
      <c r="A15" t="s">
        <v>482</v>
      </c>
      <c r="B15" t="s">
        <v>488</v>
      </c>
      <c r="C15" t="s">
        <v>487</v>
      </c>
      <c r="D15" t="s">
        <v>484</v>
      </c>
      <c r="F15">
        <v>85.992243999999999</v>
      </c>
      <c r="G15">
        <v>87.976600000000005</v>
      </c>
      <c r="H15">
        <v>87.589889999999997</v>
      </c>
      <c r="I15">
        <v>87.167931999999993</v>
      </c>
      <c r="J15">
        <v>86.534193000000002</v>
      </c>
      <c r="K15">
        <v>85.477507000000003</v>
      </c>
      <c r="L15">
        <v>84.242287000000005</v>
      </c>
      <c r="M15">
        <v>82.878242</v>
      </c>
      <c r="N15">
        <v>81.472909000000001</v>
      </c>
      <c r="O15">
        <v>80.237629999999996</v>
      </c>
      <c r="P15">
        <v>79.124025000000003</v>
      </c>
      <c r="Q15">
        <v>78.223224000000002</v>
      </c>
      <c r="R15">
        <v>77.510908999999998</v>
      </c>
      <c r="S15">
        <v>76.934630999999996</v>
      </c>
      <c r="T15">
        <v>76.394609000000003</v>
      </c>
      <c r="U15">
        <v>75.933800000000005</v>
      </c>
      <c r="V15">
        <v>75.490183999999999</v>
      </c>
      <c r="W15">
        <v>75.046198000000004</v>
      </c>
      <c r="X15">
        <v>74.633349999999993</v>
      </c>
      <c r="Y15">
        <v>74.262237999999996</v>
      </c>
      <c r="Z15">
        <v>73.916539</v>
      </c>
      <c r="AA15">
        <v>73.581210999999996</v>
      </c>
      <c r="AB15">
        <v>73.253640000000004</v>
      </c>
      <c r="AC15">
        <v>72.937099000000003</v>
      </c>
      <c r="AD15">
        <v>72.637647000000001</v>
      </c>
      <c r="AE15">
        <v>72.361427000000006</v>
      </c>
      <c r="AF15">
        <v>72.093052999999998</v>
      </c>
      <c r="AG15" s="122">
        <v>-7.0000000000000001E-3</v>
      </c>
    </row>
    <row r="16" spans="1:33" x14ac:dyDescent="0.25">
      <c r="A16" t="s">
        <v>479</v>
      </c>
      <c r="B16" t="s">
        <v>486</v>
      </c>
      <c r="C16" t="s">
        <v>485</v>
      </c>
      <c r="D16" t="s">
        <v>484</v>
      </c>
      <c r="F16">
        <v>84.632913000000002</v>
      </c>
      <c r="G16">
        <v>86.447232</v>
      </c>
      <c r="H16">
        <v>85.892414000000002</v>
      </c>
      <c r="I16">
        <v>85.317886999999999</v>
      </c>
      <c r="J16">
        <v>84.531318999999996</v>
      </c>
      <c r="K16">
        <v>83.322996000000003</v>
      </c>
      <c r="L16">
        <v>81.928291000000002</v>
      </c>
      <c r="M16">
        <v>80.396377000000001</v>
      </c>
      <c r="N16">
        <v>78.827236999999997</v>
      </c>
      <c r="O16">
        <v>77.431217000000004</v>
      </c>
      <c r="P16">
        <v>76.162388000000007</v>
      </c>
      <c r="Q16">
        <v>75.148381999999998</v>
      </c>
      <c r="R16">
        <v>74.320521999999997</v>
      </c>
      <c r="S16">
        <v>73.627571000000003</v>
      </c>
      <c r="T16">
        <v>72.966007000000005</v>
      </c>
      <c r="U16">
        <v>72.382382000000007</v>
      </c>
      <c r="V16">
        <v>71.813781000000006</v>
      </c>
      <c r="W16">
        <v>71.243269999999995</v>
      </c>
      <c r="X16">
        <v>70.700708000000006</v>
      </c>
      <c r="Y16">
        <v>70.198181000000005</v>
      </c>
      <c r="Z16">
        <v>69.719190999999995</v>
      </c>
      <c r="AA16">
        <v>69.247444000000002</v>
      </c>
      <c r="AB16">
        <v>68.781064000000001</v>
      </c>
      <c r="AC16">
        <v>68.323617999999996</v>
      </c>
      <c r="AD16">
        <v>67.880285999999998</v>
      </c>
      <c r="AE16">
        <v>67.458633000000006</v>
      </c>
      <c r="AF16">
        <v>67.043820999999994</v>
      </c>
      <c r="AG16" s="122">
        <v>-8.9999999999999993E-3</v>
      </c>
    </row>
    <row r="17" spans="1:33" x14ac:dyDescent="0.25">
      <c r="A17" t="s">
        <v>483</v>
      </c>
    </row>
    <row r="18" spans="1:33" x14ac:dyDescent="0.25">
      <c r="A18" t="s">
        <v>482</v>
      </c>
      <c r="B18" t="s">
        <v>481</v>
      </c>
      <c r="C18" t="s">
        <v>480</v>
      </c>
      <c r="D18" t="s">
        <v>476</v>
      </c>
      <c r="F18">
        <v>52.308089000000002</v>
      </c>
      <c r="G18">
        <v>53.302478999999998</v>
      </c>
      <c r="H18">
        <v>52.877692000000003</v>
      </c>
      <c r="I18">
        <v>52.442554999999999</v>
      </c>
      <c r="J18">
        <v>51.893675999999999</v>
      </c>
      <c r="K18">
        <v>51.106265999999998</v>
      </c>
      <c r="L18">
        <v>50.222560000000001</v>
      </c>
      <c r="M18">
        <v>49.2714</v>
      </c>
      <c r="N18">
        <v>48.301794000000001</v>
      </c>
      <c r="O18">
        <v>47.435924999999997</v>
      </c>
      <c r="P18">
        <v>46.644466999999999</v>
      </c>
      <c r="Q18">
        <v>45.982663000000002</v>
      </c>
      <c r="R18">
        <v>45.435488999999997</v>
      </c>
      <c r="S18">
        <v>44.968890999999999</v>
      </c>
      <c r="T18">
        <v>44.525115999999997</v>
      </c>
      <c r="U18">
        <v>44.129655999999997</v>
      </c>
      <c r="V18">
        <v>43.746870000000001</v>
      </c>
      <c r="W18">
        <v>43.365611999999999</v>
      </c>
      <c r="X18">
        <v>43.004240000000003</v>
      </c>
      <c r="Y18">
        <v>42.670313999999998</v>
      </c>
      <c r="Z18">
        <v>42.355285000000002</v>
      </c>
      <c r="AA18">
        <v>42.049407000000002</v>
      </c>
      <c r="AB18">
        <v>41.751044999999998</v>
      </c>
      <c r="AC18">
        <v>41.461776</v>
      </c>
      <c r="AD18">
        <v>41.185091999999997</v>
      </c>
      <c r="AE18">
        <v>40.924388</v>
      </c>
      <c r="AF18">
        <v>40.670662</v>
      </c>
      <c r="AG18" s="122">
        <v>-0.01</v>
      </c>
    </row>
    <row r="19" spans="1:33" x14ac:dyDescent="0.25">
      <c r="A19" t="s">
        <v>479</v>
      </c>
      <c r="B19" t="s">
        <v>478</v>
      </c>
      <c r="C19" t="s">
        <v>477</v>
      </c>
      <c r="D19" t="s">
        <v>476</v>
      </c>
      <c r="F19">
        <v>51.481223999999997</v>
      </c>
      <c r="G19">
        <v>52.375878999999998</v>
      </c>
      <c r="H19">
        <v>51.852933</v>
      </c>
      <c r="I19">
        <v>51.329518</v>
      </c>
      <c r="J19">
        <v>50.692573000000003</v>
      </c>
      <c r="K19">
        <v>49.818103000000001</v>
      </c>
      <c r="L19">
        <v>48.843029000000001</v>
      </c>
      <c r="M19">
        <v>47.795923000000002</v>
      </c>
      <c r="N19">
        <v>46.733288000000002</v>
      </c>
      <c r="O19">
        <v>45.776794000000002</v>
      </c>
      <c r="P19">
        <v>44.89855</v>
      </c>
      <c r="Q19">
        <v>44.175151</v>
      </c>
      <c r="R19">
        <v>43.565342000000001</v>
      </c>
      <c r="S19">
        <v>43.035888999999997</v>
      </c>
      <c r="T19">
        <v>42.526822000000003</v>
      </c>
      <c r="U19">
        <v>42.065714999999997</v>
      </c>
      <c r="V19">
        <v>41.616379000000002</v>
      </c>
      <c r="W19">
        <v>41.168081999999998</v>
      </c>
      <c r="X19">
        <v>40.738225</v>
      </c>
      <c r="Y19">
        <v>40.335149000000001</v>
      </c>
      <c r="Z19">
        <v>39.950142</v>
      </c>
      <c r="AA19">
        <v>39.572792</v>
      </c>
      <c r="AB19">
        <v>39.201892000000001</v>
      </c>
      <c r="AC19">
        <v>38.839199000000001</v>
      </c>
      <c r="AD19">
        <v>38.487698000000002</v>
      </c>
      <c r="AE19">
        <v>38.151586999999999</v>
      </c>
      <c r="AF19">
        <v>37.822181999999998</v>
      </c>
      <c r="AG19" s="122">
        <v>-1.2E-2</v>
      </c>
    </row>
    <row r="20" spans="1:33" x14ac:dyDescent="0.25">
      <c r="A20" t="s">
        <v>172</v>
      </c>
    </row>
    <row r="21" spans="1:33" x14ac:dyDescent="0.25">
      <c r="A21" t="s">
        <v>475</v>
      </c>
    </row>
    <row r="22" spans="1:33" x14ac:dyDescent="0.25">
      <c r="A22" t="s">
        <v>227</v>
      </c>
      <c r="B22" t="s">
        <v>474</v>
      </c>
      <c r="C22" t="s">
        <v>473</v>
      </c>
      <c r="D22" t="s">
        <v>299</v>
      </c>
      <c r="F22">
        <v>0.528061</v>
      </c>
      <c r="G22">
        <v>0.58256200000000002</v>
      </c>
      <c r="H22">
        <v>0.58554499999999998</v>
      </c>
      <c r="I22">
        <v>0.58918800000000005</v>
      </c>
      <c r="J22">
        <v>0.58990399999999998</v>
      </c>
      <c r="K22">
        <v>0.58641200000000004</v>
      </c>
      <c r="L22">
        <v>0.58055100000000004</v>
      </c>
      <c r="M22">
        <v>0.57359499999999997</v>
      </c>
      <c r="N22">
        <v>0.56673899999999999</v>
      </c>
      <c r="O22">
        <v>0.56072599999999995</v>
      </c>
      <c r="P22">
        <v>0.55457199999999995</v>
      </c>
      <c r="Q22">
        <v>0.55030900000000005</v>
      </c>
      <c r="R22">
        <v>0.54765699999999995</v>
      </c>
      <c r="S22">
        <v>0.54529499999999997</v>
      </c>
      <c r="T22">
        <v>0.542041</v>
      </c>
      <c r="U22">
        <v>0.53859100000000004</v>
      </c>
      <c r="V22">
        <v>0.53495199999999998</v>
      </c>
      <c r="W22">
        <v>0.53082799999999997</v>
      </c>
      <c r="X22">
        <v>0.52682799999999996</v>
      </c>
      <c r="Y22">
        <v>0.52286699999999997</v>
      </c>
      <c r="Z22">
        <v>0.51832800000000001</v>
      </c>
      <c r="AA22">
        <v>0.51352500000000001</v>
      </c>
      <c r="AB22">
        <v>0.50834800000000002</v>
      </c>
      <c r="AC22">
        <v>0.50292800000000004</v>
      </c>
      <c r="AD22">
        <v>0.49740299999999998</v>
      </c>
      <c r="AE22">
        <v>0.49220799999999998</v>
      </c>
      <c r="AF22">
        <v>0.48680000000000001</v>
      </c>
      <c r="AG22" s="122">
        <v>-3.0000000000000001E-3</v>
      </c>
    </row>
    <row r="23" spans="1:33" x14ac:dyDescent="0.25">
      <c r="A23" t="s">
        <v>211</v>
      </c>
      <c r="B23" t="s">
        <v>472</v>
      </c>
      <c r="C23" t="s">
        <v>471</v>
      </c>
      <c r="D23" t="s">
        <v>299</v>
      </c>
      <c r="F23">
        <v>0.997081</v>
      </c>
      <c r="G23">
        <v>0.95247300000000001</v>
      </c>
      <c r="H23">
        <v>0.97135400000000005</v>
      </c>
      <c r="I23">
        <v>0.98970999999999998</v>
      </c>
      <c r="J23">
        <v>1.0020089999999999</v>
      </c>
      <c r="K23">
        <v>1.0070300000000001</v>
      </c>
      <c r="L23">
        <v>1.009506</v>
      </c>
      <c r="M23">
        <v>1.0103930000000001</v>
      </c>
      <c r="N23">
        <v>1.012497</v>
      </c>
      <c r="O23">
        <v>1.0194939999999999</v>
      </c>
      <c r="P23">
        <v>1.0285329999999999</v>
      </c>
      <c r="Q23">
        <v>1.0416970000000001</v>
      </c>
      <c r="R23">
        <v>1.058786</v>
      </c>
      <c r="S23">
        <v>1.0781130000000001</v>
      </c>
      <c r="T23">
        <v>1.0965370000000001</v>
      </c>
      <c r="U23">
        <v>1.1159330000000001</v>
      </c>
      <c r="V23">
        <v>1.1355759999999999</v>
      </c>
      <c r="W23">
        <v>1.1556649999999999</v>
      </c>
      <c r="X23">
        <v>1.175584</v>
      </c>
      <c r="Y23">
        <v>1.1958679999999999</v>
      </c>
      <c r="Z23">
        <v>1.215889</v>
      </c>
      <c r="AA23">
        <v>1.2354339999999999</v>
      </c>
      <c r="AB23">
        <v>1.2545770000000001</v>
      </c>
      <c r="AC23">
        <v>1.273539</v>
      </c>
      <c r="AD23">
        <v>1.292448</v>
      </c>
      <c r="AE23">
        <v>1.3116209999999999</v>
      </c>
      <c r="AF23">
        <v>1.3306359999999999</v>
      </c>
      <c r="AG23" s="122">
        <v>1.0999999999999999E-2</v>
      </c>
    </row>
    <row r="24" spans="1:33" x14ac:dyDescent="0.25">
      <c r="A24" t="s">
        <v>356</v>
      </c>
      <c r="B24" t="s">
        <v>470</v>
      </c>
      <c r="C24" t="s">
        <v>469</v>
      </c>
      <c r="D24" t="s">
        <v>299</v>
      </c>
      <c r="F24">
        <v>0.47269299999999997</v>
      </c>
      <c r="G24">
        <v>0.45925899999999997</v>
      </c>
      <c r="H24">
        <v>0.44969900000000002</v>
      </c>
      <c r="I24">
        <v>0.440442</v>
      </c>
      <c r="J24">
        <v>0.42854399999999998</v>
      </c>
      <c r="K24">
        <v>0.40814800000000001</v>
      </c>
      <c r="L24">
        <v>0.38494600000000001</v>
      </c>
      <c r="M24">
        <v>0.36072199999999999</v>
      </c>
      <c r="N24">
        <v>0.33842</v>
      </c>
      <c r="O24">
        <v>0.31828200000000001</v>
      </c>
      <c r="P24">
        <v>0.30056100000000002</v>
      </c>
      <c r="Q24">
        <v>0.28542600000000001</v>
      </c>
      <c r="R24">
        <v>0.27280199999999999</v>
      </c>
      <c r="S24">
        <v>0.26221100000000003</v>
      </c>
      <c r="T24">
        <v>0.253048</v>
      </c>
      <c r="U24">
        <v>0.24559400000000001</v>
      </c>
      <c r="V24">
        <v>0.23989199999999999</v>
      </c>
      <c r="W24">
        <v>0.23574999999999999</v>
      </c>
      <c r="X24">
        <v>0.23331199999999999</v>
      </c>
      <c r="Y24">
        <v>0.23255999999999999</v>
      </c>
      <c r="Z24">
        <v>0.23152700000000001</v>
      </c>
      <c r="AA24">
        <v>0.230325</v>
      </c>
      <c r="AB24">
        <v>0.22897300000000001</v>
      </c>
      <c r="AC24">
        <v>0.227549</v>
      </c>
      <c r="AD24">
        <v>0.22617699999999999</v>
      </c>
      <c r="AE24">
        <v>0.224938</v>
      </c>
      <c r="AF24">
        <v>0.22382099999999999</v>
      </c>
      <c r="AG24" s="122">
        <v>-2.8000000000000001E-2</v>
      </c>
    </row>
    <row r="25" spans="1:33" x14ac:dyDescent="0.25">
      <c r="A25" t="s">
        <v>353</v>
      </c>
      <c r="B25" t="s">
        <v>468</v>
      </c>
      <c r="C25" t="s">
        <v>467</v>
      </c>
      <c r="D25" t="s">
        <v>299</v>
      </c>
      <c r="F25">
        <v>0.35147899999999999</v>
      </c>
      <c r="G25">
        <v>0.34973700000000002</v>
      </c>
      <c r="H25">
        <v>0.34897</v>
      </c>
      <c r="I25">
        <v>0.34811799999999998</v>
      </c>
      <c r="J25">
        <v>0.34716799999999998</v>
      </c>
      <c r="K25">
        <v>0.34654499999999999</v>
      </c>
      <c r="L25">
        <v>0.34371699999999999</v>
      </c>
      <c r="M25">
        <v>0.34114699999999998</v>
      </c>
      <c r="N25">
        <v>0.33881600000000001</v>
      </c>
      <c r="O25">
        <v>0.33663500000000002</v>
      </c>
      <c r="P25">
        <v>0.33458100000000002</v>
      </c>
      <c r="Q25">
        <v>0.33278200000000002</v>
      </c>
      <c r="R25">
        <v>0.33139600000000002</v>
      </c>
      <c r="S25">
        <v>0.33041399999999999</v>
      </c>
      <c r="T25">
        <v>0.32984999999999998</v>
      </c>
      <c r="U25">
        <v>0.32970100000000002</v>
      </c>
      <c r="V25">
        <v>0.32997199999999999</v>
      </c>
      <c r="W25">
        <v>0.33063999999999999</v>
      </c>
      <c r="X25">
        <v>0.331706</v>
      </c>
      <c r="Y25">
        <v>0.33316699999999999</v>
      </c>
      <c r="Z25">
        <v>0.335038</v>
      </c>
      <c r="AA25">
        <v>0.33738899999999999</v>
      </c>
      <c r="AB25">
        <v>0.34022799999999997</v>
      </c>
      <c r="AC25">
        <v>0.34354400000000002</v>
      </c>
      <c r="AD25">
        <v>0.34684700000000002</v>
      </c>
      <c r="AE25">
        <v>0.35012599999999999</v>
      </c>
      <c r="AF25">
        <v>0.35335800000000001</v>
      </c>
      <c r="AG25" s="122">
        <v>0</v>
      </c>
    </row>
    <row r="26" spans="1:33" x14ac:dyDescent="0.25">
      <c r="A26" t="s">
        <v>350</v>
      </c>
      <c r="B26" t="s">
        <v>466</v>
      </c>
      <c r="C26" t="s">
        <v>465</v>
      </c>
      <c r="D26" t="s">
        <v>299</v>
      </c>
      <c r="F26">
        <v>6.7363999999999993E-2</v>
      </c>
      <c r="G26">
        <v>6.7850999999999995E-2</v>
      </c>
      <c r="H26">
        <v>6.8570999999999993E-2</v>
      </c>
      <c r="I26">
        <v>6.9303000000000003E-2</v>
      </c>
      <c r="J26">
        <v>7.0040000000000005E-2</v>
      </c>
      <c r="K26">
        <v>7.0796999999999999E-2</v>
      </c>
      <c r="L26">
        <v>7.1554000000000006E-2</v>
      </c>
      <c r="M26">
        <v>7.2311E-2</v>
      </c>
      <c r="N26">
        <v>7.306E-2</v>
      </c>
      <c r="O26">
        <v>7.3777999999999996E-2</v>
      </c>
      <c r="P26">
        <v>7.4458999999999997E-2</v>
      </c>
      <c r="Q26">
        <v>7.5122999999999995E-2</v>
      </c>
      <c r="R26">
        <v>7.5763999999999998E-2</v>
      </c>
      <c r="S26">
        <v>7.6366000000000003E-2</v>
      </c>
      <c r="T26">
        <v>7.6925999999999994E-2</v>
      </c>
      <c r="U26">
        <v>7.7442999999999998E-2</v>
      </c>
      <c r="V26">
        <v>7.7924999999999994E-2</v>
      </c>
      <c r="W26">
        <v>7.8368999999999994E-2</v>
      </c>
      <c r="X26">
        <v>7.8784999999999994E-2</v>
      </c>
      <c r="Y26">
        <v>7.9175999999999996E-2</v>
      </c>
      <c r="Z26">
        <v>7.9552999999999999E-2</v>
      </c>
      <c r="AA26">
        <v>7.9922999999999994E-2</v>
      </c>
      <c r="AB26">
        <v>8.0283999999999994E-2</v>
      </c>
      <c r="AC26">
        <v>8.0637E-2</v>
      </c>
      <c r="AD26">
        <v>8.0981999999999998E-2</v>
      </c>
      <c r="AE26">
        <v>8.1315999999999999E-2</v>
      </c>
      <c r="AF26">
        <v>8.1638000000000002E-2</v>
      </c>
      <c r="AG26" s="122">
        <v>7.0000000000000001E-3</v>
      </c>
    </row>
    <row r="27" spans="1:33" x14ac:dyDescent="0.25">
      <c r="A27" t="s">
        <v>347</v>
      </c>
      <c r="B27" t="s">
        <v>464</v>
      </c>
      <c r="C27" t="s">
        <v>463</v>
      </c>
      <c r="D27" t="s">
        <v>299</v>
      </c>
      <c r="F27">
        <v>0.19181200000000001</v>
      </c>
      <c r="G27">
        <v>0.193075</v>
      </c>
      <c r="H27">
        <v>0.196545</v>
      </c>
      <c r="I27">
        <v>0.20085500000000001</v>
      </c>
      <c r="J27">
        <v>0.20406099999999999</v>
      </c>
      <c r="K27">
        <v>0.20566999999999999</v>
      </c>
      <c r="L27">
        <v>0.206345</v>
      </c>
      <c r="M27">
        <v>0.20625499999999999</v>
      </c>
      <c r="N27">
        <v>0.20580799999999999</v>
      </c>
      <c r="O27">
        <v>0.20528399999999999</v>
      </c>
      <c r="P27">
        <v>0.20527599999999999</v>
      </c>
      <c r="Q27">
        <v>0.206284</v>
      </c>
      <c r="R27">
        <v>0.20827799999999999</v>
      </c>
      <c r="S27">
        <v>0.210919</v>
      </c>
      <c r="T27">
        <v>0.213722</v>
      </c>
      <c r="U27">
        <v>0.21692400000000001</v>
      </c>
      <c r="V27">
        <v>0.220611</v>
      </c>
      <c r="W27">
        <v>0.22467400000000001</v>
      </c>
      <c r="X27">
        <v>0.228576</v>
      </c>
      <c r="Y27">
        <v>0.23238600000000001</v>
      </c>
      <c r="Z27">
        <v>0.23596700000000001</v>
      </c>
      <c r="AA27">
        <v>0.23933199999999999</v>
      </c>
      <c r="AB27">
        <v>0.242476</v>
      </c>
      <c r="AC27">
        <v>0.24541399999999999</v>
      </c>
      <c r="AD27">
        <v>0.24823500000000001</v>
      </c>
      <c r="AE27">
        <v>0.25097700000000001</v>
      </c>
      <c r="AF27">
        <v>0.25355899999999998</v>
      </c>
      <c r="AG27" s="122">
        <v>1.0999999999999999E-2</v>
      </c>
    </row>
    <row r="28" spans="1:33" x14ac:dyDescent="0.25">
      <c r="A28" t="s">
        <v>201</v>
      </c>
      <c r="B28" t="s">
        <v>462</v>
      </c>
      <c r="C28" t="s">
        <v>461</v>
      </c>
      <c r="D28" t="s">
        <v>299</v>
      </c>
      <c r="F28">
        <v>7.9547999999999994E-2</v>
      </c>
      <c r="G28">
        <v>7.9316999999999999E-2</v>
      </c>
      <c r="H28">
        <v>7.9323000000000005E-2</v>
      </c>
      <c r="I28">
        <v>7.9324000000000006E-2</v>
      </c>
      <c r="J28">
        <v>7.9286999999999996E-2</v>
      </c>
      <c r="K28">
        <v>7.9225000000000004E-2</v>
      </c>
      <c r="L28">
        <v>7.8759999999999997E-2</v>
      </c>
      <c r="M28">
        <v>7.8244999999999995E-2</v>
      </c>
      <c r="N28">
        <v>7.7689999999999995E-2</v>
      </c>
      <c r="O28">
        <v>7.7148999999999995E-2</v>
      </c>
      <c r="P28">
        <v>7.6617000000000005E-2</v>
      </c>
      <c r="Q28">
        <v>7.6115000000000002E-2</v>
      </c>
      <c r="R28">
        <v>7.5637999999999997E-2</v>
      </c>
      <c r="S28">
        <v>7.5175000000000006E-2</v>
      </c>
      <c r="T28">
        <v>7.4735999999999997E-2</v>
      </c>
      <c r="U28">
        <v>7.4319999999999997E-2</v>
      </c>
      <c r="V28">
        <v>7.3931999999999998E-2</v>
      </c>
      <c r="W28">
        <v>7.3580999999999994E-2</v>
      </c>
      <c r="X28">
        <v>7.3268E-2</v>
      </c>
      <c r="Y28">
        <v>7.2993000000000002E-2</v>
      </c>
      <c r="Z28">
        <v>7.2761000000000006E-2</v>
      </c>
      <c r="AA28">
        <v>7.2581999999999994E-2</v>
      </c>
      <c r="AB28">
        <v>7.2468000000000005E-2</v>
      </c>
      <c r="AC28">
        <v>7.2414999999999993E-2</v>
      </c>
      <c r="AD28">
        <v>7.2434999999999999E-2</v>
      </c>
      <c r="AE28">
        <v>7.2536000000000003E-2</v>
      </c>
      <c r="AF28">
        <v>7.2717000000000004E-2</v>
      </c>
      <c r="AG28" s="122">
        <v>-3.0000000000000001E-3</v>
      </c>
    </row>
    <row r="29" spans="1:33" x14ac:dyDescent="0.25">
      <c r="A29" t="s">
        <v>342</v>
      </c>
      <c r="B29" t="s">
        <v>460</v>
      </c>
      <c r="C29" t="s">
        <v>459</v>
      </c>
      <c r="D29" t="s">
        <v>299</v>
      </c>
      <c r="F29">
        <v>0.18737100000000001</v>
      </c>
      <c r="G29">
        <v>0.18539</v>
      </c>
      <c r="H29">
        <v>0.18696399999999999</v>
      </c>
      <c r="I29">
        <v>0.190632</v>
      </c>
      <c r="J29">
        <v>0.19372700000000001</v>
      </c>
      <c r="K29">
        <v>0.195604</v>
      </c>
      <c r="L29">
        <v>0.19516600000000001</v>
      </c>
      <c r="M29">
        <v>0.19453100000000001</v>
      </c>
      <c r="N29">
        <v>0.19431999999999999</v>
      </c>
      <c r="O29">
        <v>0.19414899999999999</v>
      </c>
      <c r="P29">
        <v>0.19440399999999999</v>
      </c>
      <c r="Q29">
        <v>0.19527800000000001</v>
      </c>
      <c r="R29">
        <v>0.196599</v>
      </c>
      <c r="S29">
        <v>0.19806699999999999</v>
      </c>
      <c r="T29">
        <v>0.199294</v>
      </c>
      <c r="U29">
        <v>0.200681</v>
      </c>
      <c r="V29">
        <v>0.198798</v>
      </c>
      <c r="W29">
        <v>0.19717199999999999</v>
      </c>
      <c r="X29">
        <v>0.195941</v>
      </c>
      <c r="Y29">
        <v>0.19514000000000001</v>
      </c>
      <c r="Z29">
        <v>0.19470599999999999</v>
      </c>
      <c r="AA29">
        <v>0.194468</v>
      </c>
      <c r="AB29">
        <v>0.19427800000000001</v>
      </c>
      <c r="AC29">
        <v>0.194106</v>
      </c>
      <c r="AD29">
        <v>0.194081</v>
      </c>
      <c r="AE29">
        <v>0.19420699999999999</v>
      </c>
      <c r="AF29">
        <v>0.19436300000000001</v>
      </c>
      <c r="AG29" s="122">
        <v>1E-3</v>
      </c>
    </row>
    <row r="30" spans="1:33" x14ac:dyDescent="0.25">
      <c r="A30" t="s">
        <v>339</v>
      </c>
      <c r="B30" t="s">
        <v>458</v>
      </c>
      <c r="C30" t="s">
        <v>457</v>
      </c>
      <c r="D30" t="s">
        <v>299</v>
      </c>
      <c r="F30">
        <v>4.1806999999999997E-2</v>
      </c>
      <c r="G30">
        <v>4.0731000000000003E-2</v>
      </c>
      <c r="H30">
        <v>3.9766000000000003E-2</v>
      </c>
      <c r="I30">
        <v>3.8787000000000002E-2</v>
      </c>
      <c r="J30">
        <v>3.7633E-2</v>
      </c>
      <c r="K30">
        <v>3.6454E-2</v>
      </c>
      <c r="L30">
        <v>3.5085999999999999E-2</v>
      </c>
      <c r="M30">
        <v>3.3659000000000001E-2</v>
      </c>
      <c r="N30">
        <v>3.2142999999999998E-2</v>
      </c>
      <c r="O30">
        <v>3.0825999999999999E-2</v>
      </c>
      <c r="P30">
        <v>2.971E-2</v>
      </c>
      <c r="Q30">
        <v>2.8801E-2</v>
      </c>
      <c r="R30">
        <v>2.8112000000000002E-2</v>
      </c>
      <c r="S30">
        <v>2.7654999999999999E-2</v>
      </c>
      <c r="T30">
        <v>2.7453000000000002E-2</v>
      </c>
      <c r="U30">
        <v>2.7522000000000001E-2</v>
      </c>
      <c r="V30">
        <v>2.759E-2</v>
      </c>
      <c r="W30">
        <v>2.7657999999999999E-2</v>
      </c>
      <c r="X30">
        <v>2.7733000000000001E-2</v>
      </c>
      <c r="Y30">
        <v>2.7814999999999999E-2</v>
      </c>
      <c r="Z30">
        <v>2.7907999999999999E-2</v>
      </c>
      <c r="AA30">
        <v>2.8015999999999999E-2</v>
      </c>
      <c r="AB30">
        <v>2.8138E-2</v>
      </c>
      <c r="AC30">
        <v>2.8273E-2</v>
      </c>
      <c r="AD30">
        <v>2.8420000000000001E-2</v>
      </c>
      <c r="AE30">
        <v>2.8576000000000001E-2</v>
      </c>
      <c r="AF30">
        <v>2.8739000000000001E-2</v>
      </c>
      <c r="AG30" s="122">
        <v>-1.4E-2</v>
      </c>
    </row>
    <row r="31" spans="1:33" x14ac:dyDescent="0.25">
      <c r="A31" t="s">
        <v>336</v>
      </c>
      <c r="B31" t="s">
        <v>456</v>
      </c>
      <c r="C31" t="s">
        <v>455</v>
      </c>
      <c r="D31" t="s">
        <v>299</v>
      </c>
      <c r="F31">
        <v>3.6366999999999997E-2</v>
      </c>
      <c r="G31">
        <v>3.7219000000000002E-2</v>
      </c>
      <c r="H31">
        <v>3.8216E-2</v>
      </c>
      <c r="I31">
        <v>3.8545999999999997E-2</v>
      </c>
      <c r="J31">
        <v>3.8751000000000001E-2</v>
      </c>
      <c r="K31">
        <v>3.8914999999999998E-2</v>
      </c>
      <c r="L31">
        <v>3.9031999999999997E-2</v>
      </c>
      <c r="M31">
        <v>3.9100999999999997E-2</v>
      </c>
      <c r="N31">
        <v>3.9118E-2</v>
      </c>
      <c r="O31">
        <v>3.9202000000000001E-2</v>
      </c>
      <c r="P31">
        <v>3.9358999999999998E-2</v>
      </c>
      <c r="Q31">
        <v>3.9600999999999997E-2</v>
      </c>
      <c r="R31">
        <v>3.9935999999999999E-2</v>
      </c>
      <c r="S31">
        <v>4.0363999999999997E-2</v>
      </c>
      <c r="T31">
        <v>4.0896000000000002E-2</v>
      </c>
      <c r="U31">
        <v>4.1537999999999999E-2</v>
      </c>
      <c r="V31">
        <v>4.2178E-2</v>
      </c>
      <c r="W31">
        <v>4.2812000000000003E-2</v>
      </c>
      <c r="X31">
        <v>4.3444000000000003E-2</v>
      </c>
      <c r="Y31">
        <v>4.4074000000000002E-2</v>
      </c>
      <c r="Z31">
        <v>4.4707999999999998E-2</v>
      </c>
      <c r="AA31">
        <v>4.5349E-2</v>
      </c>
      <c r="AB31">
        <v>4.5997999999999997E-2</v>
      </c>
      <c r="AC31">
        <v>4.6655000000000002E-2</v>
      </c>
      <c r="AD31">
        <v>4.7317999999999999E-2</v>
      </c>
      <c r="AE31">
        <v>4.7988000000000003E-2</v>
      </c>
      <c r="AF31">
        <v>4.8662999999999998E-2</v>
      </c>
      <c r="AG31" s="122">
        <v>1.0999999999999999E-2</v>
      </c>
    </row>
    <row r="32" spans="1:33" x14ac:dyDescent="0.25">
      <c r="A32" t="s">
        <v>333</v>
      </c>
      <c r="B32" t="s">
        <v>454</v>
      </c>
      <c r="C32" t="s">
        <v>453</v>
      </c>
      <c r="D32" t="s">
        <v>299</v>
      </c>
      <c r="F32">
        <v>0.12937399999999999</v>
      </c>
      <c r="G32">
        <v>0.12654399999999999</v>
      </c>
      <c r="H32">
        <v>0.12521499999999999</v>
      </c>
      <c r="I32">
        <v>0.124316</v>
      </c>
      <c r="J32">
        <v>0.122902</v>
      </c>
      <c r="K32">
        <v>0.120777</v>
      </c>
      <c r="L32">
        <v>0.11837499999999999</v>
      </c>
      <c r="M32">
        <v>0.115926</v>
      </c>
      <c r="N32">
        <v>0.113659</v>
      </c>
      <c r="O32">
        <v>0.11144</v>
      </c>
      <c r="P32">
        <v>0.1095</v>
      </c>
      <c r="Q32">
        <v>0.10799</v>
      </c>
      <c r="R32">
        <v>0.106861</v>
      </c>
      <c r="S32">
        <v>0.10595400000000001</v>
      </c>
      <c r="T32">
        <v>0.10506600000000001</v>
      </c>
      <c r="U32">
        <v>0.104306</v>
      </c>
      <c r="V32">
        <v>0.10369100000000001</v>
      </c>
      <c r="W32">
        <v>0.103142</v>
      </c>
      <c r="X32">
        <v>0.102677</v>
      </c>
      <c r="Y32">
        <v>0.10234500000000001</v>
      </c>
      <c r="Z32">
        <v>0.102119</v>
      </c>
      <c r="AA32">
        <v>0.102036</v>
      </c>
      <c r="AB32">
        <v>0.10208200000000001</v>
      </c>
      <c r="AC32">
        <v>0.102176</v>
      </c>
      <c r="AD32">
        <v>0.10236000000000001</v>
      </c>
      <c r="AE32">
        <v>0.102613</v>
      </c>
      <c r="AF32">
        <v>0.102926</v>
      </c>
      <c r="AG32" s="122">
        <v>-8.9999999999999993E-3</v>
      </c>
    </row>
    <row r="33" spans="1:33" x14ac:dyDescent="0.25">
      <c r="A33" t="s">
        <v>330</v>
      </c>
      <c r="B33" t="s">
        <v>452</v>
      </c>
      <c r="C33" t="s">
        <v>451</v>
      </c>
      <c r="D33" t="s">
        <v>299</v>
      </c>
      <c r="F33">
        <v>0.100147</v>
      </c>
      <c r="G33">
        <v>9.8311999999999997E-2</v>
      </c>
      <c r="H33">
        <v>9.7711999999999993E-2</v>
      </c>
      <c r="I33">
        <v>9.7344E-2</v>
      </c>
      <c r="J33">
        <v>9.6392000000000005E-2</v>
      </c>
      <c r="K33">
        <v>9.4705999999999999E-2</v>
      </c>
      <c r="L33">
        <v>9.2652999999999999E-2</v>
      </c>
      <c r="M33">
        <v>9.0438000000000004E-2</v>
      </c>
      <c r="N33">
        <v>8.8259000000000004E-2</v>
      </c>
      <c r="O33">
        <v>8.6025000000000004E-2</v>
      </c>
      <c r="P33">
        <v>8.3927000000000002E-2</v>
      </c>
      <c r="Q33">
        <v>8.2076999999999997E-2</v>
      </c>
      <c r="R33">
        <v>8.0450999999999995E-2</v>
      </c>
      <c r="S33">
        <v>7.8944E-2</v>
      </c>
      <c r="T33">
        <v>7.7403E-2</v>
      </c>
      <c r="U33">
        <v>7.5929999999999997E-2</v>
      </c>
      <c r="V33">
        <v>7.4545E-2</v>
      </c>
      <c r="W33">
        <v>7.3195999999999997E-2</v>
      </c>
      <c r="X33">
        <v>7.1926000000000004E-2</v>
      </c>
      <c r="Y33">
        <v>7.0762000000000005E-2</v>
      </c>
      <c r="Z33">
        <v>6.9711999999999996E-2</v>
      </c>
      <c r="AA33">
        <v>6.8805000000000005E-2</v>
      </c>
      <c r="AB33">
        <v>6.8054000000000003E-2</v>
      </c>
      <c r="AC33">
        <v>6.7420999999999995E-2</v>
      </c>
      <c r="AD33">
        <v>6.6941000000000001E-2</v>
      </c>
      <c r="AE33">
        <v>6.6635E-2</v>
      </c>
      <c r="AF33">
        <v>6.6464999999999996E-2</v>
      </c>
      <c r="AG33" s="122">
        <v>-1.6E-2</v>
      </c>
    </row>
    <row r="34" spans="1:33" x14ac:dyDescent="0.25">
      <c r="A34" t="s">
        <v>327</v>
      </c>
      <c r="B34" t="s">
        <v>450</v>
      </c>
      <c r="C34" t="s">
        <v>449</v>
      </c>
      <c r="D34" t="s">
        <v>299</v>
      </c>
      <c r="F34">
        <v>0.137569</v>
      </c>
      <c r="G34">
        <v>0.158502</v>
      </c>
      <c r="H34">
        <v>0.16062100000000001</v>
      </c>
      <c r="I34">
        <v>0.16225000000000001</v>
      </c>
      <c r="J34">
        <v>0.16347</v>
      </c>
      <c r="K34">
        <v>0.164468</v>
      </c>
      <c r="L34">
        <v>0.165238</v>
      </c>
      <c r="M34">
        <v>0.16567499999999999</v>
      </c>
      <c r="N34">
        <v>0.16580900000000001</v>
      </c>
      <c r="O34">
        <v>0.165878</v>
      </c>
      <c r="P34">
        <v>0.165686</v>
      </c>
      <c r="Q34">
        <v>0.16552700000000001</v>
      </c>
      <c r="R34">
        <v>0.16533999999999999</v>
      </c>
      <c r="S34">
        <v>0.164941</v>
      </c>
      <c r="T34">
        <v>0.16417499999999999</v>
      </c>
      <c r="U34">
        <v>0.16303300000000001</v>
      </c>
      <c r="V34">
        <v>0.16142300000000001</v>
      </c>
      <c r="W34">
        <v>0.159333</v>
      </c>
      <c r="X34">
        <v>0.156941</v>
      </c>
      <c r="Y34">
        <v>0.15426799999999999</v>
      </c>
      <c r="Z34">
        <v>0.15151400000000001</v>
      </c>
      <c r="AA34">
        <v>0.14884</v>
      </c>
      <c r="AB34">
        <v>0.146261</v>
      </c>
      <c r="AC34">
        <v>0.143757</v>
      </c>
      <c r="AD34">
        <v>0.14143700000000001</v>
      </c>
      <c r="AE34">
        <v>0.13933499999999999</v>
      </c>
      <c r="AF34">
        <v>0.137382</v>
      </c>
      <c r="AG34" s="122">
        <v>0</v>
      </c>
    </row>
    <row r="35" spans="1:33" x14ac:dyDescent="0.25">
      <c r="A35" t="s">
        <v>324</v>
      </c>
      <c r="B35" t="s">
        <v>448</v>
      </c>
      <c r="C35" t="s">
        <v>447</v>
      </c>
      <c r="D35" t="s">
        <v>299</v>
      </c>
      <c r="F35">
        <v>1.9528239999999999</v>
      </c>
      <c r="G35">
        <v>1.884647</v>
      </c>
      <c r="H35">
        <v>1.932471</v>
      </c>
      <c r="I35">
        <v>1.982553</v>
      </c>
      <c r="J35">
        <v>2.0260020000000001</v>
      </c>
      <c r="K35">
        <v>2.060349</v>
      </c>
      <c r="L35">
        <v>2.0898330000000001</v>
      </c>
      <c r="M35">
        <v>2.1161310000000002</v>
      </c>
      <c r="N35">
        <v>2.143497</v>
      </c>
      <c r="O35">
        <v>2.169753</v>
      </c>
      <c r="P35">
        <v>2.1987999999999999</v>
      </c>
      <c r="Q35">
        <v>2.2309679999999998</v>
      </c>
      <c r="R35">
        <v>2.2675719999999999</v>
      </c>
      <c r="S35">
        <v>2.3066080000000002</v>
      </c>
      <c r="T35">
        <v>2.3441360000000002</v>
      </c>
      <c r="U35">
        <v>2.3830230000000001</v>
      </c>
      <c r="V35">
        <v>2.4229310000000002</v>
      </c>
      <c r="W35">
        <v>2.4609220000000001</v>
      </c>
      <c r="X35">
        <v>2.4994070000000002</v>
      </c>
      <c r="Y35">
        <v>2.538354</v>
      </c>
      <c r="Z35">
        <v>2.577242</v>
      </c>
      <c r="AA35">
        <v>2.6159680000000001</v>
      </c>
      <c r="AB35">
        <v>2.6549830000000001</v>
      </c>
      <c r="AC35">
        <v>2.693921</v>
      </c>
      <c r="AD35">
        <v>2.7329750000000002</v>
      </c>
      <c r="AE35">
        <v>2.7728069999999998</v>
      </c>
      <c r="AF35">
        <v>2.812916</v>
      </c>
      <c r="AG35" s="122">
        <v>1.4E-2</v>
      </c>
    </row>
    <row r="36" spans="1:33" x14ac:dyDescent="0.25">
      <c r="A36" t="s">
        <v>373</v>
      </c>
      <c r="B36" t="s">
        <v>446</v>
      </c>
      <c r="C36" t="s">
        <v>445</v>
      </c>
      <c r="D36" t="s">
        <v>299</v>
      </c>
      <c r="F36">
        <v>5.273498</v>
      </c>
      <c r="G36">
        <v>5.2156180000000001</v>
      </c>
      <c r="H36">
        <v>5.2809720000000002</v>
      </c>
      <c r="I36">
        <v>5.3513669999999998</v>
      </c>
      <c r="J36">
        <v>5.3998900000000001</v>
      </c>
      <c r="K36">
        <v>5.4151009999999999</v>
      </c>
      <c r="L36">
        <v>5.4107599999999998</v>
      </c>
      <c r="M36">
        <v>5.3981300000000001</v>
      </c>
      <c r="N36">
        <v>5.3898359999999998</v>
      </c>
      <c r="O36">
        <v>5.3886209999999997</v>
      </c>
      <c r="P36">
        <v>5.3959859999999997</v>
      </c>
      <c r="Q36">
        <v>5.4179789999999999</v>
      </c>
      <c r="R36">
        <v>5.4551920000000003</v>
      </c>
      <c r="S36">
        <v>5.5010260000000004</v>
      </c>
      <c r="T36">
        <v>5.5452810000000001</v>
      </c>
      <c r="U36">
        <v>5.5945390000000002</v>
      </c>
      <c r="V36">
        <v>5.6440149999999996</v>
      </c>
      <c r="W36">
        <v>5.6937410000000002</v>
      </c>
      <c r="X36">
        <v>5.7461279999999997</v>
      </c>
      <c r="Y36">
        <v>5.8017750000000001</v>
      </c>
      <c r="Z36">
        <v>5.8569699999999996</v>
      </c>
      <c r="AA36">
        <v>5.9119910000000004</v>
      </c>
      <c r="AB36">
        <v>5.9671469999999998</v>
      </c>
      <c r="AC36">
        <v>6.022335</v>
      </c>
      <c r="AD36">
        <v>6.0780580000000004</v>
      </c>
      <c r="AE36">
        <v>6.1358829999999998</v>
      </c>
      <c r="AF36">
        <v>6.1939830000000002</v>
      </c>
      <c r="AG36" s="122">
        <v>6.0000000000000001E-3</v>
      </c>
    </row>
    <row r="37" spans="1:33" x14ac:dyDescent="0.25">
      <c r="A37" t="s">
        <v>318</v>
      </c>
      <c r="B37" t="s">
        <v>444</v>
      </c>
      <c r="C37" t="s">
        <v>443</v>
      </c>
      <c r="D37" t="s">
        <v>299</v>
      </c>
      <c r="F37">
        <v>4.4337000000000001E-2</v>
      </c>
      <c r="G37">
        <v>6.6201999999999997E-2</v>
      </c>
      <c r="H37">
        <v>9.8492999999999997E-2</v>
      </c>
      <c r="I37">
        <v>0.14113400000000001</v>
      </c>
      <c r="J37">
        <v>0.19359399999999999</v>
      </c>
      <c r="K37">
        <v>0.25625700000000001</v>
      </c>
      <c r="L37">
        <v>0.33226899999999998</v>
      </c>
      <c r="M37">
        <v>0.40964400000000001</v>
      </c>
      <c r="N37">
        <v>0.49610599999999999</v>
      </c>
      <c r="O37">
        <v>0.58273399999999997</v>
      </c>
      <c r="P37">
        <v>0.67127199999999998</v>
      </c>
      <c r="Q37">
        <v>0.75774600000000003</v>
      </c>
      <c r="R37">
        <v>0.84255199999999997</v>
      </c>
      <c r="S37">
        <v>0.92561800000000005</v>
      </c>
      <c r="T37">
        <v>1.0052989999999999</v>
      </c>
      <c r="U37">
        <v>1.0807180000000001</v>
      </c>
      <c r="V37">
        <v>1.151586</v>
      </c>
      <c r="W37">
        <v>1.2174419999999999</v>
      </c>
      <c r="X37">
        <v>1.277585</v>
      </c>
      <c r="Y37">
        <v>1.331949</v>
      </c>
      <c r="Z37">
        <v>1.380314</v>
      </c>
      <c r="AA37">
        <v>1.4238759999999999</v>
      </c>
      <c r="AB37">
        <v>1.4637</v>
      </c>
      <c r="AC37">
        <v>1.499768</v>
      </c>
      <c r="AD37">
        <v>1.5314890000000001</v>
      </c>
      <c r="AE37">
        <v>1.559817</v>
      </c>
      <c r="AF37">
        <v>1.58514</v>
      </c>
      <c r="AG37" s="122">
        <v>0.14699999999999999</v>
      </c>
    </row>
    <row r="38" spans="1:33" x14ac:dyDescent="0.25">
      <c r="A38" t="s">
        <v>315</v>
      </c>
      <c r="B38" t="s">
        <v>442</v>
      </c>
      <c r="C38" t="s">
        <v>441</v>
      </c>
      <c r="D38" t="s">
        <v>299</v>
      </c>
      <c r="F38">
        <v>0.175875</v>
      </c>
      <c r="G38">
        <v>0.199964</v>
      </c>
      <c r="H38">
        <v>0.22440399999999999</v>
      </c>
      <c r="I38">
        <v>0.24728700000000001</v>
      </c>
      <c r="J38">
        <v>0.27066400000000002</v>
      </c>
      <c r="K38">
        <v>0.29440899999999998</v>
      </c>
      <c r="L38">
        <v>0.31969599999999998</v>
      </c>
      <c r="M38">
        <v>0.34664099999999998</v>
      </c>
      <c r="N38">
        <v>0.37347900000000001</v>
      </c>
      <c r="O38">
        <v>0.400223</v>
      </c>
      <c r="P38">
        <v>0.42644399999999999</v>
      </c>
      <c r="Q38">
        <v>0.44691599999999998</v>
      </c>
      <c r="R38">
        <v>0.467945</v>
      </c>
      <c r="S38">
        <v>0.48925999999999997</v>
      </c>
      <c r="T38">
        <v>0.51142299999999996</v>
      </c>
      <c r="U38">
        <v>0.53387399999999996</v>
      </c>
      <c r="V38">
        <v>0.556782</v>
      </c>
      <c r="W38">
        <v>0.58001000000000003</v>
      </c>
      <c r="X38">
        <v>0.60384800000000005</v>
      </c>
      <c r="Y38">
        <v>0.62805299999999997</v>
      </c>
      <c r="Z38">
        <v>0.65273000000000003</v>
      </c>
      <c r="AA38">
        <v>0.67815700000000001</v>
      </c>
      <c r="AB38">
        <v>0.70421100000000003</v>
      </c>
      <c r="AC38">
        <v>0.73085999999999995</v>
      </c>
      <c r="AD38">
        <v>0.75824999999999998</v>
      </c>
      <c r="AE38">
        <v>0.78616600000000003</v>
      </c>
      <c r="AF38">
        <v>0.81450900000000004</v>
      </c>
      <c r="AG38" s="122">
        <v>6.0999999999999999E-2</v>
      </c>
    </row>
    <row r="39" spans="1:33" x14ac:dyDescent="0.25">
      <c r="A39" t="s">
        <v>440</v>
      </c>
      <c r="B39" t="s">
        <v>439</v>
      </c>
      <c r="C39" t="s">
        <v>438</v>
      </c>
      <c r="D39" t="s">
        <v>299</v>
      </c>
      <c r="F39">
        <v>5.1419589999999999</v>
      </c>
      <c r="G39">
        <v>5.0818560000000002</v>
      </c>
      <c r="H39">
        <v>5.1550609999999999</v>
      </c>
      <c r="I39">
        <v>5.2452139999999998</v>
      </c>
      <c r="J39">
        <v>5.322819</v>
      </c>
      <c r="K39">
        <v>5.3769489999999998</v>
      </c>
      <c r="L39">
        <v>5.4233330000000004</v>
      </c>
      <c r="M39">
        <v>5.4611330000000002</v>
      </c>
      <c r="N39">
        <v>5.5124630000000003</v>
      </c>
      <c r="O39">
        <v>5.5711320000000004</v>
      </c>
      <c r="P39">
        <v>5.6408139999999998</v>
      </c>
      <c r="Q39">
        <v>5.7288100000000002</v>
      </c>
      <c r="R39">
        <v>5.8297990000000004</v>
      </c>
      <c r="S39">
        <v>5.9373849999999999</v>
      </c>
      <c r="T39">
        <v>6.0391579999999996</v>
      </c>
      <c r="U39">
        <v>6.1413840000000004</v>
      </c>
      <c r="V39">
        <v>6.2388180000000002</v>
      </c>
      <c r="W39">
        <v>6.3311729999999997</v>
      </c>
      <c r="X39">
        <v>6.4198649999999997</v>
      </c>
      <c r="Y39">
        <v>6.5056719999999997</v>
      </c>
      <c r="Z39">
        <v>6.5845539999999998</v>
      </c>
      <c r="AA39">
        <v>6.6577099999999998</v>
      </c>
      <c r="AB39">
        <v>6.7266360000000001</v>
      </c>
      <c r="AC39">
        <v>6.7912429999999997</v>
      </c>
      <c r="AD39">
        <v>6.8512969999999997</v>
      </c>
      <c r="AE39">
        <v>6.9095329999999997</v>
      </c>
      <c r="AF39">
        <v>6.9646140000000001</v>
      </c>
      <c r="AG39" s="122">
        <v>1.2E-2</v>
      </c>
    </row>
    <row r="40" spans="1:33" x14ac:dyDescent="0.25">
      <c r="A40" t="s">
        <v>195</v>
      </c>
    </row>
    <row r="41" spans="1:33" s="152" customFormat="1" x14ac:dyDescent="0.25">
      <c r="A41" s="152" t="s">
        <v>227</v>
      </c>
      <c r="B41" s="152" t="s">
        <v>437</v>
      </c>
      <c r="C41" s="152" t="s">
        <v>436</v>
      </c>
      <c r="D41" s="152" t="s">
        <v>299</v>
      </c>
      <c r="F41" s="152">
        <v>2.7779120000000002</v>
      </c>
      <c r="G41" s="152">
        <v>3.1266400000000001</v>
      </c>
      <c r="H41" s="152">
        <v>3.1416040000000001</v>
      </c>
      <c r="I41" s="152">
        <v>3.1467909999999999</v>
      </c>
      <c r="J41" s="152">
        <v>3.143392</v>
      </c>
      <c r="K41" s="152">
        <v>3.126671</v>
      </c>
      <c r="L41" s="152">
        <v>3.103113</v>
      </c>
      <c r="M41" s="152">
        <v>3.0698919999999998</v>
      </c>
      <c r="N41" s="152">
        <v>3.0261269999999998</v>
      </c>
      <c r="O41" s="152">
        <v>2.9876309999999999</v>
      </c>
      <c r="P41" s="152">
        <v>2.9467919999999999</v>
      </c>
      <c r="Q41" s="152">
        <v>2.9121990000000002</v>
      </c>
      <c r="R41" s="152">
        <v>2.8835510000000002</v>
      </c>
      <c r="S41" s="152">
        <v>2.858295</v>
      </c>
      <c r="T41" s="152">
        <v>2.8342960000000001</v>
      </c>
      <c r="U41" s="152">
        <v>2.8115399999999999</v>
      </c>
      <c r="V41" s="152">
        <v>2.787776</v>
      </c>
      <c r="W41" s="152">
        <v>2.761015</v>
      </c>
      <c r="X41" s="152">
        <v>2.733698</v>
      </c>
      <c r="Y41" s="152">
        <v>2.7065130000000002</v>
      </c>
      <c r="Z41" s="152">
        <v>2.6808649999999998</v>
      </c>
      <c r="AA41" s="152">
        <v>2.6572309999999999</v>
      </c>
      <c r="AB41" s="152">
        <v>2.634207</v>
      </c>
      <c r="AC41" s="152">
        <v>2.6119029999999999</v>
      </c>
      <c r="AD41" s="152">
        <v>2.5905279999999999</v>
      </c>
      <c r="AE41" s="152">
        <v>2.5696650000000001</v>
      </c>
      <c r="AF41" s="152">
        <v>2.548368</v>
      </c>
      <c r="AG41" s="153">
        <v>-3.0000000000000001E-3</v>
      </c>
    </row>
    <row r="42" spans="1:33" x14ac:dyDescent="0.25">
      <c r="A42" t="s">
        <v>211</v>
      </c>
      <c r="B42" t="s">
        <v>435</v>
      </c>
      <c r="C42" t="s">
        <v>434</v>
      </c>
      <c r="D42" t="s">
        <v>299</v>
      </c>
      <c r="F42">
        <v>6.3499E-2</v>
      </c>
      <c r="G42">
        <v>6.1038000000000002E-2</v>
      </c>
      <c r="H42">
        <v>6.1463999999999998E-2</v>
      </c>
      <c r="I42">
        <v>6.1531000000000002E-2</v>
      </c>
      <c r="J42">
        <v>6.1383E-2</v>
      </c>
      <c r="K42">
        <v>6.1147E-2</v>
      </c>
      <c r="L42">
        <v>6.0918E-2</v>
      </c>
      <c r="M42">
        <v>6.0664999999999997E-2</v>
      </c>
      <c r="N42">
        <v>6.0394999999999997E-2</v>
      </c>
      <c r="O42">
        <v>6.0146999999999999E-2</v>
      </c>
      <c r="P42">
        <v>5.9927000000000001E-2</v>
      </c>
      <c r="Q42">
        <v>5.9806999999999999E-2</v>
      </c>
      <c r="R42">
        <v>5.9798999999999998E-2</v>
      </c>
      <c r="S42">
        <v>5.9867999999999998E-2</v>
      </c>
      <c r="T42">
        <v>5.9964999999999997E-2</v>
      </c>
      <c r="U42">
        <v>6.0137000000000003E-2</v>
      </c>
      <c r="V42">
        <v>6.0331000000000003E-2</v>
      </c>
      <c r="W42">
        <v>6.0539000000000003E-2</v>
      </c>
      <c r="X42">
        <v>6.0750999999999999E-2</v>
      </c>
      <c r="Y42">
        <v>6.0975000000000001E-2</v>
      </c>
      <c r="Z42">
        <v>6.1196E-2</v>
      </c>
      <c r="AA42">
        <v>6.1400999999999997E-2</v>
      </c>
      <c r="AB42">
        <v>6.1601999999999997E-2</v>
      </c>
      <c r="AC42">
        <v>6.1793000000000001E-2</v>
      </c>
      <c r="AD42">
        <v>6.1996999999999997E-2</v>
      </c>
      <c r="AE42">
        <v>6.2198999999999997E-2</v>
      </c>
      <c r="AF42">
        <v>6.2392000000000003E-2</v>
      </c>
      <c r="AG42" s="122">
        <v>-1E-3</v>
      </c>
    </row>
    <row r="43" spans="1:33" x14ac:dyDescent="0.25">
      <c r="A43" t="s">
        <v>356</v>
      </c>
      <c r="B43" t="s">
        <v>433</v>
      </c>
      <c r="C43" t="s">
        <v>432</v>
      </c>
      <c r="D43" t="s">
        <v>299</v>
      </c>
      <c r="F43">
        <v>1.035874</v>
      </c>
      <c r="G43">
        <v>1.0464979999999999</v>
      </c>
      <c r="H43">
        <v>1.058767</v>
      </c>
      <c r="I43">
        <v>1.0693509999999999</v>
      </c>
      <c r="J43">
        <v>1.0798179999999999</v>
      </c>
      <c r="K43">
        <v>1.080751</v>
      </c>
      <c r="L43">
        <v>1.081037</v>
      </c>
      <c r="M43">
        <v>1.0804959999999999</v>
      </c>
      <c r="N43">
        <v>1.0781130000000001</v>
      </c>
      <c r="O43">
        <v>1.077774</v>
      </c>
      <c r="P43">
        <v>1.0797000000000001</v>
      </c>
      <c r="Q43">
        <v>1.084282</v>
      </c>
      <c r="R43">
        <v>1.0888530000000001</v>
      </c>
      <c r="S43">
        <v>1.0934919999999999</v>
      </c>
      <c r="T43">
        <v>1.09762</v>
      </c>
      <c r="U43">
        <v>1.1012189999999999</v>
      </c>
      <c r="V43">
        <v>1.10365</v>
      </c>
      <c r="W43">
        <v>1.1040369999999999</v>
      </c>
      <c r="X43">
        <v>1.102943</v>
      </c>
      <c r="Y43">
        <v>1.1006469999999999</v>
      </c>
      <c r="Z43">
        <v>1.097807</v>
      </c>
      <c r="AA43">
        <v>1.0944370000000001</v>
      </c>
      <c r="AB43">
        <v>1.09026</v>
      </c>
      <c r="AC43">
        <v>1.0859510000000001</v>
      </c>
      <c r="AD43">
        <v>1.081866</v>
      </c>
      <c r="AE43">
        <v>1.077826</v>
      </c>
      <c r="AF43">
        <v>1.0741050000000001</v>
      </c>
      <c r="AG43" s="122">
        <v>1E-3</v>
      </c>
    </row>
    <row r="44" spans="1:33" x14ac:dyDescent="0.25">
      <c r="A44" t="s">
        <v>350</v>
      </c>
      <c r="B44" t="s">
        <v>431</v>
      </c>
      <c r="C44" t="s">
        <v>430</v>
      </c>
      <c r="D44" t="s">
        <v>299</v>
      </c>
      <c r="F44">
        <v>7.7838000000000004E-2</v>
      </c>
      <c r="G44">
        <v>7.7798999999999993E-2</v>
      </c>
      <c r="H44">
        <v>7.7991000000000005E-2</v>
      </c>
      <c r="I44">
        <v>7.8186000000000005E-2</v>
      </c>
      <c r="J44">
        <v>7.8378000000000003E-2</v>
      </c>
      <c r="K44">
        <v>7.8578999999999996E-2</v>
      </c>
      <c r="L44">
        <v>7.8781000000000004E-2</v>
      </c>
      <c r="M44">
        <v>7.8972000000000001E-2</v>
      </c>
      <c r="N44">
        <v>7.9144999999999993E-2</v>
      </c>
      <c r="O44">
        <v>7.9309000000000004E-2</v>
      </c>
      <c r="P44">
        <v>7.9495999999999997E-2</v>
      </c>
      <c r="Q44">
        <v>7.9723000000000002E-2</v>
      </c>
      <c r="R44">
        <v>7.9999000000000001E-2</v>
      </c>
      <c r="S44">
        <v>8.0325999999999995E-2</v>
      </c>
      <c r="T44">
        <v>8.0726000000000006E-2</v>
      </c>
      <c r="U44">
        <v>8.1166000000000002E-2</v>
      </c>
      <c r="V44">
        <v>8.1647999999999998E-2</v>
      </c>
      <c r="W44">
        <v>8.2161999999999999E-2</v>
      </c>
      <c r="X44">
        <v>8.2699999999999996E-2</v>
      </c>
      <c r="Y44">
        <v>8.3236000000000004E-2</v>
      </c>
      <c r="Z44">
        <v>8.3776000000000003E-2</v>
      </c>
      <c r="AA44">
        <v>8.4326999999999999E-2</v>
      </c>
      <c r="AB44">
        <v>8.4889999999999993E-2</v>
      </c>
      <c r="AC44">
        <v>8.5467000000000001E-2</v>
      </c>
      <c r="AD44">
        <v>8.6058999999999997E-2</v>
      </c>
      <c r="AE44">
        <v>8.6669999999999997E-2</v>
      </c>
      <c r="AF44">
        <v>8.7302000000000005E-2</v>
      </c>
      <c r="AG44" s="122">
        <v>4.0000000000000001E-3</v>
      </c>
    </row>
    <row r="45" spans="1:33" x14ac:dyDescent="0.25">
      <c r="A45" t="s">
        <v>347</v>
      </c>
      <c r="B45" t="s">
        <v>429</v>
      </c>
      <c r="C45" t="s">
        <v>428</v>
      </c>
      <c r="D45" t="s">
        <v>299</v>
      </c>
      <c r="F45">
        <v>3.9583E-2</v>
      </c>
      <c r="G45">
        <v>4.0486000000000001E-2</v>
      </c>
      <c r="H45">
        <v>4.1404999999999997E-2</v>
      </c>
      <c r="I45">
        <v>4.2257000000000003E-2</v>
      </c>
      <c r="J45">
        <v>4.3110000000000002E-2</v>
      </c>
      <c r="K45">
        <v>4.3956000000000002E-2</v>
      </c>
      <c r="L45">
        <v>4.4796999999999997E-2</v>
      </c>
      <c r="M45">
        <v>4.5565000000000001E-2</v>
      </c>
      <c r="N45">
        <v>4.6228999999999999E-2</v>
      </c>
      <c r="O45">
        <v>4.6833E-2</v>
      </c>
      <c r="P45">
        <v>4.7463999999999999E-2</v>
      </c>
      <c r="Q45">
        <v>4.8156999999999998E-2</v>
      </c>
      <c r="R45">
        <v>4.8919999999999998E-2</v>
      </c>
      <c r="S45">
        <v>4.9718999999999999E-2</v>
      </c>
      <c r="T45">
        <v>5.0528000000000003E-2</v>
      </c>
      <c r="U45">
        <v>5.1341999999999999E-2</v>
      </c>
      <c r="V45">
        <v>5.2121000000000001E-2</v>
      </c>
      <c r="W45">
        <v>5.2833999999999999E-2</v>
      </c>
      <c r="X45">
        <v>5.3545000000000002E-2</v>
      </c>
      <c r="Y45">
        <v>5.4265000000000001E-2</v>
      </c>
      <c r="Z45">
        <v>5.5017000000000003E-2</v>
      </c>
      <c r="AA45">
        <v>5.5794000000000003E-2</v>
      </c>
      <c r="AB45">
        <v>5.6573999999999999E-2</v>
      </c>
      <c r="AC45">
        <v>5.7376999999999997E-2</v>
      </c>
      <c r="AD45">
        <v>5.8208000000000003E-2</v>
      </c>
      <c r="AE45">
        <v>5.9040000000000002E-2</v>
      </c>
      <c r="AF45">
        <v>5.9868999999999999E-2</v>
      </c>
      <c r="AG45" s="122">
        <v>1.6E-2</v>
      </c>
    </row>
    <row r="46" spans="1:33" x14ac:dyDescent="0.25">
      <c r="A46" t="s">
        <v>324</v>
      </c>
      <c r="B46" t="s">
        <v>427</v>
      </c>
      <c r="C46" t="s">
        <v>426</v>
      </c>
      <c r="D46" t="s">
        <v>299</v>
      </c>
      <c r="F46">
        <v>0.608734</v>
      </c>
      <c r="G46">
        <v>0.61374700000000004</v>
      </c>
      <c r="H46">
        <v>0.61829100000000004</v>
      </c>
      <c r="I46">
        <v>0.62139999999999995</v>
      </c>
      <c r="J46">
        <v>0.62352600000000002</v>
      </c>
      <c r="K46">
        <v>0.625004</v>
      </c>
      <c r="L46">
        <v>0.62587300000000001</v>
      </c>
      <c r="M46">
        <v>0.62536099999999994</v>
      </c>
      <c r="N46">
        <v>0.62306399999999995</v>
      </c>
      <c r="O46">
        <v>0.62010399999999999</v>
      </c>
      <c r="P46">
        <v>0.61758599999999997</v>
      </c>
      <c r="Q46">
        <v>0.61591799999999997</v>
      </c>
      <c r="R46">
        <v>0.61514500000000005</v>
      </c>
      <c r="S46">
        <v>0.61492000000000002</v>
      </c>
      <c r="T46">
        <v>0.61489300000000002</v>
      </c>
      <c r="U46">
        <v>0.61509499999999995</v>
      </c>
      <c r="V46">
        <v>0.61511800000000005</v>
      </c>
      <c r="W46">
        <v>0.61462099999999997</v>
      </c>
      <c r="X46">
        <v>0.61387800000000003</v>
      </c>
      <c r="Y46">
        <v>0.61306300000000002</v>
      </c>
      <c r="Z46">
        <v>0.61244100000000001</v>
      </c>
      <c r="AA46">
        <v>0.61188200000000004</v>
      </c>
      <c r="AB46">
        <v>0.61119699999999999</v>
      </c>
      <c r="AC46">
        <v>0.61064799999999997</v>
      </c>
      <c r="AD46">
        <v>0.61027100000000001</v>
      </c>
      <c r="AE46">
        <v>0.60981300000000005</v>
      </c>
      <c r="AF46">
        <v>0.60926899999999995</v>
      </c>
      <c r="AG46" s="122">
        <v>0</v>
      </c>
    </row>
    <row r="47" spans="1:33" x14ac:dyDescent="0.25">
      <c r="A47" t="s">
        <v>366</v>
      </c>
      <c r="B47" t="s">
        <v>425</v>
      </c>
      <c r="C47" t="s">
        <v>424</v>
      </c>
      <c r="D47" t="s">
        <v>299</v>
      </c>
      <c r="F47">
        <v>4.60344</v>
      </c>
      <c r="G47">
        <v>4.966208</v>
      </c>
      <c r="H47">
        <v>4.9995219999999998</v>
      </c>
      <c r="I47">
        <v>5.0195169999999996</v>
      </c>
      <c r="J47">
        <v>5.0296079999999996</v>
      </c>
      <c r="K47">
        <v>5.016108</v>
      </c>
      <c r="L47">
        <v>4.9945209999999998</v>
      </c>
      <c r="M47">
        <v>4.9609519999999998</v>
      </c>
      <c r="N47">
        <v>4.9130729999999998</v>
      </c>
      <c r="O47">
        <v>4.8717969999999999</v>
      </c>
      <c r="P47">
        <v>4.830965</v>
      </c>
      <c r="Q47">
        <v>4.8000860000000003</v>
      </c>
      <c r="R47">
        <v>4.7762690000000001</v>
      </c>
      <c r="S47">
        <v>4.7566199999999998</v>
      </c>
      <c r="T47">
        <v>4.738029</v>
      </c>
      <c r="U47">
        <v>4.7204990000000002</v>
      </c>
      <c r="V47">
        <v>4.7006449999999997</v>
      </c>
      <c r="W47">
        <v>4.6752089999999997</v>
      </c>
      <c r="X47">
        <v>4.6475150000000003</v>
      </c>
      <c r="Y47">
        <v>4.6186999999999996</v>
      </c>
      <c r="Z47">
        <v>4.5911010000000001</v>
      </c>
      <c r="AA47">
        <v>4.5650729999999999</v>
      </c>
      <c r="AB47">
        <v>4.5387300000000002</v>
      </c>
      <c r="AC47">
        <v>4.5131389999999998</v>
      </c>
      <c r="AD47">
        <v>4.4889289999999997</v>
      </c>
      <c r="AE47">
        <v>4.4652130000000003</v>
      </c>
      <c r="AF47">
        <v>4.4413049999999998</v>
      </c>
      <c r="AG47" s="122">
        <v>-1E-3</v>
      </c>
    </row>
    <row r="48" spans="1:33" x14ac:dyDescent="0.25">
      <c r="A48" t="s">
        <v>184</v>
      </c>
    </row>
    <row r="49" spans="1:33" s="152" customFormat="1" x14ac:dyDescent="0.25">
      <c r="A49" s="152" t="s">
        <v>227</v>
      </c>
      <c r="B49" s="152" t="s">
        <v>423</v>
      </c>
      <c r="C49" s="152" t="s">
        <v>422</v>
      </c>
      <c r="D49" s="152" t="s">
        <v>299</v>
      </c>
      <c r="F49" s="152">
        <v>0.37978200000000001</v>
      </c>
      <c r="G49" s="152">
        <v>0.41094700000000001</v>
      </c>
      <c r="H49" s="152">
        <v>0.40628999999999998</v>
      </c>
      <c r="I49" s="152">
        <v>0.39952599999999999</v>
      </c>
      <c r="J49" s="152">
        <v>0.39166800000000002</v>
      </c>
      <c r="K49" s="152">
        <v>0.38360499999999997</v>
      </c>
      <c r="L49" s="152">
        <v>0.37567499999999998</v>
      </c>
      <c r="M49" s="152">
        <v>0.36870599999999998</v>
      </c>
      <c r="N49" s="152">
        <v>0.36258000000000001</v>
      </c>
      <c r="O49" s="152">
        <v>0.35711599999999999</v>
      </c>
      <c r="P49" s="152">
        <v>0.35137699999999999</v>
      </c>
      <c r="Q49" s="152">
        <v>0.34575699999999998</v>
      </c>
      <c r="R49" s="152">
        <v>0.34038200000000002</v>
      </c>
      <c r="S49" s="152">
        <v>0.33507999999999999</v>
      </c>
      <c r="T49" s="152">
        <v>0.32994400000000002</v>
      </c>
      <c r="U49" s="152">
        <v>0.32495400000000002</v>
      </c>
      <c r="V49" s="152">
        <v>0.32000299999999998</v>
      </c>
      <c r="W49" s="152">
        <v>0.31509399999999999</v>
      </c>
      <c r="X49" s="152">
        <v>0.31032399999999999</v>
      </c>
      <c r="Y49" s="152">
        <v>0.30570700000000001</v>
      </c>
      <c r="Z49" s="152">
        <v>0.30099999999999999</v>
      </c>
      <c r="AA49" s="152">
        <v>0.29680299999999998</v>
      </c>
      <c r="AB49" s="152">
        <v>0.29274600000000001</v>
      </c>
      <c r="AC49" s="152">
        <v>0.28885499999999997</v>
      </c>
      <c r="AD49" s="152">
        <v>0.28507300000000002</v>
      </c>
      <c r="AE49" s="152">
        <v>0.281366</v>
      </c>
      <c r="AF49" s="152">
        <v>0.27757900000000002</v>
      </c>
      <c r="AG49" s="153">
        <v>-1.2E-2</v>
      </c>
    </row>
    <row r="50" spans="1:33" x14ac:dyDescent="0.25">
      <c r="A50" t="s">
        <v>356</v>
      </c>
      <c r="B50" t="s">
        <v>421</v>
      </c>
      <c r="C50" t="s">
        <v>420</v>
      </c>
      <c r="D50" t="s">
        <v>299</v>
      </c>
      <c r="F50">
        <v>4.0280000000000003E-2</v>
      </c>
      <c r="G50">
        <v>3.8163000000000002E-2</v>
      </c>
      <c r="H50">
        <v>3.5938999999999999E-2</v>
      </c>
      <c r="I50">
        <v>3.3678E-2</v>
      </c>
      <c r="J50">
        <v>3.1549000000000001E-2</v>
      </c>
      <c r="K50">
        <v>2.9547E-2</v>
      </c>
      <c r="L50">
        <v>2.7810999999999999E-2</v>
      </c>
      <c r="M50">
        <v>2.6394000000000001E-2</v>
      </c>
      <c r="N50">
        <v>2.5277000000000001E-2</v>
      </c>
      <c r="O50">
        <v>2.4400000000000002E-2</v>
      </c>
      <c r="P50">
        <v>2.3768000000000001E-2</v>
      </c>
      <c r="Q50">
        <v>2.3373999999999999E-2</v>
      </c>
      <c r="R50">
        <v>2.2939000000000001E-2</v>
      </c>
      <c r="S50">
        <v>2.2478999999999999E-2</v>
      </c>
      <c r="T50">
        <v>2.2013000000000001E-2</v>
      </c>
      <c r="U50">
        <v>2.154E-2</v>
      </c>
      <c r="V50">
        <v>2.1059000000000001E-2</v>
      </c>
      <c r="W50">
        <v>2.0565E-2</v>
      </c>
      <c r="X50">
        <v>2.0063000000000001E-2</v>
      </c>
      <c r="Y50">
        <v>1.9557000000000001E-2</v>
      </c>
      <c r="Z50">
        <v>1.9033999999999999E-2</v>
      </c>
      <c r="AA50">
        <v>1.8539E-2</v>
      </c>
      <c r="AB50">
        <v>1.8051000000000001E-2</v>
      </c>
      <c r="AC50">
        <v>1.7579000000000001E-2</v>
      </c>
      <c r="AD50">
        <v>1.7124E-2</v>
      </c>
      <c r="AE50">
        <v>1.6685999999999999E-2</v>
      </c>
      <c r="AF50">
        <v>1.6261000000000001E-2</v>
      </c>
      <c r="AG50" s="122">
        <v>-3.4000000000000002E-2</v>
      </c>
    </row>
    <row r="51" spans="1:33" x14ac:dyDescent="0.25">
      <c r="A51" t="s">
        <v>324</v>
      </c>
      <c r="B51" t="s">
        <v>419</v>
      </c>
      <c r="C51" t="s">
        <v>418</v>
      </c>
      <c r="D51" t="s">
        <v>299</v>
      </c>
      <c r="F51">
        <v>2.5815000000000001E-2</v>
      </c>
      <c r="G51">
        <v>2.6124999999999999E-2</v>
      </c>
      <c r="H51">
        <v>2.6246999999999999E-2</v>
      </c>
      <c r="I51">
        <v>2.6216E-2</v>
      </c>
      <c r="J51">
        <v>2.6099000000000001E-2</v>
      </c>
      <c r="K51">
        <v>2.5951999999999999E-2</v>
      </c>
      <c r="L51">
        <v>2.5805000000000002E-2</v>
      </c>
      <c r="M51">
        <v>2.5721999999999998E-2</v>
      </c>
      <c r="N51">
        <v>2.5690999999999999E-2</v>
      </c>
      <c r="O51">
        <v>2.5659000000000001E-2</v>
      </c>
      <c r="P51">
        <v>2.5625999999999999E-2</v>
      </c>
      <c r="Q51">
        <v>2.5586000000000001E-2</v>
      </c>
      <c r="R51">
        <v>2.5554E-2</v>
      </c>
      <c r="S51">
        <v>2.5513999999999998E-2</v>
      </c>
      <c r="T51">
        <v>2.5482000000000001E-2</v>
      </c>
      <c r="U51">
        <v>2.5454000000000001E-2</v>
      </c>
      <c r="V51">
        <v>2.5422E-2</v>
      </c>
      <c r="W51">
        <v>2.5382999999999999E-2</v>
      </c>
      <c r="X51">
        <v>2.5340999999999999E-2</v>
      </c>
      <c r="Y51">
        <v>2.5298000000000001E-2</v>
      </c>
      <c r="Z51">
        <v>2.5232999999999998E-2</v>
      </c>
      <c r="AA51">
        <v>2.5201999999999999E-2</v>
      </c>
      <c r="AB51">
        <v>2.5176E-2</v>
      </c>
      <c r="AC51">
        <v>2.5159000000000001E-2</v>
      </c>
      <c r="AD51">
        <v>2.5149000000000001E-2</v>
      </c>
      <c r="AE51">
        <v>2.5135000000000001E-2</v>
      </c>
      <c r="AF51">
        <v>2.5107000000000001E-2</v>
      </c>
      <c r="AG51" s="122">
        <v>-1E-3</v>
      </c>
    </row>
    <row r="52" spans="1:33" x14ac:dyDescent="0.25">
      <c r="A52" t="s">
        <v>366</v>
      </c>
      <c r="B52" t="s">
        <v>417</v>
      </c>
      <c r="C52" t="s">
        <v>416</v>
      </c>
      <c r="D52" t="s">
        <v>299</v>
      </c>
      <c r="F52">
        <v>0.44587700000000002</v>
      </c>
      <c r="G52">
        <v>0.47523500000000002</v>
      </c>
      <c r="H52">
        <v>0.468476</v>
      </c>
      <c r="I52">
        <v>0.45941900000000002</v>
      </c>
      <c r="J52">
        <v>0.44931599999999999</v>
      </c>
      <c r="K52">
        <v>0.43910399999999999</v>
      </c>
      <c r="L52">
        <v>0.42929099999999998</v>
      </c>
      <c r="M52">
        <v>0.42082199999999997</v>
      </c>
      <c r="N52">
        <v>0.413547</v>
      </c>
      <c r="O52">
        <v>0.40717500000000001</v>
      </c>
      <c r="P52">
        <v>0.40077099999999999</v>
      </c>
      <c r="Q52">
        <v>0.39471600000000001</v>
      </c>
      <c r="R52">
        <v>0.388874</v>
      </c>
      <c r="S52">
        <v>0.38307400000000003</v>
      </c>
      <c r="T52">
        <v>0.37743900000000002</v>
      </c>
      <c r="U52">
        <v>0.37194899999999997</v>
      </c>
      <c r="V52">
        <v>0.366483</v>
      </c>
      <c r="W52">
        <v>0.36104199999999997</v>
      </c>
      <c r="X52">
        <v>0.35572900000000002</v>
      </c>
      <c r="Y52">
        <v>0.35056199999999998</v>
      </c>
      <c r="Z52">
        <v>0.34526699999999999</v>
      </c>
      <c r="AA52">
        <v>0.34054400000000001</v>
      </c>
      <c r="AB52">
        <v>0.33597300000000002</v>
      </c>
      <c r="AC52">
        <v>0.331592</v>
      </c>
      <c r="AD52">
        <v>0.32734600000000003</v>
      </c>
      <c r="AE52">
        <v>0.32318799999999998</v>
      </c>
      <c r="AF52">
        <v>0.31897500000000001</v>
      </c>
      <c r="AG52" s="122">
        <v>-1.2999999999999999E-2</v>
      </c>
    </row>
    <row r="53" spans="1:33" x14ac:dyDescent="0.25">
      <c r="A53" t="s">
        <v>185</v>
      </c>
    </row>
    <row r="54" spans="1:33" x14ac:dyDescent="0.25">
      <c r="A54" t="s">
        <v>227</v>
      </c>
      <c r="B54" t="s">
        <v>415</v>
      </c>
      <c r="C54" t="s">
        <v>414</v>
      </c>
      <c r="D54" t="s">
        <v>299</v>
      </c>
      <c r="F54">
        <v>0.30324699999999999</v>
      </c>
      <c r="G54">
        <v>0.33763799999999999</v>
      </c>
      <c r="H54">
        <v>0.33391599999999999</v>
      </c>
      <c r="I54">
        <v>0.32942300000000002</v>
      </c>
      <c r="J54">
        <v>0.324515</v>
      </c>
      <c r="K54">
        <v>0.318994</v>
      </c>
      <c r="L54">
        <v>0.31281999999999999</v>
      </c>
      <c r="M54">
        <v>0.30642200000000003</v>
      </c>
      <c r="N54">
        <v>0.29993300000000001</v>
      </c>
      <c r="O54">
        <v>0.29379100000000002</v>
      </c>
      <c r="P54">
        <v>0.28748099999999999</v>
      </c>
      <c r="Q54">
        <v>0.281694</v>
      </c>
      <c r="R54">
        <v>0.27654000000000001</v>
      </c>
      <c r="S54">
        <v>0.27193099999999998</v>
      </c>
      <c r="T54">
        <v>0.26767600000000003</v>
      </c>
      <c r="U54">
        <v>0.26374500000000001</v>
      </c>
      <c r="V54">
        <v>0.26008100000000001</v>
      </c>
      <c r="W54">
        <v>0.25654700000000003</v>
      </c>
      <c r="X54">
        <v>0.25313799999999997</v>
      </c>
      <c r="Y54">
        <v>0.24981600000000001</v>
      </c>
      <c r="Z54">
        <v>0.24665500000000001</v>
      </c>
      <c r="AA54">
        <v>0.24367</v>
      </c>
      <c r="AB54">
        <v>0.240954</v>
      </c>
      <c r="AC54">
        <v>0.23830699999999999</v>
      </c>
      <c r="AD54">
        <v>0.23568900000000001</v>
      </c>
      <c r="AE54">
        <v>0.23302400000000001</v>
      </c>
      <c r="AF54">
        <v>0.23016200000000001</v>
      </c>
      <c r="AG54" s="122">
        <v>-1.0999999999999999E-2</v>
      </c>
    </row>
    <row r="55" spans="1:33" x14ac:dyDescent="0.25">
      <c r="A55" t="s">
        <v>356</v>
      </c>
      <c r="B55" t="s">
        <v>413</v>
      </c>
      <c r="C55" t="s">
        <v>412</v>
      </c>
      <c r="D55" t="s">
        <v>299</v>
      </c>
      <c r="F55">
        <v>5.6641999999999998E-2</v>
      </c>
      <c r="G55">
        <v>5.4625E-2</v>
      </c>
      <c r="H55">
        <v>5.2684000000000002E-2</v>
      </c>
      <c r="I55">
        <v>5.0775000000000001E-2</v>
      </c>
      <c r="J55">
        <v>4.9030999999999998E-2</v>
      </c>
      <c r="K55">
        <v>4.7142999999999997E-2</v>
      </c>
      <c r="L55">
        <v>4.5398000000000001E-2</v>
      </c>
      <c r="M55">
        <v>4.3867999999999997E-2</v>
      </c>
      <c r="N55">
        <v>4.2520000000000002E-2</v>
      </c>
      <c r="O55">
        <v>4.1422E-2</v>
      </c>
      <c r="P55">
        <v>4.0549000000000002E-2</v>
      </c>
      <c r="Q55">
        <v>3.9944E-2</v>
      </c>
      <c r="R55">
        <v>3.9315000000000003E-2</v>
      </c>
      <c r="S55">
        <v>3.8685999999999998E-2</v>
      </c>
      <c r="T55">
        <v>3.8047999999999998E-2</v>
      </c>
      <c r="U55">
        <v>3.7400999999999997E-2</v>
      </c>
      <c r="V55">
        <v>3.6749999999999998E-2</v>
      </c>
      <c r="W55">
        <v>3.6075000000000003E-2</v>
      </c>
      <c r="X55">
        <v>3.5376999999999999E-2</v>
      </c>
      <c r="Y55">
        <v>3.4657E-2</v>
      </c>
      <c r="Z55">
        <v>3.3936000000000001E-2</v>
      </c>
      <c r="AA55">
        <v>3.3212999999999999E-2</v>
      </c>
      <c r="AB55">
        <v>3.2506E-2</v>
      </c>
      <c r="AC55">
        <v>3.1829000000000003E-2</v>
      </c>
      <c r="AD55">
        <v>3.1182999999999999E-2</v>
      </c>
      <c r="AE55">
        <v>3.0557000000000001E-2</v>
      </c>
      <c r="AF55">
        <v>2.9940999999999999E-2</v>
      </c>
      <c r="AG55" s="122">
        <v>-2.4E-2</v>
      </c>
    </row>
    <row r="56" spans="1:33" x14ac:dyDescent="0.25">
      <c r="A56" t="s">
        <v>350</v>
      </c>
      <c r="B56" t="s">
        <v>411</v>
      </c>
      <c r="C56" t="s">
        <v>410</v>
      </c>
      <c r="D56" t="s">
        <v>299</v>
      </c>
      <c r="F56">
        <v>1.0414E-2</v>
      </c>
      <c r="G56">
        <v>1.0315E-2</v>
      </c>
      <c r="H56">
        <v>1.0248999999999999E-2</v>
      </c>
      <c r="I56">
        <v>1.0179000000000001E-2</v>
      </c>
      <c r="J56">
        <v>1.0102999999999999E-2</v>
      </c>
      <c r="K56">
        <v>1.0024999999999999E-2</v>
      </c>
      <c r="L56">
        <v>9.9439999999999997E-3</v>
      </c>
      <c r="M56">
        <v>9.8589999999999997E-3</v>
      </c>
      <c r="N56">
        <v>9.7669999999999996E-3</v>
      </c>
      <c r="O56">
        <v>9.6710000000000008E-3</v>
      </c>
      <c r="P56">
        <v>9.5709999999999996E-3</v>
      </c>
      <c r="Q56">
        <v>9.4649999999999995E-3</v>
      </c>
      <c r="R56">
        <v>9.3539999999999995E-3</v>
      </c>
      <c r="S56">
        <v>9.2370000000000004E-3</v>
      </c>
      <c r="T56">
        <v>9.1389999999999996E-3</v>
      </c>
      <c r="U56">
        <v>9.0609999999999996E-3</v>
      </c>
      <c r="V56">
        <v>9.0060000000000001E-3</v>
      </c>
      <c r="W56">
        <v>8.9739999999999993E-3</v>
      </c>
      <c r="X56">
        <v>8.966E-3</v>
      </c>
      <c r="Y56">
        <v>8.9560000000000004E-3</v>
      </c>
      <c r="Z56">
        <v>8.9429999999999996E-3</v>
      </c>
      <c r="AA56">
        <v>8.9289999999999994E-3</v>
      </c>
      <c r="AB56">
        <v>8.9119999999999998E-3</v>
      </c>
      <c r="AC56">
        <v>8.8940000000000009E-3</v>
      </c>
      <c r="AD56">
        <v>8.8719999999999997E-3</v>
      </c>
      <c r="AE56">
        <v>8.848E-3</v>
      </c>
      <c r="AF56">
        <v>8.8229999999999992E-3</v>
      </c>
      <c r="AG56" s="122">
        <v>-6.0000000000000001E-3</v>
      </c>
    </row>
    <row r="57" spans="1:33" x14ac:dyDescent="0.25">
      <c r="A57" t="s">
        <v>324</v>
      </c>
      <c r="B57" t="s">
        <v>409</v>
      </c>
      <c r="C57" t="s">
        <v>408</v>
      </c>
      <c r="D57" t="s">
        <v>299</v>
      </c>
      <c r="F57">
        <v>7.5281000000000001E-2</v>
      </c>
      <c r="G57">
        <v>7.8131999999999993E-2</v>
      </c>
      <c r="H57">
        <v>8.0817E-2</v>
      </c>
      <c r="I57">
        <v>8.3364999999999995E-2</v>
      </c>
      <c r="J57">
        <v>8.5863999999999996E-2</v>
      </c>
      <c r="K57">
        <v>8.8322999999999999E-2</v>
      </c>
      <c r="L57">
        <v>9.0687000000000004E-2</v>
      </c>
      <c r="M57">
        <v>9.3015E-2</v>
      </c>
      <c r="N57">
        <v>9.5245999999999997E-2</v>
      </c>
      <c r="O57">
        <v>9.7373000000000001E-2</v>
      </c>
      <c r="P57">
        <v>9.9442000000000003E-2</v>
      </c>
      <c r="Q57">
        <v>0.10158300000000001</v>
      </c>
      <c r="R57">
        <v>0.103856</v>
      </c>
      <c r="S57">
        <v>0.10623</v>
      </c>
      <c r="T57">
        <v>0.108665</v>
      </c>
      <c r="U57">
        <v>0.111141</v>
      </c>
      <c r="V57">
        <v>0.113638</v>
      </c>
      <c r="W57">
        <v>0.116105</v>
      </c>
      <c r="X57">
        <v>0.118547</v>
      </c>
      <c r="Y57">
        <v>0.120947</v>
      </c>
      <c r="Z57">
        <v>0.123361</v>
      </c>
      <c r="AA57">
        <v>0.125781</v>
      </c>
      <c r="AB57">
        <v>0.128248</v>
      </c>
      <c r="AC57">
        <v>0.13078500000000001</v>
      </c>
      <c r="AD57">
        <v>0.13336899999999999</v>
      </c>
      <c r="AE57">
        <v>0.13592000000000001</v>
      </c>
      <c r="AF57">
        <v>0.13836200000000001</v>
      </c>
      <c r="AG57" s="122">
        <v>2.4E-2</v>
      </c>
    </row>
    <row r="58" spans="1:33" x14ac:dyDescent="0.25">
      <c r="A58" t="s">
        <v>366</v>
      </c>
      <c r="B58" t="s">
        <v>407</v>
      </c>
      <c r="C58" t="s">
        <v>406</v>
      </c>
      <c r="D58" t="s">
        <v>299</v>
      </c>
      <c r="F58">
        <v>0.44558500000000001</v>
      </c>
      <c r="G58">
        <v>0.480711</v>
      </c>
      <c r="H58">
        <v>0.47766599999999998</v>
      </c>
      <c r="I58">
        <v>0.47374300000000003</v>
      </c>
      <c r="J58">
        <v>0.46951399999999999</v>
      </c>
      <c r="K58">
        <v>0.46448600000000001</v>
      </c>
      <c r="L58">
        <v>0.45884900000000001</v>
      </c>
      <c r="M58">
        <v>0.45316299999999998</v>
      </c>
      <c r="N58">
        <v>0.44746599999999997</v>
      </c>
      <c r="O58">
        <v>0.44225799999999998</v>
      </c>
      <c r="P58">
        <v>0.43704300000000001</v>
      </c>
      <c r="Q58">
        <v>0.43268699999999999</v>
      </c>
      <c r="R58">
        <v>0.42906499999999997</v>
      </c>
      <c r="S58">
        <v>0.42608400000000002</v>
      </c>
      <c r="T58">
        <v>0.42352899999999999</v>
      </c>
      <c r="U58">
        <v>0.42134700000000003</v>
      </c>
      <c r="V58">
        <v>0.41947600000000002</v>
      </c>
      <c r="W58">
        <v>0.41770099999999999</v>
      </c>
      <c r="X58">
        <v>0.41602899999999998</v>
      </c>
      <c r="Y58">
        <v>0.41437600000000002</v>
      </c>
      <c r="Z58">
        <v>0.41289599999999999</v>
      </c>
      <c r="AA58">
        <v>0.41159299999999999</v>
      </c>
      <c r="AB58">
        <v>0.41061999999999999</v>
      </c>
      <c r="AC58">
        <v>0.40981499999999998</v>
      </c>
      <c r="AD58">
        <v>0.40911399999999998</v>
      </c>
      <c r="AE58">
        <v>0.40834900000000002</v>
      </c>
      <c r="AF58">
        <v>0.40728799999999998</v>
      </c>
      <c r="AG58" s="122">
        <v>-3.0000000000000001E-3</v>
      </c>
    </row>
    <row r="59" spans="1:33" x14ac:dyDescent="0.25">
      <c r="A59" t="s">
        <v>405</v>
      </c>
      <c r="B59" t="s">
        <v>404</v>
      </c>
      <c r="C59" t="s">
        <v>403</v>
      </c>
      <c r="D59" t="s">
        <v>299</v>
      </c>
      <c r="F59">
        <v>0.35758299999999998</v>
      </c>
      <c r="G59">
        <v>0.36509399999999997</v>
      </c>
      <c r="H59">
        <v>0.35265400000000002</v>
      </c>
      <c r="I59">
        <v>0.34729500000000002</v>
      </c>
      <c r="J59">
        <v>0.34571800000000003</v>
      </c>
      <c r="K59">
        <v>0.345503</v>
      </c>
      <c r="L59">
        <v>0.34528999999999999</v>
      </c>
      <c r="M59">
        <v>0.342499</v>
      </c>
      <c r="N59">
        <v>0.33729500000000001</v>
      </c>
      <c r="O59">
        <v>0.33283800000000002</v>
      </c>
      <c r="P59">
        <v>0.32823400000000003</v>
      </c>
      <c r="Q59">
        <v>0.323965</v>
      </c>
      <c r="R59">
        <v>0.31938100000000003</v>
      </c>
      <c r="S59">
        <v>0.31522099999999997</v>
      </c>
      <c r="T59">
        <v>0.31101800000000002</v>
      </c>
      <c r="U59">
        <v>0.306564</v>
      </c>
      <c r="V59">
        <v>0.30218200000000001</v>
      </c>
      <c r="W59">
        <v>0.29809999999999998</v>
      </c>
      <c r="X59">
        <v>0.294377</v>
      </c>
      <c r="Y59">
        <v>0.29094999999999999</v>
      </c>
      <c r="Z59">
        <v>0.28853600000000001</v>
      </c>
      <c r="AA59">
        <v>0.28493499999999999</v>
      </c>
      <c r="AB59">
        <v>0.28137699999999999</v>
      </c>
      <c r="AC59">
        <v>0.27769199999999999</v>
      </c>
      <c r="AD59">
        <v>0.273872</v>
      </c>
      <c r="AE59">
        <v>0.27057199999999998</v>
      </c>
      <c r="AF59">
        <v>0.26805000000000001</v>
      </c>
      <c r="AG59" s="122">
        <v>-1.0999999999999999E-2</v>
      </c>
    </row>
    <row r="60" spans="1:33" x14ac:dyDescent="0.25">
      <c r="A60" t="s">
        <v>402</v>
      </c>
    </row>
    <row r="61" spans="1:33" x14ac:dyDescent="0.25">
      <c r="A61" t="s">
        <v>227</v>
      </c>
      <c r="B61" t="s">
        <v>401</v>
      </c>
      <c r="C61" t="s">
        <v>400</v>
      </c>
      <c r="D61" t="s">
        <v>299</v>
      </c>
      <c r="F61">
        <v>4.3465860000000003</v>
      </c>
      <c r="G61">
        <v>4.8228799999999996</v>
      </c>
      <c r="H61">
        <v>4.8200079999999996</v>
      </c>
      <c r="I61">
        <v>4.8122230000000004</v>
      </c>
      <c r="J61">
        <v>4.7951969999999999</v>
      </c>
      <c r="K61">
        <v>4.7611840000000001</v>
      </c>
      <c r="L61">
        <v>4.7174490000000002</v>
      </c>
      <c r="M61">
        <v>4.6611149999999997</v>
      </c>
      <c r="N61">
        <v>4.5926739999999997</v>
      </c>
      <c r="O61">
        <v>4.5321020000000001</v>
      </c>
      <c r="P61">
        <v>4.4684559999999998</v>
      </c>
      <c r="Q61">
        <v>4.4139229999999996</v>
      </c>
      <c r="R61">
        <v>4.3675110000000004</v>
      </c>
      <c r="S61">
        <v>4.3258219999999996</v>
      </c>
      <c r="T61">
        <v>4.2849760000000003</v>
      </c>
      <c r="U61">
        <v>4.2453950000000003</v>
      </c>
      <c r="V61">
        <v>4.2049940000000001</v>
      </c>
      <c r="W61">
        <v>4.1615849999999996</v>
      </c>
      <c r="X61">
        <v>4.118366</v>
      </c>
      <c r="Y61">
        <v>4.0758530000000004</v>
      </c>
      <c r="Z61">
        <v>4.0353839999999996</v>
      </c>
      <c r="AA61">
        <v>3.9961630000000001</v>
      </c>
      <c r="AB61">
        <v>3.9576319999999998</v>
      </c>
      <c r="AC61">
        <v>3.9196849999999999</v>
      </c>
      <c r="AD61">
        <v>3.8825660000000002</v>
      </c>
      <c r="AE61">
        <v>3.846835</v>
      </c>
      <c r="AF61">
        <v>3.810959</v>
      </c>
      <c r="AG61" s="122">
        <v>-5.0000000000000001E-3</v>
      </c>
    </row>
    <row r="62" spans="1:33" x14ac:dyDescent="0.25">
      <c r="A62" t="s">
        <v>211</v>
      </c>
      <c r="B62" t="s">
        <v>399</v>
      </c>
      <c r="C62" t="s">
        <v>398</v>
      </c>
      <c r="D62" t="s">
        <v>299</v>
      </c>
      <c r="F62">
        <v>1.0605800000000001</v>
      </c>
      <c r="G62">
        <v>1.013512</v>
      </c>
      <c r="H62">
        <v>1.032818</v>
      </c>
      <c r="I62">
        <v>1.051242</v>
      </c>
      <c r="J62">
        <v>1.0633919999999999</v>
      </c>
      <c r="K62">
        <v>1.0681769999999999</v>
      </c>
      <c r="L62">
        <v>1.070424</v>
      </c>
      <c r="M62">
        <v>1.0710580000000001</v>
      </c>
      <c r="N62">
        <v>1.072892</v>
      </c>
      <c r="O62">
        <v>1.0796399999999999</v>
      </c>
      <c r="P62">
        <v>1.0884609999999999</v>
      </c>
      <c r="Q62">
        <v>1.101504</v>
      </c>
      <c r="R62">
        <v>1.1185849999999999</v>
      </c>
      <c r="S62">
        <v>1.1379809999999999</v>
      </c>
      <c r="T62">
        <v>1.1565019999999999</v>
      </c>
      <c r="U62">
        <v>1.1760699999999999</v>
      </c>
      <c r="V62">
        <v>1.1959070000000001</v>
      </c>
      <c r="W62">
        <v>1.216205</v>
      </c>
      <c r="X62">
        <v>1.236335</v>
      </c>
      <c r="Y62">
        <v>1.2568429999999999</v>
      </c>
      <c r="Z62">
        <v>1.2770840000000001</v>
      </c>
      <c r="AA62">
        <v>1.296835</v>
      </c>
      <c r="AB62">
        <v>1.316179</v>
      </c>
      <c r="AC62">
        <v>1.3353330000000001</v>
      </c>
      <c r="AD62">
        <v>1.3544449999999999</v>
      </c>
      <c r="AE62">
        <v>1.37382</v>
      </c>
      <c r="AF62">
        <v>1.3930279999999999</v>
      </c>
      <c r="AG62" s="122">
        <v>1.0999999999999999E-2</v>
      </c>
    </row>
    <row r="63" spans="1:33" x14ac:dyDescent="0.25">
      <c r="A63" t="s">
        <v>356</v>
      </c>
      <c r="B63" t="s">
        <v>397</v>
      </c>
      <c r="C63" t="s">
        <v>396</v>
      </c>
      <c r="D63" t="s">
        <v>299</v>
      </c>
      <c r="F63">
        <v>1.6054889999999999</v>
      </c>
      <c r="G63">
        <v>1.598546</v>
      </c>
      <c r="H63">
        <v>1.597089</v>
      </c>
      <c r="I63">
        <v>1.5942449999999999</v>
      </c>
      <c r="J63">
        <v>1.5889420000000001</v>
      </c>
      <c r="K63">
        <v>1.56559</v>
      </c>
      <c r="L63">
        <v>1.5391919999999999</v>
      </c>
      <c r="M63">
        <v>1.511479</v>
      </c>
      <c r="N63">
        <v>1.484329</v>
      </c>
      <c r="O63">
        <v>1.4618789999999999</v>
      </c>
      <c r="P63">
        <v>1.4445779999999999</v>
      </c>
      <c r="Q63">
        <v>1.4330259999999999</v>
      </c>
      <c r="R63">
        <v>1.423908</v>
      </c>
      <c r="S63">
        <v>1.416868</v>
      </c>
      <c r="T63">
        <v>1.4107289999999999</v>
      </c>
      <c r="U63">
        <v>1.4057539999999999</v>
      </c>
      <c r="V63">
        <v>1.401351</v>
      </c>
      <c r="W63">
        <v>1.3964270000000001</v>
      </c>
      <c r="X63">
        <v>1.3916949999999999</v>
      </c>
      <c r="Y63">
        <v>1.3874219999999999</v>
      </c>
      <c r="Z63">
        <v>1.3823030000000001</v>
      </c>
      <c r="AA63">
        <v>1.376514</v>
      </c>
      <c r="AB63">
        <v>1.3697900000000001</v>
      </c>
      <c r="AC63">
        <v>1.362908</v>
      </c>
      <c r="AD63">
        <v>1.3563510000000001</v>
      </c>
      <c r="AE63">
        <v>1.3500080000000001</v>
      </c>
      <c r="AF63">
        <v>1.3441289999999999</v>
      </c>
      <c r="AG63" s="122">
        <v>-7.0000000000000001E-3</v>
      </c>
    </row>
    <row r="64" spans="1:33" x14ac:dyDescent="0.25">
      <c r="A64" t="s">
        <v>353</v>
      </c>
      <c r="B64" t="s">
        <v>395</v>
      </c>
      <c r="C64" t="s">
        <v>394</v>
      </c>
      <c r="D64" t="s">
        <v>299</v>
      </c>
      <c r="F64">
        <v>0.35147899999999999</v>
      </c>
      <c r="G64">
        <v>0.34973700000000002</v>
      </c>
      <c r="H64">
        <v>0.34897</v>
      </c>
      <c r="I64">
        <v>0.34811799999999998</v>
      </c>
      <c r="J64">
        <v>0.34716799999999998</v>
      </c>
      <c r="K64">
        <v>0.34654499999999999</v>
      </c>
      <c r="L64">
        <v>0.34371699999999999</v>
      </c>
      <c r="M64">
        <v>0.34114699999999998</v>
      </c>
      <c r="N64">
        <v>0.33881600000000001</v>
      </c>
      <c r="O64">
        <v>0.33663500000000002</v>
      </c>
      <c r="P64">
        <v>0.33458100000000002</v>
      </c>
      <c r="Q64">
        <v>0.33278200000000002</v>
      </c>
      <c r="R64">
        <v>0.33139600000000002</v>
      </c>
      <c r="S64">
        <v>0.33041399999999999</v>
      </c>
      <c r="T64">
        <v>0.32984999999999998</v>
      </c>
      <c r="U64">
        <v>0.32970100000000002</v>
      </c>
      <c r="V64">
        <v>0.32997199999999999</v>
      </c>
      <c r="W64">
        <v>0.33063999999999999</v>
      </c>
      <c r="X64">
        <v>0.331706</v>
      </c>
      <c r="Y64">
        <v>0.33316699999999999</v>
      </c>
      <c r="Z64">
        <v>0.335038</v>
      </c>
      <c r="AA64">
        <v>0.33738899999999999</v>
      </c>
      <c r="AB64">
        <v>0.34022799999999997</v>
      </c>
      <c r="AC64">
        <v>0.34354400000000002</v>
      </c>
      <c r="AD64">
        <v>0.34684700000000002</v>
      </c>
      <c r="AE64">
        <v>0.35012599999999999</v>
      </c>
      <c r="AF64">
        <v>0.35335800000000001</v>
      </c>
      <c r="AG64" s="122">
        <v>0</v>
      </c>
    </row>
    <row r="65" spans="1:33" x14ac:dyDescent="0.25">
      <c r="A65" t="s">
        <v>350</v>
      </c>
      <c r="B65" t="s">
        <v>393</v>
      </c>
      <c r="C65" t="s">
        <v>392</v>
      </c>
      <c r="D65" t="s">
        <v>299</v>
      </c>
      <c r="F65">
        <v>0.155616</v>
      </c>
      <c r="G65">
        <v>0.15596599999999999</v>
      </c>
      <c r="H65">
        <v>0.15681</v>
      </c>
      <c r="I65">
        <v>0.157668</v>
      </c>
      <c r="J65">
        <v>0.158521</v>
      </c>
      <c r="K65">
        <v>0.15940099999999999</v>
      </c>
      <c r="L65">
        <v>0.160279</v>
      </c>
      <c r="M65">
        <v>0.16114200000000001</v>
      </c>
      <c r="N65">
        <v>0.161972</v>
      </c>
      <c r="O65">
        <v>0.16275899999999999</v>
      </c>
      <c r="P65">
        <v>0.163526</v>
      </c>
      <c r="Q65">
        <v>0.16431100000000001</v>
      </c>
      <c r="R65">
        <v>0.16511700000000001</v>
      </c>
      <c r="S65">
        <v>0.16592899999999999</v>
      </c>
      <c r="T65">
        <v>0.166792</v>
      </c>
      <c r="U65">
        <v>0.16767000000000001</v>
      </c>
      <c r="V65">
        <v>0.16857900000000001</v>
      </c>
      <c r="W65">
        <v>0.16950399999999999</v>
      </c>
      <c r="X65">
        <v>0.17045199999999999</v>
      </c>
      <c r="Y65">
        <v>0.17136799999999999</v>
      </c>
      <c r="Z65">
        <v>0.17227200000000001</v>
      </c>
      <c r="AA65">
        <v>0.173179</v>
      </c>
      <c r="AB65">
        <v>0.17408699999999999</v>
      </c>
      <c r="AC65">
        <v>0.17499799999999999</v>
      </c>
      <c r="AD65">
        <v>0.17591300000000001</v>
      </c>
      <c r="AE65">
        <v>0.17683499999999999</v>
      </c>
      <c r="AF65">
        <v>0.177762</v>
      </c>
      <c r="AG65" s="122">
        <v>5.0000000000000001E-3</v>
      </c>
    </row>
    <row r="66" spans="1:33" x14ac:dyDescent="0.25">
      <c r="A66" t="s">
        <v>347</v>
      </c>
      <c r="B66" t="s">
        <v>391</v>
      </c>
      <c r="C66" t="s">
        <v>390</v>
      </c>
      <c r="D66" t="s">
        <v>299</v>
      </c>
      <c r="F66">
        <v>0.23139499999999999</v>
      </c>
      <c r="G66">
        <v>0.23356099999999999</v>
      </c>
      <c r="H66">
        <v>0.23794899999999999</v>
      </c>
      <c r="I66">
        <v>0.24311199999999999</v>
      </c>
      <c r="J66">
        <v>0.247172</v>
      </c>
      <c r="K66">
        <v>0.24962599999999999</v>
      </c>
      <c r="L66">
        <v>0.25114199999999998</v>
      </c>
      <c r="M66">
        <v>0.25182100000000002</v>
      </c>
      <c r="N66">
        <v>0.25203799999999998</v>
      </c>
      <c r="O66">
        <v>0.25211699999999998</v>
      </c>
      <c r="P66">
        <v>0.25274000000000002</v>
      </c>
      <c r="Q66">
        <v>0.25444099999999997</v>
      </c>
      <c r="R66">
        <v>0.25719799999999998</v>
      </c>
      <c r="S66">
        <v>0.26063799999999998</v>
      </c>
      <c r="T66">
        <v>0.26424999999999998</v>
      </c>
      <c r="U66">
        <v>0.268266</v>
      </c>
      <c r="V66">
        <v>0.272733</v>
      </c>
      <c r="W66">
        <v>0.27750799999999998</v>
      </c>
      <c r="X66">
        <v>0.28212100000000001</v>
      </c>
      <c r="Y66">
        <v>0.28665000000000002</v>
      </c>
      <c r="Z66">
        <v>0.29098400000000002</v>
      </c>
      <c r="AA66">
        <v>0.295126</v>
      </c>
      <c r="AB66">
        <v>0.29904999999999998</v>
      </c>
      <c r="AC66">
        <v>0.30279099999999998</v>
      </c>
      <c r="AD66">
        <v>0.30644300000000002</v>
      </c>
      <c r="AE66">
        <v>0.31001699999999999</v>
      </c>
      <c r="AF66">
        <v>0.31342700000000001</v>
      </c>
      <c r="AG66" s="122">
        <v>1.2E-2</v>
      </c>
    </row>
    <row r="67" spans="1:33" x14ac:dyDescent="0.25">
      <c r="A67" t="s">
        <v>201</v>
      </c>
      <c r="B67" t="s">
        <v>389</v>
      </c>
      <c r="C67" t="s">
        <v>388</v>
      </c>
      <c r="D67" t="s">
        <v>299</v>
      </c>
      <c r="F67">
        <v>7.9547999999999994E-2</v>
      </c>
      <c r="G67">
        <v>7.9316999999999999E-2</v>
      </c>
      <c r="H67">
        <v>7.9323000000000005E-2</v>
      </c>
      <c r="I67">
        <v>7.9324000000000006E-2</v>
      </c>
      <c r="J67">
        <v>7.9286999999999996E-2</v>
      </c>
      <c r="K67">
        <v>7.9225000000000004E-2</v>
      </c>
      <c r="L67">
        <v>7.8759999999999997E-2</v>
      </c>
      <c r="M67">
        <v>7.8244999999999995E-2</v>
      </c>
      <c r="N67">
        <v>7.7689999999999995E-2</v>
      </c>
      <c r="O67">
        <v>7.7148999999999995E-2</v>
      </c>
      <c r="P67">
        <v>7.6617000000000005E-2</v>
      </c>
      <c r="Q67">
        <v>7.6115000000000002E-2</v>
      </c>
      <c r="R67">
        <v>7.5637999999999997E-2</v>
      </c>
      <c r="S67">
        <v>7.5175000000000006E-2</v>
      </c>
      <c r="T67">
        <v>7.4735999999999997E-2</v>
      </c>
      <c r="U67">
        <v>7.4319999999999997E-2</v>
      </c>
      <c r="V67">
        <v>7.3931999999999998E-2</v>
      </c>
      <c r="W67">
        <v>7.3580999999999994E-2</v>
      </c>
      <c r="X67">
        <v>7.3268E-2</v>
      </c>
      <c r="Y67">
        <v>7.2993000000000002E-2</v>
      </c>
      <c r="Z67">
        <v>7.2761000000000006E-2</v>
      </c>
      <c r="AA67">
        <v>7.2581999999999994E-2</v>
      </c>
      <c r="AB67">
        <v>7.2468000000000005E-2</v>
      </c>
      <c r="AC67">
        <v>7.2414999999999993E-2</v>
      </c>
      <c r="AD67">
        <v>7.2434999999999999E-2</v>
      </c>
      <c r="AE67">
        <v>7.2536000000000003E-2</v>
      </c>
      <c r="AF67">
        <v>7.2717000000000004E-2</v>
      </c>
      <c r="AG67" s="122">
        <v>-3.0000000000000001E-3</v>
      </c>
    </row>
    <row r="68" spans="1:33" x14ac:dyDescent="0.25">
      <c r="A68" t="s">
        <v>342</v>
      </c>
      <c r="B68" t="s">
        <v>387</v>
      </c>
      <c r="C68" t="s">
        <v>386</v>
      </c>
      <c r="D68" t="s">
        <v>299</v>
      </c>
      <c r="F68">
        <v>0.18737100000000001</v>
      </c>
      <c r="G68">
        <v>0.18539</v>
      </c>
      <c r="H68">
        <v>0.18696399999999999</v>
      </c>
      <c r="I68">
        <v>0.190632</v>
      </c>
      <c r="J68">
        <v>0.19372700000000001</v>
      </c>
      <c r="K68">
        <v>0.195604</v>
      </c>
      <c r="L68">
        <v>0.19516600000000001</v>
      </c>
      <c r="M68">
        <v>0.19453100000000001</v>
      </c>
      <c r="N68">
        <v>0.19431999999999999</v>
      </c>
      <c r="O68">
        <v>0.19414899999999999</v>
      </c>
      <c r="P68">
        <v>0.19440399999999999</v>
      </c>
      <c r="Q68">
        <v>0.19527800000000001</v>
      </c>
      <c r="R68">
        <v>0.196599</v>
      </c>
      <c r="S68">
        <v>0.19806699999999999</v>
      </c>
      <c r="T68">
        <v>0.199294</v>
      </c>
      <c r="U68">
        <v>0.200681</v>
      </c>
      <c r="V68">
        <v>0.198798</v>
      </c>
      <c r="W68">
        <v>0.19717199999999999</v>
      </c>
      <c r="X68">
        <v>0.195941</v>
      </c>
      <c r="Y68">
        <v>0.19514000000000001</v>
      </c>
      <c r="Z68">
        <v>0.19470599999999999</v>
      </c>
      <c r="AA68">
        <v>0.194468</v>
      </c>
      <c r="AB68">
        <v>0.19427800000000001</v>
      </c>
      <c r="AC68">
        <v>0.194106</v>
      </c>
      <c r="AD68">
        <v>0.194081</v>
      </c>
      <c r="AE68">
        <v>0.19420699999999999</v>
      </c>
      <c r="AF68">
        <v>0.19436300000000001</v>
      </c>
      <c r="AG68" s="122">
        <v>1E-3</v>
      </c>
    </row>
    <row r="69" spans="1:33" x14ac:dyDescent="0.25">
      <c r="A69" t="s">
        <v>339</v>
      </c>
      <c r="B69" t="s">
        <v>385</v>
      </c>
      <c r="C69" t="s">
        <v>384</v>
      </c>
      <c r="D69" t="s">
        <v>299</v>
      </c>
      <c r="F69">
        <v>4.1806999999999997E-2</v>
      </c>
      <c r="G69">
        <v>4.0731000000000003E-2</v>
      </c>
      <c r="H69">
        <v>3.9766000000000003E-2</v>
      </c>
      <c r="I69">
        <v>3.8787000000000002E-2</v>
      </c>
      <c r="J69">
        <v>3.7633E-2</v>
      </c>
      <c r="K69">
        <v>3.6454E-2</v>
      </c>
      <c r="L69">
        <v>3.5085999999999999E-2</v>
      </c>
      <c r="M69">
        <v>3.3659000000000001E-2</v>
      </c>
      <c r="N69">
        <v>3.2142999999999998E-2</v>
      </c>
      <c r="O69">
        <v>3.0825999999999999E-2</v>
      </c>
      <c r="P69">
        <v>2.971E-2</v>
      </c>
      <c r="Q69">
        <v>2.8801E-2</v>
      </c>
      <c r="R69">
        <v>2.8112000000000002E-2</v>
      </c>
      <c r="S69">
        <v>2.7654999999999999E-2</v>
      </c>
      <c r="T69">
        <v>2.7453000000000002E-2</v>
      </c>
      <c r="U69">
        <v>2.7522000000000001E-2</v>
      </c>
      <c r="V69">
        <v>2.759E-2</v>
      </c>
      <c r="W69">
        <v>2.7657999999999999E-2</v>
      </c>
      <c r="X69">
        <v>2.7733000000000001E-2</v>
      </c>
      <c r="Y69">
        <v>2.7814999999999999E-2</v>
      </c>
      <c r="Z69">
        <v>2.7907999999999999E-2</v>
      </c>
      <c r="AA69">
        <v>2.8015999999999999E-2</v>
      </c>
      <c r="AB69">
        <v>2.8138E-2</v>
      </c>
      <c r="AC69">
        <v>2.8273E-2</v>
      </c>
      <c r="AD69">
        <v>2.8420000000000001E-2</v>
      </c>
      <c r="AE69">
        <v>2.8576000000000001E-2</v>
      </c>
      <c r="AF69">
        <v>2.8739000000000001E-2</v>
      </c>
      <c r="AG69" s="122">
        <v>-1.4E-2</v>
      </c>
    </row>
    <row r="70" spans="1:33" x14ac:dyDescent="0.25">
      <c r="A70" t="s">
        <v>336</v>
      </c>
      <c r="B70" t="s">
        <v>383</v>
      </c>
      <c r="C70" t="s">
        <v>382</v>
      </c>
      <c r="D70" t="s">
        <v>299</v>
      </c>
      <c r="F70">
        <v>3.6366999999999997E-2</v>
      </c>
      <c r="G70">
        <v>3.7219000000000002E-2</v>
      </c>
      <c r="H70">
        <v>3.8216E-2</v>
      </c>
      <c r="I70">
        <v>3.8545999999999997E-2</v>
      </c>
      <c r="J70">
        <v>3.8751000000000001E-2</v>
      </c>
      <c r="K70">
        <v>3.8914999999999998E-2</v>
      </c>
      <c r="L70">
        <v>3.9031999999999997E-2</v>
      </c>
      <c r="M70">
        <v>3.9100999999999997E-2</v>
      </c>
      <c r="N70">
        <v>3.9118E-2</v>
      </c>
      <c r="O70">
        <v>3.9202000000000001E-2</v>
      </c>
      <c r="P70">
        <v>3.9358999999999998E-2</v>
      </c>
      <c r="Q70">
        <v>3.9600999999999997E-2</v>
      </c>
      <c r="R70">
        <v>3.9935999999999999E-2</v>
      </c>
      <c r="S70">
        <v>4.0363999999999997E-2</v>
      </c>
      <c r="T70">
        <v>4.0896000000000002E-2</v>
      </c>
      <c r="U70">
        <v>4.1537999999999999E-2</v>
      </c>
      <c r="V70">
        <v>4.2178E-2</v>
      </c>
      <c r="W70">
        <v>4.2812000000000003E-2</v>
      </c>
      <c r="X70">
        <v>4.3444000000000003E-2</v>
      </c>
      <c r="Y70">
        <v>4.4074000000000002E-2</v>
      </c>
      <c r="Z70">
        <v>4.4707999999999998E-2</v>
      </c>
      <c r="AA70">
        <v>4.5349E-2</v>
      </c>
      <c r="AB70">
        <v>4.5997999999999997E-2</v>
      </c>
      <c r="AC70">
        <v>4.6655000000000002E-2</v>
      </c>
      <c r="AD70">
        <v>4.7317999999999999E-2</v>
      </c>
      <c r="AE70">
        <v>4.7988000000000003E-2</v>
      </c>
      <c r="AF70">
        <v>4.8662999999999998E-2</v>
      </c>
      <c r="AG70" s="122">
        <v>1.0999999999999999E-2</v>
      </c>
    </row>
    <row r="71" spans="1:33" x14ac:dyDescent="0.25">
      <c r="A71" t="s">
        <v>333</v>
      </c>
      <c r="B71" t="s">
        <v>381</v>
      </c>
      <c r="C71" t="s">
        <v>380</v>
      </c>
      <c r="D71" t="s">
        <v>299</v>
      </c>
      <c r="F71">
        <v>0.12937399999999999</v>
      </c>
      <c r="G71">
        <v>0.12654399999999999</v>
      </c>
      <c r="H71">
        <v>0.12521499999999999</v>
      </c>
      <c r="I71">
        <v>0.124316</v>
      </c>
      <c r="J71">
        <v>0.122902</v>
      </c>
      <c r="K71">
        <v>0.120777</v>
      </c>
      <c r="L71">
        <v>0.11837499999999999</v>
      </c>
      <c r="M71">
        <v>0.115926</v>
      </c>
      <c r="N71">
        <v>0.113659</v>
      </c>
      <c r="O71">
        <v>0.11144</v>
      </c>
      <c r="P71">
        <v>0.1095</v>
      </c>
      <c r="Q71">
        <v>0.10799</v>
      </c>
      <c r="R71">
        <v>0.106861</v>
      </c>
      <c r="S71">
        <v>0.10595400000000001</v>
      </c>
      <c r="T71">
        <v>0.10506600000000001</v>
      </c>
      <c r="U71">
        <v>0.104306</v>
      </c>
      <c r="V71">
        <v>0.10369100000000001</v>
      </c>
      <c r="W71">
        <v>0.103142</v>
      </c>
      <c r="X71">
        <v>0.102677</v>
      </c>
      <c r="Y71">
        <v>0.10234500000000001</v>
      </c>
      <c r="Z71">
        <v>0.102119</v>
      </c>
      <c r="AA71">
        <v>0.102036</v>
      </c>
      <c r="AB71">
        <v>0.10208200000000001</v>
      </c>
      <c r="AC71">
        <v>0.102176</v>
      </c>
      <c r="AD71">
        <v>0.10236000000000001</v>
      </c>
      <c r="AE71">
        <v>0.102613</v>
      </c>
      <c r="AF71">
        <v>0.102926</v>
      </c>
      <c r="AG71" s="122">
        <v>-8.9999999999999993E-3</v>
      </c>
    </row>
    <row r="72" spans="1:33" x14ac:dyDescent="0.25">
      <c r="A72" t="s">
        <v>330</v>
      </c>
      <c r="B72" t="s">
        <v>379</v>
      </c>
      <c r="C72" t="s">
        <v>378</v>
      </c>
      <c r="D72" t="s">
        <v>299</v>
      </c>
      <c r="F72">
        <v>0.100147</v>
      </c>
      <c r="G72">
        <v>9.8311999999999997E-2</v>
      </c>
      <c r="H72">
        <v>9.7711999999999993E-2</v>
      </c>
      <c r="I72">
        <v>9.7344E-2</v>
      </c>
      <c r="J72">
        <v>9.6392000000000005E-2</v>
      </c>
      <c r="K72">
        <v>9.4705999999999999E-2</v>
      </c>
      <c r="L72">
        <v>9.2652999999999999E-2</v>
      </c>
      <c r="M72">
        <v>9.0438000000000004E-2</v>
      </c>
      <c r="N72">
        <v>8.8259000000000004E-2</v>
      </c>
      <c r="O72">
        <v>8.6025000000000004E-2</v>
      </c>
      <c r="P72">
        <v>8.3927000000000002E-2</v>
      </c>
      <c r="Q72">
        <v>8.2076999999999997E-2</v>
      </c>
      <c r="R72">
        <v>8.0450999999999995E-2</v>
      </c>
      <c r="S72">
        <v>7.8944E-2</v>
      </c>
      <c r="T72">
        <v>7.7403E-2</v>
      </c>
      <c r="U72">
        <v>7.5929999999999997E-2</v>
      </c>
      <c r="V72">
        <v>7.4545E-2</v>
      </c>
      <c r="W72">
        <v>7.3195999999999997E-2</v>
      </c>
      <c r="X72">
        <v>7.1926000000000004E-2</v>
      </c>
      <c r="Y72">
        <v>7.0762000000000005E-2</v>
      </c>
      <c r="Z72">
        <v>6.9711999999999996E-2</v>
      </c>
      <c r="AA72">
        <v>6.8805000000000005E-2</v>
      </c>
      <c r="AB72">
        <v>6.8054000000000003E-2</v>
      </c>
      <c r="AC72">
        <v>6.7420999999999995E-2</v>
      </c>
      <c r="AD72">
        <v>6.6941000000000001E-2</v>
      </c>
      <c r="AE72">
        <v>6.6635E-2</v>
      </c>
      <c r="AF72">
        <v>6.6464999999999996E-2</v>
      </c>
      <c r="AG72" s="122">
        <v>-1.6E-2</v>
      </c>
    </row>
    <row r="73" spans="1:33" x14ac:dyDescent="0.25">
      <c r="A73" t="s">
        <v>327</v>
      </c>
      <c r="B73" t="s">
        <v>377</v>
      </c>
      <c r="C73" t="s">
        <v>376</v>
      </c>
      <c r="D73" t="s">
        <v>299</v>
      </c>
      <c r="F73">
        <v>0.137569</v>
      </c>
      <c r="G73">
        <v>0.158502</v>
      </c>
      <c r="H73">
        <v>0.16062100000000001</v>
      </c>
      <c r="I73">
        <v>0.16225000000000001</v>
      </c>
      <c r="J73">
        <v>0.16347</v>
      </c>
      <c r="K73">
        <v>0.164468</v>
      </c>
      <c r="L73">
        <v>0.165238</v>
      </c>
      <c r="M73">
        <v>0.16567499999999999</v>
      </c>
      <c r="N73">
        <v>0.16580900000000001</v>
      </c>
      <c r="O73">
        <v>0.165878</v>
      </c>
      <c r="P73">
        <v>0.165686</v>
      </c>
      <c r="Q73">
        <v>0.16552700000000001</v>
      </c>
      <c r="R73">
        <v>0.16533999999999999</v>
      </c>
      <c r="S73">
        <v>0.164941</v>
      </c>
      <c r="T73">
        <v>0.16417499999999999</v>
      </c>
      <c r="U73">
        <v>0.16303300000000001</v>
      </c>
      <c r="V73">
        <v>0.16142300000000001</v>
      </c>
      <c r="W73">
        <v>0.159333</v>
      </c>
      <c r="X73">
        <v>0.156941</v>
      </c>
      <c r="Y73">
        <v>0.15426799999999999</v>
      </c>
      <c r="Z73">
        <v>0.15151400000000001</v>
      </c>
      <c r="AA73">
        <v>0.14884</v>
      </c>
      <c r="AB73">
        <v>0.146261</v>
      </c>
      <c r="AC73">
        <v>0.143757</v>
      </c>
      <c r="AD73">
        <v>0.14143700000000001</v>
      </c>
      <c r="AE73">
        <v>0.13933499999999999</v>
      </c>
      <c r="AF73">
        <v>0.137382</v>
      </c>
      <c r="AG73" s="122">
        <v>0</v>
      </c>
    </row>
    <row r="74" spans="1:33" x14ac:dyDescent="0.25">
      <c r="A74" t="s">
        <v>324</v>
      </c>
      <c r="B74" t="s">
        <v>375</v>
      </c>
      <c r="C74" t="s">
        <v>374</v>
      </c>
      <c r="D74" t="s">
        <v>299</v>
      </c>
      <c r="F74">
        <v>2.6626530000000002</v>
      </c>
      <c r="G74">
        <v>2.6026509999999998</v>
      </c>
      <c r="H74">
        <v>2.657826</v>
      </c>
      <c r="I74">
        <v>2.7135349999999998</v>
      </c>
      <c r="J74">
        <v>2.7614920000000001</v>
      </c>
      <c r="K74">
        <v>2.7996289999999999</v>
      </c>
      <c r="L74">
        <v>2.832198</v>
      </c>
      <c r="M74">
        <v>2.8602289999999999</v>
      </c>
      <c r="N74">
        <v>2.8874970000000002</v>
      </c>
      <c r="O74">
        <v>2.91289</v>
      </c>
      <c r="P74">
        <v>2.9414530000000001</v>
      </c>
      <c r="Q74">
        <v>2.9740549999999999</v>
      </c>
      <c r="R74">
        <v>3.012127</v>
      </c>
      <c r="S74">
        <v>3.0532720000000002</v>
      </c>
      <c r="T74">
        <v>3.0931760000000001</v>
      </c>
      <c r="U74">
        <v>3.1347119999999999</v>
      </c>
      <c r="V74">
        <v>3.1771099999999999</v>
      </c>
      <c r="W74">
        <v>3.2170320000000001</v>
      </c>
      <c r="X74">
        <v>3.2571729999999999</v>
      </c>
      <c r="Y74">
        <v>3.2976610000000002</v>
      </c>
      <c r="Z74">
        <v>3.3382770000000002</v>
      </c>
      <c r="AA74">
        <v>3.3788330000000002</v>
      </c>
      <c r="AB74">
        <v>3.4196040000000001</v>
      </c>
      <c r="AC74">
        <v>3.4605130000000002</v>
      </c>
      <c r="AD74">
        <v>3.5017649999999998</v>
      </c>
      <c r="AE74">
        <v>3.5436749999999999</v>
      </c>
      <c r="AF74">
        <v>3.5856539999999999</v>
      </c>
      <c r="AG74" s="122">
        <v>1.2E-2</v>
      </c>
    </row>
    <row r="75" spans="1:33" x14ac:dyDescent="0.25">
      <c r="A75" t="s">
        <v>373</v>
      </c>
      <c r="B75" t="s">
        <v>372</v>
      </c>
      <c r="C75" t="s">
        <v>371</v>
      </c>
      <c r="D75" t="s">
        <v>299</v>
      </c>
      <c r="F75">
        <v>11.125982</v>
      </c>
      <c r="G75">
        <v>11.502867</v>
      </c>
      <c r="H75">
        <v>11.579288999999999</v>
      </c>
      <c r="I75">
        <v>11.651342</v>
      </c>
      <c r="J75">
        <v>11.694044999999999</v>
      </c>
      <c r="K75">
        <v>11.680301999999999</v>
      </c>
      <c r="L75">
        <v>11.63871</v>
      </c>
      <c r="M75">
        <v>11.575566999999999</v>
      </c>
      <c r="N75">
        <v>11.501217</v>
      </c>
      <c r="O75">
        <v>11.442689</v>
      </c>
      <c r="P75">
        <v>11.392999</v>
      </c>
      <c r="Q75">
        <v>11.369433000000001</v>
      </c>
      <c r="R75">
        <v>11.368779999999999</v>
      </c>
      <c r="S75">
        <v>11.382025000000001</v>
      </c>
      <c r="T75">
        <v>11.395296999999999</v>
      </c>
      <c r="U75">
        <v>11.414899</v>
      </c>
      <c r="V75">
        <v>11.4328</v>
      </c>
      <c r="W75">
        <v>11.445793</v>
      </c>
      <c r="X75">
        <v>11.459778</v>
      </c>
      <c r="Y75">
        <v>11.476362</v>
      </c>
      <c r="Z75">
        <v>11.494769</v>
      </c>
      <c r="AA75">
        <v>11.514135</v>
      </c>
      <c r="AB75">
        <v>11.533847</v>
      </c>
      <c r="AC75">
        <v>11.554574000000001</v>
      </c>
      <c r="AD75">
        <v>11.57732</v>
      </c>
      <c r="AE75">
        <v>11.603204</v>
      </c>
      <c r="AF75">
        <v>11.629573000000001</v>
      </c>
      <c r="AG75" s="122">
        <v>2E-3</v>
      </c>
    </row>
    <row r="76" spans="1:33" x14ac:dyDescent="0.25">
      <c r="A76" t="s">
        <v>318</v>
      </c>
      <c r="B76" t="s">
        <v>370</v>
      </c>
      <c r="C76" t="s">
        <v>369</v>
      </c>
      <c r="D76" t="s">
        <v>299</v>
      </c>
      <c r="F76">
        <v>4.4337000000000001E-2</v>
      </c>
      <c r="G76">
        <v>6.6201999999999997E-2</v>
      </c>
      <c r="H76">
        <v>9.8492999999999997E-2</v>
      </c>
      <c r="I76">
        <v>0.14113400000000001</v>
      </c>
      <c r="J76">
        <v>0.19359399999999999</v>
      </c>
      <c r="K76">
        <v>0.25625700000000001</v>
      </c>
      <c r="L76">
        <v>0.33226899999999998</v>
      </c>
      <c r="M76">
        <v>0.40964400000000001</v>
      </c>
      <c r="N76">
        <v>0.49610599999999999</v>
      </c>
      <c r="O76">
        <v>0.58273399999999997</v>
      </c>
      <c r="P76">
        <v>0.67127199999999998</v>
      </c>
      <c r="Q76">
        <v>0.75774600000000003</v>
      </c>
      <c r="R76">
        <v>0.84255199999999997</v>
      </c>
      <c r="S76">
        <v>0.92561800000000005</v>
      </c>
      <c r="T76">
        <v>1.0052989999999999</v>
      </c>
      <c r="U76">
        <v>1.0807180000000001</v>
      </c>
      <c r="V76">
        <v>1.151586</v>
      </c>
      <c r="W76">
        <v>1.2174419999999999</v>
      </c>
      <c r="X76">
        <v>1.277585</v>
      </c>
      <c r="Y76">
        <v>1.331949</v>
      </c>
      <c r="Z76">
        <v>1.380314</v>
      </c>
      <c r="AA76">
        <v>1.4238759999999999</v>
      </c>
      <c r="AB76">
        <v>1.4637</v>
      </c>
      <c r="AC76">
        <v>1.499768</v>
      </c>
      <c r="AD76">
        <v>1.5314890000000001</v>
      </c>
      <c r="AE76">
        <v>1.559817</v>
      </c>
      <c r="AF76">
        <v>1.58514</v>
      </c>
      <c r="AG76" s="122">
        <v>0.14699999999999999</v>
      </c>
    </row>
    <row r="77" spans="1:33" x14ac:dyDescent="0.25">
      <c r="A77" t="s">
        <v>315</v>
      </c>
      <c r="B77" t="s">
        <v>368</v>
      </c>
      <c r="C77" t="s">
        <v>367</v>
      </c>
      <c r="D77" t="s">
        <v>299</v>
      </c>
      <c r="F77">
        <v>0.175875</v>
      </c>
      <c r="G77">
        <v>0.199964</v>
      </c>
      <c r="H77">
        <v>0.22440399999999999</v>
      </c>
      <c r="I77">
        <v>0.24728700000000001</v>
      </c>
      <c r="J77">
        <v>0.27066400000000002</v>
      </c>
      <c r="K77">
        <v>0.29440899999999998</v>
      </c>
      <c r="L77">
        <v>0.31969599999999998</v>
      </c>
      <c r="M77">
        <v>0.34664099999999998</v>
      </c>
      <c r="N77">
        <v>0.37347900000000001</v>
      </c>
      <c r="O77">
        <v>0.400223</v>
      </c>
      <c r="P77">
        <v>0.42644399999999999</v>
      </c>
      <c r="Q77">
        <v>0.44691599999999998</v>
      </c>
      <c r="R77">
        <v>0.467945</v>
      </c>
      <c r="S77">
        <v>0.48925999999999997</v>
      </c>
      <c r="T77">
        <v>0.51142299999999996</v>
      </c>
      <c r="U77">
        <v>0.53387399999999996</v>
      </c>
      <c r="V77">
        <v>0.556782</v>
      </c>
      <c r="W77">
        <v>0.58001000000000003</v>
      </c>
      <c r="X77">
        <v>0.60384800000000005</v>
      </c>
      <c r="Y77">
        <v>0.62805299999999997</v>
      </c>
      <c r="Z77">
        <v>0.65273000000000003</v>
      </c>
      <c r="AA77">
        <v>0.67815700000000001</v>
      </c>
      <c r="AB77">
        <v>0.70421100000000003</v>
      </c>
      <c r="AC77">
        <v>0.73085999999999995</v>
      </c>
      <c r="AD77">
        <v>0.75824999999999998</v>
      </c>
      <c r="AE77">
        <v>0.78616600000000003</v>
      </c>
      <c r="AF77">
        <v>0.81450900000000004</v>
      </c>
      <c r="AG77" s="122">
        <v>6.0999999999999999E-2</v>
      </c>
    </row>
    <row r="78" spans="1:33" x14ac:dyDescent="0.25">
      <c r="A78" t="s">
        <v>366</v>
      </c>
      <c r="B78" t="s">
        <v>365</v>
      </c>
      <c r="C78" t="s">
        <v>364</v>
      </c>
      <c r="D78" t="s">
        <v>299</v>
      </c>
      <c r="F78">
        <v>10.994444</v>
      </c>
      <c r="G78">
        <v>11.369104999999999</v>
      </c>
      <c r="H78">
        <v>11.453377</v>
      </c>
      <c r="I78">
        <v>11.545189000000001</v>
      </c>
      <c r="J78">
        <v>11.616975</v>
      </c>
      <c r="K78">
        <v>11.642150000000001</v>
      </c>
      <c r="L78">
        <v>11.651282999999999</v>
      </c>
      <c r="M78">
        <v>11.63857</v>
      </c>
      <c r="N78">
        <v>11.623844</v>
      </c>
      <c r="O78">
        <v>11.625201000000001</v>
      </c>
      <c r="P78">
        <v>11.637828000000001</v>
      </c>
      <c r="Q78">
        <v>11.680263999999999</v>
      </c>
      <c r="R78">
        <v>11.743387</v>
      </c>
      <c r="S78">
        <v>11.818383000000001</v>
      </c>
      <c r="T78">
        <v>11.889173</v>
      </c>
      <c r="U78">
        <v>11.961743</v>
      </c>
      <c r="V78">
        <v>12.027604</v>
      </c>
      <c r="W78">
        <v>12.083225000000001</v>
      </c>
      <c r="X78">
        <v>12.133514999999999</v>
      </c>
      <c r="Y78">
        <v>12.180259</v>
      </c>
      <c r="Z78">
        <v>12.222353999999999</v>
      </c>
      <c r="AA78">
        <v>12.259854000000001</v>
      </c>
      <c r="AB78">
        <v>12.293336</v>
      </c>
      <c r="AC78">
        <v>12.323482</v>
      </c>
      <c r="AD78">
        <v>12.350557999999999</v>
      </c>
      <c r="AE78">
        <v>12.376855000000001</v>
      </c>
      <c r="AF78">
        <v>12.400204</v>
      </c>
      <c r="AG78" s="122">
        <v>5.0000000000000001E-3</v>
      </c>
    </row>
    <row r="79" spans="1:33" x14ac:dyDescent="0.25">
      <c r="A79" t="s">
        <v>16</v>
      </c>
      <c r="B79" t="s">
        <v>363</v>
      </c>
      <c r="C79" t="s">
        <v>362</v>
      </c>
      <c r="D79" t="s">
        <v>299</v>
      </c>
      <c r="F79">
        <v>7.3081649999999998</v>
      </c>
      <c r="G79">
        <v>7.0034419999999997</v>
      </c>
      <c r="H79">
        <v>6.6813919999999998</v>
      </c>
      <c r="I79">
        <v>6.5385549999999997</v>
      </c>
      <c r="J79">
        <v>6.4880519999999997</v>
      </c>
      <c r="K79">
        <v>6.4388649999999998</v>
      </c>
      <c r="L79">
        <v>6.2334740000000002</v>
      </c>
      <c r="M79">
        <v>6.0761130000000003</v>
      </c>
      <c r="N79">
        <v>5.7363569999999999</v>
      </c>
      <c r="O79">
        <v>5.6088019999999998</v>
      </c>
      <c r="P79">
        <v>5.4735290000000001</v>
      </c>
      <c r="Q79">
        <v>5.3148520000000001</v>
      </c>
      <c r="R79">
        <v>5.1783020000000004</v>
      </c>
      <c r="S79">
        <v>4.9983519999999997</v>
      </c>
      <c r="T79">
        <v>4.9232310000000004</v>
      </c>
      <c r="U79">
        <v>4.7068469999999998</v>
      </c>
      <c r="V79">
        <v>4.695487</v>
      </c>
      <c r="W79">
        <v>4.7543259999999998</v>
      </c>
      <c r="X79">
        <v>4.8107499999999996</v>
      </c>
      <c r="Y79">
        <v>4.8410310000000001</v>
      </c>
      <c r="Z79">
        <v>4.8741640000000004</v>
      </c>
      <c r="AA79">
        <v>4.8735869999999997</v>
      </c>
      <c r="AB79">
        <v>4.8684510000000003</v>
      </c>
      <c r="AC79">
        <v>4.8768079999999996</v>
      </c>
      <c r="AD79">
        <v>4.8952460000000002</v>
      </c>
      <c r="AE79">
        <v>4.921697</v>
      </c>
      <c r="AF79">
        <v>4.907921</v>
      </c>
      <c r="AG79" s="122">
        <v>-1.4999999999999999E-2</v>
      </c>
    </row>
    <row r="80" spans="1:33" x14ac:dyDescent="0.25">
      <c r="A80" t="s">
        <v>361</v>
      </c>
    </row>
    <row r="81" spans="1:33" x14ac:dyDescent="0.25">
      <c r="A81" t="s">
        <v>227</v>
      </c>
      <c r="B81" t="s">
        <v>360</v>
      </c>
      <c r="C81" t="s">
        <v>359</v>
      </c>
      <c r="D81" t="s">
        <v>299</v>
      </c>
      <c r="F81">
        <v>5.0720770000000002</v>
      </c>
      <c r="G81">
        <v>5.5949439999999999</v>
      </c>
      <c r="H81">
        <v>5.5466759999999997</v>
      </c>
      <c r="I81">
        <v>5.5127509999999997</v>
      </c>
      <c r="J81">
        <v>5.4781969999999998</v>
      </c>
      <c r="K81">
        <v>5.42523</v>
      </c>
      <c r="L81">
        <v>5.3452970000000004</v>
      </c>
      <c r="M81">
        <v>5.2583219999999997</v>
      </c>
      <c r="N81">
        <v>5.1415649999999999</v>
      </c>
      <c r="O81">
        <v>5.054691</v>
      </c>
      <c r="P81">
        <v>4.9640529999999998</v>
      </c>
      <c r="Q81">
        <v>4.8823540000000003</v>
      </c>
      <c r="R81">
        <v>4.8122379999999998</v>
      </c>
      <c r="S81">
        <v>4.7440480000000003</v>
      </c>
      <c r="T81">
        <v>4.6861040000000003</v>
      </c>
      <c r="U81">
        <v>4.6187880000000003</v>
      </c>
      <c r="V81">
        <v>4.5678939999999999</v>
      </c>
      <c r="W81">
        <v>4.5195980000000002</v>
      </c>
      <c r="X81">
        <v>4.4716589999999998</v>
      </c>
      <c r="Y81">
        <v>4.4228120000000004</v>
      </c>
      <c r="Z81">
        <v>4.3763120000000004</v>
      </c>
      <c r="AA81">
        <v>4.3289540000000004</v>
      </c>
      <c r="AB81">
        <v>4.2821319999999998</v>
      </c>
      <c r="AC81">
        <v>4.2370099999999997</v>
      </c>
      <c r="AD81">
        <v>4.1936239999999998</v>
      </c>
      <c r="AE81">
        <v>4.1525160000000003</v>
      </c>
      <c r="AF81">
        <v>4.1088940000000003</v>
      </c>
      <c r="AG81" s="122">
        <v>-8.0000000000000002E-3</v>
      </c>
    </row>
    <row r="82" spans="1:33" x14ac:dyDescent="0.25">
      <c r="A82" t="s">
        <v>211</v>
      </c>
      <c r="B82" t="s">
        <v>358</v>
      </c>
      <c r="C82" t="s">
        <v>357</v>
      </c>
      <c r="D82" t="s">
        <v>299</v>
      </c>
      <c r="F82">
        <v>2.4304489999999999</v>
      </c>
      <c r="G82">
        <v>2.2758150000000001</v>
      </c>
      <c r="H82">
        <v>2.2382770000000001</v>
      </c>
      <c r="I82">
        <v>2.2279779999999998</v>
      </c>
      <c r="J82">
        <v>2.2235339999999999</v>
      </c>
      <c r="K82">
        <v>2.208526</v>
      </c>
      <c r="L82">
        <v>2.1621739999999998</v>
      </c>
      <c r="M82">
        <v>2.123043</v>
      </c>
      <c r="N82">
        <v>2.0535040000000002</v>
      </c>
      <c r="O82">
        <v>2.0297960000000002</v>
      </c>
      <c r="P82">
        <v>2.0076179999999999</v>
      </c>
      <c r="Q82">
        <v>1.988211</v>
      </c>
      <c r="R82">
        <v>1.9783759999999999</v>
      </c>
      <c r="S82">
        <v>1.9648620000000001</v>
      </c>
      <c r="T82">
        <v>1.9679770000000001</v>
      </c>
      <c r="U82">
        <v>1.949721</v>
      </c>
      <c r="V82">
        <v>1.966256</v>
      </c>
      <c r="W82">
        <v>1.9956339999999999</v>
      </c>
      <c r="X82">
        <v>2.024689</v>
      </c>
      <c r="Y82">
        <v>2.0503870000000002</v>
      </c>
      <c r="Z82">
        <v>2.0768300000000002</v>
      </c>
      <c r="AA82">
        <v>2.0974599999999999</v>
      </c>
      <c r="AB82">
        <v>2.117029</v>
      </c>
      <c r="AC82">
        <v>2.1388780000000001</v>
      </c>
      <c r="AD82">
        <v>2.1626949999999998</v>
      </c>
      <c r="AE82">
        <v>2.1883900000000001</v>
      </c>
      <c r="AF82">
        <v>2.2074120000000002</v>
      </c>
      <c r="AG82" s="122">
        <v>-4.0000000000000001E-3</v>
      </c>
    </row>
    <row r="83" spans="1:33" x14ac:dyDescent="0.25">
      <c r="A83" t="s">
        <v>356</v>
      </c>
      <c r="B83" t="s">
        <v>355</v>
      </c>
      <c r="C83" t="s">
        <v>354</v>
      </c>
      <c r="D83" t="s">
        <v>299</v>
      </c>
      <c r="F83">
        <v>2.254912</v>
      </c>
      <c r="G83">
        <v>2.207198</v>
      </c>
      <c r="H83">
        <v>2.15517</v>
      </c>
      <c r="I83">
        <v>2.117918</v>
      </c>
      <c r="J83">
        <v>2.085118</v>
      </c>
      <c r="K83">
        <v>2.0277720000000001</v>
      </c>
      <c r="L83">
        <v>1.9554990000000001</v>
      </c>
      <c r="M83">
        <v>1.8870499999999999</v>
      </c>
      <c r="N83">
        <v>1.812092</v>
      </c>
      <c r="O83">
        <v>1.758513</v>
      </c>
      <c r="P83">
        <v>1.7131769999999999</v>
      </c>
      <c r="Q83">
        <v>1.6759839999999999</v>
      </c>
      <c r="R83">
        <v>1.645438</v>
      </c>
      <c r="S83">
        <v>1.6179760000000001</v>
      </c>
      <c r="T83">
        <v>1.5979920000000001</v>
      </c>
      <c r="U83">
        <v>1.5760190000000001</v>
      </c>
      <c r="V83">
        <v>1.5640879999999999</v>
      </c>
      <c r="W83">
        <v>1.555426</v>
      </c>
      <c r="X83">
        <v>1.5481560000000001</v>
      </c>
      <c r="Y83">
        <v>1.5417419999999999</v>
      </c>
      <c r="Z83">
        <v>1.534589</v>
      </c>
      <c r="AA83">
        <v>1.5257769999999999</v>
      </c>
      <c r="AB83">
        <v>1.5159530000000001</v>
      </c>
      <c r="AC83">
        <v>1.506481</v>
      </c>
      <c r="AD83">
        <v>1.4977940000000001</v>
      </c>
      <c r="AE83">
        <v>1.4897039999999999</v>
      </c>
      <c r="AF83">
        <v>1.4811129999999999</v>
      </c>
      <c r="AG83" s="122">
        <v>-1.6E-2</v>
      </c>
    </row>
    <row r="84" spans="1:33" x14ac:dyDescent="0.25">
      <c r="A84" t="s">
        <v>353</v>
      </c>
      <c r="B84" t="s">
        <v>352</v>
      </c>
      <c r="C84" t="s">
        <v>351</v>
      </c>
      <c r="D84" t="s">
        <v>299</v>
      </c>
      <c r="F84">
        <v>0.83436900000000003</v>
      </c>
      <c r="G84">
        <v>0.81323999999999996</v>
      </c>
      <c r="H84">
        <v>0.78204499999999999</v>
      </c>
      <c r="I84">
        <v>0.76202000000000003</v>
      </c>
      <c r="J84">
        <v>0.74912400000000001</v>
      </c>
      <c r="K84">
        <v>0.73896799999999996</v>
      </c>
      <c r="L84">
        <v>0.71543599999999996</v>
      </c>
      <c r="M84">
        <v>0.69633699999999998</v>
      </c>
      <c r="N84">
        <v>0.66696200000000005</v>
      </c>
      <c r="O84">
        <v>0.65037400000000001</v>
      </c>
      <c r="P84">
        <v>0.63358099999999995</v>
      </c>
      <c r="Q84">
        <v>0.61604999999999999</v>
      </c>
      <c r="R84">
        <v>0.60050700000000001</v>
      </c>
      <c r="S84">
        <v>0.58383200000000002</v>
      </c>
      <c r="T84">
        <v>0.57394999999999996</v>
      </c>
      <c r="U84">
        <v>0.55827599999999999</v>
      </c>
      <c r="V84">
        <v>0.55381800000000003</v>
      </c>
      <c r="W84">
        <v>0.55363700000000005</v>
      </c>
      <c r="X84">
        <v>0.55415000000000003</v>
      </c>
      <c r="Y84">
        <v>0.55424799999999996</v>
      </c>
      <c r="Z84">
        <v>0.55540800000000001</v>
      </c>
      <c r="AA84">
        <v>0.55603400000000003</v>
      </c>
      <c r="AB84">
        <v>0.55740999999999996</v>
      </c>
      <c r="AC84">
        <v>0.56030400000000002</v>
      </c>
      <c r="AD84">
        <v>0.56375200000000003</v>
      </c>
      <c r="AE84">
        <v>0.56756799999999996</v>
      </c>
      <c r="AF84">
        <v>0.56962299999999999</v>
      </c>
      <c r="AG84" s="122">
        <v>-1.4999999999999999E-2</v>
      </c>
    </row>
    <row r="85" spans="1:33" x14ac:dyDescent="0.25">
      <c r="A85" t="s">
        <v>350</v>
      </c>
      <c r="B85" t="s">
        <v>349</v>
      </c>
      <c r="C85" t="s">
        <v>348</v>
      </c>
      <c r="D85" t="s">
        <v>299</v>
      </c>
      <c r="F85">
        <v>0.248167</v>
      </c>
      <c r="G85">
        <v>0.245888</v>
      </c>
      <c r="H85">
        <v>0.24190700000000001</v>
      </c>
      <c r="I85">
        <v>0.240067</v>
      </c>
      <c r="J85">
        <v>0.23961399999999999</v>
      </c>
      <c r="K85">
        <v>0.23957000000000001</v>
      </c>
      <c r="L85">
        <v>0.23766200000000001</v>
      </c>
      <c r="M85">
        <v>0.23643</v>
      </c>
      <c r="N85">
        <v>0.23273099999999999</v>
      </c>
      <c r="O85">
        <v>0.231519</v>
      </c>
      <c r="P85">
        <v>0.23006799999999999</v>
      </c>
      <c r="Q85">
        <v>0.22825699999999999</v>
      </c>
      <c r="R85">
        <v>0.22664200000000001</v>
      </c>
      <c r="S85">
        <v>0.224499</v>
      </c>
      <c r="T85">
        <v>0.22372</v>
      </c>
      <c r="U85">
        <v>0.22136</v>
      </c>
      <c r="V85">
        <v>0.221442</v>
      </c>
      <c r="W85">
        <v>0.22236</v>
      </c>
      <c r="X85">
        <v>0.22328500000000001</v>
      </c>
      <c r="Y85">
        <v>0.223908</v>
      </c>
      <c r="Z85">
        <v>0.22459699999999999</v>
      </c>
      <c r="AA85">
        <v>0.22497300000000001</v>
      </c>
      <c r="AB85">
        <v>0.22533500000000001</v>
      </c>
      <c r="AC85">
        <v>0.22587599999999999</v>
      </c>
      <c r="AD85">
        <v>0.22655600000000001</v>
      </c>
      <c r="AE85">
        <v>0.22733500000000001</v>
      </c>
      <c r="AF85">
        <v>0.22772600000000001</v>
      </c>
      <c r="AG85" s="122">
        <v>-3.0000000000000001E-3</v>
      </c>
    </row>
    <row r="86" spans="1:33" x14ac:dyDescent="0.25">
      <c r="A86" t="s">
        <v>347</v>
      </c>
      <c r="B86" t="s">
        <v>346</v>
      </c>
      <c r="C86" t="s">
        <v>345</v>
      </c>
      <c r="D86" t="s">
        <v>299</v>
      </c>
      <c r="F86">
        <v>0.49492199999999997</v>
      </c>
      <c r="G86">
        <v>0.48944100000000001</v>
      </c>
      <c r="H86">
        <v>0.48186299999999999</v>
      </c>
      <c r="I86">
        <v>0.48192200000000002</v>
      </c>
      <c r="J86">
        <v>0.48343700000000001</v>
      </c>
      <c r="K86">
        <v>0.48252400000000001</v>
      </c>
      <c r="L86">
        <v>0.47429700000000002</v>
      </c>
      <c r="M86">
        <v>0.46656700000000001</v>
      </c>
      <c r="N86">
        <v>0.45136500000000002</v>
      </c>
      <c r="O86">
        <v>0.44343900000000003</v>
      </c>
      <c r="P86">
        <v>0.43618699999999999</v>
      </c>
      <c r="Q86">
        <v>0.430033</v>
      </c>
      <c r="R86">
        <v>0.42633100000000002</v>
      </c>
      <c r="S86">
        <v>0.42240699999999998</v>
      </c>
      <c r="T86">
        <v>0.42241099999999998</v>
      </c>
      <c r="U86">
        <v>0.41865400000000003</v>
      </c>
      <c r="V86">
        <v>0.42238999999999999</v>
      </c>
      <c r="W86">
        <v>0.42903799999999997</v>
      </c>
      <c r="X86">
        <v>0.43540499999999999</v>
      </c>
      <c r="Y86">
        <v>0.440855</v>
      </c>
      <c r="Z86">
        <v>0.44618999999999998</v>
      </c>
      <c r="AA86">
        <v>0.45022600000000002</v>
      </c>
      <c r="AB86">
        <v>0.45383200000000001</v>
      </c>
      <c r="AC86">
        <v>0.45763500000000001</v>
      </c>
      <c r="AD86">
        <v>0.46167999999999998</v>
      </c>
      <c r="AE86">
        <v>0.46588400000000002</v>
      </c>
      <c r="AF86">
        <v>0.46861199999999997</v>
      </c>
      <c r="AG86" s="122">
        <v>-2E-3</v>
      </c>
    </row>
    <row r="87" spans="1:33" x14ac:dyDescent="0.25">
      <c r="A87" t="s">
        <v>201</v>
      </c>
      <c r="B87" t="s">
        <v>344</v>
      </c>
      <c r="C87" t="s">
        <v>343</v>
      </c>
      <c r="D87" t="s">
        <v>299</v>
      </c>
      <c r="F87">
        <v>0.188837</v>
      </c>
      <c r="G87">
        <v>0.18443399999999999</v>
      </c>
      <c r="H87">
        <v>0.17776500000000001</v>
      </c>
      <c r="I87">
        <v>0.17363799999999999</v>
      </c>
      <c r="J87">
        <v>0.17108699999999999</v>
      </c>
      <c r="K87">
        <v>0.16893900000000001</v>
      </c>
      <c r="L87">
        <v>0.163936</v>
      </c>
      <c r="M87">
        <v>0.15971099999999999</v>
      </c>
      <c r="N87">
        <v>0.15293300000000001</v>
      </c>
      <c r="O87">
        <v>0.14905099999999999</v>
      </c>
      <c r="P87">
        <v>0.14508699999999999</v>
      </c>
      <c r="Q87">
        <v>0.140906</v>
      </c>
      <c r="R87">
        <v>0.13705899999999999</v>
      </c>
      <c r="S87">
        <v>0.13283300000000001</v>
      </c>
      <c r="T87">
        <v>0.13004299999999999</v>
      </c>
      <c r="U87">
        <v>0.12584500000000001</v>
      </c>
      <c r="V87">
        <v>0.124086</v>
      </c>
      <c r="W87">
        <v>0.123207</v>
      </c>
      <c r="X87">
        <v>0.122402</v>
      </c>
      <c r="Y87">
        <v>0.121429</v>
      </c>
      <c r="Z87">
        <v>0.120619</v>
      </c>
      <c r="AA87">
        <v>0.119619</v>
      </c>
      <c r="AB87">
        <v>0.118727</v>
      </c>
      <c r="AC87">
        <v>0.118106</v>
      </c>
      <c r="AD87">
        <v>0.11773400000000001</v>
      </c>
      <c r="AE87">
        <v>0.11758299999999999</v>
      </c>
      <c r="AF87">
        <v>0.11722100000000001</v>
      </c>
      <c r="AG87" s="122">
        <v>-1.7999999999999999E-2</v>
      </c>
    </row>
    <row r="88" spans="1:33" x14ac:dyDescent="0.25">
      <c r="A88" t="s">
        <v>342</v>
      </c>
      <c r="B88" t="s">
        <v>341</v>
      </c>
      <c r="C88" t="s">
        <v>340</v>
      </c>
      <c r="D88" t="s">
        <v>299</v>
      </c>
      <c r="F88">
        <v>0.444797</v>
      </c>
      <c r="G88">
        <v>0.431085</v>
      </c>
      <c r="H88">
        <v>0.418989</v>
      </c>
      <c r="I88">
        <v>0.41728799999999999</v>
      </c>
      <c r="J88">
        <v>0.41802699999999998</v>
      </c>
      <c r="K88">
        <v>0.417105</v>
      </c>
      <c r="L88">
        <v>0.40623199999999998</v>
      </c>
      <c r="M88">
        <v>0.39706999999999998</v>
      </c>
      <c r="N88">
        <v>0.382521</v>
      </c>
      <c r="O88">
        <v>0.37509300000000001</v>
      </c>
      <c r="P88">
        <v>0.36813499999999999</v>
      </c>
      <c r="Q88">
        <v>0.36150100000000002</v>
      </c>
      <c r="R88">
        <v>0.35624800000000001</v>
      </c>
      <c r="S88">
        <v>0.34997800000000001</v>
      </c>
      <c r="T88">
        <v>0.346777</v>
      </c>
      <c r="U88">
        <v>0.339808</v>
      </c>
      <c r="V88">
        <v>0.33365800000000001</v>
      </c>
      <c r="W88">
        <v>0.33015299999999997</v>
      </c>
      <c r="X88">
        <v>0.32734099999999999</v>
      </c>
      <c r="Y88">
        <v>0.32462999999999997</v>
      </c>
      <c r="Z88">
        <v>0.322772</v>
      </c>
      <c r="AA88">
        <v>0.320494</v>
      </c>
      <c r="AB88">
        <v>0.31829299999999999</v>
      </c>
      <c r="AC88">
        <v>0.31657800000000003</v>
      </c>
      <c r="AD88">
        <v>0.31545200000000001</v>
      </c>
      <c r="AE88">
        <v>0.31481700000000001</v>
      </c>
      <c r="AF88">
        <v>0.31331799999999999</v>
      </c>
      <c r="AG88" s="122">
        <v>-1.2999999999999999E-2</v>
      </c>
    </row>
    <row r="89" spans="1:33" x14ac:dyDescent="0.25">
      <c r="A89" t="s">
        <v>339</v>
      </c>
      <c r="B89" t="s">
        <v>338</v>
      </c>
      <c r="C89" t="s">
        <v>337</v>
      </c>
      <c r="D89" t="s">
        <v>299</v>
      </c>
      <c r="F89">
        <v>9.9243999999999999E-2</v>
      </c>
      <c r="G89">
        <v>9.4710000000000003E-2</v>
      </c>
      <c r="H89">
        <v>8.9117000000000002E-2</v>
      </c>
      <c r="I89">
        <v>8.4903999999999993E-2</v>
      </c>
      <c r="J89">
        <v>8.1204999999999999E-2</v>
      </c>
      <c r="K89">
        <v>7.7734999999999999E-2</v>
      </c>
      <c r="L89">
        <v>7.3029999999999998E-2</v>
      </c>
      <c r="M89">
        <v>6.8704000000000001E-2</v>
      </c>
      <c r="N89">
        <v>6.3273999999999997E-2</v>
      </c>
      <c r="O89">
        <v>5.9555999999999998E-2</v>
      </c>
      <c r="P89">
        <v>5.6260999999999999E-2</v>
      </c>
      <c r="Q89">
        <v>5.3317000000000003E-2</v>
      </c>
      <c r="R89">
        <v>5.0941E-2</v>
      </c>
      <c r="S89">
        <v>4.8864999999999999E-2</v>
      </c>
      <c r="T89">
        <v>4.7768999999999999E-2</v>
      </c>
      <c r="U89">
        <v>4.6601999999999998E-2</v>
      </c>
      <c r="V89">
        <v>4.6306E-2</v>
      </c>
      <c r="W89">
        <v>4.6311999999999999E-2</v>
      </c>
      <c r="X89">
        <v>4.6330999999999997E-2</v>
      </c>
      <c r="Y89">
        <v>4.6272000000000001E-2</v>
      </c>
      <c r="Z89">
        <v>4.6264E-2</v>
      </c>
      <c r="AA89">
        <v>4.6171999999999998E-2</v>
      </c>
      <c r="AB89">
        <v>4.6100000000000002E-2</v>
      </c>
      <c r="AC89">
        <v>4.6112E-2</v>
      </c>
      <c r="AD89">
        <v>4.6191999999999997E-2</v>
      </c>
      <c r="AE89">
        <v>4.6323000000000003E-2</v>
      </c>
      <c r="AF89">
        <v>4.6328000000000001E-2</v>
      </c>
      <c r="AG89" s="122">
        <v>-2.9000000000000001E-2</v>
      </c>
    </row>
    <row r="90" spans="1:33" x14ac:dyDescent="0.25">
      <c r="A90" t="s">
        <v>336</v>
      </c>
      <c r="B90" t="s">
        <v>335</v>
      </c>
      <c r="C90" t="s">
        <v>334</v>
      </c>
      <c r="D90" t="s">
        <v>299</v>
      </c>
      <c r="F90">
        <v>8.6331000000000005E-2</v>
      </c>
      <c r="G90">
        <v>8.6544999999999997E-2</v>
      </c>
      <c r="H90">
        <v>8.5641999999999996E-2</v>
      </c>
      <c r="I90">
        <v>8.4376000000000007E-2</v>
      </c>
      <c r="J90">
        <v>8.3617999999999998E-2</v>
      </c>
      <c r="K90">
        <v>8.2980999999999999E-2</v>
      </c>
      <c r="L90">
        <v>8.1242999999999996E-2</v>
      </c>
      <c r="M90">
        <v>7.9811000000000007E-2</v>
      </c>
      <c r="N90">
        <v>7.7004000000000003E-2</v>
      </c>
      <c r="O90">
        <v>7.5736999999999999E-2</v>
      </c>
      <c r="P90">
        <v>7.4533000000000002E-2</v>
      </c>
      <c r="Q90">
        <v>7.3311000000000001E-2</v>
      </c>
      <c r="R90">
        <v>7.2366E-2</v>
      </c>
      <c r="S90">
        <v>7.1322999999999998E-2</v>
      </c>
      <c r="T90">
        <v>7.1161000000000002E-2</v>
      </c>
      <c r="U90">
        <v>7.0335999999999996E-2</v>
      </c>
      <c r="V90">
        <v>7.0790000000000006E-2</v>
      </c>
      <c r="W90">
        <v>7.1684999999999999E-2</v>
      </c>
      <c r="X90">
        <v>7.2578000000000004E-2</v>
      </c>
      <c r="Y90">
        <v>7.3320999999999997E-2</v>
      </c>
      <c r="Z90">
        <v>7.4113999999999999E-2</v>
      </c>
      <c r="AA90">
        <v>7.4737999999999999E-2</v>
      </c>
      <c r="AB90">
        <v>7.5360999999999997E-2</v>
      </c>
      <c r="AC90">
        <v>7.6092000000000007E-2</v>
      </c>
      <c r="AD90">
        <v>7.6909000000000005E-2</v>
      </c>
      <c r="AE90">
        <v>7.7789999999999998E-2</v>
      </c>
      <c r="AF90">
        <v>7.8446000000000002E-2</v>
      </c>
      <c r="AG90" s="122">
        <v>-4.0000000000000001E-3</v>
      </c>
    </row>
    <row r="91" spans="1:33" x14ac:dyDescent="0.25">
      <c r="A91" t="s">
        <v>333</v>
      </c>
      <c r="B91" t="s">
        <v>332</v>
      </c>
      <c r="C91" t="s">
        <v>331</v>
      </c>
      <c r="D91" t="s">
        <v>299</v>
      </c>
      <c r="F91">
        <v>0.30711899999999998</v>
      </c>
      <c r="G91">
        <v>0.29425099999999998</v>
      </c>
      <c r="H91">
        <v>0.280609</v>
      </c>
      <c r="I91">
        <v>0.272123</v>
      </c>
      <c r="J91">
        <v>0.26519900000000002</v>
      </c>
      <c r="K91">
        <v>0.257544</v>
      </c>
      <c r="L91">
        <v>0.246393</v>
      </c>
      <c r="M91">
        <v>0.236623</v>
      </c>
      <c r="N91">
        <v>0.22373899999999999</v>
      </c>
      <c r="O91">
        <v>0.21529999999999999</v>
      </c>
      <c r="P91">
        <v>0.20735500000000001</v>
      </c>
      <c r="Q91">
        <v>0.19991300000000001</v>
      </c>
      <c r="R91">
        <v>0.193637</v>
      </c>
      <c r="S91">
        <v>0.18721699999999999</v>
      </c>
      <c r="T91">
        <v>0.18281800000000001</v>
      </c>
      <c r="U91">
        <v>0.17662</v>
      </c>
      <c r="V91">
        <v>0.17403299999999999</v>
      </c>
      <c r="W91">
        <v>0.172705</v>
      </c>
      <c r="X91">
        <v>0.17153199999999999</v>
      </c>
      <c r="Y91">
        <v>0.17025799999999999</v>
      </c>
      <c r="Z91">
        <v>0.16928799999999999</v>
      </c>
      <c r="AA91">
        <v>0.168161</v>
      </c>
      <c r="AB91">
        <v>0.167245</v>
      </c>
      <c r="AC91">
        <v>0.16664399999999999</v>
      </c>
      <c r="AD91">
        <v>0.16637199999999999</v>
      </c>
      <c r="AE91">
        <v>0.16633999999999999</v>
      </c>
      <c r="AF91">
        <v>0.16592000000000001</v>
      </c>
      <c r="AG91" s="122">
        <v>-2.3E-2</v>
      </c>
    </row>
    <row r="92" spans="1:33" x14ac:dyDescent="0.25">
      <c r="A92" t="s">
        <v>330</v>
      </c>
      <c r="B92" t="s">
        <v>329</v>
      </c>
      <c r="C92" t="s">
        <v>328</v>
      </c>
      <c r="D92" t="s">
        <v>299</v>
      </c>
      <c r="F92">
        <v>0.237738</v>
      </c>
      <c r="G92">
        <v>0.228604</v>
      </c>
      <c r="H92">
        <v>0.218973</v>
      </c>
      <c r="I92">
        <v>0.21308299999999999</v>
      </c>
      <c r="J92">
        <v>0.20799599999999999</v>
      </c>
      <c r="K92">
        <v>0.20194999999999999</v>
      </c>
      <c r="L92">
        <v>0.192855</v>
      </c>
      <c r="M92">
        <v>0.18459800000000001</v>
      </c>
      <c r="N92">
        <v>0.173739</v>
      </c>
      <c r="O92">
        <v>0.16619900000000001</v>
      </c>
      <c r="P92">
        <v>0.15892999999999999</v>
      </c>
      <c r="Q92">
        <v>0.15194299999999999</v>
      </c>
      <c r="R92">
        <v>0.14578099999999999</v>
      </c>
      <c r="S92">
        <v>0.139492</v>
      </c>
      <c r="T92">
        <v>0.134683</v>
      </c>
      <c r="U92">
        <v>0.12856999999999999</v>
      </c>
      <c r="V92">
        <v>0.125114</v>
      </c>
      <c r="W92">
        <v>0.122562</v>
      </c>
      <c r="X92">
        <v>0.12016</v>
      </c>
      <c r="Y92">
        <v>0.117718</v>
      </c>
      <c r="Z92">
        <v>0.115565</v>
      </c>
      <c r="AA92">
        <v>0.11339399999999999</v>
      </c>
      <c r="AB92">
        <v>0.111496</v>
      </c>
      <c r="AC92">
        <v>0.109961</v>
      </c>
      <c r="AD92">
        <v>0.108803</v>
      </c>
      <c r="AE92">
        <v>0.108018</v>
      </c>
      <c r="AF92">
        <v>0.107144</v>
      </c>
      <c r="AG92" s="122">
        <v>-0.03</v>
      </c>
    </row>
    <row r="93" spans="1:33" x14ac:dyDescent="0.25">
      <c r="A93" t="s">
        <v>327</v>
      </c>
      <c r="B93" t="s">
        <v>326</v>
      </c>
      <c r="C93" t="s">
        <v>325</v>
      </c>
      <c r="D93" t="s">
        <v>299</v>
      </c>
      <c r="F93">
        <v>0.326573</v>
      </c>
      <c r="G93">
        <v>0.368564</v>
      </c>
      <c r="H93">
        <v>0.35995300000000002</v>
      </c>
      <c r="I93">
        <v>0.35516199999999998</v>
      </c>
      <c r="J93">
        <v>0.35273900000000002</v>
      </c>
      <c r="K93">
        <v>0.35071099999999999</v>
      </c>
      <c r="L93">
        <v>0.34393699999999999</v>
      </c>
      <c r="M93">
        <v>0.33817000000000003</v>
      </c>
      <c r="N93">
        <v>0.32639600000000002</v>
      </c>
      <c r="O93">
        <v>0.32047500000000001</v>
      </c>
      <c r="P93">
        <v>0.31375199999999998</v>
      </c>
      <c r="Q93">
        <v>0.30642599999999998</v>
      </c>
      <c r="R93">
        <v>0.29960599999999998</v>
      </c>
      <c r="S93">
        <v>0.29144599999999998</v>
      </c>
      <c r="T93">
        <v>0.28566900000000001</v>
      </c>
      <c r="U93">
        <v>0.276061</v>
      </c>
      <c r="V93">
        <v>0.270928</v>
      </c>
      <c r="W93">
        <v>0.266793</v>
      </c>
      <c r="X93">
        <v>0.26218599999999997</v>
      </c>
      <c r="Y93">
        <v>0.25663599999999998</v>
      </c>
      <c r="Z93">
        <v>0.25117200000000001</v>
      </c>
      <c r="AA93">
        <v>0.24529599999999999</v>
      </c>
      <c r="AB93">
        <v>0.239625</v>
      </c>
      <c r="AC93">
        <v>0.234462</v>
      </c>
      <c r="AD93">
        <v>0.22988700000000001</v>
      </c>
      <c r="AE93">
        <v>0.22586700000000001</v>
      </c>
      <c r="AF93">
        <v>0.22146399999999999</v>
      </c>
      <c r="AG93" s="122">
        <v>-1.4999999999999999E-2</v>
      </c>
    </row>
    <row r="94" spans="1:33" x14ac:dyDescent="0.25">
      <c r="A94" t="s">
        <v>324</v>
      </c>
      <c r="B94" t="s">
        <v>323</v>
      </c>
      <c r="C94" t="s">
        <v>322</v>
      </c>
      <c r="D94" t="s">
        <v>299</v>
      </c>
      <c r="F94">
        <v>5.3455979999999998</v>
      </c>
      <c r="G94">
        <v>5.1003540000000003</v>
      </c>
      <c r="H94">
        <v>5.0560419999999997</v>
      </c>
      <c r="I94">
        <v>5.0707329999999997</v>
      </c>
      <c r="J94">
        <v>5.1072300000000004</v>
      </c>
      <c r="K94">
        <v>5.1327439999999998</v>
      </c>
      <c r="L94">
        <v>5.0922879999999999</v>
      </c>
      <c r="M94">
        <v>5.0634690000000004</v>
      </c>
      <c r="N94">
        <v>4.9634910000000003</v>
      </c>
      <c r="O94">
        <v>4.935073</v>
      </c>
      <c r="P94">
        <v>4.906428</v>
      </c>
      <c r="Q94">
        <v>4.8730859999999998</v>
      </c>
      <c r="R94">
        <v>4.8535170000000001</v>
      </c>
      <c r="S94">
        <v>4.8223719999999997</v>
      </c>
      <c r="T94">
        <v>4.827915</v>
      </c>
      <c r="U94">
        <v>4.7868079999999997</v>
      </c>
      <c r="V94">
        <v>4.820773</v>
      </c>
      <c r="W94">
        <v>4.8767820000000004</v>
      </c>
      <c r="X94">
        <v>4.9332890000000003</v>
      </c>
      <c r="Y94">
        <v>4.9820409999999997</v>
      </c>
      <c r="Z94">
        <v>5.0334469999999998</v>
      </c>
      <c r="AA94">
        <v>5.0741160000000001</v>
      </c>
      <c r="AB94">
        <v>5.1143939999999999</v>
      </c>
      <c r="AC94">
        <v>5.1602550000000003</v>
      </c>
      <c r="AD94">
        <v>5.2108689999999998</v>
      </c>
      <c r="AE94">
        <v>5.2656999999999998</v>
      </c>
      <c r="AF94">
        <v>5.3072340000000002</v>
      </c>
      <c r="AG94" s="122">
        <v>0</v>
      </c>
    </row>
    <row r="95" spans="1:33" x14ac:dyDescent="0.25">
      <c r="A95" t="s">
        <v>321</v>
      </c>
      <c r="B95" t="s">
        <v>320</v>
      </c>
      <c r="C95" t="s">
        <v>319</v>
      </c>
      <c r="D95" t="s">
        <v>299</v>
      </c>
      <c r="F95">
        <v>18.371131999999999</v>
      </c>
      <c r="G95">
        <v>18.415074000000001</v>
      </c>
      <c r="H95">
        <v>18.133026000000001</v>
      </c>
      <c r="I95">
        <v>18.013961999999999</v>
      </c>
      <c r="J95">
        <v>17.946123</v>
      </c>
      <c r="K95">
        <v>17.8123</v>
      </c>
      <c r="L95">
        <v>17.490281</v>
      </c>
      <c r="M95">
        <v>17.195905</v>
      </c>
      <c r="N95">
        <v>16.721316999999999</v>
      </c>
      <c r="O95">
        <v>16.464817</v>
      </c>
      <c r="P95">
        <v>16.215164000000001</v>
      </c>
      <c r="Q95">
        <v>15.981293000000001</v>
      </c>
      <c r="R95">
        <v>15.798686999999999</v>
      </c>
      <c r="S95">
        <v>15.601150000000001</v>
      </c>
      <c r="T95">
        <v>15.498989999999999</v>
      </c>
      <c r="U95">
        <v>15.293468000000001</v>
      </c>
      <c r="V95">
        <v>15.261576</v>
      </c>
      <c r="W95">
        <v>15.285894000000001</v>
      </c>
      <c r="X95">
        <v>15.313164</v>
      </c>
      <c r="Y95">
        <v>15.326256000000001</v>
      </c>
      <c r="Z95">
        <v>15.347167000000001</v>
      </c>
      <c r="AA95">
        <v>15.345414</v>
      </c>
      <c r="AB95">
        <v>15.342934</v>
      </c>
      <c r="AC95">
        <v>15.354395</v>
      </c>
      <c r="AD95">
        <v>15.378318</v>
      </c>
      <c r="AE95">
        <v>15.413835000000001</v>
      </c>
      <c r="AF95">
        <v>15.420456</v>
      </c>
      <c r="AG95" s="122">
        <v>-7.0000000000000001E-3</v>
      </c>
    </row>
    <row r="96" spans="1:33" x14ac:dyDescent="0.25">
      <c r="A96" t="s">
        <v>318</v>
      </c>
      <c r="B96" t="s">
        <v>317</v>
      </c>
      <c r="C96" t="s">
        <v>316</v>
      </c>
      <c r="D96" t="s">
        <v>299</v>
      </c>
      <c r="F96">
        <v>0.107354</v>
      </c>
      <c r="G96">
        <v>0.157442</v>
      </c>
      <c r="H96">
        <v>0.22615399999999999</v>
      </c>
      <c r="I96">
        <v>0.317077</v>
      </c>
      <c r="J96">
        <v>0.42958099999999999</v>
      </c>
      <c r="K96">
        <v>0.563141</v>
      </c>
      <c r="L96">
        <v>0.71419200000000005</v>
      </c>
      <c r="M96">
        <v>0.86545000000000005</v>
      </c>
      <c r="N96">
        <v>1.0124040000000001</v>
      </c>
      <c r="O96">
        <v>1.1694500000000001</v>
      </c>
      <c r="P96">
        <v>1.322692</v>
      </c>
      <c r="Q96">
        <v>1.4608049999999999</v>
      </c>
      <c r="R96">
        <v>1.591019</v>
      </c>
      <c r="S96">
        <v>1.7049209999999999</v>
      </c>
      <c r="T96">
        <v>1.824918</v>
      </c>
      <c r="U96">
        <v>1.9090819999999999</v>
      </c>
      <c r="V96">
        <v>2.0183990000000001</v>
      </c>
      <c r="W96">
        <v>2.1317659999999998</v>
      </c>
      <c r="X96">
        <v>2.2350590000000001</v>
      </c>
      <c r="Y96">
        <v>2.3232309999999998</v>
      </c>
      <c r="Z96">
        <v>2.4022049999999999</v>
      </c>
      <c r="AA96">
        <v>2.4662980000000001</v>
      </c>
      <c r="AB96">
        <v>2.523196</v>
      </c>
      <c r="AC96">
        <v>2.5768949999999999</v>
      </c>
      <c r="AD96">
        <v>2.6258699999999999</v>
      </c>
      <c r="AE96">
        <v>2.6710289999999999</v>
      </c>
      <c r="AF96">
        <v>2.7023269999999999</v>
      </c>
      <c r="AG96" s="122">
        <v>0.13200000000000001</v>
      </c>
    </row>
    <row r="97" spans="1:33" x14ac:dyDescent="0.25">
      <c r="A97" t="s">
        <v>315</v>
      </c>
      <c r="B97" t="s">
        <v>314</v>
      </c>
      <c r="C97" t="s">
        <v>313</v>
      </c>
      <c r="D97" t="s">
        <v>299</v>
      </c>
      <c r="F97">
        <v>0.175875</v>
      </c>
      <c r="G97">
        <v>0.199964</v>
      </c>
      <c r="H97">
        <v>0.22440399999999999</v>
      </c>
      <c r="I97">
        <v>0.24728700000000001</v>
      </c>
      <c r="J97">
        <v>0.27066400000000002</v>
      </c>
      <c r="K97">
        <v>0.29440899999999998</v>
      </c>
      <c r="L97">
        <v>0.31969599999999998</v>
      </c>
      <c r="M97">
        <v>0.34664099999999998</v>
      </c>
      <c r="N97">
        <v>0.37347900000000001</v>
      </c>
      <c r="O97">
        <v>0.400223</v>
      </c>
      <c r="P97">
        <v>0.42644399999999999</v>
      </c>
      <c r="Q97">
        <v>0.44691599999999998</v>
      </c>
      <c r="R97">
        <v>0.467945</v>
      </c>
      <c r="S97">
        <v>0.48925999999999997</v>
      </c>
      <c r="T97">
        <v>0.51142299999999996</v>
      </c>
      <c r="U97">
        <v>0.53387399999999996</v>
      </c>
      <c r="V97">
        <v>0.556782</v>
      </c>
      <c r="W97">
        <v>0.58001000000000003</v>
      </c>
      <c r="X97">
        <v>0.60384800000000005</v>
      </c>
      <c r="Y97">
        <v>0.62805299999999997</v>
      </c>
      <c r="Z97">
        <v>0.65273000000000003</v>
      </c>
      <c r="AA97">
        <v>0.67815700000000001</v>
      </c>
      <c r="AB97">
        <v>0.70421100000000003</v>
      </c>
      <c r="AC97">
        <v>0.73085999999999995</v>
      </c>
      <c r="AD97">
        <v>0.75824999999999998</v>
      </c>
      <c r="AE97">
        <v>0.78616600000000003</v>
      </c>
      <c r="AF97">
        <v>0.81450900000000004</v>
      </c>
      <c r="AG97" s="122">
        <v>6.0999999999999999E-2</v>
      </c>
    </row>
    <row r="98" spans="1:33" x14ac:dyDescent="0.25">
      <c r="A98" t="s">
        <v>312</v>
      </c>
      <c r="B98" t="s">
        <v>311</v>
      </c>
      <c r="C98" t="s">
        <v>310</v>
      </c>
      <c r="D98" t="s">
        <v>299</v>
      </c>
      <c r="F98">
        <v>18.302610999999999</v>
      </c>
      <c r="G98">
        <v>18.372553</v>
      </c>
      <c r="H98">
        <v>18.134775999999999</v>
      </c>
      <c r="I98">
        <v>18.083752</v>
      </c>
      <c r="J98">
        <v>18.105039999999999</v>
      </c>
      <c r="K98">
        <v>18.081033000000001</v>
      </c>
      <c r="L98">
        <v>17.884775999999999</v>
      </c>
      <c r="M98">
        <v>17.714714000000001</v>
      </c>
      <c r="N98">
        <v>17.360242</v>
      </c>
      <c r="O98">
        <v>17.234044000000001</v>
      </c>
      <c r="P98">
        <v>17.111412000000001</v>
      </c>
      <c r="Q98">
        <v>16.995180999999999</v>
      </c>
      <c r="R98">
        <v>16.921761</v>
      </c>
      <c r="S98">
        <v>16.816811000000001</v>
      </c>
      <c r="T98">
        <v>16.812484999999999</v>
      </c>
      <c r="U98">
        <v>16.668676000000001</v>
      </c>
      <c r="V98">
        <v>16.723192999999998</v>
      </c>
      <c r="W98">
        <v>16.83765</v>
      </c>
      <c r="X98">
        <v>16.944375000000001</v>
      </c>
      <c r="Y98">
        <v>17.021435</v>
      </c>
      <c r="Z98">
        <v>17.096641000000002</v>
      </c>
      <c r="AA98">
        <v>17.133555999999999</v>
      </c>
      <c r="AB98">
        <v>17.161919999999999</v>
      </c>
      <c r="AC98">
        <v>17.200430000000001</v>
      </c>
      <c r="AD98">
        <v>17.245937000000001</v>
      </c>
      <c r="AE98">
        <v>17.298698000000002</v>
      </c>
      <c r="AF98">
        <v>17.308274000000001</v>
      </c>
      <c r="AG98" s="122">
        <v>-2E-3</v>
      </c>
    </row>
    <row r="99" spans="1:33" x14ac:dyDescent="0.25">
      <c r="A99" t="s">
        <v>309</v>
      </c>
    </row>
    <row r="100" spans="1:33" x14ac:dyDescent="0.25">
      <c r="A100" t="s">
        <v>308</v>
      </c>
      <c r="B100" t="s">
        <v>307</v>
      </c>
      <c r="C100" t="s">
        <v>306</v>
      </c>
      <c r="D100" t="s">
        <v>299</v>
      </c>
      <c r="F100">
        <v>3.5525000000000001E-2</v>
      </c>
      <c r="G100">
        <v>4.2154999999999998E-2</v>
      </c>
      <c r="H100">
        <v>4.9197999999999999E-2</v>
      </c>
      <c r="I100">
        <v>5.5101999999999998E-2</v>
      </c>
      <c r="J100">
        <v>6.1130999999999998E-2</v>
      </c>
      <c r="K100">
        <v>6.3326999999999994E-2</v>
      </c>
      <c r="L100">
        <v>6.6035999999999997E-2</v>
      </c>
      <c r="M100">
        <v>6.8473999999999993E-2</v>
      </c>
      <c r="N100">
        <v>7.1068999999999993E-2</v>
      </c>
      <c r="O100">
        <v>7.1028999999999995E-2</v>
      </c>
      <c r="P100">
        <v>7.1830000000000005E-2</v>
      </c>
      <c r="Q100">
        <v>7.1848999999999996E-2</v>
      </c>
      <c r="R100">
        <v>7.1915999999999994E-2</v>
      </c>
      <c r="S100">
        <v>7.1802000000000005E-2</v>
      </c>
      <c r="T100">
        <v>7.1684999999999999E-2</v>
      </c>
      <c r="U100">
        <v>7.1600999999999998E-2</v>
      </c>
      <c r="V100">
        <v>7.0626999999999995E-2</v>
      </c>
      <c r="W100">
        <v>7.0499000000000006E-2</v>
      </c>
      <c r="X100">
        <v>7.0574999999999999E-2</v>
      </c>
      <c r="Y100">
        <v>7.0643999999999998E-2</v>
      </c>
      <c r="Z100">
        <v>7.0710999999999996E-2</v>
      </c>
      <c r="AA100">
        <v>7.0803000000000005E-2</v>
      </c>
      <c r="AB100">
        <v>7.1024000000000004E-2</v>
      </c>
      <c r="AC100">
        <v>7.0883000000000002E-2</v>
      </c>
      <c r="AD100">
        <v>7.0941000000000004E-2</v>
      </c>
      <c r="AE100">
        <v>7.0837999999999998E-2</v>
      </c>
      <c r="AF100">
        <v>7.0930000000000007E-2</v>
      </c>
      <c r="AG100" s="122">
        <v>2.7E-2</v>
      </c>
    </row>
    <row r="101" spans="1:33" x14ac:dyDescent="0.25">
      <c r="A101" t="s">
        <v>236</v>
      </c>
      <c r="B101" t="s">
        <v>305</v>
      </c>
      <c r="C101" t="s">
        <v>304</v>
      </c>
      <c r="D101" t="s">
        <v>299</v>
      </c>
      <c r="F101">
        <v>0.213925</v>
      </c>
      <c r="G101">
        <v>0.243256</v>
      </c>
      <c r="H101">
        <v>0.27293600000000001</v>
      </c>
      <c r="I101">
        <v>0.30086299999999999</v>
      </c>
      <c r="J101">
        <v>0.32933800000000002</v>
      </c>
      <c r="K101">
        <v>0.35815399999999997</v>
      </c>
      <c r="L101">
        <v>0.38893499999999998</v>
      </c>
      <c r="M101">
        <v>0.42200100000000001</v>
      </c>
      <c r="N101">
        <v>0.45467999999999997</v>
      </c>
      <c r="O101">
        <v>0.48855199999999999</v>
      </c>
      <c r="P101">
        <v>0.52208299999999996</v>
      </c>
      <c r="Q101">
        <v>0.54821399999999998</v>
      </c>
      <c r="R101">
        <v>0.57513899999999996</v>
      </c>
      <c r="S101">
        <v>0.602267</v>
      </c>
      <c r="T101">
        <v>0.63071900000000003</v>
      </c>
      <c r="U101">
        <v>0.65929400000000005</v>
      </c>
      <c r="V101">
        <v>0.68840000000000001</v>
      </c>
      <c r="W101">
        <v>0.71765100000000004</v>
      </c>
      <c r="X101">
        <v>0.74772400000000006</v>
      </c>
      <c r="Y101">
        <v>0.77813500000000002</v>
      </c>
      <c r="Z101">
        <v>0.80897300000000005</v>
      </c>
      <c r="AA101">
        <v>0.84084300000000001</v>
      </c>
      <c r="AB101">
        <v>0.87334699999999998</v>
      </c>
      <c r="AC101">
        <v>0.90679200000000004</v>
      </c>
      <c r="AD101">
        <v>0.94099200000000005</v>
      </c>
      <c r="AE101">
        <v>0.97594499999999995</v>
      </c>
      <c r="AF101">
        <v>1.0112620000000001</v>
      </c>
      <c r="AG101" s="122">
        <v>6.2E-2</v>
      </c>
    </row>
    <row r="102" spans="1:33" x14ac:dyDescent="0.25">
      <c r="A102" t="s">
        <v>237</v>
      </c>
      <c r="B102" t="s">
        <v>303</v>
      </c>
      <c r="C102" t="s">
        <v>302</v>
      </c>
      <c r="D102" t="s">
        <v>299</v>
      </c>
      <c r="F102">
        <v>1.2600000000000001E-3</v>
      </c>
      <c r="G102">
        <v>2.14E-3</v>
      </c>
      <c r="H102">
        <v>3.0010000000000002E-3</v>
      </c>
      <c r="I102">
        <v>3.4009999999999999E-3</v>
      </c>
      <c r="J102">
        <v>3.849E-3</v>
      </c>
      <c r="K102">
        <v>4.333E-3</v>
      </c>
      <c r="L102">
        <v>5.2610000000000001E-3</v>
      </c>
      <c r="M102">
        <v>6.483E-3</v>
      </c>
      <c r="N102">
        <v>7.7250000000000001E-3</v>
      </c>
      <c r="O102">
        <v>8.1460000000000005E-3</v>
      </c>
      <c r="P102">
        <v>8.3420000000000005E-3</v>
      </c>
      <c r="Q102">
        <v>8.3470000000000003E-3</v>
      </c>
      <c r="R102">
        <v>8.3529999999999993E-3</v>
      </c>
      <c r="S102">
        <v>8.3590000000000001E-3</v>
      </c>
      <c r="T102">
        <v>8.3669999999999994E-3</v>
      </c>
      <c r="U102">
        <v>8.3750000000000005E-3</v>
      </c>
      <c r="V102">
        <v>8.3850000000000001E-3</v>
      </c>
      <c r="W102">
        <v>8.3949999999999997E-3</v>
      </c>
      <c r="X102">
        <v>8.4060000000000003E-3</v>
      </c>
      <c r="Y102">
        <v>8.4169999999999991E-3</v>
      </c>
      <c r="Z102">
        <v>8.4290000000000007E-3</v>
      </c>
      <c r="AA102">
        <v>8.4410000000000006E-3</v>
      </c>
      <c r="AB102">
        <v>8.4530000000000004E-3</v>
      </c>
      <c r="AC102">
        <v>8.4659999999999996E-3</v>
      </c>
      <c r="AD102">
        <v>8.4799999999999997E-3</v>
      </c>
      <c r="AE102">
        <v>8.4939999999999998E-3</v>
      </c>
      <c r="AF102">
        <v>8.5089999999999992E-3</v>
      </c>
      <c r="AG102" s="122">
        <v>7.5999999999999998E-2</v>
      </c>
    </row>
    <row r="103" spans="1:33" x14ac:dyDescent="0.25">
      <c r="A103" t="s">
        <v>189</v>
      </c>
      <c r="B103" t="s">
        <v>301</v>
      </c>
      <c r="C103" t="s">
        <v>300</v>
      </c>
      <c r="D103" t="s">
        <v>299</v>
      </c>
      <c r="F103">
        <v>0.25070999999999999</v>
      </c>
      <c r="G103">
        <v>0.287551</v>
      </c>
      <c r="H103">
        <v>0.32513500000000001</v>
      </c>
      <c r="I103">
        <v>0.35936699999999999</v>
      </c>
      <c r="J103">
        <v>0.394318</v>
      </c>
      <c r="K103">
        <v>0.42581400000000003</v>
      </c>
      <c r="L103">
        <v>0.46023199999999997</v>
      </c>
      <c r="M103">
        <v>0.49695800000000001</v>
      </c>
      <c r="N103">
        <v>0.53347299999999997</v>
      </c>
      <c r="O103">
        <v>0.56772699999999998</v>
      </c>
      <c r="P103">
        <v>0.60225600000000001</v>
      </c>
      <c r="Q103">
        <v>0.62841100000000005</v>
      </c>
      <c r="R103">
        <v>0.65540699999999996</v>
      </c>
      <c r="S103">
        <v>0.68242899999999995</v>
      </c>
      <c r="T103">
        <v>0.71077199999999996</v>
      </c>
      <c r="U103">
        <v>0.73926999999999998</v>
      </c>
      <c r="V103">
        <v>0.76741099999999995</v>
      </c>
      <c r="W103">
        <v>0.79654499999999995</v>
      </c>
      <c r="X103">
        <v>0.82670600000000005</v>
      </c>
      <c r="Y103">
        <v>0.85719599999999996</v>
      </c>
      <c r="Z103">
        <v>0.88811300000000004</v>
      </c>
      <c r="AA103">
        <v>0.92008699999999999</v>
      </c>
      <c r="AB103">
        <v>0.952824</v>
      </c>
      <c r="AC103">
        <v>0.98614100000000005</v>
      </c>
      <c r="AD103">
        <v>1.0204139999999999</v>
      </c>
      <c r="AE103">
        <v>1.055277</v>
      </c>
      <c r="AF103">
        <v>1.0907009999999999</v>
      </c>
      <c r="AG103" s="122">
        <v>5.8000000000000003E-2</v>
      </c>
    </row>
    <row r="104" spans="1:33" x14ac:dyDescent="0.25">
      <c r="A104" t="s">
        <v>17</v>
      </c>
    </row>
    <row r="105" spans="1:33" x14ac:dyDescent="0.25">
      <c r="A105" t="s">
        <v>277</v>
      </c>
      <c r="B105" t="s">
        <v>298</v>
      </c>
      <c r="C105" t="s">
        <v>297</v>
      </c>
      <c r="D105" t="s">
        <v>278</v>
      </c>
      <c r="F105">
        <v>5643</v>
      </c>
      <c r="G105">
        <v>5924</v>
      </c>
      <c r="H105">
        <v>5901</v>
      </c>
      <c r="I105">
        <v>5879</v>
      </c>
      <c r="J105">
        <v>5856</v>
      </c>
      <c r="K105">
        <v>5833</v>
      </c>
      <c r="L105">
        <v>5810</v>
      </c>
      <c r="M105">
        <v>5787</v>
      </c>
      <c r="N105">
        <v>5764</v>
      </c>
      <c r="O105">
        <v>5741</v>
      </c>
      <c r="P105">
        <v>5718</v>
      </c>
      <c r="Q105">
        <v>5695</v>
      </c>
      <c r="R105">
        <v>5672</v>
      </c>
      <c r="S105">
        <v>5649</v>
      </c>
      <c r="T105">
        <v>5626</v>
      </c>
      <c r="U105">
        <v>5603</v>
      </c>
      <c r="V105">
        <v>5579</v>
      </c>
      <c r="W105">
        <v>5556</v>
      </c>
      <c r="X105">
        <v>5533</v>
      </c>
      <c r="Y105">
        <v>5510</v>
      </c>
      <c r="Z105">
        <v>5487</v>
      </c>
      <c r="AA105">
        <v>5464</v>
      </c>
      <c r="AB105">
        <v>5440</v>
      </c>
      <c r="AC105">
        <v>5417</v>
      </c>
      <c r="AD105">
        <v>5394</v>
      </c>
      <c r="AE105">
        <v>5371</v>
      </c>
      <c r="AF105">
        <v>5348</v>
      </c>
      <c r="AG105" s="122">
        <v>-2E-3</v>
      </c>
    </row>
    <row r="106" spans="1:33" x14ac:dyDescent="0.25">
      <c r="A106" t="s">
        <v>274</v>
      </c>
      <c r="B106" t="s">
        <v>296</v>
      </c>
      <c r="C106" t="s">
        <v>295</v>
      </c>
      <c r="D106" t="s">
        <v>278</v>
      </c>
      <c r="F106">
        <v>4981</v>
      </c>
      <c r="G106">
        <v>5319</v>
      </c>
      <c r="H106">
        <v>5298</v>
      </c>
      <c r="I106">
        <v>5277</v>
      </c>
      <c r="J106">
        <v>5256</v>
      </c>
      <c r="K106">
        <v>5235</v>
      </c>
      <c r="L106">
        <v>5214</v>
      </c>
      <c r="M106">
        <v>5193</v>
      </c>
      <c r="N106">
        <v>5172</v>
      </c>
      <c r="O106">
        <v>5151</v>
      </c>
      <c r="P106">
        <v>5130</v>
      </c>
      <c r="Q106">
        <v>5109</v>
      </c>
      <c r="R106">
        <v>5088</v>
      </c>
      <c r="S106">
        <v>5068</v>
      </c>
      <c r="T106">
        <v>5047</v>
      </c>
      <c r="U106">
        <v>5026</v>
      </c>
      <c r="V106">
        <v>5005</v>
      </c>
      <c r="W106">
        <v>4984</v>
      </c>
      <c r="X106">
        <v>4963</v>
      </c>
      <c r="Y106">
        <v>4943</v>
      </c>
      <c r="Z106">
        <v>4922</v>
      </c>
      <c r="AA106">
        <v>4901</v>
      </c>
      <c r="AB106">
        <v>4880</v>
      </c>
      <c r="AC106">
        <v>4859</v>
      </c>
      <c r="AD106">
        <v>4838</v>
      </c>
      <c r="AE106">
        <v>4818</v>
      </c>
      <c r="AF106">
        <v>4797</v>
      </c>
      <c r="AG106" s="122">
        <v>-1E-3</v>
      </c>
    </row>
    <row r="107" spans="1:33" x14ac:dyDescent="0.25">
      <c r="A107" t="s">
        <v>271</v>
      </c>
      <c r="B107" t="s">
        <v>294</v>
      </c>
      <c r="C107" t="s">
        <v>293</v>
      </c>
      <c r="D107" t="s">
        <v>278</v>
      </c>
      <c r="F107">
        <v>5306</v>
      </c>
      <c r="G107">
        <v>5952</v>
      </c>
      <c r="H107">
        <v>5937</v>
      </c>
      <c r="I107">
        <v>5923</v>
      </c>
      <c r="J107">
        <v>5908</v>
      </c>
      <c r="K107">
        <v>5894</v>
      </c>
      <c r="L107">
        <v>5879</v>
      </c>
      <c r="M107">
        <v>5864</v>
      </c>
      <c r="N107">
        <v>5850</v>
      </c>
      <c r="O107">
        <v>5835</v>
      </c>
      <c r="P107">
        <v>5820</v>
      </c>
      <c r="Q107">
        <v>5806</v>
      </c>
      <c r="R107">
        <v>5791</v>
      </c>
      <c r="S107">
        <v>5776</v>
      </c>
      <c r="T107">
        <v>5762</v>
      </c>
      <c r="U107">
        <v>5747</v>
      </c>
      <c r="V107">
        <v>5732</v>
      </c>
      <c r="W107">
        <v>5717</v>
      </c>
      <c r="X107">
        <v>5703</v>
      </c>
      <c r="Y107">
        <v>5688</v>
      </c>
      <c r="Z107">
        <v>5673</v>
      </c>
      <c r="AA107">
        <v>5658</v>
      </c>
      <c r="AB107">
        <v>5644</v>
      </c>
      <c r="AC107">
        <v>5629</v>
      </c>
      <c r="AD107">
        <v>5614</v>
      </c>
      <c r="AE107">
        <v>5599</v>
      </c>
      <c r="AF107">
        <v>5585</v>
      </c>
      <c r="AG107" s="122">
        <v>2E-3</v>
      </c>
    </row>
    <row r="108" spans="1:33" x14ac:dyDescent="0.25">
      <c r="A108" t="s">
        <v>268</v>
      </c>
      <c r="B108" t="s">
        <v>292</v>
      </c>
      <c r="C108" t="s">
        <v>291</v>
      </c>
      <c r="D108" t="s">
        <v>278</v>
      </c>
      <c r="F108">
        <v>5716</v>
      </c>
      <c r="G108">
        <v>6383</v>
      </c>
      <c r="H108">
        <v>6376</v>
      </c>
      <c r="I108">
        <v>6369</v>
      </c>
      <c r="J108">
        <v>6362</v>
      </c>
      <c r="K108">
        <v>6355</v>
      </c>
      <c r="L108">
        <v>6348</v>
      </c>
      <c r="M108">
        <v>6341</v>
      </c>
      <c r="N108">
        <v>6334</v>
      </c>
      <c r="O108">
        <v>6327</v>
      </c>
      <c r="P108">
        <v>6319</v>
      </c>
      <c r="Q108">
        <v>6312</v>
      </c>
      <c r="R108">
        <v>6304</v>
      </c>
      <c r="S108">
        <v>6297</v>
      </c>
      <c r="T108">
        <v>6289</v>
      </c>
      <c r="U108">
        <v>6282</v>
      </c>
      <c r="V108">
        <v>6274</v>
      </c>
      <c r="W108">
        <v>6267</v>
      </c>
      <c r="X108">
        <v>6259</v>
      </c>
      <c r="Y108">
        <v>6252</v>
      </c>
      <c r="Z108">
        <v>6244</v>
      </c>
      <c r="AA108">
        <v>6236</v>
      </c>
      <c r="AB108">
        <v>6229</v>
      </c>
      <c r="AC108">
        <v>6221</v>
      </c>
      <c r="AD108">
        <v>6213</v>
      </c>
      <c r="AE108">
        <v>6206</v>
      </c>
      <c r="AF108">
        <v>6198</v>
      </c>
      <c r="AG108" s="122">
        <v>3.0000000000000001E-3</v>
      </c>
    </row>
    <row r="109" spans="1:33" x14ac:dyDescent="0.25">
      <c r="A109" t="s">
        <v>265</v>
      </c>
      <c r="B109" t="s">
        <v>290</v>
      </c>
      <c r="C109" t="s">
        <v>289</v>
      </c>
      <c r="D109" t="s">
        <v>278</v>
      </c>
      <c r="F109">
        <v>2271</v>
      </c>
      <c r="G109">
        <v>2344</v>
      </c>
      <c r="H109">
        <v>2329</v>
      </c>
      <c r="I109">
        <v>2313</v>
      </c>
      <c r="J109">
        <v>2298</v>
      </c>
      <c r="K109">
        <v>2283</v>
      </c>
      <c r="L109">
        <v>2267</v>
      </c>
      <c r="M109">
        <v>2251</v>
      </c>
      <c r="N109">
        <v>2235</v>
      </c>
      <c r="O109">
        <v>2220</v>
      </c>
      <c r="P109">
        <v>2204</v>
      </c>
      <c r="Q109">
        <v>2188</v>
      </c>
      <c r="R109">
        <v>2173</v>
      </c>
      <c r="S109">
        <v>2157</v>
      </c>
      <c r="T109">
        <v>2141</v>
      </c>
      <c r="U109">
        <v>2125</v>
      </c>
      <c r="V109">
        <v>2110</v>
      </c>
      <c r="W109">
        <v>2094</v>
      </c>
      <c r="X109">
        <v>2079</v>
      </c>
      <c r="Y109">
        <v>2063</v>
      </c>
      <c r="Z109">
        <v>2047</v>
      </c>
      <c r="AA109">
        <v>2032</v>
      </c>
      <c r="AB109">
        <v>2016</v>
      </c>
      <c r="AC109">
        <v>2001</v>
      </c>
      <c r="AD109">
        <v>1985</v>
      </c>
      <c r="AE109">
        <v>1970</v>
      </c>
      <c r="AF109">
        <v>1955</v>
      </c>
      <c r="AG109" s="122">
        <v>-6.0000000000000001E-3</v>
      </c>
    </row>
    <row r="110" spans="1:33" x14ac:dyDescent="0.25">
      <c r="A110" t="s">
        <v>262</v>
      </c>
      <c r="B110" t="s">
        <v>288</v>
      </c>
      <c r="C110" t="s">
        <v>287</v>
      </c>
      <c r="D110" t="s">
        <v>278</v>
      </c>
      <c r="F110">
        <v>3024</v>
      </c>
      <c r="G110">
        <v>3161</v>
      </c>
      <c r="H110">
        <v>3148</v>
      </c>
      <c r="I110">
        <v>3136</v>
      </c>
      <c r="J110">
        <v>3123</v>
      </c>
      <c r="K110">
        <v>3111</v>
      </c>
      <c r="L110">
        <v>3098</v>
      </c>
      <c r="M110">
        <v>3086</v>
      </c>
      <c r="N110">
        <v>3073</v>
      </c>
      <c r="O110">
        <v>3060</v>
      </c>
      <c r="P110">
        <v>3048</v>
      </c>
      <c r="Q110">
        <v>3035</v>
      </c>
      <c r="R110">
        <v>3022</v>
      </c>
      <c r="S110">
        <v>3009</v>
      </c>
      <c r="T110">
        <v>2996</v>
      </c>
      <c r="U110">
        <v>2984</v>
      </c>
      <c r="V110">
        <v>2971</v>
      </c>
      <c r="W110">
        <v>2958</v>
      </c>
      <c r="X110">
        <v>2945</v>
      </c>
      <c r="Y110">
        <v>2933</v>
      </c>
      <c r="Z110">
        <v>2920</v>
      </c>
      <c r="AA110">
        <v>2907</v>
      </c>
      <c r="AB110">
        <v>2894</v>
      </c>
      <c r="AC110">
        <v>2881</v>
      </c>
      <c r="AD110">
        <v>2869</v>
      </c>
      <c r="AE110">
        <v>2856</v>
      </c>
      <c r="AF110">
        <v>2843</v>
      </c>
      <c r="AG110" s="122">
        <v>-2E-3</v>
      </c>
    </row>
    <row r="111" spans="1:33" x14ac:dyDescent="0.25">
      <c r="A111" t="s">
        <v>259</v>
      </c>
      <c r="B111" t="s">
        <v>286</v>
      </c>
      <c r="C111" t="s">
        <v>285</v>
      </c>
      <c r="D111" t="s">
        <v>278</v>
      </c>
      <c r="F111">
        <v>1844</v>
      </c>
      <c r="G111">
        <v>1949</v>
      </c>
      <c r="H111">
        <v>1942</v>
      </c>
      <c r="I111">
        <v>1935</v>
      </c>
      <c r="J111">
        <v>1928</v>
      </c>
      <c r="K111">
        <v>1921</v>
      </c>
      <c r="L111">
        <v>1914</v>
      </c>
      <c r="M111">
        <v>1907</v>
      </c>
      <c r="N111">
        <v>1900</v>
      </c>
      <c r="O111">
        <v>1893</v>
      </c>
      <c r="P111">
        <v>1886</v>
      </c>
      <c r="Q111">
        <v>1879</v>
      </c>
      <c r="R111">
        <v>1872</v>
      </c>
      <c r="S111">
        <v>1865</v>
      </c>
      <c r="T111">
        <v>1858</v>
      </c>
      <c r="U111">
        <v>1852</v>
      </c>
      <c r="V111">
        <v>1845</v>
      </c>
      <c r="W111">
        <v>1838</v>
      </c>
      <c r="X111">
        <v>1831</v>
      </c>
      <c r="Y111">
        <v>1825</v>
      </c>
      <c r="Z111">
        <v>1818</v>
      </c>
      <c r="AA111">
        <v>1811</v>
      </c>
      <c r="AB111">
        <v>1805</v>
      </c>
      <c r="AC111">
        <v>1798</v>
      </c>
      <c r="AD111">
        <v>1791</v>
      </c>
      <c r="AE111">
        <v>1785</v>
      </c>
      <c r="AF111">
        <v>1778</v>
      </c>
      <c r="AG111" s="122">
        <v>-1E-3</v>
      </c>
    </row>
    <row r="112" spans="1:33" x14ac:dyDescent="0.25">
      <c r="A112" t="s">
        <v>256</v>
      </c>
      <c r="B112" t="s">
        <v>284</v>
      </c>
      <c r="C112" t="s">
        <v>283</v>
      </c>
      <c r="D112" t="s">
        <v>278</v>
      </c>
      <c r="F112">
        <v>4753</v>
      </c>
      <c r="G112">
        <v>4877</v>
      </c>
      <c r="H112">
        <v>4871</v>
      </c>
      <c r="I112">
        <v>4865</v>
      </c>
      <c r="J112">
        <v>4858</v>
      </c>
      <c r="K112">
        <v>4851</v>
      </c>
      <c r="L112">
        <v>4844</v>
      </c>
      <c r="M112">
        <v>4837</v>
      </c>
      <c r="N112">
        <v>4830</v>
      </c>
      <c r="O112">
        <v>4823</v>
      </c>
      <c r="P112">
        <v>4816</v>
      </c>
      <c r="Q112">
        <v>4809</v>
      </c>
      <c r="R112">
        <v>4802</v>
      </c>
      <c r="S112">
        <v>4796</v>
      </c>
      <c r="T112">
        <v>4789</v>
      </c>
      <c r="U112">
        <v>4782</v>
      </c>
      <c r="V112">
        <v>4776</v>
      </c>
      <c r="W112">
        <v>4769</v>
      </c>
      <c r="X112">
        <v>4763</v>
      </c>
      <c r="Y112">
        <v>4756</v>
      </c>
      <c r="Z112">
        <v>4750</v>
      </c>
      <c r="AA112">
        <v>4744</v>
      </c>
      <c r="AB112">
        <v>4737</v>
      </c>
      <c r="AC112">
        <v>4731</v>
      </c>
      <c r="AD112">
        <v>4725</v>
      </c>
      <c r="AE112">
        <v>4718</v>
      </c>
      <c r="AF112">
        <v>4712</v>
      </c>
      <c r="AG112" s="122">
        <v>0</v>
      </c>
    </row>
    <row r="113" spans="1:33" x14ac:dyDescent="0.25">
      <c r="A113" t="s">
        <v>253</v>
      </c>
      <c r="B113" t="s">
        <v>282</v>
      </c>
      <c r="C113" t="s">
        <v>281</v>
      </c>
      <c r="D113" t="s">
        <v>278</v>
      </c>
      <c r="F113">
        <v>3352</v>
      </c>
      <c r="G113">
        <v>3290</v>
      </c>
      <c r="H113">
        <v>3283</v>
      </c>
      <c r="I113">
        <v>3277</v>
      </c>
      <c r="J113">
        <v>3270</v>
      </c>
      <c r="K113">
        <v>3263</v>
      </c>
      <c r="L113">
        <v>3256</v>
      </c>
      <c r="M113">
        <v>3249</v>
      </c>
      <c r="N113">
        <v>3242</v>
      </c>
      <c r="O113">
        <v>3234</v>
      </c>
      <c r="P113">
        <v>3227</v>
      </c>
      <c r="Q113">
        <v>3219</v>
      </c>
      <c r="R113">
        <v>3212</v>
      </c>
      <c r="S113">
        <v>3204</v>
      </c>
      <c r="T113">
        <v>3197</v>
      </c>
      <c r="U113">
        <v>3189</v>
      </c>
      <c r="V113">
        <v>3181</v>
      </c>
      <c r="W113">
        <v>3174</v>
      </c>
      <c r="X113">
        <v>3166</v>
      </c>
      <c r="Y113">
        <v>3158</v>
      </c>
      <c r="Z113">
        <v>3150</v>
      </c>
      <c r="AA113">
        <v>3143</v>
      </c>
      <c r="AB113">
        <v>3135</v>
      </c>
      <c r="AC113">
        <v>3127</v>
      </c>
      <c r="AD113">
        <v>3119</v>
      </c>
      <c r="AE113">
        <v>3112</v>
      </c>
      <c r="AF113">
        <v>3104</v>
      </c>
      <c r="AG113" s="122">
        <v>-3.0000000000000001E-3</v>
      </c>
    </row>
    <row r="114" spans="1:33" x14ac:dyDescent="0.25">
      <c r="A114" t="s">
        <v>250</v>
      </c>
      <c r="B114" t="s">
        <v>280</v>
      </c>
      <c r="C114" t="s">
        <v>279</v>
      </c>
      <c r="D114" t="s">
        <v>278</v>
      </c>
      <c r="F114">
        <v>3753.9636230000001</v>
      </c>
      <c r="G114">
        <v>3970.7402339999999</v>
      </c>
      <c r="H114">
        <v>3953.6770019999999</v>
      </c>
      <c r="I114">
        <v>3936.8808589999999</v>
      </c>
      <c r="J114">
        <v>3919.869385</v>
      </c>
      <c r="K114">
        <v>3903.1020509999998</v>
      </c>
      <c r="L114">
        <v>3885.9797359999998</v>
      </c>
      <c r="M114">
        <v>3868.9492190000001</v>
      </c>
      <c r="N114">
        <v>3852.031982</v>
      </c>
      <c r="O114">
        <v>3835.0634770000001</v>
      </c>
      <c r="P114">
        <v>3818.0864259999998</v>
      </c>
      <c r="Q114">
        <v>3801.1135250000002</v>
      </c>
      <c r="R114">
        <v>3784.3435060000002</v>
      </c>
      <c r="S114">
        <v>3767.477539</v>
      </c>
      <c r="T114">
        <v>3750.6677249999998</v>
      </c>
      <c r="U114">
        <v>3733.826904</v>
      </c>
      <c r="V114">
        <v>3716.998779</v>
      </c>
      <c r="W114">
        <v>3700.1577149999998</v>
      </c>
      <c r="X114">
        <v>3683.5239259999998</v>
      </c>
      <c r="Y114">
        <v>3666.8364259999998</v>
      </c>
      <c r="Z114">
        <v>3649.8879390000002</v>
      </c>
      <c r="AA114">
        <v>3633.3447270000001</v>
      </c>
      <c r="AB114">
        <v>3616.6767580000001</v>
      </c>
      <c r="AC114">
        <v>3600.1342770000001</v>
      </c>
      <c r="AD114">
        <v>3583.570068</v>
      </c>
      <c r="AE114">
        <v>3567.7377929999998</v>
      </c>
      <c r="AF114">
        <v>3551.7458499999998</v>
      </c>
      <c r="AG114" s="122">
        <v>-2E-3</v>
      </c>
    </row>
    <row r="115" spans="1:33" x14ac:dyDescent="0.25">
      <c r="A115" t="s">
        <v>18</v>
      </c>
    </row>
    <row r="116" spans="1:33" x14ac:dyDescent="0.25">
      <c r="A116" t="s">
        <v>277</v>
      </c>
      <c r="B116" t="s">
        <v>276</v>
      </c>
      <c r="C116" t="s">
        <v>275</v>
      </c>
      <c r="D116" t="s">
        <v>247</v>
      </c>
      <c r="F116">
        <v>620</v>
      </c>
      <c r="G116">
        <v>609</v>
      </c>
      <c r="H116">
        <v>615</v>
      </c>
      <c r="I116">
        <v>621</v>
      </c>
      <c r="J116">
        <v>627</v>
      </c>
      <c r="K116">
        <v>633</v>
      </c>
      <c r="L116">
        <v>640</v>
      </c>
      <c r="M116">
        <v>646</v>
      </c>
      <c r="N116">
        <v>652</v>
      </c>
      <c r="O116">
        <v>659</v>
      </c>
      <c r="P116">
        <v>665</v>
      </c>
      <c r="Q116">
        <v>671</v>
      </c>
      <c r="R116">
        <v>678</v>
      </c>
      <c r="S116">
        <v>684</v>
      </c>
      <c r="T116">
        <v>690</v>
      </c>
      <c r="U116">
        <v>697</v>
      </c>
      <c r="V116">
        <v>703</v>
      </c>
      <c r="W116">
        <v>710</v>
      </c>
      <c r="X116">
        <v>716</v>
      </c>
      <c r="Y116">
        <v>722</v>
      </c>
      <c r="Z116">
        <v>729</v>
      </c>
      <c r="AA116">
        <v>735</v>
      </c>
      <c r="AB116">
        <v>741</v>
      </c>
      <c r="AC116">
        <v>748</v>
      </c>
      <c r="AD116">
        <v>754</v>
      </c>
      <c r="AE116">
        <v>760</v>
      </c>
      <c r="AF116">
        <v>767</v>
      </c>
      <c r="AG116" s="122">
        <v>8.0000000000000002E-3</v>
      </c>
    </row>
    <row r="117" spans="1:33" x14ac:dyDescent="0.25">
      <c r="A117" t="s">
        <v>274</v>
      </c>
      <c r="B117" t="s">
        <v>273</v>
      </c>
      <c r="C117" t="s">
        <v>272</v>
      </c>
      <c r="D117" t="s">
        <v>247</v>
      </c>
      <c r="F117">
        <v>867</v>
      </c>
      <c r="G117">
        <v>845</v>
      </c>
      <c r="H117">
        <v>853</v>
      </c>
      <c r="I117">
        <v>860</v>
      </c>
      <c r="J117">
        <v>868</v>
      </c>
      <c r="K117">
        <v>876</v>
      </c>
      <c r="L117">
        <v>884</v>
      </c>
      <c r="M117">
        <v>892</v>
      </c>
      <c r="N117">
        <v>900</v>
      </c>
      <c r="O117">
        <v>908</v>
      </c>
      <c r="P117">
        <v>915</v>
      </c>
      <c r="Q117">
        <v>923</v>
      </c>
      <c r="R117">
        <v>931</v>
      </c>
      <c r="S117">
        <v>939</v>
      </c>
      <c r="T117">
        <v>947</v>
      </c>
      <c r="U117">
        <v>955</v>
      </c>
      <c r="V117">
        <v>963</v>
      </c>
      <c r="W117">
        <v>971</v>
      </c>
      <c r="X117">
        <v>978</v>
      </c>
      <c r="Y117">
        <v>986</v>
      </c>
      <c r="Z117">
        <v>994</v>
      </c>
      <c r="AA117">
        <v>1002</v>
      </c>
      <c r="AB117">
        <v>1010</v>
      </c>
      <c r="AC117">
        <v>1018</v>
      </c>
      <c r="AD117">
        <v>1026</v>
      </c>
      <c r="AE117">
        <v>1033</v>
      </c>
      <c r="AF117">
        <v>1041</v>
      </c>
      <c r="AG117" s="122">
        <v>7.0000000000000001E-3</v>
      </c>
    </row>
    <row r="118" spans="1:33" x14ac:dyDescent="0.25">
      <c r="A118" t="s">
        <v>271</v>
      </c>
      <c r="B118" t="s">
        <v>270</v>
      </c>
      <c r="C118" t="s">
        <v>269</v>
      </c>
      <c r="D118" t="s">
        <v>247</v>
      </c>
      <c r="F118">
        <v>899</v>
      </c>
      <c r="G118">
        <v>851</v>
      </c>
      <c r="H118">
        <v>856</v>
      </c>
      <c r="I118">
        <v>861</v>
      </c>
      <c r="J118">
        <v>866</v>
      </c>
      <c r="K118">
        <v>871</v>
      </c>
      <c r="L118">
        <v>876</v>
      </c>
      <c r="M118">
        <v>881</v>
      </c>
      <c r="N118">
        <v>886</v>
      </c>
      <c r="O118">
        <v>890</v>
      </c>
      <c r="P118">
        <v>895</v>
      </c>
      <c r="Q118">
        <v>900</v>
      </c>
      <c r="R118">
        <v>905</v>
      </c>
      <c r="S118">
        <v>910</v>
      </c>
      <c r="T118">
        <v>915</v>
      </c>
      <c r="U118">
        <v>920</v>
      </c>
      <c r="V118">
        <v>925</v>
      </c>
      <c r="W118">
        <v>930</v>
      </c>
      <c r="X118">
        <v>935</v>
      </c>
      <c r="Y118">
        <v>940</v>
      </c>
      <c r="Z118">
        <v>945</v>
      </c>
      <c r="AA118">
        <v>950</v>
      </c>
      <c r="AB118">
        <v>955</v>
      </c>
      <c r="AC118">
        <v>960</v>
      </c>
      <c r="AD118">
        <v>965</v>
      </c>
      <c r="AE118">
        <v>970</v>
      </c>
      <c r="AF118">
        <v>975</v>
      </c>
      <c r="AG118" s="122">
        <v>3.0000000000000001E-3</v>
      </c>
    </row>
    <row r="119" spans="1:33" x14ac:dyDescent="0.25">
      <c r="A119" t="s">
        <v>268</v>
      </c>
      <c r="B119" t="s">
        <v>267</v>
      </c>
      <c r="C119" t="s">
        <v>266</v>
      </c>
      <c r="D119" t="s">
        <v>247</v>
      </c>
      <c r="F119">
        <v>1046</v>
      </c>
      <c r="G119">
        <v>1046</v>
      </c>
      <c r="H119">
        <v>1051</v>
      </c>
      <c r="I119">
        <v>1056</v>
      </c>
      <c r="J119">
        <v>1061</v>
      </c>
      <c r="K119">
        <v>1066</v>
      </c>
      <c r="L119">
        <v>1071</v>
      </c>
      <c r="M119">
        <v>1076</v>
      </c>
      <c r="N119">
        <v>1081</v>
      </c>
      <c r="O119">
        <v>1086</v>
      </c>
      <c r="P119">
        <v>1092</v>
      </c>
      <c r="Q119">
        <v>1097</v>
      </c>
      <c r="R119">
        <v>1102</v>
      </c>
      <c r="S119">
        <v>1107</v>
      </c>
      <c r="T119">
        <v>1112</v>
      </c>
      <c r="U119">
        <v>1117</v>
      </c>
      <c r="V119">
        <v>1122</v>
      </c>
      <c r="W119">
        <v>1128</v>
      </c>
      <c r="X119">
        <v>1133</v>
      </c>
      <c r="Y119">
        <v>1138</v>
      </c>
      <c r="Z119">
        <v>1143</v>
      </c>
      <c r="AA119">
        <v>1148</v>
      </c>
      <c r="AB119">
        <v>1153</v>
      </c>
      <c r="AC119">
        <v>1159</v>
      </c>
      <c r="AD119">
        <v>1164</v>
      </c>
      <c r="AE119">
        <v>1169</v>
      </c>
      <c r="AF119">
        <v>1174</v>
      </c>
      <c r="AG119" s="122">
        <v>4.0000000000000001E-3</v>
      </c>
    </row>
    <row r="120" spans="1:33" x14ac:dyDescent="0.25">
      <c r="A120" t="s">
        <v>265</v>
      </c>
      <c r="B120" t="s">
        <v>264</v>
      </c>
      <c r="C120" t="s">
        <v>263</v>
      </c>
      <c r="D120" t="s">
        <v>247</v>
      </c>
      <c r="F120">
        <v>2399</v>
      </c>
      <c r="G120">
        <v>2400</v>
      </c>
      <c r="H120">
        <v>2415</v>
      </c>
      <c r="I120">
        <v>2430</v>
      </c>
      <c r="J120">
        <v>2445</v>
      </c>
      <c r="K120">
        <v>2460</v>
      </c>
      <c r="L120">
        <v>2476</v>
      </c>
      <c r="M120">
        <v>2491</v>
      </c>
      <c r="N120">
        <v>2507</v>
      </c>
      <c r="O120">
        <v>2522</v>
      </c>
      <c r="P120">
        <v>2538</v>
      </c>
      <c r="Q120">
        <v>2553</v>
      </c>
      <c r="R120">
        <v>2569</v>
      </c>
      <c r="S120">
        <v>2585</v>
      </c>
      <c r="T120">
        <v>2600</v>
      </c>
      <c r="U120">
        <v>2616</v>
      </c>
      <c r="V120">
        <v>2632</v>
      </c>
      <c r="W120">
        <v>2648</v>
      </c>
      <c r="X120">
        <v>2663</v>
      </c>
      <c r="Y120">
        <v>2679</v>
      </c>
      <c r="Z120">
        <v>2695</v>
      </c>
      <c r="AA120">
        <v>2711</v>
      </c>
      <c r="AB120">
        <v>2727</v>
      </c>
      <c r="AC120">
        <v>2742</v>
      </c>
      <c r="AD120">
        <v>2758</v>
      </c>
      <c r="AE120">
        <v>2774</v>
      </c>
      <c r="AF120">
        <v>2790</v>
      </c>
      <c r="AG120" s="122">
        <v>6.0000000000000001E-3</v>
      </c>
    </row>
    <row r="121" spans="1:33" x14ac:dyDescent="0.25">
      <c r="A121" t="s">
        <v>262</v>
      </c>
      <c r="B121" t="s">
        <v>261</v>
      </c>
      <c r="C121" t="s">
        <v>260</v>
      </c>
      <c r="D121" t="s">
        <v>247</v>
      </c>
      <c r="F121">
        <v>1859</v>
      </c>
      <c r="G121">
        <v>1773</v>
      </c>
      <c r="H121">
        <v>1781</v>
      </c>
      <c r="I121">
        <v>1788</v>
      </c>
      <c r="J121">
        <v>1796</v>
      </c>
      <c r="K121">
        <v>1803</v>
      </c>
      <c r="L121">
        <v>1811</v>
      </c>
      <c r="M121">
        <v>1818</v>
      </c>
      <c r="N121">
        <v>1826</v>
      </c>
      <c r="O121">
        <v>1834</v>
      </c>
      <c r="P121">
        <v>1841</v>
      </c>
      <c r="Q121">
        <v>1849</v>
      </c>
      <c r="R121">
        <v>1857</v>
      </c>
      <c r="S121">
        <v>1864</v>
      </c>
      <c r="T121">
        <v>1872</v>
      </c>
      <c r="U121">
        <v>1879</v>
      </c>
      <c r="V121">
        <v>1887</v>
      </c>
      <c r="W121">
        <v>1895</v>
      </c>
      <c r="X121">
        <v>1902</v>
      </c>
      <c r="Y121">
        <v>1910</v>
      </c>
      <c r="Z121">
        <v>1918</v>
      </c>
      <c r="AA121">
        <v>1925</v>
      </c>
      <c r="AB121">
        <v>1933</v>
      </c>
      <c r="AC121">
        <v>1940</v>
      </c>
      <c r="AD121">
        <v>1948</v>
      </c>
      <c r="AE121">
        <v>1956</v>
      </c>
      <c r="AF121">
        <v>1963</v>
      </c>
      <c r="AG121" s="122">
        <v>2E-3</v>
      </c>
    </row>
    <row r="122" spans="1:33" x14ac:dyDescent="0.25">
      <c r="A122" t="s">
        <v>259</v>
      </c>
      <c r="B122" t="s">
        <v>258</v>
      </c>
      <c r="C122" t="s">
        <v>257</v>
      </c>
      <c r="D122" t="s">
        <v>247</v>
      </c>
      <c r="F122">
        <v>3073</v>
      </c>
      <c r="G122">
        <v>2901</v>
      </c>
      <c r="H122">
        <v>2915</v>
      </c>
      <c r="I122">
        <v>2928</v>
      </c>
      <c r="J122">
        <v>2942</v>
      </c>
      <c r="K122">
        <v>2955</v>
      </c>
      <c r="L122">
        <v>2969</v>
      </c>
      <c r="M122">
        <v>2982</v>
      </c>
      <c r="N122">
        <v>2996</v>
      </c>
      <c r="O122">
        <v>3010</v>
      </c>
      <c r="P122">
        <v>3023</v>
      </c>
      <c r="Q122">
        <v>3037</v>
      </c>
      <c r="R122">
        <v>3050</v>
      </c>
      <c r="S122">
        <v>3064</v>
      </c>
      <c r="T122">
        <v>3077</v>
      </c>
      <c r="U122">
        <v>3091</v>
      </c>
      <c r="V122">
        <v>3104</v>
      </c>
      <c r="W122">
        <v>3118</v>
      </c>
      <c r="X122">
        <v>3131</v>
      </c>
      <c r="Y122">
        <v>3145</v>
      </c>
      <c r="Z122">
        <v>3158</v>
      </c>
      <c r="AA122">
        <v>3172</v>
      </c>
      <c r="AB122">
        <v>3185</v>
      </c>
      <c r="AC122">
        <v>3199</v>
      </c>
      <c r="AD122">
        <v>3212</v>
      </c>
      <c r="AE122">
        <v>3226</v>
      </c>
      <c r="AF122">
        <v>3239</v>
      </c>
      <c r="AG122" s="122">
        <v>2E-3</v>
      </c>
    </row>
    <row r="123" spans="1:33" x14ac:dyDescent="0.25">
      <c r="A123" t="s">
        <v>256</v>
      </c>
      <c r="B123" t="s">
        <v>255</v>
      </c>
      <c r="C123" t="s">
        <v>254</v>
      </c>
      <c r="D123" t="s">
        <v>247</v>
      </c>
      <c r="F123">
        <v>1710</v>
      </c>
      <c r="G123">
        <v>1568</v>
      </c>
      <c r="H123">
        <v>1575</v>
      </c>
      <c r="I123">
        <v>1583</v>
      </c>
      <c r="J123">
        <v>1591</v>
      </c>
      <c r="K123">
        <v>1598</v>
      </c>
      <c r="L123">
        <v>1606</v>
      </c>
      <c r="M123">
        <v>1613</v>
      </c>
      <c r="N123">
        <v>1621</v>
      </c>
      <c r="O123">
        <v>1629</v>
      </c>
      <c r="P123">
        <v>1636</v>
      </c>
      <c r="Q123">
        <v>1644</v>
      </c>
      <c r="R123">
        <v>1651</v>
      </c>
      <c r="S123">
        <v>1659</v>
      </c>
      <c r="T123">
        <v>1666</v>
      </c>
      <c r="U123">
        <v>1674</v>
      </c>
      <c r="V123">
        <v>1681</v>
      </c>
      <c r="W123">
        <v>1689</v>
      </c>
      <c r="X123">
        <v>1696</v>
      </c>
      <c r="Y123">
        <v>1703</v>
      </c>
      <c r="Z123">
        <v>1711</v>
      </c>
      <c r="AA123">
        <v>1718</v>
      </c>
      <c r="AB123">
        <v>1725</v>
      </c>
      <c r="AC123">
        <v>1733</v>
      </c>
      <c r="AD123">
        <v>1740</v>
      </c>
      <c r="AE123">
        <v>1747</v>
      </c>
      <c r="AF123">
        <v>1755</v>
      </c>
      <c r="AG123" s="122">
        <v>1E-3</v>
      </c>
    </row>
    <row r="124" spans="1:33" x14ac:dyDescent="0.25">
      <c r="A124" t="s">
        <v>253</v>
      </c>
      <c r="B124" t="s">
        <v>252</v>
      </c>
      <c r="C124" t="s">
        <v>251</v>
      </c>
      <c r="D124" t="s">
        <v>247</v>
      </c>
      <c r="F124">
        <v>1056</v>
      </c>
      <c r="G124">
        <v>1023</v>
      </c>
      <c r="H124">
        <v>1032</v>
      </c>
      <c r="I124">
        <v>1040</v>
      </c>
      <c r="J124">
        <v>1049</v>
      </c>
      <c r="K124">
        <v>1057</v>
      </c>
      <c r="L124">
        <v>1066</v>
      </c>
      <c r="M124">
        <v>1075</v>
      </c>
      <c r="N124">
        <v>1083</v>
      </c>
      <c r="O124">
        <v>1092</v>
      </c>
      <c r="P124">
        <v>1101</v>
      </c>
      <c r="Q124">
        <v>1109</v>
      </c>
      <c r="R124">
        <v>1118</v>
      </c>
      <c r="S124">
        <v>1127</v>
      </c>
      <c r="T124">
        <v>1135</v>
      </c>
      <c r="U124">
        <v>1144</v>
      </c>
      <c r="V124">
        <v>1153</v>
      </c>
      <c r="W124">
        <v>1161</v>
      </c>
      <c r="X124">
        <v>1170</v>
      </c>
      <c r="Y124">
        <v>1179</v>
      </c>
      <c r="Z124">
        <v>1188</v>
      </c>
      <c r="AA124">
        <v>1196</v>
      </c>
      <c r="AB124">
        <v>1205</v>
      </c>
      <c r="AC124">
        <v>1214</v>
      </c>
      <c r="AD124">
        <v>1222</v>
      </c>
      <c r="AE124">
        <v>1231</v>
      </c>
      <c r="AF124">
        <v>1240</v>
      </c>
      <c r="AG124" s="122">
        <v>6.0000000000000001E-3</v>
      </c>
    </row>
    <row r="125" spans="1:33" x14ac:dyDescent="0.25">
      <c r="A125" t="s">
        <v>250</v>
      </c>
      <c r="B125" t="s">
        <v>249</v>
      </c>
      <c r="C125" t="s">
        <v>248</v>
      </c>
      <c r="D125" t="s">
        <v>247</v>
      </c>
      <c r="F125">
        <v>1616.899048</v>
      </c>
      <c r="G125">
        <v>1566.3795170000001</v>
      </c>
      <c r="H125">
        <v>1578.3626710000001</v>
      </c>
      <c r="I125">
        <v>1589.9610600000001</v>
      </c>
      <c r="J125">
        <v>1602.0439449999999</v>
      </c>
      <c r="K125">
        <v>1613.705811</v>
      </c>
      <c r="L125">
        <v>1626.0660399999999</v>
      </c>
      <c r="M125">
        <v>1637.9311520000001</v>
      </c>
      <c r="N125">
        <v>1650.1273189999999</v>
      </c>
      <c r="O125">
        <v>1662.213379</v>
      </c>
      <c r="P125">
        <v>1674.2971190000001</v>
      </c>
      <c r="Q125">
        <v>1686.352173</v>
      </c>
      <c r="R125">
        <v>1698.6342770000001</v>
      </c>
      <c r="S125">
        <v>1711.057495</v>
      </c>
      <c r="T125">
        <v>1722.9598390000001</v>
      </c>
      <c r="U125">
        <v>1735.4678960000001</v>
      </c>
      <c r="V125">
        <v>1747.7921140000001</v>
      </c>
      <c r="W125">
        <v>1760.2924800000001</v>
      </c>
      <c r="X125">
        <v>1772.279053</v>
      </c>
      <c r="Y125">
        <v>1784.803711</v>
      </c>
      <c r="Z125">
        <v>1797.338501</v>
      </c>
      <c r="AA125">
        <v>1809.6791989999999</v>
      </c>
      <c r="AB125">
        <v>1822.108643</v>
      </c>
      <c r="AC125">
        <v>1834.5897219999999</v>
      </c>
      <c r="AD125">
        <v>1846.8101810000001</v>
      </c>
      <c r="AE125">
        <v>1859.140259</v>
      </c>
      <c r="AF125">
        <v>1871.4392089999999</v>
      </c>
      <c r="AG125" s="122">
        <v>6.0000000000000001E-3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4"/>
  <sheetViews>
    <sheetView workbookViewId="0"/>
  </sheetViews>
  <sheetFormatPr defaultRowHeight="15" x14ac:dyDescent="0.25"/>
  <cols>
    <col min="2" max="2" width="23.7109375" customWidth="1"/>
    <col min="3" max="3" width="20.85546875" bestFit="1" customWidth="1"/>
    <col min="4" max="4" width="22.7109375" bestFit="1" customWidth="1"/>
    <col min="5" max="5" width="14.5703125" bestFit="1" customWidth="1"/>
  </cols>
  <sheetData>
    <row r="1" spans="1:5" x14ac:dyDescent="0.25">
      <c r="A1" s="1" t="s">
        <v>73</v>
      </c>
    </row>
    <row r="2" spans="1:5" x14ac:dyDescent="0.25">
      <c r="A2" s="1" t="s">
        <v>68</v>
      </c>
      <c r="B2" t="s">
        <v>74</v>
      </c>
    </row>
    <row r="4" spans="1:5" s="1" customFormat="1" x14ac:dyDescent="0.25">
      <c r="A4" s="1" t="s">
        <v>75</v>
      </c>
      <c r="B4" s="1" t="s">
        <v>69</v>
      </c>
      <c r="C4" s="1" t="s">
        <v>76</v>
      </c>
      <c r="D4" s="1" t="s">
        <v>77</v>
      </c>
      <c r="E4" s="1" t="s">
        <v>78</v>
      </c>
    </row>
    <row r="5" spans="1:5" x14ac:dyDescent="0.25">
      <c r="A5">
        <v>2015</v>
      </c>
      <c r="B5" t="s">
        <v>70</v>
      </c>
      <c r="C5" t="s">
        <v>79</v>
      </c>
      <c r="D5" s="88">
        <v>96</v>
      </c>
      <c r="E5">
        <v>3.3</v>
      </c>
    </row>
    <row r="6" spans="1:5" x14ac:dyDescent="0.25">
      <c r="A6">
        <v>2015</v>
      </c>
      <c r="B6" t="s">
        <v>70</v>
      </c>
      <c r="C6" t="s">
        <v>80</v>
      </c>
      <c r="D6" s="88">
        <v>96</v>
      </c>
      <c r="E6">
        <v>3.3</v>
      </c>
    </row>
    <row r="7" spans="1:5" x14ac:dyDescent="0.25">
      <c r="A7">
        <v>2015</v>
      </c>
      <c r="B7" t="s">
        <v>70</v>
      </c>
      <c r="C7" t="s">
        <v>81</v>
      </c>
      <c r="D7" s="88">
        <v>96</v>
      </c>
      <c r="E7">
        <v>3.3</v>
      </c>
    </row>
    <row r="8" spans="1:5" x14ac:dyDescent="0.25">
      <c r="A8">
        <v>2015</v>
      </c>
      <c r="B8" t="s">
        <v>71</v>
      </c>
      <c r="C8" t="s">
        <v>79</v>
      </c>
      <c r="D8" s="88">
        <v>96</v>
      </c>
      <c r="E8">
        <v>1.5</v>
      </c>
    </row>
    <row r="9" spans="1:5" x14ac:dyDescent="0.25">
      <c r="A9">
        <v>2015</v>
      </c>
      <c r="B9" t="s">
        <v>71</v>
      </c>
      <c r="C9" t="s">
        <v>80</v>
      </c>
      <c r="D9" s="88">
        <v>96</v>
      </c>
      <c r="E9">
        <v>1.5</v>
      </c>
    </row>
    <row r="10" spans="1:5" x14ac:dyDescent="0.25">
      <c r="A10">
        <v>2015</v>
      </c>
      <c r="B10" t="s">
        <v>71</v>
      </c>
      <c r="C10" t="s">
        <v>81</v>
      </c>
      <c r="D10" s="88">
        <v>96</v>
      </c>
      <c r="E10">
        <v>1.5</v>
      </c>
    </row>
    <row r="11" spans="1:5" x14ac:dyDescent="0.25">
      <c r="A11">
        <v>2020</v>
      </c>
      <c r="B11" t="s">
        <v>70</v>
      </c>
      <c r="C11" t="s">
        <v>79</v>
      </c>
      <c r="D11" s="88">
        <v>85</v>
      </c>
      <c r="E11">
        <v>3.75</v>
      </c>
    </row>
    <row r="12" spans="1:5" x14ac:dyDescent="0.25">
      <c r="A12">
        <v>2020</v>
      </c>
      <c r="B12" t="s">
        <v>70</v>
      </c>
      <c r="C12" t="s">
        <v>80</v>
      </c>
      <c r="D12" s="88">
        <v>80</v>
      </c>
      <c r="E12">
        <v>4</v>
      </c>
    </row>
    <row r="13" spans="1:5" x14ac:dyDescent="0.25">
      <c r="A13">
        <v>2020</v>
      </c>
      <c r="B13" t="s">
        <v>70</v>
      </c>
      <c r="C13" t="s">
        <v>81</v>
      </c>
      <c r="D13" s="88">
        <v>92.873542513425079</v>
      </c>
      <c r="E13">
        <v>3.4</v>
      </c>
    </row>
    <row r="14" spans="1:5" x14ac:dyDescent="0.25">
      <c r="A14">
        <v>2020</v>
      </c>
      <c r="B14" t="s">
        <v>71</v>
      </c>
      <c r="C14" t="s">
        <v>79</v>
      </c>
      <c r="D14" s="88">
        <v>85</v>
      </c>
      <c r="E14">
        <v>2</v>
      </c>
    </row>
    <row r="15" spans="1:5" x14ac:dyDescent="0.25">
      <c r="A15">
        <v>2020</v>
      </c>
      <c r="B15" t="s">
        <v>71</v>
      </c>
      <c r="C15" t="s">
        <v>80</v>
      </c>
      <c r="D15" s="88">
        <v>80</v>
      </c>
      <c r="E15">
        <v>2.5</v>
      </c>
    </row>
    <row r="16" spans="1:5" x14ac:dyDescent="0.25">
      <c r="A16">
        <v>2020</v>
      </c>
      <c r="B16" t="s">
        <v>71</v>
      </c>
      <c r="C16" t="s">
        <v>81</v>
      </c>
      <c r="D16" s="88">
        <v>92.873542513425079</v>
      </c>
      <c r="E16">
        <v>1.75</v>
      </c>
    </row>
    <row r="17" spans="1:5" x14ac:dyDescent="0.25">
      <c r="A17">
        <v>2030</v>
      </c>
      <c r="B17" t="s">
        <v>70</v>
      </c>
      <c r="C17" t="s">
        <v>79</v>
      </c>
      <c r="D17" s="88">
        <v>73</v>
      </c>
      <c r="E17">
        <v>4</v>
      </c>
    </row>
    <row r="18" spans="1:5" x14ac:dyDescent="0.25">
      <c r="A18">
        <v>2030</v>
      </c>
      <c r="B18" t="s">
        <v>70</v>
      </c>
      <c r="C18" t="s">
        <v>80</v>
      </c>
      <c r="D18" s="88">
        <v>65</v>
      </c>
      <c r="E18">
        <v>4.5</v>
      </c>
    </row>
    <row r="19" spans="1:5" x14ac:dyDescent="0.25">
      <c r="A19">
        <v>2030</v>
      </c>
      <c r="B19" t="s">
        <v>70</v>
      </c>
      <c r="C19" t="s">
        <v>81</v>
      </c>
      <c r="D19" s="88">
        <v>86.922772048714748</v>
      </c>
      <c r="E19">
        <v>3.5</v>
      </c>
    </row>
    <row r="20" spans="1:5" x14ac:dyDescent="0.25">
      <c r="A20">
        <v>2030</v>
      </c>
      <c r="B20" t="s">
        <v>71</v>
      </c>
      <c r="C20" t="s">
        <v>79</v>
      </c>
      <c r="D20" s="88">
        <v>73</v>
      </c>
      <c r="E20">
        <v>2.5</v>
      </c>
    </row>
    <row r="21" spans="1:5" x14ac:dyDescent="0.25">
      <c r="A21">
        <v>2030</v>
      </c>
      <c r="B21" t="s">
        <v>71</v>
      </c>
      <c r="C21" t="s">
        <v>80</v>
      </c>
      <c r="D21" s="88">
        <v>65</v>
      </c>
      <c r="E21">
        <v>3</v>
      </c>
    </row>
    <row r="22" spans="1:5" x14ac:dyDescent="0.25">
      <c r="A22">
        <v>2030</v>
      </c>
      <c r="B22" t="s">
        <v>71</v>
      </c>
      <c r="C22" t="s">
        <v>81</v>
      </c>
      <c r="D22" s="88">
        <v>86.922772048714748</v>
      </c>
      <c r="E22">
        <v>2.1</v>
      </c>
    </row>
    <row r="23" spans="1:5" x14ac:dyDescent="0.25">
      <c r="A23">
        <v>2040</v>
      </c>
      <c r="B23" t="s">
        <v>70</v>
      </c>
      <c r="C23" t="s">
        <v>79</v>
      </c>
      <c r="D23" s="88">
        <v>65</v>
      </c>
      <c r="E23">
        <v>4.1500000000000004</v>
      </c>
    </row>
    <row r="24" spans="1:5" x14ac:dyDescent="0.25">
      <c r="A24">
        <v>2040</v>
      </c>
      <c r="B24" t="s">
        <v>70</v>
      </c>
      <c r="C24" t="s">
        <v>80</v>
      </c>
      <c r="D24" s="88">
        <v>60</v>
      </c>
      <c r="E24">
        <v>4.75</v>
      </c>
    </row>
    <row r="25" spans="1:5" x14ac:dyDescent="0.25">
      <c r="A25">
        <v>2040</v>
      </c>
      <c r="B25" t="s">
        <v>70</v>
      </c>
      <c r="C25" t="s">
        <v>81</v>
      </c>
      <c r="D25" s="88">
        <v>81.353290680611792</v>
      </c>
      <c r="E25">
        <v>3.6</v>
      </c>
    </row>
    <row r="26" spans="1:5" x14ac:dyDescent="0.25">
      <c r="A26">
        <v>2040</v>
      </c>
      <c r="B26" t="s">
        <v>71</v>
      </c>
      <c r="C26" t="s">
        <v>79</v>
      </c>
      <c r="D26" s="88">
        <v>65</v>
      </c>
      <c r="E26">
        <v>3</v>
      </c>
    </row>
    <row r="27" spans="1:5" x14ac:dyDescent="0.25">
      <c r="A27">
        <v>2040</v>
      </c>
      <c r="B27" t="s">
        <v>71</v>
      </c>
      <c r="C27" t="s">
        <v>80</v>
      </c>
      <c r="D27" s="88">
        <v>60</v>
      </c>
      <c r="E27">
        <v>3</v>
      </c>
    </row>
    <row r="28" spans="1:5" x14ac:dyDescent="0.25">
      <c r="A28">
        <v>2040</v>
      </c>
      <c r="B28" t="s">
        <v>71</v>
      </c>
      <c r="C28" t="s">
        <v>81</v>
      </c>
      <c r="D28" s="88">
        <v>81.353290680611792</v>
      </c>
      <c r="E28">
        <v>2.5</v>
      </c>
    </row>
    <row r="29" spans="1:5" x14ac:dyDescent="0.25">
      <c r="A29">
        <v>2050</v>
      </c>
      <c r="B29" t="s">
        <v>70</v>
      </c>
      <c r="C29" t="s">
        <v>79</v>
      </c>
      <c r="D29" s="88">
        <v>60.296369222717402</v>
      </c>
      <c r="E29">
        <v>4.25</v>
      </c>
    </row>
    <row r="30" spans="1:5" x14ac:dyDescent="0.25">
      <c r="A30">
        <v>2050</v>
      </c>
      <c r="B30" t="s">
        <v>70</v>
      </c>
      <c r="C30" t="s">
        <v>80</v>
      </c>
      <c r="D30" s="88">
        <v>57.599999999999994</v>
      </c>
      <c r="E30">
        <v>5</v>
      </c>
    </row>
    <row r="31" spans="1:5" x14ac:dyDescent="0.25">
      <c r="A31">
        <v>2050</v>
      </c>
      <c r="B31" t="s">
        <v>70</v>
      </c>
      <c r="C31" t="s">
        <v>81</v>
      </c>
      <c r="D31" s="88">
        <v>76.140667728071804</v>
      </c>
      <c r="E31">
        <v>3.7</v>
      </c>
    </row>
    <row r="32" spans="1:5" x14ac:dyDescent="0.25">
      <c r="A32">
        <v>2050</v>
      </c>
      <c r="B32" t="s">
        <v>71</v>
      </c>
      <c r="C32" t="s">
        <v>79</v>
      </c>
      <c r="D32" s="88">
        <v>60.296369222717402</v>
      </c>
      <c r="E32">
        <v>3</v>
      </c>
    </row>
    <row r="33" spans="1:5" x14ac:dyDescent="0.25">
      <c r="A33">
        <v>2050</v>
      </c>
      <c r="B33" t="s">
        <v>71</v>
      </c>
      <c r="C33" t="s">
        <v>80</v>
      </c>
      <c r="D33" s="88">
        <v>57.599999999999994</v>
      </c>
      <c r="E33">
        <v>3</v>
      </c>
    </row>
    <row r="34" spans="1:5" x14ac:dyDescent="0.25">
      <c r="A34">
        <v>2050</v>
      </c>
      <c r="B34" t="s">
        <v>71</v>
      </c>
      <c r="C34" t="s">
        <v>81</v>
      </c>
      <c r="D34" s="88">
        <v>76.140667728071804</v>
      </c>
      <c r="E34">
        <v>2.75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9"/>
  <sheetViews>
    <sheetView workbookViewId="0"/>
  </sheetViews>
  <sheetFormatPr defaultRowHeight="15" x14ac:dyDescent="0.25"/>
  <cols>
    <col min="2" max="2" width="17.28515625" customWidth="1"/>
    <col min="3" max="3" width="22.85546875" bestFit="1" customWidth="1"/>
    <col min="4" max="4" width="23.85546875" bestFit="1" customWidth="1"/>
    <col min="5" max="5" width="17.28515625" customWidth="1"/>
  </cols>
  <sheetData>
    <row r="1" spans="1:5" x14ac:dyDescent="0.25">
      <c r="A1" s="1" t="s">
        <v>82</v>
      </c>
    </row>
    <row r="2" spans="1:5" x14ac:dyDescent="0.25">
      <c r="A2" s="1" t="s">
        <v>68</v>
      </c>
      <c r="B2" t="s">
        <v>83</v>
      </c>
    </row>
    <row r="4" spans="1:5" x14ac:dyDescent="0.25">
      <c r="A4" s="1" t="s">
        <v>75</v>
      </c>
      <c r="B4" s="1" t="s">
        <v>69</v>
      </c>
      <c r="C4" s="1" t="s">
        <v>76</v>
      </c>
      <c r="D4" s="1" t="s">
        <v>77</v>
      </c>
      <c r="E4" s="1" t="s">
        <v>78</v>
      </c>
    </row>
    <row r="5" spans="1:5" x14ac:dyDescent="0.25">
      <c r="A5">
        <v>2015</v>
      </c>
      <c r="B5" t="s">
        <v>72</v>
      </c>
      <c r="C5" t="s">
        <v>79</v>
      </c>
      <c r="D5" s="88">
        <v>310</v>
      </c>
      <c r="E5">
        <v>2.4500000000000002</v>
      </c>
    </row>
    <row r="6" spans="1:5" x14ac:dyDescent="0.25">
      <c r="A6">
        <v>2015</v>
      </c>
      <c r="B6" t="s">
        <v>72</v>
      </c>
      <c r="C6" t="s">
        <v>80</v>
      </c>
      <c r="D6" s="88">
        <v>310</v>
      </c>
      <c r="E6">
        <v>2.4500000000000002</v>
      </c>
    </row>
    <row r="7" spans="1:5" x14ac:dyDescent="0.25">
      <c r="A7">
        <v>2015</v>
      </c>
      <c r="B7" t="s">
        <v>72</v>
      </c>
      <c r="C7" t="s">
        <v>81</v>
      </c>
      <c r="D7" s="88">
        <v>310</v>
      </c>
      <c r="E7">
        <v>2.4500000000000002</v>
      </c>
    </row>
    <row r="8" spans="1:5" x14ac:dyDescent="0.25">
      <c r="A8">
        <v>2020</v>
      </c>
      <c r="B8" t="s">
        <v>72</v>
      </c>
      <c r="C8" t="s">
        <v>79</v>
      </c>
      <c r="D8" s="88">
        <v>287.51781145613165</v>
      </c>
      <c r="E8">
        <v>3</v>
      </c>
    </row>
    <row r="9" spans="1:5" x14ac:dyDescent="0.25">
      <c r="A9">
        <v>2020</v>
      </c>
      <c r="B9" t="s">
        <v>72</v>
      </c>
      <c r="C9" t="s">
        <v>80</v>
      </c>
      <c r="D9" s="88">
        <v>281.0389027686914</v>
      </c>
      <c r="E9">
        <v>3</v>
      </c>
    </row>
    <row r="10" spans="1:5" x14ac:dyDescent="0.25">
      <c r="A10">
        <v>2020</v>
      </c>
      <c r="B10" t="s">
        <v>72</v>
      </c>
      <c r="C10" t="s">
        <v>81</v>
      </c>
      <c r="D10" s="88">
        <v>302.85282908362865</v>
      </c>
      <c r="E10">
        <v>3</v>
      </c>
    </row>
    <row r="11" spans="1:5" x14ac:dyDescent="0.25">
      <c r="A11">
        <v>2030</v>
      </c>
      <c r="B11" t="s">
        <v>72</v>
      </c>
      <c r="C11" t="s">
        <v>79</v>
      </c>
      <c r="D11" s="88">
        <v>247.326626775699</v>
      </c>
      <c r="E11">
        <v>3.25</v>
      </c>
    </row>
    <row r="12" spans="1:5" x14ac:dyDescent="0.25">
      <c r="A12">
        <v>2030</v>
      </c>
      <c r="B12" t="s">
        <v>72</v>
      </c>
      <c r="C12" t="s">
        <v>80</v>
      </c>
      <c r="D12" s="88">
        <v>219.56945138434571</v>
      </c>
      <c r="E12">
        <v>3.6</v>
      </c>
    </row>
    <row r="13" spans="1:5" x14ac:dyDescent="0.25">
      <c r="A13">
        <v>2030</v>
      </c>
      <c r="B13" t="s">
        <v>72</v>
      </c>
      <c r="C13" t="s">
        <v>81</v>
      </c>
      <c r="D13" s="88">
        <v>289.04903060471639</v>
      </c>
      <c r="E13">
        <v>3</v>
      </c>
    </row>
    <row r="14" spans="1:5" x14ac:dyDescent="0.25">
      <c r="A14">
        <v>2040</v>
      </c>
      <c r="B14" t="s">
        <v>72</v>
      </c>
      <c r="C14" t="s">
        <v>79</v>
      </c>
      <c r="D14" s="88">
        <v>212.75363777446901</v>
      </c>
      <c r="E14">
        <v>3.35</v>
      </c>
    </row>
    <row r="15" spans="1:5" x14ac:dyDescent="0.25">
      <c r="A15">
        <v>2040</v>
      </c>
      <c r="B15" t="s">
        <v>72</v>
      </c>
      <c r="C15" t="s">
        <v>80</v>
      </c>
      <c r="D15" s="88">
        <v>180</v>
      </c>
      <c r="E15">
        <v>3.85</v>
      </c>
    </row>
    <row r="16" spans="1:5" x14ac:dyDescent="0.25">
      <c r="A16">
        <v>2040</v>
      </c>
      <c r="B16" t="s">
        <v>72</v>
      </c>
      <c r="C16" t="s">
        <v>81</v>
      </c>
      <c r="D16" s="88">
        <v>275.87439861905744</v>
      </c>
      <c r="E16">
        <v>3</v>
      </c>
    </row>
    <row r="17" spans="1:5" x14ac:dyDescent="0.25">
      <c r="A17">
        <v>2050</v>
      </c>
      <c r="B17" t="s">
        <v>72</v>
      </c>
      <c r="C17" t="s">
        <v>79</v>
      </c>
      <c r="D17" s="88">
        <v>184.45</v>
      </c>
      <c r="E17">
        <v>3.43</v>
      </c>
    </row>
    <row r="18" spans="1:5" x14ac:dyDescent="0.25">
      <c r="A18">
        <v>2050</v>
      </c>
      <c r="B18" t="s">
        <v>72</v>
      </c>
      <c r="C18" t="s">
        <v>80</v>
      </c>
      <c r="D18" s="88">
        <v>158.1</v>
      </c>
      <c r="E18">
        <v>3.9200000000000004</v>
      </c>
    </row>
    <row r="19" spans="1:5" x14ac:dyDescent="0.25">
      <c r="A19">
        <v>2050</v>
      </c>
      <c r="B19" t="s">
        <v>72</v>
      </c>
      <c r="C19" t="s">
        <v>81</v>
      </c>
      <c r="D19" s="88">
        <v>263.5</v>
      </c>
      <c r="E19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F6072-516B-493E-89C4-95AF0FA41849}">
  <sheetPr>
    <tabColor theme="5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G79"/>
  <sheetViews>
    <sheetView topLeftCell="A58" workbookViewId="0">
      <selection activeCell="J9" sqref="J9"/>
    </sheetView>
  </sheetViews>
  <sheetFormatPr defaultRowHeight="15" x14ac:dyDescent="0.25"/>
  <cols>
    <col min="1" max="1" width="23.42578125" customWidth="1"/>
    <col min="2" max="2" width="12" bestFit="1" customWidth="1"/>
  </cols>
  <sheetData>
    <row r="1" spans="1:33" x14ac:dyDescent="0.25">
      <c r="A1" s="5" t="s">
        <v>12</v>
      </c>
      <c r="B1" s="5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</row>
    <row r="2" spans="1:33" x14ac:dyDescent="0.25">
      <c r="A2" s="54" t="s">
        <v>56</v>
      </c>
      <c r="B2" s="54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</row>
    <row r="3" spans="1:33" x14ac:dyDescent="0.25">
      <c r="A3" s="6" t="s">
        <v>21</v>
      </c>
      <c r="B3">
        <v>2020</v>
      </c>
      <c r="C3">
        <v>2021</v>
      </c>
      <c r="D3">
        <v>2022</v>
      </c>
      <c r="E3">
        <v>2023</v>
      </c>
      <c r="F3">
        <v>2024</v>
      </c>
      <c r="G3">
        <v>2025</v>
      </c>
      <c r="H3">
        <v>2026</v>
      </c>
      <c r="I3">
        <v>2027</v>
      </c>
      <c r="J3">
        <v>2028</v>
      </c>
      <c r="K3">
        <v>2029</v>
      </c>
      <c r="L3">
        <v>2030</v>
      </c>
      <c r="M3">
        <v>2031</v>
      </c>
      <c r="N3">
        <v>2032</v>
      </c>
      <c r="O3">
        <v>2033</v>
      </c>
      <c r="P3">
        <v>2034</v>
      </c>
      <c r="Q3">
        <v>2035</v>
      </c>
      <c r="R3">
        <v>2036</v>
      </c>
      <c r="S3">
        <v>2037</v>
      </c>
      <c r="T3">
        <v>2038</v>
      </c>
      <c r="U3">
        <v>2039</v>
      </c>
      <c r="V3">
        <v>2040</v>
      </c>
      <c r="W3">
        <v>2041</v>
      </c>
      <c r="X3">
        <v>2042</v>
      </c>
      <c r="Y3">
        <v>2043</v>
      </c>
      <c r="Z3">
        <v>2044</v>
      </c>
      <c r="AA3">
        <v>2045</v>
      </c>
      <c r="AB3">
        <v>2046</v>
      </c>
      <c r="AC3">
        <v>2047</v>
      </c>
      <c r="AD3">
        <v>2048</v>
      </c>
      <c r="AE3">
        <v>2049</v>
      </c>
      <c r="AF3">
        <v>2050</v>
      </c>
    </row>
    <row r="4" spans="1:33" x14ac:dyDescent="0.25">
      <c r="A4" t="s">
        <v>13</v>
      </c>
      <c r="B4" s="38"/>
      <c r="C4" s="151">
        <v>0</v>
      </c>
      <c r="D4" s="151">
        <v>0</v>
      </c>
      <c r="E4" s="151">
        <v>0</v>
      </c>
      <c r="F4" s="155">
        <f>Table_4._Residential_Sector_Key!F41/SUM(Table_21._Residential_Sector_Eq!F10:F11)*10^15/10^6</f>
        <v>41491997.324771747</v>
      </c>
      <c r="G4" s="155">
        <f>Table_4._Residential_Sector_Key!G41/SUM(Table_21._Residential_Sector_Eq!G10:G11)*10^15/10^6</f>
        <v>46089261.371914677</v>
      </c>
      <c r="H4" s="155">
        <f>Table_4._Residential_Sector_Key!H41/SUM(Table_21._Residential_Sector_Eq!H10:H11)*10^15/10^6</f>
        <v>45690896.273580268</v>
      </c>
      <c r="I4" s="155">
        <f>Table_4._Residential_Sector_Key!I41/SUM(Table_21._Residential_Sector_Eq!I10:I11)*10^15/10^6</f>
        <v>45159329.524686657</v>
      </c>
      <c r="J4" s="155">
        <f>Table_4._Residential_Sector_Key!J41/SUM(Table_21._Residential_Sector_Eq!J10:J11)*10^15/10^6</f>
        <v>44517814.223858811</v>
      </c>
      <c r="K4" s="155">
        <f>Table_4._Residential_Sector_Key!K41/SUM(Table_21._Residential_Sector_Eq!K10:K11)*10^15/10^6</f>
        <v>43699155.602107048</v>
      </c>
      <c r="L4" s="155">
        <f>Table_4._Residential_Sector_Key!L41/SUM(Table_21._Residential_Sector_Eq!L10:L11)*10^15/10^6</f>
        <v>42807845.764713138</v>
      </c>
      <c r="M4" s="155">
        <f>Table_4._Residential_Sector_Key!M41/SUM(Table_21._Residential_Sector_Eq!M10:M11)*10^15/10^6</f>
        <v>41807842.326757178</v>
      </c>
      <c r="N4" s="155">
        <f>Table_4._Residential_Sector_Key!N41/SUM(Table_21._Residential_Sector_Eq!N10:N11)*10^15/10^6</f>
        <v>40698319.422269501</v>
      </c>
      <c r="O4" s="155">
        <f>Table_4._Residential_Sector_Key!O41/SUM(Table_21._Residential_Sector_Eq!O10:O11)*10^15/10^6</f>
        <v>39702364.523963869</v>
      </c>
      <c r="P4" s="155">
        <f>Table_4._Residential_Sector_Key!P41/SUM(Table_21._Residential_Sector_Eq!P10:P11)*10^15/10^6</f>
        <v>38718268.372645393</v>
      </c>
      <c r="Q4" s="155">
        <f>Table_4._Residential_Sector_Key!Q41/SUM(Table_21._Residential_Sector_Eq!Q10:Q11)*10^15/10^6</f>
        <v>37844559.649054162</v>
      </c>
      <c r="R4" s="155">
        <f>Table_4._Residential_Sector_Key!R41/SUM(Table_21._Residential_Sector_Eq!R10:R11)*10^15/10^6</f>
        <v>37075631.355912149</v>
      </c>
      <c r="S4" s="155">
        <f>Table_4._Residential_Sector_Key!S41/SUM(Table_21._Residential_Sector_Eq!S10:S11)*10^15/10^6</f>
        <v>36381754.083732709</v>
      </c>
      <c r="T4" s="155">
        <f>Table_4._Residential_Sector_Key!T41/SUM(Table_21._Residential_Sector_Eq!T10:T11)*10^15/10^6</f>
        <v>35731119.711093776</v>
      </c>
      <c r="U4" s="155">
        <f>Table_4._Residential_Sector_Key!U41/SUM(Table_21._Residential_Sector_Eq!U10:U11)*10^15/10^6</f>
        <v>35123595.569625281</v>
      </c>
      <c r="V4" s="155">
        <f>Table_4._Residential_Sector_Key!V41/SUM(Table_21._Residential_Sector_Eq!V10:V11)*10^15/10^6</f>
        <v>34526594.673510447</v>
      </c>
      <c r="W4" s="155">
        <f>Table_4._Residential_Sector_Key!W41/SUM(Table_21._Residential_Sector_Eq!W10:W11)*10^15/10^6</f>
        <v>33916163.237741947</v>
      </c>
      <c r="X4" s="155">
        <f>Table_4._Residential_Sector_Key!X41/SUM(Table_21._Residential_Sector_Eq!X10:X11)*10^15/10^6</f>
        <v>33318276.293918766</v>
      </c>
      <c r="Y4" s="155">
        <f>Table_4._Residential_Sector_Key!Y41/SUM(Table_21._Residential_Sector_Eq!Y10:Y11)*10^15/10^6</f>
        <v>32741511.034344312</v>
      </c>
      <c r="Z4" s="155">
        <f>Table_4._Residential_Sector_Key!Z41/SUM(Table_21._Residential_Sector_Eq!Z10:Z11)*10^15/10^6</f>
        <v>32197103.080403086</v>
      </c>
      <c r="AA4" s="155">
        <f>Table_4._Residential_Sector_Key!AA41/SUM(Table_21._Residential_Sector_Eq!AA10:AA11)*10^15/10^6</f>
        <v>31685224.441920206</v>
      </c>
      <c r="AB4" s="155">
        <f>Table_4._Residential_Sector_Key!AB41/SUM(Table_21._Residential_Sector_Eq!AB10:AB11)*10^15/10^6</f>
        <v>31189257.729251649</v>
      </c>
      <c r="AC4" s="155">
        <f>Table_4._Residential_Sector_Key!AC41/SUM(Table_21._Residential_Sector_Eq!AC10:AC11)*10^15/10^6</f>
        <v>30708427.885962252</v>
      </c>
      <c r="AD4" s="155">
        <f>Table_4._Residential_Sector_Key!AD41/SUM(Table_21._Residential_Sector_Eq!AD10:AD11)*10^15/10^6</f>
        <v>30244969.462484691</v>
      </c>
      <c r="AE4" s="155">
        <f>Table_4._Residential_Sector_Key!AE41/SUM(Table_21._Residential_Sector_Eq!AE10:AE11)*10^15/10^6</f>
        <v>29793659.891922571</v>
      </c>
      <c r="AF4" s="155">
        <f>Table_4._Residential_Sector_Key!AF41/SUM(Table_21._Residential_Sector_Eq!AF10:AF11)*10^15/10^6</f>
        <v>29343870.237943266</v>
      </c>
    </row>
    <row r="5" spans="1:33" x14ac:dyDescent="0.25">
      <c r="A5" t="s">
        <v>14</v>
      </c>
      <c r="B5" s="38"/>
      <c r="C5" s="151">
        <v>0</v>
      </c>
      <c r="D5" s="151">
        <v>0</v>
      </c>
      <c r="E5" s="151">
        <v>0</v>
      </c>
      <c r="F5" s="154">
        <f>Table_4._Residential_Sector_Key!F49/Table_21._Residential_Sector_Eq!F12*10^15/10^6</f>
        <v>79653267.448835343</v>
      </c>
      <c r="G5" s="154">
        <f>Table_4._Residential_Sector_Key!G49/Table_21._Residential_Sector_Eq!G12*10^15/10^6</f>
        <v>86956346.939207345</v>
      </c>
      <c r="H5" s="154">
        <f>Table_4._Residential_Sector_Key!H49/Table_21._Residential_Sector_Eq!H12*10^15/10^6</f>
        <v>86724764.937657163</v>
      </c>
      <c r="I5" s="154">
        <f>Table_4._Residential_Sector_Key!I49/Table_21._Residential_Sector_Eq!I12*10^15/10^6</f>
        <v>86019852.39135775</v>
      </c>
      <c r="J5" s="154">
        <f>Table_4._Residential_Sector_Key!J49/Table_21._Residential_Sector_Eq!J12*10^15/10^6</f>
        <v>85052399.338113636</v>
      </c>
      <c r="K5" s="154">
        <f>Table_4._Residential_Sector_Key!K49/Table_21._Residential_Sector_Eq!K12*10^15/10^6</f>
        <v>84013930.011351362</v>
      </c>
      <c r="L5" s="154">
        <f>Table_4._Residential_Sector_Key!L49/Table_21._Residential_Sector_Eq!L12*10^15/10^6</f>
        <v>82988610.562897712</v>
      </c>
      <c r="M5" s="154">
        <f>Table_4._Residential_Sector_Key!M49/Table_21._Residential_Sector_Eq!M12*10^15/10^6</f>
        <v>82160846.34767887</v>
      </c>
      <c r="N5" s="154">
        <f>Table_4._Residential_Sector_Key!N49/Table_21._Residential_Sector_Eq!N12*10^15/10^6</f>
        <v>81487423.028231591</v>
      </c>
      <c r="O5" s="154">
        <f>Table_4._Residential_Sector_Key!O49/Table_21._Residential_Sector_Eq!O12*10^15/10^6</f>
        <v>80929374.777771458</v>
      </c>
      <c r="P5" s="154">
        <f>Table_4._Residential_Sector_Key!P49/Table_21._Residential_Sector_Eq!P12*10^15/10^6</f>
        <v>80272285.698489979</v>
      </c>
      <c r="Q5" s="154">
        <f>Table_4._Residential_Sector_Key!Q49/Table_21._Residential_Sector_Eq!Q12*10^15/10^6</f>
        <v>79604653.192053169</v>
      </c>
      <c r="R5" s="154">
        <f>Table_4._Residential_Sector_Key!R49/Table_21._Residential_Sector_Eq!R12*10^15/10^6</f>
        <v>78969133.824727967</v>
      </c>
      <c r="S5" s="154">
        <f>Table_4._Residential_Sector_Key!S49/Table_21._Residential_Sector_Eq!S12*10^15/10^6</f>
        <v>78327272.795274734</v>
      </c>
      <c r="T5" s="154">
        <f>Table_4._Residential_Sector_Key!T49/Table_21._Residential_Sector_Eq!T12*10^15/10^6</f>
        <v>77705444.496413872</v>
      </c>
      <c r="U5" s="154">
        <f>Table_4._Residential_Sector_Key!U49/Table_21._Residential_Sector_Eq!U12*10^15/10^6</f>
        <v>77104027.820223957</v>
      </c>
      <c r="V5" s="154">
        <f>Table_4._Residential_Sector_Key!V49/Table_21._Residential_Sector_Eq!V12*10^15/10^6</f>
        <v>76497654.651707053</v>
      </c>
      <c r="W5" s="154">
        <f>Table_4._Residential_Sector_Key!W49/Table_21._Residential_Sector_Eq!W12*10^15/10^6</f>
        <v>75888576.781506807</v>
      </c>
      <c r="X5" s="154">
        <f>Table_4._Residential_Sector_Key!X49/Table_21._Residential_Sector_Eq!X12*10^15/10^6</f>
        <v>75284374.860505417</v>
      </c>
      <c r="Y5" s="154">
        <f>Table_4._Residential_Sector_Key!Y49/Table_21._Residential_Sector_Eq!Y12*10^15/10^6</f>
        <v>74689217.391219363</v>
      </c>
      <c r="Z5" s="154">
        <f>Table_4._Residential_Sector_Key!Z49/Table_21._Residential_Sector_Eq!Z12*10^15/10^6</f>
        <v>74044536.435692802</v>
      </c>
      <c r="AA5" s="154">
        <f>Table_4._Residential_Sector_Key!AA49/Table_21._Residential_Sector_Eq!AA12*10^15/10^6</f>
        <v>73493376.253559485</v>
      </c>
      <c r="AB5" s="154">
        <f>Table_4._Residential_Sector_Key!AB49/Table_21._Residential_Sector_Eq!AB12*10^15/10^6</f>
        <v>72952668.459420443</v>
      </c>
      <c r="AC5" s="154">
        <f>Table_4._Residential_Sector_Key!AC49/Table_21._Residential_Sector_Eq!AC12*10^15/10^6</f>
        <v>72453825.751628011</v>
      </c>
      <c r="AD5" s="154">
        <f>Table_4._Residential_Sector_Key!AD49/Table_21._Residential_Sector_Eq!AD12*10^15/10^6</f>
        <v>71980006.297268972</v>
      </c>
      <c r="AE5" s="154">
        <f>Table_4._Residential_Sector_Key!AE49/Table_21._Residential_Sector_Eq!AE12*10^15/10^6</f>
        <v>71518661.40743567</v>
      </c>
      <c r="AF5" s="154">
        <f>Table_4._Residential_Sector_Key!AF49/Table_21._Residential_Sector_Eq!AF12*10^15/10^6</f>
        <v>71026713.028579429</v>
      </c>
    </row>
    <row r="6" spans="1:33" x14ac:dyDescent="0.25">
      <c r="A6" t="s">
        <v>50</v>
      </c>
      <c r="B6" s="38"/>
      <c r="C6" s="151">
        <v>0</v>
      </c>
      <c r="D6" s="151">
        <v>0</v>
      </c>
      <c r="E6" s="151">
        <v>0</v>
      </c>
      <c r="F6" s="154">
        <f>Table_4._Residential_Sector_Key!F59/Table_21._Residential_Sector_Eq!F15*10^15/10^6</f>
        <v>161027218.76650709</v>
      </c>
      <c r="G6" s="154">
        <f>Table_4._Residential_Sector_Key!G59/Table_21._Residential_Sector_Eq!G15*10^15/10^6</f>
        <v>165003870.94324923</v>
      </c>
      <c r="H6" s="154">
        <f>Table_4._Residential_Sector_Key!H59/Table_21._Residential_Sector_Eq!H15*10^15/10^6</f>
        <v>159946190.83838251</v>
      </c>
      <c r="I6" s="154">
        <f>Table_4._Residential_Sector_Key!I59/Table_21._Residential_Sector_Eq!I15*10^15/10^6</f>
        <v>158072678.06645158</v>
      </c>
      <c r="J6" s="154">
        <f>Table_4._Residential_Sector_Key!J59/Table_21._Residential_Sector_Eq!J15*10^15/10^6</f>
        <v>157907165.28689694</v>
      </c>
      <c r="K6" s="154">
        <f>Table_4._Residential_Sector_Key!K59/Table_21._Residential_Sector_Eq!K15*10^15/10^6</f>
        <v>158360272.67981297</v>
      </c>
      <c r="L6" s="154">
        <f>Table_4._Residential_Sector_Key!L59/Table_21._Residential_Sector_Eq!L15*10^15/10^6</f>
        <v>158813386.33705381</v>
      </c>
      <c r="M6" s="154">
        <f>Table_4._Residential_Sector_Key!M59/Table_21._Residential_Sector_Eq!M15*10^15/10^6</f>
        <v>158074613.28144473</v>
      </c>
      <c r="N6" s="154">
        <f>Table_4._Residential_Sector_Key!N59/Table_21._Residential_Sector_Eq!N15*10^15/10^6</f>
        <v>156225394.01990154</v>
      </c>
      <c r="O6" s="154">
        <f>Table_4._Residential_Sector_Key!O59/Table_21._Residential_Sector_Eq!O15*10^15/10^6</f>
        <v>154718563.36414957</v>
      </c>
      <c r="P6" s="154">
        <f>Table_4._Residential_Sector_Key!P59/Table_21._Residential_Sector_Eq!P15*10^15/10^6</f>
        <v>153137071.94177476</v>
      </c>
      <c r="Q6" s="154">
        <f>Table_4._Residential_Sector_Key!Q59/Table_21._Residential_Sector_Eq!Q15*10^15/10^6</f>
        <v>151710131.16383141</v>
      </c>
      <c r="R6" s="154">
        <f>Table_4._Residential_Sector_Key!R59/Table_21._Residential_Sector_Eq!R15*10^15/10^6</f>
        <v>150130420.04703492</v>
      </c>
      <c r="S6" s="154">
        <f>Table_4._Residential_Sector_Key!S59/Table_21._Residential_Sector_Eq!S15*10^15/10^6</f>
        <v>148747457.14003932</v>
      </c>
      <c r="T6" s="154">
        <f>Table_4._Residential_Sector_Key!T59/Table_21._Residential_Sector_Eq!T15*10^15/10^6</f>
        <v>147335559.81903884</v>
      </c>
      <c r="U6" s="154">
        <f>Table_4._Residential_Sector_Key!U59/Table_21._Residential_Sector_Eq!U15*10^15/10^6</f>
        <v>145796515.31090739</v>
      </c>
      <c r="V6" s="154">
        <f>Table_4._Residential_Sector_Key!V59/Table_21._Residential_Sector_Eq!V15*10^15/10^6</f>
        <v>144285830.92723253</v>
      </c>
      <c r="W6" s="154">
        <f>Table_4._Residential_Sector_Key!W59/Table_21._Residential_Sector_Eq!W15*10^15/10^6</f>
        <v>142918510.08052528</v>
      </c>
      <c r="X6" s="154">
        <f>Table_4._Residential_Sector_Key!X59/Table_21._Residential_Sector_Eq!X15*10^15/10^6</f>
        <v>141692598.34181678</v>
      </c>
      <c r="Y6" s="154">
        <f>Table_4._Residential_Sector_Key!Y59/Table_21._Residential_Sector_Eq!Y15*10^15/10^6</f>
        <v>140579596.70397738</v>
      </c>
      <c r="Z6" s="154">
        <f>Table_4._Residential_Sector_Key!Z59/Table_21._Residential_Sector_Eq!Z15*10^15/10^6</f>
        <v>139925754.03782132</v>
      </c>
      <c r="AA6" s="154">
        <f>Table_4._Residential_Sector_Key!AA59/Table_21._Residential_Sector_Eq!AA15*10^15/10^6</f>
        <v>138663812.9470495</v>
      </c>
      <c r="AB6" s="154">
        <f>Table_4._Residential_Sector_Key!AB59/Table_21._Residential_Sector_Eq!AB15*10^15/10^6</f>
        <v>137388698.24553862</v>
      </c>
      <c r="AC6" s="154">
        <f>Table_4._Residential_Sector_Key!AC59/Table_21._Residential_Sector_Eq!AC15*10^15/10^6</f>
        <v>136012652.430886</v>
      </c>
      <c r="AD6" s="154">
        <f>Table_4._Residential_Sector_Key!AD59/Table_21._Residential_Sector_Eq!AD15*10^15/10^6</f>
        <v>134533302.48428196</v>
      </c>
      <c r="AE6" s="154">
        <f>Table_4._Residential_Sector_Key!AE59/Table_21._Residential_Sector_Eq!AE15*10^15/10^6</f>
        <v>133275341.55956167</v>
      </c>
      <c r="AF6" s="154">
        <f>Table_4._Residential_Sector_Key!AF59/Table_21._Residential_Sector_Eq!AF15*10^15/10^6</f>
        <v>132368997.65483911</v>
      </c>
    </row>
    <row r="8" spans="1:33" x14ac:dyDescent="0.25">
      <c r="A8" s="6" t="s">
        <v>22</v>
      </c>
      <c r="B8">
        <v>2017</v>
      </c>
      <c r="C8">
        <v>2020</v>
      </c>
      <c r="D8">
        <v>2030</v>
      </c>
      <c r="E8">
        <v>2040</v>
      </c>
      <c r="F8">
        <v>2050</v>
      </c>
    </row>
    <row r="9" spans="1:33" x14ac:dyDescent="0.25">
      <c r="A9" t="s">
        <v>103</v>
      </c>
      <c r="B9">
        <f>'EIA Costs'!E48-'EIA Costs'!E10</f>
        <v>3050</v>
      </c>
      <c r="C9">
        <f>'EIA Costs'!H48-'EIA Costs'!H10</f>
        <v>2860</v>
      </c>
      <c r="D9">
        <f>'EIA Costs'!J48-'EIA Costs'!J10</f>
        <v>2910</v>
      </c>
      <c r="E9">
        <f>'EIA Costs'!L48-'EIA Costs'!L10</f>
        <v>2910</v>
      </c>
      <c r="F9">
        <f>'EIA Costs'!N48-'EIA Costs'!N10</f>
        <v>2910</v>
      </c>
    </row>
    <row r="10" spans="1:33" x14ac:dyDescent="0.25">
      <c r="A10" t="s">
        <v>104</v>
      </c>
      <c r="B10">
        <f>'EIA Costs'!E48-AVERAGE('EIA Costs'!E23:E24)</f>
        <v>975</v>
      </c>
      <c r="C10">
        <f>'EIA Costs'!H48-AVERAGE('EIA Costs'!H23:H24)</f>
        <v>975</v>
      </c>
      <c r="D10">
        <f>'EIA Costs'!J48-AVERAGE('EIA Costs'!J23:J24)</f>
        <v>925</v>
      </c>
      <c r="E10">
        <f>'EIA Costs'!L48-AVERAGE('EIA Costs'!L23:L24)</f>
        <v>925</v>
      </c>
      <c r="F10">
        <f>'EIA Costs'!N48-AVERAGE('EIA Costs'!N23:N24)</f>
        <v>925</v>
      </c>
    </row>
    <row r="11" spans="1:33" x14ac:dyDescent="0.25">
      <c r="A11" t="s">
        <v>116</v>
      </c>
      <c r="B11">
        <f>'EIA Costs'!E48-'EIA Costs'!D36</f>
        <v>400</v>
      </c>
      <c r="C11">
        <f>'EIA Costs'!H48-'EIA Costs'!F36</f>
        <v>400</v>
      </c>
      <c r="D11">
        <f>'EIA Costs'!J48-'EIA Costs'!H36</f>
        <v>350</v>
      </c>
      <c r="E11">
        <f>'EIA Costs'!L48-'EIA Costs'!J36</f>
        <v>250</v>
      </c>
      <c r="F11">
        <f>'EIA Costs'!N48-'EIA Costs'!L36</f>
        <v>150</v>
      </c>
    </row>
    <row r="13" spans="1:33" x14ac:dyDescent="0.25">
      <c r="A13" s="6" t="s">
        <v>49</v>
      </c>
      <c r="B13">
        <v>2020</v>
      </c>
      <c r="C13">
        <v>2021</v>
      </c>
      <c r="D13">
        <v>2022</v>
      </c>
      <c r="E13">
        <v>2023</v>
      </c>
      <c r="F13">
        <v>2024</v>
      </c>
      <c r="G13">
        <v>2025</v>
      </c>
      <c r="H13">
        <v>2026</v>
      </c>
      <c r="I13">
        <v>2027</v>
      </c>
      <c r="J13">
        <v>2028</v>
      </c>
      <c r="K13">
        <v>2029</v>
      </c>
      <c r="L13">
        <v>2030</v>
      </c>
      <c r="M13">
        <v>2031</v>
      </c>
      <c r="N13">
        <v>2032</v>
      </c>
      <c r="O13">
        <v>2033</v>
      </c>
      <c r="P13">
        <v>2034</v>
      </c>
      <c r="Q13">
        <v>2035</v>
      </c>
      <c r="R13">
        <v>2036</v>
      </c>
      <c r="S13">
        <v>2037</v>
      </c>
      <c r="T13">
        <v>2038</v>
      </c>
      <c r="U13">
        <v>2039</v>
      </c>
      <c r="V13">
        <v>2040</v>
      </c>
      <c r="W13">
        <v>2041</v>
      </c>
      <c r="X13">
        <v>2042</v>
      </c>
      <c r="Y13">
        <v>2043</v>
      </c>
      <c r="Z13">
        <v>2044</v>
      </c>
      <c r="AA13">
        <v>2045</v>
      </c>
      <c r="AB13">
        <v>2046</v>
      </c>
      <c r="AC13">
        <v>2047</v>
      </c>
      <c r="AD13">
        <v>2048</v>
      </c>
      <c r="AE13">
        <v>2049</v>
      </c>
      <c r="AF13">
        <v>2050</v>
      </c>
    </row>
    <row r="14" spans="1:33" x14ac:dyDescent="0.25">
      <c r="A14" t="s">
        <v>107</v>
      </c>
      <c r="B14">
        <f>(TREND($B$9:$C$9,$B$8:$C$8,B$13))*(About!$A$53)</f>
        <v>2678.8464425587467</v>
      </c>
      <c r="C14">
        <f>(TREND($C$9:$D$9,$C$8:$D$8,C$13))*(About!$A$53)</f>
        <v>2683.529740535248</v>
      </c>
      <c r="D14">
        <f>(TREND($C$9:$D$9,$C$8:$D$8,D$13))*(About!$A$53)</f>
        <v>2688.2130385117493</v>
      </c>
      <c r="E14">
        <f>(TREND($C$9:$D$9,$C$8:$D$8,E$13))*(About!$A$53)</f>
        <v>2692.8963364882507</v>
      </c>
      <c r="F14">
        <f>(TREND($C$9:$D$9,$C$8:$D$8,F$13))*(About!$A$53)</f>
        <v>2697.579634464752</v>
      </c>
      <c r="G14">
        <f>(TREND($C$9:$D$9,$C$8:$D$8,G$13))*(About!$A$53)</f>
        <v>2702.2629324412533</v>
      </c>
      <c r="H14">
        <f>(TREND($C$9:$D$9,$C$8:$D$8,H$13))*(About!$A$53)</f>
        <v>2706.9462304177546</v>
      </c>
      <c r="I14">
        <f>(TREND($C$9:$D$9,$C$8:$D$8,I$13))*(About!$A$53)</f>
        <v>2711.6295283942559</v>
      </c>
      <c r="J14">
        <f>(TREND($C$9:$D$9,$C$8:$D$8,J$13))*(About!$A$53)</f>
        <v>2716.3128263707572</v>
      </c>
      <c r="K14">
        <f>(TREND($C$9:$D$9,$C$8:$D$8,K$13))*(About!$A$53)</f>
        <v>2720.9961243472585</v>
      </c>
      <c r="L14">
        <f>(TREND($C$9:$D$9,$C$8:$D$8,L$13))*(About!$A$53)</f>
        <v>2725.6794223237598</v>
      </c>
      <c r="M14">
        <f>(TREND($D$9:$F$9,$D$8:$F$8,M$13))*(About!$A$53)</f>
        <v>2725.6794223237598</v>
      </c>
      <c r="N14">
        <f>(TREND($D$9:$F$9,$D$8:$F$8,N$13))*(About!$A$53)</f>
        <v>2725.6794223237598</v>
      </c>
      <c r="O14">
        <f>(TREND($D$9:$F$9,$D$8:$F$8,O$13))*(About!$A$53)</f>
        <v>2725.6794223237598</v>
      </c>
      <c r="P14">
        <f>(TREND($D$9:$F$9,$D$8:$F$8,P$13))*(About!$A$53)</f>
        <v>2725.6794223237598</v>
      </c>
      <c r="Q14">
        <f>(TREND($D$9:$F$9,$D$8:$F$8,Q$13))*(About!$A$53)</f>
        <v>2725.6794223237598</v>
      </c>
      <c r="R14">
        <f>(TREND($D$9:$F$9,$D$8:$F$8,R$13))*(About!$A$53)</f>
        <v>2725.6794223237598</v>
      </c>
      <c r="S14">
        <f>(TREND($D$9:$F$9,$D$8:$F$8,S$13))*(About!$A$53)</f>
        <v>2725.6794223237598</v>
      </c>
      <c r="T14">
        <f>(TREND($D$9:$F$9,$D$8:$F$8,T$13))*(About!$A$53)</f>
        <v>2725.6794223237598</v>
      </c>
      <c r="U14">
        <f>(TREND($D$9:$F$9,$D$8:$F$8,U$13))*(About!$A$53)</f>
        <v>2725.6794223237598</v>
      </c>
      <c r="V14">
        <f>(TREND($D$9:$F$9,$D$8:$F$8,V$13))*(About!$A$53)</f>
        <v>2725.6794223237598</v>
      </c>
      <c r="W14">
        <f>(TREND($D$9:$F$9,$D$8:$F$8,W$13))*(About!$A$53)</f>
        <v>2725.6794223237598</v>
      </c>
      <c r="X14">
        <f>(TREND($D$9:$F$9,$D$8:$F$8,X$13))*(About!$A$53)</f>
        <v>2725.6794223237598</v>
      </c>
      <c r="Y14">
        <f>(TREND($D$9:$F$9,$D$8:$F$8,Y$13))*(About!$A$53)</f>
        <v>2725.6794223237598</v>
      </c>
      <c r="Z14">
        <f>(TREND($D$9:$F$9,$D$8:$F$8,Z$13))*(About!$A$53)</f>
        <v>2725.6794223237598</v>
      </c>
      <c r="AA14">
        <f>(TREND($D$9:$F$9,$D$8:$F$8,AA$13))*(About!$A$53)</f>
        <v>2725.6794223237598</v>
      </c>
      <c r="AB14">
        <f>(TREND($D$9:$F$9,$D$8:$F$8,AB$13))*(About!$A$53)</f>
        <v>2725.6794223237598</v>
      </c>
      <c r="AC14">
        <f>(TREND($D$9:$F$9,$D$8:$F$8,AC$13))*(About!$A$53)</f>
        <v>2725.6794223237598</v>
      </c>
      <c r="AD14">
        <f>(TREND($D$9:$F$9,$D$8:$F$8,AD$13))*(About!$A$53)</f>
        <v>2725.6794223237598</v>
      </c>
      <c r="AE14">
        <f>(TREND($D$9:$F$9,$D$8:$F$8,AE$13))*(About!$A$53)</f>
        <v>2725.6794223237598</v>
      </c>
      <c r="AF14">
        <f>(TREND($D$9:$F$9,$D$8:$F$8,AF$13))*(About!$A$53)</f>
        <v>2725.6794223237598</v>
      </c>
    </row>
    <row r="15" spans="1:33" x14ac:dyDescent="0.25">
      <c r="A15" t="s">
        <v>108</v>
      </c>
      <c r="B15">
        <f>(TREND($B$10:$C$10,$B$8:$C$8,B$13))*(About!$A$53)</f>
        <v>913.24310541775458</v>
      </c>
      <c r="C15">
        <f>(TREND($C$10:$D$10,$C$8:$D$8,C$13))*(About!$A$53)</f>
        <v>908.55980744125327</v>
      </c>
      <c r="D15">
        <f>(TREND($C$10:$D$10,$C$8:$D$8,D$13))*(About!$A$53)</f>
        <v>903.87650946475196</v>
      </c>
      <c r="E15">
        <f>(TREND($C$10:$D$10,$C$8:$D$8,E$13))*(About!$A$53)</f>
        <v>899.19321148825065</v>
      </c>
      <c r="F15">
        <f>(TREND($C$10:$D$10,$C$8:$D$8,F$13))*(About!$A$53)</f>
        <v>894.50991351174935</v>
      </c>
      <c r="G15">
        <f>(TREND($C$10:$D$10,$C$8:$D$8,G$13))*(About!$A$53)</f>
        <v>889.82661553524804</v>
      </c>
      <c r="H15">
        <f>(TREND($C$10:$D$10,$C$8:$D$8,H$13))*(About!$A$53)</f>
        <v>885.14331755874673</v>
      </c>
      <c r="I15">
        <f>(TREND($C$10:$D$10,$C$8:$D$8,I$13))*(About!$A$53)</f>
        <v>880.46001958224542</v>
      </c>
      <c r="J15">
        <f>(TREND($C$10:$D$10,$C$8:$D$8,J$13))*(About!$A$53)</f>
        <v>875.77672160574411</v>
      </c>
      <c r="K15">
        <f>(TREND($C$10:$D$10,$C$8:$D$8,K$13))*(About!$A$53)</f>
        <v>871.09342362924281</v>
      </c>
      <c r="L15">
        <f>(TREND($C$10:$D$10,$C$8:$D$8,L$13))*(About!$A$53)</f>
        <v>866.4101256527415</v>
      </c>
      <c r="M15">
        <f>(TREND($D$10:$F$10,$D$8:$F$8,M$13))*(About!$A$53)</f>
        <v>866.4101256527415</v>
      </c>
      <c r="N15">
        <f>(TREND($D$10:$F$10,$D$8:$F$8,N$13))*(About!$A$53)</f>
        <v>866.4101256527415</v>
      </c>
      <c r="O15">
        <f>(TREND($D$10:$F$10,$D$8:$F$8,O$13))*(About!$A$53)</f>
        <v>866.4101256527415</v>
      </c>
      <c r="P15">
        <f>(TREND($D$10:$F$10,$D$8:$F$8,P$13))*(About!$A$53)</f>
        <v>866.4101256527415</v>
      </c>
      <c r="Q15">
        <f>(TREND($D$10:$F$10,$D$8:$F$8,Q$13))*(About!$A$53)</f>
        <v>866.4101256527415</v>
      </c>
      <c r="R15">
        <f>(TREND($D$10:$F$10,$D$8:$F$8,R$13))*(About!$A$53)</f>
        <v>866.4101256527415</v>
      </c>
      <c r="S15">
        <f>(TREND($D$10:$F$10,$D$8:$F$8,S$13))*(About!$A$53)</f>
        <v>866.4101256527415</v>
      </c>
      <c r="T15">
        <f>(TREND($D$10:$F$10,$D$8:$F$8,T$13))*(About!$A$53)</f>
        <v>866.4101256527415</v>
      </c>
      <c r="U15">
        <f>(TREND($D$10:$F$10,$D$8:$F$8,U$13))*(About!$A$53)</f>
        <v>866.4101256527415</v>
      </c>
      <c r="V15">
        <f>(TREND($D$10:$F$10,$D$8:$F$8,V$13))*(About!$A$53)</f>
        <v>866.4101256527415</v>
      </c>
      <c r="W15">
        <f>(TREND($D$10:$F$10,$D$8:$F$8,W$13))*(About!$A$53)</f>
        <v>866.4101256527415</v>
      </c>
      <c r="X15">
        <f>(TREND($D$10:$F$10,$D$8:$F$8,X$13))*(About!$A$53)</f>
        <v>866.4101256527415</v>
      </c>
      <c r="Y15">
        <f>(TREND($D$10:$F$10,$D$8:$F$8,Y$13))*(About!$A$53)</f>
        <v>866.4101256527415</v>
      </c>
      <c r="Z15">
        <f>(TREND($D$10:$F$10,$D$8:$F$8,Z$13))*(About!$A$53)</f>
        <v>866.4101256527415</v>
      </c>
      <c r="AA15">
        <f>(TREND($D$10:$F$10,$D$8:$F$8,AA$13))*(About!$A$53)</f>
        <v>866.4101256527415</v>
      </c>
      <c r="AB15">
        <f>(TREND($D$10:$F$10,$D$8:$F$8,AB$13))*(About!$A$53)</f>
        <v>866.4101256527415</v>
      </c>
      <c r="AC15">
        <f>(TREND($D$10:$F$10,$D$8:$F$8,AC$13))*(About!$A$53)</f>
        <v>866.4101256527415</v>
      </c>
      <c r="AD15">
        <f>(TREND($D$10:$F$10,$D$8:$F$8,AD$13))*(About!$A$53)</f>
        <v>866.4101256527415</v>
      </c>
      <c r="AE15">
        <f>(TREND($D$10:$F$10,$D$8:$F$8,AE$13))*(About!$A$53)</f>
        <v>866.4101256527415</v>
      </c>
      <c r="AF15">
        <f>(TREND($D$10:$F$10,$D$8:$F$8,AF$13))*(About!$A$53)</f>
        <v>866.4101256527415</v>
      </c>
    </row>
    <row r="16" spans="1:33" x14ac:dyDescent="0.25">
      <c r="A16" t="s">
        <v>117</v>
      </c>
      <c r="B16">
        <f>(TREND($B$11:$C$11,$B$8:$C$8,B$13))*(About!$A$53)</f>
        <v>374.66383812010446</v>
      </c>
      <c r="C16">
        <f>(TREND($C$11:$D$11,$C$8:$D$8,C$13))*(About!$A$53)</f>
        <v>369.98054014360315</v>
      </c>
      <c r="D16">
        <f>(TREND($C$11:$D$11,$C$8:$D$8,D$13))*(About!$A$53)</f>
        <v>365.29724216710184</v>
      </c>
      <c r="E16">
        <f>(TREND($C$11:$D$11,$C$8:$D$8,E$13))*(About!$A$53)</f>
        <v>360.61394419060053</v>
      </c>
      <c r="F16">
        <f>(TREND($C$11:$D$11,$C$8:$D$8,F$13))*(About!$A$53)</f>
        <v>355.93064621409923</v>
      </c>
      <c r="G16">
        <f>(TREND($C$11:$D$11,$C$8:$D$8,G$13))*(About!$A$53)</f>
        <v>351.24734823759792</v>
      </c>
      <c r="H16">
        <f>(TREND($C$11:$D$11,$C$8:$D$8,H$13))*(About!$A$53)</f>
        <v>346.56405026109661</v>
      </c>
      <c r="I16">
        <f>(TREND($C$11:$D$11,$C$8:$D$8,I$13))*(About!$A$53)</f>
        <v>341.8807522845953</v>
      </c>
      <c r="J16">
        <f>(TREND($C$11:$D$11,$C$8:$D$8,J$13))*(About!$A$53)</f>
        <v>337.197454308094</v>
      </c>
      <c r="K16">
        <f>(TREND($C$11:$D$11,$C$8:$D$8,K$13))*(About!$A$53)</f>
        <v>332.51415633159269</v>
      </c>
      <c r="L16">
        <f>(TREND($C$11:$D$11,$C$8:$D$8,L$13))*(About!$A$53)</f>
        <v>327.83085835509138</v>
      </c>
      <c r="M16">
        <f>(TREND($D$11:$F$11,$D$8:$F$8,M$13))*(About!$A$53)</f>
        <v>318.46426240208876</v>
      </c>
      <c r="N16">
        <f>(TREND($D$11:$F$11,$D$8:$F$8,N$13))*(About!$A$53)</f>
        <v>309.09766644908615</v>
      </c>
      <c r="O16">
        <f>(TREND($D$11:$F$11,$D$8:$F$8,O$13))*(About!$A$53)</f>
        <v>299.73107049608353</v>
      </c>
      <c r="P16">
        <f>(TREND($D$11:$F$11,$D$8:$F$8,P$13))*(About!$A$53)</f>
        <v>290.36447454308092</v>
      </c>
      <c r="Q16">
        <f>(TREND($D$11:$F$11,$D$8:$F$8,Q$13))*(About!$A$53)</f>
        <v>280.99787859007836</v>
      </c>
      <c r="R16">
        <f>(TREND($D$11:$F$11,$D$8:$F$8,R$13))*(About!$A$53)</f>
        <v>271.63128263707574</v>
      </c>
      <c r="S16">
        <f>(TREND($D$11:$F$11,$D$8:$F$8,S$13))*(About!$A$53)</f>
        <v>262.26468668407313</v>
      </c>
      <c r="T16">
        <f>(TREND($D$11:$F$11,$D$8:$F$8,T$13))*(About!$A$53)</f>
        <v>252.89809073107051</v>
      </c>
      <c r="U16">
        <f>(TREND($D$11:$F$11,$D$8:$F$8,U$13))*(About!$A$53)</f>
        <v>243.53149477806789</v>
      </c>
      <c r="V16">
        <f>(TREND($D$11:$F$11,$D$8:$F$8,V$13))*(About!$A$53)</f>
        <v>234.16489882506528</v>
      </c>
      <c r="W16">
        <f>(TREND($D$11:$F$11,$D$8:$F$8,W$13))*(About!$A$53)</f>
        <v>224.79830287206266</v>
      </c>
      <c r="X16">
        <f>(TREND($D$11:$F$11,$D$8:$F$8,X$13))*(About!$A$53)</f>
        <v>215.43170691906005</v>
      </c>
      <c r="Y16">
        <f>(TREND($D$11:$F$11,$D$8:$F$8,Y$13))*(About!$A$53)</f>
        <v>206.06511096605743</v>
      </c>
      <c r="Z16">
        <f>(TREND($D$11:$F$11,$D$8:$F$8,Z$13))*(About!$A$53)</f>
        <v>196.69851501305484</v>
      </c>
      <c r="AA16">
        <f>(TREND($D$11:$F$11,$D$8:$F$8,AA$13))*(About!$A$53)</f>
        <v>187.33191906005223</v>
      </c>
      <c r="AB16">
        <f>(TREND($D$11:$F$11,$D$8:$F$8,AB$13))*(About!$A$53)</f>
        <v>177.96532310704961</v>
      </c>
      <c r="AC16">
        <f>(TREND($D$11:$F$11,$D$8:$F$8,AC$13))*(About!$A$53)</f>
        <v>168.598727154047</v>
      </c>
      <c r="AD16">
        <f>(TREND($D$11:$F$11,$D$8:$F$8,AD$13))*(About!$A$53)</f>
        <v>159.23213120104438</v>
      </c>
      <c r="AE16">
        <f>(TREND($D$11:$F$11,$D$8:$F$8,AE$13))*(About!$A$53)</f>
        <v>149.86553524804177</v>
      </c>
      <c r="AF16">
        <f>(TREND($D$11:$F$11,$D$8:$F$8,AF$13))*(About!$A$53)</f>
        <v>140.49893929503918</v>
      </c>
    </row>
    <row r="18" spans="1:33" x14ac:dyDescent="0.25">
      <c r="A18" s="6" t="s">
        <v>55</v>
      </c>
      <c r="B18">
        <v>2020</v>
      </c>
      <c r="C18">
        <v>2021</v>
      </c>
      <c r="D18">
        <v>2022</v>
      </c>
      <c r="E18">
        <v>2023</v>
      </c>
      <c r="F18">
        <v>2024</v>
      </c>
      <c r="G18">
        <v>2025</v>
      </c>
      <c r="H18">
        <v>2026</v>
      </c>
      <c r="I18">
        <v>2027</v>
      </c>
      <c r="J18">
        <v>2028</v>
      </c>
      <c r="K18">
        <v>2029</v>
      </c>
      <c r="L18">
        <v>2030</v>
      </c>
      <c r="M18">
        <v>2031</v>
      </c>
      <c r="N18">
        <v>2032</v>
      </c>
      <c r="O18">
        <v>2033</v>
      </c>
      <c r="P18">
        <v>2034</v>
      </c>
      <c r="Q18">
        <v>2035</v>
      </c>
      <c r="R18">
        <v>2036</v>
      </c>
      <c r="S18">
        <v>2037</v>
      </c>
      <c r="T18">
        <v>2038</v>
      </c>
      <c r="U18">
        <v>2039</v>
      </c>
      <c r="V18">
        <v>2040</v>
      </c>
      <c r="W18">
        <v>2041</v>
      </c>
      <c r="X18">
        <v>2042</v>
      </c>
      <c r="Y18">
        <v>2043</v>
      </c>
      <c r="Z18">
        <v>2044</v>
      </c>
      <c r="AA18">
        <v>2045</v>
      </c>
      <c r="AB18">
        <v>2046</v>
      </c>
      <c r="AC18">
        <v>2047</v>
      </c>
      <c r="AD18">
        <v>2048</v>
      </c>
      <c r="AE18">
        <v>2049</v>
      </c>
      <c r="AF18">
        <v>2050</v>
      </c>
    </row>
    <row r="19" spans="1:33" x14ac:dyDescent="0.25">
      <c r="A19" t="s">
        <v>13</v>
      </c>
      <c r="C19" s="38" t="e">
        <f t="shared" ref="C19:AF19" si="0">C14/C4</f>
        <v>#DIV/0!</v>
      </c>
      <c r="D19" s="38" t="e">
        <f t="shared" si="0"/>
        <v>#DIV/0!</v>
      </c>
      <c r="E19" s="38" t="e">
        <f t="shared" si="0"/>
        <v>#DIV/0!</v>
      </c>
      <c r="F19" s="38">
        <f t="shared" si="0"/>
        <v>6.5014456000994449E-5</v>
      </c>
      <c r="G19" s="38">
        <f t="shared" si="0"/>
        <v>5.8631074831846315E-5</v>
      </c>
      <c r="H19" s="38">
        <f t="shared" si="0"/>
        <v>5.9244761017808819E-5</v>
      </c>
      <c r="I19" s="38">
        <f t="shared" si="0"/>
        <v>6.0045832321578757E-5</v>
      </c>
      <c r="J19" s="38">
        <f t="shared" si="0"/>
        <v>6.1016311643507882E-5</v>
      </c>
      <c r="K19" s="38">
        <f t="shared" si="0"/>
        <v>6.2266560688785022E-5</v>
      </c>
      <c r="L19" s="38">
        <f t="shared" si="0"/>
        <v>6.3672426716005409E-5</v>
      </c>
      <c r="M19" s="38">
        <f t="shared" si="0"/>
        <v>6.5195410014721436E-5</v>
      </c>
      <c r="N19" s="38">
        <f t="shared" si="0"/>
        <v>6.6972775805388893E-5</v>
      </c>
      <c r="O19" s="38">
        <f t="shared" si="0"/>
        <v>6.8652823452834219E-5</v>
      </c>
      <c r="P19" s="38">
        <f t="shared" si="0"/>
        <v>7.0397761493111173E-5</v>
      </c>
      <c r="Q19" s="38">
        <f t="shared" si="0"/>
        <v>7.2023018568585239E-5</v>
      </c>
      <c r="R19" s="38">
        <f t="shared" si="0"/>
        <v>7.3516736536682548E-5</v>
      </c>
      <c r="S19" s="38">
        <f t="shared" si="0"/>
        <v>7.4918856744801286E-5</v>
      </c>
      <c r="T19" s="38">
        <f t="shared" si="0"/>
        <v>7.6283067655377517E-5</v>
      </c>
      <c r="U19" s="38">
        <f t="shared" si="0"/>
        <v>7.7602517000876592E-5</v>
      </c>
      <c r="V19" s="38">
        <f t="shared" si="0"/>
        <v>7.8944345600782931E-5</v>
      </c>
      <c r="W19" s="38">
        <f t="shared" si="0"/>
        <v>8.0365205321650897E-5</v>
      </c>
      <c r="X19" s="38">
        <f t="shared" si="0"/>
        <v>8.1807335958170488E-5</v>
      </c>
      <c r="Y19" s="38">
        <f t="shared" si="0"/>
        <v>8.3248431004441108E-5</v>
      </c>
      <c r="Z19" s="38">
        <f t="shared" si="0"/>
        <v>8.4656045468350138E-5</v>
      </c>
      <c r="AA19" s="38">
        <f t="shared" si="0"/>
        <v>8.6023674136189159E-5</v>
      </c>
      <c r="AB19" s="38">
        <f t="shared" si="0"/>
        <v>8.7391609187525203E-5</v>
      </c>
      <c r="AC19" s="38">
        <f t="shared" si="0"/>
        <v>8.8759979261906477E-5</v>
      </c>
      <c r="AD19" s="38">
        <f t="shared" si="0"/>
        <v>9.0120091729788083E-5</v>
      </c>
      <c r="AE19" s="38">
        <f t="shared" si="0"/>
        <v>9.1485216392052764E-5</v>
      </c>
      <c r="AF19" s="38">
        <f t="shared" si="0"/>
        <v>9.2887523023438937E-5</v>
      </c>
    </row>
    <row r="20" spans="1:33" x14ac:dyDescent="0.25">
      <c r="A20" t="s">
        <v>14</v>
      </c>
      <c r="C20" s="38" t="e">
        <f t="shared" ref="C20:AF20" si="1">C15/C5</f>
        <v>#DIV/0!</v>
      </c>
      <c r="D20" s="38" t="e">
        <f t="shared" si="1"/>
        <v>#DIV/0!</v>
      </c>
      <c r="E20" s="38" t="e">
        <f t="shared" si="1"/>
        <v>#DIV/0!</v>
      </c>
      <c r="F20" s="38">
        <f t="shared" si="1"/>
        <v>1.1230046703185538E-5</v>
      </c>
      <c r="G20" s="38">
        <f t="shared" si="1"/>
        <v>1.0233026649076472E-5</v>
      </c>
      <c r="H20" s="38">
        <f t="shared" si="1"/>
        <v>1.0206350149176415E-5</v>
      </c>
      <c r="I20" s="38">
        <f t="shared" si="1"/>
        <v>1.0235544413358044E-5</v>
      </c>
      <c r="J20" s="38">
        <f t="shared" si="1"/>
        <v>1.029690788762136E-5</v>
      </c>
      <c r="K20" s="38">
        <f t="shared" si="1"/>
        <v>1.0368440370680754E-5</v>
      </c>
      <c r="L20" s="38">
        <f t="shared" si="1"/>
        <v>1.0440108826693544E-5</v>
      </c>
      <c r="M20" s="38">
        <f t="shared" si="1"/>
        <v>1.0545292121095811E-5</v>
      </c>
      <c r="N20" s="38">
        <f t="shared" si="1"/>
        <v>1.0632439871764883E-5</v>
      </c>
      <c r="O20" s="38">
        <f t="shared" si="1"/>
        <v>1.070575582761965E-5</v>
      </c>
      <c r="P20" s="38">
        <f t="shared" si="1"/>
        <v>1.0793390497276443E-5</v>
      </c>
      <c r="Q20" s="38">
        <f t="shared" si="1"/>
        <v>1.0883913074308E-5</v>
      </c>
      <c r="R20" s="38">
        <f t="shared" si="1"/>
        <v>1.0971503468377141E-5</v>
      </c>
      <c r="S20" s="38">
        <f t="shared" si="1"/>
        <v>1.106141060109793E-5</v>
      </c>
      <c r="T20" s="38">
        <f t="shared" si="1"/>
        <v>1.1149928184153512E-5</v>
      </c>
      <c r="U20" s="38">
        <f t="shared" si="1"/>
        <v>1.1236898384515874E-5</v>
      </c>
      <c r="V20" s="38">
        <f t="shared" si="1"/>
        <v>1.1325969790805965E-5</v>
      </c>
      <c r="W20" s="38">
        <f t="shared" si="1"/>
        <v>1.1416871450195333E-5</v>
      </c>
      <c r="X20" s="38">
        <f t="shared" si="1"/>
        <v>1.1508498639433677E-5</v>
      </c>
      <c r="Y20" s="38">
        <f t="shared" si="1"/>
        <v>1.1600203562376578E-5</v>
      </c>
      <c r="Z20" s="38">
        <f t="shared" si="1"/>
        <v>1.1701202645859132E-5</v>
      </c>
      <c r="AA20" s="38">
        <f t="shared" si="1"/>
        <v>1.1788955274874569E-5</v>
      </c>
      <c r="AB20" s="38">
        <f t="shared" si="1"/>
        <v>1.1876332202086312E-5</v>
      </c>
      <c r="AC20" s="38">
        <f t="shared" si="1"/>
        <v>1.195810044072481E-5</v>
      </c>
      <c r="AD20" s="38">
        <f t="shared" si="1"/>
        <v>1.2036816474766194E-5</v>
      </c>
      <c r="AE20" s="38">
        <f t="shared" si="1"/>
        <v>1.2114462276032789E-5</v>
      </c>
      <c r="AF20" s="38">
        <f t="shared" si="1"/>
        <v>1.2198370003467837E-5</v>
      </c>
    </row>
    <row r="21" spans="1:33" x14ac:dyDescent="0.25">
      <c r="A21" t="s">
        <v>50</v>
      </c>
      <c r="C21" s="38" t="e">
        <f t="shared" ref="C21:AF21" si="2">C16/C6</f>
        <v>#DIV/0!</v>
      </c>
      <c r="D21" s="38" t="e">
        <f t="shared" si="2"/>
        <v>#DIV/0!</v>
      </c>
      <c r="E21" s="38" t="e">
        <f t="shared" si="2"/>
        <v>#DIV/0!</v>
      </c>
      <c r="F21" s="38">
        <f t="shared" si="2"/>
        <v>2.2103756677944385E-6</v>
      </c>
      <c r="G21" s="38">
        <f t="shared" si="2"/>
        <v>2.1287218671276177E-6</v>
      </c>
      <c r="H21" s="38">
        <f t="shared" si="2"/>
        <v>2.1667540092360309E-6</v>
      </c>
      <c r="I21" s="38">
        <f t="shared" si="2"/>
        <v>2.1628073647292377E-6</v>
      </c>
      <c r="J21" s="38">
        <f t="shared" si="2"/>
        <v>2.1354157912685579E-6</v>
      </c>
      <c r="K21" s="38">
        <f t="shared" si="2"/>
        <v>2.0997321531764455E-6</v>
      </c>
      <c r="L21" s="38">
        <f t="shared" si="2"/>
        <v>2.0642520502605954E-6</v>
      </c>
      <c r="M21" s="38">
        <f t="shared" si="2"/>
        <v>2.0146452095699737E-6</v>
      </c>
      <c r="N21" s="38">
        <f t="shared" si="2"/>
        <v>1.9785366418068383E-6</v>
      </c>
      <c r="O21" s="38">
        <f t="shared" si="2"/>
        <v>1.9372663756619094E-6</v>
      </c>
      <c r="P21" s="38">
        <f t="shared" si="2"/>
        <v>1.8961083091198341E-6</v>
      </c>
      <c r="Q21" s="38">
        <f t="shared" si="2"/>
        <v>1.8522024629102022E-6</v>
      </c>
      <c r="R21" s="38">
        <f t="shared" si="2"/>
        <v>1.809302089156717E-6</v>
      </c>
      <c r="S21" s="38">
        <f t="shared" si="2"/>
        <v>1.7631540849613464E-6</v>
      </c>
      <c r="T21" s="38">
        <f t="shared" si="2"/>
        <v>1.7164769390477503E-6</v>
      </c>
      <c r="U21" s="38">
        <f t="shared" si="2"/>
        <v>1.6703519577182151E-6</v>
      </c>
      <c r="V21" s="38">
        <f t="shared" si="2"/>
        <v>1.6229237293796458E-6</v>
      </c>
      <c r="W21" s="38">
        <f t="shared" si="2"/>
        <v>1.5729124432195903E-6</v>
      </c>
      <c r="X21" s="38">
        <f t="shared" si="2"/>
        <v>1.5204160939963591E-6</v>
      </c>
      <c r="Y21" s="38">
        <f t="shared" si="2"/>
        <v>1.4658251680716857E-6</v>
      </c>
      <c r="Z21" s="38">
        <f t="shared" si="2"/>
        <v>1.4057348939487444E-6</v>
      </c>
      <c r="AA21" s="38">
        <f t="shared" si="2"/>
        <v>1.3509791421326864E-6</v>
      </c>
      <c r="AB21" s="38">
        <f t="shared" si="2"/>
        <v>1.2953417957930803E-6</v>
      </c>
      <c r="AC21" s="38">
        <f t="shared" si="2"/>
        <v>1.2395812017541486E-6</v>
      </c>
      <c r="AD21" s="38">
        <f t="shared" si="2"/>
        <v>1.1835889572371725E-6</v>
      </c>
      <c r="AE21" s="38">
        <f t="shared" si="2"/>
        <v>1.1244805940419655E-6</v>
      </c>
      <c r="AF21" s="38">
        <f t="shared" si="2"/>
        <v>1.0614187746695749E-6</v>
      </c>
    </row>
    <row r="23" spans="1:33" x14ac:dyDescent="0.25">
      <c r="A23" s="54" t="s">
        <v>66</v>
      </c>
      <c r="B23" s="54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</row>
    <row r="24" spans="1:33" x14ac:dyDescent="0.25">
      <c r="A24" s="6" t="s">
        <v>57</v>
      </c>
      <c r="B24">
        <v>2020</v>
      </c>
      <c r="C24">
        <v>2021</v>
      </c>
      <c r="D24">
        <v>2022</v>
      </c>
      <c r="E24">
        <v>2023</v>
      </c>
      <c r="F24">
        <v>2024</v>
      </c>
      <c r="G24">
        <v>2025</v>
      </c>
      <c r="H24">
        <v>2026</v>
      </c>
      <c r="I24">
        <v>2027</v>
      </c>
      <c r="J24">
        <v>2028</v>
      </c>
      <c r="K24">
        <v>2029</v>
      </c>
      <c r="L24">
        <v>2030</v>
      </c>
      <c r="M24">
        <v>2031</v>
      </c>
      <c r="N24">
        <v>2032</v>
      </c>
      <c r="O24">
        <v>2033</v>
      </c>
      <c r="P24">
        <v>2034</v>
      </c>
      <c r="Q24">
        <v>2035</v>
      </c>
      <c r="R24">
        <v>2036</v>
      </c>
      <c r="S24">
        <v>2037</v>
      </c>
      <c r="T24">
        <v>2038</v>
      </c>
      <c r="U24">
        <v>2039</v>
      </c>
      <c r="V24">
        <v>2040</v>
      </c>
      <c r="W24">
        <v>2041</v>
      </c>
      <c r="X24">
        <v>2042</v>
      </c>
      <c r="Y24">
        <v>2043</v>
      </c>
      <c r="Z24">
        <v>2044</v>
      </c>
      <c r="AA24">
        <v>2045</v>
      </c>
      <c r="AB24">
        <v>2046</v>
      </c>
      <c r="AC24">
        <v>2047</v>
      </c>
      <c r="AD24">
        <v>2048</v>
      </c>
      <c r="AE24">
        <v>2049</v>
      </c>
      <c r="AF24">
        <v>2050</v>
      </c>
    </row>
    <row r="25" spans="1:33" x14ac:dyDescent="0.25">
      <c r="A25" t="s">
        <v>13</v>
      </c>
      <c r="B25" s="38"/>
      <c r="C25" s="151">
        <v>0</v>
      </c>
      <c r="D25" s="151">
        <v>0</v>
      </c>
      <c r="E25" s="151">
        <v>0</v>
      </c>
      <c r="F25" s="154">
        <f>Table_4._Residential_Sector_Key!F43/Table_21._Residential_Sector_Eq!F27*10^15/10^6</f>
        <v>15962001.377953315</v>
      </c>
      <c r="G25" s="154">
        <f>Table_4._Residential_Sector_Key!G43/Table_21._Residential_Sector_Eq!G27*10^15/10^6</f>
        <v>15880822.432413995</v>
      </c>
      <c r="H25" s="154">
        <f>Table_4._Residential_Sector_Key!H43/Table_21._Residential_Sector_Eq!H27*10^15/10^6</f>
        <v>15822259.025745865</v>
      </c>
      <c r="I25" s="154">
        <f>Table_4._Residential_Sector_Key!I43/Table_21._Residential_Sector_Eq!I27*10^15/10^6</f>
        <v>15739686.798261911</v>
      </c>
      <c r="J25" s="154">
        <f>Table_4._Residential_Sector_Key!J43/Table_21._Residential_Sector_Eq!J27*10^15/10^6</f>
        <v>15653645.20031693</v>
      </c>
      <c r="K25" s="154">
        <f>Table_4._Residential_Sector_Key!K43/Table_21._Residential_Sector_Eq!K27*10^15/10^6</f>
        <v>15501590.039254738</v>
      </c>
      <c r="L25" s="154">
        <f>Table_4._Residential_Sector_Key!L43/Table_21._Residential_Sector_Eq!L27*10^15/10^6</f>
        <v>15338298.430250539</v>
      </c>
      <c r="M25" s="154">
        <f>Table_4._Residential_Sector_Key!M43/Table_21._Residential_Sector_Eq!M27*10^15/10^6</f>
        <v>15163531.113758396</v>
      </c>
      <c r="N25" s="154">
        <f>Table_4._Residential_Sector_Key!N43/Table_21._Residential_Sector_Eq!N27*10^15/10^6</f>
        <v>14968413.224742541</v>
      </c>
      <c r="O25" s="154">
        <f>Table_4._Residential_Sector_Key!O43/Table_21._Residential_Sector_Eq!O27*10^15/10^6</f>
        <v>14807292.07346314</v>
      </c>
      <c r="P25" s="154">
        <f>Table_4._Residential_Sector_Key!P43/Table_21._Residential_Sector_Eq!P27*10^15/10^6</f>
        <v>14684148.614572953</v>
      </c>
      <c r="Q25" s="154">
        <f>Table_4._Residential_Sector_Key!Q43/Table_21._Residential_Sector_Eq!Q27*10^15/10^6</f>
        <v>14598297.605326487</v>
      </c>
      <c r="R25" s="154">
        <f>Table_4._Residential_Sector_Key!R43/Table_21._Residential_Sector_Eq!R27*10^15/10^6</f>
        <v>14519954.310776336</v>
      </c>
      <c r="S25" s="154">
        <f>Table_4._Residential_Sector_Key!S43/Table_21._Residential_Sector_Eq!S27*10^15/10^6</f>
        <v>14452092.324738286</v>
      </c>
      <c r="T25" s="154">
        <f>Table_4._Residential_Sector_Key!T43/Table_21._Residential_Sector_Eq!T27*10^15/10^6</f>
        <v>14385661.845622407</v>
      </c>
      <c r="U25" s="154">
        <f>Table_4._Residential_Sector_Key!U43/Table_21._Residential_Sector_Eq!U27*10^15/10^6</f>
        <v>14320971.014787147</v>
      </c>
      <c r="V25" s="154">
        <f>Table_4._Residential_Sector_Key!V43/Table_21._Residential_Sector_Eq!V27*10^15/10^6</f>
        <v>14248556.327468013</v>
      </c>
      <c r="W25" s="154">
        <f>Table_4._Residential_Sector_Key!W43/Table_21._Residential_Sector_Eq!W27*10^15/10^6</f>
        <v>14157928.061797798</v>
      </c>
      <c r="X25" s="154">
        <f>Table_4._Residential_Sector_Key!X43/Table_21._Residential_Sector_Eq!X27*10^15/10^6</f>
        <v>14054879.047246587</v>
      </c>
      <c r="Y25" s="154">
        <f>Table_4._Residential_Sector_Key!Y43/Table_21._Residential_Sector_Eq!Y27*10^15/10^6</f>
        <v>13943547.841125239</v>
      </c>
      <c r="Z25" s="154">
        <f>Table_4._Residential_Sector_Key!Z43/Table_21._Residential_Sector_Eq!Z27*10^15/10^6</f>
        <v>13828726.606747519</v>
      </c>
      <c r="AA25" s="154">
        <f>Table_4._Residential_Sector_Key!AA43/Table_21._Residential_Sector_Eq!AA27*10^15/10^6</f>
        <v>13708514.232674323</v>
      </c>
      <c r="AB25" s="154">
        <f>Table_4._Residential_Sector_Key!AB43/Table_21._Residential_Sector_Eq!AB27*10^15/10^6</f>
        <v>13579912.302160459</v>
      </c>
      <c r="AC25" s="154">
        <f>Table_4._Residential_Sector_Key!AC43/Table_21._Residential_Sector_Eq!AC27*10^15/10^6</f>
        <v>13450950.481348997</v>
      </c>
      <c r="AD25" s="154">
        <f>Table_4._Residential_Sector_Key!AD43/Table_21._Residential_Sector_Eq!AD27*10^15/10^6</f>
        <v>13325977.599385738</v>
      </c>
      <c r="AE25" s="154">
        <f>Table_4._Residential_Sector_Key!AE43/Table_21._Residential_Sector_Eq!AE27*10^15/10^6</f>
        <v>13202871.33597769</v>
      </c>
      <c r="AF25" s="154">
        <f>Table_4._Residential_Sector_Key!AF43/Table_21._Residential_Sector_Eq!AF27*10^15/10^6</f>
        <v>13085100.033911949</v>
      </c>
    </row>
    <row r="26" spans="1:33" x14ac:dyDescent="0.25">
      <c r="A26" t="s">
        <v>14</v>
      </c>
      <c r="B26" s="38"/>
      <c r="C26" s="151">
        <v>0</v>
      </c>
      <c r="D26" s="151">
        <v>0</v>
      </c>
      <c r="E26" s="151">
        <v>0</v>
      </c>
      <c r="F26" s="154">
        <f>Table_4._Residential_Sector_Key!F50/Table_21._Residential_Sector_Eq!F28*10^15/10^6</f>
        <v>17296372.571079161</v>
      </c>
      <c r="G26" s="154">
        <f>Table_4._Residential_Sector_Key!G50/Table_21._Residential_Sector_Eq!G28*10^15/10^6</f>
        <v>17115287.243789807</v>
      </c>
      <c r="H26" s="154">
        <f>Table_4._Residential_Sector_Key!H50/Table_21._Residential_Sector_Eq!H28*10^15/10^6</f>
        <v>16815667.73487027</v>
      </c>
      <c r="I26" s="154">
        <f>Table_4._Residential_Sector_Key!I50/Table_21._Residential_Sector_Eq!I28*10^15/10^6</f>
        <v>16424599.151117725</v>
      </c>
      <c r="J26" s="154">
        <f>Table_4._Residential_Sector_Key!J50/Table_21._Residential_Sector_Eq!J28*10^15/10^6</f>
        <v>16010844.074810315</v>
      </c>
      <c r="K26" s="154">
        <f>Table_4._Residential_Sector_Key!K50/Table_21._Residential_Sector_Eq!K28*10^15/10^6</f>
        <v>15583548.430991363</v>
      </c>
      <c r="L26" s="154">
        <f>Table_4._Residential_Sector_Key!L50/Table_21._Residential_Sector_Eq!L28*10^15/10^6</f>
        <v>15192253.485734763</v>
      </c>
      <c r="M26" s="154">
        <f>Table_4._Residential_Sector_Key!M50/Table_21._Residential_Sector_Eq!M28*10^15/10^6</f>
        <v>14882813.491179647</v>
      </c>
      <c r="N26" s="154">
        <f>Table_4._Residential_Sector_Key!N50/Table_21._Residential_Sector_Eq!N28*10^15/10^6</f>
        <v>14653681.623737145</v>
      </c>
      <c r="O26" s="154">
        <f>Table_4._Residential_Sector_Key!O50/Table_21._Residential_Sector_Eq!O28*10^15/10^6</f>
        <v>14479182.614536863</v>
      </c>
      <c r="P26" s="154">
        <f>Table_4._Residential_Sector_Key!P50/Table_21._Residential_Sector_Eq!P28*10^15/10^6</f>
        <v>14366450.87976983</v>
      </c>
      <c r="Q26" s="154">
        <f>Table_4._Residential_Sector_Key!Q50/Table_21._Residential_Sector_Eq!Q28*10^15/10^6</f>
        <v>14314743.070755519</v>
      </c>
      <c r="R26" s="154">
        <f>Table_4._Residential_Sector_Key!R50/Table_21._Residential_Sector_Eq!R28*10^15/10^6</f>
        <v>14247109.306923069</v>
      </c>
      <c r="S26" s="154">
        <f>Table_4._Residential_Sector_Key!S50/Table_21._Residential_Sector_Eq!S28*10^15/10^6</f>
        <v>14170300.804490319</v>
      </c>
      <c r="T26" s="154">
        <f>Table_4._Residential_Sector_Key!T50/Table_21._Residential_Sector_Eq!T28*10^15/10^6</f>
        <v>14093046.243988385</v>
      </c>
      <c r="U26" s="154">
        <f>Table_4._Residential_Sector_Key!U50/Table_21._Residential_Sector_Eq!U28*10^15/10^6</f>
        <v>14012453.779719543</v>
      </c>
      <c r="V26" s="154">
        <f>Table_4._Residential_Sector_Key!V50/Table_21._Residential_Sector_Eq!V28*10^15/10^6</f>
        <v>13925312.871541156</v>
      </c>
      <c r="W26" s="154">
        <f>Table_4._Residential_Sector_Key!W50/Table_21._Residential_Sector_Eq!W28*10^15/10^6</f>
        <v>13826269.710754303</v>
      </c>
      <c r="X26" s="154">
        <f>Table_4._Residential_Sector_Key!X50/Table_21._Residential_Sector_Eq!X28*10^15/10^6</f>
        <v>13716611.778797671</v>
      </c>
      <c r="Y26" s="154">
        <f>Table_4._Residential_Sector_Key!Y50/Table_21._Residential_Sector_Eq!Y28*10^15/10^6</f>
        <v>13597425.270478006</v>
      </c>
      <c r="Z26" s="154">
        <f>Table_4._Residential_Sector_Key!Z50/Table_21._Residential_Sector_Eq!Z28*10^15/10^6</f>
        <v>13457990.973798845</v>
      </c>
      <c r="AA26" s="154">
        <f>Table_4._Residential_Sector_Key!AA50/Table_21._Residential_Sector_Eq!AA28*10^15/10^6</f>
        <v>13328339.130347259</v>
      </c>
      <c r="AB26" s="154">
        <f>Table_4._Residential_Sector_Key!AB50/Table_21._Residential_Sector_Eq!AB28*10^15/10^6</f>
        <v>13193420.173631871</v>
      </c>
      <c r="AC26" s="154">
        <f>Table_4._Residential_Sector_Key!AC50/Table_21._Residential_Sector_Eq!AC28*10^15/10^6</f>
        <v>13059120.769566208</v>
      </c>
      <c r="AD26" s="154">
        <f>Table_4._Residential_Sector_Key!AD50/Table_21._Residential_Sector_Eq!AD28*10^15/10^6</f>
        <v>12926114.918928713</v>
      </c>
      <c r="AE26" s="154">
        <f>Table_4._Residential_Sector_Key!AE50/Table_21._Residential_Sector_Eq!AE28*10^15/10^6</f>
        <v>12794462.02070608</v>
      </c>
      <c r="AF26" s="154">
        <f>Table_4._Residential_Sector_Key!AF50/Table_21._Residential_Sector_Eq!AF28*10^15/10^6</f>
        <v>12661401.529397018</v>
      </c>
    </row>
    <row r="28" spans="1:33" x14ac:dyDescent="0.25">
      <c r="A28" s="6" t="s">
        <v>22</v>
      </c>
      <c r="B28">
        <v>2017</v>
      </c>
      <c r="C28">
        <v>2020</v>
      </c>
      <c r="D28">
        <v>2030</v>
      </c>
      <c r="E28">
        <v>2040</v>
      </c>
      <c r="F28">
        <v>2050</v>
      </c>
    </row>
    <row r="29" spans="1:33" x14ac:dyDescent="0.25">
      <c r="A29" t="s">
        <v>103</v>
      </c>
      <c r="B29">
        <f>AVERAGE('EIA Costs'!D88:D89)-AVERAGE('EIA Costs'!E61:E62)</f>
        <v>150</v>
      </c>
      <c r="C29">
        <f>AVERAGE('EIA Costs'!G88:G89)-AVERAGE('EIA Costs'!H61:H62)</f>
        <v>150</v>
      </c>
      <c r="D29">
        <f>AVERAGE('EIA Costs'!I88:I89)-AVERAGE('EIA Costs'!J61:J62)</f>
        <v>150</v>
      </c>
      <c r="E29">
        <f>AVERAGE('EIA Costs'!K88:K89)-AVERAGE('EIA Costs'!L61:L62)</f>
        <v>150</v>
      </c>
      <c r="F29">
        <f>AVERAGE('EIA Costs'!M88:M89)-AVERAGE('EIA Costs'!N61:N62)</f>
        <v>150</v>
      </c>
    </row>
    <row r="30" spans="1:33" x14ac:dyDescent="0.25">
      <c r="A30" t="s">
        <v>104</v>
      </c>
      <c r="B30">
        <f>AVERAGE('EIA Costs'!D88:D89)-AVERAGE('EIA Costs'!E75:E76)</f>
        <v>-475</v>
      </c>
      <c r="C30">
        <f>AVERAGE('EIA Costs'!G88:G89)-AVERAGE('EIA Costs'!G75:G76)</f>
        <v>-475</v>
      </c>
      <c r="D30">
        <f>AVERAGE('EIA Costs'!I88:I89)-AVERAGE('EIA Costs'!I75:I76)</f>
        <v>-475</v>
      </c>
      <c r="E30">
        <f>AVERAGE('EIA Costs'!K88:K89)-AVERAGE('EIA Costs'!K75:K76)</f>
        <v>-475</v>
      </c>
      <c r="F30">
        <f>AVERAGE('EIA Costs'!M88:M89)-AVERAGE('EIA Costs'!M75:M76)</f>
        <v>-475</v>
      </c>
    </row>
    <row r="32" spans="1:33" x14ac:dyDescent="0.25">
      <c r="A32" s="6" t="s">
        <v>49</v>
      </c>
      <c r="B32">
        <v>2020</v>
      </c>
      <c r="C32">
        <v>2021</v>
      </c>
      <c r="D32">
        <v>2022</v>
      </c>
      <c r="E32">
        <v>2023</v>
      </c>
      <c r="F32">
        <v>2024</v>
      </c>
      <c r="G32">
        <v>2025</v>
      </c>
      <c r="H32">
        <v>2026</v>
      </c>
      <c r="I32">
        <v>2027</v>
      </c>
      <c r="J32">
        <v>2028</v>
      </c>
      <c r="K32">
        <v>2029</v>
      </c>
      <c r="L32">
        <v>2030</v>
      </c>
      <c r="M32">
        <v>2031</v>
      </c>
      <c r="N32">
        <v>2032</v>
      </c>
      <c r="O32">
        <v>2033</v>
      </c>
      <c r="P32">
        <v>2034</v>
      </c>
      <c r="Q32">
        <v>2035</v>
      </c>
      <c r="R32">
        <v>2036</v>
      </c>
      <c r="S32">
        <v>2037</v>
      </c>
      <c r="T32">
        <v>2038</v>
      </c>
      <c r="U32">
        <v>2039</v>
      </c>
      <c r="V32">
        <v>2040</v>
      </c>
      <c r="W32">
        <v>2041</v>
      </c>
      <c r="X32">
        <v>2042</v>
      </c>
      <c r="Y32">
        <v>2043</v>
      </c>
      <c r="Z32">
        <v>2044</v>
      </c>
      <c r="AA32">
        <v>2045</v>
      </c>
      <c r="AB32">
        <v>2046</v>
      </c>
      <c r="AC32">
        <v>2047</v>
      </c>
      <c r="AD32">
        <v>2048</v>
      </c>
      <c r="AE32">
        <v>2049</v>
      </c>
      <c r="AF32">
        <v>2050</v>
      </c>
    </row>
    <row r="33" spans="1:33" x14ac:dyDescent="0.25">
      <c r="A33" t="s">
        <v>107</v>
      </c>
      <c r="B33" s="4">
        <f>TREND($B$29:$C$29,$B$28:$C$28,B$32)</f>
        <v>150</v>
      </c>
      <c r="C33" s="4">
        <f t="shared" ref="C33:L33" si="3">TREND($C$29:$D$29,$C$28:$D$28,C$32)</f>
        <v>150</v>
      </c>
      <c r="D33" s="4">
        <f t="shared" si="3"/>
        <v>150</v>
      </c>
      <c r="E33" s="4">
        <f t="shared" si="3"/>
        <v>150</v>
      </c>
      <c r="F33" s="4">
        <f t="shared" si="3"/>
        <v>150</v>
      </c>
      <c r="G33" s="4">
        <f t="shared" si="3"/>
        <v>150</v>
      </c>
      <c r="H33" s="4">
        <f t="shared" si="3"/>
        <v>150</v>
      </c>
      <c r="I33" s="4">
        <f t="shared" si="3"/>
        <v>150</v>
      </c>
      <c r="J33" s="4">
        <f t="shared" si="3"/>
        <v>150</v>
      </c>
      <c r="K33" s="4">
        <f t="shared" si="3"/>
        <v>150</v>
      </c>
      <c r="L33" s="4">
        <f t="shared" si="3"/>
        <v>150</v>
      </c>
      <c r="M33" s="4">
        <f t="shared" ref="M33:AF33" si="4">TREND($D$29:$F$29,$D$28:$F$28,M$32)</f>
        <v>150</v>
      </c>
      <c r="N33" s="4">
        <f t="shared" si="4"/>
        <v>150</v>
      </c>
      <c r="O33" s="4">
        <f t="shared" si="4"/>
        <v>150</v>
      </c>
      <c r="P33" s="4">
        <f t="shared" si="4"/>
        <v>150</v>
      </c>
      <c r="Q33" s="4">
        <f t="shared" si="4"/>
        <v>150</v>
      </c>
      <c r="R33" s="4">
        <f t="shared" si="4"/>
        <v>150</v>
      </c>
      <c r="S33" s="4">
        <f t="shared" si="4"/>
        <v>150</v>
      </c>
      <c r="T33" s="4">
        <f t="shared" si="4"/>
        <v>150</v>
      </c>
      <c r="U33" s="4">
        <f t="shared" si="4"/>
        <v>150</v>
      </c>
      <c r="V33" s="4">
        <f t="shared" si="4"/>
        <v>150</v>
      </c>
      <c r="W33" s="4">
        <f t="shared" si="4"/>
        <v>150</v>
      </c>
      <c r="X33" s="4">
        <f t="shared" si="4"/>
        <v>150</v>
      </c>
      <c r="Y33" s="4">
        <f t="shared" si="4"/>
        <v>150</v>
      </c>
      <c r="Z33" s="4">
        <f t="shared" si="4"/>
        <v>150</v>
      </c>
      <c r="AA33" s="4">
        <f t="shared" si="4"/>
        <v>150</v>
      </c>
      <c r="AB33" s="4">
        <f t="shared" si="4"/>
        <v>150</v>
      </c>
      <c r="AC33" s="4">
        <f t="shared" si="4"/>
        <v>150</v>
      </c>
      <c r="AD33" s="4">
        <f t="shared" si="4"/>
        <v>150</v>
      </c>
      <c r="AE33" s="4">
        <f t="shared" si="4"/>
        <v>150</v>
      </c>
      <c r="AF33" s="4">
        <f t="shared" si="4"/>
        <v>150</v>
      </c>
    </row>
    <row r="34" spans="1:33" x14ac:dyDescent="0.25">
      <c r="A34" t="s">
        <v>108</v>
      </c>
      <c r="B34" s="4">
        <f>TREND($B$30:$C$30,$B$28:$C$28,B$32)</f>
        <v>-475</v>
      </c>
      <c r="C34" s="4">
        <f t="shared" ref="C34:L34" si="5">TREND($C$30:$D$30,$C$28:$D$28,C$32)</f>
        <v>-475</v>
      </c>
      <c r="D34" s="4">
        <f t="shared" si="5"/>
        <v>-475</v>
      </c>
      <c r="E34" s="4">
        <f t="shared" si="5"/>
        <v>-475</v>
      </c>
      <c r="F34" s="4">
        <f t="shared" si="5"/>
        <v>-475</v>
      </c>
      <c r="G34" s="4">
        <f t="shared" si="5"/>
        <v>-475</v>
      </c>
      <c r="H34" s="4">
        <f t="shared" si="5"/>
        <v>-475</v>
      </c>
      <c r="I34" s="4">
        <f t="shared" si="5"/>
        <v>-475</v>
      </c>
      <c r="J34" s="4">
        <f t="shared" si="5"/>
        <v>-475</v>
      </c>
      <c r="K34" s="4">
        <f t="shared" si="5"/>
        <v>-475</v>
      </c>
      <c r="L34" s="4">
        <f t="shared" si="5"/>
        <v>-475</v>
      </c>
      <c r="M34" s="4">
        <f t="shared" ref="M34:AF34" si="6">TREND($D$30:$F$30,$D$28:$F$28,M$32)</f>
        <v>-475</v>
      </c>
      <c r="N34" s="4">
        <f t="shared" si="6"/>
        <v>-475</v>
      </c>
      <c r="O34" s="4">
        <f t="shared" si="6"/>
        <v>-475</v>
      </c>
      <c r="P34" s="4">
        <f t="shared" si="6"/>
        <v>-475</v>
      </c>
      <c r="Q34" s="4">
        <f t="shared" si="6"/>
        <v>-475</v>
      </c>
      <c r="R34" s="4">
        <f t="shared" si="6"/>
        <v>-475</v>
      </c>
      <c r="S34" s="4">
        <f t="shared" si="6"/>
        <v>-475</v>
      </c>
      <c r="T34" s="4">
        <f t="shared" si="6"/>
        <v>-475</v>
      </c>
      <c r="U34" s="4">
        <f t="shared" si="6"/>
        <v>-475</v>
      </c>
      <c r="V34" s="4">
        <f t="shared" si="6"/>
        <v>-475</v>
      </c>
      <c r="W34" s="4">
        <f t="shared" si="6"/>
        <v>-475</v>
      </c>
      <c r="X34" s="4">
        <f t="shared" si="6"/>
        <v>-475</v>
      </c>
      <c r="Y34" s="4">
        <f t="shared" si="6"/>
        <v>-475</v>
      </c>
      <c r="Z34" s="4">
        <f t="shared" si="6"/>
        <v>-475</v>
      </c>
      <c r="AA34" s="4">
        <f t="shared" si="6"/>
        <v>-475</v>
      </c>
      <c r="AB34" s="4">
        <f t="shared" si="6"/>
        <v>-475</v>
      </c>
      <c r="AC34" s="4">
        <f t="shared" si="6"/>
        <v>-475</v>
      </c>
      <c r="AD34" s="4">
        <f t="shared" si="6"/>
        <v>-475</v>
      </c>
      <c r="AE34" s="4">
        <f t="shared" si="6"/>
        <v>-475</v>
      </c>
      <c r="AF34" s="4">
        <f t="shared" si="6"/>
        <v>-475</v>
      </c>
    </row>
    <row r="36" spans="1:33" x14ac:dyDescent="0.25">
      <c r="A36" s="6" t="s">
        <v>55</v>
      </c>
      <c r="B36">
        <v>2020</v>
      </c>
      <c r="C36">
        <v>2021</v>
      </c>
      <c r="D36">
        <v>2022</v>
      </c>
      <c r="E36">
        <v>2023</v>
      </c>
      <c r="F36">
        <v>2024</v>
      </c>
      <c r="G36">
        <v>2025</v>
      </c>
      <c r="H36">
        <v>2026</v>
      </c>
      <c r="I36">
        <v>2027</v>
      </c>
      <c r="J36">
        <v>2028</v>
      </c>
      <c r="K36">
        <v>2029</v>
      </c>
      <c r="L36">
        <v>2030</v>
      </c>
      <c r="M36">
        <v>2031</v>
      </c>
      <c r="N36">
        <v>2032</v>
      </c>
      <c r="O36">
        <v>2033</v>
      </c>
      <c r="P36">
        <v>2034</v>
      </c>
      <c r="Q36">
        <v>2035</v>
      </c>
      <c r="R36">
        <v>2036</v>
      </c>
      <c r="S36">
        <v>2037</v>
      </c>
      <c r="T36">
        <v>2038</v>
      </c>
      <c r="U36">
        <v>2039</v>
      </c>
      <c r="V36">
        <v>2040</v>
      </c>
      <c r="W36">
        <v>2041</v>
      </c>
      <c r="X36">
        <v>2042</v>
      </c>
      <c r="Y36">
        <v>2043</v>
      </c>
      <c r="Z36">
        <v>2044</v>
      </c>
      <c r="AA36">
        <v>2045</v>
      </c>
      <c r="AB36">
        <v>2046</v>
      </c>
      <c r="AC36">
        <v>2047</v>
      </c>
      <c r="AD36">
        <v>2048</v>
      </c>
      <c r="AE36">
        <v>2049</v>
      </c>
      <c r="AF36">
        <v>2050</v>
      </c>
    </row>
    <row r="37" spans="1:33" x14ac:dyDescent="0.25">
      <c r="A37" t="s">
        <v>13</v>
      </c>
      <c r="C37" s="38" t="e">
        <f t="shared" ref="C37:AF37" si="7">C33/C25</f>
        <v>#DIV/0!</v>
      </c>
      <c r="D37" s="38" t="e">
        <f t="shared" si="7"/>
        <v>#DIV/0!</v>
      </c>
      <c r="E37" s="38" t="e">
        <f t="shared" si="7"/>
        <v>#DIV/0!</v>
      </c>
      <c r="F37" s="38">
        <f t="shared" si="7"/>
        <v>9.3973178205071267E-6</v>
      </c>
      <c r="G37" s="38">
        <f t="shared" si="7"/>
        <v>9.4453546495072139E-6</v>
      </c>
      <c r="H37" s="38">
        <f t="shared" si="7"/>
        <v>9.4803150268189324E-6</v>
      </c>
      <c r="I37" s="38">
        <f t="shared" si="7"/>
        <v>9.5300498620191142E-6</v>
      </c>
      <c r="J37" s="38">
        <f t="shared" si="7"/>
        <v>9.5824325951225103E-6</v>
      </c>
      <c r="K37" s="38">
        <f t="shared" si="7"/>
        <v>9.6764267162371355E-6</v>
      </c>
      <c r="L37" s="38">
        <f t="shared" si="7"/>
        <v>9.7794420079978763E-6</v>
      </c>
      <c r="M37" s="38">
        <f t="shared" si="7"/>
        <v>9.8921549917815529E-6</v>
      </c>
      <c r="N37" s="38">
        <f t="shared" si="7"/>
        <v>1.0021102287051541E-5</v>
      </c>
      <c r="O37" s="38">
        <f t="shared" si="7"/>
        <v>1.0130143935556063E-5</v>
      </c>
      <c r="P37" s="38">
        <f t="shared" si="7"/>
        <v>1.0215096832453458E-5</v>
      </c>
      <c r="Q37" s="38">
        <f t="shared" si="7"/>
        <v>1.0275170712047235E-5</v>
      </c>
      <c r="R37" s="38">
        <f t="shared" si="7"/>
        <v>1.0330611019118281E-5</v>
      </c>
      <c r="S37" s="38">
        <f t="shared" si="7"/>
        <v>1.0379119966126868E-5</v>
      </c>
      <c r="T37" s="38">
        <f t="shared" si="7"/>
        <v>1.0427048933146262E-5</v>
      </c>
      <c r="U37" s="38">
        <f t="shared" si="7"/>
        <v>1.0474150100933603E-5</v>
      </c>
      <c r="V37" s="38">
        <f t="shared" si="7"/>
        <v>1.0527382322294204E-5</v>
      </c>
      <c r="W37" s="38">
        <f t="shared" si="7"/>
        <v>1.0594770600985294E-5</v>
      </c>
      <c r="X37" s="38">
        <f t="shared" si="7"/>
        <v>1.0672450434881948E-5</v>
      </c>
      <c r="Y37" s="38">
        <f t="shared" si="7"/>
        <v>1.0757663810467844E-5</v>
      </c>
      <c r="Z37" s="38">
        <f t="shared" si="7"/>
        <v>1.0846985717890305E-5</v>
      </c>
      <c r="AA37" s="38">
        <f t="shared" si="7"/>
        <v>1.094210484477407E-5</v>
      </c>
      <c r="AB37" s="38">
        <f t="shared" si="7"/>
        <v>1.1045726707390898E-5</v>
      </c>
      <c r="AC37" s="38">
        <f t="shared" si="7"/>
        <v>1.1151628296304343E-5</v>
      </c>
      <c r="AD37" s="38">
        <f t="shared" si="7"/>
        <v>1.1256209826355572E-5</v>
      </c>
      <c r="AE37" s="38">
        <f t="shared" si="7"/>
        <v>1.1361165021070192E-5</v>
      </c>
      <c r="AF37" s="38">
        <f t="shared" si="7"/>
        <v>1.1463420196349517E-5</v>
      </c>
    </row>
    <row r="38" spans="1:33" x14ac:dyDescent="0.25">
      <c r="A38" t="s">
        <v>14</v>
      </c>
      <c r="B38" s="38"/>
      <c r="C38" s="38" t="e">
        <f t="shared" ref="C38:AF38" si="8">C34/C26</f>
        <v>#DIV/0!</v>
      </c>
      <c r="D38" s="38" t="e">
        <f t="shared" si="8"/>
        <v>#DIV/0!</v>
      </c>
      <c r="E38" s="38" t="e">
        <f t="shared" si="8"/>
        <v>#DIV/0!</v>
      </c>
      <c r="F38" s="38">
        <f t="shared" si="8"/>
        <v>-2.7462405660377355E-5</v>
      </c>
      <c r="G38" s="38">
        <f t="shared" si="8"/>
        <v>-2.7752966878914129E-5</v>
      </c>
      <c r="H38" s="38">
        <f t="shared" si="8"/>
        <v>-2.824746584490387E-5</v>
      </c>
      <c r="I38" s="38">
        <f t="shared" si="8"/>
        <v>-2.8920036076964188E-5</v>
      </c>
      <c r="J38" s="38">
        <f t="shared" si="8"/>
        <v>-2.966739278582522E-5</v>
      </c>
      <c r="K38" s="38">
        <f t="shared" si="8"/>
        <v>-3.0480862693336038E-5</v>
      </c>
      <c r="L38" s="38">
        <f t="shared" si="8"/>
        <v>-3.1265934342526342E-5</v>
      </c>
      <c r="M38" s="38">
        <f t="shared" si="8"/>
        <v>-3.1916008373115099E-5</v>
      </c>
      <c r="N38" s="38">
        <f t="shared" si="8"/>
        <v>-3.2415062111801237E-5</v>
      </c>
      <c r="O38" s="38">
        <f t="shared" si="8"/>
        <v>-3.2805719262295077E-5</v>
      </c>
      <c r="P38" s="38">
        <f t="shared" si="8"/>
        <v>-3.30631416189835E-5</v>
      </c>
      <c r="Q38" s="38">
        <f t="shared" si="8"/>
        <v>-3.3182572516471292E-5</v>
      </c>
      <c r="R38" s="38">
        <f t="shared" si="8"/>
        <v>-3.3340096560442912E-5</v>
      </c>
      <c r="S38" s="38">
        <f t="shared" si="8"/>
        <v>-3.3520812758574673E-5</v>
      </c>
      <c r="T38" s="38">
        <f t="shared" si="8"/>
        <v>-3.370456548403216E-5</v>
      </c>
      <c r="U38" s="38">
        <f t="shared" si="8"/>
        <v>-3.3898416898792946E-5</v>
      </c>
      <c r="V38" s="38">
        <f t="shared" si="8"/>
        <v>-3.411054418538392E-5</v>
      </c>
      <c r="W38" s="38">
        <f t="shared" si="8"/>
        <v>-3.43548918064673E-5</v>
      </c>
      <c r="X38" s="38">
        <f t="shared" si="8"/>
        <v>-3.4629543188954797E-5</v>
      </c>
      <c r="Y38" s="38">
        <f t="shared" si="8"/>
        <v>-3.4933084061972694E-5</v>
      </c>
      <c r="Z38" s="38">
        <f t="shared" si="8"/>
        <v>-3.529501549858149E-5</v>
      </c>
      <c r="AA38" s="38">
        <f t="shared" si="8"/>
        <v>-3.5638348886131939E-5</v>
      </c>
      <c r="AB38" s="38">
        <f t="shared" si="8"/>
        <v>-3.600279485901058E-5</v>
      </c>
      <c r="AC38" s="38">
        <f t="shared" si="8"/>
        <v>-3.6373045963934243E-5</v>
      </c>
      <c r="AD38" s="38">
        <f t="shared" si="8"/>
        <v>-3.674731371174959E-5</v>
      </c>
      <c r="AE38" s="38">
        <f t="shared" si="8"/>
        <v>-3.7125437492508693E-5</v>
      </c>
      <c r="AF38" s="38">
        <f t="shared" si="8"/>
        <v>-3.7515594059405938E-5</v>
      </c>
    </row>
    <row r="40" spans="1:33" x14ac:dyDescent="0.25">
      <c r="A40" s="5" t="s">
        <v>67</v>
      </c>
      <c r="B40" s="5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</row>
    <row r="41" spans="1:33" x14ac:dyDescent="0.25">
      <c r="A41" s="54" t="s">
        <v>56</v>
      </c>
      <c r="B41" s="54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</row>
    <row r="42" spans="1:33" x14ac:dyDescent="0.25">
      <c r="A42" s="6" t="s">
        <v>99</v>
      </c>
    </row>
    <row r="43" spans="1:33" x14ac:dyDescent="0.25">
      <c r="A43" t="s">
        <v>97</v>
      </c>
      <c r="B43" s="102">
        <v>0.08</v>
      </c>
    </row>
    <row r="44" spans="1:33" x14ac:dyDescent="0.25">
      <c r="A44" t="s">
        <v>98</v>
      </c>
      <c r="B44" s="102">
        <v>0.25</v>
      </c>
    </row>
    <row r="47" spans="1:33" x14ac:dyDescent="0.25">
      <c r="A47" s="6" t="s">
        <v>100</v>
      </c>
      <c r="B47">
        <v>2015</v>
      </c>
      <c r="C47">
        <v>2017</v>
      </c>
      <c r="D47">
        <v>2020</v>
      </c>
      <c r="E47">
        <v>2030</v>
      </c>
      <c r="F47">
        <v>2040</v>
      </c>
      <c r="G47">
        <v>2050</v>
      </c>
    </row>
    <row r="48" spans="1:33" x14ac:dyDescent="0.25">
      <c r="A48" t="s">
        <v>103</v>
      </c>
      <c r="C48">
        <f>'EIA Costs'!D100/'EIA Costs'!D96</f>
        <v>5.375</v>
      </c>
      <c r="D48">
        <f>'EIA Costs'!F100/'EIA Costs'!F96</f>
        <v>5.375</v>
      </c>
      <c r="E48">
        <f>'EIA Costs'!H100/'EIA Costs'!H96</f>
        <v>5.5</v>
      </c>
      <c r="F48">
        <f>'EIA Costs'!J100/'EIA Costs'!J96</f>
        <v>5.5</v>
      </c>
      <c r="G48">
        <f>'EIA Costs'!L100/'EIA Costs'!L96</f>
        <v>5.5</v>
      </c>
    </row>
    <row r="49" spans="1:33" x14ac:dyDescent="0.25">
      <c r="A49" t="s">
        <v>104</v>
      </c>
      <c r="C49">
        <f>'EIA Costs'!D111/'EIA Costs'!D107</f>
        <v>16.5</v>
      </c>
      <c r="D49">
        <f>'EIA Costs'!F111/'EIA Costs'!F107</f>
        <v>16.5</v>
      </c>
      <c r="E49">
        <f>'EIA Costs'!G111/'EIA Costs'!G107</f>
        <v>16.5</v>
      </c>
      <c r="F49">
        <f>'EIA Costs'!H111/'EIA Costs'!H107</f>
        <v>16.5</v>
      </c>
      <c r="G49">
        <f>'EIA Costs'!I111/'EIA Costs'!I107</f>
        <v>16.5</v>
      </c>
    </row>
    <row r="50" spans="1:33" x14ac:dyDescent="0.25">
      <c r="A50" t="s">
        <v>102</v>
      </c>
      <c r="B50" s="37">
        <f>'NREL EF Table 22'!D5</f>
        <v>96</v>
      </c>
      <c r="C50" s="103"/>
      <c r="D50" s="89">
        <f>'NREL EF Table 22'!D11</f>
        <v>85</v>
      </c>
      <c r="E50" s="89">
        <f>'NREL EF Table 22'!D17</f>
        <v>73</v>
      </c>
      <c r="F50" s="89">
        <f>'NREL EF Table 22'!D23</f>
        <v>65</v>
      </c>
      <c r="G50" s="89">
        <f>'NREL EF Table 22'!D29</f>
        <v>60.296369222717402</v>
      </c>
    </row>
    <row r="52" spans="1:33" x14ac:dyDescent="0.25">
      <c r="A52" s="6" t="s">
        <v>101</v>
      </c>
      <c r="B52">
        <v>2020</v>
      </c>
      <c r="C52">
        <v>2021</v>
      </c>
      <c r="D52">
        <v>2022</v>
      </c>
      <c r="E52">
        <v>2023</v>
      </c>
      <c r="F52">
        <v>2024</v>
      </c>
      <c r="G52">
        <v>2025</v>
      </c>
      <c r="H52">
        <v>2026</v>
      </c>
      <c r="I52">
        <v>2027</v>
      </c>
      <c r="J52">
        <v>2028</v>
      </c>
      <c r="K52">
        <v>2029</v>
      </c>
      <c r="L52">
        <v>2030</v>
      </c>
      <c r="M52">
        <v>2031</v>
      </c>
      <c r="N52">
        <v>2032</v>
      </c>
      <c r="O52">
        <v>2033</v>
      </c>
      <c r="P52">
        <v>2034</v>
      </c>
      <c r="Q52">
        <v>2035</v>
      </c>
      <c r="R52">
        <v>2036</v>
      </c>
      <c r="S52">
        <v>2037</v>
      </c>
      <c r="T52">
        <v>2038</v>
      </c>
      <c r="U52">
        <v>2039</v>
      </c>
      <c r="V52">
        <v>2040</v>
      </c>
      <c r="W52">
        <v>2041</v>
      </c>
      <c r="X52">
        <v>2042</v>
      </c>
      <c r="Y52">
        <v>2043</v>
      </c>
      <c r="Z52">
        <v>2044</v>
      </c>
      <c r="AA52">
        <v>2045</v>
      </c>
      <c r="AB52">
        <v>2046</v>
      </c>
      <c r="AC52">
        <v>2047</v>
      </c>
      <c r="AD52">
        <v>2048</v>
      </c>
      <c r="AE52">
        <v>2049</v>
      </c>
      <c r="AF52">
        <v>2050</v>
      </c>
    </row>
    <row r="53" spans="1:33" x14ac:dyDescent="0.25">
      <c r="A53" t="s">
        <v>107</v>
      </c>
      <c r="B53">
        <f>(TREND($C$48:$D$48,$C$47:$D$47,B$32))*(About!$A$53)</f>
        <v>5.0345453247389038</v>
      </c>
      <c r="C53">
        <f>(TREND($D$48:$E$48,$D$47:$E$47,C$32))*(About!$A$53)</f>
        <v>5.0462535696801591</v>
      </c>
      <c r="D53">
        <f>(TREND($D$48:$E$48,$D$47:$E$47,D$32))*(About!$A$53)</f>
        <v>5.0579618146214118</v>
      </c>
      <c r="E53">
        <f>(TREND($D$48:$E$48,$D$47:$E$47,E$32))*(About!$A$53)</f>
        <v>5.0696700595626645</v>
      </c>
      <c r="F53">
        <f>(TREND($D$48:$E$48,$D$47:$E$47,F$32))*(About!$A$53)</f>
        <v>5.0813783045039171</v>
      </c>
      <c r="G53">
        <f>(TREND($D$48:$E$48,$D$47:$E$47,G$32))*(About!$A$53)</f>
        <v>5.0930865494451698</v>
      </c>
      <c r="H53">
        <f>(TREND($D$48:$E$48,$D$47:$E$47,H$32))*(About!$A$53)</f>
        <v>5.104794794386426</v>
      </c>
      <c r="I53">
        <f>(TREND($D$48:$E$48,$D$47:$E$47,I$32))*(About!$A$53)</f>
        <v>5.1165030393276787</v>
      </c>
      <c r="J53">
        <f>(TREND($D$48:$E$48,$D$47:$E$47,J$32))*(About!$A$53)</f>
        <v>5.1282112842689305</v>
      </c>
      <c r="K53">
        <f>(TREND($D$48:$E$48,$D$47:$E$47,K$32))*(About!$A$53)</f>
        <v>5.1399195292101831</v>
      </c>
      <c r="L53">
        <f>(TREND($D$48:$E$48,$D$47:$E$47,L$32))*(About!$A$53)</f>
        <v>5.1516277741514358</v>
      </c>
      <c r="M53">
        <f>(TREND($E$48:$G$48,$E$47:$G$47,M$32))*(About!$A$53)</f>
        <v>5.1516277741514358</v>
      </c>
      <c r="N53">
        <f>(TREND($E$48:$G$48,$E$47:$G$47,N$32))*(About!$A$53)</f>
        <v>5.1516277741514358</v>
      </c>
      <c r="O53">
        <f>(TREND($E$48:$G$48,$E$47:$G$47,O$32))*(About!$A$53)</f>
        <v>5.1516277741514358</v>
      </c>
      <c r="P53">
        <f>(TREND($E$48:$G$48,$E$47:$G$47,P$32))*(About!$A$53)</f>
        <v>5.1516277741514358</v>
      </c>
      <c r="Q53">
        <f>(TREND($E$48:$G$48,$E$47:$G$47,Q$32))*(About!$A$53)</f>
        <v>5.1516277741514358</v>
      </c>
      <c r="R53">
        <f>(TREND($E$48:$G$48,$E$47:$G$47,R$32))*(About!$A$53)</f>
        <v>5.1516277741514358</v>
      </c>
      <c r="S53">
        <f>(TREND($E$48:$G$48,$E$47:$G$47,S$32))*(About!$A$53)</f>
        <v>5.1516277741514358</v>
      </c>
      <c r="T53">
        <f>(TREND($E$48:$G$48,$E$47:$G$47,T$32))*(About!$A$53)</f>
        <v>5.1516277741514358</v>
      </c>
      <c r="U53">
        <f>(TREND($E$48:$G$48,$E$47:$G$47,U$32))*(About!$A$53)</f>
        <v>5.1516277741514358</v>
      </c>
      <c r="V53">
        <f>(TREND($E$48:$G$48,$E$47:$G$47,V$32))*(About!$A$53)</f>
        <v>5.1516277741514358</v>
      </c>
      <c r="W53">
        <f>(TREND($E$48:$G$48,$E$47:$G$47,W$32))*(About!$A$53)</f>
        <v>5.1516277741514358</v>
      </c>
      <c r="X53">
        <f>(TREND($E$48:$G$48,$E$47:$G$47,X$32))*(About!$A$53)</f>
        <v>5.1516277741514358</v>
      </c>
      <c r="Y53">
        <f>(TREND($E$48:$G$48,$E$47:$G$47,Y$32))*(About!$A$53)</f>
        <v>5.1516277741514358</v>
      </c>
      <c r="Z53">
        <f>(TREND($E$48:$G$48,$E$47:$G$47,Z$32))*(About!$A$53)</f>
        <v>5.1516277741514358</v>
      </c>
      <c r="AA53">
        <f>(TREND($E$48:$G$48,$E$47:$G$47,AA$32))*(About!$A$53)</f>
        <v>5.1516277741514358</v>
      </c>
      <c r="AB53">
        <f>(TREND($E$48:$G$48,$E$47:$G$47,AB$32))*(About!$A$53)</f>
        <v>5.1516277741514358</v>
      </c>
      <c r="AC53">
        <f>(TREND($E$48:$G$48,$E$47:$G$47,AC$32))*(About!$A$53)</f>
        <v>5.1516277741514358</v>
      </c>
      <c r="AD53">
        <f>(TREND($E$48:$G$48,$E$47:$G$47,AD$32))*(About!$A$53)</f>
        <v>5.1516277741514358</v>
      </c>
      <c r="AE53">
        <f>(TREND($E$48:$G$48,$E$47:$G$47,AE$32))*(About!$A$53)</f>
        <v>5.1516277741514358</v>
      </c>
      <c r="AF53">
        <f>(TREND($E$48:$G$48,$E$47:$G$47,AF$32))*(About!$A$53)</f>
        <v>5.1516277741514358</v>
      </c>
    </row>
    <row r="54" spans="1:33" x14ac:dyDescent="0.25">
      <c r="A54" t="s">
        <v>108</v>
      </c>
      <c r="B54">
        <f>(TREND($C$49:$D$49,$C$47:$D$47,B$32))*(About!$A$53)</f>
        <v>15.454883322454307</v>
      </c>
      <c r="C54">
        <f>(TREND($D$49:$E$49,$D$47:$E$47,C$32))*(About!$A$53)</f>
        <v>15.454883322454307</v>
      </c>
      <c r="D54">
        <f>(TREND($D$49:$E$49,$D$47:$E$47,D$32))*(About!$A$53)</f>
        <v>15.454883322454307</v>
      </c>
      <c r="E54">
        <f>(TREND($D$49:$E$49,$D$47:$E$47,E$32))*(About!$A$53)</f>
        <v>15.454883322454307</v>
      </c>
      <c r="F54">
        <f>(TREND($D$49:$E$49,$D$47:$E$47,F$32))*(About!$A$53)</f>
        <v>15.454883322454307</v>
      </c>
      <c r="G54">
        <f>(TREND($D$49:$E$49,$D$47:$E$47,G$32))*(About!$A$53)</f>
        <v>15.454883322454307</v>
      </c>
      <c r="H54">
        <f>(TREND($D$49:$E$49,$D$47:$E$47,H$32))*(About!$A$53)</f>
        <v>15.454883322454307</v>
      </c>
      <c r="I54">
        <f>(TREND($D$49:$E$49,$D$47:$E$47,I$32))*(About!$A$53)</f>
        <v>15.454883322454307</v>
      </c>
      <c r="J54">
        <f>(TREND($D$49:$E$49,$D$47:$E$47,J$32))*(About!$A$53)</f>
        <v>15.454883322454307</v>
      </c>
      <c r="K54">
        <f>(TREND($D$49:$E$49,$D$47:$E$47,K$32))*(About!$A$53)</f>
        <v>15.454883322454307</v>
      </c>
      <c r="L54">
        <f>(TREND($D$49:$E$49,$D$47:$E$47,L$32))*(About!$A$53)</f>
        <v>15.454883322454307</v>
      </c>
      <c r="M54">
        <f>(TREND($E$49:$G$49,$E$47:$G$47,M$32))*(About!$A$53)</f>
        <v>15.454883322454307</v>
      </c>
      <c r="N54">
        <f>(TREND($E$49:$G$49,$E$47:$G$47,N$32))*(About!$A$53)</f>
        <v>15.454883322454307</v>
      </c>
      <c r="O54">
        <f>(TREND($E$49:$G$49,$E$47:$G$47,O$32))*(About!$A$53)</f>
        <v>15.454883322454307</v>
      </c>
      <c r="P54">
        <f>(TREND($E$49:$G$49,$E$47:$G$47,P$32))*(About!$A$53)</f>
        <v>15.454883322454307</v>
      </c>
      <c r="Q54">
        <f>(TREND($E$49:$G$49,$E$47:$G$47,Q$32))*(About!$A$53)</f>
        <v>15.454883322454307</v>
      </c>
      <c r="R54">
        <f>(TREND($E$49:$G$49,$E$47:$G$47,R$32))*(About!$A$53)</f>
        <v>15.454883322454307</v>
      </c>
      <c r="S54">
        <f>(TREND($E$49:$G$49,$E$47:$G$47,S$32))*(About!$A$53)</f>
        <v>15.454883322454307</v>
      </c>
      <c r="T54">
        <f>(TREND($E$49:$G$49,$E$47:$G$47,T$32))*(About!$A$53)</f>
        <v>15.454883322454307</v>
      </c>
      <c r="U54">
        <f>(TREND($E$49:$G$49,$E$47:$G$47,U$32))*(About!$A$53)</f>
        <v>15.454883322454307</v>
      </c>
      <c r="V54">
        <f>(TREND($E$49:$G$49,$E$47:$G$47,V$32))*(About!$A$53)</f>
        <v>15.454883322454307</v>
      </c>
      <c r="W54">
        <f>(TREND($E$49:$G$49,$E$47:$G$47,W$32))*(About!$A$53)</f>
        <v>15.454883322454307</v>
      </c>
      <c r="X54">
        <f>(TREND($E$49:$G$49,$E$47:$G$47,X$32))*(About!$A$53)</f>
        <v>15.454883322454307</v>
      </c>
      <c r="Y54">
        <f>(TREND($E$49:$G$49,$E$47:$G$47,Y$32))*(About!$A$53)</f>
        <v>15.454883322454307</v>
      </c>
      <c r="Z54">
        <f>(TREND($E$49:$G$49,$E$47:$G$47,Z$32))*(About!$A$53)</f>
        <v>15.454883322454307</v>
      </c>
      <c r="AA54">
        <f>(TREND($E$49:$G$49,$E$47:$G$47,AA$32))*(About!$A$53)</f>
        <v>15.454883322454307</v>
      </c>
      <c r="AB54">
        <f>(TREND($E$49:$G$49,$E$47:$G$47,AB$32))*(About!$A$53)</f>
        <v>15.454883322454307</v>
      </c>
      <c r="AC54">
        <f>(TREND($E$49:$G$49,$E$47:$G$47,AC$32))*(About!$A$53)</f>
        <v>15.454883322454307</v>
      </c>
      <c r="AD54">
        <f>(TREND($E$49:$G$49,$E$47:$G$47,AD$32))*(About!$A$53)</f>
        <v>15.454883322454307</v>
      </c>
      <c r="AE54">
        <f>(TREND($E$49:$G$49,$E$47:$G$47,AE$32))*(About!$A$53)</f>
        <v>15.454883322454307</v>
      </c>
      <c r="AF54">
        <f>(TREND($E$49:$G$49,$E$47:$G$47,AF$32))*(About!$A$53)</f>
        <v>15.454883322454307</v>
      </c>
    </row>
    <row r="55" spans="1:33" x14ac:dyDescent="0.25">
      <c r="A55" t="s">
        <v>109</v>
      </c>
      <c r="B55">
        <f>(TREND($D$50:$E$50,$D$47:$E$47,B$32))*(About!$A$55)</f>
        <v>81.312170061706524</v>
      </c>
      <c r="C55">
        <f>(TREND($D$50:$E$50,$D$47:$E$47,C$32))*(About!$A$55)</f>
        <v>80.164233543188487</v>
      </c>
      <c r="D55">
        <f>(TREND($D$50:$E$50,$D$47:$E$47,D$32))*(About!$A$55)</f>
        <v>79.016297024670024</v>
      </c>
      <c r="E55">
        <f>(TREND($D$50:$E$50,$D$47:$E$47,E$32))*(About!$A$55)</f>
        <v>77.868360506151987</v>
      </c>
      <c r="F55">
        <f>(TREND($D$50:$E$50,$D$47:$E$47,F$32))*(About!$A$55)</f>
        <v>76.72042398763395</v>
      </c>
      <c r="G55">
        <f>(TREND($D$50:$E$50,$D$47:$E$47,G$32))*(About!$A$55)</f>
        <v>75.572487469115472</v>
      </c>
      <c r="H55">
        <f>(TREND($D$50:$E$50,$D$47:$E$47,H$32))*(About!$A$55)</f>
        <v>74.42455095059745</v>
      </c>
      <c r="I55">
        <f>(TREND($D$50:$E$50,$D$47:$E$47,I$32))*(About!$A$55)</f>
        <v>73.276614432078972</v>
      </c>
      <c r="J55">
        <f>(TREND($D$50:$E$50,$D$47:$E$47,J$32))*(About!$A$55)</f>
        <v>72.128677913560935</v>
      </c>
      <c r="K55">
        <f>(TREND($D$50:$E$50,$D$47:$E$47,K$32))*(About!$A$55)</f>
        <v>70.980741395042898</v>
      </c>
      <c r="L55">
        <f>(TREND($D$50:$E$50,$D$47:$E$47,L$32))*(About!$A$55)</f>
        <v>69.832804876524435</v>
      </c>
      <c r="M55">
        <f>(TREND($E$50:$G$50,$E$47:$G$47,M$32))*(About!$A$55)</f>
        <v>68.699622777166127</v>
      </c>
      <c r="N55">
        <f>(TREND($E$50:$G$50,$E$47:$G$47,N$32))*(About!$A$55)</f>
        <v>68.091999373540531</v>
      </c>
      <c r="O55">
        <f>(TREND($E$50:$G$50,$E$47:$G$47,O$32))*(About!$A$55)</f>
        <v>67.484375969914936</v>
      </c>
      <c r="P55">
        <f>(TREND($E$50:$G$50,$E$47:$G$47,P$32))*(About!$A$55)</f>
        <v>66.876752566289341</v>
      </c>
      <c r="Q55">
        <f>(TREND($E$50:$G$50,$E$47:$G$47,Q$32))*(About!$A$55)</f>
        <v>66.269129162663745</v>
      </c>
      <c r="R55">
        <f>(TREND($E$50:$G$50,$E$47:$G$47,R$32))*(About!$A$55)</f>
        <v>65.66150575903815</v>
      </c>
      <c r="S55">
        <f>(TREND($E$50:$G$50,$E$47:$G$47,S$32))*(About!$A$55)</f>
        <v>65.053882355412554</v>
      </c>
      <c r="T55">
        <f>(TREND($E$50:$G$50,$E$47:$G$47,T$32))*(About!$A$55)</f>
        <v>64.446258951786959</v>
      </c>
      <c r="U55">
        <f>(TREND($E$50:$G$50,$E$47:$G$47,U$32))*(About!$A$55)</f>
        <v>63.838635548161371</v>
      </c>
      <c r="V55">
        <f>(TREND($E$50:$G$50,$E$47:$G$47,V$32))*(About!$A$55)</f>
        <v>63.231012144535555</v>
      </c>
      <c r="W55">
        <f>(TREND($E$50:$G$50,$E$47:$G$47,W$32))*(About!$A$55)</f>
        <v>62.623388740909959</v>
      </c>
      <c r="X55">
        <f>(TREND($E$50:$G$50,$E$47:$G$47,X$32))*(About!$A$55)</f>
        <v>62.015765337284364</v>
      </c>
      <c r="Y55">
        <f>(TREND($E$50:$G$50,$E$47:$G$47,Y$32))*(About!$A$55)</f>
        <v>61.408141933658769</v>
      </c>
      <c r="Z55">
        <f>(TREND($E$50:$G$50,$E$47:$G$47,Z$32))*(About!$A$55)</f>
        <v>60.80051853003318</v>
      </c>
      <c r="AA55">
        <f>(TREND($E$50:$G$50,$E$47:$G$47,AA$32))*(About!$A$55)</f>
        <v>60.192895126407585</v>
      </c>
      <c r="AB55">
        <f>(TREND($E$50:$G$50,$E$47:$G$47,AB$32))*(About!$A$55)</f>
        <v>59.585271722781989</v>
      </c>
      <c r="AC55">
        <f>(TREND($E$50:$G$50,$E$47:$G$47,AC$32))*(About!$A$55)</f>
        <v>58.977648319156394</v>
      </c>
      <c r="AD55">
        <f>(TREND($E$50:$G$50,$E$47:$G$47,AD$32))*(About!$A$55)</f>
        <v>58.370024915530799</v>
      </c>
      <c r="AE55">
        <f>(TREND($E$50:$G$50,$E$47:$G$47,AE$32))*(About!$A$55)</f>
        <v>57.762401511905203</v>
      </c>
      <c r="AF55">
        <f>(TREND($E$50:$G$50,$E$47:$G$47,AF$32))*(About!$A$55)</f>
        <v>57.154778108279608</v>
      </c>
    </row>
    <row r="57" spans="1:33" x14ac:dyDescent="0.25">
      <c r="A57" s="6" t="s">
        <v>84</v>
      </c>
      <c r="B57">
        <v>2020</v>
      </c>
      <c r="C57">
        <v>2021</v>
      </c>
      <c r="D57">
        <v>2022</v>
      </c>
      <c r="E57">
        <v>2023</v>
      </c>
      <c r="F57">
        <v>2024</v>
      </c>
      <c r="G57">
        <v>2025</v>
      </c>
      <c r="H57">
        <v>2026</v>
      </c>
      <c r="I57">
        <v>2027</v>
      </c>
      <c r="J57">
        <v>2028</v>
      </c>
      <c r="K57">
        <v>2029</v>
      </c>
      <c r="L57">
        <v>2030</v>
      </c>
      <c r="M57">
        <v>2031</v>
      </c>
      <c r="N57">
        <v>2032</v>
      </c>
      <c r="O57">
        <v>2033</v>
      </c>
      <c r="P57">
        <v>2034</v>
      </c>
      <c r="Q57">
        <v>2035</v>
      </c>
      <c r="R57">
        <v>2036</v>
      </c>
      <c r="S57">
        <v>2037</v>
      </c>
      <c r="T57">
        <v>2038</v>
      </c>
      <c r="U57">
        <v>2039</v>
      </c>
      <c r="V57">
        <v>2040</v>
      </c>
      <c r="W57">
        <v>2041</v>
      </c>
      <c r="X57">
        <v>2042</v>
      </c>
      <c r="Y57">
        <v>2043</v>
      </c>
      <c r="Z57">
        <v>2044</v>
      </c>
      <c r="AA57">
        <v>2045</v>
      </c>
      <c r="AB57">
        <v>2046</v>
      </c>
      <c r="AC57">
        <v>2047</v>
      </c>
      <c r="AD57">
        <v>2048</v>
      </c>
      <c r="AE57">
        <v>2049</v>
      </c>
      <c r="AF57">
        <v>2050</v>
      </c>
    </row>
    <row r="58" spans="1:33" x14ac:dyDescent="0.25">
      <c r="A58" t="s">
        <v>13</v>
      </c>
      <c r="B58" s="38">
        <f t="shared" ref="B58:AF58" si="9">(B55-B53)/(8760*10^3*$B$43)</f>
        <v>1.0884364260412047E-4</v>
      </c>
      <c r="C58" s="38">
        <f t="shared" si="9"/>
        <v>1.0718889836402444E-4</v>
      </c>
      <c r="D58" s="38">
        <f t="shared" si="9"/>
        <v>1.0553415412392782E-4</v>
      </c>
      <c r="E58" s="38">
        <f t="shared" si="9"/>
        <v>1.0387940988383179E-4</v>
      </c>
      <c r="F58" s="38">
        <f t="shared" si="9"/>
        <v>1.0222466564373579E-4</v>
      </c>
      <c r="G58" s="38">
        <f t="shared" si="9"/>
        <v>1.0056992140363913E-4</v>
      </c>
      <c r="H58" s="38">
        <f t="shared" si="9"/>
        <v>9.8915177163543138E-5</v>
      </c>
      <c r="I58" s="38">
        <f t="shared" si="9"/>
        <v>9.7260432923446482E-5</v>
      </c>
      <c r="J58" s="38">
        <f t="shared" si="9"/>
        <v>9.5605688683350463E-5</v>
      </c>
      <c r="K58" s="38">
        <f t="shared" si="9"/>
        <v>9.3950944443254431E-5</v>
      </c>
      <c r="L58" s="38">
        <f t="shared" si="9"/>
        <v>9.2296200203157816E-5</v>
      </c>
      <c r="M58" s="38">
        <f t="shared" si="9"/>
        <v>9.0679216613890823E-5</v>
      </c>
      <c r="N58" s="38">
        <f t="shared" si="9"/>
        <v>8.9812174085886264E-5</v>
      </c>
      <c r="O58" s="38">
        <f t="shared" si="9"/>
        <v>8.8945131557881704E-5</v>
      </c>
      <c r="P58" s="38">
        <f t="shared" si="9"/>
        <v>8.8078089029877145E-5</v>
      </c>
      <c r="Q58" s="38">
        <f t="shared" si="9"/>
        <v>8.7211046501872586E-5</v>
      </c>
      <c r="R58" s="38">
        <f t="shared" si="9"/>
        <v>8.6344003973868027E-5</v>
      </c>
      <c r="S58" s="38">
        <f t="shared" si="9"/>
        <v>8.5476961445863468E-5</v>
      </c>
      <c r="T58" s="38">
        <f t="shared" si="9"/>
        <v>8.4609918917858909E-5</v>
      </c>
      <c r="U58" s="38">
        <f t="shared" si="9"/>
        <v>8.3742876389854363E-5</v>
      </c>
      <c r="V58" s="38">
        <f t="shared" si="9"/>
        <v>8.2875833861849478E-5</v>
      </c>
      <c r="W58" s="38">
        <f t="shared" si="9"/>
        <v>8.2008791333844919E-5</v>
      </c>
      <c r="X58" s="38">
        <f t="shared" si="9"/>
        <v>8.114174880584036E-5</v>
      </c>
      <c r="Y58" s="38">
        <f t="shared" si="9"/>
        <v>8.0274706277835801E-5</v>
      </c>
      <c r="Z58" s="38">
        <f t="shared" si="9"/>
        <v>7.9407663749831255E-5</v>
      </c>
      <c r="AA58" s="38">
        <f t="shared" si="9"/>
        <v>7.8540621221826696E-5</v>
      </c>
      <c r="AB58" s="38">
        <f t="shared" si="9"/>
        <v>7.7673578693822137E-5</v>
      </c>
      <c r="AC58" s="38">
        <f t="shared" si="9"/>
        <v>7.6806536165817578E-5</v>
      </c>
      <c r="AD58" s="38">
        <f t="shared" si="9"/>
        <v>7.5939493637813019E-5</v>
      </c>
      <c r="AE58" s="38">
        <f t="shared" si="9"/>
        <v>7.5072451109808459E-5</v>
      </c>
      <c r="AF58" s="38">
        <f t="shared" si="9"/>
        <v>7.42054085818039E-5</v>
      </c>
    </row>
    <row r="59" spans="1:33" x14ac:dyDescent="0.25">
      <c r="A59" t="s">
        <v>14</v>
      </c>
      <c r="B59" s="38">
        <f t="shared" ref="B59:AF59" si="10">(B55-B54)/(8760*10^3*$B$43)</f>
        <v>9.3974438840257161E-5</v>
      </c>
      <c r="C59" s="38">
        <f t="shared" si="10"/>
        <v>9.2336401570682338E-5</v>
      </c>
      <c r="D59" s="38">
        <f t="shared" si="10"/>
        <v>9.0698364301106905E-5</v>
      </c>
      <c r="E59" s="38">
        <f t="shared" si="10"/>
        <v>8.9060327031532081E-5</v>
      </c>
      <c r="F59" s="38">
        <f t="shared" si="10"/>
        <v>8.7422289761957258E-5</v>
      </c>
      <c r="G59" s="38">
        <f t="shared" si="10"/>
        <v>8.5784252492381797E-5</v>
      </c>
      <c r="H59" s="38">
        <f t="shared" si="10"/>
        <v>8.4146215222807001E-5</v>
      </c>
      <c r="I59" s="38">
        <f t="shared" si="10"/>
        <v>8.250817795323154E-5</v>
      </c>
      <c r="J59" s="38">
        <f t="shared" si="10"/>
        <v>8.0870140683656717E-5</v>
      </c>
      <c r="K59" s="38">
        <f t="shared" si="10"/>
        <v>7.9232103414081893E-5</v>
      </c>
      <c r="L59" s="38">
        <f t="shared" si="10"/>
        <v>7.759406614450646E-5</v>
      </c>
      <c r="M59" s="38">
        <f t="shared" si="10"/>
        <v>7.5977082555239467E-5</v>
      </c>
      <c r="N59" s="38">
        <f t="shared" si="10"/>
        <v>7.5110040027234908E-5</v>
      </c>
      <c r="O59" s="38">
        <f t="shared" si="10"/>
        <v>7.4242997499230349E-5</v>
      </c>
      <c r="P59" s="38">
        <f t="shared" si="10"/>
        <v>7.337595497122579E-5</v>
      </c>
      <c r="Q59" s="38">
        <f t="shared" si="10"/>
        <v>7.2508912443221231E-5</v>
      </c>
      <c r="R59" s="38">
        <f t="shared" si="10"/>
        <v>7.1641869915216671E-5</v>
      </c>
      <c r="S59" s="38">
        <f t="shared" si="10"/>
        <v>7.0774827387212112E-5</v>
      </c>
      <c r="T59" s="38">
        <f t="shared" si="10"/>
        <v>6.9907784859207553E-5</v>
      </c>
      <c r="U59" s="38">
        <f t="shared" si="10"/>
        <v>6.9040742331203007E-5</v>
      </c>
      <c r="V59" s="38">
        <f t="shared" si="10"/>
        <v>6.8173699803198123E-5</v>
      </c>
      <c r="W59" s="38">
        <f t="shared" si="10"/>
        <v>6.7306657275193564E-5</v>
      </c>
      <c r="X59" s="38">
        <f t="shared" si="10"/>
        <v>6.6439614747189005E-5</v>
      </c>
      <c r="Y59" s="38">
        <f t="shared" si="10"/>
        <v>6.5572572219184445E-5</v>
      </c>
      <c r="Z59" s="38">
        <f t="shared" si="10"/>
        <v>6.47055296911799E-5</v>
      </c>
      <c r="AA59" s="38">
        <f t="shared" si="10"/>
        <v>6.3838487163175341E-5</v>
      </c>
      <c r="AB59" s="38">
        <f t="shared" si="10"/>
        <v>6.2971444635170781E-5</v>
      </c>
      <c r="AC59" s="38">
        <f t="shared" si="10"/>
        <v>6.2104402107166222E-5</v>
      </c>
      <c r="AD59" s="38">
        <f t="shared" si="10"/>
        <v>6.1237359579161663E-5</v>
      </c>
      <c r="AE59" s="38">
        <f t="shared" si="10"/>
        <v>6.0370317051157097E-5</v>
      </c>
      <c r="AF59" s="38">
        <f t="shared" si="10"/>
        <v>5.9503274523152538E-5</v>
      </c>
    </row>
    <row r="61" spans="1:33" x14ac:dyDescent="0.25">
      <c r="A61" s="54" t="s">
        <v>66</v>
      </c>
      <c r="B61" s="54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  <c r="AA61" s="55"/>
      <c r="AB61" s="55"/>
      <c r="AC61" s="55"/>
      <c r="AD61" s="55"/>
      <c r="AE61" s="55"/>
      <c r="AF61" s="55"/>
      <c r="AG61" s="55"/>
    </row>
    <row r="62" spans="1:33" x14ac:dyDescent="0.25">
      <c r="A62" s="6" t="s">
        <v>99</v>
      </c>
    </row>
    <row r="63" spans="1:33" x14ac:dyDescent="0.25">
      <c r="A63" t="s">
        <v>97</v>
      </c>
      <c r="B63" s="102">
        <v>0.08</v>
      </c>
    </row>
    <row r="64" spans="1:33" x14ac:dyDescent="0.25">
      <c r="A64" t="s">
        <v>98</v>
      </c>
      <c r="B64" s="102">
        <v>0.25</v>
      </c>
    </row>
    <row r="67" spans="1:32" x14ac:dyDescent="0.25">
      <c r="A67" s="6" t="s">
        <v>100</v>
      </c>
      <c r="B67">
        <v>2015</v>
      </c>
      <c r="C67">
        <v>2017</v>
      </c>
      <c r="D67">
        <v>2020</v>
      </c>
      <c r="E67">
        <v>2030</v>
      </c>
      <c r="F67">
        <v>2040</v>
      </c>
      <c r="G67">
        <v>2050</v>
      </c>
    </row>
    <row r="68" spans="1:32" x14ac:dyDescent="0.25">
      <c r="A68" t="s">
        <v>103</v>
      </c>
      <c r="C68">
        <f>AVERAGE('EIA Costs'!D134:D135)/'EIA Costs'!D131</f>
        <v>19.472361809045225</v>
      </c>
      <c r="D68">
        <f>AVERAGE('EIA Costs'!G134:G135)/'EIA Costs'!G131</f>
        <v>19.472361809045225</v>
      </c>
      <c r="E68">
        <f>AVERAGE('EIA Costs'!I134:I135)/'EIA Costs'!I131</f>
        <v>19.472361809045225</v>
      </c>
      <c r="F68">
        <f>AVERAGE('EIA Costs'!K134:K135)/'EIA Costs'!K131</f>
        <v>19.472361809045225</v>
      </c>
      <c r="G68">
        <f>AVERAGE('EIA Costs'!M134:M135)/'EIA Costs'!M131</f>
        <v>19.472361809045225</v>
      </c>
      <c r="K68" s="38"/>
    </row>
    <row r="69" spans="1:32" x14ac:dyDescent="0.25">
      <c r="A69" t="s">
        <v>104</v>
      </c>
      <c r="C69">
        <f>'EIA Costs'!D148/'EIA Costs'!D144</f>
        <v>17.333333333333332</v>
      </c>
      <c r="D69">
        <f>'EIA Costs'!F148/'EIA Costs'!F144</f>
        <v>17.333333333333332</v>
      </c>
      <c r="E69">
        <f>'EIA Costs'!H148/'EIA Costs'!H144</f>
        <v>17.333333333333332</v>
      </c>
      <c r="F69">
        <f>'EIA Costs'!J148/'EIA Costs'!J144</f>
        <v>17.333333333333332</v>
      </c>
      <c r="G69">
        <f>'EIA Costs'!L148/'EIA Costs'!L144</f>
        <v>17.333333333333332</v>
      </c>
    </row>
    <row r="70" spans="1:32" x14ac:dyDescent="0.25">
      <c r="A70" t="s">
        <v>102</v>
      </c>
      <c r="B70" s="37">
        <f>'NREL EF Table 23'!D5</f>
        <v>310</v>
      </c>
      <c r="C70" s="103"/>
      <c r="D70" s="89">
        <f>'NREL EF Table 23'!D8</f>
        <v>287.51781145613165</v>
      </c>
      <c r="E70" s="89">
        <f>'NREL EF Table 23'!D11</f>
        <v>247.326626775699</v>
      </c>
      <c r="F70" s="89">
        <f>'NREL EF Table 23'!D14</f>
        <v>212.75363777446901</v>
      </c>
      <c r="G70" s="89">
        <f>'NREL EF Table 23'!D17</f>
        <v>184.45</v>
      </c>
    </row>
    <row r="72" spans="1:32" x14ac:dyDescent="0.25">
      <c r="A72" s="6" t="s">
        <v>101</v>
      </c>
      <c r="B72">
        <v>2020</v>
      </c>
      <c r="C72">
        <v>2021</v>
      </c>
      <c r="D72">
        <v>2022</v>
      </c>
      <c r="E72">
        <v>2023</v>
      </c>
      <c r="F72">
        <v>2024</v>
      </c>
      <c r="G72">
        <v>2025</v>
      </c>
      <c r="H72">
        <v>2026</v>
      </c>
      <c r="I72">
        <v>2027</v>
      </c>
      <c r="J72">
        <v>2028</v>
      </c>
      <c r="K72">
        <v>2029</v>
      </c>
      <c r="L72">
        <v>2030</v>
      </c>
      <c r="M72">
        <v>2031</v>
      </c>
      <c r="N72">
        <v>2032</v>
      </c>
      <c r="O72">
        <v>2033</v>
      </c>
      <c r="P72">
        <v>2034</v>
      </c>
      <c r="Q72">
        <v>2035</v>
      </c>
      <c r="R72">
        <v>2036</v>
      </c>
      <c r="S72">
        <v>2037</v>
      </c>
      <c r="T72">
        <v>2038</v>
      </c>
      <c r="U72">
        <v>2039</v>
      </c>
      <c r="V72">
        <v>2040</v>
      </c>
      <c r="W72">
        <v>2041</v>
      </c>
      <c r="X72">
        <v>2042</v>
      </c>
      <c r="Y72">
        <v>2043</v>
      </c>
      <c r="Z72">
        <v>2044</v>
      </c>
      <c r="AA72">
        <v>2045</v>
      </c>
      <c r="AB72">
        <v>2046</v>
      </c>
      <c r="AC72">
        <v>2047</v>
      </c>
      <c r="AD72">
        <v>2048</v>
      </c>
      <c r="AE72">
        <v>2049</v>
      </c>
      <c r="AF72">
        <v>2050</v>
      </c>
    </row>
    <row r="73" spans="1:32" x14ac:dyDescent="0.25">
      <c r="A73" t="s">
        <v>107</v>
      </c>
      <c r="B73">
        <f>(TREND($C$68:$D$68,$C$67:$D$67,B$32))*(About!$A$53)</f>
        <v>18.238974531600562</v>
      </c>
      <c r="C73">
        <f>(TREND($D$68:$E$68,$D$67:$E$67,C$32))*(About!$A$53)</f>
        <v>18.238974531600562</v>
      </c>
      <c r="D73">
        <f>(TREND($D$68:$E$68,$D$67:$E$67,D$32))*(About!$A$53)</f>
        <v>18.238974531600562</v>
      </c>
      <c r="E73">
        <f>(TREND($D$68:$E$68,$D$67:$E$67,E$32))*(About!$A$53)</f>
        <v>18.238974531600562</v>
      </c>
      <c r="F73">
        <f>(TREND($D$68:$E$68,$D$67:$E$67,F$32))*(About!$A$53)</f>
        <v>18.238974531600562</v>
      </c>
      <c r="G73">
        <f>(TREND($D$68:$E$68,$D$67:$E$67,G$32))*(About!$A$53)</f>
        <v>18.238974531600562</v>
      </c>
      <c r="H73">
        <f>(TREND($D$68:$E$68,$D$67:$E$67,H$32))*(About!$A$53)</f>
        <v>18.238974531600562</v>
      </c>
      <c r="I73">
        <f>(TREND($D$68:$E$68,$D$67:$E$67,I$32))*(About!$A$53)</f>
        <v>18.238974531600562</v>
      </c>
      <c r="J73">
        <f>(TREND($D$68:$E$68,$D$67:$E$67,J$32))*(About!$A$53)</f>
        <v>18.238974531600562</v>
      </c>
      <c r="K73">
        <f>(TREND($D$68:$E$68,$D$67:$E$67,K$32))*(About!$A$53)</f>
        <v>18.238974531600562</v>
      </c>
      <c r="L73">
        <f>(TREND($D$68:$E$68,$D$67:$E$67,L$32))*(About!$A$53)</f>
        <v>18.238974531600562</v>
      </c>
      <c r="M73">
        <f>(TREND($E$68:$G$68,$E$67:$G$67,M$32))*(About!$A$53)</f>
        <v>18.238974531600562</v>
      </c>
      <c r="N73">
        <f>(TREND($E$68:$G$68,$E$67:$G$67,N$32))*(About!$A$53)</f>
        <v>18.238974531600562</v>
      </c>
      <c r="O73">
        <f>(TREND($E$68:$G$68,$E$67:$G$67,O$32))*(About!$A$53)</f>
        <v>18.238974531600562</v>
      </c>
      <c r="P73">
        <f>(TREND($E$68:$G$68,$E$67:$G$67,P$32))*(About!$A$53)</f>
        <v>18.238974531600562</v>
      </c>
      <c r="Q73">
        <f>(TREND($E$68:$G$68,$E$67:$G$67,Q$32))*(About!$A$53)</f>
        <v>18.238974531600562</v>
      </c>
      <c r="R73">
        <f>(TREND($E$68:$G$68,$E$67:$G$67,R$32))*(About!$A$53)</f>
        <v>18.238974531600562</v>
      </c>
      <c r="S73">
        <f>(TREND($E$68:$G$68,$E$67:$G$67,S$32))*(About!$A$53)</f>
        <v>18.238974531600562</v>
      </c>
      <c r="T73">
        <f>(TREND($E$68:$G$68,$E$67:$G$67,T$32))*(About!$A$53)</f>
        <v>18.238974531600562</v>
      </c>
      <c r="U73">
        <f>(TREND($E$68:$G$68,$E$67:$G$67,U$32))*(About!$A$53)</f>
        <v>18.238974531600562</v>
      </c>
      <c r="V73">
        <f>(TREND($E$68:$G$68,$E$67:$G$67,V$32))*(About!$A$53)</f>
        <v>18.238974531600562</v>
      </c>
      <c r="W73">
        <f>(TREND($E$68:$G$68,$E$67:$G$67,W$32))*(About!$A$53)</f>
        <v>18.238974531600562</v>
      </c>
      <c r="X73">
        <f>(TREND($E$68:$G$68,$E$67:$G$67,X$32))*(About!$A$53)</f>
        <v>18.238974531600562</v>
      </c>
      <c r="Y73">
        <f>(TREND($E$68:$G$68,$E$67:$G$67,Y$32))*(About!$A$53)</f>
        <v>18.238974531600562</v>
      </c>
      <c r="Z73">
        <f>(TREND($E$68:$G$68,$E$67:$G$67,Z$32))*(About!$A$53)</f>
        <v>18.238974531600562</v>
      </c>
      <c r="AA73">
        <f>(TREND($E$68:$G$68,$E$67:$G$67,AA$32))*(About!$A$53)</f>
        <v>18.238974531600562</v>
      </c>
      <c r="AB73">
        <f>(TREND($E$68:$G$68,$E$67:$G$67,AB$32))*(About!$A$53)</f>
        <v>18.238974531600562</v>
      </c>
      <c r="AC73">
        <f>(TREND($E$68:$G$68,$E$67:$G$67,AC$32))*(About!$A$53)</f>
        <v>18.238974531600562</v>
      </c>
      <c r="AD73">
        <f>(TREND($E$68:$G$68,$E$67:$G$67,AD$32))*(About!$A$53)</f>
        <v>18.238974531600562</v>
      </c>
      <c r="AE73">
        <f>(TREND($E$68:$G$68,$E$67:$G$67,AE$32))*(About!$A$53)</f>
        <v>18.238974531600562</v>
      </c>
      <c r="AF73">
        <f>(TREND($E$68:$G$68,$E$67:$G$67,AF$32))*(About!$A$53)</f>
        <v>18.238974531600562</v>
      </c>
    </row>
    <row r="74" spans="1:32" x14ac:dyDescent="0.25">
      <c r="A74" t="s">
        <v>108</v>
      </c>
      <c r="B74">
        <f>(TREND($C$69:$D$69,$C$67:$D$67,B$32))*(About!$A$53)</f>
        <v>16.235432985204525</v>
      </c>
      <c r="C74">
        <f>(TREND($D$69:$E$69,$D$67:$E$67,C$32))*(About!$A$53)</f>
        <v>16.235432985204525</v>
      </c>
      <c r="D74">
        <f>(TREND($D$69:$E$69,$D$67:$E$67,D$32))*(About!$A$53)</f>
        <v>16.235432985204525</v>
      </c>
      <c r="E74">
        <f>(TREND($D$69:$E$69,$D$67:$E$67,E$32))*(About!$A$53)</f>
        <v>16.235432985204525</v>
      </c>
      <c r="F74">
        <f>(TREND($D$69:$E$69,$D$67:$E$67,F$32))*(About!$A$53)</f>
        <v>16.235432985204525</v>
      </c>
      <c r="G74">
        <f>(TREND($D$69:$E$69,$D$67:$E$67,G$32))*(About!$A$53)</f>
        <v>16.235432985204525</v>
      </c>
      <c r="H74">
        <f>(TREND($D$69:$E$69,$D$67:$E$67,H$32))*(About!$A$53)</f>
        <v>16.235432985204525</v>
      </c>
      <c r="I74">
        <f>(TREND($D$69:$E$69,$D$67:$E$67,I$32))*(About!$A$53)</f>
        <v>16.235432985204525</v>
      </c>
      <c r="J74">
        <f>(TREND($D$69:$E$69,$D$67:$E$67,J$32))*(About!$A$53)</f>
        <v>16.235432985204525</v>
      </c>
      <c r="K74">
        <f>(TREND($D$69:$E$69,$D$67:$E$67,K$32))*(About!$A$53)</f>
        <v>16.235432985204525</v>
      </c>
      <c r="L74">
        <f>(TREND($D$69:$E$69,$D$67:$E$67,L$32))*(About!$A$53)</f>
        <v>16.235432985204525</v>
      </c>
      <c r="M74">
        <f>(TREND($E$69:$G$69,$E$67:$G$67,M$32))*(About!$A$53)</f>
        <v>16.235432985204525</v>
      </c>
      <c r="N74">
        <f>(TREND($E$69:$G$69,$E$67:$G$67,N$32))*(About!$A$53)</f>
        <v>16.235432985204525</v>
      </c>
      <c r="O74">
        <f>(TREND($E$69:$G$69,$E$67:$G$67,O$32))*(About!$A$53)</f>
        <v>16.235432985204525</v>
      </c>
      <c r="P74">
        <f>(TREND($E$69:$G$69,$E$67:$G$67,P$32))*(About!$A$53)</f>
        <v>16.235432985204525</v>
      </c>
      <c r="Q74">
        <f>(TREND($E$69:$G$69,$E$67:$G$67,Q$32))*(About!$A$53)</f>
        <v>16.235432985204525</v>
      </c>
      <c r="R74">
        <f>(TREND($E$69:$G$69,$E$67:$G$67,R$32))*(About!$A$53)</f>
        <v>16.235432985204525</v>
      </c>
      <c r="S74">
        <f>(TREND($E$69:$G$69,$E$67:$G$67,S$32))*(About!$A$53)</f>
        <v>16.235432985204525</v>
      </c>
      <c r="T74">
        <f>(TREND($E$69:$G$69,$E$67:$G$67,T$32))*(About!$A$53)</f>
        <v>16.235432985204525</v>
      </c>
      <c r="U74">
        <f>(TREND($E$69:$G$69,$E$67:$G$67,U$32))*(About!$A$53)</f>
        <v>16.235432985204525</v>
      </c>
      <c r="V74">
        <f>(TREND($E$69:$G$69,$E$67:$G$67,V$32))*(About!$A$53)</f>
        <v>16.235432985204525</v>
      </c>
      <c r="W74">
        <f>(TREND($E$69:$G$69,$E$67:$G$67,W$32))*(About!$A$53)</f>
        <v>16.235432985204525</v>
      </c>
      <c r="X74">
        <f>(TREND($E$69:$G$69,$E$67:$G$67,X$32))*(About!$A$53)</f>
        <v>16.235432985204525</v>
      </c>
      <c r="Y74">
        <f>(TREND($E$69:$G$69,$E$67:$G$67,Y$32))*(About!$A$53)</f>
        <v>16.235432985204525</v>
      </c>
      <c r="Z74">
        <f>(TREND($E$69:$G$69,$E$67:$G$67,Z$32))*(About!$A$53)</f>
        <v>16.235432985204525</v>
      </c>
      <c r="AA74">
        <f>(TREND($E$69:$G$69,$E$67:$G$67,AA$32))*(About!$A$53)</f>
        <v>16.235432985204525</v>
      </c>
      <c r="AB74">
        <f>(TREND($E$69:$G$69,$E$67:$G$67,AB$32))*(About!$A$53)</f>
        <v>16.235432985204525</v>
      </c>
      <c r="AC74">
        <f>(TREND($E$69:$G$69,$E$67:$G$67,AC$32))*(About!$A$53)</f>
        <v>16.235432985204525</v>
      </c>
      <c r="AD74">
        <f>(TREND($E$69:$G$69,$E$67:$G$67,AD$32))*(About!$A$53)</f>
        <v>16.235432985204525</v>
      </c>
      <c r="AE74">
        <f>(TREND($E$69:$G$69,$E$67:$G$67,AE$32))*(About!$A$53)</f>
        <v>16.235432985204525</v>
      </c>
      <c r="AF74">
        <f>(TREND($E$69:$G$69,$E$67:$G$67,AF$32))*(About!$A$53)</f>
        <v>16.235432985204525</v>
      </c>
    </row>
    <row r="75" spans="1:32" x14ac:dyDescent="0.25">
      <c r="A75" t="s">
        <v>109</v>
      </c>
      <c r="B75">
        <f>(TREND($D$70:$E$70,$D$67:$E$67,B$32))*(About!$A$55)</f>
        <v>275.04349624577293</v>
      </c>
      <c r="C75">
        <f>(TREND($D$70:$E$70,$D$67:$E$67,C$32))*(About!$A$55)</f>
        <v>271.19875219434124</v>
      </c>
      <c r="D75">
        <f>(TREND($D$70:$E$70,$D$67:$E$67,D$32))*(About!$A$55)</f>
        <v>267.35400814291046</v>
      </c>
      <c r="E75">
        <f>(TREND($D$70:$E$70,$D$67:$E$67,E$32))*(About!$A$55)</f>
        <v>263.50926409147877</v>
      </c>
      <c r="F75">
        <f>(TREND($D$70:$E$70,$D$67:$E$67,F$32))*(About!$A$55)</f>
        <v>259.66452004004708</v>
      </c>
      <c r="G75">
        <f>(TREND($D$70:$E$70,$D$67:$E$67,G$32))*(About!$A$55)</f>
        <v>255.81977598861545</v>
      </c>
      <c r="H75">
        <f>(TREND($D$70:$E$70,$D$67:$E$67,H$32))*(About!$A$55)</f>
        <v>251.97503193718379</v>
      </c>
      <c r="I75">
        <f>(TREND($D$70:$E$70,$D$67:$E$67,I$32))*(About!$A$55)</f>
        <v>248.1302878857521</v>
      </c>
      <c r="J75">
        <f>(TREND($D$70:$E$70,$D$67:$E$67,J$32))*(About!$A$55)</f>
        <v>244.28554383432132</v>
      </c>
      <c r="K75">
        <f>(TREND($D$70:$E$70,$D$67:$E$67,K$32))*(About!$A$55)</f>
        <v>240.44079978288966</v>
      </c>
      <c r="L75">
        <f>(TREND($D$70:$E$70,$D$67:$E$67,L$32))*(About!$A$55)</f>
        <v>236.59605573145797</v>
      </c>
      <c r="M75">
        <f>(TREND($E$70:$G$70,$E$67:$G$67,M$32))*(About!$A$55)</f>
        <v>232.58906544927183</v>
      </c>
      <c r="N75">
        <f>(TREND($E$70:$G$70,$E$67:$G$67,N$32))*(About!$A$55)</f>
        <v>229.58163311439381</v>
      </c>
      <c r="O75">
        <f>(TREND($E$70:$G$70,$E$67:$G$67,O$32))*(About!$A$55)</f>
        <v>226.57420077951667</v>
      </c>
      <c r="P75">
        <f>(TREND($E$70:$G$70,$E$67:$G$67,P$32))*(About!$A$55)</f>
        <v>223.56676844463868</v>
      </c>
      <c r="Q75">
        <f>(TREND($E$70:$G$70,$E$67:$G$67,Q$32))*(About!$A$55)</f>
        <v>220.55933610976066</v>
      </c>
      <c r="R75">
        <f>(TREND($E$70:$G$70,$E$67:$G$67,R$32))*(About!$A$55)</f>
        <v>217.55190377488353</v>
      </c>
      <c r="S75">
        <f>(TREND($E$70:$G$70,$E$67:$G$67,S$32))*(About!$A$55)</f>
        <v>214.54447144000551</v>
      </c>
      <c r="T75">
        <f>(TREND($E$70:$G$70,$E$67:$G$67,T$32))*(About!$A$55)</f>
        <v>211.53703910512749</v>
      </c>
      <c r="U75">
        <f>(TREND($E$70:$G$70,$E$67:$G$67,U$32))*(About!$A$55)</f>
        <v>208.52960677025035</v>
      </c>
      <c r="V75">
        <f>(TREND($E$70:$G$70,$E$67:$G$67,V$32))*(About!$A$55)</f>
        <v>205.52217443537236</v>
      </c>
      <c r="W75">
        <f>(TREND($E$70:$G$70,$E$67:$G$67,W$32))*(About!$A$55)</f>
        <v>202.51474210049435</v>
      </c>
      <c r="X75">
        <f>(TREND($E$70:$G$70,$E$67:$G$67,X$32))*(About!$A$55)</f>
        <v>199.50730976561721</v>
      </c>
      <c r="Y75">
        <f>(TREND($E$70:$G$70,$E$67:$G$67,Y$32))*(About!$A$55)</f>
        <v>196.49987743073919</v>
      </c>
      <c r="Z75">
        <f>(TREND($E$70:$G$70,$E$67:$G$67,Z$32))*(About!$A$55)</f>
        <v>193.49244509586205</v>
      </c>
      <c r="AA75">
        <f>(TREND($E$70:$G$70,$E$67:$G$67,AA$32))*(About!$A$55)</f>
        <v>190.48501276098403</v>
      </c>
      <c r="AB75">
        <f>(TREND($E$70:$G$70,$E$67:$G$67,AB$32))*(About!$A$55)</f>
        <v>187.47758042610604</v>
      </c>
      <c r="AC75">
        <f>(TREND($E$70:$G$70,$E$67:$G$67,AC$32))*(About!$A$55)</f>
        <v>184.47014809122888</v>
      </c>
      <c r="AD75">
        <f>(TREND($E$70:$G$70,$E$67:$G$67,AD$32))*(About!$A$55)</f>
        <v>181.46271575635089</v>
      </c>
      <c r="AE75">
        <f>(TREND($E$70:$G$70,$E$67:$G$67,AE$32))*(About!$A$55)</f>
        <v>178.45528342147287</v>
      </c>
      <c r="AF75">
        <f>(TREND($E$70:$G$70,$E$67:$G$67,AF$32))*(About!$A$55)</f>
        <v>175.44785108659573</v>
      </c>
    </row>
    <row r="77" spans="1:32" x14ac:dyDescent="0.25">
      <c r="A77" s="6" t="s">
        <v>84</v>
      </c>
      <c r="B77">
        <v>2020</v>
      </c>
      <c r="C77">
        <v>2021</v>
      </c>
      <c r="D77">
        <v>2022</v>
      </c>
      <c r="E77">
        <v>2023</v>
      </c>
      <c r="F77">
        <v>2024</v>
      </c>
      <c r="G77">
        <v>2025</v>
      </c>
      <c r="H77">
        <v>2026</v>
      </c>
      <c r="I77">
        <v>2027</v>
      </c>
      <c r="J77">
        <v>2028</v>
      </c>
      <c r="K77">
        <v>2029</v>
      </c>
      <c r="L77">
        <v>2030</v>
      </c>
      <c r="M77">
        <v>2031</v>
      </c>
      <c r="N77">
        <v>2032</v>
      </c>
      <c r="O77">
        <v>2033</v>
      </c>
      <c r="P77">
        <v>2034</v>
      </c>
      <c r="Q77">
        <v>2035</v>
      </c>
      <c r="R77">
        <v>2036</v>
      </c>
      <c r="S77">
        <v>2037</v>
      </c>
      <c r="T77">
        <v>2038</v>
      </c>
      <c r="U77">
        <v>2039</v>
      </c>
      <c r="V77">
        <v>2040</v>
      </c>
      <c r="W77">
        <v>2041</v>
      </c>
      <c r="X77">
        <v>2042</v>
      </c>
      <c r="Y77">
        <v>2043</v>
      </c>
      <c r="Z77">
        <v>2044</v>
      </c>
      <c r="AA77">
        <v>2045</v>
      </c>
      <c r="AB77">
        <v>2046</v>
      </c>
      <c r="AC77">
        <v>2047</v>
      </c>
      <c r="AD77">
        <v>2048</v>
      </c>
      <c r="AE77">
        <v>2049</v>
      </c>
      <c r="AF77">
        <v>2050</v>
      </c>
    </row>
    <row r="78" spans="1:32" x14ac:dyDescent="0.25">
      <c r="A78" t="s">
        <v>13</v>
      </c>
      <c r="B78" s="38">
        <f t="shared" ref="B78:AF78" si="11">(B75-B73)/(8760*10^3*$B$64)</f>
        <v>1.1726233868227049E-4</v>
      </c>
      <c r="C78" s="38">
        <f t="shared" si="11"/>
        <v>1.1550674779120579E-4</v>
      </c>
      <c r="D78" s="38">
        <f t="shared" si="11"/>
        <v>1.1375115690014151E-4</v>
      </c>
      <c r="E78" s="38">
        <f t="shared" si="11"/>
        <v>1.1199556600907681E-4</v>
      </c>
      <c r="F78" s="38">
        <f t="shared" si="11"/>
        <v>1.1023997511801212E-4</v>
      </c>
      <c r="G78" s="38">
        <f t="shared" si="11"/>
        <v>1.0848438422694745E-4</v>
      </c>
      <c r="H78" s="38">
        <f t="shared" si="11"/>
        <v>1.0672879333588274E-4</v>
      </c>
      <c r="I78" s="38">
        <f t="shared" si="11"/>
        <v>1.0497320244481804E-4</v>
      </c>
      <c r="J78" s="38">
        <f t="shared" si="11"/>
        <v>1.0321761155375376E-4</v>
      </c>
      <c r="K78" s="38">
        <f t="shared" si="11"/>
        <v>1.0146202066268909E-4</v>
      </c>
      <c r="L78" s="38">
        <f t="shared" si="11"/>
        <v>9.9706429771624386E-5</v>
      </c>
      <c r="M78" s="38">
        <f t="shared" si="11"/>
        <v>9.787675384368551E-5</v>
      </c>
      <c r="N78" s="38">
        <f t="shared" si="11"/>
        <v>9.6503497069768613E-5</v>
      </c>
      <c r="O78" s="38">
        <f t="shared" si="11"/>
        <v>9.513024029585211E-5</v>
      </c>
      <c r="P78" s="38">
        <f t="shared" si="11"/>
        <v>9.3756983521935228E-5</v>
      </c>
      <c r="Q78" s="38">
        <f t="shared" si="11"/>
        <v>9.2383726748018305E-5</v>
      </c>
      <c r="R78" s="38">
        <f t="shared" si="11"/>
        <v>9.1010469974101802E-5</v>
      </c>
      <c r="S78" s="38">
        <f t="shared" si="11"/>
        <v>8.9637213200184919E-5</v>
      </c>
      <c r="T78" s="38">
        <f t="shared" si="11"/>
        <v>8.8263956426267996E-5</v>
      </c>
      <c r="U78" s="38">
        <f t="shared" si="11"/>
        <v>8.6890699652351493E-5</v>
      </c>
      <c r="V78" s="38">
        <f t="shared" si="11"/>
        <v>8.551744287843461E-5</v>
      </c>
      <c r="W78" s="38">
        <f t="shared" si="11"/>
        <v>8.4144186104517714E-5</v>
      </c>
      <c r="X78" s="38">
        <f t="shared" si="11"/>
        <v>8.2770929330601211E-5</v>
      </c>
      <c r="Y78" s="38">
        <f t="shared" si="11"/>
        <v>8.1397672556684302E-5</v>
      </c>
      <c r="Z78" s="38">
        <f t="shared" si="11"/>
        <v>8.0024415782767799E-5</v>
      </c>
      <c r="AA78" s="38">
        <f t="shared" si="11"/>
        <v>7.8651159008850903E-5</v>
      </c>
      <c r="AB78" s="38">
        <f t="shared" si="11"/>
        <v>7.727790223493402E-5</v>
      </c>
      <c r="AC78" s="38">
        <f t="shared" si="11"/>
        <v>7.590464546101749E-5</v>
      </c>
      <c r="AD78" s="38">
        <f t="shared" si="11"/>
        <v>7.4531388687100594E-5</v>
      </c>
      <c r="AE78" s="38">
        <f t="shared" si="11"/>
        <v>7.3158131913183711E-5</v>
      </c>
      <c r="AF78" s="38">
        <f t="shared" si="11"/>
        <v>7.1784875139267208E-5</v>
      </c>
    </row>
    <row r="79" spans="1:32" x14ac:dyDescent="0.25">
      <c r="A79" t="s">
        <v>14</v>
      </c>
      <c r="B79" s="38">
        <f t="shared" ref="B79:AF79" si="12">(B75-B74)/(8760*10^3*$B$64)</f>
        <v>1.1817719783587599E-4</v>
      </c>
      <c r="C79" s="38">
        <f t="shared" si="12"/>
        <v>1.1642160694481129E-4</v>
      </c>
      <c r="D79" s="38">
        <f t="shared" si="12"/>
        <v>1.1466601605374701E-4</v>
      </c>
      <c r="E79" s="38">
        <f t="shared" si="12"/>
        <v>1.1291042516268231E-4</v>
      </c>
      <c r="F79" s="38">
        <f t="shared" si="12"/>
        <v>1.1115483427161761E-4</v>
      </c>
      <c r="G79" s="38">
        <f t="shared" si="12"/>
        <v>1.0939924338055294E-4</v>
      </c>
      <c r="H79" s="38">
        <f t="shared" si="12"/>
        <v>1.0764365248948823E-4</v>
      </c>
      <c r="I79" s="38">
        <f t="shared" si="12"/>
        <v>1.0588806159842355E-4</v>
      </c>
      <c r="J79" s="38">
        <f t="shared" si="12"/>
        <v>1.0413247070735926E-4</v>
      </c>
      <c r="K79" s="38">
        <f t="shared" si="12"/>
        <v>1.0237687981629459E-4</v>
      </c>
      <c r="L79" s="38">
        <f t="shared" si="12"/>
        <v>1.0062128892522989E-4</v>
      </c>
      <c r="M79" s="38">
        <f t="shared" si="12"/>
        <v>9.8791612997290999E-5</v>
      </c>
      <c r="N79" s="38">
        <f t="shared" si="12"/>
        <v>9.7418356223374103E-5</v>
      </c>
      <c r="O79" s="38">
        <f t="shared" si="12"/>
        <v>9.6045099449457613E-5</v>
      </c>
      <c r="P79" s="38">
        <f t="shared" si="12"/>
        <v>9.4671842675540717E-5</v>
      </c>
      <c r="Q79" s="38">
        <f t="shared" si="12"/>
        <v>9.3298585901623808E-5</v>
      </c>
      <c r="R79" s="38">
        <f t="shared" si="12"/>
        <v>9.1925329127707305E-5</v>
      </c>
      <c r="S79" s="38">
        <f t="shared" si="12"/>
        <v>9.0552072353790409E-5</v>
      </c>
      <c r="T79" s="38">
        <f t="shared" si="12"/>
        <v>8.9178815579873499E-5</v>
      </c>
      <c r="U79" s="38">
        <f t="shared" si="12"/>
        <v>8.7805558805956996E-5</v>
      </c>
      <c r="V79" s="38">
        <f t="shared" si="12"/>
        <v>8.64323020320401E-5</v>
      </c>
      <c r="W79" s="38">
        <f t="shared" si="12"/>
        <v>8.5059045258123217E-5</v>
      </c>
      <c r="X79" s="38">
        <f t="shared" si="12"/>
        <v>8.3685788484206714E-5</v>
      </c>
      <c r="Y79" s="38">
        <f t="shared" si="12"/>
        <v>8.2312531710289791E-5</v>
      </c>
      <c r="Z79" s="38">
        <f t="shared" si="12"/>
        <v>8.0939274936373288E-5</v>
      </c>
      <c r="AA79" s="38">
        <f t="shared" si="12"/>
        <v>7.9566018162456406E-5</v>
      </c>
      <c r="AB79" s="38">
        <f t="shared" si="12"/>
        <v>7.819276138853951E-5</v>
      </c>
      <c r="AC79" s="38">
        <f t="shared" si="12"/>
        <v>7.681950461462298E-5</v>
      </c>
      <c r="AD79" s="38">
        <f t="shared" si="12"/>
        <v>7.5446247840706097E-5</v>
      </c>
      <c r="AE79" s="38">
        <f t="shared" si="12"/>
        <v>7.4072991066789201E-5</v>
      </c>
      <c r="AF79" s="38">
        <f t="shared" si="12"/>
        <v>7.2699734292872698E-5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8" tint="-0.249977111117893"/>
  </sheetPr>
  <dimension ref="A1:AD11"/>
  <sheetViews>
    <sheetView tabSelected="1" zoomScaleNormal="100" workbookViewId="0">
      <selection activeCell="J23" sqref="J23"/>
    </sheetView>
  </sheetViews>
  <sheetFormatPr defaultRowHeight="15" x14ac:dyDescent="0.25"/>
  <cols>
    <col min="1" max="1" width="29.85546875" customWidth="1"/>
    <col min="2" max="28" width="10" customWidth="1"/>
  </cols>
  <sheetData>
    <row r="1" spans="1:30" x14ac:dyDescent="0.25">
      <c r="A1" s="6" t="s">
        <v>171</v>
      </c>
      <c r="B1" s="1">
        <v>2024</v>
      </c>
      <c r="C1" s="1">
        <v>2025</v>
      </c>
      <c r="D1" s="1">
        <v>2026</v>
      </c>
      <c r="E1" s="1">
        <v>2027</v>
      </c>
      <c r="F1" s="1">
        <v>2028</v>
      </c>
      <c r="G1" s="1">
        <v>2029</v>
      </c>
      <c r="H1" s="1">
        <v>2030</v>
      </c>
      <c r="I1" s="1">
        <v>2031</v>
      </c>
      <c r="J1" s="1">
        <v>2032</v>
      </c>
      <c r="K1" s="1">
        <v>2033</v>
      </c>
      <c r="L1" s="1">
        <v>2034</v>
      </c>
      <c r="M1" s="1">
        <v>2035</v>
      </c>
      <c r="N1" s="1">
        <v>2036</v>
      </c>
      <c r="O1" s="1">
        <v>2037</v>
      </c>
      <c r="P1" s="1">
        <v>2038</v>
      </c>
      <c r="Q1" s="1">
        <v>2039</v>
      </c>
      <c r="R1" s="1">
        <v>2040</v>
      </c>
      <c r="S1" s="1">
        <v>2041</v>
      </c>
      <c r="T1" s="1">
        <v>2042</v>
      </c>
      <c r="U1" s="1">
        <v>2043</v>
      </c>
      <c r="V1" s="1">
        <v>2044</v>
      </c>
      <c r="W1" s="1">
        <v>2045</v>
      </c>
      <c r="X1" s="1">
        <v>2046</v>
      </c>
      <c r="Y1" s="1">
        <v>2047</v>
      </c>
      <c r="Z1" s="1">
        <v>2048</v>
      </c>
      <c r="AA1" s="1">
        <v>2049</v>
      </c>
      <c r="AB1" s="1">
        <v>2050</v>
      </c>
      <c r="AC1" s="1"/>
      <c r="AD1" s="1"/>
    </row>
    <row r="2" spans="1:30" x14ac:dyDescent="0.25">
      <c r="A2" s="1" t="s">
        <v>158</v>
      </c>
      <c r="B2" s="156">
        <v>0</v>
      </c>
      <c r="C2" s="156">
        <v>0</v>
      </c>
      <c r="D2" s="156">
        <v>0</v>
      </c>
      <c r="E2" s="156">
        <v>0</v>
      </c>
      <c r="F2" s="156">
        <v>0</v>
      </c>
      <c r="G2" s="156">
        <v>0</v>
      </c>
      <c r="H2" s="156">
        <v>0</v>
      </c>
      <c r="I2" s="156">
        <v>0</v>
      </c>
      <c r="J2" s="156">
        <v>0</v>
      </c>
      <c r="K2" s="156">
        <v>0</v>
      </c>
      <c r="L2" s="156">
        <v>0</v>
      </c>
      <c r="M2" s="156">
        <v>0</v>
      </c>
      <c r="N2" s="156">
        <v>0</v>
      </c>
      <c r="O2" s="156">
        <v>0</v>
      </c>
      <c r="P2" s="156">
        <v>0</v>
      </c>
      <c r="Q2" s="156">
        <v>0</v>
      </c>
      <c r="R2" s="156">
        <v>0</v>
      </c>
      <c r="S2" s="156">
        <v>0</v>
      </c>
      <c r="T2" s="156">
        <v>0</v>
      </c>
      <c r="U2" s="156">
        <v>0</v>
      </c>
      <c r="V2" s="156">
        <v>0</v>
      </c>
      <c r="W2" s="156">
        <v>0</v>
      </c>
      <c r="X2" s="156">
        <v>0</v>
      </c>
      <c r="Y2" s="156">
        <v>0</v>
      </c>
      <c r="Z2" s="156">
        <v>0</v>
      </c>
      <c r="AA2" s="156">
        <v>0</v>
      </c>
      <c r="AB2" s="156">
        <v>0</v>
      </c>
      <c r="AD2" s="118"/>
    </row>
    <row r="3" spans="1:30" x14ac:dyDescent="0.25">
      <c r="A3" s="1" t="s">
        <v>159</v>
      </c>
      <c r="B3" s="157">
        <f t="shared" ref="B3:AB3" si="0">B4</f>
        <v>6.5014456000994449E-5</v>
      </c>
      <c r="C3" s="157">
        <f t="shared" si="0"/>
        <v>5.8631074831846315E-5</v>
      </c>
      <c r="D3" s="157">
        <f t="shared" si="0"/>
        <v>5.9244761017808819E-5</v>
      </c>
      <c r="E3" s="157">
        <f t="shared" si="0"/>
        <v>6.0045832321578757E-5</v>
      </c>
      <c r="F3" s="157">
        <f t="shared" si="0"/>
        <v>6.1016311643507882E-5</v>
      </c>
      <c r="G3" s="157">
        <f t="shared" si="0"/>
        <v>6.2266560688785022E-5</v>
      </c>
      <c r="H3" s="157">
        <f t="shared" si="0"/>
        <v>6.3672426716005409E-5</v>
      </c>
      <c r="I3" s="157">
        <f t="shared" si="0"/>
        <v>6.5195410014721436E-5</v>
      </c>
      <c r="J3" s="157">
        <f t="shared" si="0"/>
        <v>6.6972775805388893E-5</v>
      </c>
      <c r="K3" s="157">
        <f t="shared" si="0"/>
        <v>6.8652823452834219E-5</v>
      </c>
      <c r="L3" s="157">
        <f t="shared" si="0"/>
        <v>7.0397761493111173E-5</v>
      </c>
      <c r="M3" s="157">
        <f t="shared" si="0"/>
        <v>7.2023018568585239E-5</v>
      </c>
      <c r="N3" s="157">
        <f t="shared" si="0"/>
        <v>7.3516736536682548E-5</v>
      </c>
      <c r="O3" s="157">
        <f t="shared" si="0"/>
        <v>7.4918856744801286E-5</v>
      </c>
      <c r="P3" s="157">
        <f t="shared" si="0"/>
        <v>7.6283067655377517E-5</v>
      </c>
      <c r="Q3" s="157">
        <f t="shared" si="0"/>
        <v>7.7602517000876592E-5</v>
      </c>
      <c r="R3" s="157">
        <f t="shared" si="0"/>
        <v>7.8944345600782931E-5</v>
      </c>
      <c r="S3" s="157">
        <f t="shared" si="0"/>
        <v>8.0365205321650897E-5</v>
      </c>
      <c r="T3" s="157">
        <f t="shared" si="0"/>
        <v>8.1807335958170488E-5</v>
      </c>
      <c r="U3" s="157">
        <f t="shared" si="0"/>
        <v>8.3248431004441108E-5</v>
      </c>
      <c r="V3" s="157">
        <f t="shared" si="0"/>
        <v>8.4656045468350138E-5</v>
      </c>
      <c r="W3" s="157">
        <f t="shared" si="0"/>
        <v>8.6023674136189159E-5</v>
      </c>
      <c r="X3" s="157">
        <f t="shared" si="0"/>
        <v>8.7391609187525203E-5</v>
      </c>
      <c r="Y3" s="157">
        <f t="shared" si="0"/>
        <v>8.8759979261906477E-5</v>
      </c>
      <c r="Z3" s="157">
        <f t="shared" si="0"/>
        <v>9.0120091729788083E-5</v>
      </c>
      <c r="AA3" s="157">
        <f t="shared" si="0"/>
        <v>9.1485216392052764E-5</v>
      </c>
      <c r="AB3" s="157">
        <f t="shared" si="0"/>
        <v>9.2887523023438937E-5</v>
      </c>
    </row>
    <row r="4" spans="1:30" x14ac:dyDescent="0.25">
      <c r="A4" s="1" t="s">
        <v>13</v>
      </c>
      <c r="B4" s="158">
        <f>Calculations!F19</f>
        <v>6.5014456000994449E-5</v>
      </c>
      <c r="C4" s="158">
        <f>Calculations!G19</f>
        <v>5.8631074831846315E-5</v>
      </c>
      <c r="D4" s="158">
        <f>Calculations!H19</f>
        <v>5.9244761017808819E-5</v>
      </c>
      <c r="E4" s="158">
        <f>Calculations!I19</f>
        <v>6.0045832321578757E-5</v>
      </c>
      <c r="F4" s="158">
        <f>Calculations!J19</f>
        <v>6.1016311643507882E-5</v>
      </c>
      <c r="G4" s="158">
        <f>Calculations!K19</f>
        <v>6.2266560688785022E-5</v>
      </c>
      <c r="H4" s="158">
        <f>Calculations!L19</f>
        <v>6.3672426716005409E-5</v>
      </c>
      <c r="I4" s="158">
        <f>Calculations!M19</f>
        <v>6.5195410014721436E-5</v>
      </c>
      <c r="J4" s="158">
        <f>Calculations!N19</f>
        <v>6.6972775805388893E-5</v>
      </c>
      <c r="K4" s="158">
        <f>Calculations!O19</f>
        <v>6.8652823452834219E-5</v>
      </c>
      <c r="L4" s="158">
        <f>Calculations!P19</f>
        <v>7.0397761493111173E-5</v>
      </c>
      <c r="M4" s="158">
        <f>Calculations!Q19</f>
        <v>7.2023018568585239E-5</v>
      </c>
      <c r="N4" s="158">
        <f>Calculations!R19</f>
        <v>7.3516736536682548E-5</v>
      </c>
      <c r="O4" s="158">
        <f>Calculations!S19</f>
        <v>7.4918856744801286E-5</v>
      </c>
      <c r="P4" s="158">
        <f>Calculations!T19</f>
        <v>7.6283067655377517E-5</v>
      </c>
      <c r="Q4" s="158">
        <f>Calculations!U19</f>
        <v>7.7602517000876592E-5</v>
      </c>
      <c r="R4" s="158">
        <f>Calculations!V19</f>
        <v>7.8944345600782931E-5</v>
      </c>
      <c r="S4" s="158">
        <f>Calculations!W19</f>
        <v>8.0365205321650897E-5</v>
      </c>
      <c r="T4" s="158">
        <f>Calculations!X19</f>
        <v>8.1807335958170488E-5</v>
      </c>
      <c r="U4" s="158">
        <f>Calculations!Y19</f>
        <v>8.3248431004441108E-5</v>
      </c>
      <c r="V4" s="158">
        <f>Calculations!Z19</f>
        <v>8.4656045468350138E-5</v>
      </c>
      <c r="W4" s="158">
        <f>Calculations!AA19</f>
        <v>8.6023674136189159E-5</v>
      </c>
      <c r="X4" s="158">
        <f>Calculations!AB19</f>
        <v>8.7391609187525203E-5</v>
      </c>
      <c r="Y4" s="158">
        <f>Calculations!AC19</f>
        <v>8.8759979261906477E-5</v>
      </c>
      <c r="Z4" s="158">
        <f>Calculations!AD19</f>
        <v>9.0120091729788083E-5</v>
      </c>
      <c r="AA4" s="158">
        <f>Calculations!AE19</f>
        <v>9.1485216392052764E-5</v>
      </c>
      <c r="AB4" s="158">
        <f>Calculations!AF19</f>
        <v>9.2887523023438937E-5</v>
      </c>
    </row>
    <row r="5" spans="1:30" x14ac:dyDescent="0.25">
      <c r="A5" s="1" t="s">
        <v>160</v>
      </c>
      <c r="B5" s="158">
        <f>Calculations!F20</f>
        <v>1.1230046703185538E-5</v>
      </c>
      <c r="C5" s="158">
        <f>Calculations!G20</f>
        <v>1.0233026649076472E-5</v>
      </c>
      <c r="D5" s="158">
        <f>Calculations!H20</f>
        <v>1.0206350149176415E-5</v>
      </c>
      <c r="E5" s="158">
        <f>Calculations!I20</f>
        <v>1.0235544413358044E-5</v>
      </c>
      <c r="F5" s="158">
        <f>Calculations!J20</f>
        <v>1.029690788762136E-5</v>
      </c>
      <c r="G5" s="158">
        <f>Calculations!K20</f>
        <v>1.0368440370680754E-5</v>
      </c>
      <c r="H5" s="158">
        <f>Calculations!L20</f>
        <v>1.0440108826693544E-5</v>
      </c>
      <c r="I5" s="158">
        <f>Calculations!M20</f>
        <v>1.0545292121095811E-5</v>
      </c>
      <c r="J5" s="158">
        <f>Calculations!N20</f>
        <v>1.0632439871764883E-5</v>
      </c>
      <c r="K5" s="158">
        <f>Calculations!O20</f>
        <v>1.070575582761965E-5</v>
      </c>
      <c r="L5" s="158">
        <f>Calculations!P20</f>
        <v>1.0793390497276443E-5</v>
      </c>
      <c r="M5" s="158">
        <f>Calculations!Q20</f>
        <v>1.0883913074308E-5</v>
      </c>
      <c r="N5" s="158">
        <f>Calculations!R20</f>
        <v>1.0971503468377141E-5</v>
      </c>
      <c r="O5" s="158">
        <f>Calculations!S20</f>
        <v>1.106141060109793E-5</v>
      </c>
      <c r="P5" s="158">
        <f>Calculations!T20</f>
        <v>1.1149928184153512E-5</v>
      </c>
      <c r="Q5" s="158">
        <f>Calculations!U20</f>
        <v>1.1236898384515874E-5</v>
      </c>
      <c r="R5" s="158">
        <f>Calculations!V20</f>
        <v>1.1325969790805965E-5</v>
      </c>
      <c r="S5" s="158">
        <f>Calculations!W20</f>
        <v>1.1416871450195333E-5</v>
      </c>
      <c r="T5" s="158">
        <f>Calculations!X20</f>
        <v>1.1508498639433677E-5</v>
      </c>
      <c r="U5" s="158">
        <f>Calculations!Y20</f>
        <v>1.1600203562376578E-5</v>
      </c>
      <c r="V5" s="158">
        <f>Calculations!Z20</f>
        <v>1.1701202645859132E-5</v>
      </c>
      <c r="W5" s="158">
        <f>Calculations!AA20</f>
        <v>1.1788955274874569E-5</v>
      </c>
      <c r="X5" s="158">
        <f>Calculations!AB20</f>
        <v>1.1876332202086312E-5</v>
      </c>
      <c r="Y5" s="158">
        <f>Calculations!AC20</f>
        <v>1.195810044072481E-5</v>
      </c>
      <c r="Z5" s="158">
        <f>Calculations!AD20</f>
        <v>1.2036816474766194E-5</v>
      </c>
      <c r="AA5" s="158">
        <f>Calculations!AE20</f>
        <v>1.2114462276032789E-5</v>
      </c>
      <c r="AB5" s="158">
        <f>Calculations!AF20</f>
        <v>1.2198370003467837E-5</v>
      </c>
    </row>
    <row r="6" spans="1:30" x14ac:dyDescent="0.25">
      <c r="A6" s="1" t="s">
        <v>161</v>
      </c>
      <c r="B6" s="157">
        <f t="shared" ref="B6:AB6" si="1">B4</f>
        <v>6.5014456000994449E-5</v>
      </c>
      <c r="C6" s="157">
        <f t="shared" si="1"/>
        <v>5.8631074831846315E-5</v>
      </c>
      <c r="D6" s="157">
        <f t="shared" si="1"/>
        <v>5.9244761017808819E-5</v>
      </c>
      <c r="E6" s="157">
        <f t="shared" si="1"/>
        <v>6.0045832321578757E-5</v>
      </c>
      <c r="F6" s="157">
        <f t="shared" si="1"/>
        <v>6.1016311643507882E-5</v>
      </c>
      <c r="G6" s="157">
        <f t="shared" si="1"/>
        <v>6.2266560688785022E-5</v>
      </c>
      <c r="H6" s="157">
        <f t="shared" si="1"/>
        <v>6.3672426716005409E-5</v>
      </c>
      <c r="I6" s="157">
        <f t="shared" si="1"/>
        <v>6.5195410014721436E-5</v>
      </c>
      <c r="J6" s="157">
        <f t="shared" si="1"/>
        <v>6.6972775805388893E-5</v>
      </c>
      <c r="K6" s="157">
        <f t="shared" si="1"/>
        <v>6.8652823452834219E-5</v>
      </c>
      <c r="L6" s="157">
        <f t="shared" si="1"/>
        <v>7.0397761493111173E-5</v>
      </c>
      <c r="M6" s="157">
        <f t="shared" si="1"/>
        <v>7.2023018568585239E-5</v>
      </c>
      <c r="N6" s="157">
        <f t="shared" si="1"/>
        <v>7.3516736536682548E-5</v>
      </c>
      <c r="O6" s="157">
        <f t="shared" si="1"/>
        <v>7.4918856744801286E-5</v>
      </c>
      <c r="P6" s="157">
        <f t="shared" si="1"/>
        <v>7.6283067655377517E-5</v>
      </c>
      <c r="Q6" s="157">
        <f t="shared" si="1"/>
        <v>7.7602517000876592E-5</v>
      </c>
      <c r="R6" s="157">
        <f t="shared" si="1"/>
        <v>7.8944345600782931E-5</v>
      </c>
      <c r="S6" s="157">
        <f t="shared" si="1"/>
        <v>8.0365205321650897E-5</v>
      </c>
      <c r="T6" s="157">
        <f t="shared" si="1"/>
        <v>8.1807335958170488E-5</v>
      </c>
      <c r="U6" s="157">
        <f t="shared" si="1"/>
        <v>8.3248431004441108E-5</v>
      </c>
      <c r="V6" s="157">
        <f t="shared" si="1"/>
        <v>8.4656045468350138E-5</v>
      </c>
      <c r="W6" s="157">
        <f t="shared" si="1"/>
        <v>8.6023674136189159E-5</v>
      </c>
      <c r="X6" s="157">
        <f t="shared" si="1"/>
        <v>8.7391609187525203E-5</v>
      </c>
      <c r="Y6" s="157">
        <f t="shared" si="1"/>
        <v>8.8759979261906477E-5</v>
      </c>
      <c r="Z6" s="157">
        <f t="shared" si="1"/>
        <v>9.0120091729788083E-5</v>
      </c>
      <c r="AA6" s="157">
        <f t="shared" si="1"/>
        <v>9.1485216392052764E-5</v>
      </c>
      <c r="AB6" s="157">
        <f t="shared" si="1"/>
        <v>9.2887523023438937E-5</v>
      </c>
    </row>
    <row r="7" spans="1:30" x14ac:dyDescent="0.25">
      <c r="A7" s="1" t="s">
        <v>50</v>
      </c>
      <c r="B7" s="158">
        <f>Calculations!F21</f>
        <v>2.2103756677944385E-6</v>
      </c>
      <c r="C7" s="158">
        <f>Calculations!G21</f>
        <v>2.1287218671276177E-6</v>
      </c>
      <c r="D7" s="158">
        <f>Calculations!H21</f>
        <v>2.1667540092360309E-6</v>
      </c>
      <c r="E7" s="158">
        <f>Calculations!I21</f>
        <v>2.1628073647292377E-6</v>
      </c>
      <c r="F7" s="158">
        <f>Calculations!J21</f>
        <v>2.1354157912685579E-6</v>
      </c>
      <c r="G7" s="158">
        <f>Calculations!K21</f>
        <v>2.0997321531764455E-6</v>
      </c>
      <c r="H7" s="158">
        <f>Calculations!L21</f>
        <v>2.0642520502605954E-6</v>
      </c>
      <c r="I7" s="158">
        <f>Calculations!M21</f>
        <v>2.0146452095699737E-6</v>
      </c>
      <c r="J7" s="158">
        <f>Calculations!N21</f>
        <v>1.9785366418068383E-6</v>
      </c>
      <c r="K7" s="158">
        <f>Calculations!O21</f>
        <v>1.9372663756619094E-6</v>
      </c>
      <c r="L7" s="158">
        <f>Calculations!P21</f>
        <v>1.8961083091198341E-6</v>
      </c>
      <c r="M7" s="158">
        <f>Calculations!Q21</f>
        <v>1.8522024629102022E-6</v>
      </c>
      <c r="N7" s="158">
        <f>Calculations!R21</f>
        <v>1.809302089156717E-6</v>
      </c>
      <c r="O7" s="158">
        <f>Calculations!S21</f>
        <v>1.7631540849613464E-6</v>
      </c>
      <c r="P7" s="158">
        <f>Calculations!T21</f>
        <v>1.7164769390477503E-6</v>
      </c>
      <c r="Q7" s="158">
        <f>Calculations!U21</f>
        <v>1.6703519577182151E-6</v>
      </c>
      <c r="R7" s="158">
        <f>Calculations!V21</f>
        <v>1.6229237293796458E-6</v>
      </c>
      <c r="S7" s="158">
        <f>Calculations!W21</f>
        <v>1.5729124432195903E-6</v>
      </c>
      <c r="T7" s="158">
        <f>Calculations!X21</f>
        <v>1.5204160939963591E-6</v>
      </c>
      <c r="U7" s="158">
        <f>Calculations!Y21</f>
        <v>1.4658251680716857E-6</v>
      </c>
      <c r="V7" s="158">
        <f>Calculations!Z21</f>
        <v>1.4057348939487444E-6</v>
      </c>
      <c r="W7" s="158">
        <f>Calculations!AA21</f>
        <v>1.3509791421326864E-6</v>
      </c>
      <c r="X7" s="158">
        <f>Calculations!AB21</f>
        <v>1.2953417957930803E-6</v>
      </c>
      <c r="Y7" s="158">
        <f>Calculations!AC21</f>
        <v>1.2395812017541486E-6</v>
      </c>
      <c r="Z7" s="158">
        <f>Calculations!AD21</f>
        <v>1.1835889572371725E-6</v>
      </c>
      <c r="AA7" s="158">
        <f>Calculations!AE21</f>
        <v>1.1244805940419655E-6</v>
      </c>
      <c r="AB7" s="158">
        <f>Calculations!AF21</f>
        <v>1.0614187746695749E-6</v>
      </c>
    </row>
    <row r="8" spans="1:30" x14ac:dyDescent="0.25">
      <c r="A8" s="1" t="s">
        <v>162</v>
      </c>
      <c r="B8" s="157">
        <f t="shared" ref="B8:AB8" si="2">B5</f>
        <v>1.1230046703185538E-5</v>
      </c>
      <c r="C8" s="157">
        <f t="shared" si="2"/>
        <v>1.0233026649076472E-5</v>
      </c>
      <c r="D8" s="157">
        <f t="shared" si="2"/>
        <v>1.0206350149176415E-5</v>
      </c>
      <c r="E8" s="157">
        <f t="shared" si="2"/>
        <v>1.0235544413358044E-5</v>
      </c>
      <c r="F8" s="157">
        <f t="shared" si="2"/>
        <v>1.029690788762136E-5</v>
      </c>
      <c r="G8" s="157">
        <f t="shared" si="2"/>
        <v>1.0368440370680754E-5</v>
      </c>
      <c r="H8" s="157">
        <f t="shared" si="2"/>
        <v>1.0440108826693544E-5</v>
      </c>
      <c r="I8" s="157">
        <f t="shared" si="2"/>
        <v>1.0545292121095811E-5</v>
      </c>
      <c r="J8" s="157">
        <f t="shared" si="2"/>
        <v>1.0632439871764883E-5</v>
      </c>
      <c r="K8" s="157">
        <f t="shared" si="2"/>
        <v>1.070575582761965E-5</v>
      </c>
      <c r="L8" s="157">
        <f t="shared" si="2"/>
        <v>1.0793390497276443E-5</v>
      </c>
      <c r="M8" s="157">
        <f t="shared" si="2"/>
        <v>1.0883913074308E-5</v>
      </c>
      <c r="N8" s="157">
        <f t="shared" si="2"/>
        <v>1.0971503468377141E-5</v>
      </c>
      <c r="O8" s="157">
        <f t="shared" si="2"/>
        <v>1.106141060109793E-5</v>
      </c>
      <c r="P8" s="157">
        <f t="shared" si="2"/>
        <v>1.1149928184153512E-5</v>
      </c>
      <c r="Q8" s="157">
        <f t="shared" si="2"/>
        <v>1.1236898384515874E-5</v>
      </c>
      <c r="R8" s="157">
        <f t="shared" si="2"/>
        <v>1.1325969790805965E-5</v>
      </c>
      <c r="S8" s="157">
        <f t="shared" si="2"/>
        <v>1.1416871450195333E-5</v>
      </c>
      <c r="T8" s="157">
        <f t="shared" si="2"/>
        <v>1.1508498639433677E-5</v>
      </c>
      <c r="U8" s="157">
        <f t="shared" si="2"/>
        <v>1.1600203562376578E-5</v>
      </c>
      <c r="V8" s="157">
        <f t="shared" si="2"/>
        <v>1.1701202645859132E-5</v>
      </c>
      <c r="W8" s="157">
        <f t="shared" si="2"/>
        <v>1.1788955274874569E-5</v>
      </c>
      <c r="X8" s="157">
        <f t="shared" si="2"/>
        <v>1.1876332202086312E-5</v>
      </c>
      <c r="Y8" s="157">
        <f t="shared" si="2"/>
        <v>1.195810044072481E-5</v>
      </c>
      <c r="Z8" s="157">
        <f t="shared" si="2"/>
        <v>1.2036816474766194E-5</v>
      </c>
      <c r="AA8" s="157">
        <f t="shared" si="2"/>
        <v>1.2114462276032789E-5</v>
      </c>
      <c r="AB8" s="157">
        <f t="shared" si="2"/>
        <v>1.2198370003467837E-5</v>
      </c>
    </row>
    <row r="9" spans="1:30" x14ac:dyDescent="0.25">
      <c r="A9" s="1" t="s">
        <v>163</v>
      </c>
      <c r="B9" s="157">
        <f t="shared" ref="B9:AB9" si="3">B5</f>
        <v>1.1230046703185538E-5</v>
      </c>
      <c r="C9" s="157">
        <f t="shared" si="3"/>
        <v>1.0233026649076472E-5</v>
      </c>
      <c r="D9" s="157">
        <f t="shared" si="3"/>
        <v>1.0206350149176415E-5</v>
      </c>
      <c r="E9" s="157">
        <f t="shared" si="3"/>
        <v>1.0235544413358044E-5</v>
      </c>
      <c r="F9" s="157">
        <f t="shared" si="3"/>
        <v>1.029690788762136E-5</v>
      </c>
      <c r="G9" s="157">
        <f t="shared" si="3"/>
        <v>1.0368440370680754E-5</v>
      </c>
      <c r="H9" s="157">
        <f t="shared" si="3"/>
        <v>1.0440108826693544E-5</v>
      </c>
      <c r="I9" s="157">
        <f t="shared" si="3"/>
        <v>1.0545292121095811E-5</v>
      </c>
      <c r="J9" s="157">
        <f t="shared" si="3"/>
        <v>1.0632439871764883E-5</v>
      </c>
      <c r="K9" s="157">
        <f t="shared" si="3"/>
        <v>1.070575582761965E-5</v>
      </c>
      <c r="L9" s="157">
        <f t="shared" si="3"/>
        <v>1.0793390497276443E-5</v>
      </c>
      <c r="M9" s="157">
        <f t="shared" si="3"/>
        <v>1.0883913074308E-5</v>
      </c>
      <c r="N9" s="157">
        <f t="shared" si="3"/>
        <v>1.0971503468377141E-5</v>
      </c>
      <c r="O9" s="157">
        <f t="shared" si="3"/>
        <v>1.106141060109793E-5</v>
      </c>
      <c r="P9" s="157">
        <f t="shared" si="3"/>
        <v>1.1149928184153512E-5</v>
      </c>
      <c r="Q9" s="157">
        <f t="shared" si="3"/>
        <v>1.1236898384515874E-5</v>
      </c>
      <c r="R9" s="157">
        <f t="shared" si="3"/>
        <v>1.1325969790805965E-5</v>
      </c>
      <c r="S9" s="157">
        <f t="shared" si="3"/>
        <v>1.1416871450195333E-5</v>
      </c>
      <c r="T9" s="157">
        <f t="shared" si="3"/>
        <v>1.1508498639433677E-5</v>
      </c>
      <c r="U9" s="157">
        <f t="shared" si="3"/>
        <v>1.1600203562376578E-5</v>
      </c>
      <c r="V9" s="157">
        <f t="shared" si="3"/>
        <v>1.1701202645859132E-5</v>
      </c>
      <c r="W9" s="157">
        <f t="shared" si="3"/>
        <v>1.1788955274874569E-5</v>
      </c>
      <c r="X9" s="157">
        <f t="shared" si="3"/>
        <v>1.1876332202086312E-5</v>
      </c>
      <c r="Y9" s="157">
        <f t="shared" si="3"/>
        <v>1.195810044072481E-5</v>
      </c>
      <c r="Z9" s="157">
        <f t="shared" si="3"/>
        <v>1.2036816474766194E-5</v>
      </c>
      <c r="AA9" s="157">
        <f t="shared" si="3"/>
        <v>1.2114462276032789E-5</v>
      </c>
      <c r="AB9" s="157">
        <f t="shared" si="3"/>
        <v>1.2198370003467837E-5</v>
      </c>
    </row>
    <row r="10" spans="1:30" x14ac:dyDescent="0.25">
      <c r="A10" s="1" t="s">
        <v>164</v>
      </c>
      <c r="B10" s="157">
        <f t="shared" ref="B10:AB10" si="4">B4</f>
        <v>6.5014456000994449E-5</v>
      </c>
      <c r="C10" s="157">
        <f t="shared" si="4"/>
        <v>5.8631074831846315E-5</v>
      </c>
      <c r="D10" s="157">
        <f t="shared" si="4"/>
        <v>5.9244761017808819E-5</v>
      </c>
      <c r="E10" s="157">
        <f t="shared" si="4"/>
        <v>6.0045832321578757E-5</v>
      </c>
      <c r="F10" s="157">
        <f t="shared" si="4"/>
        <v>6.1016311643507882E-5</v>
      </c>
      <c r="G10" s="157">
        <f t="shared" si="4"/>
        <v>6.2266560688785022E-5</v>
      </c>
      <c r="H10" s="157">
        <f t="shared" si="4"/>
        <v>6.3672426716005409E-5</v>
      </c>
      <c r="I10" s="157">
        <f t="shared" si="4"/>
        <v>6.5195410014721436E-5</v>
      </c>
      <c r="J10" s="157">
        <f t="shared" si="4"/>
        <v>6.6972775805388893E-5</v>
      </c>
      <c r="K10" s="157">
        <f t="shared" si="4"/>
        <v>6.8652823452834219E-5</v>
      </c>
      <c r="L10" s="157">
        <f t="shared" si="4"/>
        <v>7.0397761493111173E-5</v>
      </c>
      <c r="M10" s="157">
        <f t="shared" si="4"/>
        <v>7.2023018568585239E-5</v>
      </c>
      <c r="N10" s="157">
        <f t="shared" si="4"/>
        <v>7.3516736536682548E-5</v>
      </c>
      <c r="O10" s="157">
        <f t="shared" si="4"/>
        <v>7.4918856744801286E-5</v>
      </c>
      <c r="P10" s="157">
        <f t="shared" si="4"/>
        <v>7.6283067655377517E-5</v>
      </c>
      <c r="Q10" s="157">
        <f t="shared" si="4"/>
        <v>7.7602517000876592E-5</v>
      </c>
      <c r="R10" s="157">
        <f t="shared" si="4"/>
        <v>7.8944345600782931E-5</v>
      </c>
      <c r="S10" s="157">
        <f t="shared" si="4"/>
        <v>8.0365205321650897E-5</v>
      </c>
      <c r="T10" s="157">
        <f t="shared" si="4"/>
        <v>8.1807335958170488E-5</v>
      </c>
      <c r="U10" s="157">
        <f t="shared" si="4"/>
        <v>8.3248431004441108E-5</v>
      </c>
      <c r="V10" s="157">
        <f t="shared" si="4"/>
        <v>8.4656045468350138E-5</v>
      </c>
      <c r="W10" s="157">
        <f t="shared" si="4"/>
        <v>8.6023674136189159E-5</v>
      </c>
      <c r="X10" s="157">
        <f t="shared" si="4"/>
        <v>8.7391609187525203E-5</v>
      </c>
      <c r="Y10" s="157">
        <f t="shared" si="4"/>
        <v>8.8759979261906477E-5</v>
      </c>
      <c r="Z10" s="157">
        <f t="shared" si="4"/>
        <v>9.0120091729788083E-5</v>
      </c>
      <c r="AA10" s="157">
        <f t="shared" si="4"/>
        <v>9.1485216392052764E-5</v>
      </c>
      <c r="AB10" s="157">
        <f t="shared" si="4"/>
        <v>9.2887523023438937E-5</v>
      </c>
    </row>
    <row r="11" spans="1:30" x14ac:dyDescent="0.25">
      <c r="A11" s="1" t="s">
        <v>165</v>
      </c>
      <c r="B11" s="157">
        <f t="shared" ref="B11:AB11" si="5">B4</f>
        <v>6.5014456000994449E-5</v>
      </c>
      <c r="C11" s="157">
        <f t="shared" si="5"/>
        <v>5.8631074831846315E-5</v>
      </c>
      <c r="D11" s="157">
        <f t="shared" si="5"/>
        <v>5.9244761017808819E-5</v>
      </c>
      <c r="E11" s="157">
        <f t="shared" si="5"/>
        <v>6.0045832321578757E-5</v>
      </c>
      <c r="F11" s="157">
        <f t="shared" si="5"/>
        <v>6.1016311643507882E-5</v>
      </c>
      <c r="G11" s="157">
        <f t="shared" si="5"/>
        <v>6.2266560688785022E-5</v>
      </c>
      <c r="H11" s="157">
        <f t="shared" si="5"/>
        <v>6.3672426716005409E-5</v>
      </c>
      <c r="I11" s="157">
        <f t="shared" si="5"/>
        <v>6.5195410014721436E-5</v>
      </c>
      <c r="J11" s="157">
        <f t="shared" si="5"/>
        <v>6.6972775805388893E-5</v>
      </c>
      <c r="K11" s="157">
        <f t="shared" si="5"/>
        <v>6.8652823452834219E-5</v>
      </c>
      <c r="L11" s="157">
        <f t="shared" si="5"/>
        <v>7.0397761493111173E-5</v>
      </c>
      <c r="M11" s="157">
        <f t="shared" si="5"/>
        <v>7.2023018568585239E-5</v>
      </c>
      <c r="N11" s="157">
        <f t="shared" si="5"/>
        <v>7.3516736536682548E-5</v>
      </c>
      <c r="O11" s="157">
        <f t="shared" si="5"/>
        <v>7.4918856744801286E-5</v>
      </c>
      <c r="P11" s="157">
        <f t="shared" si="5"/>
        <v>7.6283067655377517E-5</v>
      </c>
      <c r="Q11" s="157">
        <f t="shared" si="5"/>
        <v>7.7602517000876592E-5</v>
      </c>
      <c r="R11" s="157">
        <f t="shared" si="5"/>
        <v>7.8944345600782931E-5</v>
      </c>
      <c r="S11" s="157">
        <f t="shared" si="5"/>
        <v>8.0365205321650897E-5</v>
      </c>
      <c r="T11" s="157">
        <f t="shared" si="5"/>
        <v>8.1807335958170488E-5</v>
      </c>
      <c r="U11" s="157">
        <f t="shared" si="5"/>
        <v>8.3248431004441108E-5</v>
      </c>
      <c r="V11" s="157">
        <f t="shared" si="5"/>
        <v>8.4656045468350138E-5</v>
      </c>
      <c r="W11" s="157">
        <f t="shared" si="5"/>
        <v>8.6023674136189159E-5</v>
      </c>
      <c r="X11" s="157">
        <f t="shared" si="5"/>
        <v>8.7391609187525203E-5</v>
      </c>
      <c r="Y11" s="157">
        <f t="shared" si="5"/>
        <v>8.8759979261906477E-5</v>
      </c>
      <c r="Z11" s="157">
        <f t="shared" si="5"/>
        <v>9.0120091729788083E-5</v>
      </c>
      <c r="AA11" s="157">
        <f t="shared" si="5"/>
        <v>9.1485216392052764E-5</v>
      </c>
      <c r="AB11" s="157">
        <f t="shared" si="5"/>
        <v>9.2887523023438937E-5</v>
      </c>
    </row>
  </sheetData>
  <pageMargins left="0.7" right="0.7" top="0.75" bottom="0.75" header="0.3" footer="0.3"/>
  <pageSetup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8" tint="-0.249977111117893"/>
  </sheetPr>
  <dimension ref="A1:AD11"/>
  <sheetViews>
    <sheetView zoomScaleNormal="100" workbookViewId="0">
      <selection activeCell="B1" sqref="B1"/>
    </sheetView>
  </sheetViews>
  <sheetFormatPr defaultRowHeight="15" x14ac:dyDescent="0.25"/>
  <cols>
    <col min="1" max="1" width="29.85546875" customWidth="1"/>
    <col min="2" max="28" width="10" customWidth="1"/>
  </cols>
  <sheetData>
    <row r="1" spans="1:30" x14ac:dyDescent="0.25">
      <c r="A1" s="121" t="s">
        <v>171</v>
      </c>
      <c r="B1" s="1">
        <v>2024</v>
      </c>
      <c r="C1" s="1">
        <v>2025</v>
      </c>
      <c r="D1" s="1">
        <v>2026</v>
      </c>
      <c r="E1" s="1">
        <v>2027</v>
      </c>
      <c r="F1" s="1">
        <v>2028</v>
      </c>
      <c r="G1" s="1">
        <v>2029</v>
      </c>
      <c r="H1" s="1">
        <v>2030</v>
      </c>
      <c r="I1" s="1">
        <v>2031</v>
      </c>
      <c r="J1" s="1">
        <v>2032</v>
      </c>
      <c r="K1" s="1">
        <v>2033</v>
      </c>
      <c r="L1" s="1">
        <v>2034</v>
      </c>
      <c r="M1" s="1">
        <v>2035</v>
      </c>
      <c r="N1" s="1">
        <v>2036</v>
      </c>
      <c r="O1" s="1">
        <v>2037</v>
      </c>
      <c r="P1" s="1">
        <v>2038</v>
      </c>
      <c r="Q1" s="1">
        <v>2039</v>
      </c>
      <c r="R1" s="1">
        <v>2040</v>
      </c>
      <c r="S1" s="1">
        <v>2041</v>
      </c>
      <c r="T1" s="1">
        <v>2042</v>
      </c>
      <c r="U1" s="1">
        <v>2043</v>
      </c>
      <c r="V1" s="1">
        <v>2044</v>
      </c>
      <c r="W1" s="1">
        <v>2045</v>
      </c>
      <c r="X1" s="1">
        <v>2046</v>
      </c>
      <c r="Y1" s="1">
        <v>2047</v>
      </c>
      <c r="Z1" s="1">
        <v>2048</v>
      </c>
      <c r="AA1" s="1">
        <v>2049</v>
      </c>
      <c r="AB1" s="1">
        <v>2050</v>
      </c>
      <c r="AC1" s="1"/>
      <c r="AD1" s="1"/>
    </row>
    <row r="2" spans="1:30" x14ac:dyDescent="0.25">
      <c r="A2" s="1" t="s">
        <v>158</v>
      </c>
      <c r="B2" s="120">
        <v>0</v>
      </c>
      <c r="C2" s="120">
        <v>0</v>
      </c>
      <c r="D2" s="120">
        <v>0</v>
      </c>
      <c r="E2" s="120">
        <v>0</v>
      </c>
      <c r="F2" s="120">
        <v>0</v>
      </c>
      <c r="G2" s="120">
        <v>0</v>
      </c>
      <c r="H2" s="120">
        <v>0</v>
      </c>
      <c r="I2" s="120">
        <v>0</v>
      </c>
      <c r="J2" s="120">
        <v>0</v>
      </c>
      <c r="K2" s="120">
        <v>0</v>
      </c>
      <c r="L2" s="120">
        <v>0</v>
      </c>
      <c r="M2" s="120">
        <v>0</v>
      </c>
      <c r="N2" s="120">
        <v>0</v>
      </c>
      <c r="O2" s="120">
        <v>0</v>
      </c>
      <c r="P2" s="120">
        <v>0</v>
      </c>
      <c r="Q2" s="120">
        <v>0</v>
      </c>
      <c r="R2" s="120">
        <v>0</v>
      </c>
      <c r="S2" s="120">
        <v>0</v>
      </c>
      <c r="T2" s="120">
        <v>0</v>
      </c>
      <c r="U2" s="120">
        <v>0</v>
      </c>
      <c r="V2" s="120">
        <v>0</v>
      </c>
      <c r="W2" s="120">
        <v>0</v>
      </c>
      <c r="X2" s="120">
        <v>0</v>
      </c>
      <c r="Y2" s="120">
        <v>0</v>
      </c>
      <c r="Z2" s="120">
        <v>0</v>
      </c>
      <c r="AA2" s="120">
        <v>0</v>
      </c>
      <c r="AB2" s="120">
        <v>0</v>
      </c>
      <c r="AD2" s="118"/>
    </row>
    <row r="3" spans="1:30" x14ac:dyDescent="0.25">
      <c r="A3" s="1" t="s">
        <v>159</v>
      </c>
      <c r="B3" s="119">
        <f t="shared" ref="B3:AB3" si="0">B4</f>
        <v>9.3973178205071267E-6</v>
      </c>
      <c r="C3" s="119">
        <f t="shared" si="0"/>
        <v>9.4453546495072139E-6</v>
      </c>
      <c r="D3" s="119">
        <f t="shared" si="0"/>
        <v>9.4803150268189324E-6</v>
      </c>
      <c r="E3" s="119">
        <f t="shared" si="0"/>
        <v>9.5300498620191142E-6</v>
      </c>
      <c r="F3" s="119">
        <f t="shared" si="0"/>
        <v>9.5824325951225103E-6</v>
      </c>
      <c r="G3" s="119">
        <f t="shared" si="0"/>
        <v>9.6764267162371355E-6</v>
      </c>
      <c r="H3" s="119">
        <f t="shared" si="0"/>
        <v>9.7794420079978763E-6</v>
      </c>
      <c r="I3" s="119">
        <f t="shared" si="0"/>
        <v>9.8921549917815529E-6</v>
      </c>
      <c r="J3" s="119">
        <f t="shared" si="0"/>
        <v>1.0021102287051541E-5</v>
      </c>
      <c r="K3" s="119">
        <f t="shared" si="0"/>
        <v>1.0130143935556063E-5</v>
      </c>
      <c r="L3" s="119">
        <f t="shared" si="0"/>
        <v>1.0215096832453458E-5</v>
      </c>
      <c r="M3" s="119">
        <f t="shared" si="0"/>
        <v>1.0275170712047235E-5</v>
      </c>
      <c r="N3" s="119">
        <f t="shared" si="0"/>
        <v>1.0330611019118281E-5</v>
      </c>
      <c r="O3" s="119">
        <f t="shared" si="0"/>
        <v>1.0379119966126868E-5</v>
      </c>
      <c r="P3" s="119">
        <f t="shared" si="0"/>
        <v>1.0427048933146262E-5</v>
      </c>
      <c r="Q3" s="119">
        <f t="shared" si="0"/>
        <v>1.0474150100933603E-5</v>
      </c>
      <c r="R3" s="119">
        <f t="shared" si="0"/>
        <v>1.0527382322294204E-5</v>
      </c>
      <c r="S3" s="119">
        <f t="shared" si="0"/>
        <v>1.0594770600985294E-5</v>
      </c>
      <c r="T3" s="119">
        <f t="shared" si="0"/>
        <v>1.0672450434881948E-5</v>
      </c>
      <c r="U3" s="119">
        <f t="shared" si="0"/>
        <v>1.0757663810467844E-5</v>
      </c>
      <c r="V3" s="119">
        <f t="shared" si="0"/>
        <v>1.0846985717890305E-5</v>
      </c>
      <c r="W3" s="119">
        <f t="shared" si="0"/>
        <v>1.094210484477407E-5</v>
      </c>
      <c r="X3" s="119">
        <f t="shared" si="0"/>
        <v>1.1045726707390898E-5</v>
      </c>
      <c r="Y3" s="119">
        <f t="shared" si="0"/>
        <v>1.1151628296304343E-5</v>
      </c>
      <c r="Z3" s="119">
        <f t="shared" si="0"/>
        <v>1.1256209826355572E-5</v>
      </c>
      <c r="AA3" s="119">
        <f t="shared" si="0"/>
        <v>1.1361165021070192E-5</v>
      </c>
      <c r="AB3" s="119">
        <f t="shared" si="0"/>
        <v>1.1463420196349517E-5</v>
      </c>
    </row>
    <row r="4" spans="1:30" x14ac:dyDescent="0.25">
      <c r="A4" s="1" t="s">
        <v>13</v>
      </c>
      <c r="B4" s="104">
        <f>Calculations!F37</f>
        <v>9.3973178205071267E-6</v>
      </c>
      <c r="C4" s="104">
        <f>Calculations!G37</f>
        <v>9.4453546495072139E-6</v>
      </c>
      <c r="D4" s="104">
        <f>Calculations!H37</f>
        <v>9.4803150268189324E-6</v>
      </c>
      <c r="E4" s="104">
        <f>Calculations!I37</f>
        <v>9.5300498620191142E-6</v>
      </c>
      <c r="F4" s="104">
        <f>Calculations!J37</f>
        <v>9.5824325951225103E-6</v>
      </c>
      <c r="G4" s="104">
        <f>Calculations!K37</f>
        <v>9.6764267162371355E-6</v>
      </c>
      <c r="H4" s="104">
        <f>Calculations!L37</f>
        <v>9.7794420079978763E-6</v>
      </c>
      <c r="I4" s="104">
        <f>Calculations!M37</f>
        <v>9.8921549917815529E-6</v>
      </c>
      <c r="J4" s="104">
        <f>Calculations!N37</f>
        <v>1.0021102287051541E-5</v>
      </c>
      <c r="K4" s="104">
        <f>Calculations!O37</f>
        <v>1.0130143935556063E-5</v>
      </c>
      <c r="L4" s="104">
        <f>Calculations!P37</f>
        <v>1.0215096832453458E-5</v>
      </c>
      <c r="M4" s="104">
        <f>Calculations!Q37</f>
        <v>1.0275170712047235E-5</v>
      </c>
      <c r="N4" s="104">
        <f>Calculations!R37</f>
        <v>1.0330611019118281E-5</v>
      </c>
      <c r="O4" s="104">
        <f>Calculations!S37</f>
        <v>1.0379119966126868E-5</v>
      </c>
      <c r="P4" s="104">
        <f>Calculations!T37</f>
        <v>1.0427048933146262E-5</v>
      </c>
      <c r="Q4" s="104">
        <f>Calculations!U37</f>
        <v>1.0474150100933603E-5</v>
      </c>
      <c r="R4" s="104">
        <f>Calculations!V37</f>
        <v>1.0527382322294204E-5</v>
      </c>
      <c r="S4" s="104">
        <f>Calculations!W37</f>
        <v>1.0594770600985294E-5</v>
      </c>
      <c r="T4" s="104">
        <f>Calculations!X37</f>
        <v>1.0672450434881948E-5</v>
      </c>
      <c r="U4" s="104">
        <f>Calculations!Y37</f>
        <v>1.0757663810467844E-5</v>
      </c>
      <c r="V4" s="104">
        <f>Calculations!Z37</f>
        <v>1.0846985717890305E-5</v>
      </c>
      <c r="W4" s="104">
        <f>Calculations!AA37</f>
        <v>1.094210484477407E-5</v>
      </c>
      <c r="X4" s="104">
        <f>Calculations!AB37</f>
        <v>1.1045726707390898E-5</v>
      </c>
      <c r="Y4" s="104">
        <f>Calculations!AC37</f>
        <v>1.1151628296304343E-5</v>
      </c>
      <c r="Z4" s="104">
        <f>Calculations!AD37</f>
        <v>1.1256209826355572E-5</v>
      </c>
      <c r="AA4" s="104">
        <f>Calculations!AE37</f>
        <v>1.1361165021070192E-5</v>
      </c>
      <c r="AB4" s="104">
        <f>Calculations!AF37</f>
        <v>1.1463420196349517E-5</v>
      </c>
    </row>
    <row r="5" spans="1:30" x14ac:dyDescent="0.25">
      <c r="A5" s="1" t="s">
        <v>160</v>
      </c>
      <c r="B5" s="104">
        <f>Calculations!F38</f>
        <v>-2.7462405660377355E-5</v>
      </c>
      <c r="C5" s="104">
        <f>Calculations!G38</f>
        <v>-2.7752966878914129E-5</v>
      </c>
      <c r="D5" s="104">
        <f>Calculations!H38</f>
        <v>-2.824746584490387E-5</v>
      </c>
      <c r="E5" s="104">
        <f>Calculations!I38</f>
        <v>-2.8920036076964188E-5</v>
      </c>
      <c r="F5" s="104">
        <f>Calculations!J38</f>
        <v>-2.966739278582522E-5</v>
      </c>
      <c r="G5" s="104">
        <f>Calculations!K38</f>
        <v>-3.0480862693336038E-5</v>
      </c>
      <c r="H5" s="104">
        <f>Calculations!L38</f>
        <v>-3.1265934342526342E-5</v>
      </c>
      <c r="I5" s="104">
        <f>Calculations!M38</f>
        <v>-3.1916008373115099E-5</v>
      </c>
      <c r="J5" s="104">
        <f>Calculations!N38</f>
        <v>-3.2415062111801237E-5</v>
      </c>
      <c r="K5" s="104">
        <f>Calculations!O38</f>
        <v>-3.2805719262295077E-5</v>
      </c>
      <c r="L5" s="104">
        <f>Calculations!P38</f>
        <v>-3.30631416189835E-5</v>
      </c>
      <c r="M5" s="104">
        <f>Calculations!Q38</f>
        <v>-3.3182572516471292E-5</v>
      </c>
      <c r="N5" s="104">
        <f>Calculations!R38</f>
        <v>-3.3340096560442912E-5</v>
      </c>
      <c r="O5" s="104">
        <f>Calculations!S38</f>
        <v>-3.3520812758574673E-5</v>
      </c>
      <c r="P5" s="104">
        <f>Calculations!T38</f>
        <v>-3.370456548403216E-5</v>
      </c>
      <c r="Q5" s="104">
        <f>Calculations!U38</f>
        <v>-3.3898416898792946E-5</v>
      </c>
      <c r="R5" s="104">
        <f>Calculations!V38</f>
        <v>-3.411054418538392E-5</v>
      </c>
      <c r="S5" s="104">
        <f>Calculations!W38</f>
        <v>-3.43548918064673E-5</v>
      </c>
      <c r="T5" s="104">
        <f>Calculations!X38</f>
        <v>-3.4629543188954797E-5</v>
      </c>
      <c r="U5" s="104">
        <f>Calculations!Y38</f>
        <v>-3.4933084061972694E-5</v>
      </c>
      <c r="V5" s="104">
        <f>Calculations!Z38</f>
        <v>-3.529501549858149E-5</v>
      </c>
      <c r="W5" s="104">
        <f>Calculations!AA38</f>
        <v>-3.5638348886131939E-5</v>
      </c>
      <c r="X5" s="104">
        <f>Calculations!AB38</f>
        <v>-3.600279485901058E-5</v>
      </c>
      <c r="Y5" s="104">
        <f>Calculations!AC38</f>
        <v>-3.6373045963934243E-5</v>
      </c>
      <c r="Z5" s="104">
        <f>Calculations!AD38</f>
        <v>-3.674731371174959E-5</v>
      </c>
      <c r="AA5" s="104">
        <f>Calculations!AE38</f>
        <v>-3.7125437492508693E-5</v>
      </c>
      <c r="AB5" s="104">
        <f>Calculations!AF38</f>
        <v>-3.7515594059405938E-5</v>
      </c>
    </row>
    <row r="6" spans="1:30" x14ac:dyDescent="0.25">
      <c r="A6" s="1" t="s">
        <v>161</v>
      </c>
      <c r="B6" s="119">
        <f t="shared" ref="B6:AB6" si="1">B4</f>
        <v>9.3973178205071267E-6</v>
      </c>
      <c r="C6" s="119">
        <f t="shared" si="1"/>
        <v>9.4453546495072139E-6</v>
      </c>
      <c r="D6" s="119">
        <f t="shared" si="1"/>
        <v>9.4803150268189324E-6</v>
      </c>
      <c r="E6" s="119">
        <f t="shared" si="1"/>
        <v>9.5300498620191142E-6</v>
      </c>
      <c r="F6" s="119">
        <f t="shared" si="1"/>
        <v>9.5824325951225103E-6</v>
      </c>
      <c r="G6" s="119">
        <f t="shared" si="1"/>
        <v>9.6764267162371355E-6</v>
      </c>
      <c r="H6" s="119">
        <f t="shared" si="1"/>
        <v>9.7794420079978763E-6</v>
      </c>
      <c r="I6" s="119">
        <f t="shared" si="1"/>
        <v>9.8921549917815529E-6</v>
      </c>
      <c r="J6" s="119">
        <f t="shared" si="1"/>
        <v>1.0021102287051541E-5</v>
      </c>
      <c r="K6" s="119">
        <f t="shared" si="1"/>
        <v>1.0130143935556063E-5</v>
      </c>
      <c r="L6" s="119">
        <f t="shared" si="1"/>
        <v>1.0215096832453458E-5</v>
      </c>
      <c r="M6" s="119">
        <f t="shared" si="1"/>
        <v>1.0275170712047235E-5</v>
      </c>
      <c r="N6" s="119">
        <f t="shared" si="1"/>
        <v>1.0330611019118281E-5</v>
      </c>
      <c r="O6" s="119">
        <f t="shared" si="1"/>
        <v>1.0379119966126868E-5</v>
      </c>
      <c r="P6" s="119">
        <f t="shared" si="1"/>
        <v>1.0427048933146262E-5</v>
      </c>
      <c r="Q6" s="119">
        <f t="shared" si="1"/>
        <v>1.0474150100933603E-5</v>
      </c>
      <c r="R6" s="119">
        <f t="shared" si="1"/>
        <v>1.0527382322294204E-5</v>
      </c>
      <c r="S6" s="119">
        <f t="shared" si="1"/>
        <v>1.0594770600985294E-5</v>
      </c>
      <c r="T6" s="119">
        <f t="shared" si="1"/>
        <v>1.0672450434881948E-5</v>
      </c>
      <c r="U6" s="119">
        <f t="shared" si="1"/>
        <v>1.0757663810467844E-5</v>
      </c>
      <c r="V6" s="119">
        <f t="shared" si="1"/>
        <v>1.0846985717890305E-5</v>
      </c>
      <c r="W6" s="119">
        <f t="shared" si="1"/>
        <v>1.094210484477407E-5</v>
      </c>
      <c r="X6" s="119">
        <f t="shared" si="1"/>
        <v>1.1045726707390898E-5</v>
      </c>
      <c r="Y6" s="119">
        <f t="shared" si="1"/>
        <v>1.1151628296304343E-5</v>
      </c>
      <c r="Z6" s="119">
        <f t="shared" si="1"/>
        <v>1.1256209826355572E-5</v>
      </c>
      <c r="AA6" s="119">
        <f t="shared" si="1"/>
        <v>1.1361165021070192E-5</v>
      </c>
      <c r="AB6" s="119">
        <f t="shared" si="1"/>
        <v>1.1463420196349517E-5</v>
      </c>
    </row>
    <row r="7" spans="1:30" x14ac:dyDescent="0.25">
      <c r="A7" s="1" t="s">
        <v>50</v>
      </c>
      <c r="B7" s="119">
        <f t="shared" ref="B7:AB7" si="2">B5</f>
        <v>-2.7462405660377355E-5</v>
      </c>
      <c r="C7" s="119">
        <f t="shared" si="2"/>
        <v>-2.7752966878914129E-5</v>
      </c>
      <c r="D7" s="119">
        <f t="shared" si="2"/>
        <v>-2.824746584490387E-5</v>
      </c>
      <c r="E7" s="119">
        <f t="shared" si="2"/>
        <v>-2.8920036076964188E-5</v>
      </c>
      <c r="F7" s="119">
        <f t="shared" si="2"/>
        <v>-2.966739278582522E-5</v>
      </c>
      <c r="G7" s="119">
        <f t="shared" si="2"/>
        <v>-3.0480862693336038E-5</v>
      </c>
      <c r="H7" s="119">
        <f t="shared" si="2"/>
        <v>-3.1265934342526342E-5</v>
      </c>
      <c r="I7" s="119">
        <f t="shared" si="2"/>
        <v>-3.1916008373115099E-5</v>
      </c>
      <c r="J7" s="119">
        <f t="shared" si="2"/>
        <v>-3.2415062111801237E-5</v>
      </c>
      <c r="K7" s="119">
        <f t="shared" si="2"/>
        <v>-3.2805719262295077E-5</v>
      </c>
      <c r="L7" s="119">
        <f t="shared" si="2"/>
        <v>-3.30631416189835E-5</v>
      </c>
      <c r="M7" s="119">
        <f t="shared" si="2"/>
        <v>-3.3182572516471292E-5</v>
      </c>
      <c r="N7" s="119">
        <f t="shared" si="2"/>
        <v>-3.3340096560442912E-5</v>
      </c>
      <c r="O7" s="119">
        <f t="shared" si="2"/>
        <v>-3.3520812758574673E-5</v>
      </c>
      <c r="P7" s="119">
        <f t="shared" si="2"/>
        <v>-3.370456548403216E-5</v>
      </c>
      <c r="Q7" s="119">
        <f t="shared" si="2"/>
        <v>-3.3898416898792946E-5</v>
      </c>
      <c r="R7" s="119">
        <f t="shared" si="2"/>
        <v>-3.411054418538392E-5</v>
      </c>
      <c r="S7" s="119">
        <f t="shared" si="2"/>
        <v>-3.43548918064673E-5</v>
      </c>
      <c r="T7" s="119">
        <f t="shared" si="2"/>
        <v>-3.4629543188954797E-5</v>
      </c>
      <c r="U7" s="119">
        <f t="shared" si="2"/>
        <v>-3.4933084061972694E-5</v>
      </c>
      <c r="V7" s="119">
        <f t="shared" si="2"/>
        <v>-3.529501549858149E-5</v>
      </c>
      <c r="W7" s="119">
        <f t="shared" si="2"/>
        <v>-3.5638348886131939E-5</v>
      </c>
      <c r="X7" s="119">
        <f t="shared" si="2"/>
        <v>-3.600279485901058E-5</v>
      </c>
      <c r="Y7" s="119">
        <f t="shared" si="2"/>
        <v>-3.6373045963934243E-5</v>
      </c>
      <c r="Z7" s="119">
        <f t="shared" si="2"/>
        <v>-3.674731371174959E-5</v>
      </c>
      <c r="AA7" s="119">
        <f t="shared" si="2"/>
        <v>-3.7125437492508693E-5</v>
      </c>
      <c r="AB7" s="119">
        <f t="shared" si="2"/>
        <v>-3.7515594059405938E-5</v>
      </c>
    </row>
    <row r="8" spans="1:30" x14ac:dyDescent="0.25">
      <c r="A8" s="1" t="s">
        <v>162</v>
      </c>
      <c r="B8" s="119">
        <f t="shared" ref="B8:AB8" si="3">B5</f>
        <v>-2.7462405660377355E-5</v>
      </c>
      <c r="C8" s="119">
        <f t="shared" si="3"/>
        <v>-2.7752966878914129E-5</v>
      </c>
      <c r="D8" s="119">
        <f t="shared" si="3"/>
        <v>-2.824746584490387E-5</v>
      </c>
      <c r="E8" s="119">
        <f t="shared" si="3"/>
        <v>-2.8920036076964188E-5</v>
      </c>
      <c r="F8" s="119">
        <f t="shared" si="3"/>
        <v>-2.966739278582522E-5</v>
      </c>
      <c r="G8" s="119">
        <f t="shared" si="3"/>
        <v>-3.0480862693336038E-5</v>
      </c>
      <c r="H8" s="119">
        <f t="shared" si="3"/>
        <v>-3.1265934342526342E-5</v>
      </c>
      <c r="I8" s="119">
        <f t="shared" si="3"/>
        <v>-3.1916008373115099E-5</v>
      </c>
      <c r="J8" s="119">
        <f t="shared" si="3"/>
        <v>-3.2415062111801237E-5</v>
      </c>
      <c r="K8" s="119">
        <f t="shared" si="3"/>
        <v>-3.2805719262295077E-5</v>
      </c>
      <c r="L8" s="119">
        <f t="shared" si="3"/>
        <v>-3.30631416189835E-5</v>
      </c>
      <c r="M8" s="119">
        <f t="shared" si="3"/>
        <v>-3.3182572516471292E-5</v>
      </c>
      <c r="N8" s="119">
        <f t="shared" si="3"/>
        <v>-3.3340096560442912E-5</v>
      </c>
      <c r="O8" s="119">
        <f t="shared" si="3"/>
        <v>-3.3520812758574673E-5</v>
      </c>
      <c r="P8" s="119">
        <f t="shared" si="3"/>
        <v>-3.370456548403216E-5</v>
      </c>
      <c r="Q8" s="119">
        <f t="shared" si="3"/>
        <v>-3.3898416898792946E-5</v>
      </c>
      <c r="R8" s="119">
        <f t="shared" si="3"/>
        <v>-3.411054418538392E-5</v>
      </c>
      <c r="S8" s="119">
        <f t="shared" si="3"/>
        <v>-3.43548918064673E-5</v>
      </c>
      <c r="T8" s="119">
        <f t="shared" si="3"/>
        <v>-3.4629543188954797E-5</v>
      </c>
      <c r="U8" s="119">
        <f t="shared" si="3"/>
        <v>-3.4933084061972694E-5</v>
      </c>
      <c r="V8" s="119">
        <f t="shared" si="3"/>
        <v>-3.529501549858149E-5</v>
      </c>
      <c r="W8" s="119">
        <f t="shared" si="3"/>
        <v>-3.5638348886131939E-5</v>
      </c>
      <c r="X8" s="119">
        <f t="shared" si="3"/>
        <v>-3.600279485901058E-5</v>
      </c>
      <c r="Y8" s="119">
        <f t="shared" si="3"/>
        <v>-3.6373045963934243E-5</v>
      </c>
      <c r="Z8" s="119">
        <f t="shared" si="3"/>
        <v>-3.674731371174959E-5</v>
      </c>
      <c r="AA8" s="119">
        <f t="shared" si="3"/>
        <v>-3.7125437492508693E-5</v>
      </c>
      <c r="AB8" s="119">
        <f t="shared" si="3"/>
        <v>-3.7515594059405938E-5</v>
      </c>
    </row>
    <row r="9" spans="1:30" x14ac:dyDescent="0.25">
      <c r="A9" s="1" t="s">
        <v>163</v>
      </c>
      <c r="B9" s="119">
        <f t="shared" ref="B9:AB9" si="4">B5</f>
        <v>-2.7462405660377355E-5</v>
      </c>
      <c r="C9" s="119">
        <f t="shared" si="4"/>
        <v>-2.7752966878914129E-5</v>
      </c>
      <c r="D9" s="119">
        <f t="shared" si="4"/>
        <v>-2.824746584490387E-5</v>
      </c>
      <c r="E9" s="119">
        <f t="shared" si="4"/>
        <v>-2.8920036076964188E-5</v>
      </c>
      <c r="F9" s="119">
        <f t="shared" si="4"/>
        <v>-2.966739278582522E-5</v>
      </c>
      <c r="G9" s="119">
        <f t="shared" si="4"/>
        <v>-3.0480862693336038E-5</v>
      </c>
      <c r="H9" s="119">
        <f t="shared" si="4"/>
        <v>-3.1265934342526342E-5</v>
      </c>
      <c r="I9" s="119">
        <f t="shared" si="4"/>
        <v>-3.1916008373115099E-5</v>
      </c>
      <c r="J9" s="119">
        <f t="shared" si="4"/>
        <v>-3.2415062111801237E-5</v>
      </c>
      <c r="K9" s="119">
        <f t="shared" si="4"/>
        <v>-3.2805719262295077E-5</v>
      </c>
      <c r="L9" s="119">
        <f t="shared" si="4"/>
        <v>-3.30631416189835E-5</v>
      </c>
      <c r="M9" s="119">
        <f t="shared" si="4"/>
        <v>-3.3182572516471292E-5</v>
      </c>
      <c r="N9" s="119">
        <f t="shared" si="4"/>
        <v>-3.3340096560442912E-5</v>
      </c>
      <c r="O9" s="119">
        <f t="shared" si="4"/>
        <v>-3.3520812758574673E-5</v>
      </c>
      <c r="P9" s="119">
        <f t="shared" si="4"/>
        <v>-3.370456548403216E-5</v>
      </c>
      <c r="Q9" s="119">
        <f t="shared" si="4"/>
        <v>-3.3898416898792946E-5</v>
      </c>
      <c r="R9" s="119">
        <f t="shared" si="4"/>
        <v>-3.411054418538392E-5</v>
      </c>
      <c r="S9" s="119">
        <f t="shared" si="4"/>
        <v>-3.43548918064673E-5</v>
      </c>
      <c r="T9" s="119">
        <f t="shared" si="4"/>
        <v>-3.4629543188954797E-5</v>
      </c>
      <c r="U9" s="119">
        <f t="shared" si="4"/>
        <v>-3.4933084061972694E-5</v>
      </c>
      <c r="V9" s="119">
        <f t="shared" si="4"/>
        <v>-3.529501549858149E-5</v>
      </c>
      <c r="W9" s="119">
        <f t="shared" si="4"/>
        <v>-3.5638348886131939E-5</v>
      </c>
      <c r="X9" s="119">
        <f t="shared" si="4"/>
        <v>-3.600279485901058E-5</v>
      </c>
      <c r="Y9" s="119">
        <f t="shared" si="4"/>
        <v>-3.6373045963934243E-5</v>
      </c>
      <c r="Z9" s="119">
        <f t="shared" si="4"/>
        <v>-3.674731371174959E-5</v>
      </c>
      <c r="AA9" s="119">
        <f t="shared" si="4"/>
        <v>-3.7125437492508693E-5</v>
      </c>
      <c r="AB9" s="119">
        <f t="shared" si="4"/>
        <v>-3.7515594059405938E-5</v>
      </c>
    </row>
    <row r="10" spans="1:30" x14ac:dyDescent="0.25">
      <c r="A10" s="1" t="s">
        <v>164</v>
      </c>
      <c r="B10" s="119">
        <f t="shared" ref="B10:AB10" si="5">B4</f>
        <v>9.3973178205071267E-6</v>
      </c>
      <c r="C10" s="119">
        <f t="shared" si="5"/>
        <v>9.4453546495072139E-6</v>
      </c>
      <c r="D10" s="119">
        <f t="shared" si="5"/>
        <v>9.4803150268189324E-6</v>
      </c>
      <c r="E10" s="119">
        <f t="shared" si="5"/>
        <v>9.5300498620191142E-6</v>
      </c>
      <c r="F10" s="119">
        <f t="shared" si="5"/>
        <v>9.5824325951225103E-6</v>
      </c>
      <c r="G10" s="119">
        <f t="shared" si="5"/>
        <v>9.6764267162371355E-6</v>
      </c>
      <c r="H10" s="119">
        <f t="shared" si="5"/>
        <v>9.7794420079978763E-6</v>
      </c>
      <c r="I10" s="119">
        <f t="shared" si="5"/>
        <v>9.8921549917815529E-6</v>
      </c>
      <c r="J10" s="119">
        <f t="shared" si="5"/>
        <v>1.0021102287051541E-5</v>
      </c>
      <c r="K10" s="119">
        <f t="shared" si="5"/>
        <v>1.0130143935556063E-5</v>
      </c>
      <c r="L10" s="119">
        <f t="shared" si="5"/>
        <v>1.0215096832453458E-5</v>
      </c>
      <c r="M10" s="119">
        <f t="shared" si="5"/>
        <v>1.0275170712047235E-5</v>
      </c>
      <c r="N10" s="119">
        <f t="shared" si="5"/>
        <v>1.0330611019118281E-5</v>
      </c>
      <c r="O10" s="119">
        <f t="shared" si="5"/>
        <v>1.0379119966126868E-5</v>
      </c>
      <c r="P10" s="119">
        <f t="shared" si="5"/>
        <v>1.0427048933146262E-5</v>
      </c>
      <c r="Q10" s="119">
        <f t="shared" si="5"/>
        <v>1.0474150100933603E-5</v>
      </c>
      <c r="R10" s="119">
        <f t="shared" si="5"/>
        <v>1.0527382322294204E-5</v>
      </c>
      <c r="S10" s="119">
        <f t="shared" si="5"/>
        <v>1.0594770600985294E-5</v>
      </c>
      <c r="T10" s="119">
        <f t="shared" si="5"/>
        <v>1.0672450434881948E-5</v>
      </c>
      <c r="U10" s="119">
        <f t="shared" si="5"/>
        <v>1.0757663810467844E-5</v>
      </c>
      <c r="V10" s="119">
        <f t="shared" si="5"/>
        <v>1.0846985717890305E-5</v>
      </c>
      <c r="W10" s="119">
        <f t="shared" si="5"/>
        <v>1.094210484477407E-5</v>
      </c>
      <c r="X10" s="119">
        <f t="shared" si="5"/>
        <v>1.1045726707390898E-5</v>
      </c>
      <c r="Y10" s="119">
        <f t="shared" si="5"/>
        <v>1.1151628296304343E-5</v>
      </c>
      <c r="Z10" s="119">
        <f t="shared" si="5"/>
        <v>1.1256209826355572E-5</v>
      </c>
      <c r="AA10" s="119">
        <f t="shared" si="5"/>
        <v>1.1361165021070192E-5</v>
      </c>
      <c r="AB10" s="119">
        <f t="shared" si="5"/>
        <v>1.1463420196349517E-5</v>
      </c>
    </row>
    <row r="11" spans="1:30" x14ac:dyDescent="0.25">
      <c r="A11" s="1" t="s">
        <v>165</v>
      </c>
      <c r="B11" s="119">
        <f t="shared" ref="B11:AB11" si="6">B4</f>
        <v>9.3973178205071267E-6</v>
      </c>
      <c r="C11" s="119">
        <f t="shared" si="6"/>
        <v>9.4453546495072139E-6</v>
      </c>
      <c r="D11" s="119">
        <f t="shared" si="6"/>
        <v>9.4803150268189324E-6</v>
      </c>
      <c r="E11" s="119">
        <f t="shared" si="6"/>
        <v>9.5300498620191142E-6</v>
      </c>
      <c r="F11" s="119">
        <f t="shared" si="6"/>
        <v>9.5824325951225103E-6</v>
      </c>
      <c r="G11" s="119">
        <f t="shared" si="6"/>
        <v>9.6764267162371355E-6</v>
      </c>
      <c r="H11" s="119">
        <f t="shared" si="6"/>
        <v>9.7794420079978763E-6</v>
      </c>
      <c r="I11" s="119">
        <f t="shared" si="6"/>
        <v>9.8921549917815529E-6</v>
      </c>
      <c r="J11" s="119">
        <f t="shared" si="6"/>
        <v>1.0021102287051541E-5</v>
      </c>
      <c r="K11" s="119">
        <f t="shared" si="6"/>
        <v>1.0130143935556063E-5</v>
      </c>
      <c r="L11" s="119">
        <f t="shared" si="6"/>
        <v>1.0215096832453458E-5</v>
      </c>
      <c r="M11" s="119">
        <f t="shared" si="6"/>
        <v>1.0275170712047235E-5</v>
      </c>
      <c r="N11" s="119">
        <f t="shared" si="6"/>
        <v>1.0330611019118281E-5</v>
      </c>
      <c r="O11" s="119">
        <f t="shared" si="6"/>
        <v>1.0379119966126868E-5</v>
      </c>
      <c r="P11" s="119">
        <f t="shared" si="6"/>
        <v>1.0427048933146262E-5</v>
      </c>
      <c r="Q11" s="119">
        <f t="shared" si="6"/>
        <v>1.0474150100933603E-5</v>
      </c>
      <c r="R11" s="119">
        <f t="shared" si="6"/>
        <v>1.0527382322294204E-5</v>
      </c>
      <c r="S11" s="119">
        <f t="shared" si="6"/>
        <v>1.0594770600985294E-5</v>
      </c>
      <c r="T11" s="119">
        <f t="shared" si="6"/>
        <v>1.0672450434881948E-5</v>
      </c>
      <c r="U11" s="119">
        <f t="shared" si="6"/>
        <v>1.0757663810467844E-5</v>
      </c>
      <c r="V11" s="119">
        <f t="shared" si="6"/>
        <v>1.0846985717890305E-5</v>
      </c>
      <c r="W11" s="119">
        <f t="shared" si="6"/>
        <v>1.094210484477407E-5</v>
      </c>
      <c r="X11" s="119">
        <f t="shared" si="6"/>
        <v>1.1045726707390898E-5</v>
      </c>
      <c r="Y11" s="119">
        <f t="shared" si="6"/>
        <v>1.1151628296304343E-5</v>
      </c>
      <c r="Z11" s="119">
        <f t="shared" si="6"/>
        <v>1.1256209826355572E-5</v>
      </c>
      <c r="AA11" s="119">
        <f t="shared" si="6"/>
        <v>1.1361165021070192E-5</v>
      </c>
      <c r="AB11" s="119">
        <f t="shared" si="6"/>
        <v>1.1463420196349517E-5</v>
      </c>
    </row>
  </sheetData>
  <pageMargins left="0.7" right="0.7" top="0.75" bottom="0.75" header="0.3" footer="0.3"/>
  <pageSetup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8" tint="-0.249977111117893"/>
  </sheetPr>
  <dimension ref="A1:AD11"/>
  <sheetViews>
    <sheetView zoomScaleNormal="100" workbookViewId="0">
      <selection activeCell="B6" sqref="B6"/>
    </sheetView>
  </sheetViews>
  <sheetFormatPr defaultRowHeight="15" x14ac:dyDescent="0.25"/>
  <cols>
    <col min="1" max="1" width="29.85546875" customWidth="1"/>
    <col min="2" max="28" width="10" customWidth="1"/>
  </cols>
  <sheetData>
    <row r="1" spans="1:30" x14ac:dyDescent="0.25">
      <c r="A1" s="121" t="s">
        <v>171</v>
      </c>
      <c r="B1" s="1">
        <v>2024</v>
      </c>
      <c r="C1" s="1">
        <v>2025</v>
      </c>
      <c r="D1" s="1">
        <v>2026</v>
      </c>
      <c r="E1" s="1">
        <v>2027</v>
      </c>
      <c r="F1" s="1">
        <v>2028</v>
      </c>
      <c r="G1" s="1">
        <v>2029</v>
      </c>
      <c r="H1" s="1">
        <v>2030</v>
      </c>
      <c r="I1" s="1">
        <v>2031</v>
      </c>
      <c r="J1" s="1">
        <v>2032</v>
      </c>
      <c r="K1" s="1">
        <v>2033</v>
      </c>
      <c r="L1" s="1">
        <v>2034</v>
      </c>
      <c r="M1" s="1">
        <v>2035</v>
      </c>
      <c r="N1" s="1">
        <v>2036</v>
      </c>
      <c r="O1" s="1">
        <v>2037</v>
      </c>
      <c r="P1" s="1">
        <v>2038</v>
      </c>
      <c r="Q1" s="1">
        <v>2039</v>
      </c>
      <c r="R1" s="1">
        <v>2040</v>
      </c>
      <c r="S1" s="1">
        <v>2041</v>
      </c>
      <c r="T1" s="1">
        <v>2042</v>
      </c>
      <c r="U1" s="1">
        <v>2043</v>
      </c>
      <c r="V1" s="1">
        <v>2044</v>
      </c>
      <c r="W1" s="1">
        <v>2045</v>
      </c>
      <c r="X1" s="1">
        <v>2046</v>
      </c>
      <c r="Y1" s="1">
        <v>2047</v>
      </c>
      <c r="Z1" s="1">
        <v>2048</v>
      </c>
      <c r="AA1" s="1">
        <v>2049</v>
      </c>
      <c r="AB1" s="1">
        <v>2050</v>
      </c>
      <c r="AC1" s="1"/>
      <c r="AD1" s="1"/>
    </row>
    <row r="2" spans="1:30" x14ac:dyDescent="0.25">
      <c r="A2" s="1" t="s">
        <v>158</v>
      </c>
      <c r="B2" s="120">
        <v>0</v>
      </c>
      <c r="C2" s="120">
        <v>0</v>
      </c>
      <c r="D2" s="120">
        <v>0</v>
      </c>
      <c r="E2" s="120">
        <v>0</v>
      </c>
      <c r="F2" s="120">
        <v>0</v>
      </c>
      <c r="G2" s="120">
        <v>0</v>
      </c>
      <c r="H2" s="120">
        <v>0</v>
      </c>
      <c r="I2" s="120">
        <v>0</v>
      </c>
      <c r="J2" s="120">
        <v>0</v>
      </c>
      <c r="K2" s="120">
        <v>0</v>
      </c>
      <c r="L2" s="120">
        <v>0</v>
      </c>
      <c r="M2" s="120">
        <v>0</v>
      </c>
      <c r="N2" s="120">
        <v>0</v>
      </c>
      <c r="O2" s="120">
        <v>0</v>
      </c>
      <c r="P2" s="120">
        <v>0</v>
      </c>
      <c r="Q2" s="120">
        <v>0</v>
      </c>
      <c r="R2" s="120">
        <v>0</v>
      </c>
      <c r="S2" s="120">
        <v>0</v>
      </c>
      <c r="T2" s="120">
        <v>0</v>
      </c>
      <c r="U2" s="120">
        <v>0</v>
      </c>
      <c r="V2" s="120">
        <v>0</v>
      </c>
      <c r="W2" s="120">
        <v>0</v>
      </c>
      <c r="X2" s="120">
        <v>0</v>
      </c>
      <c r="Y2" s="120">
        <v>0</v>
      </c>
      <c r="Z2" s="120">
        <v>0</v>
      </c>
      <c r="AA2" s="120">
        <v>0</v>
      </c>
      <c r="AB2" s="120">
        <v>0</v>
      </c>
      <c r="AD2" s="118"/>
    </row>
    <row r="3" spans="1:30" x14ac:dyDescent="0.25">
      <c r="A3" s="1" t="s">
        <v>159</v>
      </c>
      <c r="B3" s="119">
        <f t="shared" ref="B3:AB3" si="0">B4</f>
        <v>9.3973178205071267E-6</v>
      </c>
      <c r="C3" s="119">
        <f t="shared" si="0"/>
        <v>9.4453546495072139E-6</v>
      </c>
      <c r="D3" s="119">
        <f t="shared" si="0"/>
        <v>9.4803150268189324E-6</v>
      </c>
      <c r="E3" s="119">
        <f t="shared" si="0"/>
        <v>9.5300498620191142E-6</v>
      </c>
      <c r="F3" s="119">
        <f t="shared" si="0"/>
        <v>9.5824325951225103E-6</v>
      </c>
      <c r="G3" s="119">
        <f t="shared" si="0"/>
        <v>9.6764267162371355E-6</v>
      </c>
      <c r="H3" s="119">
        <f t="shared" si="0"/>
        <v>9.7794420079978763E-6</v>
      </c>
      <c r="I3" s="119">
        <f t="shared" si="0"/>
        <v>9.8921549917815529E-6</v>
      </c>
      <c r="J3" s="119">
        <f t="shared" si="0"/>
        <v>1.0021102287051541E-5</v>
      </c>
      <c r="K3" s="119">
        <f t="shared" si="0"/>
        <v>1.0130143935556063E-5</v>
      </c>
      <c r="L3" s="119">
        <f t="shared" si="0"/>
        <v>1.0215096832453458E-5</v>
      </c>
      <c r="M3" s="119">
        <f t="shared" si="0"/>
        <v>1.0275170712047235E-5</v>
      </c>
      <c r="N3" s="119">
        <f t="shared" si="0"/>
        <v>1.0330611019118281E-5</v>
      </c>
      <c r="O3" s="119">
        <f t="shared" si="0"/>
        <v>1.0379119966126868E-5</v>
      </c>
      <c r="P3" s="119">
        <f t="shared" si="0"/>
        <v>1.0427048933146262E-5</v>
      </c>
      <c r="Q3" s="119">
        <f t="shared" si="0"/>
        <v>1.0474150100933603E-5</v>
      </c>
      <c r="R3" s="119">
        <f t="shared" si="0"/>
        <v>1.0527382322294204E-5</v>
      </c>
      <c r="S3" s="119">
        <f t="shared" si="0"/>
        <v>1.0594770600985294E-5</v>
      </c>
      <c r="T3" s="119">
        <f t="shared" si="0"/>
        <v>1.0672450434881948E-5</v>
      </c>
      <c r="U3" s="119">
        <f t="shared" si="0"/>
        <v>1.0757663810467844E-5</v>
      </c>
      <c r="V3" s="119">
        <f t="shared" si="0"/>
        <v>1.0846985717890305E-5</v>
      </c>
      <c r="W3" s="119">
        <f t="shared" si="0"/>
        <v>1.094210484477407E-5</v>
      </c>
      <c r="X3" s="119">
        <f t="shared" si="0"/>
        <v>1.1045726707390898E-5</v>
      </c>
      <c r="Y3" s="119">
        <f t="shared" si="0"/>
        <v>1.1151628296304343E-5</v>
      </c>
      <c r="Z3" s="119">
        <f t="shared" si="0"/>
        <v>1.1256209826355572E-5</v>
      </c>
      <c r="AA3" s="119">
        <f t="shared" si="0"/>
        <v>1.1361165021070192E-5</v>
      </c>
      <c r="AB3" s="119">
        <f t="shared" si="0"/>
        <v>1.1463420196349517E-5</v>
      </c>
    </row>
    <row r="4" spans="1:30" x14ac:dyDescent="0.25">
      <c r="A4" s="1" t="s">
        <v>13</v>
      </c>
      <c r="B4" s="104">
        <f>Calculations!F37</f>
        <v>9.3973178205071267E-6</v>
      </c>
      <c r="C4" s="104">
        <f>Calculations!G37</f>
        <v>9.4453546495072139E-6</v>
      </c>
      <c r="D4" s="104">
        <f>Calculations!H37</f>
        <v>9.4803150268189324E-6</v>
      </c>
      <c r="E4" s="104">
        <f>Calculations!I37</f>
        <v>9.5300498620191142E-6</v>
      </c>
      <c r="F4" s="104">
        <f>Calculations!J37</f>
        <v>9.5824325951225103E-6</v>
      </c>
      <c r="G4" s="104">
        <f>Calculations!K37</f>
        <v>9.6764267162371355E-6</v>
      </c>
      <c r="H4" s="104">
        <f>Calculations!L37</f>
        <v>9.7794420079978763E-6</v>
      </c>
      <c r="I4" s="104">
        <f>Calculations!M37</f>
        <v>9.8921549917815529E-6</v>
      </c>
      <c r="J4" s="104">
        <f>Calculations!N37</f>
        <v>1.0021102287051541E-5</v>
      </c>
      <c r="K4" s="104">
        <f>Calculations!O37</f>
        <v>1.0130143935556063E-5</v>
      </c>
      <c r="L4" s="104">
        <f>Calculations!P37</f>
        <v>1.0215096832453458E-5</v>
      </c>
      <c r="M4" s="104">
        <f>Calculations!Q37</f>
        <v>1.0275170712047235E-5</v>
      </c>
      <c r="N4" s="104">
        <f>Calculations!R37</f>
        <v>1.0330611019118281E-5</v>
      </c>
      <c r="O4" s="104">
        <f>Calculations!S37</f>
        <v>1.0379119966126868E-5</v>
      </c>
      <c r="P4" s="104">
        <f>Calculations!T37</f>
        <v>1.0427048933146262E-5</v>
      </c>
      <c r="Q4" s="104">
        <f>Calculations!U37</f>
        <v>1.0474150100933603E-5</v>
      </c>
      <c r="R4" s="104">
        <f>Calculations!V37</f>
        <v>1.0527382322294204E-5</v>
      </c>
      <c r="S4" s="104">
        <f>Calculations!W37</f>
        <v>1.0594770600985294E-5</v>
      </c>
      <c r="T4" s="104">
        <f>Calculations!X37</f>
        <v>1.0672450434881948E-5</v>
      </c>
      <c r="U4" s="104">
        <f>Calculations!Y37</f>
        <v>1.0757663810467844E-5</v>
      </c>
      <c r="V4" s="104">
        <f>Calculations!Z37</f>
        <v>1.0846985717890305E-5</v>
      </c>
      <c r="W4" s="104">
        <f>Calculations!AA37</f>
        <v>1.094210484477407E-5</v>
      </c>
      <c r="X4" s="104">
        <f>Calculations!AB37</f>
        <v>1.1045726707390898E-5</v>
      </c>
      <c r="Y4" s="104">
        <f>Calculations!AC37</f>
        <v>1.1151628296304343E-5</v>
      </c>
      <c r="Z4" s="104">
        <f>Calculations!AD37</f>
        <v>1.1256209826355572E-5</v>
      </c>
      <c r="AA4" s="104">
        <f>Calculations!AE37</f>
        <v>1.1361165021070192E-5</v>
      </c>
      <c r="AB4" s="104">
        <f>Calculations!AF37</f>
        <v>1.1463420196349517E-5</v>
      </c>
    </row>
    <row r="5" spans="1:30" x14ac:dyDescent="0.25">
      <c r="A5" s="1" t="s">
        <v>160</v>
      </c>
      <c r="B5" s="104">
        <f>Calculations!F38</f>
        <v>-2.7462405660377355E-5</v>
      </c>
      <c r="C5" s="104">
        <f>Calculations!G38</f>
        <v>-2.7752966878914129E-5</v>
      </c>
      <c r="D5" s="104">
        <f>Calculations!H38</f>
        <v>-2.824746584490387E-5</v>
      </c>
      <c r="E5" s="104">
        <f>Calculations!I38</f>
        <v>-2.8920036076964188E-5</v>
      </c>
      <c r="F5" s="104">
        <f>Calculations!J38</f>
        <v>-2.966739278582522E-5</v>
      </c>
      <c r="G5" s="104">
        <f>Calculations!K38</f>
        <v>-3.0480862693336038E-5</v>
      </c>
      <c r="H5" s="104">
        <f>Calculations!L38</f>
        <v>-3.1265934342526342E-5</v>
      </c>
      <c r="I5" s="104">
        <f>Calculations!M38</f>
        <v>-3.1916008373115099E-5</v>
      </c>
      <c r="J5" s="104">
        <f>Calculations!N38</f>
        <v>-3.2415062111801237E-5</v>
      </c>
      <c r="K5" s="104">
        <f>Calculations!O38</f>
        <v>-3.2805719262295077E-5</v>
      </c>
      <c r="L5" s="104">
        <f>Calculations!P38</f>
        <v>-3.30631416189835E-5</v>
      </c>
      <c r="M5" s="104">
        <f>Calculations!Q38</f>
        <v>-3.3182572516471292E-5</v>
      </c>
      <c r="N5" s="104">
        <f>Calculations!R38</f>
        <v>-3.3340096560442912E-5</v>
      </c>
      <c r="O5" s="104">
        <f>Calculations!S38</f>
        <v>-3.3520812758574673E-5</v>
      </c>
      <c r="P5" s="104">
        <f>Calculations!T38</f>
        <v>-3.370456548403216E-5</v>
      </c>
      <c r="Q5" s="104">
        <f>Calculations!U38</f>
        <v>-3.3898416898792946E-5</v>
      </c>
      <c r="R5" s="104">
        <f>Calculations!V38</f>
        <v>-3.411054418538392E-5</v>
      </c>
      <c r="S5" s="104">
        <f>Calculations!W38</f>
        <v>-3.43548918064673E-5</v>
      </c>
      <c r="T5" s="104">
        <f>Calculations!X38</f>
        <v>-3.4629543188954797E-5</v>
      </c>
      <c r="U5" s="104">
        <f>Calculations!Y38</f>
        <v>-3.4933084061972694E-5</v>
      </c>
      <c r="V5" s="104">
        <f>Calculations!Z38</f>
        <v>-3.529501549858149E-5</v>
      </c>
      <c r="W5" s="104">
        <f>Calculations!AA38</f>
        <v>-3.5638348886131939E-5</v>
      </c>
      <c r="X5" s="104">
        <f>Calculations!AB38</f>
        <v>-3.600279485901058E-5</v>
      </c>
      <c r="Y5" s="104">
        <f>Calculations!AC38</f>
        <v>-3.6373045963934243E-5</v>
      </c>
      <c r="Z5" s="104">
        <f>Calculations!AD38</f>
        <v>-3.674731371174959E-5</v>
      </c>
      <c r="AA5" s="104">
        <f>Calculations!AE38</f>
        <v>-3.7125437492508693E-5</v>
      </c>
      <c r="AB5" s="104">
        <f>Calculations!AF38</f>
        <v>-3.7515594059405938E-5</v>
      </c>
    </row>
    <row r="6" spans="1:30" x14ac:dyDescent="0.25">
      <c r="A6" s="1" t="s">
        <v>161</v>
      </c>
      <c r="B6" s="119">
        <f t="shared" ref="B6:AB7" si="1">B4</f>
        <v>9.3973178205071267E-6</v>
      </c>
      <c r="C6" s="119">
        <f t="shared" si="1"/>
        <v>9.4453546495072139E-6</v>
      </c>
      <c r="D6" s="119">
        <f t="shared" si="1"/>
        <v>9.4803150268189324E-6</v>
      </c>
      <c r="E6" s="119">
        <f t="shared" si="1"/>
        <v>9.5300498620191142E-6</v>
      </c>
      <c r="F6" s="119">
        <f t="shared" si="1"/>
        <v>9.5824325951225103E-6</v>
      </c>
      <c r="G6" s="119">
        <f t="shared" si="1"/>
        <v>9.6764267162371355E-6</v>
      </c>
      <c r="H6" s="119">
        <f t="shared" si="1"/>
        <v>9.7794420079978763E-6</v>
      </c>
      <c r="I6" s="119">
        <f t="shared" si="1"/>
        <v>9.8921549917815529E-6</v>
      </c>
      <c r="J6" s="119">
        <f t="shared" si="1"/>
        <v>1.0021102287051541E-5</v>
      </c>
      <c r="K6" s="119">
        <f t="shared" si="1"/>
        <v>1.0130143935556063E-5</v>
      </c>
      <c r="L6" s="119">
        <f t="shared" si="1"/>
        <v>1.0215096832453458E-5</v>
      </c>
      <c r="M6" s="119">
        <f t="shared" si="1"/>
        <v>1.0275170712047235E-5</v>
      </c>
      <c r="N6" s="119">
        <f t="shared" si="1"/>
        <v>1.0330611019118281E-5</v>
      </c>
      <c r="O6" s="119">
        <f t="shared" si="1"/>
        <v>1.0379119966126868E-5</v>
      </c>
      <c r="P6" s="119">
        <f t="shared" si="1"/>
        <v>1.0427048933146262E-5</v>
      </c>
      <c r="Q6" s="119">
        <f t="shared" si="1"/>
        <v>1.0474150100933603E-5</v>
      </c>
      <c r="R6" s="119">
        <f t="shared" si="1"/>
        <v>1.0527382322294204E-5</v>
      </c>
      <c r="S6" s="119">
        <f t="shared" si="1"/>
        <v>1.0594770600985294E-5</v>
      </c>
      <c r="T6" s="119">
        <f t="shared" si="1"/>
        <v>1.0672450434881948E-5</v>
      </c>
      <c r="U6" s="119">
        <f t="shared" si="1"/>
        <v>1.0757663810467844E-5</v>
      </c>
      <c r="V6" s="119">
        <f t="shared" si="1"/>
        <v>1.0846985717890305E-5</v>
      </c>
      <c r="W6" s="119">
        <f t="shared" si="1"/>
        <v>1.094210484477407E-5</v>
      </c>
      <c r="X6" s="119">
        <f t="shared" si="1"/>
        <v>1.1045726707390898E-5</v>
      </c>
      <c r="Y6" s="119">
        <f t="shared" si="1"/>
        <v>1.1151628296304343E-5</v>
      </c>
      <c r="Z6" s="119">
        <f t="shared" si="1"/>
        <v>1.1256209826355572E-5</v>
      </c>
      <c r="AA6" s="119">
        <f t="shared" si="1"/>
        <v>1.1361165021070192E-5</v>
      </c>
      <c r="AB6" s="119">
        <f t="shared" si="1"/>
        <v>1.1463420196349517E-5</v>
      </c>
    </row>
    <row r="7" spans="1:30" x14ac:dyDescent="0.25">
      <c r="A7" s="1" t="s">
        <v>50</v>
      </c>
      <c r="B7" s="119">
        <f t="shared" si="1"/>
        <v>-2.7462405660377355E-5</v>
      </c>
      <c r="C7" s="119">
        <f t="shared" si="1"/>
        <v>-2.7752966878914129E-5</v>
      </c>
      <c r="D7" s="119">
        <f t="shared" si="1"/>
        <v>-2.824746584490387E-5</v>
      </c>
      <c r="E7" s="119">
        <f t="shared" si="1"/>
        <v>-2.8920036076964188E-5</v>
      </c>
      <c r="F7" s="119">
        <f t="shared" si="1"/>
        <v>-2.966739278582522E-5</v>
      </c>
      <c r="G7" s="119">
        <f t="shared" si="1"/>
        <v>-3.0480862693336038E-5</v>
      </c>
      <c r="H7" s="119">
        <f t="shared" si="1"/>
        <v>-3.1265934342526342E-5</v>
      </c>
      <c r="I7" s="119">
        <f t="shared" si="1"/>
        <v>-3.1916008373115099E-5</v>
      </c>
      <c r="J7" s="119">
        <f t="shared" si="1"/>
        <v>-3.2415062111801237E-5</v>
      </c>
      <c r="K7" s="119">
        <f t="shared" si="1"/>
        <v>-3.2805719262295077E-5</v>
      </c>
      <c r="L7" s="119">
        <f t="shared" si="1"/>
        <v>-3.30631416189835E-5</v>
      </c>
      <c r="M7" s="119">
        <f t="shared" si="1"/>
        <v>-3.3182572516471292E-5</v>
      </c>
      <c r="N7" s="119">
        <f t="shared" si="1"/>
        <v>-3.3340096560442912E-5</v>
      </c>
      <c r="O7" s="119">
        <f t="shared" si="1"/>
        <v>-3.3520812758574673E-5</v>
      </c>
      <c r="P7" s="119">
        <f t="shared" si="1"/>
        <v>-3.370456548403216E-5</v>
      </c>
      <c r="Q7" s="119">
        <f t="shared" si="1"/>
        <v>-3.3898416898792946E-5</v>
      </c>
      <c r="R7" s="119">
        <f t="shared" si="1"/>
        <v>-3.411054418538392E-5</v>
      </c>
      <c r="S7" s="119">
        <f t="shared" si="1"/>
        <v>-3.43548918064673E-5</v>
      </c>
      <c r="T7" s="119">
        <f t="shared" si="1"/>
        <v>-3.4629543188954797E-5</v>
      </c>
      <c r="U7" s="119">
        <f t="shared" si="1"/>
        <v>-3.4933084061972694E-5</v>
      </c>
      <c r="V7" s="119">
        <f t="shared" si="1"/>
        <v>-3.529501549858149E-5</v>
      </c>
      <c r="W7" s="119">
        <f t="shared" si="1"/>
        <v>-3.5638348886131939E-5</v>
      </c>
      <c r="X7" s="119">
        <f t="shared" si="1"/>
        <v>-3.600279485901058E-5</v>
      </c>
      <c r="Y7" s="119">
        <f t="shared" si="1"/>
        <v>-3.6373045963934243E-5</v>
      </c>
      <c r="Z7" s="119">
        <f t="shared" si="1"/>
        <v>-3.674731371174959E-5</v>
      </c>
      <c r="AA7" s="119">
        <f t="shared" si="1"/>
        <v>-3.7125437492508693E-5</v>
      </c>
      <c r="AB7" s="119">
        <f t="shared" si="1"/>
        <v>-3.7515594059405938E-5</v>
      </c>
    </row>
    <row r="8" spans="1:30" x14ac:dyDescent="0.25">
      <c r="A8" s="1" t="s">
        <v>162</v>
      </c>
      <c r="B8" s="119">
        <f t="shared" ref="B8:AB8" si="2">B5</f>
        <v>-2.7462405660377355E-5</v>
      </c>
      <c r="C8" s="119">
        <f t="shared" si="2"/>
        <v>-2.7752966878914129E-5</v>
      </c>
      <c r="D8" s="119">
        <f t="shared" si="2"/>
        <v>-2.824746584490387E-5</v>
      </c>
      <c r="E8" s="119">
        <f t="shared" si="2"/>
        <v>-2.8920036076964188E-5</v>
      </c>
      <c r="F8" s="119">
        <f t="shared" si="2"/>
        <v>-2.966739278582522E-5</v>
      </c>
      <c r="G8" s="119">
        <f t="shared" si="2"/>
        <v>-3.0480862693336038E-5</v>
      </c>
      <c r="H8" s="119">
        <f t="shared" si="2"/>
        <v>-3.1265934342526342E-5</v>
      </c>
      <c r="I8" s="119">
        <f t="shared" si="2"/>
        <v>-3.1916008373115099E-5</v>
      </c>
      <c r="J8" s="119">
        <f t="shared" si="2"/>
        <v>-3.2415062111801237E-5</v>
      </c>
      <c r="K8" s="119">
        <f t="shared" si="2"/>
        <v>-3.2805719262295077E-5</v>
      </c>
      <c r="L8" s="119">
        <f t="shared" si="2"/>
        <v>-3.30631416189835E-5</v>
      </c>
      <c r="M8" s="119">
        <f t="shared" si="2"/>
        <v>-3.3182572516471292E-5</v>
      </c>
      <c r="N8" s="119">
        <f t="shared" si="2"/>
        <v>-3.3340096560442912E-5</v>
      </c>
      <c r="O8" s="119">
        <f t="shared" si="2"/>
        <v>-3.3520812758574673E-5</v>
      </c>
      <c r="P8" s="119">
        <f t="shared" si="2"/>
        <v>-3.370456548403216E-5</v>
      </c>
      <c r="Q8" s="119">
        <f t="shared" si="2"/>
        <v>-3.3898416898792946E-5</v>
      </c>
      <c r="R8" s="119">
        <f t="shared" si="2"/>
        <v>-3.411054418538392E-5</v>
      </c>
      <c r="S8" s="119">
        <f t="shared" si="2"/>
        <v>-3.43548918064673E-5</v>
      </c>
      <c r="T8" s="119">
        <f t="shared" si="2"/>
        <v>-3.4629543188954797E-5</v>
      </c>
      <c r="U8" s="119">
        <f t="shared" si="2"/>
        <v>-3.4933084061972694E-5</v>
      </c>
      <c r="V8" s="119">
        <f t="shared" si="2"/>
        <v>-3.529501549858149E-5</v>
      </c>
      <c r="W8" s="119">
        <f t="shared" si="2"/>
        <v>-3.5638348886131939E-5</v>
      </c>
      <c r="X8" s="119">
        <f t="shared" si="2"/>
        <v>-3.600279485901058E-5</v>
      </c>
      <c r="Y8" s="119">
        <f t="shared" si="2"/>
        <v>-3.6373045963934243E-5</v>
      </c>
      <c r="Z8" s="119">
        <f t="shared" si="2"/>
        <v>-3.674731371174959E-5</v>
      </c>
      <c r="AA8" s="119">
        <f t="shared" si="2"/>
        <v>-3.7125437492508693E-5</v>
      </c>
      <c r="AB8" s="119">
        <f t="shared" si="2"/>
        <v>-3.7515594059405938E-5</v>
      </c>
    </row>
    <row r="9" spans="1:30" x14ac:dyDescent="0.25">
      <c r="A9" s="1" t="s">
        <v>163</v>
      </c>
      <c r="B9" s="119">
        <f t="shared" ref="B9:AB9" si="3">B5</f>
        <v>-2.7462405660377355E-5</v>
      </c>
      <c r="C9" s="119">
        <f t="shared" si="3"/>
        <v>-2.7752966878914129E-5</v>
      </c>
      <c r="D9" s="119">
        <f t="shared" si="3"/>
        <v>-2.824746584490387E-5</v>
      </c>
      <c r="E9" s="119">
        <f t="shared" si="3"/>
        <v>-2.8920036076964188E-5</v>
      </c>
      <c r="F9" s="119">
        <f t="shared" si="3"/>
        <v>-2.966739278582522E-5</v>
      </c>
      <c r="G9" s="119">
        <f t="shared" si="3"/>
        <v>-3.0480862693336038E-5</v>
      </c>
      <c r="H9" s="119">
        <f t="shared" si="3"/>
        <v>-3.1265934342526342E-5</v>
      </c>
      <c r="I9" s="119">
        <f t="shared" si="3"/>
        <v>-3.1916008373115099E-5</v>
      </c>
      <c r="J9" s="119">
        <f t="shared" si="3"/>
        <v>-3.2415062111801237E-5</v>
      </c>
      <c r="K9" s="119">
        <f t="shared" si="3"/>
        <v>-3.2805719262295077E-5</v>
      </c>
      <c r="L9" s="119">
        <f t="shared" si="3"/>
        <v>-3.30631416189835E-5</v>
      </c>
      <c r="M9" s="119">
        <f t="shared" si="3"/>
        <v>-3.3182572516471292E-5</v>
      </c>
      <c r="N9" s="119">
        <f t="shared" si="3"/>
        <v>-3.3340096560442912E-5</v>
      </c>
      <c r="O9" s="119">
        <f t="shared" si="3"/>
        <v>-3.3520812758574673E-5</v>
      </c>
      <c r="P9" s="119">
        <f t="shared" si="3"/>
        <v>-3.370456548403216E-5</v>
      </c>
      <c r="Q9" s="119">
        <f t="shared" si="3"/>
        <v>-3.3898416898792946E-5</v>
      </c>
      <c r="R9" s="119">
        <f t="shared" si="3"/>
        <v>-3.411054418538392E-5</v>
      </c>
      <c r="S9" s="119">
        <f t="shared" si="3"/>
        <v>-3.43548918064673E-5</v>
      </c>
      <c r="T9" s="119">
        <f t="shared" si="3"/>
        <v>-3.4629543188954797E-5</v>
      </c>
      <c r="U9" s="119">
        <f t="shared" si="3"/>
        <v>-3.4933084061972694E-5</v>
      </c>
      <c r="V9" s="119">
        <f t="shared" si="3"/>
        <v>-3.529501549858149E-5</v>
      </c>
      <c r="W9" s="119">
        <f t="shared" si="3"/>
        <v>-3.5638348886131939E-5</v>
      </c>
      <c r="X9" s="119">
        <f t="shared" si="3"/>
        <v>-3.600279485901058E-5</v>
      </c>
      <c r="Y9" s="119">
        <f t="shared" si="3"/>
        <v>-3.6373045963934243E-5</v>
      </c>
      <c r="Z9" s="119">
        <f t="shared" si="3"/>
        <v>-3.674731371174959E-5</v>
      </c>
      <c r="AA9" s="119">
        <f t="shared" si="3"/>
        <v>-3.7125437492508693E-5</v>
      </c>
      <c r="AB9" s="119">
        <f t="shared" si="3"/>
        <v>-3.7515594059405938E-5</v>
      </c>
    </row>
    <row r="10" spans="1:30" x14ac:dyDescent="0.25">
      <c r="A10" s="1" t="s">
        <v>164</v>
      </c>
      <c r="B10" s="119">
        <f t="shared" ref="B10:AB10" si="4">B4</f>
        <v>9.3973178205071267E-6</v>
      </c>
      <c r="C10" s="119">
        <f t="shared" si="4"/>
        <v>9.4453546495072139E-6</v>
      </c>
      <c r="D10" s="119">
        <f t="shared" si="4"/>
        <v>9.4803150268189324E-6</v>
      </c>
      <c r="E10" s="119">
        <f t="shared" si="4"/>
        <v>9.5300498620191142E-6</v>
      </c>
      <c r="F10" s="119">
        <f t="shared" si="4"/>
        <v>9.5824325951225103E-6</v>
      </c>
      <c r="G10" s="119">
        <f t="shared" si="4"/>
        <v>9.6764267162371355E-6</v>
      </c>
      <c r="H10" s="119">
        <f t="shared" si="4"/>
        <v>9.7794420079978763E-6</v>
      </c>
      <c r="I10" s="119">
        <f t="shared" si="4"/>
        <v>9.8921549917815529E-6</v>
      </c>
      <c r="J10" s="119">
        <f t="shared" si="4"/>
        <v>1.0021102287051541E-5</v>
      </c>
      <c r="K10" s="119">
        <f t="shared" si="4"/>
        <v>1.0130143935556063E-5</v>
      </c>
      <c r="L10" s="119">
        <f t="shared" si="4"/>
        <v>1.0215096832453458E-5</v>
      </c>
      <c r="M10" s="119">
        <f t="shared" si="4"/>
        <v>1.0275170712047235E-5</v>
      </c>
      <c r="N10" s="119">
        <f t="shared" si="4"/>
        <v>1.0330611019118281E-5</v>
      </c>
      <c r="O10" s="119">
        <f t="shared" si="4"/>
        <v>1.0379119966126868E-5</v>
      </c>
      <c r="P10" s="119">
        <f t="shared" si="4"/>
        <v>1.0427048933146262E-5</v>
      </c>
      <c r="Q10" s="119">
        <f t="shared" si="4"/>
        <v>1.0474150100933603E-5</v>
      </c>
      <c r="R10" s="119">
        <f t="shared" si="4"/>
        <v>1.0527382322294204E-5</v>
      </c>
      <c r="S10" s="119">
        <f t="shared" si="4"/>
        <v>1.0594770600985294E-5</v>
      </c>
      <c r="T10" s="119">
        <f t="shared" si="4"/>
        <v>1.0672450434881948E-5</v>
      </c>
      <c r="U10" s="119">
        <f t="shared" si="4"/>
        <v>1.0757663810467844E-5</v>
      </c>
      <c r="V10" s="119">
        <f t="shared" si="4"/>
        <v>1.0846985717890305E-5</v>
      </c>
      <c r="W10" s="119">
        <f t="shared" si="4"/>
        <v>1.094210484477407E-5</v>
      </c>
      <c r="X10" s="119">
        <f t="shared" si="4"/>
        <v>1.1045726707390898E-5</v>
      </c>
      <c r="Y10" s="119">
        <f t="shared" si="4"/>
        <v>1.1151628296304343E-5</v>
      </c>
      <c r="Z10" s="119">
        <f t="shared" si="4"/>
        <v>1.1256209826355572E-5</v>
      </c>
      <c r="AA10" s="119">
        <f t="shared" si="4"/>
        <v>1.1361165021070192E-5</v>
      </c>
      <c r="AB10" s="119">
        <f t="shared" si="4"/>
        <v>1.1463420196349517E-5</v>
      </c>
    </row>
    <row r="11" spans="1:30" x14ac:dyDescent="0.25">
      <c r="A11" s="1" t="s">
        <v>165</v>
      </c>
      <c r="B11" s="119">
        <f t="shared" ref="B11:AB11" si="5">B4</f>
        <v>9.3973178205071267E-6</v>
      </c>
      <c r="C11" s="119">
        <f t="shared" si="5"/>
        <v>9.4453546495072139E-6</v>
      </c>
      <c r="D11" s="119">
        <f t="shared" si="5"/>
        <v>9.4803150268189324E-6</v>
      </c>
      <c r="E11" s="119">
        <f t="shared" si="5"/>
        <v>9.5300498620191142E-6</v>
      </c>
      <c r="F11" s="119">
        <f t="shared" si="5"/>
        <v>9.5824325951225103E-6</v>
      </c>
      <c r="G11" s="119">
        <f t="shared" si="5"/>
        <v>9.6764267162371355E-6</v>
      </c>
      <c r="H11" s="119">
        <f t="shared" si="5"/>
        <v>9.7794420079978763E-6</v>
      </c>
      <c r="I11" s="119">
        <f t="shared" si="5"/>
        <v>9.8921549917815529E-6</v>
      </c>
      <c r="J11" s="119">
        <f t="shared" si="5"/>
        <v>1.0021102287051541E-5</v>
      </c>
      <c r="K11" s="119">
        <f t="shared" si="5"/>
        <v>1.0130143935556063E-5</v>
      </c>
      <c r="L11" s="119">
        <f t="shared" si="5"/>
        <v>1.0215096832453458E-5</v>
      </c>
      <c r="M11" s="119">
        <f t="shared" si="5"/>
        <v>1.0275170712047235E-5</v>
      </c>
      <c r="N11" s="119">
        <f t="shared" si="5"/>
        <v>1.0330611019118281E-5</v>
      </c>
      <c r="O11" s="119">
        <f t="shared" si="5"/>
        <v>1.0379119966126868E-5</v>
      </c>
      <c r="P11" s="119">
        <f t="shared" si="5"/>
        <v>1.0427048933146262E-5</v>
      </c>
      <c r="Q11" s="119">
        <f t="shared" si="5"/>
        <v>1.0474150100933603E-5</v>
      </c>
      <c r="R11" s="119">
        <f t="shared" si="5"/>
        <v>1.0527382322294204E-5</v>
      </c>
      <c r="S11" s="119">
        <f t="shared" si="5"/>
        <v>1.0594770600985294E-5</v>
      </c>
      <c r="T11" s="119">
        <f t="shared" si="5"/>
        <v>1.0672450434881948E-5</v>
      </c>
      <c r="U11" s="119">
        <f t="shared" si="5"/>
        <v>1.0757663810467844E-5</v>
      </c>
      <c r="V11" s="119">
        <f t="shared" si="5"/>
        <v>1.0846985717890305E-5</v>
      </c>
      <c r="W11" s="119">
        <f t="shared" si="5"/>
        <v>1.094210484477407E-5</v>
      </c>
      <c r="X11" s="119">
        <f t="shared" si="5"/>
        <v>1.1045726707390898E-5</v>
      </c>
      <c r="Y11" s="119">
        <f t="shared" si="5"/>
        <v>1.1151628296304343E-5</v>
      </c>
      <c r="Z11" s="119">
        <f t="shared" si="5"/>
        <v>1.1256209826355572E-5</v>
      </c>
      <c r="AA11" s="119">
        <f t="shared" si="5"/>
        <v>1.1361165021070192E-5</v>
      </c>
      <c r="AB11" s="119">
        <f t="shared" si="5"/>
        <v>1.1463420196349517E-5</v>
      </c>
    </row>
  </sheetData>
  <pageMargins left="0.7" right="0.7" top="0.75" bottom="0.75" header="0.3" footer="0.3"/>
  <pageSetup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8" tint="-0.249977111117893"/>
  </sheetPr>
  <dimension ref="A1:AD11"/>
  <sheetViews>
    <sheetView zoomScaleNormal="100" workbookViewId="0">
      <selection activeCell="B1" sqref="B1"/>
    </sheetView>
  </sheetViews>
  <sheetFormatPr defaultRowHeight="15" x14ac:dyDescent="0.25"/>
  <cols>
    <col min="1" max="1" width="29.85546875" customWidth="1"/>
    <col min="2" max="28" width="10" customWidth="1"/>
  </cols>
  <sheetData>
    <row r="1" spans="1:30" x14ac:dyDescent="0.25">
      <c r="A1" s="121" t="s">
        <v>171</v>
      </c>
      <c r="B1" s="1">
        <v>2024</v>
      </c>
      <c r="C1" s="1">
        <v>2025</v>
      </c>
      <c r="D1" s="1">
        <v>2026</v>
      </c>
      <c r="E1" s="1">
        <v>2027</v>
      </c>
      <c r="F1" s="1">
        <v>2028</v>
      </c>
      <c r="G1" s="1">
        <v>2029</v>
      </c>
      <c r="H1" s="1">
        <v>2030</v>
      </c>
      <c r="I1" s="1">
        <v>2031</v>
      </c>
      <c r="J1" s="1">
        <v>2032</v>
      </c>
      <c r="K1" s="1">
        <v>2033</v>
      </c>
      <c r="L1" s="1">
        <v>2034</v>
      </c>
      <c r="M1" s="1">
        <v>2035</v>
      </c>
      <c r="N1" s="1">
        <v>2036</v>
      </c>
      <c r="O1" s="1">
        <v>2037</v>
      </c>
      <c r="P1" s="1">
        <v>2038</v>
      </c>
      <c r="Q1" s="1">
        <v>2039</v>
      </c>
      <c r="R1" s="1">
        <v>2040</v>
      </c>
      <c r="S1" s="1">
        <v>2041</v>
      </c>
      <c r="T1" s="1">
        <v>2042</v>
      </c>
      <c r="U1" s="1">
        <v>2043</v>
      </c>
      <c r="V1" s="1">
        <v>2044</v>
      </c>
      <c r="W1" s="1">
        <v>2045</v>
      </c>
      <c r="X1" s="1">
        <v>2046</v>
      </c>
      <c r="Y1" s="1">
        <v>2047</v>
      </c>
      <c r="Z1" s="1">
        <v>2048</v>
      </c>
      <c r="AA1" s="1">
        <v>2049</v>
      </c>
      <c r="AB1" s="1">
        <v>2050</v>
      </c>
      <c r="AC1" s="1"/>
      <c r="AD1" s="1"/>
    </row>
    <row r="2" spans="1:30" x14ac:dyDescent="0.25">
      <c r="A2" s="1" t="s">
        <v>158</v>
      </c>
      <c r="B2" s="120">
        <v>0</v>
      </c>
      <c r="C2" s="120">
        <v>0</v>
      </c>
      <c r="D2" s="120">
        <v>0</v>
      </c>
      <c r="E2" s="120">
        <v>0</v>
      </c>
      <c r="F2" s="120">
        <v>0</v>
      </c>
      <c r="G2" s="120">
        <v>0</v>
      </c>
      <c r="H2" s="120">
        <v>0</v>
      </c>
      <c r="I2" s="120">
        <v>0</v>
      </c>
      <c r="J2" s="120">
        <v>0</v>
      </c>
      <c r="K2" s="120">
        <v>0</v>
      </c>
      <c r="L2" s="120">
        <v>0</v>
      </c>
      <c r="M2" s="120">
        <v>0</v>
      </c>
      <c r="N2" s="120">
        <v>0</v>
      </c>
      <c r="O2" s="120">
        <v>0</v>
      </c>
      <c r="P2" s="120">
        <v>0</v>
      </c>
      <c r="Q2" s="120">
        <v>0</v>
      </c>
      <c r="R2" s="120">
        <v>0</v>
      </c>
      <c r="S2" s="120">
        <v>0</v>
      </c>
      <c r="T2" s="120">
        <v>0</v>
      </c>
      <c r="U2" s="120">
        <v>0</v>
      </c>
      <c r="V2" s="120">
        <v>0</v>
      </c>
      <c r="W2" s="120">
        <v>0</v>
      </c>
      <c r="X2" s="120">
        <v>0</v>
      </c>
      <c r="Y2" s="120">
        <v>0</v>
      </c>
      <c r="Z2" s="120">
        <v>0</v>
      </c>
      <c r="AA2" s="120">
        <v>0</v>
      </c>
      <c r="AB2" s="120">
        <v>0</v>
      </c>
      <c r="AD2" s="118"/>
    </row>
    <row r="3" spans="1:30" x14ac:dyDescent="0.25">
      <c r="A3" s="1" t="s">
        <v>159</v>
      </c>
      <c r="B3" s="119">
        <f t="shared" ref="B3:AB3" si="0">B4</f>
        <v>6.5014456000994449E-5</v>
      </c>
      <c r="C3" s="119">
        <f t="shared" si="0"/>
        <v>5.8631074831846315E-5</v>
      </c>
      <c r="D3" s="119">
        <f t="shared" si="0"/>
        <v>5.9244761017808819E-5</v>
      </c>
      <c r="E3" s="119">
        <f t="shared" si="0"/>
        <v>6.0045832321578757E-5</v>
      </c>
      <c r="F3" s="119">
        <f t="shared" si="0"/>
        <v>6.1016311643507882E-5</v>
      </c>
      <c r="G3" s="119">
        <f t="shared" si="0"/>
        <v>6.2266560688785022E-5</v>
      </c>
      <c r="H3" s="119">
        <f t="shared" si="0"/>
        <v>6.3672426716005409E-5</v>
      </c>
      <c r="I3" s="119">
        <f t="shared" si="0"/>
        <v>6.5195410014721436E-5</v>
      </c>
      <c r="J3" s="119">
        <f t="shared" si="0"/>
        <v>6.6972775805388893E-5</v>
      </c>
      <c r="K3" s="119">
        <f t="shared" si="0"/>
        <v>6.8652823452834219E-5</v>
      </c>
      <c r="L3" s="119">
        <f t="shared" si="0"/>
        <v>7.0397761493111173E-5</v>
      </c>
      <c r="M3" s="119">
        <f t="shared" si="0"/>
        <v>7.2023018568585239E-5</v>
      </c>
      <c r="N3" s="119">
        <f t="shared" si="0"/>
        <v>7.3516736536682548E-5</v>
      </c>
      <c r="O3" s="119">
        <f t="shared" si="0"/>
        <v>7.4918856744801286E-5</v>
      </c>
      <c r="P3" s="119">
        <f t="shared" si="0"/>
        <v>7.6283067655377517E-5</v>
      </c>
      <c r="Q3" s="119">
        <f t="shared" si="0"/>
        <v>7.7602517000876592E-5</v>
      </c>
      <c r="R3" s="119">
        <f t="shared" si="0"/>
        <v>7.8944345600782931E-5</v>
      </c>
      <c r="S3" s="119">
        <f t="shared" si="0"/>
        <v>8.0365205321650897E-5</v>
      </c>
      <c r="T3" s="119">
        <f t="shared" si="0"/>
        <v>8.1807335958170488E-5</v>
      </c>
      <c r="U3" s="119">
        <f t="shared" si="0"/>
        <v>8.3248431004441108E-5</v>
      </c>
      <c r="V3" s="119">
        <f t="shared" si="0"/>
        <v>8.4656045468350138E-5</v>
      </c>
      <c r="W3" s="119">
        <f t="shared" si="0"/>
        <v>8.6023674136189159E-5</v>
      </c>
      <c r="X3" s="119">
        <f t="shared" si="0"/>
        <v>8.7391609187525203E-5</v>
      </c>
      <c r="Y3" s="119">
        <f t="shared" si="0"/>
        <v>8.8759979261906477E-5</v>
      </c>
      <c r="Z3" s="119">
        <f t="shared" si="0"/>
        <v>9.0120091729788083E-5</v>
      </c>
      <c r="AA3" s="119">
        <f t="shared" si="0"/>
        <v>9.1485216392052764E-5</v>
      </c>
      <c r="AB3" s="119">
        <f t="shared" si="0"/>
        <v>9.2887523023438937E-5</v>
      </c>
    </row>
    <row r="4" spans="1:30" x14ac:dyDescent="0.25">
      <c r="A4" s="1" t="s">
        <v>13</v>
      </c>
      <c r="B4" s="104">
        <f>Calculations!F19</f>
        <v>6.5014456000994449E-5</v>
      </c>
      <c r="C4" s="104">
        <f>Calculations!G19</f>
        <v>5.8631074831846315E-5</v>
      </c>
      <c r="D4" s="104">
        <f>Calculations!H19</f>
        <v>5.9244761017808819E-5</v>
      </c>
      <c r="E4" s="104">
        <f>Calculations!I19</f>
        <v>6.0045832321578757E-5</v>
      </c>
      <c r="F4" s="104">
        <f>Calculations!J19</f>
        <v>6.1016311643507882E-5</v>
      </c>
      <c r="G4" s="104">
        <f>Calculations!K19</f>
        <v>6.2266560688785022E-5</v>
      </c>
      <c r="H4" s="104">
        <f>Calculations!L19</f>
        <v>6.3672426716005409E-5</v>
      </c>
      <c r="I4" s="104">
        <f>Calculations!M19</f>
        <v>6.5195410014721436E-5</v>
      </c>
      <c r="J4" s="104">
        <f>Calculations!N19</f>
        <v>6.6972775805388893E-5</v>
      </c>
      <c r="K4" s="104">
        <f>Calculations!O19</f>
        <v>6.8652823452834219E-5</v>
      </c>
      <c r="L4" s="104">
        <f>Calculations!P19</f>
        <v>7.0397761493111173E-5</v>
      </c>
      <c r="M4" s="104">
        <f>Calculations!Q19</f>
        <v>7.2023018568585239E-5</v>
      </c>
      <c r="N4" s="104">
        <f>Calculations!R19</f>
        <v>7.3516736536682548E-5</v>
      </c>
      <c r="O4" s="104">
        <f>Calculations!S19</f>
        <v>7.4918856744801286E-5</v>
      </c>
      <c r="P4" s="104">
        <f>Calculations!T19</f>
        <v>7.6283067655377517E-5</v>
      </c>
      <c r="Q4" s="104">
        <f>Calculations!U19</f>
        <v>7.7602517000876592E-5</v>
      </c>
      <c r="R4" s="104">
        <f>Calculations!V19</f>
        <v>7.8944345600782931E-5</v>
      </c>
      <c r="S4" s="104">
        <f>Calculations!W19</f>
        <v>8.0365205321650897E-5</v>
      </c>
      <c r="T4" s="104">
        <f>Calculations!X19</f>
        <v>8.1807335958170488E-5</v>
      </c>
      <c r="U4" s="104">
        <f>Calculations!Y19</f>
        <v>8.3248431004441108E-5</v>
      </c>
      <c r="V4" s="104">
        <f>Calculations!Z19</f>
        <v>8.4656045468350138E-5</v>
      </c>
      <c r="W4" s="104">
        <f>Calculations!AA19</f>
        <v>8.6023674136189159E-5</v>
      </c>
      <c r="X4" s="104">
        <f>Calculations!AB19</f>
        <v>8.7391609187525203E-5</v>
      </c>
      <c r="Y4" s="104">
        <f>Calculations!AC19</f>
        <v>8.8759979261906477E-5</v>
      </c>
      <c r="Z4" s="104">
        <f>Calculations!AD19</f>
        <v>9.0120091729788083E-5</v>
      </c>
      <c r="AA4" s="104">
        <f>Calculations!AE19</f>
        <v>9.1485216392052764E-5</v>
      </c>
      <c r="AB4" s="104">
        <f>Calculations!AF19</f>
        <v>9.2887523023438937E-5</v>
      </c>
    </row>
    <row r="5" spans="1:30" x14ac:dyDescent="0.25">
      <c r="A5" s="1" t="s">
        <v>160</v>
      </c>
      <c r="B5" s="104">
        <f>Calculations!F20</f>
        <v>1.1230046703185538E-5</v>
      </c>
      <c r="C5" s="104">
        <f>Calculations!G20</f>
        <v>1.0233026649076472E-5</v>
      </c>
      <c r="D5" s="104">
        <f>Calculations!H20</f>
        <v>1.0206350149176415E-5</v>
      </c>
      <c r="E5" s="104">
        <f>Calculations!I20</f>
        <v>1.0235544413358044E-5</v>
      </c>
      <c r="F5" s="104">
        <f>Calculations!J20</f>
        <v>1.029690788762136E-5</v>
      </c>
      <c r="G5" s="104">
        <f>Calculations!K20</f>
        <v>1.0368440370680754E-5</v>
      </c>
      <c r="H5" s="104">
        <f>Calculations!L20</f>
        <v>1.0440108826693544E-5</v>
      </c>
      <c r="I5" s="104">
        <f>Calculations!M20</f>
        <v>1.0545292121095811E-5</v>
      </c>
      <c r="J5" s="104">
        <f>Calculations!N20</f>
        <v>1.0632439871764883E-5</v>
      </c>
      <c r="K5" s="104">
        <f>Calculations!O20</f>
        <v>1.070575582761965E-5</v>
      </c>
      <c r="L5" s="104">
        <f>Calculations!P20</f>
        <v>1.0793390497276443E-5</v>
      </c>
      <c r="M5" s="104">
        <f>Calculations!Q20</f>
        <v>1.0883913074308E-5</v>
      </c>
      <c r="N5" s="104">
        <f>Calculations!R20</f>
        <v>1.0971503468377141E-5</v>
      </c>
      <c r="O5" s="104">
        <f>Calculations!S20</f>
        <v>1.106141060109793E-5</v>
      </c>
      <c r="P5" s="104">
        <f>Calculations!T20</f>
        <v>1.1149928184153512E-5</v>
      </c>
      <c r="Q5" s="104">
        <f>Calculations!U20</f>
        <v>1.1236898384515874E-5</v>
      </c>
      <c r="R5" s="104">
        <f>Calculations!V20</f>
        <v>1.1325969790805965E-5</v>
      </c>
      <c r="S5" s="104">
        <f>Calculations!W20</f>
        <v>1.1416871450195333E-5</v>
      </c>
      <c r="T5" s="104">
        <f>Calculations!X20</f>
        <v>1.1508498639433677E-5</v>
      </c>
      <c r="U5" s="104">
        <f>Calculations!Y20</f>
        <v>1.1600203562376578E-5</v>
      </c>
      <c r="V5" s="104">
        <f>Calculations!Z20</f>
        <v>1.1701202645859132E-5</v>
      </c>
      <c r="W5" s="104">
        <f>Calculations!AA20</f>
        <v>1.1788955274874569E-5</v>
      </c>
      <c r="X5" s="104">
        <f>Calculations!AB20</f>
        <v>1.1876332202086312E-5</v>
      </c>
      <c r="Y5" s="104">
        <f>Calculations!AC20</f>
        <v>1.195810044072481E-5</v>
      </c>
      <c r="Z5" s="104">
        <f>Calculations!AD20</f>
        <v>1.2036816474766194E-5</v>
      </c>
      <c r="AA5" s="104">
        <f>Calculations!AE20</f>
        <v>1.2114462276032789E-5</v>
      </c>
      <c r="AB5" s="104">
        <f>Calculations!AF20</f>
        <v>1.2198370003467837E-5</v>
      </c>
    </row>
    <row r="6" spans="1:30" x14ac:dyDescent="0.25">
      <c r="A6" s="1" t="s">
        <v>161</v>
      </c>
      <c r="B6" s="119">
        <f t="shared" ref="B6:AB6" si="1">B4</f>
        <v>6.5014456000994449E-5</v>
      </c>
      <c r="C6" s="119">
        <f t="shared" si="1"/>
        <v>5.8631074831846315E-5</v>
      </c>
      <c r="D6" s="119">
        <f t="shared" si="1"/>
        <v>5.9244761017808819E-5</v>
      </c>
      <c r="E6" s="119">
        <f t="shared" si="1"/>
        <v>6.0045832321578757E-5</v>
      </c>
      <c r="F6" s="119">
        <f t="shared" si="1"/>
        <v>6.1016311643507882E-5</v>
      </c>
      <c r="G6" s="119">
        <f t="shared" si="1"/>
        <v>6.2266560688785022E-5</v>
      </c>
      <c r="H6" s="119">
        <f t="shared" si="1"/>
        <v>6.3672426716005409E-5</v>
      </c>
      <c r="I6" s="119">
        <f t="shared" si="1"/>
        <v>6.5195410014721436E-5</v>
      </c>
      <c r="J6" s="119">
        <f t="shared" si="1"/>
        <v>6.6972775805388893E-5</v>
      </c>
      <c r="K6" s="119">
        <f t="shared" si="1"/>
        <v>6.8652823452834219E-5</v>
      </c>
      <c r="L6" s="119">
        <f t="shared" si="1"/>
        <v>7.0397761493111173E-5</v>
      </c>
      <c r="M6" s="119">
        <f t="shared" si="1"/>
        <v>7.2023018568585239E-5</v>
      </c>
      <c r="N6" s="119">
        <f t="shared" si="1"/>
        <v>7.3516736536682548E-5</v>
      </c>
      <c r="O6" s="119">
        <f t="shared" si="1"/>
        <v>7.4918856744801286E-5</v>
      </c>
      <c r="P6" s="119">
        <f t="shared" si="1"/>
        <v>7.6283067655377517E-5</v>
      </c>
      <c r="Q6" s="119">
        <f t="shared" si="1"/>
        <v>7.7602517000876592E-5</v>
      </c>
      <c r="R6" s="119">
        <f t="shared" si="1"/>
        <v>7.8944345600782931E-5</v>
      </c>
      <c r="S6" s="119">
        <f t="shared" si="1"/>
        <v>8.0365205321650897E-5</v>
      </c>
      <c r="T6" s="119">
        <f t="shared" si="1"/>
        <v>8.1807335958170488E-5</v>
      </c>
      <c r="U6" s="119">
        <f t="shared" si="1"/>
        <v>8.3248431004441108E-5</v>
      </c>
      <c r="V6" s="119">
        <f t="shared" si="1"/>
        <v>8.4656045468350138E-5</v>
      </c>
      <c r="W6" s="119">
        <f t="shared" si="1"/>
        <v>8.6023674136189159E-5</v>
      </c>
      <c r="X6" s="119">
        <f t="shared" si="1"/>
        <v>8.7391609187525203E-5</v>
      </c>
      <c r="Y6" s="119">
        <f t="shared" si="1"/>
        <v>8.8759979261906477E-5</v>
      </c>
      <c r="Z6" s="119">
        <f t="shared" si="1"/>
        <v>9.0120091729788083E-5</v>
      </c>
      <c r="AA6" s="119">
        <f t="shared" si="1"/>
        <v>9.1485216392052764E-5</v>
      </c>
      <c r="AB6" s="119">
        <f t="shared" si="1"/>
        <v>9.2887523023438937E-5</v>
      </c>
    </row>
    <row r="7" spans="1:30" x14ac:dyDescent="0.25">
      <c r="A7" s="1" t="s">
        <v>50</v>
      </c>
      <c r="B7" s="104">
        <f>Calculations!F21</f>
        <v>2.2103756677944385E-6</v>
      </c>
      <c r="C7" s="104">
        <f>Calculations!G21</f>
        <v>2.1287218671276177E-6</v>
      </c>
      <c r="D7" s="104">
        <f>Calculations!H21</f>
        <v>2.1667540092360309E-6</v>
      </c>
      <c r="E7" s="104">
        <f>Calculations!I21</f>
        <v>2.1628073647292377E-6</v>
      </c>
      <c r="F7" s="104">
        <f>Calculations!J21</f>
        <v>2.1354157912685579E-6</v>
      </c>
      <c r="G7" s="104">
        <f>Calculations!K21</f>
        <v>2.0997321531764455E-6</v>
      </c>
      <c r="H7" s="104">
        <f>Calculations!L21</f>
        <v>2.0642520502605954E-6</v>
      </c>
      <c r="I7" s="104">
        <f>Calculations!M21</f>
        <v>2.0146452095699737E-6</v>
      </c>
      <c r="J7" s="104">
        <f>Calculations!N21</f>
        <v>1.9785366418068383E-6</v>
      </c>
      <c r="K7" s="104">
        <f>Calculations!O21</f>
        <v>1.9372663756619094E-6</v>
      </c>
      <c r="L7" s="104">
        <f>Calculations!P21</f>
        <v>1.8961083091198341E-6</v>
      </c>
      <c r="M7" s="104">
        <f>Calculations!Q21</f>
        <v>1.8522024629102022E-6</v>
      </c>
      <c r="N7" s="104">
        <f>Calculations!R21</f>
        <v>1.809302089156717E-6</v>
      </c>
      <c r="O7" s="104">
        <f>Calculations!S21</f>
        <v>1.7631540849613464E-6</v>
      </c>
      <c r="P7" s="104">
        <f>Calculations!T21</f>
        <v>1.7164769390477503E-6</v>
      </c>
      <c r="Q7" s="104">
        <f>Calculations!U21</f>
        <v>1.6703519577182151E-6</v>
      </c>
      <c r="R7" s="104">
        <f>Calculations!V21</f>
        <v>1.6229237293796458E-6</v>
      </c>
      <c r="S7" s="104">
        <f>Calculations!W21</f>
        <v>1.5729124432195903E-6</v>
      </c>
      <c r="T7" s="104">
        <f>Calculations!X21</f>
        <v>1.5204160939963591E-6</v>
      </c>
      <c r="U7" s="104">
        <f>Calculations!Y21</f>
        <v>1.4658251680716857E-6</v>
      </c>
      <c r="V7" s="104">
        <f>Calculations!Z21</f>
        <v>1.4057348939487444E-6</v>
      </c>
      <c r="W7" s="104">
        <f>Calculations!AA21</f>
        <v>1.3509791421326864E-6</v>
      </c>
      <c r="X7" s="104">
        <f>Calculations!AB21</f>
        <v>1.2953417957930803E-6</v>
      </c>
      <c r="Y7" s="104">
        <f>Calculations!AC21</f>
        <v>1.2395812017541486E-6</v>
      </c>
      <c r="Z7" s="104">
        <f>Calculations!AD21</f>
        <v>1.1835889572371725E-6</v>
      </c>
      <c r="AA7" s="104">
        <f>Calculations!AE21</f>
        <v>1.1244805940419655E-6</v>
      </c>
      <c r="AB7" s="104">
        <f>Calculations!AF21</f>
        <v>1.0614187746695749E-6</v>
      </c>
    </row>
    <row r="8" spans="1:30" x14ac:dyDescent="0.25">
      <c r="A8" s="1" t="s">
        <v>162</v>
      </c>
      <c r="B8" s="119">
        <f t="shared" ref="B8:AB8" si="2">B5</f>
        <v>1.1230046703185538E-5</v>
      </c>
      <c r="C8" s="119">
        <f t="shared" si="2"/>
        <v>1.0233026649076472E-5</v>
      </c>
      <c r="D8" s="119">
        <f t="shared" si="2"/>
        <v>1.0206350149176415E-5</v>
      </c>
      <c r="E8" s="119">
        <f t="shared" si="2"/>
        <v>1.0235544413358044E-5</v>
      </c>
      <c r="F8" s="119">
        <f t="shared" si="2"/>
        <v>1.029690788762136E-5</v>
      </c>
      <c r="G8" s="119">
        <f t="shared" si="2"/>
        <v>1.0368440370680754E-5</v>
      </c>
      <c r="H8" s="119">
        <f t="shared" si="2"/>
        <v>1.0440108826693544E-5</v>
      </c>
      <c r="I8" s="119">
        <f t="shared" si="2"/>
        <v>1.0545292121095811E-5</v>
      </c>
      <c r="J8" s="119">
        <f t="shared" si="2"/>
        <v>1.0632439871764883E-5</v>
      </c>
      <c r="K8" s="119">
        <f t="shared" si="2"/>
        <v>1.070575582761965E-5</v>
      </c>
      <c r="L8" s="119">
        <f t="shared" si="2"/>
        <v>1.0793390497276443E-5</v>
      </c>
      <c r="M8" s="119">
        <f t="shared" si="2"/>
        <v>1.0883913074308E-5</v>
      </c>
      <c r="N8" s="119">
        <f t="shared" si="2"/>
        <v>1.0971503468377141E-5</v>
      </c>
      <c r="O8" s="119">
        <f t="shared" si="2"/>
        <v>1.106141060109793E-5</v>
      </c>
      <c r="P8" s="119">
        <f t="shared" si="2"/>
        <v>1.1149928184153512E-5</v>
      </c>
      <c r="Q8" s="119">
        <f t="shared" si="2"/>
        <v>1.1236898384515874E-5</v>
      </c>
      <c r="R8" s="119">
        <f t="shared" si="2"/>
        <v>1.1325969790805965E-5</v>
      </c>
      <c r="S8" s="119">
        <f t="shared" si="2"/>
        <v>1.1416871450195333E-5</v>
      </c>
      <c r="T8" s="119">
        <f t="shared" si="2"/>
        <v>1.1508498639433677E-5</v>
      </c>
      <c r="U8" s="119">
        <f t="shared" si="2"/>
        <v>1.1600203562376578E-5</v>
      </c>
      <c r="V8" s="119">
        <f t="shared" si="2"/>
        <v>1.1701202645859132E-5</v>
      </c>
      <c r="W8" s="119">
        <f t="shared" si="2"/>
        <v>1.1788955274874569E-5</v>
      </c>
      <c r="X8" s="119">
        <f t="shared" si="2"/>
        <v>1.1876332202086312E-5</v>
      </c>
      <c r="Y8" s="119">
        <f t="shared" si="2"/>
        <v>1.195810044072481E-5</v>
      </c>
      <c r="Z8" s="119">
        <f t="shared" si="2"/>
        <v>1.2036816474766194E-5</v>
      </c>
      <c r="AA8" s="119">
        <f t="shared" si="2"/>
        <v>1.2114462276032789E-5</v>
      </c>
      <c r="AB8" s="119">
        <f t="shared" si="2"/>
        <v>1.2198370003467837E-5</v>
      </c>
    </row>
    <row r="9" spans="1:30" x14ac:dyDescent="0.25">
      <c r="A9" s="1" t="s">
        <v>163</v>
      </c>
      <c r="B9" s="119">
        <f t="shared" ref="B9:AB9" si="3">B5</f>
        <v>1.1230046703185538E-5</v>
      </c>
      <c r="C9" s="119">
        <f t="shared" si="3"/>
        <v>1.0233026649076472E-5</v>
      </c>
      <c r="D9" s="119">
        <f t="shared" si="3"/>
        <v>1.0206350149176415E-5</v>
      </c>
      <c r="E9" s="119">
        <f t="shared" si="3"/>
        <v>1.0235544413358044E-5</v>
      </c>
      <c r="F9" s="119">
        <f t="shared" si="3"/>
        <v>1.029690788762136E-5</v>
      </c>
      <c r="G9" s="119">
        <f t="shared" si="3"/>
        <v>1.0368440370680754E-5</v>
      </c>
      <c r="H9" s="119">
        <f t="shared" si="3"/>
        <v>1.0440108826693544E-5</v>
      </c>
      <c r="I9" s="119">
        <f t="shared" si="3"/>
        <v>1.0545292121095811E-5</v>
      </c>
      <c r="J9" s="119">
        <f t="shared" si="3"/>
        <v>1.0632439871764883E-5</v>
      </c>
      <c r="K9" s="119">
        <f t="shared" si="3"/>
        <v>1.070575582761965E-5</v>
      </c>
      <c r="L9" s="119">
        <f t="shared" si="3"/>
        <v>1.0793390497276443E-5</v>
      </c>
      <c r="M9" s="119">
        <f t="shared" si="3"/>
        <v>1.0883913074308E-5</v>
      </c>
      <c r="N9" s="119">
        <f t="shared" si="3"/>
        <v>1.0971503468377141E-5</v>
      </c>
      <c r="O9" s="119">
        <f t="shared" si="3"/>
        <v>1.106141060109793E-5</v>
      </c>
      <c r="P9" s="119">
        <f t="shared" si="3"/>
        <v>1.1149928184153512E-5</v>
      </c>
      <c r="Q9" s="119">
        <f t="shared" si="3"/>
        <v>1.1236898384515874E-5</v>
      </c>
      <c r="R9" s="119">
        <f t="shared" si="3"/>
        <v>1.1325969790805965E-5</v>
      </c>
      <c r="S9" s="119">
        <f t="shared" si="3"/>
        <v>1.1416871450195333E-5</v>
      </c>
      <c r="T9" s="119">
        <f t="shared" si="3"/>
        <v>1.1508498639433677E-5</v>
      </c>
      <c r="U9" s="119">
        <f t="shared" si="3"/>
        <v>1.1600203562376578E-5</v>
      </c>
      <c r="V9" s="119">
        <f t="shared" si="3"/>
        <v>1.1701202645859132E-5</v>
      </c>
      <c r="W9" s="119">
        <f t="shared" si="3"/>
        <v>1.1788955274874569E-5</v>
      </c>
      <c r="X9" s="119">
        <f t="shared" si="3"/>
        <v>1.1876332202086312E-5</v>
      </c>
      <c r="Y9" s="119">
        <f t="shared" si="3"/>
        <v>1.195810044072481E-5</v>
      </c>
      <c r="Z9" s="119">
        <f t="shared" si="3"/>
        <v>1.2036816474766194E-5</v>
      </c>
      <c r="AA9" s="119">
        <f t="shared" si="3"/>
        <v>1.2114462276032789E-5</v>
      </c>
      <c r="AB9" s="119">
        <f t="shared" si="3"/>
        <v>1.2198370003467837E-5</v>
      </c>
    </row>
    <row r="10" spans="1:30" x14ac:dyDescent="0.25">
      <c r="A10" s="1" t="s">
        <v>164</v>
      </c>
      <c r="B10" s="119">
        <f t="shared" ref="B10:AB10" si="4">B4</f>
        <v>6.5014456000994449E-5</v>
      </c>
      <c r="C10" s="119">
        <f t="shared" si="4"/>
        <v>5.8631074831846315E-5</v>
      </c>
      <c r="D10" s="119">
        <f t="shared" si="4"/>
        <v>5.9244761017808819E-5</v>
      </c>
      <c r="E10" s="119">
        <f t="shared" si="4"/>
        <v>6.0045832321578757E-5</v>
      </c>
      <c r="F10" s="119">
        <f t="shared" si="4"/>
        <v>6.1016311643507882E-5</v>
      </c>
      <c r="G10" s="119">
        <f t="shared" si="4"/>
        <v>6.2266560688785022E-5</v>
      </c>
      <c r="H10" s="119">
        <f t="shared" si="4"/>
        <v>6.3672426716005409E-5</v>
      </c>
      <c r="I10" s="119">
        <f t="shared" si="4"/>
        <v>6.5195410014721436E-5</v>
      </c>
      <c r="J10" s="119">
        <f t="shared" si="4"/>
        <v>6.6972775805388893E-5</v>
      </c>
      <c r="K10" s="119">
        <f t="shared" si="4"/>
        <v>6.8652823452834219E-5</v>
      </c>
      <c r="L10" s="119">
        <f t="shared" si="4"/>
        <v>7.0397761493111173E-5</v>
      </c>
      <c r="M10" s="119">
        <f t="shared" si="4"/>
        <v>7.2023018568585239E-5</v>
      </c>
      <c r="N10" s="119">
        <f t="shared" si="4"/>
        <v>7.3516736536682548E-5</v>
      </c>
      <c r="O10" s="119">
        <f t="shared" si="4"/>
        <v>7.4918856744801286E-5</v>
      </c>
      <c r="P10" s="119">
        <f t="shared" si="4"/>
        <v>7.6283067655377517E-5</v>
      </c>
      <c r="Q10" s="119">
        <f t="shared" si="4"/>
        <v>7.7602517000876592E-5</v>
      </c>
      <c r="R10" s="119">
        <f t="shared" si="4"/>
        <v>7.8944345600782931E-5</v>
      </c>
      <c r="S10" s="119">
        <f t="shared" si="4"/>
        <v>8.0365205321650897E-5</v>
      </c>
      <c r="T10" s="119">
        <f t="shared" si="4"/>
        <v>8.1807335958170488E-5</v>
      </c>
      <c r="U10" s="119">
        <f t="shared" si="4"/>
        <v>8.3248431004441108E-5</v>
      </c>
      <c r="V10" s="119">
        <f t="shared" si="4"/>
        <v>8.4656045468350138E-5</v>
      </c>
      <c r="W10" s="119">
        <f t="shared" si="4"/>
        <v>8.6023674136189159E-5</v>
      </c>
      <c r="X10" s="119">
        <f t="shared" si="4"/>
        <v>8.7391609187525203E-5</v>
      </c>
      <c r="Y10" s="119">
        <f t="shared" si="4"/>
        <v>8.8759979261906477E-5</v>
      </c>
      <c r="Z10" s="119">
        <f t="shared" si="4"/>
        <v>9.0120091729788083E-5</v>
      </c>
      <c r="AA10" s="119">
        <f t="shared" si="4"/>
        <v>9.1485216392052764E-5</v>
      </c>
      <c r="AB10" s="119">
        <f t="shared" si="4"/>
        <v>9.2887523023438937E-5</v>
      </c>
    </row>
    <row r="11" spans="1:30" x14ac:dyDescent="0.25">
      <c r="A11" s="1" t="s">
        <v>165</v>
      </c>
      <c r="B11" s="119">
        <f t="shared" ref="B11:AB11" si="5">B4</f>
        <v>6.5014456000994449E-5</v>
      </c>
      <c r="C11" s="119">
        <f t="shared" si="5"/>
        <v>5.8631074831846315E-5</v>
      </c>
      <c r="D11" s="119">
        <f t="shared" si="5"/>
        <v>5.9244761017808819E-5</v>
      </c>
      <c r="E11" s="119">
        <f t="shared" si="5"/>
        <v>6.0045832321578757E-5</v>
      </c>
      <c r="F11" s="119">
        <f t="shared" si="5"/>
        <v>6.1016311643507882E-5</v>
      </c>
      <c r="G11" s="119">
        <f t="shared" si="5"/>
        <v>6.2266560688785022E-5</v>
      </c>
      <c r="H11" s="119">
        <f t="shared" si="5"/>
        <v>6.3672426716005409E-5</v>
      </c>
      <c r="I11" s="119">
        <f t="shared" si="5"/>
        <v>6.5195410014721436E-5</v>
      </c>
      <c r="J11" s="119">
        <f t="shared" si="5"/>
        <v>6.6972775805388893E-5</v>
      </c>
      <c r="K11" s="119">
        <f t="shared" si="5"/>
        <v>6.8652823452834219E-5</v>
      </c>
      <c r="L11" s="119">
        <f t="shared" si="5"/>
        <v>7.0397761493111173E-5</v>
      </c>
      <c r="M11" s="119">
        <f t="shared" si="5"/>
        <v>7.2023018568585239E-5</v>
      </c>
      <c r="N11" s="119">
        <f t="shared" si="5"/>
        <v>7.3516736536682548E-5</v>
      </c>
      <c r="O11" s="119">
        <f t="shared" si="5"/>
        <v>7.4918856744801286E-5</v>
      </c>
      <c r="P11" s="119">
        <f t="shared" si="5"/>
        <v>7.6283067655377517E-5</v>
      </c>
      <c r="Q11" s="119">
        <f t="shared" si="5"/>
        <v>7.7602517000876592E-5</v>
      </c>
      <c r="R11" s="119">
        <f t="shared" si="5"/>
        <v>7.8944345600782931E-5</v>
      </c>
      <c r="S11" s="119">
        <f t="shared" si="5"/>
        <v>8.0365205321650897E-5</v>
      </c>
      <c r="T11" s="119">
        <f t="shared" si="5"/>
        <v>8.1807335958170488E-5</v>
      </c>
      <c r="U11" s="119">
        <f t="shared" si="5"/>
        <v>8.3248431004441108E-5</v>
      </c>
      <c r="V11" s="119">
        <f t="shared" si="5"/>
        <v>8.4656045468350138E-5</v>
      </c>
      <c r="W11" s="119">
        <f t="shared" si="5"/>
        <v>8.6023674136189159E-5</v>
      </c>
      <c r="X11" s="119">
        <f t="shared" si="5"/>
        <v>8.7391609187525203E-5</v>
      </c>
      <c r="Y11" s="119">
        <f t="shared" si="5"/>
        <v>8.8759979261906477E-5</v>
      </c>
      <c r="Z11" s="119">
        <f t="shared" si="5"/>
        <v>9.0120091729788083E-5</v>
      </c>
      <c r="AA11" s="119">
        <f t="shared" si="5"/>
        <v>9.1485216392052764E-5</v>
      </c>
      <c r="AB11" s="119">
        <f t="shared" si="5"/>
        <v>9.2887523023438937E-5</v>
      </c>
    </row>
  </sheetData>
  <pageMargins left="0.7" right="0.7" top="0.75" bottom="0.75" header="0.3" footer="0.3"/>
  <pageSetup orientation="portrait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8" tint="-0.249977111117893"/>
  </sheetPr>
  <dimension ref="A1:AD11"/>
  <sheetViews>
    <sheetView zoomScaleNormal="100" workbookViewId="0">
      <selection activeCell="B1" sqref="B1"/>
    </sheetView>
  </sheetViews>
  <sheetFormatPr defaultRowHeight="15" x14ac:dyDescent="0.25"/>
  <cols>
    <col min="1" max="1" width="29.85546875" customWidth="1"/>
    <col min="2" max="28" width="10" customWidth="1"/>
  </cols>
  <sheetData>
    <row r="1" spans="1:30" x14ac:dyDescent="0.25">
      <c r="A1" s="121" t="s">
        <v>171</v>
      </c>
      <c r="B1" s="1">
        <v>2024</v>
      </c>
      <c r="C1" s="1">
        <v>2025</v>
      </c>
      <c r="D1" s="1">
        <v>2026</v>
      </c>
      <c r="E1" s="1">
        <v>2027</v>
      </c>
      <c r="F1" s="1">
        <v>2028</v>
      </c>
      <c r="G1" s="1">
        <v>2029</v>
      </c>
      <c r="H1" s="1">
        <v>2030</v>
      </c>
      <c r="I1" s="1">
        <v>2031</v>
      </c>
      <c r="J1" s="1">
        <v>2032</v>
      </c>
      <c r="K1" s="1">
        <v>2033</v>
      </c>
      <c r="L1" s="1">
        <v>2034</v>
      </c>
      <c r="M1" s="1">
        <v>2035</v>
      </c>
      <c r="N1" s="1">
        <v>2036</v>
      </c>
      <c r="O1" s="1">
        <v>2037</v>
      </c>
      <c r="P1" s="1">
        <v>2038</v>
      </c>
      <c r="Q1" s="1">
        <v>2039</v>
      </c>
      <c r="R1" s="1">
        <v>2040</v>
      </c>
      <c r="S1" s="1">
        <v>2041</v>
      </c>
      <c r="T1" s="1">
        <v>2042</v>
      </c>
      <c r="U1" s="1">
        <v>2043</v>
      </c>
      <c r="V1" s="1">
        <v>2044</v>
      </c>
      <c r="W1" s="1">
        <v>2045</v>
      </c>
      <c r="X1" s="1">
        <v>2046</v>
      </c>
      <c r="Y1" s="1">
        <v>2047</v>
      </c>
      <c r="Z1" s="1">
        <v>2048</v>
      </c>
      <c r="AA1" s="1">
        <v>2049</v>
      </c>
      <c r="AB1" s="1">
        <v>2050</v>
      </c>
      <c r="AC1" s="1"/>
      <c r="AD1" s="1"/>
    </row>
    <row r="2" spans="1:30" x14ac:dyDescent="0.25">
      <c r="A2" s="1" t="s">
        <v>158</v>
      </c>
      <c r="B2" s="120">
        <v>0</v>
      </c>
      <c r="C2" s="120">
        <v>0</v>
      </c>
      <c r="D2" s="120">
        <v>0</v>
      </c>
      <c r="E2" s="120">
        <v>0</v>
      </c>
      <c r="F2" s="120">
        <v>0</v>
      </c>
      <c r="G2" s="120">
        <v>0</v>
      </c>
      <c r="H2" s="120">
        <v>0</v>
      </c>
      <c r="I2" s="120">
        <v>0</v>
      </c>
      <c r="J2" s="120">
        <v>0</v>
      </c>
      <c r="K2" s="120">
        <v>0</v>
      </c>
      <c r="L2" s="120">
        <v>0</v>
      </c>
      <c r="M2" s="120">
        <v>0</v>
      </c>
      <c r="N2" s="120">
        <v>0</v>
      </c>
      <c r="O2" s="120">
        <v>0</v>
      </c>
      <c r="P2" s="120">
        <v>0</v>
      </c>
      <c r="Q2" s="120">
        <v>0</v>
      </c>
      <c r="R2" s="120">
        <v>0</v>
      </c>
      <c r="S2" s="120">
        <v>0</v>
      </c>
      <c r="T2" s="120">
        <v>0</v>
      </c>
      <c r="U2" s="120">
        <v>0</v>
      </c>
      <c r="V2" s="120">
        <v>0</v>
      </c>
      <c r="W2" s="120">
        <v>0</v>
      </c>
      <c r="X2" s="120">
        <v>0</v>
      </c>
      <c r="Y2" s="120">
        <v>0</v>
      </c>
      <c r="Z2" s="120">
        <v>0</v>
      </c>
      <c r="AA2" s="120">
        <v>0</v>
      </c>
      <c r="AB2" s="120">
        <v>0</v>
      </c>
      <c r="AD2" s="118"/>
    </row>
    <row r="3" spans="1:30" x14ac:dyDescent="0.25">
      <c r="A3" s="1" t="s">
        <v>159</v>
      </c>
      <c r="B3" s="119">
        <f t="shared" ref="B3:AB3" si="0">B4</f>
        <v>9.3973178205071267E-6</v>
      </c>
      <c r="C3" s="119">
        <f t="shared" si="0"/>
        <v>9.4453546495072139E-6</v>
      </c>
      <c r="D3" s="119">
        <f t="shared" si="0"/>
        <v>9.4803150268189324E-6</v>
      </c>
      <c r="E3" s="119">
        <f t="shared" si="0"/>
        <v>9.5300498620191142E-6</v>
      </c>
      <c r="F3" s="119">
        <f t="shared" si="0"/>
        <v>9.5824325951225103E-6</v>
      </c>
      <c r="G3" s="119">
        <f t="shared" si="0"/>
        <v>9.6764267162371355E-6</v>
      </c>
      <c r="H3" s="119">
        <f t="shared" si="0"/>
        <v>9.7794420079978763E-6</v>
      </c>
      <c r="I3" s="119">
        <f t="shared" si="0"/>
        <v>9.8921549917815529E-6</v>
      </c>
      <c r="J3" s="119">
        <f t="shared" si="0"/>
        <v>1.0021102287051541E-5</v>
      </c>
      <c r="K3" s="119">
        <f t="shared" si="0"/>
        <v>1.0130143935556063E-5</v>
      </c>
      <c r="L3" s="119">
        <f t="shared" si="0"/>
        <v>1.0215096832453458E-5</v>
      </c>
      <c r="M3" s="119">
        <f t="shared" si="0"/>
        <v>1.0275170712047235E-5</v>
      </c>
      <c r="N3" s="119">
        <f t="shared" si="0"/>
        <v>1.0330611019118281E-5</v>
      </c>
      <c r="O3" s="119">
        <f t="shared" si="0"/>
        <v>1.0379119966126868E-5</v>
      </c>
      <c r="P3" s="119">
        <f t="shared" si="0"/>
        <v>1.0427048933146262E-5</v>
      </c>
      <c r="Q3" s="119">
        <f t="shared" si="0"/>
        <v>1.0474150100933603E-5</v>
      </c>
      <c r="R3" s="119">
        <f t="shared" si="0"/>
        <v>1.0527382322294204E-5</v>
      </c>
      <c r="S3" s="119">
        <f t="shared" si="0"/>
        <v>1.0594770600985294E-5</v>
      </c>
      <c r="T3" s="119">
        <f t="shared" si="0"/>
        <v>1.0672450434881948E-5</v>
      </c>
      <c r="U3" s="119">
        <f t="shared" si="0"/>
        <v>1.0757663810467844E-5</v>
      </c>
      <c r="V3" s="119">
        <f t="shared" si="0"/>
        <v>1.0846985717890305E-5</v>
      </c>
      <c r="W3" s="119">
        <f t="shared" si="0"/>
        <v>1.094210484477407E-5</v>
      </c>
      <c r="X3" s="119">
        <f t="shared" si="0"/>
        <v>1.1045726707390898E-5</v>
      </c>
      <c r="Y3" s="119">
        <f t="shared" si="0"/>
        <v>1.1151628296304343E-5</v>
      </c>
      <c r="Z3" s="119">
        <f t="shared" si="0"/>
        <v>1.1256209826355572E-5</v>
      </c>
      <c r="AA3" s="119">
        <f t="shared" si="0"/>
        <v>1.1361165021070192E-5</v>
      </c>
      <c r="AB3" s="119">
        <f t="shared" si="0"/>
        <v>1.1463420196349517E-5</v>
      </c>
    </row>
    <row r="4" spans="1:30" x14ac:dyDescent="0.25">
      <c r="A4" s="1" t="s">
        <v>13</v>
      </c>
      <c r="B4" s="104">
        <f>Calculations!F37</f>
        <v>9.3973178205071267E-6</v>
      </c>
      <c r="C4" s="104">
        <f>Calculations!G37</f>
        <v>9.4453546495072139E-6</v>
      </c>
      <c r="D4" s="104">
        <f>Calculations!H37</f>
        <v>9.4803150268189324E-6</v>
      </c>
      <c r="E4" s="104">
        <f>Calculations!I37</f>
        <v>9.5300498620191142E-6</v>
      </c>
      <c r="F4" s="104">
        <f>Calculations!J37</f>
        <v>9.5824325951225103E-6</v>
      </c>
      <c r="G4" s="104">
        <f>Calculations!K37</f>
        <v>9.6764267162371355E-6</v>
      </c>
      <c r="H4" s="104">
        <f>Calculations!L37</f>
        <v>9.7794420079978763E-6</v>
      </c>
      <c r="I4" s="104">
        <f>Calculations!M37</f>
        <v>9.8921549917815529E-6</v>
      </c>
      <c r="J4" s="104">
        <f>Calculations!N37</f>
        <v>1.0021102287051541E-5</v>
      </c>
      <c r="K4" s="104">
        <f>Calculations!O37</f>
        <v>1.0130143935556063E-5</v>
      </c>
      <c r="L4" s="104">
        <f>Calculations!P37</f>
        <v>1.0215096832453458E-5</v>
      </c>
      <c r="M4" s="104">
        <f>Calculations!Q37</f>
        <v>1.0275170712047235E-5</v>
      </c>
      <c r="N4" s="104">
        <f>Calculations!R37</f>
        <v>1.0330611019118281E-5</v>
      </c>
      <c r="O4" s="104">
        <f>Calculations!S37</f>
        <v>1.0379119966126868E-5</v>
      </c>
      <c r="P4" s="104">
        <f>Calculations!T37</f>
        <v>1.0427048933146262E-5</v>
      </c>
      <c r="Q4" s="104">
        <f>Calculations!U37</f>
        <v>1.0474150100933603E-5</v>
      </c>
      <c r="R4" s="104">
        <f>Calculations!V37</f>
        <v>1.0527382322294204E-5</v>
      </c>
      <c r="S4" s="104">
        <f>Calculations!W37</f>
        <v>1.0594770600985294E-5</v>
      </c>
      <c r="T4" s="104">
        <f>Calculations!X37</f>
        <v>1.0672450434881948E-5</v>
      </c>
      <c r="U4" s="104">
        <f>Calculations!Y37</f>
        <v>1.0757663810467844E-5</v>
      </c>
      <c r="V4" s="104">
        <f>Calculations!Z37</f>
        <v>1.0846985717890305E-5</v>
      </c>
      <c r="W4" s="104">
        <f>Calculations!AA37</f>
        <v>1.094210484477407E-5</v>
      </c>
      <c r="X4" s="104">
        <f>Calculations!AB37</f>
        <v>1.1045726707390898E-5</v>
      </c>
      <c r="Y4" s="104">
        <f>Calculations!AC37</f>
        <v>1.1151628296304343E-5</v>
      </c>
      <c r="Z4" s="104">
        <f>Calculations!AD37</f>
        <v>1.1256209826355572E-5</v>
      </c>
      <c r="AA4" s="104">
        <f>Calculations!AE37</f>
        <v>1.1361165021070192E-5</v>
      </c>
      <c r="AB4" s="104">
        <f>Calculations!AF37</f>
        <v>1.1463420196349517E-5</v>
      </c>
    </row>
    <row r="5" spans="1:30" x14ac:dyDescent="0.25">
      <c r="A5" s="1" t="s">
        <v>160</v>
      </c>
      <c r="B5" s="104">
        <f>Calculations!F38</f>
        <v>-2.7462405660377355E-5</v>
      </c>
      <c r="C5" s="104">
        <f>Calculations!G38</f>
        <v>-2.7752966878914129E-5</v>
      </c>
      <c r="D5" s="104">
        <f>Calculations!H38</f>
        <v>-2.824746584490387E-5</v>
      </c>
      <c r="E5" s="104">
        <f>Calculations!I38</f>
        <v>-2.8920036076964188E-5</v>
      </c>
      <c r="F5" s="104">
        <f>Calculations!J38</f>
        <v>-2.966739278582522E-5</v>
      </c>
      <c r="G5" s="104">
        <f>Calculations!K38</f>
        <v>-3.0480862693336038E-5</v>
      </c>
      <c r="H5" s="104">
        <f>Calculations!L38</f>
        <v>-3.1265934342526342E-5</v>
      </c>
      <c r="I5" s="104">
        <f>Calculations!M38</f>
        <v>-3.1916008373115099E-5</v>
      </c>
      <c r="J5" s="104">
        <f>Calculations!N38</f>
        <v>-3.2415062111801237E-5</v>
      </c>
      <c r="K5" s="104">
        <f>Calculations!O38</f>
        <v>-3.2805719262295077E-5</v>
      </c>
      <c r="L5" s="104">
        <f>Calculations!P38</f>
        <v>-3.30631416189835E-5</v>
      </c>
      <c r="M5" s="104">
        <f>Calculations!Q38</f>
        <v>-3.3182572516471292E-5</v>
      </c>
      <c r="N5" s="104">
        <f>Calculations!R38</f>
        <v>-3.3340096560442912E-5</v>
      </c>
      <c r="O5" s="104">
        <f>Calculations!S38</f>
        <v>-3.3520812758574673E-5</v>
      </c>
      <c r="P5" s="104">
        <f>Calculations!T38</f>
        <v>-3.370456548403216E-5</v>
      </c>
      <c r="Q5" s="104">
        <f>Calculations!U38</f>
        <v>-3.3898416898792946E-5</v>
      </c>
      <c r="R5" s="104">
        <f>Calculations!V38</f>
        <v>-3.411054418538392E-5</v>
      </c>
      <c r="S5" s="104">
        <f>Calculations!W38</f>
        <v>-3.43548918064673E-5</v>
      </c>
      <c r="T5" s="104">
        <f>Calculations!X38</f>
        <v>-3.4629543188954797E-5</v>
      </c>
      <c r="U5" s="104">
        <f>Calculations!Y38</f>
        <v>-3.4933084061972694E-5</v>
      </c>
      <c r="V5" s="104">
        <f>Calculations!Z38</f>
        <v>-3.529501549858149E-5</v>
      </c>
      <c r="W5" s="104">
        <f>Calculations!AA38</f>
        <v>-3.5638348886131939E-5</v>
      </c>
      <c r="X5" s="104">
        <f>Calculations!AB38</f>
        <v>-3.600279485901058E-5</v>
      </c>
      <c r="Y5" s="104">
        <f>Calculations!AC38</f>
        <v>-3.6373045963934243E-5</v>
      </c>
      <c r="Z5" s="104">
        <f>Calculations!AD38</f>
        <v>-3.674731371174959E-5</v>
      </c>
      <c r="AA5" s="104">
        <f>Calculations!AE38</f>
        <v>-3.7125437492508693E-5</v>
      </c>
      <c r="AB5" s="104">
        <f>Calculations!AF38</f>
        <v>-3.7515594059405938E-5</v>
      </c>
    </row>
    <row r="6" spans="1:30" x14ac:dyDescent="0.25">
      <c r="A6" s="1" t="s">
        <v>161</v>
      </c>
      <c r="B6" s="119">
        <f t="shared" ref="B6:AB7" si="1">B4</f>
        <v>9.3973178205071267E-6</v>
      </c>
      <c r="C6" s="119">
        <f t="shared" si="1"/>
        <v>9.4453546495072139E-6</v>
      </c>
      <c r="D6" s="119">
        <f t="shared" si="1"/>
        <v>9.4803150268189324E-6</v>
      </c>
      <c r="E6" s="119">
        <f t="shared" si="1"/>
        <v>9.5300498620191142E-6</v>
      </c>
      <c r="F6" s="119">
        <f t="shared" si="1"/>
        <v>9.5824325951225103E-6</v>
      </c>
      <c r="G6" s="119">
        <f t="shared" si="1"/>
        <v>9.6764267162371355E-6</v>
      </c>
      <c r="H6" s="119">
        <f t="shared" si="1"/>
        <v>9.7794420079978763E-6</v>
      </c>
      <c r="I6" s="119">
        <f t="shared" si="1"/>
        <v>9.8921549917815529E-6</v>
      </c>
      <c r="J6" s="119">
        <f t="shared" si="1"/>
        <v>1.0021102287051541E-5</v>
      </c>
      <c r="K6" s="119">
        <f t="shared" si="1"/>
        <v>1.0130143935556063E-5</v>
      </c>
      <c r="L6" s="119">
        <f t="shared" si="1"/>
        <v>1.0215096832453458E-5</v>
      </c>
      <c r="M6" s="119">
        <f t="shared" si="1"/>
        <v>1.0275170712047235E-5</v>
      </c>
      <c r="N6" s="119">
        <f t="shared" si="1"/>
        <v>1.0330611019118281E-5</v>
      </c>
      <c r="O6" s="119">
        <f t="shared" si="1"/>
        <v>1.0379119966126868E-5</v>
      </c>
      <c r="P6" s="119">
        <f t="shared" si="1"/>
        <v>1.0427048933146262E-5</v>
      </c>
      <c r="Q6" s="119">
        <f t="shared" si="1"/>
        <v>1.0474150100933603E-5</v>
      </c>
      <c r="R6" s="119">
        <f t="shared" si="1"/>
        <v>1.0527382322294204E-5</v>
      </c>
      <c r="S6" s="119">
        <f t="shared" si="1"/>
        <v>1.0594770600985294E-5</v>
      </c>
      <c r="T6" s="119">
        <f t="shared" si="1"/>
        <v>1.0672450434881948E-5</v>
      </c>
      <c r="U6" s="119">
        <f t="shared" si="1"/>
        <v>1.0757663810467844E-5</v>
      </c>
      <c r="V6" s="119">
        <f t="shared" si="1"/>
        <v>1.0846985717890305E-5</v>
      </c>
      <c r="W6" s="119">
        <f t="shared" si="1"/>
        <v>1.094210484477407E-5</v>
      </c>
      <c r="X6" s="119">
        <f t="shared" si="1"/>
        <v>1.1045726707390898E-5</v>
      </c>
      <c r="Y6" s="119">
        <f t="shared" si="1"/>
        <v>1.1151628296304343E-5</v>
      </c>
      <c r="Z6" s="119">
        <f t="shared" si="1"/>
        <v>1.1256209826355572E-5</v>
      </c>
      <c r="AA6" s="119">
        <f t="shared" si="1"/>
        <v>1.1361165021070192E-5</v>
      </c>
      <c r="AB6" s="119">
        <f t="shared" si="1"/>
        <v>1.1463420196349517E-5</v>
      </c>
    </row>
    <row r="7" spans="1:30" x14ac:dyDescent="0.25">
      <c r="A7" s="1" t="s">
        <v>50</v>
      </c>
      <c r="B7" s="119">
        <f t="shared" si="1"/>
        <v>-2.7462405660377355E-5</v>
      </c>
      <c r="C7" s="119">
        <f t="shared" si="1"/>
        <v>-2.7752966878914129E-5</v>
      </c>
      <c r="D7" s="119">
        <f t="shared" si="1"/>
        <v>-2.824746584490387E-5</v>
      </c>
      <c r="E7" s="119">
        <f t="shared" si="1"/>
        <v>-2.8920036076964188E-5</v>
      </c>
      <c r="F7" s="119">
        <f t="shared" si="1"/>
        <v>-2.966739278582522E-5</v>
      </c>
      <c r="G7" s="119">
        <f t="shared" si="1"/>
        <v>-3.0480862693336038E-5</v>
      </c>
      <c r="H7" s="119">
        <f t="shared" si="1"/>
        <v>-3.1265934342526342E-5</v>
      </c>
      <c r="I7" s="119">
        <f t="shared" si="1"/>
        <v>-3.1916008373115099E-5</v>
      </c>
      <c r="J7" s="119">
        <f t="shared" si="1"/>
        <v>-3.2415062111801237E-5</v>
      </c>
      <c r="K7" s="119">
        <f t="shared" si="1"/>
        <v>-3.2805719262295077E-5</v>
      </c>
      <c r="L7" s="119">
        <f t="shared" si="1"/>
        <v>-3.30631416189835E-5</v>
      </c>
      <c r="M7" s="119">
        <f t="shared" si="1"/>
        <v>-3.3182572516471292E-5</v>
      </c>
      <c r="N7" s="119">
        <f t="shared" si="1"/>
        <v>-3.3340096560442912E-5</v>
      </c>
      <c r="O7" s="119">
        <f t="shared" si="1"/>
        <v>-3.3520812758574673E-5</v>
      </c>
      <c r="P7" s="119">
        <f t="shared" si="1"/>
        <v>-3.370456548403216E-5</v>
      </c>
      <c r="Q7" s="119">
        <f t="shared" si="1"/>
        <v>-3.3898416898792946E-5</v>
      </c>
      <c r="R7" s="119">
        <f t="shared" si="1"/>
        <v>-3.411054418538392E-5</v>
      </c>
      <c r="S7" s="119">
        <f t="shared" si="1"/>
        <v>-3.43548918064673E-5</v>
      </c>
      <c r="T7" s="119">
        <f t="shared" si="1"/>
        <v>-3.4629543188954797E-5</v>
      </c>
      <c r="U7" s="119">
        <f t="shared" si="1"/>
        <v>-3.4933084061972694E-5</v>
      </c>
      <c r="V7" s="119">
        <f t="shared" si="1"/>
        <v>-3.529501549858149E-5</v>
      </c>
      <c r="W7" s="119">
        <f t="shared" si="1"/>
        <v>-3.5638348886131939E-5</v>
      </c>
      <c r="X7" s="119">
        <f t="shared" si="1"/>
        <v>-3.600279485901058E-5</v>
      </c>
      <c r="Y7" s="119">
        <f t="shared" si="1"/>
        <v>-3.6373045963934243E-5</v>
      </c>
      <c r="Z7" s="119">
        <f t="shared" si="1"/>
        <v>-3.674731371174959E-5</v>
      </c>
      <c r="AA7" s="119">
        <f t="shared" si="1"/>
        <v>-3.7125437492508693E-5</v>
      </c>
      <c r="AB7" s="119">
        <f t="shared" si="1"/>
        <v>-3.7515594059405938E-5</v>
      </c>
    </row>
    <row r="8" spans="1:30" x14ac:dyDescent="0.25">
      <c r="A8" s="1" t="s">
        <v>162</v>
      </c>
      <c r="B8" s="119">
        <f t="shared" ref="B8:AB8" si="2">B5</f>
        <v>-2.7462405660377355E-5</v>
      </c>
      <c r="C8" s="119">
        <f t="shared" si="2"/>
        <v>-2.7752966878914129E-5</v>
      </c>
      <c r="D8" s="119">
        <f t="shared" si="2"/>
        <v>-2.824746584490387E-5</v>
      </c>
      <c r="E8" s="119">
        <f t="shared" si="2"/>
        <v>-2.8920036076964188E-5</v>
      </c>
      <c r="F8" s="119">
        <f t="shared" si="2"/>
        <v>-2.966739278582522E-5</v>
      </c>
      <c r="G8" s="119">
        <f t="shared" si="2"/>
        <v>-3.0480862693336038E-5</v>
      </c>
      <c r="H8" s="119">
        <f t="shared" si="2"/>
        <v>-3.1265934342526342E-5</v>
      </c>
      <c r="I8" s="119">
        <f t="shared" si="2"/>
        <v>-3.1916008373115099E-5</v>
      </c>
      <c r="J8" s="119">
        <f t="shared" si="2"/>
        <v>-3.2415062111801237E-5</v>
      </c>
      <c r="K8" s="119">
        <f t="shared" si="2"/>
        <v>-3.2805719262295077E-5</v>
      </c>
      <c r="L8" s="119">
        <f t="shared" si="2"/>
        <v>-3.30631416189835E-5</v>
      </c>
      <c r="M8" s="119">
        <f t="shared" si="2"/>
        <v>-3.3182572516471292E-5</v>
      </c>
      <c r="N8" s="119">
        <f t="shared" si="2"/>
        <v>-3.3340096560442912E-5</v>
      </c>
      <c r="O8" s="119">
        <f t="shared" si="2"/>
        <v>-3.3520812758574673E-5</v>
      </c>
      <c r="P8" s="119">
        <f t="shared" si="2"/>
        <v>-3.370456548403216E-5</v>
      </c>
      <c r="Q8" s="119">
        <f t="shared" si="2"/>
        <v>-3.3898416898792946E-5</v>
      </c>
      <c r="R8" s="119">
        <f t="shared" si="2"/>
        <v>-3.411054418538392E-5</v>
      </c>
      <c r="S8" s="119">
        <f t="shared" si="2"/>
        <v>-3.43548918064673E-5</v>
      </c>
      <c r="T8" s="119">
        <f t="shared" si="2"/>
        <v>-3.4629543188954797E-5</v>
      </c>
      <c r="U8" s="119">
        <f t="shared" si="2"/>
        <v>-3.4933084061972694E-5</v>
      </c>
      <c r="V8" s="119">
        <f t="shared" si="2"/>
        <v>-3.529501549858149E-5</v>
      </c>
      <c r="W8" s="119">
        <f t="shared" si="2"/>
        <v>-3.5638348886131939E-5</v>
      </c>
      <c r="X8" s="119">
        <f t="shared" si="2"/>
        <v>-3.600279485901058E-5</v>
      </c>
      <c r="Y8" s="119">
        <f t="shared" si="2"/>
        <v>-3.6373045963934243E-5</v>
      </c>
      <c r="Z8" s="119">
        <f t="shared" si="2"/>
        <v>-3.674731371174959E-5</v>
      </c>
      <c r="AA8" s="119">
        <f t="shared" si="2"/>
        <v>-3.7125437492508693E-5</v>
      </c>
      <c r="AB8" s="119">
        <f t="shared" si="2"/>
        <v>-3.7515594059405938E-5</v>
      </c>
    </row>
    <row r="9" spans="1:30" x14ac:dyDescent="0.25">
      <c r="A9" s="1" t="s">
        <v>163</v>
      </c>
      <c r="B9" s="119">
        <f t="shared" ref="B9:AB9" si="3">B5</f>
        <v>-2.7462405660377355E-5</v>
      </c>
      <c r="C9" s="119">
        <f t="shared" si="3"/>
        <v>-2.7752966878914129E-5</v>
      </c>
      <c r="D9" s="119">
        <f t="shared" si="3"/>
        <v>-2.824746584490387E-5</v>
      </c>
      <c r="E9" s="119">
        <f t="shared" si="3"/>
        <v>-2.8920036076964188E-5</v>
      </c>
      <c r="F9" s="119">
        <f t="shared" si="3"/>
        <v>-2.966739278582522E-5</v>
      </c>
      <c r="G9" s="119">
        <f t="shared" si="3"/>
        <v>-3.0480862693336038E-5</v>
      </c>
      <c r="H9" s="119">
        <f t="shared" si="3"/>
        <v>-3.1265934342526342E-5</v>
      </c>
      <c r="I9" s="119">
        <f t="shared" si="3"/>
        <v>-3.1916008373115099E-5</v>
      </c>
      <c r="J9" s="119">
        <f t="shared" si="3"/>
        <v>-3.2415062111801237E-5</v>
      </c>
      <c r="K9" s="119">
        <f t="shared" si="3"/>
        <v>-3.2805719262295077E-5</v>
      </c>
      <c r="L9" s="119">
        <f t="shared" si="3"/>
        <v>-3.30631416189835E-5</v>
      </c>
      <c r="M9" s="119">
        <f t="shared" si="3"/>
        <v>-3.3182572516471292E-5</v>
      </c>
      <c r="N9" s="119">
        <f t="shared" si="3"/>
        <v>-3.3340096560442912E-5</v>
      </c>
      <c r="O9" s="119">
        <f t="shared" si="3"/>
        <v>-3.3520812758574673E-5</v>
      </c>
      <c r="P9" s="119">
        <f t="shared" si="3"/>
        <v>-3.370456548403216E-5</v>
      </c>
      <c r="Q9" s="119">
        <f t="shared" si="3"/>
        <v>-3.3898416898792946E-5</v>
      </c>
      <c r="R9" s="119">
        <f t="shared" si="3"/>
        <v>-3.411054418538392E-5</v>
      </c>
      <c r="S9" s="119">
        <f t="shared" si="3"/>
        <v>-3.43548918064673E-5</v>
      </c>
      <c r="T9" s="119">
        <f t="shared" si="3"/>
        <v>-3.4629543188954797E-5</v>
      </c>
      <c r="U9" s="119">
        <f t="shared" si="3"/>
        <v>-3.4933084061972694E-5</v>
      </c>
      <c r="V9" s="119">
        <f t="shared" si="3"/>
        <v>-3.529501549858149E-5</v>
      </c>
      <c r="W9" s="119">
        <f t="shared" si="3"/>
        <v>-3.5638348886131939E-5</v>
      </c>
      <c r="X9" s="119">
        <f t="shared" si="3"/>
        <v>-3.600279485901058E-5</v>
      </c>
      <c r="Y9" s="119">
        <f t="shared" si="3"/>
        <v>-3.6373045963934243E-5</v>
      </c>
      <c r="Z9" s="119">
        <f t="shared" si="3"/>
        <v>-3.674731371174959E-5</v>
      </c>
      <c r="AA9" s="119">
        <f t="shared" si="3"/>
        <v>-3.7125437492508693E-5</v>
      </c>
      <c r="AB9" s="119">
        <f t="shared" si="3"/>
        <v>-3.7515594059405938E-5</v>
      </c>
    </row>
    <row r="10" spans="1:30" x14ac:dyDescent="0.25">
      <c r="A10" s="1" t="s">
        <v>164</v>
      </c>
      <c r="B10" s="119">
        <f t="shared" ref="B10:AB10" si="4">B4</f>
        <v>9.3973178205071267E-6</v>
      </c>
      <c r="C10" s="119">
        <f t="shared" si="4"/>
        <v>9.4453546495072139E-6</v>
      </c>
      <c r="D10" s="119">
        <f t="shared" si="4"/>
        <v>9.4803150268189324E-6</v>
      </c>
      <c r="E10" s="119">
        <f t="shared" si="4"/>
        <v>9.5300498620191142E-6</v>
      </c>
      <c r="F10" s="119">
        <f t="shared" si="4"/>
        <v>9.5824325951225103E-6</v>
      </c>
      <c r="G10" s="119">
        <f t="shared" si="4"/>
        <v>9.6764267162371355E-6</v>
      </c>
      <c r="H10" s="119">
        <f t="shared" si="4"/>
        <v>9.7794420079978763E-6</v>
      </c>
      <c r="I10" s="119">
        <f t="shared" si="4"/>
        <v>9.8921549917815529E-6</v>
      </c>
      <c r="J10" s="119">
        <f t="shared" si="4"/>
        <v>1.0021102287051541E-5</v>
      </c>
      <c r="K10" s="119">
        <f t="shared" si="4"/>
        <v>1.0130143935556063E-5</v>
      </c>
      <c r="L10" s="119">
        <f t="shared" si="4"/>
        <v>1.0215096832453458E-5</v>
      </c>
      <c r="M10" s="119">
        <f t="shared" si="4"/>
        <v>1.0275170712047235E-5</v>
      </c>
      <c r="N10" s="119">
        <f t="shared" si="4"/>
        <v>1.0330611019118281E-5</v>
      </c>
      <c r="O10" s="119">
        <f t="shared" si="4"/>
        <v>1.0379119966126868E-5</v>
      </c>
      <c r="P10" s="119">
        <f t="shared" si="4"/>
        <v>1.0427048933146262E-5</v>
      </c>
      <c r="Q10" s="119">
        <f t="shared" si="4"/>
        <v>1.0474150100933603E-5</v>
      </c>
      <c r="R10" s="119">
        <f t="shared" si="4"/>
        <v>1.0527382322294204E-5</v>
      </c>
      <c r="S10" s="119">
        <f t="shared" si="4"/>
        <v>1.0594770600985294E-5</v>
      </c>
      <c r="T10" s="119">
        <f t="shared" si="4"/>
        <v>1.0672450434881948E-5</v>
      </c>
      <c r="U10" s="119">
        <f t="shared" si="4"/>
        <v>1.0757663810467844E-5</v>
      </c>
      <c r="V10" s="119">
        <f t="shared" si="4"/>
        <v>1.0846985717890305E-5</v>
      </c>
      <c r="W10" s="119">
        <f t="shared" si="4"/>
        <v>1.094210484477407E-5</v>
      </c>
      <c r="X10" s="119">
        <f t="shared" si="4"/>
        <v>1.1045726707390898E-5</v>
      </c>
      <c r="Y10" s="119">
        <f t="shared" si="4"/>
        <v>1.1151628296304343E-5</v>
      </c>
      <c r="Z10" s="119">
        <f t="shared" si="4"/>
        <v>1.1256209826355572E-5</v>
      </c>
      <c r="AA10" s="119">
        <f t="shared" si="4"/>
        <v>1.1361165021070192E-5</v>
      </c>
      <c r="AB10" s="119">
        <f t="shared" si="4"/>
        <v>1.1463420196349517E-5</v>
      </c>
    </row>
    <row r="11" spans="1:30" x14ac:dyDescent="0.25">
      <c r="A11" s="1" t="s">
        <v>165</v>
      </c>
      <c r="B11" s="119">
        <f t="shared" ref="B11:AB11" si="5">B4</f>
        <v>9.3973178205071267E-6</v>
      </c>
      <c r="C11" s="119">
        <f t="shared" si="5"/>
        <v>9.4453546495072139E-6</v>
      </c>
      <c r="D11" s="119">
        <f t="shared" si="5"/>
        <v>9.4803150268189324E-6</v>
      </c>
      <c r="E11" s="119">
        <f t="shared" si="5"/>
        <v>9.5300498620191142E-6</v>
      </c>
      <c r="F11" s="119">
        <f t="shared" si="5"/>
        <v>9.5824325951225103E-6</v>
      </c>
      <c r="G11" s="119">
        <f t="shared" si="5"/>
        <v>9.6764267162371355E-6</v>
      </c>
      <c r="H11" s="119">
        <f t="shared" si="5"/>
        <v>9.7794420079978763E-6</v>
      </c>
      <c r="I11" s="119">
        <f t="shared" si="5"/>
        <v>9.8921549917815529E-6</v>
      </c>
      <c r="J11" s="119">
        <f t="shared" si="5"/>
        <v>1.0021102287051541E-5</v>
      </c>
      <c r="K11" s="119">
        <f t="shared" si="5"/>
        <v>1.0130143935556063E-5</v>
      </c>
      <c r="L11" s="119">
        <f t="shared" si="5"/>
        <v>1.0215096832453458E-5</v>
      </c>
      <c r="M11" s="119">
        <f t="shared" si="5"/>
        <v>1.0275170712047235E-5</v>
      </c>
      <c r="N11" s="119">
        <f t="shared" si="5"/>
        <v>1.0330611019118281E-5</v>
      </c>
      <c r="O11" s="119">
        <f t="shared" si="5"/>
        <v>1.0379119966126868E-5</v>
      </c>
      <c r="P11" s="119">
        <f t="shared" si="5"/>
        <v>1.0427048933146262E-5</v>
      </c>
      <c r="Q11" s="119">
        <f t="shared" si="5"/>
        <v>1.0474150100933603E-5</v>
      </c>
      <c r="R11" s="119">
        <f t="shared" si="5"/>
        <v>1.0527382322294204E-5</v>
      </c>
      <c r="S11" s="119">
        <f t="shared" si="5"/>
        <v>1.0594770600985294E-5</v>
      </c>
      <c r="T11" s="119">
        <f t="shared" si="5"/>
        <v>1.0672450434881948E-5</v>
      </c>
      <c r="U11" s="119">
        <f t="shared" si="5"/>
        <v>1.0757663810467844E-5</v>
      </c>
      <c r="V11" s="119">
        <f t="shared" si="5"/>
        <v>1.0846985717890305E-5</v>
      </c>
      <c r="W11" s="119">
        <f t="shared" si="5"/>
        <v>1.094210484477407E-5</v>
      </c>
      <c r="X11" s="119">
        <f t="shared" si="5"/>
        <v>1.1045726707390898E-5</v>
      </c>
      <c r="Y11" s="119">
        <f t="shared" si="5"/>
        <v>1.1151628296304343E-5</v>
      </c>
      <c r="Z11" s="119">
        <f t="shared" si="5"/>
        <v>1.1256209826355572E-5</v>
      </c>
      <c r="AA11" s="119">
        <f t="shared" si="5"/>
        <v>1.1361165021070192E-5</v>
      </c>
      <c r="AB11" s="119">
        <f t="shared" si="5"/>
        <v>1.1463420196349517E-5</v>
      </c>
    </row>
  </sheetData>
  <pageMargins left="0.7" right="0.7" top="0.75" bottom="0.75" header="0.3" footer="0.3"/>
  <pageSetup orientation="portrait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8" tint="-0.249977111117893"/>
  </sheetPr>
  <dimension ref="A1:AD11"/>
  <sheetViews>
    <sheetView zoomScaleNormal="100" workbookViewId="0">
      <selection activeCell="B1" sqref="B1:E1048576"/>
    </sheetView>
  </sheetViews>
  <sheetFormatPr defaultRowHeight="15" x14ac:dyDescent="0.25"/>
  <cols>
    <col min="1" max="1" width="29.85546875" customWidth="1"/>
    <col min="2" max="28" width="10" customWidth="1"/>
  </cols>
  <sheetData>
    <row r="1" spans="1:30" x14ac:dyDescent="0.25">
      <c r="A1" s="121" t="s">
        <v>171</v>
      </c>
      <c r="B1" s="1">
        <v>2024</v>
      </c>
      <c r="C1" s="1">
        <v>2025</v>
      </c>
      <c r="D1" s="1">
        <v>2026</v>
      </c>
      <c r="E1" s="1">
        <v>2027</v>
      </c>
      <c r="F1" s="1">
        <v>2028</v>
      </c>
      <c r="G1" s="1">
        <v>2029</v>
      </c>
      <c r="H1" s="1">
        <v>2030</v>
      </c>
      <c r="I1" s="1">
        <v>2031</v>
      </c>
      <c r="J1" s="1">
        <v>2032</v>
      </c>
      <c r="K1" s="1">
        <v>2033</v>
      </c>
      <c r="L1" s="1">
        <v>2034</v>
      </c>
      <c r="M1" s="1">
        <v>2035</v>
      </c>
      <c r="N1" s="1">
        <v>2036</v>
      </c>
      <c r="O1" s="1">
        <v>2037</v>
      </c>
      <c r="P1" s="1">
        <v>2038</v>
      </c>
      <c r="Q1" s="1">
        <v>2039</v>
      </c>
      <c r="R1" s="1">
        <v>2040</v>
      </c>
      <c r="S1" s="1">
        <v>2041</v>
      </c>
      <c r="T1" s="1">
        <v>2042</v>
      </c>
      <c r="U1" s="1">
        <v>2043</v>
      </c>
      <c r="V1" s="1">
        <v>2044</v>
      </c>
      <c r="W1" s="1">
        <v>2045</v>
      </c>
      <c r="X1" s="1">
        <v>2046</v>
      </c>
      <c r="Y1" s="1">
        <v>2047</v>
      </c>
      <c r="Z1" s="1">
        <v>2048</v>
      </c>
      <c r="AA1" s="1">
        <v>2049</v>
      </c>
      <c r="AB1" s="1">
        <v>2050</v>
      </c>
      <c r="AC1" s="1"/>
      <c r="AD1" s="1"/>
    </row>
    <row r="2" spans="1:30" x14ac:dyDescent="0.25">
      <c r="A2" s="1" t="s">
        <v>158</v>
      </c>
      <c r="B2" s="120">
        <v>0</v>
      </c>
      <c r="C2" s="120">
        <v>0</v>
      </c>
      <c r="D2" s="120">
        <v>0</v>
      </c>
      <c r="E2" s="120">
        <v>0</v>
      </c>
      <c r="F2" s="120">
        <v>0</v>
      </c>
      <c r="G2" s="120">
        <v>0</v>
      </c>
      <c r="H2" s="120">
        <v>0</v>
      </c>
      <c r="I2" s="120">
        <v>0</v>
      </c>
      <c r="J2" s="120">
        <v>0</v>
      </c>
      <c r="K2" s="120">
        <v>0</v>
      </c>
      <c r="L2" s="120">
        <v>0</v>
      </c>
      <c r="M2" s="120">
        <v>0</v>
      </c>
      <c r="N2" s="120">
        <v>0</v>
      </c>
      <c r="O2" s="120">
        <v>0</v>
      </c>
      <c r="P2" s="120">
        <v>0</v>
      </c>
      <c r="Q2" s="120">
        <v>0</v>
      </c>
      <c r="R2" s="120">
        <v>0</v>
      </c>
      <c r="S2" s="120">
        <v>0</v>
      </c>
      <c r="T2" s="120">
        <v>0</v>
      </c>
      <c r="U2" s="120">
        <v>0</v>
      </c>
      <c r="V2" s="120">
        <v>0</v>
      </c>
      <c r="W2" s="120">
        <v>0</v>
      </c>
      <c r="X2" s="120">
        <v>0</v>
      </c>
      <c r="Y2" s="120">
        <v>0</v>
      </c>
      <c r="Z2" s="120">
        <v>0</v>
      </c>
      <c r="AA2" s="120">
        <v>0</v>
      </c>
      <c r="AB2" s="120">
        <v>0</v>
      </c>
      <c r="AD2" s="118"/>
    </row>
    <row r="3" spans="1:30" x14ac:dyDescent="0.25">
      <c r="A3" s="1" t="s">
        <v>159</v>
      </c>
      <c r="B3" s="119">
        <f t="shared" ref="B3:AB3" si="0">B4</f>
        <v>9.3973178205071267E-6</v>
      </c>
      <c r="C3" s="119">
        <f t="shared" si="0"/>
        <v>9.4453546495072139E-6</v>
      </c>
      <c r="D3" s="119">
        <f t="shared" si="0"/>
        <v>9.4803150268189324E-6</v>
      </c>
      <c r="E3" s="119">
        <f t="shared" si="0"/>
        <v>9.5300498620191142E-6</v>
      </c>
      <c r="F3" s="119">
        <f t="shared" si="0"/>
        <v>9.5824325951225103E-6</v>
      </c>
      <c r="G3" s="119">
        <f t="shared" si="0"/>
        <v>9.6764267162371355E-6</v>
      </c>
      <c r="H3" s="119">
        <f t="shared" si="0"/>
        <v>9.7794420079978763E-6</v>
      </c>
      <c r="I3" s="119">
        <f t="shared" si="0"/>
        <v>9.8921549917815529E-6</v>
      </c>
      <c r="J3" s="119">
        <f t="shared" si="0"/>
        <v>1.0021102287051541E-5</v>
      </c>
      <c r="K3" s="119">
        <f t="shared" si="0"/>
        <v>1.0130143935556063E-5</v>
      </c>
      <c r="L3" s="119">
        <f t="shared" si="0"/>
        <v>1.0215096832453458E-5</v>
      </c>
      <c r="M3" s="119">
        <f t="shared" si="0"/>
        <v>1.0275170712047235E-5</v>
      </c>
      <c r="N3" s="119">
        <f t="shared" si="0"/>
        <v>1.0330611019118281E-5</v>
      </c>
      <c r="O3" s="119">
        <f t="shared" si="0"/>
        <v>1.0379119966126868E-5</v>
      </c>
      <c r="P3" s="119">
        <f t="shared" si="0"/>
        <v>1.0427048933146262E-5</v>
      </c>
      <c r="Q3" s="119">
        <f t="shared" si="0"/>
        <v>1.0474150100933603E-5</v>
      </c>
      <c r="R3" s="119">
        <f t="shared" si="0"/>
        <v>1.0527382322294204E-5</v>
      </c>
      <c r="S3" s="119">
        <f t="shared" si="0"/>
        <v>1.0594770600985294E-5</v>
      </c>
      <c r="T3" s="119">
        <f t="shared" si="0"/>
        <v>1.0672450434881948E-5</v>
      </c>
      <c r="U3" s="119">
        <f t="shared" si="0"/>
        <v>1.0757663810467844E-5</v>
      </c>
      <c r="V3" s="119">
        <f t="shared" si="0"/>
        <v>1.0846985717890305E-5</v>
      </c>
      <c r="W3" s="119">
        <f t="shared" si="0"/>
        <v>1.094210484477407E-5</v>
      </c>
      <c r="X3" s="119">
        <f t="shared" si="0"/>
        <v>1.1045726707390898E-5</v>
      </c>
      <c r="Y3" s="119">
        <f t="shared" si="0"/>
        <v>1.1151628296304343E-5</v>
      </c>
      <c r="Z3" s="119">
        <f t="shared" si="0"/>
        <v>1.1256209826355572E-5</v>
      </c>
      <c r="AA3" s="119">
        <f t="shared" si="0"/>
        <v>1.1361165021070192E-5</v>
      </c>
      <c r="AB3" s="119">
        <f t="shared" si="0"/>
        <v>1.1463420196349517E-5</v>
      </c>
    </row>
    <row r="4" spans="1:30" x14ac:dyDescent="0.25">
      <c r="A4" s="1" t="s">
        <v>13</v>
      </c>
      <c r="B4" s="104">
        <f>Calculations!F37</f>
        <v>9.3973178205071267E-6</v>
      </c>
      <c r="C4" s="104">
        <f>Calculations!G37</f>
        <v>9.4453546495072139E-6</v>
      </c>
      <c r="D4" s="104">
        <f>Calculations!H37</f>
        <v>9.4803150268189324E-6</v>
      </c>
      <c r="E4" s="104">
        <f>Calculations!I37</f>
        <v>9.5300498620191142E-6</v>
      </c>
      <c r="F4" s="104">
        <f>Calculations!J37</f>
        <v>9.5824325951225103E-6</v>
      </c>
      <c r="G4" s="104">
        <f>Calculations!K37</f>
        <v>9.6764267162371355E-6</v>
      </c>
      <c r="H4" s="104">
        <f>Calculations!L37</f>
        <v>9.7794420079978763E-6</v>
      </c>
      <c r="I4" s="104">
        <f>Calculations!M37</f>
        <v>9.8921549917815529E-6</v>
      </c>
      <c r="J4" s="104">
        <f>Calculations!N37</f>
        <v>1.0021102287051541E-5</v>
      </c>
      <c r="K4" s="104">
        <f>Calculations!O37</f>
        <v>1.0130143935556063E-5</v>
      </c>
      <c r="L4" s="104">
        <f>Calculations!P37</f>
        <v>1.0215096832453458E-5</v>
      </c>
      <c r="M4" s="104">
        <f>Calculations!Q37</f>
        <v>1.0275170712047235E-5</v>
      </c>
      <c r="N4" s="104">
        <f>Calculations!R37</f>
        <v>1.0330611019118281E-5</v>
      </c>
      <c r="O4" s="104">
        <f>Calculations!S37</f>
        <v>1.0379119966126868E-5</v>
      </c>
      <c r="P4" s="104">
        <f>Calculations!T37</f>
        <v>1.0427048933146262E-5</v>
      </c>
      <c r="Q4" s="104">
        <f>Calculations!U37</f>
        <v>1.0474150100933603E-5</v>
      </c>
      <c r="R4" s="104">
        <f>Calculations!V37</f>
        <v>1.0527382322294204E-5</v>
      </c>
      <c r="S4" s="104">
        <f>Calculations!W37</f>
        <v>1.0594770600985294E-5</v>
      </c>
      <c r="T4" s="104">
        <f>Calculations!X37</f>
        <v>1.0672450434881948E-5</v>
      </c>
      <c r="U4" s="104">
        <f>Calculations!Y37</f>
        <v>1.0757663810467844E-5</v>
      </c>
      <c r="V4" s="104">
        <f>Calculations!Z37</f>
        <v>1.0846985717890305E-5</v>
      </c>
      <c r="W4" s="104">
        <f>Calculations!AA37</f>
        <v>1.094210484477407E-5</v>
      </c>
      <c r="X4" s="104">
        <f>Calculations!AB37</f>
        <v>1.1045726707390898E-5</v>
      </c>
      <c r="Y4" s="104">
        <f>Calculations!AC37</f>
        <v>1.1151628296304343E-5</v>
      </c>
      <c r="Z4" s="104">
        <f>Calculations!AD37</f>
        <v>1.1256209826355572E-5</v>
      </c>
      <c r="AA4" s="104">
        <f>Calculations!AE37</f>
        <v>1.1361165021070192E-5</v>
      </c>
      <c r="AB4" s="104">
        <f>Calculations!AF37</f>
        <v>1.1463420196349517E-5</v>
      </c>
    </row>
    <row r="5" spans="1:30" x14ac:dyDescent="0.25">
      <c r="A5" s="1" t="s">
        <v>160</v>
      </c>
      <c r="B5" s="104">
        <f>Calculations!F38</f>
        <v>-2.7462405660377355E-5</v>
      </c>
      <c r="C5" s="104">
        <f>Calculations!G38</f>
        <v>-2.7752966878914129E-5</v>
      </c>
      <c r="D5" s="104">
        <f>Calculations!H38</f>
        <v>-2.824746584490387E-5</v>
      </c>
      <c r="E5" s="104">
        <f>Calculations!I38</f>
        <v>-2.8920036076964188E-5</v>
      </c>
      <c r="F5" s="104">
        <f>Calculations!J38</f>
        <v>-2.966739278582522E-5</v>
      </c>
      <c r="G5" s="104">
        <f>Calculations!K38</f>
        <v>-3.0480862693336038E-5</v>
      </c>
      <c r="H5" s="104">
        <f>Calculations!L38</f>
        <v>-3.1265934342526342E-5</v>
      </c>
      <c r="I5" s="104">
        <f>Calculations!M38</f>
        <v>-3.1916008373115099E-5</v>
      </c>
      <c r="J5" s="104">
        <f>Calculations!N38</f>
        <v>-3.2415062111801237E-5</v>
      </c>
      <c r="K5" s="104">
        <f>Calculations!O38</f>
        <v>-3.2805719262295077E-5</v>
      </c>
      <c r="L5" s="104">
        <f>Calculations!P38</f>
        <v>-3.30631416189835E-5</v>
      </c>
      <c r="M5" s="104">
        <f>Calculations!Q38</f>
        <v>-3.3182572516471292E-5</v>
      </c>
      <c r="N5" s="104">
        <f>Calculations!R38</f>
        <v>-3.3340096560442912E-5</v>
      </c>
      <c r="O5" s="104">
        <f>Calculations!S38</f>
        <v>-3.3520812758574673E-5</v>
      </c>
      <c r="P5" s="104">
        <f>Calculations!T38</f>
        <v>-3.370456548403216E-5</v>
      </c>
      <c r="Q5" s="104">
        <f>Calculations!U38</f>
        <v>-3.3898416898792946E-5</v>
      </c>
      <c r="R5" s="104">
        <f>Calculations!V38</f>
        <v>-3.411054418538392E-5</v>
      </c>
      <c r="S5" s="104">
        <f>Calculations!W38</f>
        <v>-3.43548918064673E-5</v>
      </c>
      <c r="T5" s="104">
        <f>Calculations!X38</f>
        <v>-3.4629543188954797E-5</v>
      </c>
      <c r="U5" s="104">
        <f>Calculations!Y38</f>
        <v>-3.4933084061972694E-5</v>
      </c>
      <c r="V5" s="104">
        <f>Calculations!Z38</f>
        <v>-3.529501549858149E-5</v>
      </c>
      <c r="W5" s="104">
        <f>Calculations!AA38</f>
        <v>-3.5638348886131939E-5</v>
      </c>
      <c r="X5" s="104">
        <f>Calculations!AB38</f>
        <v>-3.600279485901058E-5</v>
      </c>
      <c r="Y5" s="104">
        <f>Calculations!AC38</f>
        <v>-3.6373045963934243E-5</v>
      </c>
      <c r="Z5" s="104">
        <f>Calculations!AD38</f>
        <v>-3.674731371174959E-5</v>
      </c>
      <c r="AA5" s="104">
        <f>Calculations!AE38</f>
        <v>-3.7125437492508693E-5</v>
      </c>
      <c r="AB5" s="104">
        <f>Calculations!AF38</f>
        <v>-3.7515594059405938E-5</v>
      </c>
    </row>
    <row r="6" spans="1:30" x14ac:dyDescent="0.25">
      <c r="A6" s="1" t="s">
        <v>161</v>
      </c>
      <c r="B6" s="119">
        <f t="shared" ref="B6:AB7" si="1">B4</f>
        <v>9.3973178205071267E-6</v>
      </c>
      <c r="C6" s="119">
        <f t="shared" si="1"/>
        <v>9.4453546495072139E-6</v>
      </c>
      <c r="D6" s="119">
        <f t="shared" si="1"/>
        <v>9.4803150268189324E-6</v>
      </c>
      <c r="E6" s="119">
        <f t="shared" si="1"/>
        <v>9.5300498620191142E-6</v>
      </c>
      <c r="F6" s="119">
        <f t="shared" si="1"/>
        <v>9.5824325951225103E-6</v>
      </c>
      <c r="G6" s="119">
        <f t="shared" si="1"/>
        <v>9.6764267162371355E-6</v>
      </c>
      <c r="H6" s="119">
        <f t="shared" si="1"/>
        <v>9.7794420079978763E-6</v>
      </c>
      <c r="I6" s="119">
        <f t="shared" si="1"/>
        <v>9.8921549917815529E-6</v>
      </c>
      <c r="J6" s="119">
        <f t="shared" si="1"/>
        <v>1.0021102287051541E-5</v>
      </c>
      <c r="K6" s="119">
        <f t="shared" si="1"/>
        <v>1.0130143935556063E-5</v>
      </c>
      <c r="L6" s="119">
        <f t="shared" si="1"/>
        <v>1.0215096832453458E-5</v>
      </c>
      <c r="M6" s="119">
        <f t="shared" si="1"/>
        <v>1.0275170712047235E-5</v>
      </c>
      <c r="N6" s="119">
        <f t="shared" si="1"/>
        <v>1.0330611019118281E-5</v>
      </c>
      <c r="O6" s="119">
        <f t="shared" si="1"/>
        <v>1.0379119966126868E-5</v>
      </c>
      <c r="P6" s="119">
        <f t="shared" si="1"/>
        <v>1.0427048933146262E-5</v>
      </c>
      <c r="Q6" s="119">
        <f t="shared" si="1"/>
        <v>1.0474150100933603E-5</v>
      </c>
      <c r="R6" s="119">
        <f t="shared" si="1"/>
        <v>1.0527382322294204E-5</v>
      </c>
      <c r="S6" s="119">
        <f t="shared" si="1"/>
        <v>1.0594770600985294E-5</v>
      </c>
      <c r="T6" s="119">
        <f t="shared" si="1"/>
        <v>1.0672450434881948E-5</v>
      </c>
      <c r="U6" s="119">
        <f t="shared" si="1"/>
        <v>1.0757663810467844E-5</v>
      </c>
      <c r="V6" s="119">
        <f t="shared" si="1"/>
        <v>1.0846985717890305E-5</v>
      </c>
      <c r="W6" s="119">
        <f t="shared" si="1"/>
        <v>1.094210484477407E-5</v>
      </c>
      <c r="X6" s="119">
        <f t="shared" si="1"/>
        <v>1.1045726707390898E-5</v>
      </c>
      <c r="Y6" s="119">
        <f t="shared" si="1"/>
        <v>1.1151628296304343E-5</v>
      </c>
      <c r="Z6" s="119">
        <f t="shared" si="1"/>
        <v>1.1256209826355572E-5</v>
      </c>
      <c r="AA6" s="119">
        <f t="shared" si="1"/>
        <v>1.1361165021070192E-5</v>
      </c>
      <c r="AB6" s="119">
        <f t="shared" si="1"/>
        <v>1.1463420196349517E-5</v>
      </c>
    </row>
    <row r="7" spans="1:30" x14ac:dyDescent="0.25">
      <c r="A7" s="1" t="s">
        <v>50</v>
      </c>
      <c r="B7" s="119">
        <f t="shared" si="1"/>
        <v>-2.7462405660377355E-5</v>
      </c>
      <c r="C7" s="119">
        <f t="shared" si="1"/>
        <v>-2.7752966878914129E-5</v>
      </c>
      <c r="D7" s="119">
        <f t="shared" si="1"/>
        <v>-2.824746584490387E-5</v>
      </c>
      <c r="E7" s="119">
        <f t="shared" si="1"/>
        <v>-2.8920036076964188E-5</v>
      </c>
      <c r="F7" s="119">
        <f t="shared" si="1"/>
        <v>-2.966739278582522E-5</v>
      </c>
      <c r="G7" s="119">
        <f t="shared" si="1"/>
        <v>-3.0480862693336038E-5</v>
      </c>
      <c r="H7" s="119">
        <f t="shared" si="1"/>
        <v>-3.1265934342526342E-5</v>
      </c>
      <c r="I7" s="119">
        <f t="shared" si="1"/>
        <v>-3.1916008373115099E-5</v>
      </c>
      <c r="J7" s="119">
        <f t="shared" si="1"/>
        <v>-3.2415062111801237E-5</v>
      </c>
      <c r="K7" s="119">
        <f t="shared" si="1"/>
        <v>-3.2805719262295077E-5</v>
      </c>
      <c r="L7" s="119">
        <f t="shared" si="1"/>
        <v>-3.30631416189835E-5</v>
      </c>
      <c r="M7" s="119">
        <f t="shared" si="1"/>
        <v>-3.3182572516471292E-5</v>
      </c>
      <c r="N7" s="119">
        <f t="shared" si="1"/>
        <v>-3.3340096560442912E-5</v>
      </c>
      <c r="O7" s="119">
        <f t="shared" si="1"/>
        <v>-3.3520812758574673E-5</v>
      </c>
      <c r="P7" s="119">
        <f t="shared" si="1"/>
        <v>-3.370456548403216E-5</v>
      </c>
      <c r="Q7" s="119">
        <f t="shared" si="1"/>
        <v>-3.3898416898792946E-5</v>
      </c>
      <c r="R7" s="119">
        <f t="shared" si="1"/>
        <v>-3.411054418538392E-5</v>
      </c>
      <c r="S7" s="119">
        <f t="shared" si="1"/>
        <v>-3.43548918064673E-5</v>
      </c>
      <c r="T7" s="119">
        <f t="shared" si="1"/>
        <v>-3.4629543188954797E-5</v>
      </c>
      <c r="U7" s="119">
        <f t="shared" si="1"/>
        <v>-3.4933084061972694E-5</v>
      </c>
      <c r="V7" s="119">
        <f t="shared" si="1"/>
        <v>-3.529501549858149E-5</v>
      </c>
      <c r="W7" s="119">
        <f t="shared" si="1"/>
        <v>-3.5638348886131939E-5</v>
      </c>
      <c r="X7" s="119">
        <f t="shared" si="1"/>
        <v>-3.600279485901058E-5</v>
      </c>
      <c r="Y7" s="119">
        <f t="shared" si="1"/>
        <v>-3.6373045963934243E-5</v>
      </c>
      <c r="Z7" s="119">
        <f t="shared" si="1"/>
        <v>-3.674731371174959E-5</v>
      </c>
      <c r="AA7" s="119">
        <f t="shared" si="1"/>
        <v>-3.7125437492508693E-5</v>
      </c>
      <c r="AB7" s="119">
        <f t="shared" si="1"/>
        <v>-3.7515594059405938E-5</v>
      </c>
    </row>
    <row r="8" spans="1:30" x14ac:dyDescent="0.25">
      <c r="A8" s="1" t="s">
        <v>162</v>
      </c>
      <c r="B8" s="119">
        <f t="shared" ref="B8:AB8" si="2">B5</f>
        <v>-2.7462405660377355E-5</v>
      </c>
      <c r="C8" s="119">
        <f t="shared" si="2"/>
        <v>-2.7752966878914129E-5</v>
      </c>
      <c r="D8" s="119">
        <f t="shared" si="2"/>
        <v>-2.824746584490387E-5</v>
      </c>
      <c r="E8" s="119">
        <f t="shared" si="2"/>
        <v>-2.8920036076964188E-5</v>
      </c>
      <c r="F8" s="119">
        <f t="shared" si="2"/>
        <v>-2.966739278582522E-5</v>
      </c>
      <c r="G8" s="119">
        <f t="shared" si="2"/>
        <v>-3.0480862693336038E-5</v>
      </c>
      <c r="H8" s="119">
        <f t="shared" si="2"/>
        <v>-3.1265934342526342E-5</v>
      </c>
      <c r="I8" s="119">
        <f t="shared" si="2"/>
        <v>-3.1916008373115099E-5</v>
      </c>
      <c r="J8" s="119">
        <f t="shared" si="2"/>
        <v>-3.2415062111801237E-5</v>
      </c>
      <c r="K8" s="119">
        <f t="shared" si="2"/>
        <v>-3.2805719262295077E-5</v>
      </c>
      <c r="L8" s="119">
        <f t="shared" si="2"/>
        <v>-3.30631416189835E-5</v>
      </c>
      <c r="M8" s="119">
        <f t="shared" si="2"/>
        <v>-3.3182572516471292E-5</v>
      </c>
      <c r="N8" s="119">
        <f t="shared" si="2"/>
        <v>-3.3340096560442912E-5</v>
      </c>
      <c r="O8" s="119">
        <f t="shared" si="2"/>
        <v>-3.3520812758574673E-5</v>
      </c>
      <c r="P8" s="119">
        <f t="shared" si="2"/>
        <v>-3.370456548403216E-5</v>
      </c>
      <c r="Q8" s="119">
        <f t="shared" si="2"/>
        <v>-3.3898416898792946E-5</v>
      </c>
      <c r="R8" s="119">
        <f t="shared" si="2"/>
        <v>-3.411054418538392E-5</v>
      </c>
      <c r="S8" s="119">
        <f t="shared" si="2"/>
        <v>-3.43548918064673E-5</v>
      </c>
      <c r="T8" s="119">
        <f t="shared" si="2"/>
        <v>-3.4629543188954797E-5</v>
      </c>
      <c r="U8" s="119">
        <f t="shared" si="2"/>
        <v>-3.4933084061972694E-5</v>
      </c>
      <c r="V8" s="119">
        <f t="shared" si="2"/>
        <v>-3.529501549858149E-5</v>
      </c>
      <c r="W8" s="119">
        <f t="shared" si="2"/>
        <v>-3.5638348886131939E-5</v>
      </c>
      <c r="X8" s="119">
        <f t="shared" si="2"/>
        <v>-3.600279485901058E-5</v>
      </c>
      <c r="Y8" s="119">
        <f t="shared" si="2"/>
        <v>-3.6373045963934243E-5</v>
      </c>
      <c r="Z8" s="119">
        <f t="shared" si="2"/>
        <v>-3.674731371174959E-5</v>
      </c>
      <c r="AA8" s="119">
        <f t="shared" si="2"/>
        <v>-3.7125437492508693E-5</v>
      </c>
      <c r="AB8" s="119">
        <f t="shared" si="2"/>
        <v>-3.7515594059405938E-5</v>
      </c>
    </row>
    <row r="9" spans="1:30" x14ac:dyDescent="0.25">
      <c r="A9" s="1" t="s">
        <v>163</v>
      </c>
      <c r="B9" s="119">
        <f t="shared" ref="B9:AB9" si="3">B5</f>
        <v>-2.7462405660377355E-5</v>
      </c>
      <c r="C9" s="119">
        <f t="shared" si="3"/>
        <v>-2.7752966878914129E-5</v>
      </c>
      <c r="D9" s="119">
        <f t="shared" si="3"/>
        <v>-2.824746584490387E-5</v>
      </c>
      <c r="E9" s="119">
        <f t="shared" si="3"/>
        <v>-2.8920036076964188E-5</v>
      </c>
      <c r="F9" s="119">
        <f t="shared" si="3"/>
        <v>-2.966739278582522E-5</v>
      </c>
      <c r="G9" s="119">
        <f t="shared" si="3"/>
        <v>-3.0480862693336038E-5</v>
      </c>
      <c r="H9" s="119">
        <f t="shared" si="3"/>
        <v>-3.1265934342526342E-5</v>
      </c>
      <c r="I9" s="119">
        <f t="shared" si="3"/>
        <v>-3.1916008373115099E-5</v>
      </c>
      <c r="J9" s="119">
        <f t="shared" si="3"/>
        <v>-3.2415062111801237E-5</v>
      </c>
      <c r="K9" s="119">
        <f t="shared" si="3"/>
        <v>-3.2805719262295077E-5</v>
      </c>
      <c r="L9" s="119">
        <f t="shared" si="3"/>
        <v>-3.30631416189835E-5</v>
      </c>
      <c r="M9" s="119">
        <f t="shared" si="3"/>
        <v>-3.3182572516471292E-5</v>
      </c>
      <c r="N9" s="119">
        <f t="shared" si="3"/>
        <v>-3.3340096560442912E-5</v>
      </c>
      <c r="O9" s="119">
        <f t="shared" si="3"/>
        <v>-3.3520812758574673E-5</v>
      </c>
      <c r="P9" s="119">
        <f t="shared" si="3"/>
        <v>-3.370456548403216E-5</v>
      </c>
      <c r="Q9" s="119">
        <f t="shared" si="3"/>
        <v>-3.3898416898792946E-5</v>
      </c>
      <c r="R9" s="119">
        <f t="shared" si="3"/>
        <v>-3.411054418538392E-5</v>
      </c>
      <c r="S9" s="119">
        <f t="shared" si="3"/>
        <v>-3.43548918064673E-5</v>
      </c>
      <c r="T9" s="119">
        <f t="shared" si="3"/>
        <v>-3.4629543188954797E-5</v>
      </c>
      <c r="U9" s="119">
        <f t="shared" si="3"/>
        <v>-3.4933084061972694E-5</v>
      </c>
      <c r="V9" s="119">
        <f t="shared" si="3"/>
        <v>-3.529501549858149E-5</v>
      </c>
      <c r="W9" s="119">
        <f t="shared" si="3"/>
        <v>-3.5638348886131939E-5</v>
      </c>
      <c r="X9" s="119">
        <f t="shared" si="3"/>
        <v>-3.600279485901058E-5</v>
      </c>
      <c r="Y9" s="119">
        <f t="shared" si="3"/>
        <v>-3.6373045963934243E-5</v>
      </c>
      <c r="Z9" s="119">
        <f t="shared" si="3"/>
        <v>-3.674731371174959E-5</v>
      </c>
      <c r="AA9" s="119">
        <f t="shared" si="3"/>
        <v>-3.7125437492508693E-5</v>
      </c>
      <c r="AB9" s="119">
        <f t="shared" si="3"/>
        <v>-3.7515594059405938E-5</v>
      </c>
    </row>
    <row r="10" spans="1:30" x14ac:dyDescent="0.25">
      <c r="A10" s="1" t="s">
        <v>164</v>
      </c>
      <c r="B10" s="119">
        <f t="shared" ref="B10:AB10" si="4">B4</f>
        <v>9.3973178205071267E-6</v>
      </c>
      <c r="C10" s="119">
        <f t="shared" si="4"/>
        <v>9.4453546495072139E-6</v>
      </c>
      <c r="D10" s="119">
        <f t="shared" si="4"/>
        <v>9.4803150268189324E-6</v>
      </c>
      <c r="E10" s="119">
        <f t="shared" si="4"/>
        <v>9.5300498620191142E-6</v>
      </c>
      <c r="F10" s="119">
        <f t="shared" si="4"/>
        <v>9.5824325951225103E-6</v>
      </c>
      <c r="G10" s="119">
        <f t="shared" si="4"/>
        <v>9.6764267162371355E-6</v>
      </c>
      <c r="H10" s="119">
        <f t="shared" si="4"/>
        <v>9.7794420079978763E-6</v>
      </c>
      <c r="I10" s="119">
        <f t="shared" si="4"/>
        <v>9.8921549917815529E-6</v>
      </c>
      <c r="J10" s="119">
        <f t="shared" si="4"/>
        <v>1.0021102287051541E-5</v>
      </c>
      <c r="K10" s="119">
        <f t="shared" si="4"/>
        <v>1.0130143935556063E-5</v>
      </c>
      <c r="L10" s="119">
        <f t="shared" si="4"/>
        <v>1.0215096832453458E-5</v>
      </c>
      <c r="M10" s="119">
        <f t="shared" si="4"/>
        <v>1.0275170712047235E-5</v>
      </c>
      <c r="N10" s="119">
        <f t="shared" si="4"/>
        <v>1.0330611019118281E-5</v>
      </c>
      <c r="O10" s="119">
        <f t="shared" si="4"/>
        <v>1.0379119966126868E-5</v>
      </c>
      <c r="P10" s="119">
        <f t="shared" si="4"/>
        <v>1.0427048933146262E-5</v>
      </c>
      <c r="Q10" s="119">
        <f t="shared" si="4"/>
        <v>1.0474150100933603E-5</v>
      </c>
      <c r="R10" s="119">
        <f t="shared" si="4"/>
        <v>1.0527382322294204E-5</v>
      </c>
      <c r="S10" s="119">
        <f t="shared" si="4"/>
        <v>1.0594770600985294E-5</v>
      </c>
      <c r="T10" s="119">
        <f t="shared" si="4"/>
        <v>1.0672450434881948E-5</v>
      </c>
      <c r="U10" s="119">
        <f t="shared" si="4"/>
        <v>1.0757663810467844E-5</v>
      </c>
      <c r="V10" s="119">
        <f t="shared" si="4"/>
        <v>1.0846985717890305E-5</v>
      </c>
      <c r="W10" s="119">
        <f t="shared" si="4"/>
        <v>1.094210484477407E-5</v>
      </c>
      <c r="X10" s="119">
        <f t="shared" si="4"/>
        <v>1.1045726707390898E-5</v>
      </c>
      <c r="Y10" s="119">
        <f t="shared" si="4"/>
        <v>1.1151628296304343E-5</v>
      </c>
      <c r="Z10" s="119">
        <f t="shared" si="4"/>
        <v>1.1256209826355572E-5</v>
      </c>
      <c r="AA10" s="119">
        <f t="shared" si="4"/>
        <v>1.1361165021070192E-5</v>
      </c>
      <c r="AB10" s="119">
        <f t="shared" si="4"/>
        <v>1.1463420196349517E-5</v>
      </c>
    </row>
    <row r="11" spans="1:30" x14ac:dyDescent="0.25">
      <c r="A11" s="1" t="s">
        <v>165</v>
      </c>
      <c r="B11" s="119">
        <f t="shared" ref="B11:AB11" si="5">B4</f>
        <v>9.3973178205071267E-6</v>
      </c>
      <c r="C11" s="119">
        <f t="shared" si="5"/>
        <v>9.4453546495072139E-6</v>
      </c>
      <c r="D11" s="119">
        <f t="shared" si="5"/>
        <v>9.4803150268189324E-6</v>
      </c>
      <c r="E11" s="119">
        <f t="shared" si="5"/>
        <v>9.5300498620191142E-6</v>
      </c>
      <c r="F11" s="119">
        <f t="shared" si="5"/>
        <v>9.5824325951225103E-6</v>
      </c>
      <c r="G11" s="119">
        <f t="shared" si="5"/>
        <v>9.6764267162371355E-6</v>
      </c>
      <c r="H11" s="119">
        <f t="shared" si="5"/>
        <v>9.7794420079978763E-6</v>
      </c>
      <c r="I11" s="119">
        <f t="shared" si="5"/>
        <v>9.8921549917815529E-6</v>
      </c>
      <c r="J11" s="119">
        <f t="shared" si="5"/>
        <v>1.0021102287051541E-5</v>
      </c>
      <c r="K11" s="119">
        <f t="shared" si="5"/>
        <v>1.0130143935556063E-5</v>
      </c>
      <c r="L11" s="119">
        <f t="shared" si="5"/>
        <v>1.0215096832453458E-5</v>
      </c>
      <c r="M11" s="119">
        <f t="shared" si="5"/>
        <v>1.0275170712047235E-5</v>
      </c>
      <c r="N11" s="119">
        <f t="shared" si="5"/>
        <v>1.0330611019118281E-5</v>
      </c>
      <c r="O11" s="119">
        <f t="shared" si="5"/>
        <v>1.0379119966126868E-5</v>
      </c>
      <c r="P11" s="119">
        <f t="shared" si="5"/>
        <v>1.0427048933146262E-5</v>
      </c>
      <c r="Q11" s="119">
        <f t="shared" si="5"/>
        <v>1.0474150100933603E-5</v>
      </c>
      <c r="R11" s="119">
        <f t="shared" si="5"/>
        <v>1.0527382322294204E-5</v>
      </c>
      <c r="S11" s="119">
        <f t="shared" si="5"/>
        <v>1.0594770600985294E-5</v>
      </c>
      <c r="T11" s="119">
        <f t="shared" si="5"/>
        <v>1.0672450434881948E-5</v>
      </c>
      <c r="U11" s="119">
        <f t="shared" si="5"/>
        <v>1.0757663810467844E-5</v>
      </c>
      <c r="V11" s="119">
        <f t="shared" si="5"/>
        <v>1.0846985717890305E-5</v>
      </c>
      <c r="W11" s="119">
        <f t="shared" si="5"/>
        <v>1.094210484477407E-5</v>
      </c>
      <c r="X11" s="119">
        <f t="shared" si="5"/>
        <v>1.1045726707390898E-5</v>
      </c>
      <c r="Y11" s="119">
        <f t="shared" si="5"/>
        <v>1.1151628296304343E-5</v>
      </c>
      <c r="Z11" s="119">
        <f t="shared" si="5"/>
        <v>1.1256209826355572E-5</v>
      </c>
      <c r="AA11" s="119">
        <f t="shared" si="5"/>
        <v>1.1361165021070192E-5</v>
      </c>
      <c r="AB11" s="119">
        <f t="shared" si="5"/>
        <v>1.1463420196349517E-5</v>
      </c>
    </row>
  </sheetData>
  <pageMargins left="0.7" right="0.7" top="0.75" bottom="0.75" header="0.3" footer="0.3"/>
  <pageSetup orientation="portrait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8" tint="-0.249977111117893"/>
  </sheetPr>
  <dimension ref="A1:AD11"/>
  <sheetViews>
    <sheetView zoomScaleNormal="100" workbookViewId="0">
      <selection activeCell="B1" sqref="B1"/>
    </sheetView>
  </sheetViews>
  <sheetFormatPr defaultRowHeight="15" x14ac:dyDescent="0.25"/>
  <cols>
    <col min="1" max="1" width="29.85546875" customWidth="1"/>
    <col min="2" max="28" width="10" customWidth="1"/>
  </cols>
  <sheetData>
    <row r="1" spans="1:30" x14ac:dyDescent="0.25">
      <c r="A1" s="121" t="s">
        <v>171</v>
      </c>
      <c r="B1" s="1">
        <v>2024</v>
      </c>
      <c r="C1" s="1">
        <v>2025</v>
      </c>
      <c r="D1" s="1">
        <v>2026</v>
      </c>
      <c r="E1" s="1">
        <v>2027</v>
      </c>
      <c r="F1" s="1">
        <v>2028</v>
      </c>
      <c r="G1" s="1">
        <v>2029</v>
      </c>
      <c r="H1" s="1">
        <v>2030</v>
      </c>
      <c r="I1" s="1">
        <v>2031</v>
      </c>
      <c r="J1" s="1">
        <v>2032</v>
      </c>
      <c r="K1" s="1">
        <v>2033</v>
      </c>
      <c r="L1" s="1">
        <v>2034</v>
      </c>
      <c r="M1" s="1">
        <v>2035</v>
      </c>
      <c r="N1" s="1">
        <v>2036</v>
      </c>
      <c r="O1" s="1">
        <v>2037</v>
      </c>
      <c r="P1" s="1">
        <v>2038</v>
      </c>
      <c r="Q1" s="1">
        <v>2039</v>
      </c>
      <c r="R1" s="1">
        <v>2040</v>
      </c>
      <c r="S1" s="1">
        <v>2041</v>
      </c>
      <c r="T1" s="1">
        <v>2042</v>
      </c>
      <c r="U1" s="1">
        <v>2043</v>
      </c>
      <c r="V1" s="1">
        <v>2044</v>
      </c>
      <c r="W1" s="1">
        <v>2045</v>
      </c>
      <c r="X1" s="1">
        <v>2046</v>
      </c>
      <c r="Y1" s="1">
        <v>2047</v>
      </c>
      <c r="Z1" s="1">
        <v>2048</v>
      </c>
      <c r="AA1" s="1">
        <v>2049</v>
      </c>
      <c r="AB1" s="1">
        <v>2050</v>
      </c>
      <c r="AC1" s="1"/>
      <c r="AD1" s="1"/>
    </row>
    <row r="2" spans="1:30" x14ac:dyDescent="0.25">
      <c r="A2" s="1" t="s">
        <v>158</v>
      </c>
      <c r="B2" s="120">
        <v>0</v>
      </c>
      <c r="C2" s="120">
        <v>0</v>
      </c>
      <c r="D2" s="120">
        <v>0</v>
      </c>
      <c r="E2" s="120">
        <v>0</v>
      </c>
      <c r="F2" s="120">
        <v>0</v>
      </c>
      <c r="G2" s="120">
        <v>0</v>
      </c>
      <c r="H2" s="120">
        <v>0</v>
      </c>
      <c r="I2" s="120">
        <v>0</v>
      </c>
      <c r="J2" s="120">
        <v>0</v>
      </c>
      <c r="K2" s="120">
        <v>0</v>
      </c>
      <c r="L2" s="120">
        <v>0</v>
      </c>
      <c r="M2" s="120">
        <v>0</v>
      </c>
      <c r="N2" s="120">
        <v>0</v>
      </c>
      <c r="O2" s="120">
        <v>0</v>
      </c>
      <c r="P2" s="120">
        <v>0</v>
      </c>
      <c r="Q2" s="120">
        <v>0</v>
      </c>
      <c r="R2" s="120">
        <v>0</v>
      </c>
      <c r="S2" s="120">
        <v>0</v>
      </c>
      <c r="T2" s="120">
        <v>0</v>
      </c>
      <c r="U2" s="120">
        <v>0</v>
      </c>
      <c r="V2" s="120">
        <v>0</v>
      </c>
      <c r="W2" s="120">
        <v>0</v>
      </c>
      <c r="X2" s="120">
        <v>0</v>
      </c>
      <c r="Y2" s="120">
        <v>0</v>
      </c>
      <c r="Z2" s="120">
        <v>0</v>
      </c>
      <c r="AA2" s="120">
        <v>0</v>
      </c>
      <c r="AB2" s="120">
        <v>0</v>
      </c>
      <c r="AD2" s="118"/>
    </row>
    <row r="3" spans="1:30" x14ac:dyDescent="0.25">
      <c r="A3" s="1" t="s">
        <v>159</v>
      </c>
      <c r="B3" s="119">
        <f t="shared" ref="B3:AB3" si="0">B4</f>
        <v>1.0222466564373579E-4</v>
      </c>
      <c r="C3" s="119">
        <f t="shared" si="0"/>
        <v>1.0056992140363913E-4</v>
      </c>
      <c r="D3" s="119">
        <f t="shared" si="0"/>
        <v>9.8915177163543138E-5</v>
      </c>
      <c r="E3" s="119">
        <f t="shared" si="0"/>
        <v>9.7260432923446482E-5</v>
      </c>
      <c r="F3" s="119">
        <f t="shared" si="0"/>
        <v>9.5605688683350463E-5</v>
      </c>
      <c r="G3" s="119">
        <f t="shared" si="0"/>
        <v>9.3950944443254431E-5</v>
      </c>
      <c r="H3" s="119">
        <f t="shared" si="0"/>
        <v>9.2296200203157816E-5</v>
      </c>
      <c r="I3" s="119">
        <f t="shared" si="0"/>
        <v>9.0679216613890823E-5</v>
      </c>
      <c r="J3" s="119">
        <f t="shared" si="0"/>
        <v>8.9812174085886264E-5</v>
      </c>
      <c r="K3" s="119">
        <f t="shared" si="0"/>
        <v>8.8945131557881704E-5</v>
      </c>
      <c r="L3" s="119">
        <f t="shared" si="0"/>
        <v>8.8078089029877145E-5</v>
      </c>
      <c r="M3" s="119">
        <f t="shared" si="0"/>
        <v>8.7211046501872586E-5</v>
      </c>
      <c r="N3" s="119">
        <f t="shared" si="0"/>
        <v>8.6344003973868027E-5</v>
      </c>
      <c r="O3" s="119">
        <f t="shared" si="0"/>
        <v>8.5476961445863468E-5</v>
      </c>
      <c r="P3" s="119">
        <f t="shared" si="0"/>
        <v>8.4609918917858909E-5</v>
      </c>
      <c r="Q3" s="119">
        <f t="shared" si="0"/>
        <v>8.3742876389854363E-5</v>
      </c>
      <c r="R3" s="119">
        <f t="shared" si="0"/>
        <v>8.2875833861849478E-5</v>
      </c>
      <c r="S3" s="119">
        <f t="shared" si="0"/>
        <v>8.2008791333844919E-5</v>
      </c>
      <c r="T3" s="119">
        <f t="shared" si="0"/>
        <v>8.114174880584036E-5</v>
      </c>
      <c r="U3" s="119">
        <f t="shared" si="0"/>
        <v>8.0274706277835801E-5</v>
      </c>
      <c r="V3" s="119">
        <f t="shared" si="0"/>
        <v>7.9407663749831255E-5</v>
      </c>
      <c r="W3" s="119">
        <f t="shared" si="0"/>
        <v>7.8540621221826696E-5</v>
      </c>
      <c r="X3" s="119">
        <f t="shared" si="0"/>
        <v>7.7673578693822137E-5</v>
      </c>
      <c r="Y3" s="119">
        <f t="shared" si="0"/>
        <v>7.6806536165817578E-5</v>
      </c>
      <c r="Z3" s="119">
        <f t="shared" si="0"/>
        <v>7.5939493637813019E-5</v>
      </c>
      <c r="AA3" s="119">
        <f t="shared" si="0"/>
        <v>7.5072451109808459E-5</v>
      </c>
      <c r="AB3" s="119">
        <f t="shared" si="0"/>
        <v>7.42054085818039E-5</v>
      </c>
    </row>
    <row r="4" spans="1:30" x14ac:dyDescent="0.25">
      <c r="A4" s="1" t="s">
        <v>13</v>
      </c>
      <c r="B4" s="104">
        <f>Calculations!F58</f>
        <v>1.0222466564373579E-4</v>
      </c>
      <c r="C4" s="104">
        <f>Calculations!G58</f>
        <v>1.0056992140363913E-4</v>
      </c>
      <c r="D4" s="104">
        <f>Calculations!H58</f>
        <v>9.8915177163543138E-5</v>
      </c>
      <c r="E4" s="104">
        <f>Calculations!I58</f>
        <v>9.7260432923446482E-5</v>
      </c>
      <c r="F4" s="104">
        <f>Calculations!J58</f>
        <v>9.5605688683350463E-5</v>
      </c>
      <c r="G4" s="104">
        <f>Calculations!K58</f>
        <v>9.3950944443254431E-5</v>
      </c>
      <c r="H4" s="104">
        <f>Calculations!L58</f>
        <v>9.2296200203157816E-5</v>
      </c>
      <c r="I4" s="104">
        <f>Calculations!M58</f>
        <v>9.0679216613890823E-5</v>
      </c>
      <c r="J4" s="104">
        <f>Calculations!N58</f>
        <v>8.9812174085886264E-5</v>
      </c>
      <c r="K4" s="104">
        <f>Calculations!O58</f>
        <v>8.8945131557881704E-5</v>
      </c>
      <c r="L4" s="104">
        <f>Calculations!P58</f>
        <v>8.8078089029877145E-5</v>
      </c>
      <c r="M4" s="104">
        <f>Calculations!Q58</f>
        <v>8.7211046501872586E-5</v>
      </c>
      <c r="N4" s="104">
        <f>Calculations!R58</f>
        <v>8.6344003973868027E-5</v>
      </c>
      <c r="O4" s="104">
        <f>Calculations!S58</f>
        <v>8.5476961445863468E-5</v>
      </c>
      <c r="P4" s="104">
        <f>Calculations!T58</f>
        <v>8.4609918917858909E-5</v>
      </c>
      <c r="Q4" s="104">
        <f>Calculations!U58</f>
        <v>8.3742876389854363E-5</v>
      </c>
      <c r="R4" s="104">
        <f>Calculations!V58</f>
        <v>8.2875833861849478E-5</v>
      </c>
      <c r="S4" s="104">
        <f>Calculations!W58</f>
        <v>8.2008791333844919E-5</v>
      </c>
      <c r="T4" s="104">
        <f>Calculations!X58</f>
        <v>8.114174880584036E-5</v>
      </c>
      <c r="U4" s="104">
        <f>Calculations!Y58</f>
        <v>8.0274706277835801E-5</v>
      </c>
      <c r="V4" s="104">
        <f>Calculations!Z58</f>
        <v>7.9407663749831255E-5</v>
      </c>
      <c r="W4" s="104">
        <f>Calculations!AA58</f>
        <v>7.8540621221826696E-5</v>
      </c>
      <c r="X4" s="104">
        <f>Calculations!AB58</f>
        <v>7.7673578693822137E-5</v>
      </c>
      <c r="Y4" s="104">
        <f>Calculations!AC58</f>
        <v>7.6806536165817578E-5</v>
      </c>
      <c r="Z4" s="104">
        <f>Calculations!AD58</f>
        <v>7.5939493637813019E-5</v>
      </c>
      <c r="AA4" s="104">
        <f>Calculations!AE58</f>
        <v>7.5072451109808459E-5</v>
      </c>
      <c r="AB4" s="104">
        <f>Calculations!AF58</f>
        <v>7.42054085818039E-5</v>
      </c>
    </row>
    <row r="5" spans="1:30" x14ac:dyDescent="0.25">
      <c r="A5" s="1" t="s">
        <v>160</v>
      </c>
      <c r="B5" s="104">
        <f>Calculations!F59</f>
        <v>8.7422289761957258E-5</v>
      </c>
      <c r="C5" s="104">
        <f>Calculations!G59</f>
        <v>8.5784252492381797E-5</v>
      </c>
      <c r="D5" s="104">
        <f>Calculations!H59</f>
        <v>8.4146215222807001E-5</v>
      </c>
      <c r="E5" s="104">
        <f>Calculations!I59</f>
        <v>8.250817795323154E-5</v>
      </c>
      <c r="F5" s="104">
        <f>Calculations!J59</f>
        <v>8.0870140683656717E-5</v>
      </c>
      <c r="G5" s="104">
        <f>Calculations!K59</f>
        <v>7.9232103414081893E-5</v>
      </c>
      <c r="H5" s="104">
        <f>Calculations!L59</f>
        <v>7.759406614450646E-5</v>
      </c>
      <c r="I5" s="104">
        <f>Calculations!M59</f>
        <v>7.5977082555239467E-5</v>
      </c>
      <c r="J5" s="104">
        <f>Calculations!N59</f>
        <v>7.5110040027234908E-5</v>
      </c>
      <c r="K5" s="104">
        <f>Calculations!O59</f>
        <v>7.4242997499230349E-5</v>
      </c>
      <c r="L5" s="104">
        <f>Calculations!P59</f>
        <v>7.337595497122579E-5</v>
      </c>
      <c r="M5" s="104">
        <f>Calculations!Q59</f>
        <v>7.2508912443221231E-5</v>
      </c>
      <c r="N5" s="104">
        <f>Calculations!R59</f>
        <v>7.1641869915216671E-5</v>
      </c>
      <c r="O5" s="104">
        <f>Calculations!S59</f>
        <v>7.0774827387212112E-5</v>
      </c>
      <c r="P5" s="104">
        <f>Calculations!T59</f>
        <v>6.9907784859207553E-5</v>
      </c>
      <c r="Q5" s="104">
        <f>Calculations!U59</f>
        <v>6.9040742331203007E-5</v>
      </c>
      <c r="R5" s="104">
        <f>Calculations!V59</f>
        <v>6.8173699803198123E-5</v>
      </c>
      <c r="S5" s="104">
        <f>Calculations!W59</f>
        <v>6.7306657275193564E-5</v>
      </c>
      <c r="T5" s="104">
        <f>Calculations!X59</f>
        <v>6.6439614747189005E-5</v>
      </c>
      <c r="U5" s="104">
        <f>Calculations!Y59</f>
        <v>6.5572572219184445E-5</v>
      </c>
      <c r="V5" s="104">
        <f>Calculations!Z59</f>
        <v>6.47055296911799E-5</v>
      </c>
      <c r="W5" s="104">
        <f>Calculations!AA59</f>
        <v>6.3838487163175341E-5</v>
      </c>
      <c r="X5" s="104">
        <f>Calculations!AB59</f>
        <v>6.2971444635170781E-5</v>
      </c>
      <c r="Y5" s="104">
        <f>Calculations!AC59</f>
        <v>6.2104402107166222E-5</v>
      </c>
      <c r="Z5" s="104">
        <f>Calculations!AD59</f>
        <v>6.1237359579161663E-5</v>
      </c>
      <c r="AA5" s="104">
        <f>Calculations!AE59</f>
        <v>6.0370317051157097E-5</v>
      </c>
      <c r="AB5" s="104">
        <f>Calculations!AF59</f>
        <v>5.9503274523152538E-5</v>
      </c>
    </row>
    <row r="6" spans="1:30" x14ac:dyDescent="0.25">
      <c r="A6" s="1" t="s">
        <v>161</v>
      </c>
      <c r="B6" s="119">
        <f t="shared" ref="B6:AB6" si="1">B4</f>
        <v>1.0222466564373579E-4</v>
      </c>
      <c r="C6" s="119">
        <f t="shared" si="1"/>
        <v>1.0056992140363913E-4</v>
      </c>
      <c r="D6" s="119">
        <f t="shared" si="1"/>
        <v>9.8915177163543138E-5</v>
      </c>
      <c r="E6" s="119">
        <f t="shared" si="1"/>
        <v>9.7260432923446482E-5</v>
      </c>
      <c r="F6" s="119">
        <f t="shared" si="1"/>
        <v>9.5605688683350463E-5</v>
      </c>
      <c r="G6" s="119">
        <f t="shared" si="1"/>
        <v>9.3950944443254431E-5</v>
      </c>
      <c r="H6" s="119">
        <f t="shared" si="1"/>
        <v>9.2296200203157816E-5</v>
      </c>
      <c r="I6" s="119">
        <f t="shared" si="1"/>
        <v>9.0679216613890823E-5</v>
      </c>
      <c r="J6" s="119">
        <f t="shared" si="1"/>
        <v>8.9812174085886264E-5</v>
      </c>
      <c r="K6" s="119">
        <f t="shared" si="1"/>
        <v>8.8945131557881704E-5</v>
      </c>
      <c r="L6" s="119">
        <f t="shared" si="1"/>
        <v>8.8078089029877145E-5</v>
      </c>
      <c r="M6" s="119">
        <f t="shared" si="1"/>
        <v>8.7211046501872586E-5</v>
      </c>
      <c r="N6" s="119">
        <f t="shared" si="1"/>
        <v>8.6344003973868027E-5</v>
      </c>
      <c r="O6" s="119">
        <f t="shared" si="1"/>
        <v>8.5476961445863468E-5</v>
      </c>
      <c r="P6" s="119">
        <f t="shared" si="1"/>
        <v>8.4609918917858909E-5</v>
      </c>
      <c r="Q6" s="119">
        <f t="shared" si="1"/>
        <v>8.3742876389854363E-5</v>
      </c>
      <c r="R6" s="119">
        <f t="shared" si="1"/>
        <v>8.2875833861849478E-5</v>
      </c>
      <c r="S6" s="119">
        <f t="shared" si="1"/>
        <v>8.2008791333844919E-5</v>
      </c>
      <c r="T6" s="119">
        <f t="shared" si="1"/>
        <v>8.114174880584036E-5</v>
      </c>
      <c r="U6" s="119">
        <f t="shared" si="1"/>
        <v>8.0274706277835801E-5</v>
      </c>
      <c r="V6" s="119">
        <f t="shared" si="1"/>
        <v>7.9407663749831255E-5</v>
      </c>
      <c r="W6" s="119">
        <f t="shared" si="1"/>
        <v>7.8540621221826696E-5</v>
      </c>
      <c r="X6" s="119">
        <f t="shared" si="1"/>
        <v>7.7673578693822137E-5</v>
      </c>
      <c r="Y6" s="119">
        <f t="shared" si="1"/>
        <v>7.6806536165817578E-5</v>
      </c>
      <c r="Z6" s="119">
        <f t="shared" si="1"/>
        <v>7.5939493637813019E-5</v>
      </c>
      <c r="AA6" s="119">
        <f t="shared" si="1"/>
        <v>7.5072451109808459E-5</v>
      </c>
      <c r="AB6" s="119">
        <f t="shared" si="1"/>
        <v>7.42054085818039E-5</v>
      </c>
    </row>
    <row r="7" spans="1:30" x14ac:dyDescent="0.25">
      <c r="A7" s="1" t="s">
        <v>50</v>
      </c>
      <c r="B7" s="119">
        <f t="shared" ref="B7:AB7" si="2">B5</f>
        <v>8.7422289761957258E-5</v>
      </c>
      <c r="C7" s="119">
        <f t="shared" si="2"/>
        <v>8.5784252492381797E-5</v>
      </c>
      <c r="D7" s="119">
        <f t="shared" si="2"/>
        <v>8.4146215222807001E-5</v>
      </c>
      <c r="E7" s="119">
        <f t="shared" si="2"/>
        <v>8.250817795323154E-5</v>
      </c>
      <c r="F7" s="119">
        <f t="shared" si="2"/>
        <v>8.0870140683656717E-5</v>
      </c>
      <c r="G7" s="119">
        <f t="shared" si="2"/>
        <v>7.9232103414081893E-5</v>
      </c>
      <c r="H7" s="119">
        <f t="shared" si="2"/>
        <v>7.759406614450646E-5</v>
      </c>
      <c r="I7" s="119">
        <f t="shared" si="2"/>
        <v>7.5977082555239467E-5</v>
      </c>
      <c r="J7" s="119">
        <f t="shared" si="2"/>
        <v>7.5110040027234908E-5</v>
      </c>
      <c r="K7" s="119">
        <f t="shared" si="2"/>
        <v>7.4242997499230349E-5</v>
      </c>
      <c r="L7" s="119">
        <f t="shared" si="2"/>
        <v>7.337595497122579E-5</v>
      </c>
      <c r="M7" s="119">
        <f t="shared" si="2"/>
        <v>7.2508912443221231E-5</v>
      </c>
      <c r="N7" s="119">
        <f t="shared" si="2"/>
        <v>7.1641869915216671E-5</v>
      </c>
      <c r="O7" s="119">
        <f t="shared" si="2"/>
        <v>7.0774827387212112E-5</v>
      </c>
      <c r="P7" s="119">
        <f t="shared" si="2"/>
        <v>6.9907784859207553E-5</v>
      </c>
      <c r="Q7" s="119">
        <f t="shared" si="2"/>
        <v>6.9040742331203007E-5</v>
      </c>
      <c r="R7" s="119">
        <f t="shared" si="2"/>
        <v>6.8173699803198123E-5</v>
      </c>
      <c r="S7" s="119">
        <f t="shared" si="2"/>
        <v>6.7306657275193564E-5</v>
      </c>
      <c r="T7" s="119">
        <f t="shared" si="2"/>
        <v>6.6439614747189005E-5</v>
      </c>
      <c r="U7" s="119">
        <f t="shared" si="2"/>
        <v>6.5572572219184445E-5</v>
      </c>
      <c r="V7" s="119">
        <f t="shared" si="2"/>
        <v>6.47055296911799E-5</v>
      </c>
      <c r="W7" s="119">
        <f t="shared" si="2"/>
        <v>6.3838487163175341E-5</v>
      </c>
      <c r="X7" s="119">
        <f t="shared" si="2"/>
        <v>6.2971444635170781E-5</v>
      </c>
      <c r="Y7" s="119">
        <f t="shared" si="2"/>
        <v>6.2104402107166222E-5</v>
      </c>
      <c r="Z7" s="119">
        <f t="shared" si="2"/>
        <v>6.1237359579161663E-5</v>
      </c>
      <c r="AA7" s="119">
        <f t="shared" si="2"/>
        <v>6.0370317051157097E-5</v>
      </c>
      <c r="AB7" s="119">
        <f t="shared" si="2"/>
        <v>5.9503274523152538E-5</v>
      </c>
    </row>
    <row r="8" spans="1:30" x14ac:dyDescent="0.25">
      <c r="A8" s="1" t="s">
        <v>162</v>
      </c>
      <c r="B8" s="119">
        <f t="shared" ref="B8:AB8" si="3">B5</f>
        <v>8.7422289761957258E-5</v>
      </c>
      <c r="C8" s="119">
        <f t="shared" si="3"/>
        <v>8.5784252492381797E-5</v>
      </c>
      <c r="D8" s="119">
        <f t="shared" si="3"/>
        <v>8.4146215222807001E-5</v>
      </c>
      <c r="E8" s="119">
        <f t="shared" si="3"/>
        <v>8.250817795323154E-5</v>
      </c>
      <c r="F8" s="119">
        <f t="shared" si="3"/>
        <v>8.0870140683656717E-5</v>
      </c>
      <c r="G8" s="119">
        <f t="shared" si="3"/>
        <v>7.9232103414081893E-5</v>
      </c>
      <c r="H8" s="119">
        <f t="shared" si="3"/>
        <v>7.759406614450646E-5</v>
      </c>
      <c r="I8" s="119">
        <f t="shared" si="3"/>
        <v>7.5977082555239467E-5</v>
      </c>
      <c r="J8" s="119">
        <f t="shared" si="3"/>
        <v>7.5110040027234908E-5</v>
      </c>
      <c r="K8" s="119">
        <f t="shared" si="3"/>
        <v>7.4242997499230349E-5</v>
      </c>
      <c r="L8" s="119">
        <f t="shared" si="3"/>
        <v>7.337595497122579E-5</v>
      </c>
      <c r="M8" s="119">
        <f t="shared" si="3"/>
        <v>7.2508912443221231E-5</v>
      </c>
      <c r="N8" s="119">
        <f t="shared" si="3"/>
        <v>7.1641869915216671E-5</v>
      </c>
      <c r="O8" s="119">
        <f t="shared" si="3"/>
        <v>7.0774827387212112E-5</v>
      </c>
      <c r="P8" s="119">
        <f t="shared" si="3"/>
        <v>6.9907784859207553E-5</v>
      </c>
      <c r="Q8" s="119">
        <f t="shared" si="3"/>
        <v>6.9040742331203007E-5</v>
      </c>
      <c r="R8" s="119">
        <f t="shared" si="3"/>
        <v>6.8173699803198123E-5</v>
      </c>
      <c r="S8" s="119">
        <f t="shared" si="3"/>
        <v>6.7306657275193564E-5</v>
      </c>
      <c r="T8" s="119">
        <f t="shared" si="3"/>
        <v>6.6439614747189005E-5</v>
      </c>
      <c r="U8" s="119">
        <f t="shared" si="3"/>
        <v>6.5572572219184445E-5</v>
      </c>
      <c r="V8" s="119">
        <f t="shared" si="3"/>
        <v>6.47055296911799E-5</v>
      </c>
      <c r="W8" s="119">
        <f t="shared" si="3"/>
        <v>6.3838487163175341E-5</v>
      </c>
      <c r="X8" s="119">
        <f t="shared" si="3"/>
        <v>6.2971444635170781E-5</v>
      </c>
      <c r="Y8" s="119">
        <f t="shared" si="3"/>
        <v>6.2104402107166222E-5</v>
      </c>
      <c r="Z8" s="119">
        <f t="shared" si="3"/>
        <v>6.1237359579161663E-5</v>
      </c>
      <c r="AA8" s="119">
        <f t="shared" si="3"/>
        <v>6.0370317051157097E-5</v>
      </c>
      <c r="AB8" s="119">
        <f t="shared" si="3"/>
        <v>5.9503274523152538E-5</v>
      </c>
    </row>
    <row r="9" spans="1:30" x14ac:dyDescent="0.25">
      <c r="A9" s="1" t="s">
        <v>163</v>
      </c>
      <c r="B9" s="119">
        <f t="shared" ref="B9:AB9" si="4">B5</f>
        <v>8.7422289761957258E-5</v>
      </c>
      <c r="C9" s="119">
        <f t="shared" si="4"/>
        <v>8.5784252492381797E-5</v>
      </c>
      <c r="D9" s="119">
        <f t="shared" si="4"/>
        <v>8.4146215222807001E-5</v>
      </c>
      <c r="E9" s="119">
        <f t="shared" si="4"/>
        <v>8.250817795323154E-5</v>
      </c>
      <c r="F9" s="119">
        <f t="shared" si="4"/>
        <v>8.0870140683656717E-5</v>
      </c>
      <c r="G9" s="119">
        <f t="shared" si="4"/>
        <v>7.9232103414081893E-5</v>
      </c>
      <c r="H9" s="119">
        <f t="shared" si="4"/>
        <v>7.759406614450646E-5</v>
      </c>
      <c r="I9" s="119">
        <f t="shared" si="4"/>
        <v>7.5977082555239467E-5</v>
      </c>
      <c r="J9" s="119">
        <f t="shared" si="4"/>
        <v>7.5110040027234908E-5</v>
      </c>
      <c r="K9" s="119">
        <f t="shared" si="4"/>
        <v>7.4242997499230349E-5</v>
      </c>
      <c r="L9" s="119">
        <f t="shared" si="4"/>
        <v>7.337595497122579E-5</v>
      </c>
      <c r="M9" s="119">
        <f t="shared" si="4"/>
        <v>7.2508912443221231E-5</v>
      </c>
      <c r="N9" s="119">
        <f t="shared" si="4"/>
        <v>7.1641869915216671E-5</v>
      </c>
      <c r="O9" s="119">
        <f t="shared" si="4"/>
        <v>7.0774827387212112E-5</v>
      </c>
      <c r="P9" s="119">
        <f t="shared" si="4"/>
        <v>6.9907784859207553E-5</v>
      </c>
      <c r="Q9" s="119">
        <f t="shared" si="4"/>
        <v>6.9040742331203007E-5</v>
      </c>
      <c r="R9" s="119">
        <f t="shared" si="4"/>
        <v>6.8173699803198123E-5</v>
      </c>
      <c r="S9" s="119">
        <f t="shared" si="4"/>
        <v>6.7306657275193564E-5</v>
      </c>
      <c r="T9" s="119">
        <f t="shared" si="4"/>
        <v>6.6439614747189005E-5</v>
      </c>
      <c r="U9" s="119">
        <f t="shared" si="4"/>
        <v>6.5572572219184445E-5</v>
      </c>
      <c r="V9" s="119">
        <f t="shared" si="4"/>
        <v>6.47055296911799E-5</v>
      </c>
      <c r="W9" s="119">
        <f t="shared" si="4"/>
        <v>6.3838487163175341E-5</v>
      </c>
      <c r="X9" s="119">
        <f t="shared" si="4"/>
        <v>6.2971444635170781E-5</v>
      </c>
      <c r="Y9" s="119">
        <f t="shared" si="4"/>
        <v>6.2104402107166222E-5</v>
      </c>
      <c r="Z9" s="119">
        <f t="shared" si="4"/>
        <v>6.1237359579161663E-5</v>
      </c>
      <c r="AA9" s="119">
        <f t="shared" si="4"/>
        <v>6.0370317051157097E-5</v>
      </c>
      <c r="AB9" s="119">
        <f t="shared" si="4"/>
        <v>5.9503274523152538E-5</v>
      </c>
    </row>
    <row r="10" spans="1:30" x14ac:dyDescent="0.25">
      <c r="A10" s="1" t="s">
        <v>164</v>
      </c>
      <c r="B10" s="119">
        <f t="shared" ref="B10:AB10" si="5">B4</f>
        <v>1.0222466564373579E-4</v>
      </c>
      <c r="C10" s="119">
        <f t="shared" si="5"/>
        <v>1.0056992140363913E-4</v>
      </c>
      <c r="D10" s="119">
        <f t="shared" si="5"/>
        <v>9.8915177163543138E-5</v>
      </c>
      <c r="E10" s="119">
        <f t="shared" si="5"/>
        <v>9.7260432923446482E-5</v>
      </c>
      <c r="F10" s="119">
        <f t="shared" si="5"/>
        <v>9.5605688683350463E-5</v>
      </c>
      <c r="G10" s="119">
        <f t="shared" si="5"/>
        <v>9.3950944443254431E-5</v>
      </c>
      <c r="H10" s="119">
        <f t="shared" si="5"/>
        <v>9.2296200203157816E-5</v>
      </c>
      <c r="I10" s="119">
        <f t="shared" si="5"/>
        <v>9.0679216613890823E-5</v>
      </c>
      <c r="J10" s="119">
        <f t="shared" si="5"/>
        <v>8.9812174085886264E-5</v>
      </c>
      <c r="K10" s="119">
        <f t="shared" si="5"/>
        <v>8.8945131557881704E-5</v>
      </c>
      <c r="L10" s="119">
        <f t="shared" si="5"/>
        <v>8.8078089029877145E-5</v>
      </c>
      <c r="M10" s="119">
        <f t="shared" si="5"/>
        <v>8.7211046501872586E-5</v>
      </c>
      <c r="N10" s="119">
        <f t="shared" si="5"/>
        <v>8.6344003973868027E-5</v>
      </c>
      <c r="O10" s="119">
        <f t="shared" si="5"/>
        <v>8.5476961445863468E-5</v>
      </c>
      <c r="P10" s="119">
        <f t="shared" si="5"/>
        <v>8.4609918917858909E-5</v>
      </c>
      <c r="Q10" s="119">
        <f t="shared" si="5"/>
        <v>8.3742876389854363E-5</v>
      </c>
      <c r="R10" s="119">
        <f t="shared" si="5"/>
        <v>8.2875833861849478E-5</v>
      </c>
      <c r="S10" s="119">
        <f t="shared" si="5"/>
        <v>8.2008791333844919E-5</v>
      </c>
      <c r="T10" s="119">
        <f t="shared" si="5"/>
        <v>8.114174880584036E-5</v>
      </c>
      <c r="U10" s="119">
        <f t="shared" si="5"/>
        <v>8.0274706277835801E-5</v>
      </c>
      <c r="V10" s="119">
        <f t="shared" si="5"/>
        <v>7.9407663749831255E-5</v>
      </c>
      <c r="W10" s="119">
        <f t="shared" si="5"/>
        <v>7.8540621221826696E-5</v>
      </c>
      <c r="X10" s="119">
        <f t="shared" si="5"/>
        <v>7.7673578693822137E-5</v>
      </c>
      <c r="Y10" s="119">
        <f t="shared" si="5"/>
        <v>7.6806536165817578E-5</v>
      </c>
      <c r="Z10" s="119">
        <f t="shared" si="5"/>
        <v>7.5939493637813019E-5</v>
      </c>
      <c r="AA10" s="119">
        <f t="shared" si="5"/>
        <v>7.5072451109808459E-5</v>
      </c>
      <c r="AB10" s="119">
        <f t="shared" si="5"/>
        <v>7.42054085818039E-5</v>
      </c>
    </row>
    <row r="11" spans="1:30" x14ac:dyDescent="0.25">
      <c r="A11" s="1" t="s">
        <v>165</v>
      </c>
      <c r="B11" s="119">
        <f t="shared" ref="B11:AB11" si="6">B4</f>
        <v>1.0222466564373579E-4</v>
      </c>
      <c r="C11" s="119">
        <f t="shared" si="6"/>
        <v>1.0056992140363913E-4</v>
      </c>
      <c r="D11" s="119">
        <f t="shared" si="6"/>
        <v>9.8915177163543138E-5</v>
      </c>
      <c r="E11" s="119">
        <f t="shared" si="6"/>
        <v>9.7260432923446482E-5</v>
      </c>
      <c r="F11" s="119">
        <f t="shared" si="6"/>
        <v>9.5605688683350463E-5</v>
      </c>
      <c r="G11" s="119">
        <f t="shared" si="6"/>
        <v>9.3950944443254431E-5</v>
      </c>
      <c r="H11" s="119">
        <f t="shared" si="6"/>
        <v>9.2296200203157816E-5</v>
      </c>
      <c r="I11" s="119">
        <f t="shared" si="6"/>
        <v>9.0679216613890823E-5</v>
      </c>
      <c r="J11" s="119">
        <f t="shared" si="6"/>
        <v>8.9812174085886264E-5</v>
      </c>
      <c r="K11" s="119">
        <f t="shared" si="6"/>
        <v>8.8945131557881704E-5</v>
      </c>
      <c r="L11" s="119">
        <f t="shared" si="6"/>
        <v>8.8078089029877145E-5</v>
      </c>
      <c r="M11" s="119">
        <f t="shared" si="6"/>
        <v>8.7211046501872586E-5</v>
      </c>
      <c r="N11" s="119">
        <f t="shared" si="6"/>
        <v>8.6344003973868027E-5</v>
      </c>
      <c r="O11" s="119">
        <f t="shared" si="6"/>
        <v>8.5476961445863468E-5</v>
      </c>
      <c r="P11" s="119">
        <f t="shared" si="6"/>
        <v>8.4609918917858909E-5</v>
      </c>
      <c r="Q11" s="119">
        <f t="shared" si="6"/>
        <v>8.3742876389854363E-5</v>
      </c>
      <c r="R11" s="119">
        <f t="shared" si="6"/>
        <v>8.2875833861849478E-5</v>
      </c>
      <c r="S11" s="119">
        <f t="shared" si="6"/>
        <v>8.2008791333844919E-5</v>
      </c>
      <c r="T11" s="119">
        <f t="shared" si="6"/>
        <v>8.114174880584036E-5</v>
      </c>
      <c r="U11" s="119">
        <f t="shared" si="6"/>
        <v>8.0274706277835801E-5</v>
      </c>
      <c r="V11" s="119">
        <f t="shared" si="6"/>
        <v>7.9407663749831255E-5</v>
      </c>
      <c r="W11" s="119">
        <f t="shared" si="6"/>
        <v>7.8540621221826696E-5</v>
      </c>
      <c r="X11" s="119">
        <f t="shared" si="6"/>
        <v>7.7673578693822137E-5</v>
      </c>
      <c r="Y11" s="119">
        <f t="shared" si="6"/>
        <v>7.6806536165817578E-5</v>
      </c>
      <c r="Z11" s="119">
        <f t="shared" si="6"/>
        <v>7.5939493637813019E-5</v>
      </c>
      <c r="AA11" s="119">
        <f t="shared" si="6"/>
        <v>7.5072451109808459E-5</v>
      </c>
      <c r="AB11" s="119">
        <f t="shared" si="6"/>
        <v>7.42054085818039E-5</v>
      </c>
    </row>
  </sheetData>
  <pageMargins left="0.7" right="0.7" top="0.75" bottom="0.75" header="0.3" footer="0.3"/>
  <pageSetup orientation="portrait" horizontalDpi="1200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8" tint="-0.249977111117893"/>
  </sheetPr>
  <dimension ref="A1:AD11"/>
  <sheetViews>
    <sheetView zoomScaleNormal="100" workbookViewId="0">
      <selection activeCell="B1" sqref="B1"/>
    </sheetView>
  </sheetViews>
  <sheetFormatPr defaultRowHeight="15" x14ac:dyDescent="0.25"/>
  <cols>
    <col min="1" max="1" width="29.85546875" customWidth="1"/>
    <col min="2" max="28" width="10" customWidth="1"/>
  </cols>
  <sheetData>
    <row r="1" spans="1:30" x14ac:dyDescent="0.25">
      <c r="A1" s="121" t="s">
        <v>171</v>
      </c>
      <c r="B1" s="1">
        <v>2024</v>
      </c>
      <c r="C1" s="1">
        <v>2025</v>
      </c>
      <c r="D1" s="1">
        <v>2026</v>
      </c>
      <c r="E1" s="1">
        <v>2027</v>
      </c>
      <c r="F1" s="1">
        <v>2028</v>
      </c>
      <c r="G1" s="1">
        <v>2029</v>
      </c>
      <c r="H1" s="1">
        <v>2030</v>
      </c>
      <c r="I1" s="1">
        <v>2031</v>
      </c>
      <c r="J1" s="1">
        <v>2032</v>
      </c>
      <c r="K1" s="1">
        <v>2033</v>
      </c>
      <c r="L1" s="1">
        <v>2034</v>
      </c>
      <c r="M1" s="1">
        <v>2035</v>
      </c>
      <c r="N1" s="1">
        <v>2036</v>
      </c>
      <c r="O1" s="1">
        <v>2037</v>
      </c>
      <c r="P1" s="1">
        <v>2038</v>
      </c>
      <c r="Q1" s="1">
        <v>2039</v>
      </c>
      <c r="R1" s="1">
        <v>2040</v>
      </c>
      <c r="S1" s="1">
        <v>2041</v>
      </c>
      <c r="T1" s="1">
        <v>2042</v>
      </c>
      <c r="U1" s="1">
        <v>2043</v>
      </c>
      <c r="V1" s="1">
        <v>2044</v>
      </c>
      <c r="W1" s="1">
        <v>2045</v>
      </c>
      <c r="X1" s="1">
        <v>2046</v>
      </c>
      <c r="Y1" s="1">
        <v>2047</v>
      </c>
      <c r="Z1" s="1">
        <v>2048</v>
      </c>
      <c r="AA1" s="1">
        <v>2049</v>
      </c>
      <c r="AB1" s="1">
        <v>2050</v>
      </c>
      <c r="AC1" s="1"/>
      <c r="AD1" s="1"/>
    </row>
    <row r="2" spans="1:30" x14ac:dyDescent="0.25">
      <c r="A2" s="1" t="s">
        <v>158</v>
      </c>
      <c r="B2" s="120">
        <v>0</v>
      </c>
      <c r="C2" s="120">
        <v>0</v>
      </c>
      <c r="D2" s="120">
        <v>0</v>
      </c>
      <c r="E2" s="120">
        <v>0</v>
      </c>
      <c r="F2" s="120">
        <v>0</v>
      </c>
      <c r="G2" s="120">
        <v>0</v>
      </c>
      <c r="H2" s="120">
        <v>0</v>
      </c>
      <c r="I2" s="120">
        <v>0</v>
      </c>
      <c r="J2" s="120">
        <v>0</v>
      </c>
      <c r="K2" s="120">
        <v>0</v>
      </c>
      <c r="L2" s="120">
        <v>0</v>
      </c>
      <c r="M2" s="120">
        <v>0</v>
      </c>
      <c r="N2" s="120">
        <v>0</v>
      </c>
      <c r="O2" s="120">
        <v>0</v>
      </c>
      <c r="P2" s="120">
        <v>0</v>
      </c>
      <c r="Q2" s="120">
        <v>0</v>
      </c>
      <c r="R2" s="120">
        <v>0</v>
      </c>
      <c r="S2" s="120">
        <v>0</v>
      </c>
      <c r="T2" s="120">
        <v>0</v>
      </c>
      <c r="U2" s="120">
        <v>0</v>
      </c>
      <c r="V2" s="120">
        <v>0</v>
      </c>
      <c r="W2" s="120">
        <v>0</v>
      </c>
      <c r="X2" s="120">
        <v>0</v>
      </c>
      <c r="Y2" s="120">
        <v>0</v>
      </c>
      <c r="Z2" s="120">
        <v>0</v>
      </c>
      <c r="AA2" s="120">
        <v>0</v>
      </c>
      <c r="AB2" s="120">
        <v>0</v>
      </c>
      <c r="AD2" s="118"/>
    </row>
    <row r="3" spans="1:30" x14ac:dyDescent="0.25">
      <c r="A3" s="1" t="s">
        <v>159</v>
      </c>
      <c r="B3" s="119">
        <f t="shared" ref="B3:AB3" si="0">B4</f>
        <v>1.1023997511801212E-4</v>
      </c>
      <c r="C3" s="119">
        <f t="shared" si="0"/>
        <v>1.0848438422694745E-4</v>
      </c>
      <c r="D3" s="119">
        <f t="shared" si="0"/>
        <v>1.0672879333588274E-4</v>
      </c>
      <c r="E3" s="119">
        <f t="shared" si="0"/>
        <v>1.0497320244481804E-4</v>
      </c>
      <c r="F3" s="119">
        <f t="shared" si="0"/>
        <v>1.0321761155375376E-4</v>
      </c>
      <c r="G3" s="119">
        <f t="shared" si="0"/>
        <v>1.0146202066268909E-4</v>
      </c>
      <c r="H3" s="119">
        <f t="shared" si="0"/>
        <v>9.9706429771624386E-5</v>
      </c>
      <c r="I3" s="119">
        <f t="shared" si="0"/>
        <v>9.787675384368551E-5</v>
      </c>
      <c r="J3" s="119">
        <f t="shared" si="0"/>
        <v>9.6503497069768613E-5</v>
      </c>
      <c r="K3" s="119">
        <f t="shared" si="0"/>
        <v>9.513024029585211E-5</v>
      </c>
      <c r="L3" s="119">
        <f t="shared" si="0"/>
        <v>9.3756983521935228E-5</v>
      </c>
      <c r="M3" s="119">
        <f t="shared" si="0"/>
        <v>9.2383726748018305E-5</v>
      </c>
      <c r="N3" s="119">
        <f t="shared" si="0"/>
        <v>9.1010469974101802E-5</v>
      </c>
      <c r="O3" s="119">
        <f t="shared" si="0"/>
        <v>8.9637213200184919E-5</v>
      </c>
      <c r="P3" s="119">
        <f t="shared" si="0"/>
        <v>8.8263956426267996E-5</v>
      </c>
      <c r="Q3" s="119">
        <f t="shared" si="0"/>
        <v>8.6890699652351493E-5</v>
      </c>
      <c r="R3" s="119">
        <f t="shared" si="0"/>
        <v>8.551744287843461E-5</v>
      </c>
      <c r="S3" s="119">
        <f t="shared" si="0"/>
        <v>8.4144186104517714E-5</v>
      </c>
      <c r="T3" s="119">
        <f t="shared" si="0"/>
        <v>8.2770929330601211E-5</v>
      </c>
      <c r="U3" s="119">
        <f t="shared" si="0"/>
        <v>8.1397672556684302E-5</v>
      </c>
      <c r="V3" s="119">
        <f t="shared" si="0"/>
        <v>8.0024415782767799E-5</v>
      </c>
      <c r="W3" s="119">
        <f t="shared" si="0"/>
        <v>7.8651159008850903E-5</v>
      </c>
      <c r="X3" s="119">
        <f t="shared" si="0"/>
        <v>7.727790223493402E-5</v>
      </c>
      <c r="Y3" s="119">
        <f t="shared" si="0"/>
        <v>7.590464546101749E-5</v>
      </c>
      <c r="Z3" s="119">
        <f t="shared" si="0"/>
        <v>7.4531388687100594E-5</v>
      </c>
      <c r="AA3" s="119">
        <f t="shared" si="0"/>
        <v>7.3158131913183711E-5</v>
      </c>
      <c r="AB3" s="119">
        <f t="shared" si="0"/>
        <v>7.1784875139267208E-5</v>
      </c>
    </row>
    <row r="4" spans="1:30" x14ac:dyDescent="0.25">
      <c r="A4" s="1" t="s">
        <v>13</v>
      </c>
      <c r="B4" s="104">
        <f>Calculations!F78</f>
        <v>1.1023997511801212E-4</v>
      </c>
      <c r="C4" s="104">
        <f>Calculations!G78</f>
        <v>1.0848438422694745E-4</v>
      </c>
      <c r="D4" s="104">
        <f>Calculations!H78</f>
        <v>1.0672879333588274E-4</v>
      </c>
      <c r="E4" s="104">
        <f>Calculations!I78</f>
        <v>1.0497320244481804E-4</v>
      </c>
      <c r="F4" s="104">
        <f>Calculations!J78</f>
        <v>1.0321761155375376E-4</v>
      </c>
      <c r="G4" s="104">
        <f>Calculations!K78</f>
        <v>1.0146202066268909E-4</v>
      </c>
      <c r="H4" s="104">
        <f>Calculations!L78</f>
        <v>9.9706429771624386E-5</v>
      </c>
      <c r="I4" s="104">
        <f>Calculations!M78</f>
        <v>9.787675384368551E-5</v>
      </c>
      <c r="J4" s="104">
        <f>Calculations!N78</f>
        <v>9.6503497069768613E-5</v>
      </c>
      <c r="K4" s="104">
        <f>Calculations!O78</f>
        <v>9.513024029585211E-5</v>
      </c>
      <c r="L4" s="104">
        <f>Calculations!P78</f>
        <v>9.3756983521935228E-5</v>
      </c>
      <c r="M4" s="104">
        <f>Calculations!Q78</f>
        <v>9.2383726748018305E-5</v>
      </c>
      <c r="N4" s="104">
        <f>Calculations!R78</f>
        <v>9.1010469974101802E-5</v>
      </c>
      <c r="O4" s="104">
        <f>Calculations!S78</f>
        <v>8.9637213200184919E-5</v>
      </c>
      <c r="P4" s="104">
        <f>Calculations!T78</f>
        <v>8.8263956426267996E-5</v>
      </c>
      <c r="Q4" s="104">
        <f>Calculations!U78</f>
        <v>8.6890699652351493E-5</v>
      </c>
      <c r="R4" s="104">
        <f>Calculations!V78</f>
        <v>8.551744287843461E-5</v>
      </c>
      <c r="S4" s="104">
        <f>Calculations!W78</f>
        <v>8.4144186104517714E-5</v>
      </c>
      <c r="T4" s="104">
        <f>Calculations!X78</f>
        <v>8.2770929330601211E-5</v>
      </c>
      <c r="U4" s="104">
        <f>Calculations!Y78</f>
        <v>8.1397672556684302E-5</v>
      </c>
      <c r="V4" s="104">
        <f>Calculations!Z78</f>
        <v>8.0024415782767799E-5</v>
      </c>
      <c r="W4" s="104">
        <f>Calculations!AA78</f>
        <v>7.8651159008850903E-5</v>
      </c>
      <c r="X4" s="104">
        <f>Calculations!AB78</f>
        <v>7.727790223493402E-5</v>
      </c>
      <c r="Y4" s="104">
        <f>Calculations!AC78</f>
        <v>7.590464546101749E-5</v>
      </c>
      <c r="Z4" s="104">
        <f>Calculations!AD78</f>
        <v>7.4531388687100594E-5</v>
      </c>
      <c r="AA4" s="104">
        <f>Calculations!AE78</f>
        <v>7.3158131913183711E-5</v>
      </c>
      <c r="AB4" s="104">
        <f>Calculations!AF78</f>
        <v>7.1784875139267208E-5</v>
      </c>
    </row>
    <row r="5" spans="1:30" x14ac:dyDescent="0.25">
      <c r="A5" s="1" t="s">
        <v>160</v>
      </c>
      <c r="B5" s="104">
        <f>Calculations!F79</f>
        <v>1.1115483427161761E-4</v>
      </c>
      <c r="C5" s="104">
        <f>Calculations!G79</f>
        <v>1.0939924338055294E-4</v>
      </c>
      <c r="D5" s="104">
        <f>Calculations!H79</f>
        <v>1.0764365248948823E-4</v>
      </c>
      <c r="E5" s="104">
        <f>Calculations!I79</f>
        <v>1.0588806159842355E-4</v>
      </c>
      <c r="F5" s="104">
        <f>Calculations!J79</f>
        <v>1.0413247070735926E-4</v>
      </c>
      <c r="G5" s="104">
        <f>Calculations!K79</f>
        <v>1.0237687981629459E-4</v>
      </c>
      <c r="H5" s="104">
        <f>Calculations!L79</f>
        <v>1.0062128892522989E-4</v>
      </c>
      <c r="I5" s="104">
        <f>Calculations!M79</f>
        <v>9.8791612997290999E-5</v>
      </c>
      <c r="J5" s="104">
        <f>Calculations!N79</f>
        <v>9.7418356223374103E-5</v>
      </c>
      <c r="K5" s="104">
        <f>Calculations!O79</f>
        <v>9.6045099449457613E-5</v>
      </c>
      <c r="L5" s="104">
        <f>Calculations!P79</f>
        <v>9.4671842675540717E-5</v>
      </c>
      <c r="M5" s="104">
        <f>Calculations!Q79</f>
        <v>9.3298585901623808E-5</v>
      </c>
      <c r="N5" s="104">
        <f>Calculations!R79</f>
        <v>9.1925329127707305E-5</v>
      </c>
      <c r="O5" s="104">
        <f>Calculations!S79</f>
        <v>9.0552072353790409E-5</v>
      </c>
      <c r="P5" s="104">
        <f>Calculations!T79</f>
        <v>8.9178815579873499E-5</v>
      </c>
      <c r="Q5" s="104">
        <f>Calculations!U79</f>
        <v>8.7805558805956996E-5</v>
      </c>
      <c r="R5" s="104">
        <f>Calculations!V79</f>
        <v>8.64323020320401E-5</v>
      </c>
      <c r="S5" s="104">
        <f>Calculations!W79</f>
        <v>8.5059045258123217E-5</v>
      </c>
      <c r="T5" s="104">
        <f>Calculations!X79</f>
        <v>8.3685788484206714E-5</v>
      </c>
      <c r="U5" s="104">
        <f>Calculations!Y79</f>
        <v>8.2312531710289791E-5</v>
      </c>
      <c r="V5" s="104">
        <f>Calculations!Z79</f>
        <v>8.0939274936373288E-5</v>
      </c>
      <c r="W5" s="104">
        <f>Calculations!AA79</f>
        <v>7.9566018162456406E-5</v>
      </c>
      <c r="X5" s="104">
        <f>Calculations!AB79</f>
        <v>7.819276138853951E-5</v>
      </c>
      <c r="Y5" s="104">
        <f>Calculations!AC79</f>
        <v>7.681950461462298E-5</v>
      </c>
      <c r="Z5" s="104">
        <f>Calculations!AD79</f>
        <v>7.5446247840706097E-5</v>
      </c>
      <c r="AA5" s="104">
        <f>Calculations!AE79</f>
        <v>7.4072991066789201E-5</v>
      </c>
      <c r="AB5" s="104">
        <f>Calculations!AF79</f>
        <v>7.2699734292872698E-5</v>
      </c>
    </row>
    <row r="6" spans="1:30" x14ac:dyDescent="0.25">
      <c r="A6" s="1" t="s">
        <v>161</v>
      </c>
      <c r="B6" s="119">
        <f t="shared" ref="B6:AB7" si="1">B4</f>
        <v>1.1023997511801212E-4</v>
      </c>
      <c r="C6" s="119">
        <f t="shared" si="1"/>
        <v>1.0848438422694745E-4</v>
      </c>
      <c r="D6" s="119">
        <f t="shared" si="1"/>
        <v>1.0672879333588274E-4</v>
      </c>
      <c r="E6" s="119">
        <f t="shared" si="1"/>
        <v>1.0497320244481804E-4</v>
      </c>
      <c r="F6" s="119">
        <f t="shared" si="1"/>
        <v>1.0321761155375376E-4</v>
      </c>
      <c r="G6" s="119">
        <f t="shared" si="1"/>
        <v>1.0146202066268909E-4</v>
      </c>
      <c r="H6" s="119">
        <f t="shared" si="1"/>
        <v>9.9706429771624386E-5</v>
      </c>
      <c r="I6" s="119">
        <f t="shared" si="1"/>
        <v>9.787675384368551E-5</v>
      </c>
      <c r="J6" s="119">
        <f t="shared" si="1"/>
        <v>9.6503497069768613E-5</v>
      </c>
      <c r="K6" s="119">
        <f t="shared" si="1"/>
        <v>9.513024029585211E-5</v>
      </c>
      <c r="L6" s="119">
        <f t="shared" si="1"/>
        <v>9.3756983521935228E-5</v>
      </c>
      <c r="M6" s="119">
        <f t="shared" si="1"/>
        <v>9.2383726748018305E-5</v>
      </c>
      <c r="N6" s="119">
        <f t="shared" si="1"/>
        <v>9.1010469974101802E-5</v>
      </c>
      <c r="O6" s="119">
        <f t="shared" si="1"/>
        <v>8.9637213200184919E-5</v>
      </c>
      <c r="P6" s="119">
        <f t="shared" si="1"/>
        <v>8.8263956426267996E-5</v>
      </c>
      <c r="Q6" s="119">
        <f t="shared" si="1"/>
        <v>8.6890699652351493E-5</v>
      </c>
      <c r="R6" s="119">
        <f t="shared" si="1"/>
        <v>8.551744287843461E-5</v>
      </c>
      <c r="S6" s="119">
        <f t="shared" si="1"/>
        <v>8.4144186104517714E-5</v>
      </c>
      <c r="T6" s="119">
        <f t="shared" si="1"/>
        <v>8.2770929330601211E-5</v>
      </c>
      <c r="U6" s="119">
        <f t="shared" si="1"/>
        <v>8.1397672556684302E-5</v>
      </c>
      <c r="V6" s="119">
        <f t="shared" si="1"/>
        <v>8.0024415782767799E-5</v>
      </c>
      <c r="W6" s="119">
        <f t="shared" si="1"/>
        <v>7.8651159008850903E-5</v>
      </c>
      <c r="X6" s="119">
        <f t="shared" si="1"/>
        <v>7.727790223493402E-5</v>
      </c>
      <c r="Y6" s="119">
        <f t="shared" si="1"/>
        <v>7.590464546101749E-5</v>
      </c>
      <c r="Z6" s="119">
        <f t="shared" si="1"/>
        <v>7.4531388687100594E-5</v>
      </c>
      <c r="AA6" s="119">
        <f t="shared" si="1"/>
        <v>7.3158131913183711E-5</v>
      </c>
      <c r="AB6" s="119">
        <f t="shared" si="1"/>
        <v>7.1784875139267208E-5</v>
      </c>
    </row>
    <row r="7" spans="1:30" x14ac:dyDescent="0.25">
      <c r="A7" s="1" t="s">
        <v>50</v>
      </c>
      <c r="B7" s="119">
        <f t="shared" si="1"/>
        <v>1.1115483427161761E-4</v>
      </c>
      <c r="C7" s="119">
        <f t="shared" si="1"/>
        <v>1.0939924338055294E-4</v>
      </c>
      <c r="D7" s="119">
        <f t="shared" si="1"/>
        <v>1.0764365248948823E-4</v>
      </c>
      <c r="E7" s="119">
        <f t="shared" si="1"/>
        <v>1.0588806159842355E-4</v>
      </c>
      <c r="F7" s="119">
        <f t="shared" si="1"/>
        <v>1.0413247070735926E-4</v>
      </c>
      <c r="G7" s="119">
        <f t="shared" si="1"/>
        <v>1.0237687981629459E-4</v>
      </c>
      <c r="H7" s="119">
        <f t="shared" si="1"/>
        <v>1.0062128892522989E-4</v>
      </c>
      <c r="I7" s="119">
        <f t="shared" si="1"/>
        <v>9.8791612997290999E-5</v>
      </c>
      <c r="J7" s="119">
        <f t="shared" si="1"/>
        <v>9.7418356223374103E-5</v>
      </c>
      <c r="K7" s="119">
        <f t="shared" si="1"/>
        <v>9.6045099449457613E-5</v>
      </c>
      <c r="L7" s="119">
        <f t="shared" si="1"/>
        <v>9.4671842675540717E-5</v>
      </c>
      <c r="M7" s="119">
        <f t="shared" si="1"/>
        <v>9.3298585901623808E-5</v>
      </c>
      <c r="N7" s="119">
        <f t="shared" si="1"/>
        <v>9.1925329127707305E-5</v>
      </c>
      <c r="O7" s="119">
        <f t="shared" si="1"/>
        <v>9.0552072353790409E-5</v>
      </c>
      <c r="P7" s="119">
        <f t="shared" si="1"/>
        <v>8.9178815579873499E-5</v>
      </c>
      <c r="Q7" s="119">
        <f t="shared" si="1"/>
        <v>8.7805558805956996E-5</v>
      </c>
      <c r="R7" s="119">
        <f t="shared" si="1"/>
        <v>8.64323020320401E-5</v>
      </c>
      <c r="S7" s="119">
        <f t="shared" si="1"/>
        <v>8.5059045258123217E-5</v>
      </c>
      <c r="T7" s="119">
        <f t="shared" si="1"/>
        <v>8.3685788484206714E-5</v>
      </c>
      <c r="U7" s="119">
        <f t="shared" si="1"/>
        <v>8.2312531710289791E-5</v>
      </c>
      <c r="V7" s="119">
        <f t="shared" si="1"/>
        <v>8.0939274936373288E-5</v>
      </c>
      <c r="W7" s="119">
        <f t="shared" si="1"/>
        <v>7.9566018162456406E-5</v>
      </c>
      <c r="X7" s="119">
        <f t="shared" si="1"/>
        <v>7.819276138853951E-5</v>
      </c>
      <c r="Y7" s="119">
        <f t="shared" si="1"/>
        <v>7.681950461462298E-5</v>
      </c>
      <c r="Z7" s="119">
        <f t="shared" si="1"/>
        <v>7.5446247840706097E-5</v>
      </c>
      <c r="AA7" s="119">
        <f t="shared" si="1"/>
        <v>7.4072991066789201E-5</v>
      </c>
      <c r="AB7" s="119">
        <f t="shared" si="1"/>
        <v>7.2699734292872698E-5</v>
      </c>
    </row>
    <row r="8" spans="1:30" x14ac:dyDescent="0.25">
      <c r="A8" s="1" t="s">
        <v>162</v>
      </c>
      <c r="B8" s="119">
        <f t="shared" ref="B8:AB8" si="2">B5</f>
        <v>1.1115483427161761E-4</v>
      </c>
      <c r="C8" s="119">
        <f t="shared" si="2"/>
        <v>1.0939924338055294E-4</v>
      </c>
      <c r="D8" s="119">
        <f t="shared" si="2"/>
        <v>1.0764365248948823E-4</v>
      </c>
      <c r="E8" s="119">
        <f t="shared" si="2"/>
        <v>1.0588806159842355E-4</v>
      </c>
      <c r="F8" s="119">
        <f t="shared" si="2"/>
        <v>1.0413247070735926E-4</v>
      </c>
      <c r="G8" s="119">
        <f t="shared" si="2"/>
        <v>1.0237687981629459E-4</v>
      </c>
      <c r="H8" s="119">
        <f t="shared" si="2"/>
        <v>1.0062128892522989E-4</v>
      </c>
      <c r="I8" s="119">
        <f t="shared" si="2"/>
        <v>9.8791612997290999E-5</v>
      </c>
      <c r="J8" s="119">
        <f t="shared" si="2"/>
        <v>9.7418356223374103E-5</v>
      </c>
      <c r="K8" s="119">
        <f t="shared" si="2"/>
        <v>9.6045099449457613E-5</v>
      </c>
      <c r="L8" s="119">
        <f t="shared" si="2"/>
        <v>9.4671842675540717E-5</v>
      </c>
      <c r="M8" s="119">
        <f t="shared" si="2"/>
        <v>9.3298585901623808E-5</v>
      </c>
      <c r="N8" s="119">
        <f t="shared" si="2"/>
        <v>9.1925329127707305E-5</v>
      </c>
      <c r="O8" s="119">
        <f t="shared" si="2"/>
        <v>9.0552072353790409E-5</v>
      </c>
      <c r="P8" s="119">
        <f t="shared" si="2"/>
        <v>8.9178815579873499E-5</v>
      </c>
      <c r="Q8" s="119">
        <f t="shared" si="2"/>
        <v>8.7805558805956996E-5</v>
      </c>
      <c r="R8" s="119">
        <f t="shared" si="2"/>
        <v>8.64323020320401E-5</v>
      </c>
      <c r="S8" s="119">
        <f t="shared" si="2"/>
        <v>8.5059045258123217E-5</v>
      </c>
      <c r="T8" s="119">
        <f t="shared" si="2"/>
        <v>8.3685788484206714E-5</v>
      </c>
      <c r="U8" s="119">
        <f t="shared" si="2"/>
        <v>8.2312531710289791E-5</v>
      </c>
      <c r="V8" s="119">
        <f t="shared" si="2"/>
        <v>8.0939274936373288E-5</v>
      </c>
      <c r="W8" s="119">
        <f t="shared" si="2"/>
        <v>7.9566018162456406E-5</v>
      </c>
      <c r="X8" s="119">
        <f t="shared" si="2"/>
        <v>7.819276138853951E-5</v>
      </c>
      <c r="Y8" s="119">
        <f t="shared" si="2"/>
        <v>7.681950461462298E-5</v>
      </c>
      <c r="Z8" s="119">
        <f t="shared" si="2"/>
        <v>7.5446247840706097E-5</v>
      </c>
      <c r="AA8" s="119">
        <f t="shared" si="2"/>
        <v>7.4072991066789201E-5</v>
      </c>
      <c r="AB8" s="119">
        <f t="shared" si="2"/>
        <v>7.2699734292872698E-5</v>
      </c>
    </row>
    <row r="9" spans="1:30" x14ac:dyDescent="0.25">
      <c r="A9" s="1" t="s">
        <v>163</v>
      </c>
      <c r="B9" s="119">
        <f t="shared" ref="B9:AB9" si="3">B5</f>
        <v>1.1115483427161761E-4</v>
      </c>
      <c r="C9" s="119">
        <f t="shared" si="3"/>
        <v>1.0939924338055294E-4</v>
      </c>
      <c r="D9" s="119">
        <f t="shared" si="3"/>
        <v>1.0764365248948823E-4</v>
      </c>
      <c r="E9" s="119">
        <f t="shared" si="3"/>
        <v>1.0588806159842355E-4</v>
      </c>
      <c r="F9" s="119">
        <f t="shared" si="3"/>
        <v>1.0413247070735926E-4</v>
      </c>
      <c r="G9" s="119">
        <f t="shared" si="3"/>
        <v>1.0237687981629459E-4</v>
      </c>
      <c r="H9" s="119">
        <f t="shared" si="3"/>
        <v>1.0062128892522989E-4</v>
      </c>
      <c r="I9" s="119">
        <f t="shared" si="3"/>
        <v>9.8791612997290999E-5</v>
      </c>
      <c r="J9" s="119">
        <f t="shared" si="3"/>
        <v>9.7418356223374103E-5</v>
      </c>
      <c r="K9" s="119">
        <f t="shared" si="3"/>
        <v>9.6045099449457613E-5</v>
      </c>
      <c r="L9" s="119">
        <f t="shared" si="3"/>
        <v>9.4671842675540717E-5</v>
      </c>
      <c r="M9" s="119">
        <f t="shared" si="3"/>
        <v>9.3298585901623808E-5</v>
      </c>
      <c r="N9" s="119">
        <f t="shared" si="3"/>
        <v>9.1925329127707305E-5</v>
      </c>
      <c r="O9" s="119">
        <f t="shared" si="3"/>
        <v>9.0552072353790409E-5</v>
      </c>
      <c r="P9" s="119">
        <f t="shared" si="3"/>
        <v>8.9178815579873499E-5</v>
      </c>
      <c r="Q9" s="119">
        <f t="shared" si="3"/>
        <v>8.7805558805956996E-5</v>
      </c>
      <c r="R9" s="119">
        <f t="shared" si="3"/>
        <v>8.64323020320401E-5</v>
      </c>
      <c r="S9" s="119">
        <f t="shared" si="3"/>
        <v>8.5059045258123217E-5</v>
      </c>
      <c r="T9" s="119">
        <f t="shared" si="3"/>
        <v>8.3685788484206714E-5</v>
      </c>
      <c r="U9" s="119">
        <f t="shared" si="3"/>
        <v>8.2312531710289791E-5</v>
      </c>
      <c r="V9" s="119">
        <f t="shared" si="3"/>
        <v>8.0939274936373288E-5</v>
      </c>
      <c r="W9" s="119">
        <f t="shared" si="3"/>
        <v>7.9566018162456406E-5</v>
      </c>
      <c r="X9" s="119">
        <f t="shared" si="3"/>
        <v>7.819276138853951E-5</v>
      </c>
      <c r="Y9" s="119">
        <f t="shared" si="3"/>
        <v>7.681950461462298E-5</v>
      </c>
      <c r="Z9" s="119">
        <f t="shared" si="3"/>
        <v>7.5446247840706097E-5</v>
      </c>
      <c r="AA9" s="119">
        <f t="shared" si="3"/>
        <v>7.4072991066789201E-5</v>
      </c>
      <c r="AB9" s="119">
        <f t="shared" si="3"/>
        <v>7.2699734292872698E-5</v>
      </c>
    </row>
    <row r="10" spans="1:30" x14ac:dyDescent="0.25">
      <c r="A10" s="1" t="s">
        <v>164</v>
      </c>
      <c r="B10" s="119">
        <f t="shared" ref="B10:AB10" si="4">B4</f>
        <v>1.1023997511801212E-4</v>
      </c>
      <c r="C10" s="119">
        <f t="shared" si="4"/>
        <v>1.0848438422694745E-4</v>
      </c>
      <c r="D10" s="119">
        <f t="shared" si="4"/>
        <v>1.0672879333588274E-4</v>
      </c>
      <c r="E10" s="119">
        <f t="shared" si="4"/>
        <v>1.0497320244481804E-4</v>
      </c>
      <c r="F10" s="119">
        <f t="shared" si="4"/>
        <v>1.0321761155375376E-4</v>
      </c>
      <c r="G10" s="119">
        <f t="shared" si="4"/>
        <v>1.0146202066268909E-4</v>
      </c>
      <c r="H10" s="119">
        <f t="shared" si="4"/>
        <v>9.9706429771624386E-5</v>
      </c>
      <c r="I10" s="119">
        <f t="shared" si="4"/>
        <v>9.787675384368551E-5</v>
      </c>
      <c r="J10" s="119">
        <f t="shared" si="4"/>
        <v>9.6503497069768613E-5</v>
      </c>
      <c r="K10" s="119">
        <f t="shared" si="4"/>
        <v>9.513024029585211E-5</v>
      </c>
      <c r="L10" s="119">
        <f t="shared" si="4"/>
        <v>9.3756983521935228E-5</v>
      </c>
      <c r="M10" s="119">
        <f t="shared" si="4"/>
        <v>9.2383726748018305E-5</v>
      </c>
      <c r="N10" s="119">
        <f t="shared" si="4"/>
        <v>9.1010469974101802E-5</v>
      </c>
      <c r="O10" s="119">
        <f t="shared" si="4"/>
        <v>8.9637213200184919E-5</v>
      </c>
      <c r="P10" s="119">
        <f t="shared" si="4"/>
        <v>8.8263956426267996E-5</v>
      </c>
      <c r="Q10" s="119">
        <f t="shared" si="4"/>
        <v>8.6890699652351493E-5</v>
      </c>
      <c r="R10" s="119">
        <f t="shared" si="4"/>
        <v>8.551744287843461E-5</v>
      </c>
      <c r="S10" s="119">
        <f t="shared" si="4"/>
        <v>8.4144186104517714E-5</v>
      </c>
      <c r="T10" s="119">
        <f t="shared" si="4"/>
        <v>8.2770929330601211E-5</v>
      </c>
      <c r="U10" s="119">
        <f t="shared" si="4"/>
        <v>8.1397672556684302E-5</v>
      </c>
      <c r="V10" s="119">
        <f t="shared" si="4"/>
        <v>8.0024415782767799E-5</v>
      </c>
      <c r="W10" s="119">
        <f t="shared" si="4"/>
        <v>7.8651159008850903E-5</v>
      </c>
      <c r="X10" s="119">
        <f t="shared" si="4"/>
        <v>7.727790223493402E-5</v>
      </c>
      <c r="Y10" s="119">
        <f t="shared" si="4"/>
        <v>7.590464546101749E-5</v>
      </c>
      <c r="Z10" s="119">
        <f t="shared" si="4"/>
        <v>7.4531388687100594E-5</v>
      </c>
      <c r="AA10" s="119">
        <f t="shared" si="4"/>
        <v>7.3158131913183711E-5</v>
      </c>
      <c r="AB10" s="119">
        <f t="shared" si="4"/>
        <v>7.1784875139267208E-5</v>
      </c>
    </row>
    <row r="11" spans="1:30" x14ac:dyDescent="0.25">
      <c r="A11" s="1" t="s">
        <v>165</v>
      </c>
      <c r="B11" s="119">
        <f t="shared" ref="B11:AB11" si="5">B4</f>
        <v>1.1023997511801212E-4</v>
      </c>
      <c r="C11" s="119">
        <f t="shared" si="5"/>
        <v>1.0848438422694745E-4</v>
      </c>
      <c r="D11" s="119">
        <f t="shared" si="5"/>
        <v>1.0672879333588274E-4</v>
      </c>
      <c r="E11" s="119">
        <f t="shared" si="5"/>
        <v>1.0497320244481804E-4</v>
      </c>
      <c r="F11" s="119">
        <f t="shared" si="5"/>
        <v>1.0321761155375376E-4</v>
      </c>
      <c r="G11" s="119">
        <f t="shared" si="5"/>
        <v>1.0146202066268909E-4</v>
      </c>
      <c r="H11" s="119">
        <f t="shared" si="5"/>
        <v>9.9706429771624386E-5</v>
      </c>
      <c r="I11" s="119">
        <f t="shared" si="5"/>
        <v>9.787675384368551E-5</v>
      </c>
      <c r="J11" s="119">
        <f t="shared" si="5"/>
        <v>9.6503497069768613E-5</v>
      </c>
      <c r="K11" s="119">
        <f t="shared" si="5"/>
        <v>9.513024029585211E-5</v>
      </c>
      <c r="L11" s="119">
        <f t="shared" si="5"/>
        <v>9.3756983521935228E-5</v>
      </c>
      <c r="M11" s="119">
        <f t="shared" si="5"/>
        <v>9.2383726748018305E-5</v>
      </c>
      <c r="N11" s="119">
        <f t="shared" si="5"/>
        <v>9.1010469974101802E-5</v>
      </c>
      <c r="O11" s="119">
        <f t="shared" si="5"/>
        <v>8.9637213200184919E-5</v>
      </c>
      <c r="P11" s="119">
        <f t="shared" si="5"/>
        <v>8.8263956426267996E-5</v>
      </c>
      <c r="Q11" s="119">
        <f t="shared" si="5"/>
        <v>8.6890699652351493E-5</v>
      </c>
      <c r="R11" s="119">
        <f t="shared" si="5"/>
        <v>8.551744287843461E-5</v>
      </c>
      <c r="S11" s="119">
        <f t="shared" si="5"/>
        <v>8.4144186104517714E-5</v>
      </c>
      <c r="T11" s="119">
        <f t="shared" si="5"/>
        <v>8.2770929330601211E-5</v>
      </c>
      <c r="U11" s="119">
        <f t="shared" si="5"/>
        <v>8.1397672556684302E-5</v>
      </c>
      <c r="V11" s="119">
        <f t="shared" si="5"/>
        <v>8.0024415782767799E-5</v>
      </c>
      <c r="W11" s="119">
        <f t="shared" si="5"/>
        <v>7.8651159008850903E-5</v>
      </c>
      <c r="X11" s="119">
        <f t="shared" si="5"/>
        <v>7.727790223493402E-5</v>
      </c>
      <c r="Y11" s="119">
        <f t="shared" si="5"/>
        <v>7.590464546101749E-5</v>
      </c>
      <c r="Z11" s="119">
        <f t="shared" si="5"/>
        <v>7.4531388687100594E-5</v>
      </c>
      <c r="AA11" s="119">
        <f t="shared" si="5"/>
        <v>7.3158131913183711E-5</v>
      </c>
      <c r="AB11" s="119">
        <f t="shared" si="5"/>
        <v>7.1784875139267208E-5</v>
      </c>
    </row>
  </sheetData>
  <pageMargins left="0.7" right="0.7" top="0.75" bottom="0.75" header="0.3" footer="0.3"/>
  <pageSetup orientation="portrait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8" tint="-0.249977111117893"/>
  </sheetPr>
  <dimension ref="A1:AD11"/>
  <sheetViews>
    <sheetView zoomScaleNormal="100" workbookViewId="0"/>
  </sheetViews>
  <sheetFormatPr defaultRowHeight="15" x14ac:dyDescent="0.25"/>
  <cols>
    <col min="1" max="1" width="26.28515625" customWidth="1"/>
    <col min="2" max="28" width="10" customWidth="1"/>
  </cols>
  <sheetData>
    <row r="1" spans="1:30" x14ac:dyDescent="0.25">
      <c r="A1" s="121" t="s">
        <v>171</v>
      </c>
      <c r="B1" s="1">
        <v>2024</v>
      </c>
      <c r="C1" s="1">
        <v>2025</v>
      </c>
      <c r="D1" s="1">
        <v>2026</v>
      </c>
      <c r="E1" s="1">
        <v>2027</v>
      </c>
      <c r="F1" s="1">
        <v>2028</v>
      </c>
      <c r="G1" s="1">
        <v>2029</v>
      </c>
      <c r="H1" s="1">
        <v>2030</v>
      </c>
      <c r="I1" s="1">
        <v>2031</v>
      </c>
      <c r="J1" s="1">
        <v>2032</v>
      </c>
      <c r="K1" s="1">
        <v>2033</v>
      </c>
      <c r="L1" s="1">
        <v>2034</v>
      </c>
      <c r="M1" s="1">
        <v>2035</v>
      </c>
      <c r="N1" s="1">
        <v>2036</v>
      </c>
      <c r="O1" s="1">
        <v>2037</v>
      </c>
      <c r="P1" s="1">
        <v>2038</v>
      </c>
      <c r="Q1" s="1">
        <v>2039</v>
      </c>
      <c r="R1" s="1">
        <v>2040</v>
      </c>
      <c r="S1" s="1">
        <v>2041</v>
      </c>
      <c r="T1" s="1">
        <v>2042</v>
      </c>
      <c r="U1" s="1">
        <v>2043</v>
      </c>
      <c r="V1" s="1">
        <v>2044</v>
      </c>
      <c r="W1" s="1">
        <v>2045</v>
      </c>
      <c r="X1" s="1">
        <v>2046</v>
      </c>
      <c r="Y1" s="1">
        <v>2047</v>
      </c>
      <c r="Z1" s="1">
        <v>2048</v>
      </c>
      <c r="AA1" s="1">
        <v>2049</v>
      </c>
      <c r="AB1" s="1">
        <v>2050</v>
      </c>
      <c r="AC1" s="1"/>
      <c r="AD1" s="1"/>
    </row>
    <row r="2" spans="1:30" x14ac:dyDescent="0.25">
      <c r="A2" s="1" t="s">
        <v>158</v>
      </c>
      <c r="B2" s="120">
        <v>0</v>
      </c>
      <c r="C2" s="120">
        <v>0</v>
      </c>
      <c r="D2" s="120">
        <v>0</v>
      </c>
      <c r="E2" s="120">
        <v>0</v>
      </c>
      <c r="F2" s="120">
        <v>0</v>
      </c>
      <c r="G2" s="120">
        <v>0</v>
      </c>
      <c r="H2" s="120">
        <v>0</v>
      </c>
      <c r="I2" s="120">
        <v>0</v>
      </c>
      <c r="J2" s="120">
        <v>0</v>
      </c>
      <c r="K2" s="120">
        <v>0</v>
      </c>
      <c r="L2" s="120">
        <v>0</v>
      </c>
      <c r="M2" s="120">
        <v>0</v>
      </c>
      <c r="N2" s="120">
        <v>0</v>
      </c>
      <c r="O2" s="120">
        <v>0</v>
      </c>
      <c r="P2" s="120">
        <v>0</v>
      </c>
      <c r="Q2" s="120">
        <v>0</v>
      </c>
      <c r="R2" s="120">
        <v>0</v>
      </c>
      <c r="S2" s="120">
        <v>0</v>
      </c>
      <c r="T2" s="120">
        <v>0</v>
      </c>
      <c r="U2" s="120">
        <v>0</v>
      </c>
      <c r="V2" s="120">
        <v>0</v>
      </c>
      <c r="W2" s="120">
        <v>0</v>
      </c>
      <c r="X2" s="120">
        <v>0</v>
      </c>
      <c r="Y2" s="120">
        <v>0</v>
      </c>
      <c r="Z2" s="120">
        <v>0</v>
      </c>
      <c r="AA2" s="120">
        <v>0</v>
      </c>
      <c r="AB2" s="120">
        <v>0</v>
      </c>
      <c r="AD2" s="118"/>
    </row>
    <row r="3" spans="1:30" x14ac:dyDescent="0.25">
      <c r="A3" s="1" t="s">
        <v>159</v>
      </c>
      <c r="B3" s="119">
        <f t="shared" ref="B3:AB3" si="0">B4</f>
        <v>1.1023997511801212E-4</v>
      </c>
      <c r="C3" s="119">
        <f t="shared" si="0"/>
        <v>1.0848438422694745E-4</v>
      </c>
      <c r="D3" s="119">
        <f t="shared" si="0"/>
        <v>1.0672879333588274E-4</v>
      </c>
      <c r="E3" s="119">
        <f t="shared" si="0"/>
        <v>1.0497320244481804E-4</v>
      </c>
      <c r="F3" s="119">
        <f t="shared" si="0"/>
        <v>1.0321761155375376E-4</v>
      </c>
      <c r="G3" s="119">
        <f t="shared" si="0"/>
        <v>1.0146202066268909E-4</v>
      </c>
      <c r="H3" s="119">
        <f t="shared" si="0"/>
        <v>9.9706429771624386E-5</v>
      </c>
      <c r="I3" s="119">
        <f t="shared" si="0"/>
        <v>9.787675384368551E-5</v>
      </c>
      <c r="J3" s="119">
        <f t="shared" si="0"/>
        <v>9.6503497069768613E-5</v>
      </c>
      <c r="K3" s="119">
        <f t="shared" si="0"/>
        <v>9.513024029585211E-5</v>
      </c>
      <c r="L3" s="119">
        <f t="shared" si="0"/>
        <v>9.3756983521935228E-5</v>
      </c>
      <c r="M3" s="119">
        <f t="shared" si="0"/>
        <v>9.2383726748018305E-5</v>
      </c>
      <c r="N3" s="119">
        <f t="shared" si="0"/>
        <v>9.1010469974101802E-5</v>
      </c>
      <c r="O3" s="119">
        <f t="shared" si="0"/>
        <v>8.9637213200184919E-5</v>
      </c>
      <c r="P3" s="119">
        <f t="shared" si="0"/>
        <v>8.8263956426267996E-5</v>
      </c>
      <c r="Q3" s="119">
        <f t="shared" si="0"/>
        <v>8.6890699652351493E-5</v>
      </c>
      <c r="R3" s="119">
        <f t="shared" si="0"/>
        <v>8.551744287843461E-5</v>
      </c>
      <c r="S3" s="119">
        <f t="shared" si="0"/>
        <v>8.4144186104517714E-5</v>
      </c>
      <c r="T3" s="119">
        <f t="shared" si="0"/>
        <v>8.2770929330601211E-5</v>
      </c>
      <c r="U3" s="119">
        <f t="shared" si="0"/>
        <v>8.1397672556684302E-5</v>
      </c>
      <c r="V3" s="119">
        <f t="shared" si="0"/>
        <v>8.0024415782767799E-5</v>
      </c>
      <c r="W3" s="119">
        <f t="shared" si="0"/>
        <v>7.8651159008850903E-5</v>
      </c>
      <c r="X3" s="119">
        <f t="shared" si="0"/>
        <v>7.727790223493402E-5</v>
      </c>
      <c r="Y3" s="119">
        <f t="shared" si="0"/>
        <v>7.590464546101749E-5</v>
      </c>
      <c r="Z3" s="119">
        <f t="shared" si="0"/>
        <v>7.4531388687100594E-5</v>
      </c>
      <c r="AA3" s="119">
        <f t="shared" si="0"/>
        <v>7.3158131913183711E-5</v>
      </c>
      <c r="AB3" s="119">
        <f t="shared" si="0"/>
        <v>7.1784875139267208E-5</v>
      </c>
    </row>
    <row r="4" spans="1:30" x14ac:dyDescent="0.25">
      <c r="A4" s="1" t="s">
        <v>13</v>
      </c>
      <c r="B4" s="104">
        <f>Calculations!F78</f>
        <v>1.1023997511801212E-4</v>
      </c>
      <c r="C4" s="104">
        <f>Calculations!G78</f>
        <v>1.0848438422694745E-4</v>
      </c>
      <c r="D4" s="104">
        <f>Calculations!H78</f>
        <v>1.0672879333588274E-4</v>
      </c>
      <c r="E4" s="104">
        <f>Calculations!I78</f>
        <v>1.0497320244481804E-4</v>
      </c>
      <c r="F4" s="104">
        <f>Calculations!J78</f>
        <v>1.0321761155375376E-4</v>
      </c>
      <c r="G4" s="104">
        <f>Calculations!K78</f>
        <v>1.0146202066268909E-4</v>
      </c>
      <c r="H4" s="104">
        <f>Calculations!L78</f>
        <v>9.9706429771624386E-5</v>
      </c>
      <c r="I4" s="104">
        <f>Calculations!M78</f>
        <v>9.787675384368551E-5</v>
      </c>
      <c r="J4" s="104">
        <f>Calculations!N78</f>
        <v>9.6503497069768613E-5</v>
      </c>
      <c r="K4" s="104">
        <f>Calculations!O78</f>
        <v>9.513024029585211E-5</v>
      </c>
      <c r="L4" s="104">
        <f>Calculations!P78</f>
        <v>9.3756983521935228E-5</v>
      </c>
      <c r="M4" s="104">
        <f>Calculations!Q78</f>
        <v>9.2383726748018305E-5</v>
      </c>
      <c r="N4" s="104">
        <f>Calculations!R78</f>
        <v>9.1010469974101802E-5</v>
      </c>
      <c r="O4" s="104">
        <f>Calculations!S78</f>
        <v>8.9637213200184919E-5</v>
      </c>
      <c r="P4" s="104">
        <f>Calculations!T78</f>
        <v>8.8263956426267996E-5</v>
      </c>
      <c r="Q4" s="104">
        <f>Calculations!U78</f>
        <v>8.6890699652351493E-5</v>
      </c>
      <c r="R4" s="104">
        <f>Calculations!V78</f>
        <v>8.551744287843461E-5</v>
      </c>
      <c r="S4" s="104">
        <f>Calculations!W78</f>
        <v>8.4144186104517714E-5</v>
      </c>
      <c r="T4" s="104">
        <f>Calculations!X78</f>
        <v>8.2770929330601211E-5</v>
      </c>
      <c r="U4" s="104">
        <f>Calculations!Y78</f>
        <v>8.1397672556684302E-5</v>
      </c>
      <c r="V4" s="104">
        <f>Calculations!Z78</f>
        <v>8.0024415782767799E-5</v>
      </c>
      <c r="W4" s="104">
        <f>Calculations!AA78</f>
        <v>7.8651159008850903E-5</v>
      </c>
      <c r="X4" s="104">
        <f>Calculations!AB78</f>
        <v>7.727790223493402E-5</v>
      </c>
      <c r="Y4" s="104">
        <f>Calculations!AC78</f>
        <v>7.590464546101749E-5</v>
      </c>
      <c r="Z4" s="104">
        <f>Calculations!AD78</f>
        <v>7.4531388687100594E-5</v>
      </c>
      <c r="AA4" s="104">
        <f>Calculations!AE78</f>
        <v>7.3158131913183711E-5</v>
      </c>
      <c r="AB4" s="104">
        <f>Calculations!AF78</f>
        <v>7.1784875139267208E-5</v>
      </c>
    </row>
    <row r="5" spans="1:30" x14ac:dyDescent="0.25">
      <c r="A5" s="1" t="s">
        <v>160</v>
      </c>
      <c r="B5" s="104">
        <f>Calculations!F79</f>
        <v>1.1115483427161761E-4</v>
      </c>
      <c r="C5" s="104">
        <f>Calculations!G79</f>
        <v>1.0939924338055294E-4</v>
      </c>
      <c r="D5" s="104">
        <f>Calculations!H79</f>
        <v>1.0764365248948823E-4</v>
      </c>
      <c r="E5" s="104">
        <f>Calculations!I79</f>
        <v>1.0588806159842355E-4</v>
      </c>
      <c r="F5" s="104">
        <f>Calculations!J79</f>
        <v>1.0413247070735926E-4</v>
      </c>
      <c r="G5" s="104">
        <f>Calculations!K79</f>
        <v>1.0237687981629459E-4</v>
      </c>
      <c r="H5" s="104">
        <f>Calculations!L79</f>
        <v>1.0062128892522989E-4</v>
      </c>
      <c r="I5" s="104">
        <f>Calculations!M79</f>
        <v>9.8791612997290999E-5</v>
      </c>
      <c r="J5" s="104">
        <f>Calculations!N79</f>
        <v>9.7418356223374103E-5</v>
      </c>
      <c r="K5" s="104">
        <f>Calculations!O79</f>
        <v>9.6045099449457613E-5</v>
      </c>
      <c r="L5" s="104">
        <f>Calculations!P79</f>
        <v>9.4671842675540717E-5</v>
      </c>
      <c r="M5" s="104">
        <f>Calculations!Q79</f>
        <v>9.3298585901623808E-5</v>
      </c>
      <c r="N5" s="104">
        <f>Calculations!R79</f>
        <v>9.1925329127707305E-5</v>
      </c>
      <c r="O5" s="104">
        <f>Calculations!S79</f>
        <v>9.0552072353790409E-5</v>
      </c>
      <c r="P5" s="104">
        <f>Calculations!T79</f>
        <v>8.9178815579873499E-5</v>
      </c>
      <c r="Q5" s="104">
        <f>Calculations!U79</f>
        <v>8.7805558805956996E-5</v>
      </c>
      <c r="R5" s="104">
        <f>Calculations!V79</f>
        <v>8.64323020320401E-5</v>
      </c>
      <c r="S5" s="104">
        <f>Calculations!W79</f>
        <v>8.5059045258123217E-5</v>
      </c>
      <c r="T5" s="104">
        <f>Calculations!X79</f>
        <v>8.3685788484206714E-5</v>
      </c>
      <c r="U5" s="104">
        <f>Calculations!Y79</f>
        <v>8.2312531710289791E-5</v>
      </c>
      <c r="V5" s="104">
        <f>Calculations!Z79</f>
        <v>8.0939274936373288E-5</v>
      </c>
      <c r="W5" s="104">
        <f>Calculations!AA79</f>
        <v>7.9566018162456406E-5</v>
      </c>
      <c r="X5" s="104">
        <f>Calculations!AB79</f>
        <v>7.819276138853951E-5</v>
      </c>
      <c r="Y5" s="104">
        <f>Calculations!AC79</f>
        <v>7.681950461462298E-5</v>
      </c>
      <c r="Z5" s="104">
        <f>Calculations!AD79</f>
        <v>7.5446247840706097E-5</v>
      </c>
      <c r="AA5" s="104">
        <f>Calculations!AE79</f>
        <v>7.4072991066789201E-5</v>
      </c>
      <c r="AB5" s="104">
        <f>Calculations!AF79</f>
        <v>7.2699734292872698E-5</v>
      </c>
    </row>
    <row r="6" spans="1:30" x14ac:dyDescent="0.25">
      <c r="A6" s="1" t="s">
        <v>161</v>
      </c>
      <c r="B6" s="119">
        <f t="shared" ref="B6:AB7" si="1">B4</f>
        <v>1.1023997511801212E-4</v>
      </c>
      <c r="C6" s="119">
        <f t="shared" si="1"/>
        <v>1.0848438422694745E-4</v>
      </c>
      <c r="D6" s="119">
        <f t="shared" si="1"/>
        <v>1.0672879333588274E-4</v>
      </c>
      <c r="E6" s="119">
        <f t="shared" si="1"/>
        <v>1.0497320244481804E-4</v>
      </c>
      <c r="F6" s="119">
        <f t="shared" si="1"/>
        <v>1.0321761155375376E-4</v>
      </c>
      <c r="G6" s="119">
        <f t="shared" si="1"/>
        <v>1.0146202066268909E-4</v>
      </c>
      <c r="H6" s="119">
        <f t="shared" si="1"/>
        <v>9.9706429771624386E-5</v>
      </c>
      <c r="I6" s="119">
        <f t="shared" si="1"/>
        <v>9.787675384368551E-5</v>
      </c>
      <c r="J6" s="119">
        <f t="shared" si="1"/>
        <v>9.6503497069768613E-5</v>
      </c>
      <c r="K6" s="119">
        <f t="shared" si="1"/>
        <v>9.513024029585211E-5</v>
      </c>
      <c r="L6" s="119">
        <f t="shared" si="1"/>
        <v>9.3756983521935228E-5</v>
      </c>
      <c r="M6" s="119">
        <f t="shared" si="1"/>
        <v>9.2383726748018305E-5</v>
      </c>
      <c r="N6" s="119">
        <f t="shared" si="1"/>
        <v>9.1010469974101802E-5</v>
      </c>
      <c r="O6" s="119">
        <f t="shared" si="1"/>
        <v>8.9637213200184919E-5</v>
      </c>
      <c r="P6" s="119">
        <f t="shared" si="1"/>
        <v>8.8263956426267996E-5</v>
      </c>
      <c r="Q6" s="119">
        <f t="shared" si="1"/>
        <v>8.6890699652351493E-5</v>
      </c>
      <c r="R6" s="119">
        <f t="shared" si="1"/>
        <v>8.551744287843461E-5</v>
      </c>
      <c r="S6" s="119">
        <f t="shared" si="1"/>
        <v>8.4144186104517714E-5</v>
      </c>
      <c r="T6" s="119">
        <f t="shared" si="1"/>
        <v>8.2770929330601211E-5</v>
      </c>
      <c r="U6" s="119">
        <f t="shared" si="1"/>
        <v>8.1397672556684302E-5</v>
      </c>
      <c r="V6" s="119">
        <f t="shared" si="1"/>
        <v>8.0024415782767799E-5</v>
      </c>
      <c r="W6" s="119">
        <f t="shared" si="1"/>
        <v>7.8651159008850903E-5</v>
      </c>
      <c r="X6" s="119">
        <f t="shared" si="1"/>
        <v>7.727790223493402E-5</v>
      </c>
      <c r="Y6" s="119">
        <f t="shared" si="1"/>
        <v>7.590464546101749E-5</v>
      </c>
      <c r="Z6" s="119">
        <f t="shared" si="1"/>
        <v>7.4531388687100594E-5</v>
      </c>
      <c r="AA6" s="119">
        <f t="shared" si="1"/>
        <v>7.3158131913183711E-5</v>
      </c>
      <c r="AB6" s="119">
        <f t="shared" si="1"/>
        <v>7.1784875139267208E-5</v>
      </c>
    </row>
    <row r="7" spans="1:30" x14ac:dyDescent="0.25">
      <c r="A7" s="1" t="s">
        <v>50</v>
      </c>
      <c r="B7" s="119">
        <f t="shared" si="1"/>
        <v>1.1115483427161761E-4</v>
      </c>
      <c r="C7" s="119">
        <f t="shared" si="1"/>
        <v>1.0939924338055294E-4</v>
      </c>
      <c r="D7" s="119">
        <f t="shared" si="1"/>
        <v>1.0764365248948823E-4</v>
      </c>
      <c r="E7" s="119">
        <f t="shared" si="1"/>
        <v>1.0588806159842355E-4</v>
      </c>
      <c r="F7" s="119">
        <f t="shared" si="1"/>
        <v>1.0413247070735926E-4</v>
      </c>
      <c r="G7" s="119">
        <f t="shared" si="1"/>
        <v>1.0237687981629459E-4</v>
      </c>
      <c r="H7" s="119">
        <f t="shared" si="1"/>
        <v>1.0062128892522989E-4</v>
      </c>
      <c r="I7" s="119">
        <f t="shared" si="1"/>
        <v>9.8791612997290999E-5</v>
      </c>
      <c r="J7" s="119">
        <f t="shared" si="1"/>
        <v>9.7418356223374103E-5</v>
      </c>
      <c r="K7" s="119">
        <f t="shared" si="1"/>
        <v>9.6045099449457613E-5</v>
      </c>
      <c r="L7" s="119">
        <f t="shared" si="1"/>
        <v>9.4671842675540717E-5</v>
      </c>
      <c r="M7" s="119">
        <f t="shared" si="1"/>
        <v>9.3298585901623808E-5</v>
      </c>
      <c r="N7" s="119">
        <f t="shared" si="1"/>
        <v>9.1925329127707305E-5</v>
      </c>
      <c r="O7" s="119">
        <f t="shared" si="1"/>
        <v>9.0552072353790409E-5</v>
      </c>
      <c r="P7" s="119">
        <f t="shared" si="1"/>
        <v>8.9178815579873499E-5</v>
      </c>
      <c r="Q7" s="119">
        <f t="shared" si="1"/>
        <v>8.7805558805956996E-5</v>
      </c>
      <c r="R7" s="119">
        <f t="shared" si="1"/>
        <v>8.64323020320401E-5</v>
      </c>
      <c r="S7" s="119">
        <f t="shared" si="1"/>
        <v>8.5059045258123217E-5</v>
      </c>
      <c r="T7" s="119">
        <f t="shared" si="1"/>
        <v>8.3685788484206714E-5</v>
      </c>
      <c r="U7" s="119">
        <f t="shared" si="1"/>
        <v>8.2312531710289791E-5</v>
      </c>
      <c r="V7" s="119">
        <f t="shared" si="1"/>
        <v>8.0939274936373288E-5</v>
      </c>
      <c r="W7" s="119">
        <f t="shared" si="1"/>
        <v>7.9566018162456406E-5</v>
      </c>
      <c r="X7" s="119">
        <f t="shared" si="1"/>
        <v>7.819276138853951E-5</v>
      </c>
      <c r="Y7" s="119">
        <f t="shared" si="1"/>
        <v>7.681950461462298E-5</v>
      </c>
      <c r="Z7" s="119">
        <f t="shared" si="1"/>
        <v>7.5446247840706097E-5</v>
      </c>
      <c r="AA7" s="119">
        <f t="shared" si="1"/>
        <v>7.4072991066789201E-5</v>
      </c>
      <c r="AB7" s="119">
        <f t="shared" si="1"/>
        <v>7.2699734292872698E-5</v>
      </c>
    </row>
    <row r="8" spans="1:30" x14ac:dyDescent="0.25">
      <c r="A8" s="1" t="s">
        <v>162</v>
      </c>
      <c r="B8" s="119">
        <f t="shared" ref="B8:AB8" si="2">B5</f>
        <v>1.1115483427161761E-4</v>
      </c>
      <c r="C8" s="119">
        <f t="shared" si="2"/>
        <v>1.0939924338055294E-4</v>
      </c>
      <c r="D8" s="119">
        <f t="shared" si="2"/>
        <v>1.0764365248948823E-4</v>
      </c>
      <c r="E8" s="119">
        <f t="shared" si="2"/>
        <v>1.0588806159842355E-4</v>
      </c>
      <c r="F8" s="119">
        <f t="shared" si="2"/>
        <v>1.0413247070735926E-4</v>
      </c>
      <c r="G8" s="119">
        <f t="shared" si="2"/>
        <v>1.0237687981629459E-4</v>
      </c>
      <c r="H8" s="119">
        <f t="shared" si="2"/>
        <v>1.0062128892522989E-4</v>
      </c>
      <c r="I8" s="119">
        <f t="shared" si="2"/>
        <v>9.8791612997290999E-5</v>
      </c>
      <c r="J8" s="119">
        <f t="shared" si="2"/>
        <v>9.7418356223374103E-5</v>
      </c>
      <c r="K8" s="119">
        <f t="shared" si="2"/>
        <v>9.6045099449457613E-5</v>
      </c>
      <c r="L8" s="119">
        <f t="shared" si="2"/>
        <v>9.4671842675540717E-5</v>
      </c>
      <c r="M8" s="119">
        <f t="shared" si="2"/>
        <v>9.3298585901623808E-5</v>
      </c>
      <c r="N8" s="119">
        <f t="shared" si="2"/>
        <v>9.1925329127707305E-5</v>
      </c>
      <c r="O8" s="119">
        <f t="shared" si="2"/>
        <v>9.0552072353790409E-5</v>
      </c>
      <c r="P8" s="119">
        <f t="shared" si="2"/>
        <v>8.9178815579873499E-5</v>
      </c>
      <c r="Q8" s="119">
        <f t="shared" si="2"/>
        <v>8.7805558805956996E-5</v>
      </c>
      <c r="R8" s="119">
        <f t="shared" si="2"/>
        <v>8.64323020320401E-5</v>
      </c>
      <c r="S8" s="119">
        <f t="shared" si="2"/>
        <v>8.5059045258123217E-5</v>
      </c>
      <c r="T8" s="119">
        <f t="shared" si="2"/>
        <v>8.3685788484206714E-5</v>
      </c>
      <c r="U8" s="119">
        <f t="shared" si="2"/>
        <v>8.2312531710289791E-5</v>
      </c>
      <c r="V8" s="119">
        <f t="shared" si="2"/>
        <v>8.0939274936373288E-5</v>
      </c>
      <c r="W8" s="119">
        <f t="shared" si="2"/>
        <v>7.9566018162456406E-5</v>
      </c>
      <c r="X8" s="119">
        <f t="shared" si="2"/>
        <v>7.819276138853951E-5</v>
      </c>
      <c r="Y8" s="119">
        <f t="shared" si="2"/>
        <v>7.681950461462298E-5</v>
      </c>
      <c r="Z8" s="119">
        <f t="shared" si="2"/>
        <v>7.5446247840706097E-5</v>
      </c>
      <c r="AA8" s="119">
        <f t="shared" si="2"/>
        <v>7.4072991066789201E-5</v>
      </c>
      <c r="AB8" s="119">
        <f t="shared" si="2"/>
        <v>7.2699734292872698E-5</v>
      </c>
    </row>
    <row r="9" spans="1:30" x14ac:dyDescent="0.25">
      <c r="A9" s="1" t="s">
        <v>163</v>
      </c>
      <c r="B9" s="119">
        <f t="shared" ref="B9:AB9" si="3">B5</f>
        <v>1.1115483427161761E-4</v>
      </c>
      <c r="C9" s="119">
        <f t="shared" si="3"/>
        <v>1.0939924338055294E-4</v>
      </c>
      <c r="D9" s="119">
        <f t="shared" si="3"/>
        <v>1.0764365248948823E-4</v>
      </c>
      <c r="E9" s="119">
        <f t="shared" si="3"/>
        <v>1.0588806159842355E-4</v>
      </c>
      <c r="F9" s="119">
        <f t="shared" si="3"/>
        <v>1.0413247070735926E-4</v>
      </c>
      <c r="G9" s="119">
        <f t="shared" si="3"/>
        <v>1.0237687981629459E-4</v>
      </c>
      <c r="H9" s="119">
        <f t="shared" si="3"/>
        <v>1.0062128892522989E-4</v>
      </c>
      <c r="I9" s="119">
        <f t="shared" si="3"/>
        <v>9.8791612997290999E-5</v>
      </c>
      <c r="J9" s="119">
        <f t="shared" si="3"/>
        <v>9.7418356223374103E-5</v>
      </c>
      <c r="K9" s="119">
        <f t="shared" si="3"/>
        <v>9.6045099449457613E-5</v>
      </c>
      <c r="L9" s="119">
        <f t="shared" si="3"/>
        <v>9.4671842675540717E-5</v>
      </c>
      <c r="M9" s="119">
        <f t="shared" si="3"/>
        <v>9.3298585901623808E-5</v>
      </c>
      <c r="N9" s="119">
        <f t="shared" si="3"/>
        <v>9.1925329127707305E-5</v>
      </c>
      <c r="O9" s="119">
        <f t="shared" si="3"/>
        <v>9.0552072353790409E-5</v>
      </c>
      <c r="P9" s="119">
        <f t="shared" si="3"/>
        <v>8.9178815579873499E-5</v>
      </c>
      <c r="Q9" s="119">
        <f t="shared" si="3"/>
        <v>8.7805558805956996E-5</v>
      </c>
      <c r="R9" s="119">
        <f t="shared" si="3"/>
        <v>8.64323020320401E-5</v>
      </c>
      <c r="S9" s="119">
        <f t="shared" si="3"/>
        <v>8.5059045258123217E-5</v>
      </c>
      <c r="T9" s="119">
        <f t="shared" si="3"/>
        <v>8.3685788484206714E-5</v>
      </c>
      <c r="U9" s="119">
        <f t="shared" si="3"/>
        <v>8.2312531710289791E-5</v>
      </c>
      <c r="V9" s="119">
        <f t="shared" si="3"/>
        <v>8.0939274936373288E-5</v>
      </c>
      <c r="W9" s="119">
        <f t="shared" si="3"/>
        <v>7.9566018162456406E-5</v>
      </c>
      <c r="X9" s="119">
        <f t="shared" si="3"/>
        <v>7.819276138853951E-5</v>
      </c>
      <c r="Y9" s="119">
        <f t="shared" si="3"/>
        <v>7.681950461462298E-5</v>
      </c>
      <c r="Z9" s="119">
        <f t="shared" si="3"/>
        <v>7.5446247840706097E-5</v>
      </c>
      <c r="AA9" s="119">
        <f t="shared" si="3"/>
        <v>7.4072991066789201E-5</v>
      </c>
      <c r="AB9" s="119">
        <f t="shared" si="3"/>
        <v>7.2699734292872698E-5</v>
      </c>
    </row>
    <row r="10" spans="1:30" x14ac:dyDescent="0.25">
      <c r="A10" s="1" t="s">
        <v>164</v>
      </c>
      <c r="B10" s="119">
        <f t="shared" ref="B10:AB10" si="4">B4</f>
        <v>1.1023997511801212E-4</v>
      </c>
      <c r="C10" s="119">
        <f t="shared" si="4"/>
        <v>1.0848438422694745E-4</v>
      </c>
      <c r="D10" s="119">
        <f t="shared" si="4"/>
        <v>1.0672879333588274E-4</v>
      </c>
      <c r="E10" s="119">
        <f t="shared" si="4"/>
        <v>1.0497320244481804E-4</v>
      </c>
      <c r="F10" s="119">
        <f t="shared" si="4"/>
        <v>1.0321761155375376E-4</v>
      </c>
      <c r="G10" s="119">
        <f t="shared" si="4"/>
        <v>1.0146202066268909E-4</v>
      </c>
      <c r="H10" s="119">
        <f t="shared" si="4"/>
        <v>9.9706429771624386E-5</v>
      </c>
      <c r="I10" s="119">
        <f t="shared" si="4"/>
        <v>9.787675384368551E-5</v>
      </c>
      <c r="J10" s="119">
        <f t="shared" si="4"/>
        <v>9.6503497069768613E-5</v>
      </c>
      <c r="K10" s="119">
        <f t="shared" si="4"/>
        <v>9.513024029585211E-5</v>
      </c>
      <c r="L10" s="119">
        <f t="shared" si="4"/>
        <v>9.3756983521935228E-5</v>
      </c>
      <c r="M10" s="119">
        <f t="shared" si="4"/>
        <v>9.2383726748018305E-5</v>
      </c>
      <c r="N10" s="119">
        <f t="shared" si="4"/>
        <v>9.1010469974101802E-5</v>
      </c>
      <c r="O10" s="119">
        <f t="shared" si="4"/>
        <v>8.9637213200184919E-5</v>
      </c>
      <c r="P10" s="119">
        <f t="shared" si="4"/>
        <v>8.8263956426267996E-5</v>
      </c>
      <c r="Q10" s="119">
        <f t="shared" si="4"/>
        <v>8.6890699652351493E-5</v>
      </c>
      <c r="R10" s="119">
        <f t="shared" si="4"/>
        <v>8.551744287843461E-5</v>
      </c>
      <c r="S10" s="119">
        <f t="shared" si="4"/>
        <v>8.4144186104517714E-5</v>
      </c>
      <c r="T10" s="119">
        <f t="shared" si="4"/>
        <v>8.2770929330601211E-5</v>
      </c>
      <c r="U10" s="119">
        <f t="shared" si="4"/>
        <v>8.1397672556684302E-5</v>
      </c>
      <c r="V10" s="119">
        <f t="shared" si="4"/>
        <v>8.0024415782767799E-5</v>
      </c>
      <c r="W10" s="119">
        <f t="shared" si="4"/>
        <v>7.8651159008850903E-5</v>
      </c>
      <c r="X10" s="119">
        <f t="shared" si="4"/>
        <v>7.727790223493402E-5</v>
      </c>
      <c r="Y10" s="119">
        <f t="shared" si="4"/>
        <v>7.590464546101749E-5</v>
      </c>
      <c r="Z10" s="119">
        <f t="shared" si="4"/>
        <v>7.4531388687100594E-5</v>
      </c>
      <c r="AA10" s="119">
        <f t="shared" si="4"/>
        <v>7.3158131913183711E-5</v>
      </c>
      <c r="AB10" s="119">
        <f t="shared" si="4"/>
        <v>7.1784875139267208E-5</v>
      </c>
    </row>
    <row r="11" spans="1:30" x14ac:dyDescent="0.25">
      <c r="A11" s="1" t="s">
        <v>165</v>
      </c>
      <c r="B11" s="119">
        <f t="shared" ref="B11:AB11" si="5">B4</f>
        <v>1.1023997511801212E-4</v>
      </c>
      <c r="C11" s="119">
        <f t="shared" si="5"/>
        <v>1.0848438422694745E-4</v>
      </c>
      <c r="D11" s="119">
        <f t="shared" si="5"/>
        <v>1.0672879333588274E-4</v>
      </c>
      <c r="E11" s="119">
        <f t="shared" si="5"/>
        <v>1.0497320244481804E-4</v>
      </c>
      <c r="F11" s="119">
        <f t="shared" si="5"/>
        <v>1.0321761155375376E-4</v>
      </c>
      <c r="G11" s="119">
        <f t="shared" si="5"/>
        <v>1.0146202066268909E-4</v>
      </c>
      <c r="H11" s="119">
        <f t="shared" si="5"/>
        <v>9.9706429771624386E-5</v>
      </c>
      <c r="I11" s="119">
        <f t="shared" si="5"/>
        <v>9.787675384368551E-5</v>
      </c>
      <c r="J11" s="119">
        <f t="shared" si="5"/>
        <v>9.6503497069768613E-5</v>
      </c>
      <c r="K11" s="119">
        <f t="shared" si="5"/>
        <v>9.513024029585211E-5</v>
      </c>
      <c r="L11" s="119">
        <f t="shared" si="5"/>
        <v>9.3756983521935228E-5</v>
      </c>
      <c r="M11" s="119">
        <f t="shared" si="5"/>
        <v>9.2383726748018305E-5</v>
      </c>
      <c r="N11" s="119">
        <f t="shared" si="5"/>
        <v>9.1010469974101802E-5</v>
      </c>
      <c r="O11" s="119">
        <f t="shared" si="5"/>
        <v>8.9637213200184919E-5</v>
      </c>
      <c r="P11" s="119">
        <f t="shared" si="5"/>
        <v>8.8263956426267996E-5</v>
      </c>
      <c r="Q11" s="119">
        <f t="shared" si="5"/>
        <v>8.6890699652351493E-5</v>
      </c>
      <c r="R11" s="119">
        <f t="shared" si="5"/>
        <v>8.551744287843461E-5</v>
      </c>
      <c r="S11" s="119">
        <f t="shared" si="5"/>
        <v>8.4144186104517714E-5</v>
      </c>
      <c r="T11" s="119">
        <f t="shared" si="5"/>
        <v>8.2770929330601211E-5</v>
      </c>
      <c r="U11" s="119">
        <f t="shared" si="5"/>
        <v>8.1397672556684302E-5</v>
      </c>
      <c r="V11" s="119">
        <f t="shared" si="5"/>
        <v>8.0024415782767799E-5</v>
      </c>
      <c r="W11" s="119">
        <f t="shared" si="5"/>
        <v>7.8651159008850903E-5</v>
      </c>
      <c r="X11" s="119">
        <f t="shared" si="5"/>
        <v>7.727790223493402E-5</v>
      </c>
      <c r="Y11" s="119">
        <f t="shared" si="5"/>
        <v>7.590464546101749E-5</v>
      </c>
      <c r="Z11" s="119">
        <f t="shared" si="5"/>
        <v>7.4531388687100594E-5</v>
      </c>
      <c r="AA11" s="119">
        <f t="shared" si="5"/>
        <v>7.3158131913183711E-5</v>
      </c>
      <c r="AB11" s="119">
        <f t="shared" si="5"/>
        <v>7.1784875139267208E-5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About</vt:lpstr>
      <vt:lpstr>Source Data&gt;</vt:lpstr>
      <vt:lpstr>EIA Costs</vt:lpstr>
      <vt:lpstr>Table_21._Residential_Sector_Eq</vt:lpstr>
      <vt:lpstr>Table_4._Residential_Sector_Key</vt:lpstr>
      <vt:lpstr>NREL EF Table 22</vt:lpstr>
      <vt:lpstr>NREL EF Table 23</vt:lpstr>
      <vt:lpstr>Calcs&gt;</vt:lpstr>
      <vt:lpstr>Calculations</vt:lpstr>
      <vt:lpstr>ICpUEfEBE-urb-res-heating</vt:lpstr>
      <vt:lpstr>ICpUEfEBE-urb-res-appl</vt:lpstr>
      <vt:lpstr>ICpUEfEBE-urb-res-other</vt:lpstr>
      <vt:lpstr>ICpUEfEBE-rur-res-heating</vt:lpstr>
      <vt:lpstr>ICpUEfEBE-rur-res-appl</vt:lpstr>
      <vt:lpstr>ICpUEfEBE-rur-res-other</vt:lpstr>
      <vt:lpstr>ICpUEfEBE-com-heating</vt:lpstr>
      <vt:lpstr>ICpUEfEBE-com-appl</vt:lpstr>
      <vt:lpstr>ICpUEfEBE-com-other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2020-08-26T21:37:25Z</dcterms:created>
  <dcterms:modified xsi:type="dcterms:W3CDTF">2025-12-03T22:22:49Z</dcterms:modified>
</cp:coreProperties>
</file>