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RobbieOrvis\Models\US\Models\eps-us\InputData\bldgs\SYDEC\"/>
    </mc:Choice>
  </mc:AlternateContent>
  <xr:revisionPtr revIDLastSave="0" documentId="13_ncr:1_{5A578AD3-D476-4117-8DCD-4CF8A8F12148}" xr6:coauthVersionLast="47" xr6:coauthVersionMax="47" xr10:uidLastSave="{00000000-0000-0000-0000-000000000000}"/>
  <bookViews>
    <workbookView xWindow="-120" yWindow="-120" windowWidth="57840" windowHeight="23520"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Data Center Gas" sheetId="18" r:id="rId13"/>
    <sheet name="BDESC-urban-residential" sheetId="11" r:id="rId14"/>
    <sheet name="BDESC-rural-residential" sheetId="12" r:id="rId15"/>
    <sheet name="BDESC-commercial" sheetId="13" r:id="rId16"/>
    <sheet name="SYDEC" sheetId="19" r:id="rId17"/>
  </sheets>
  <definedNames>
    <definedName name="billion_kw_to_MW" localSheetId="16">#REF!</definedName>
    <definedName name="billion_kw_to_MW">About!$B$35</definedName>
    <definedName name="Fraction_coal">#REF!</definedName>
    <definedName name="gal_per_barrel">#REF!</definedName>
    <definedName name="gigwatt_to_megawatt" localSheetId="16">#REF!</definedName>
    <definedName name="gigwatt_to_megawatt">About!$B$36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 localSheetId="16">#REF!</definedName>
    <definedName name="Percent_rural">About!$A$33</definedName>
    <definedName name="Percent_urban" localSheetId="16">#REF!</definedName>
    <definedName name="Percent_Urban">About!$A$32</definedName>
    <definedName name="_xlnm.Print_Titles" localSheetId="1">'EPM Table_6_02_B'!$1:$4</definedName>
    <definedName name="quadrillion">#REF!</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3" l="1"/>
  <c r="A42" i="1" l="1"/>
  <c r="B42" i="1"/>
  <c r="A43" i="1"/>
  <c r="B43"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D12" i="19"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D7" i="19" s="1"/>
  <c r="AD84" i="9"/>
  <c r="AC27" i="18" s="1"/>
  <c r="AC84" i="9"/>
  <c r="AB27" i="18" s="1"/>
  <c r="AB84" i="9"/>
  <c r="AA27" i="18" s="1"/>
  <c r="AA84" i="9"/>
  <c r="Z27" i="18" s="1"/>
  <c r="Z84" i="9"/>
  <c r="Y27" i="18" s="1"/>
  <c r="Y84" i="9"/>
  <c r="X27" i="18" s="1"/>
  <c r="X84" i="9"/>
  <c r="W27" i="18" s="1"/>
  <c r="W84" i="9"/>
  <c r="V27" i="18" s="1"/>
  <c r="V84" i="9"/>
  <c r="U27" i="18" s="1"/>
  <c r="U84" i="9"/>
  <c r="T27" i="18" s="1"/>
  <c r="T84" i="9"/>
  <c r="S27" i="18" s="1"/>
  <c r="S84" i="9"/>
  <c r="R27" i="18" s="1"/>
  <c r="R84" i="9"/>
  <c r="Q27" i="18" s="1"/>
  <c r="Q84" i="9"/>
  <c r="P27" i="18" s="1"/>
  <c r="P84" i="9"/>
  <c r="O27" i="18" s="1"/>
  <c r="O84" i="9"/>
  <c r="N27" i="18" s="1"/>
  <c r="N84" i="9"/>
  <c r="M27" i="18" s="1"/>
  <c r="M84" i="9"/>
  <c r="L27" i="18" s="1"/>
  <c r="L84" i="9"/>
  <c r="K27" i="18" s="1"/>
  <c r="K84" i="9"/>
  <c r="J27" i="18" s="1"/>
  <c r="J84" i="9"/>
  <c r="I27" i="18" s="1"/>
  <c r="I84" i="9"/>
  <c r="H27" i="18" s="1"/>
  <c r="H84" i="9"/>
  <c r="G27" i="18" s="1"/>
  <c r="G84" i="9"/>
  <c r="F27" i="18" s="1"/>
  <c r="F84" i="9"/>
  <c r="E27" i="18" s="1"/>
  <c r="D4" i="13" s="1"/>
  <c r="E84" i="9"/>
  <c r="D27" i="18" s="1"/>
  <c r="C4" i="13" s="1"/>
  <c r="D84" i="9"/>
  <c r="B35" i="1"/>
  <c r="E112" i="9" s="1"/>
  <c r="A33" i="1"/>
  <c r="R67" i="9" s="1"/>
  <c r="A32" i="1"/>
  <c r="M48" i="9" s="1"/>
  <c r="Q47" i="9" l="1"/>
  <c r="O7" i="11" s="1"/>
  <c r="T44" i="9"/>
  <c r="O47" i="9"/>
  <c r="M7" i="11" s="1"/>
  <c r="P47" i="9"/>
  <c r="N7" i="11" s="1"/>
  <c r="V47" i="9"/>
  <c r="T7" i="11" s="1"/>
  <c r="S44" i="9"/>
  <c r="AC47" i="9"/>
  <c r="AA7" i="11" s="1"/>
  <c r="Z48" i="9"/>
  <c r="Q4" i="11"/>
  <c r="R25" i="18"/>
  <c r="R4" i="11"/>
  <c r="S25" i="18"/>
  <c r="C42" i="1"/>
  <c r="C43" i="1" s="1"/>
  <c r="D4" i="19"/>
  <c r="C27" i="18"/>
  <c r="E4" i="13"/>
  <c r="M25" i="9"/>
  <c r="AD48" i="9"/>
  <c r="O66" i="9"/>
  <c r="M7" i="12" s="1"/>
  <c r="H25" i="9"/>
  <c r="T67" i="9"/>
  <c r="J25" i="9"/>
  <c r="AD25" i="9"/>
  <c r="D63" i="9"/>
  <c r="E28" i="9"/>
  <c r="E63" i="9"/>
  <c r="B59" i="10"/>
  <c r="B61" i="10" s="1"/>
  <c r="B60" i="10"/>
  <c r="S67" i="9"/>
  <c r="F63" i="9"/>
  <c r="P67" i="9"/>
  <c r="AA48" i="9"/>
  <c r="U67" i="9"/>
  <c r="AB48" i="9"/>
  <c r="L25" i="9"/>
  <c r="AC48" i="9"/>
  <c r="F28" i="9"/>
  <c r="N44" i="9"/>
  <c r="D66" i="9"/>
  <c r="B7" i="12" s="1"/>
  <c r="C7" i="19" s="1"/>
  <c r="O44" i="9"/>
  <c r="E66" i="9"/>
  <c r="C7" i="12" s="1"/>
  <c r="Q10" i="9"/>
  <c r="P44" i="9"/>
  <c r="L66" i="9"/>
  <c r="J7" i="12" s="1"/>
  <c r="Q44" i="9"/>
  <c r="M66" i="9"/>
  <c r="K7" i="12" s="1"/>
  <c r="Q66" i="9"/>
  <c r="O7" i="12" s="1"/>
  <c r="L67" i="9"/>
  <c r="M67" i="9"/>
  <c r="K25" i="9"/>
  <c r="R44" i="9"/>
  <c r="N66" i="9"/>
  <c r="L7" i="12" s="1"/>
  <c r="P66" i="9"/>
  <c r="N7" i="12" s="1"/>
  <c r="T47" i="9"/>
  <c r="R7" i="11" s="1"/>
  <c r="N67" i="9"/>
  <c r="U47" i="9"/>
  <c r="S7" i="11" s="1"/>
  <c r="O67" i="9"/>
  <c r="U44" i="9"/>
  <c r="V44" i="9"/>
  <c r="AB67" i="9"/>
  <c r="X28" i="9"/>
  <c r="V104" i="9"/>
  <c r="Z44" i="9"/>
  <c r="AA28" i="9"/>
  <c r="AA44" i="9"/>
  <c r="G48" i="9"/>
  <c r="R63" i="9"/>
  <c r="U66" i="9"/>
  <c r="S7" i="12" s="1"/>
  <c r="X104" i="9"/>
  <c r="AC67" i="9"/>
  <c r="Z28" i="9"/>
  <c r="F6" i="9"/>
  <c r="H48" i="9"/>
  <c r="P107" i="9"/>
  <c r="AD47" i="9"/>
  <c r="AB7" i="11" s="1"/>
  <c r="E6" i="9"/>
  <c r="K63" i="9"/>
  <c r="W104" i="9"/>
  <c r="AB44" i="9"/>
  <c r="Y6" i="9"/>
  <c r="T29" i="9"/>
  <c r="I48" i="9"/>
  <c r="T63" i="9"/>
  <c r="Y66" i="9"/>
  <c r="W7" i="12" s="1"/>
  <c r="Q107" i="9"/>
  <c r="AD67" i="9"/>
  <c r="R29" i="9"/>
  <c r="V66" i="9"/>
  <c r="T7" i="12" s="1"/>
  <c r="AC6" i="9"/>
  <c r="G47" i="9"/>
  <c r="E7" i="11" s="1"/>
  <c r="U63" i="9"/>
  <c r="R107" i="9"/>
  <c r="S66" i="9"/>
  <c r="Q7" i="12" s="1"/>
  <c r="F48" i="9"/>
  <c r="G6" i="9"/>
  <c r="S63" i="9"/>
  <c r="AC44" i="9"/>
  <c r="U29" i="9"/>
  <c r="J48" i="9"/>
  <c r="Z66" i="9"/>
  <c r="X7" i="12" s="1"/>
  <c r="S9" i="9"/>
  <c r="V29" i="9"/>
  <c r="H47" i="9"/>
  <c r="F7" i="11" s="1"/>
  <c r="K48" i="9"/>
  <c r="V63" i="9"/>
  <c r="AA66" i="9"/>
  <c r="Y7" i="12" s="1"/>
  <c r="J108" i="9"/>
  <c r="I63" i="9"/>
  <c r="W44" i="9"/>
  <c r="T66" i="9"/>
  <c r="R7" i="12" s="1"/>
  <c r="U9" i="9"/>
  <c r="D44" i="9"/>
  <c r="I47" i="9"/>
  <c r="G7" i="11" s="1"/>
  <c r="N48" i="9"/>
  <c r="W63" i="9"/>
  <c r="F67" i="9"/>
  <c r="K108" i="9"/>
  <c r="D48" i="9"/>
  <c r="J63" i="9"/>
  <c r="V9" i="9"/>
  <c r="E44" i="9"/>
  <c r="J47" i="9"/>
  <c r="H7" i="11" s="1"/>
  <c r="O48" i="9"/>
  <c r="X63" i="9"/>
  <c r="G67" i="9"/>
  <c r="L108" i="9"/>
  <c r="R66" i="9"/>
  <c r="P7" i="12" s="1"/>
  <c r="W9" i="9"/>
  <c r="P48" i="9"/>
  <c r="H67" i="9"/>
  <c r="G44" i="9"/>
  <c r="Z63" i="9"/>
  <c r="I67" i="9"/>
  <c r="F112" i="9"/>
  <c r="F44" i="9"/>
  <c r="K47" i="9"/>
  <c r="I7" i="11" s="1"/>
  <c r="Y63" i="9"/>
  <c r="D112" i="9"/>
  <c r="L47" i="9"/>
  <c r="J7" i="11" s="1"/>
  <c r="O10" i="9"/>
  <c r="O121" i="9" s="1"/>
  <c r="M47" i="9"/>
  <c r="K7" i="11" s="1"/>
  <c r="X48" i="9"/>
  <c r="AA63" i="9"/>
  <c r="J67" i="9"/>
  <c r="AA112" i="9"/>
  <c r="E48" i="9"/>
  <c r="M10" i="9"/>
  <c r="W48" i="9"/>
  <c r="H44" i="9"/>
  <c r="P10" i="9"/>
  <c r="M44" i="9"/>
  <c r="N47" i="9"/>
  <c r="L7" i="11" s="1"/>
  <c r="Y48" i="9"/>
  <c r="AB63" i="9"/>
  <c r="K67" i="9"/>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T9" i="9"/>
  <c r="Z6" i="9"/>
  <c r="D6" i="9"/>
  <c r="X112" i="9"/>
  <c r="AD108" i="9"/>
  <c r="H108" i="9"/>
  <c r="N107" i="9"/>
  <c r="T104" i="9"/>
  <c r="W112" i="9"/>
  <c r="AC108" i="9"/>
  <c r="G108" i="9"/>
  <c r="M107" i="9"/>
  <c r="S104" i="9"/>
  <c r="AD10" i="9"/>
  <c r="AD121" i="9" s="1"/>
  <c r="X25" i="9"/>
  <c r="G10" i="9"/>
  <c r="AB10" i="9"/>
  <c r="AC112" i="9"/>
  <c r="H6" i="9"/>
  <c r="V112" i="9"/>
  <c r="AB108" i="9"/>
  <c r="F108" i="9"/>
  <c r="L107" i="9"/>
  <c r="R104" i="9"/>
  <c r="M29" i="9"/>
  <c r="H10" i="9"/>
  <c r="H121" i="9" s="1"/>
  <c r="J29" i="9"/>
  <c r="P28" i="9"/>
  <c r="V25" i="9"/>
  <c r="AA10" i="9"/>
  <c r="E10" i="9"/>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L63" i="9"/>
  <c r="F66" i="9"/>
  <c r="D7" i="12" s="1"/>
  <c r="AB66" i="9"/>
  <c r="Z7" i="12" s="1"/>
  <c r="V67" i="9"/>
  <c r="AD44" i="9"/>
  <c r="X47" i="9"/>
  <c r="V7" i="11" s="1"/>
  <c r="R48" i="9"/>
  <c r="M63" i="9"/>
  <c r="G66" i="9"/>
  <c r="E7" i="12" s="1"/>
  <c r="AC66" i="9"/>
  <c r="AA7" i="12" s="1"/>
  <c r="W67" i="9"/>
  <c r="D25" i="9"/>
  <c r="Z25" i="9"/>
  <c r="T28" i="9"/>
  <c r="N29" i="9"/>
  <c r="I44" i="9"/>
  <c r="Y47" i="9"/>
  <c r="W7" i="11" s="1"/>
  <c r="S48" i="9"/>
  <c r="N63" i="9"/>
  <c r="H66" i="9"/>
  <c r="F7" i="12" s="1"/>
  <c r="AD66" i="9"/>
  <c r="AB7" i="12" s="1"/>
  <c r="X67" i="9"/>
  <c r="E25" i="9"/>
  <c r="AA25" i="9"/>
  <c r="O29" i="9"/>
  <c r="J44" i="9"/>
  <c r="D47" i="9"/>
  <c r="B7" i="11" s="1"/>
  <c r="B7" i="19" s="1"/>
  <c r="Z47" i="9"/>
  <c r="X7" i="11" s="1"/>
  <c r="T48" i="9"/>
  <c r="O63" i="9"/>
  <c r="I66" i="9"/>
  <c r="G7" i="12" s="1"/>
  <c r="Y67" i="9"/>
  <c r="U28" i="9"/>
  <c r="W6" i="9"/>
  <c r="Q9" i="9"/>
  <c r="K10" i="9"/>
  <c r="K121" i="9" s="1"/>
  <c r="F25" i="9"/>
  <c r="AB25" i="9"/>
  <c r="V28" i="9"/>
  <c r="P29" i="9"/>
  <c r="K44" i="9"/>
  <c r="E47" i="9"/>
  <c r="C7" i="11" s="1"/>
  <c r="AA47" i="9"/>
  <c r="Y7" i="11" s="1"/>
  <c r="U48" i="9"/>
  <c r="P63" i="9"/>
  <c r="J66" i="9"/>
  <c r="H7" i="12" s="1"/>
  <c r="D67" i="9"/>
  <c r="Z67" i="9"/>
  <c r="X6" i="9"/>
  <c r="R9" i="9"/>
  <c r="L10" i="9"/>
  <c r="G25" i="9"/>
  <c r="AC25" i="9"/>
  <c r="W28" i="9"/>
  <c r="Q29" i="9"/>
  <c r="L44" i="9"/>
  <c r="F47" i="9"/>
  <c r="D7" i="11" s="1"/>
  <c r="AB47" i="9"/>
  <c r="Z7" i="11" s="1"/>
  <c r="V48" i="9"/>
  <c r="Q63" i="9"/>
  <c r="K66" i="9"/>
  <c r="I7" i="12" s="1"/>
  <c r="E67" i="9"/>
  <c r="AA67" i="9"/>
  <c r="N6" i="9"/>
  <c r="H9" i="9"/>
  <c r="AD9" i="9"/>
  <c r="X10" i="9"/>
  <c r="S25" i="9"/>
  <c r="M28" i="9"/>
  <c r="G29" i="9"/>
  <c r="AC29" i="9"/>
  <c r="X44" i="9"/>
  <c r="R47" i="9"/>
  <c r="P7" i="11" s="1"/>
  <c r="L48" i="9"/>
  <c r="G63" i="9"/>
  <c r="AC63" i="9"/>
  <c r="W66" i="9"/>
  <c r="U7" i="12" s="1"/>
  <c r="Q67" i="9"/>
  <c r="O6" i="9"/>
  <c r="I9" i="9"/>
  <c r="Y10" i="9"/>
  <c r="T25" i="9"/>
  <c r="N28" i="9"/>
  <c r="H29" i="9"/>
  <c r="AD29" i="9"/>
  <c r="Y44" i="9"/>
  <c r="S47" i="9"/>
  <c r="Q7" i="11" s="1"/>
  <c r="H63" i="9"/>
  <c r="AD63" i="9"/>
  <c r="X66" i="9"/>
  <c r="V7" i="12" s="1"/>
  <c r="S8" i="13" l="1"/>
  <c r="I8" i="13"/>
  <c r="L8" i="13"/>
  <c r="B8" i="13"/>
  <c r="D8" i="19" s="1"/>
  <c r="V8" i="13"/>
  <c r="C8" i="13"/>
  <c r="J8" i="13"/>
  <c r="K8" i="13"/>
  <c r="U8" i="13"/>
  <c r="M8" i="13"/>
  <c r="H8" i="13"/>
  <c r="AB8" i="13"/>
  <c r="C47" i="1"/>
  <c r="P8" i="12" s="1"/>
  <c r="C8" i="11"/>
  <c r="C46" i="1"/>
  <c r="H8" i="11"/>
  <c r="D8" i="11"/>
  <c r="L8" i="11"/>
  <c r="S8" i="11"/>
  <c r="E8" i="11"/>
  <c r="J8" i="11"/>
  <c r="V8" i="11"/>
  <c r="R8" i="11"/>
  <c r="P8" i="11"/>
  <c r="Y8" i="11"/>
  <c r="J8" i="12"/>
  <c r="W8" i="11"/>
  <c r="B8" i="11"/>
  <c r="B8" i="19" s="1"/>
  <c r="W121" i="9"/>
  <c r="F8" i="11"/>
  <c r="C4" i="11"/>
  <c r="D25" i="18"/>
  <c r="H4" i="12"/>
  <c r="I26" i="18"/>
  <c r="AB4" i="11"/>
  <c r="AC25" i="18"/>
  <c r="D4" i="12"/>
  <c r="E26" i="18"/>
  <c r="H4" i="11"/>
  <c r="I25" i="18"/>
  <c r="P4" i="11"/>
  <c r="Q25" i="18"/>
  <c r="U4" i="12"/>
  <c r="V26" i="18"/>
  <c r="J4" i="12"/>
  <c r="K26" i="18"/>
  <c r="D4" i="11"/>
  <c r="E25" i="18"/>
  <c r="S4" i="12"/>
  <c r="T26" i="18"/>
  <c r="C4" i="12"/>
  <c r="D26" i="18"/>
  <c r="F4" i="12"/>
  <c r="G26" i="18"/>
  <c r="B4" i="12"/>
  <c r="C26" i="18"/>
  <c r="W4" i="11"/>
  <c r="X25" i="18"/>
  <c r="Z4" i="12"/>
  <c r="AA26" i="18"/>
  <c r="X4" i="12"/>
  <c r="Y26" i="18"/>
  <c r="O4" i="11"/>
  <c r="P25" i="18"/>
  <c r="I4" i="11"/>
  <c r="J25" i="18"/>
  <c r="L4" i="12"/>
  <c r="M26" i="18"/>
  <c r="E4" i="11"/>
  <c r="F25" i="18"/>
  <c r="U4" i="11"/>
  <c r="V25" i="18"/>
  <c r="Y4" i="11"/>
  <c r="Z25" i="18"/>
  <c r="G8" i="13"/>
  <c r="AB121" i="9"/>
  <c r="G4" i="12"/>
  <c r="H26" i="18"/>
  <c r="N4" i="11"/>
  <c r="O25" i="18"/>
  <c r="AA8" i="13"/>
  <c r="K4" i="11"/>
  <c r="L25" i="18"/>
  <c r="X4" i="11"/>
  <c r="Y25" i="18"/>
  <c r="O4" i="12"/>
  <c r="P26" i="18"/>
  <c r="G4" i="11"/>
  <c r="H25" i="18"/>
  <c r="T8" i="11"/>
  <c r="F4" i="11"/>
  <c r="G25" i="18"/>
  <c r="T4" i="12"/>
  <c r="U26" i="18"/>
  <c r="R4" i="12"/>
  <c r="S26" i="18"/>
  <c r="M4" i="11"/>
  <c r="N25" i="18"/>
  <c r="AB8" i="11"/>
  <c r="U8" i="11"/>
  <c r="I8" i="11"/>
  <c r="G8" i="11"/>
  <c r="I4" i="12"/>
  <c r="J26" i="18"/>
  <c r="M4" i="12"/>
  <c r="N26" i="18"/>
  <c r="Q4" i="12"/>
  <c r="R26" i="18"/>
  <c r="E4" i="12"/>
  <c r="F26" i="18"/>
  <c r="Y4" i="12"/>
  <c r="Z26" i="18"/>
  <c r="K4" i="12"/>
  <c r="L26" i="18"/>
  <c r="AA4" i="11"/>
  <c r="AB25" i="18"/>
  <c r="V4" i="11"/>
  <c r="W25" i="18"/>
  <c r="W4" i="12"/>
  <c r="X26" i="18"/>
  <c r="AB4" i="12"/>
  <c r="AC26" i="18"/>
  <c r="N4" i="12"/>
  <c r="O26" i="18"/>
  <c r="B4" i="11"/>
  <c r="C25" i="18"/>
  <c r="P4" i="12"/>
  <c r="Q26" i="18"/>
  <c r="T4" i="11"/>
  <c r="U25" i="18"/>
  <c r="L4" i="11"/>
  <c r="M25" i="18"/>
  <c r="J4" i="11"/>
  <c r="K25" i="18"/>
  <c r="V4" i="12"/>
  <c r="W26" i="18"/>
  <c r="S4" i="11"/>
  <c r="T25" i="18"/>
  <c r="M8" i="11"/>
  <c r="Z4" i="11"/>
  <c r="AA25" i="18"/>
  <c r="AA8" i="11"/>
  <c r="AA4" i="12"/>
  <c r="AB26" i="18"/>
  <c r="E121" i="9"/>
  <c r="F4" i="13"/>
  <c r="G121" i="9"/>
  <c r="X8" i="13"/>
  <c r="Y121" i="9"/>
  <c r="Q8" i="13"/>
  <c r="P8" i="13"/>
  <c r="O8" i="13"/>
  <c r="R8" i="13"/>
  <c r="T8" i="13"/>
  <c r="D8" i="13"/>
  <c r="N121" i="9"/>
  <c r="Y8" i="13"/>
  <c r="F8" i="13"/>
  <c r="F121" i="9"/>
  <c r="AA121" i="9"/>
  <c r="Z8" i="11"/>
  <c r="E8" i="13"/>
  <c r="Z8" i="13"/>
  <c r="N8" i="13"/>
  <c r="W8" i="13"/>
  <c r="J121" i="9"/>
  <c r="D121" i="9"/>
  <c r="C62" i="10" s="1"/>
  <c r="X121" i="9"/>
  <c r="B62" i="10"/>
  <c r="T121" i="9"/>
  <c r="S121" i="9"/>
  <c r="L121" i="9"/>
  <c r="R121" i="9"/>
  <c r="U121" i="9"/>
  <c r="Q121" i="9"/>
  <c r="V121" i="9"/>
  <c r="D60" i="10"/>
  <c r="E58" i="10"/>
  <c r="D59" i="10"/>
  <c r="O8" i="12" l="1"/>
  <c r="L8" i="12"/>
  <c r="N8" i="12"/>
  <c r="X8" i="11"/>
  <c r="K8" i="11"/>
  <c r="U8" i="12"/>
  <c r="R8" i="12"/>
  <c r="V8" i="12"/>
  <c r="H8" i="12"/>
  <c r="K8" i="12"/>
  <c r="Z8" i="12"/>
  <c r="B8" i="12"/>
  <c r="C8" i="19" s="1"/>
  <c r="Q8" i="12"/>
  <c r="G8" i="12"/>
  <c r="C8" i="12"/>
  <c r="C26" i="12" s="1"/>
  <c r="I8" i="12"/>
  <c r="S8" i="12"/>
  <c r="E8" i="12"/>
  <c r="F8" i="12"/>
  <c r="X8" i="12"/>
  <c r="D62" i="10"/>
  <c r="M8" i="12"/>
  <c r="C61" i="10"/>
  <c r="AB8" i="12"/>
  <c r="N8" i="11"/>
  <c r="Q8" i="11"/>
  <c r="O8" i="11"/>
  <c r="AA8" i="12"/>
  <c r="W8" i="12"/>
  <c r="D8" i="12"/>
  <c r="Y8" i="12"/>
  <c r="T8" i="12"/>
  <c r="G4" i="13"/>
  <c r="E60" i="10"/>
  <c r="E62" i="10" s="1"/>
  <c r="E59" i="10"/>
  <c r="E61" i="10" s="1"/>
  <c r="F58" i="10"/>
  <c r="D61" i="10"/>
  <c r="H4" i="13" l="1"/>
  <c r="F60" i="10"/>
  <c r="F62" i="10" s="1"/>
  <c r="F59" i="10"/>
  <c r="F61" i="10" s="1"/>
  <c r="G58" i="10"/>
  <c r="I4" i="13" l="1"/>
  <c r="G60" i="10"/>
  <c r="G62" i="10" s="1"/>
  <c r="G59" i="10"/>
  <c r="G61" i="10" s="1"/>
  <c r="H58" i="10"/>
  <c r="J4" i="13" l="1"/>
  <c r="H60" i="10"/>
  <c r="H62" i="10" s="1"/>
  <c r="H59" i="10"/>
  <c r="H61" i="10" s="1"/>
  <c r="I58" i="10"/>
  <c r="K4" i="13" l="1"/>
  <c r="I59" i="10"/>
  <c r="I61" i="10" s="1"/>
  <c r="J58" i="10"/>
  <c r="I60" i="10"/>
  <c r="I62" i="10" s="1"/>
  <c r="L4" i="13" l="1"/>
  <c r="J59" i="10"/>
  <c r="J61" i="10" s="1"/>
  <c r="K58" i="10"/>
  <c r="J60" i="10"/>
  <c r="J62" i="10" s="1"/>
  <c r="M4" i="13" l="1"/>
  <c r="K59" i="10"/>
  <c r="K61" i="10" s="1"/>
  <c r="L58" i="10"/>
  <c r="K60" i="10"/>
  <c r="K62" i="10" s="1"/>
  <c r="N4" i="13" l="1"/>
  <c r="L59" i="10"/>
  <c r="L61" i="10" s="1"/>
  <c r="M58" i="10"/>
  <c r="L60" i="10"/>
  <c r="L62" i="10" s="1"/>
  <c r="O4" i="13" l="1"/>
  <c r="M59" i="10"/>
  <c r="M61" i="10" s="1"/>
  <c r="N58" i="10"/>
  <c r="M60" i="10"/>
  <c r="M62" i="10" s="1"/>
  <c r="P4" i="13" l="1"/>
  <c r="N59" i="10"/>
  <c r="N61" i="10" s="1"/>
  <c r="O58" i="10"/>
  <c r="N60" i="10"/>
  <c r="N62" i="10" s="1"/>
  <c r="Q4" i="13" l="1"/>
  <c r="P58" i="10"/>
  <c r="O60" i="10"/>
  <c r="O62" i="10" s="1"/>
  <c r="O59" i="10"/>
  <c r="O61" i="10" s="1"/>
  <c r="R4" i="13" l="1"/>
  <c r="Q58" i="10"/>
  <c r="P60" i="10"/>
  <c r="P62" i="10" s="1"/>
  <c r="P59" i="10"/>
  <c r="P61" i="10" s="1"/>
  <c r="S4" i="13" l="1"/>
  <c r="R58" i="10"/>
  <c r="Q59" i="10"/>
  <c r="Q61" i="10" s="1"/>
  <c r="Q60" i="10"/>
  <c r="Q62" i="10" s="1"/>
  <c r="T4" i="13" l="1"/>
  <c r="S58" i="10"/>
  <c r="R59" i="10"/>
  <c r="R61" i="10" s="1"/>
  <c r="R60" i="10"/>
  <c r="R62" i="10" s="1"/>
  <c r="U4" i="13" l="1"/>
  <c r="T58" i="10"/>
  <c r="S59" i="10"/>
  <c r="S61" i="10" s="1"/>
  <c r="S60" i="10"/>
  <c r="S62" i="10" s="1"/>
  <c r="V4" i="13" l="1"/>
  <c r="T59" i="10"/>
  <c r="T61" i="10" s="1"/>
  <c r="T60" i="10"/>
  <c r="T62" i="10" s="1"/>
  <c r="U58" i="10"/>
  <c r="W4" i="13" l="1"/>
  <c r="U60" i="10"/>
  <c r="U62" i="10" s="1"/>
  <c r="U59" i="10"/>
  <c r="U61" i="10" s="1"/>
  <c r="V58" i="10"/>
  <c r="X4" i="13" l="1"/>
  <c r="V60" i="10"/>
  <c r="V62" i="10" s="1"/>
  <c r="V59" i="10"/>
  <c r="V61" i="10" s="1"/>
  <c r="W58" i="10"/>
  <c r="Y4" i="13" l="1"/>
  <c r="W60" i="10"/>
  <c r="W62" i="10" s="1"/>
  <c r="X58" i="10"/>
  <c r="W59" i="10"/>
  <c r="W61" i="10" s="1"/>
  <c r="Z4" i="13" l="1"/>
  <c r="Y58" i="10"/>
  <c r="X60" i="10"/>
  <c r="X62" i="10" s="1"/>
  <c r="X59" i="10"/>
  <c r="X61" i="10" s="1"/>
  <c r="AB4" i="13" l="1"/>
  <c r="AA4" i="13"/>
  <c r="Y60" i="10"/>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<sst xmlns="http://schemas.openxmlformats.org/spreadsheetml/2006/main" count="2078" uniqueCount="1001">
  <si>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</si>
  <si>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</si>
  <si>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</si>
  <si>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</si>
  <si>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</si>
  <si>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</si>
  <si>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</si>
  <si>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</si>
  <si>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</si>
  <si>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</si>
  <si>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</si>
  <si>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</si>
  <si>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</si>
  <si>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</si>
  <si>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</si>
  <si>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</si>
  <si>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</si>
  <si>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</si>
  <si>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</si>
  <si>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</si>
  <si>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</si>
  <si>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</si>
  <si>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</si>
  <si>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</si>
  <si>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</si>
  <si>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</si>
  <si>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</si>
  <si>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</si>
  <si>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</si>
  <si>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</si>
  <si>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</si>
  <si>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</si>
  <si>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</si>
  <si>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</si>
  <si>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</si>
  <si>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</si>
  <si>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</si>
  <si>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</si>
  <si>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</si>
  <si>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</si>
  <si>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</si>
  <si>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</si>
  <si>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</si>
  <si>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</si>
  <si>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</si>
  <si>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</si>
  <si>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</si>
  <si>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</si>
  <si>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</si>
  <si>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</si>
  <si>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</si>
  <si>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</si>
  <si>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</si>
  <si>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</si>
  <si>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</si>
  <si>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</si>
  <si>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</si>
  <si>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</si>
  <si>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</si>
  <si>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</si>
  <si>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</si>
  <si>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</si>
  <si>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</si>
  <si>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</si>
  <si>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</si>
  <si>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</si>
  <si>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</si>
  <si>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</si>
  <si>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</si>
  <si>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</si>
  <si>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</si>
  <si>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</si>
  <si>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</si>
  <si>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</si>
  <si>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</si>
  <si>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</si>
  <si>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</si>
  <si>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</si>
  <si>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</si>
  <si>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</si>
  <si>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</si>
  <si>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</si>
  <si>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</si>
  <si>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</si>
  <si>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</si>
  <si>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</si>
  <si>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</si>
  <si>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</si>
  <si>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</si>
  <si>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</si>
  <si>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</si>
  <si>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</si>
  <si>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</si>
  <si>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</si>
  <si>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</si>
  <si>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</si>
  <si>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</si>
  <si>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</si>
  <si>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</si>
  <si>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</si>
  <si>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</si>
  <si>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</si>
  <si>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</si>
  <si>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</si>
  <si>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</si>
  <si>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</si>
  <si>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</si>
  <si>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</si>
  <si>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</si>
  <si>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</si>
  <si>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</si>
  <si>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</si>
  <si>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</si>
  <si>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</si>
  <si>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</si>
  <si>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</si>
  <si>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</si>
  <si>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</si>
  <si>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</si>
  <si>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</si>
  <si>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</si>
  <si>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</si>
  <si>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</si>
  <si>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</si>
  <si>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</si>
  <si>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</si>
  <si>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</si>
  <si>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</si>
  <si>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</si>
  <si>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</si>
  <si>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</si>
  <si>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</si>
  <si>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</si>
  <si>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</si>
  <si>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</si>
  <si>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</si>
  <si>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</si>
  <si>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</si>
  <si>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</si>
  <si>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</si>
  <si>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</si>
  <si>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</si>
  <si>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</si>
  <si>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</si>
  <si>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</si>
  <si>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</si>
  <si>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</si>
  <si>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</si>
  <si>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</si>
  <si>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</si>
  <si>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</si>
  <si>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</si>
  <si>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</si>
  <si>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</si>
  <si>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</si>
  <si>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</si>
  <si>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</si>
  <si>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</si>
  <si>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</si>
  <si>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</si>
  <si>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</si>
  <si>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</si>
  <si>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</si>
  <si>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</si>
  <si>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</si>
  <si>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</si>
  <si>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</si>
  <si>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</si>
  <si>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</si>
  <si>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</si>
  <si>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</si>
  <si>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</si>
  <si>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</si>
  <si>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</si>
  <si>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</si>
  <si>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</si>
  <si>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</si>
  <si>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</si>
  <si>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</si>
  <si>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</si>
  <si>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</si>
  <si>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</si>
  <si>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</si>
  <si>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</si>
  <si>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</si>
  <si>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</si>
  <si>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</si>
  <si>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</si>
  <si>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</si>
  <si>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</si>
  <si>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</si>
  <si>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</si>
  <si>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</si>
  <si>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</si>
  <si>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</si>
  <si>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</si>
  <si>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</si>
  <si>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</si>
  <si>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</si>
  <si>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</si>
  <si>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</si>
  <si>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</si>
  <si>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</si>
  <si>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</si>
  <si>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</si>
  <si>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</si>
  <si>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</si>
  <si>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</si>
  <si>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</si>
  <si>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</si>
  <si>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</si>
  <si>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</si>
  <si>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</si>
  <si>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</si>
  <si>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</si>
  <si>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</si>
  <si>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</si>
  <si>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</si>
  <si>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</si>
  <si>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</si>
  <si>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</si>
  <si>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</si>
  <si>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</si>
  <si>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</si>
  <si>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</si>
  <si>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</si>
  <si>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</si>
  <si>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</si>
  <si>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</si>
  <si>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</si>
  <si>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</si>
  <si>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</si>
  <si>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</si>
  <si>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</si>
  <si>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</si>
  <si>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</si>
  <si>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</si>
  <si>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</si>
  <si>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</si>
  <si>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</si>
  <si>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</si>
  <si>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</si>
  <si>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</si>
  <si>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</si>
  <si>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</si>
  <si>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</si>
  <si>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</si>
  <si>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</si>
  <si>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</si>
  <si>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</si>
  <si>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</si>
  <si>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</si>
  <si>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</si>
  <si>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</si>
  <si>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</si>
  <si>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</si>
  <si>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</si>
  <si>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</si>
  <si>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</si>
  <si>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</si>
  <si>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</si>
  <si>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</si>
  <si>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</si>
  <si>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</si>
  <si>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</si>
  <si>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</si>
  <si>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</si>
  <si>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</si>
  <si>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</si>
  <si>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</si>
  <si>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</si>
  <si>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</si>
  <si>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</si>
  <si>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</si>
  <si>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</si>
  <si>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</si>
  <si>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</si>
  <si>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</si>
  <si>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</si>
  <si>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</si>
  <si>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</si>
  <si>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</si>
  <si>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</si>
  <si>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</si>
  <si>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</si>
  <si>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</si>
  <si>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</si>
  <si>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</si>
  <si>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</si>
  <si>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</si>
  <si>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</si>
  <si>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</si>
  <si>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</si>
  <si>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</si>
  <si>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</si>
  <si>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</si>
  <si>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</si>
  <si>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</si>
  <si>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</si>
  <si>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</si>
  <si>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</si>
  <si>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</si>
  <si>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</si>
  <si>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</si>
  <si>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</si>
  <si>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</si>
  <si>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</si>
  <si>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</si>
  <si>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</si>
  <si>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</si>
  <si>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</si>
  <si>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</si>
  <si>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</si>
  <si>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</si>
  <si>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</si>
  <si>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</si>
  <si>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</si>
  <si>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</si>
  <si>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</si>
  <si>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</si>
  <si>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</si>
  <si>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</si>
  <si>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</si>
  <si>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</si>
  <si>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</si>
  <si>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</si>
  <si>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</si>
  <si>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</si>
  <si>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</si>
  <si>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</si>
  <si>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</si>
  <si>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</si>
  <si>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</si>
  <si>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</si>
  <si>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</si>
  <si>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</si>
  <si>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</si>
  <si>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</si>
  <si>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</si>
  <si>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</si>
  <si>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</si>
  <si>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</si>
  <si>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</si>
  <si>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</si>
  <si>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</si>
  <si>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</si>
  <si>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</si>
  <si>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</si>
  <si>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</si>
  <si>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</si>
  <si>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</si>
  <si>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</si>
  <si>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</si>
  <si>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</si>
  <si>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</si>
  <si>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</si>
  <si>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</si>
  <si>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</si>
  <si>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</si>
  <si>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</si>
  <si>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</si>
  <si>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</si>
  <si>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</si>
  <si>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</si>
  <si>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</si>
  <si>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</si>
  <si>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</si>
  <si>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</si>
  <si>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</si>
  <si>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</si>
  <si>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</si>
  <si>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</si>
  <si>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</si>
  <si>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</si>
  <si>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</si>
  <si>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</si>
  <si>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</si>
  <si>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</si>
  <si>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</si>
  <si>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</si>
  <si>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</si>
  <si>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</si>
  <si>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</si>
  <si>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</si>
  <si>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</si>
  <si>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</si>
  <si>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</si>
  <si>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</si>
  <si>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</si>
  <si>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</si>
  <si>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</si>
  <si>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</si>
  <si>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</si>
  <si>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</si>
  <si>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</si>
  <si>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</si>
  <si>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</si>
  <si>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</si>
  <si>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</si>
  <si>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</si>
  <si>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</si>
  <si>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</si>
  <si>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</si>
  <si>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</si>
  <si>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</si>
  <si>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</si>
  <si>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</si>
  <si>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</si>
  <si>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</si>
  <si>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</si>
  <si>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</si>
  <si>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</si>
  <si>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</si>
  <si>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</si>
  <si>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</si>
  <si>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</si>
  <si>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</si>
  <si>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</si>
  <si>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</si>
  <si>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</si>
  <si>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</si>
  <si>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</si>
  <si>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</si>
  <si>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</si>
  <si>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</si>
  <si>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</si>
  <si>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</si>
  <si>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</si>
  <si>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</si>
  <si>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</si>
  <si>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</si>
  <si>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</si>
  <si>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</si>
  <si>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</si>
  <si>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</si>
  <si>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</si>
  <si>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</si>
  <si>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</si>
  <si>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</si>
  <si>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</si>
  <si>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</si>
  <si>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</si>
  <si>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</si>
  <si>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</si>
  <si>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</si>
  <si>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</si>
  <si>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</si>
  <si>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</si>
  <si>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</si>
  <si>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</si>
  <si>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</si>
  <si>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</si>
  <si>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</si>
  <si>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</si>
  <si>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</si>
  <si>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</si>
  <si>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</si>
  <si>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</si>
  <si>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</si>
  <si>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</si>
  <si>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</si>
  <si>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</si>
  <si>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</si>
  <si>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</si>
  <si>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</si>
  <si>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</si>
  <si>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</si>
  <si>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</si>
  <si>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</si>
  <si>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</si>
  <si>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</si>
  <si>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</si>
  <si>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</si>
  <si>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</si>
  <si>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</si>
  <si>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</si>
  <si>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</si>
  <si>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</si>
  <si>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</si>
  <si>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</si>
  <si>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</si>
  <si>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</si>
  <si>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</si>
  <si>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</si>
  <si>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</si>
  <si>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</si>
  <si>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</si>
  <si>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</si>
  <si>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</si>
  <si>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</si>
  <si>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</si>
  <si>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</si>
  <si>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</si>
  <si>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</si>
  <si>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</si>
  <si>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</si>
  <si>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</si>
  <si>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</si>
  <si>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</si>
  <si>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</si>
  <si>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</si>
  <si>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</si>
  <si>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</si>
  <si>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</si>
  <si>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</si>
  <si>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</si>
  <si>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</si>
  <si>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</si>
  <si>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</si>
  <si>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</si>
  <si>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</si>
  <si>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</si>
  <si>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</si>
  <si>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</si>
  <si>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</si>
  <si>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</si>
  <si>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</si>
  <si>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</si>
  <si>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</si>
  <si>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</si>
  <si>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</si>
  <si>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</si>
  <si>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</si>
  <si>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</si>
  <si>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</si>
  <si>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</si>
  <si>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</si>
  <si>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</si>
  <si>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</si>
  <si>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</si>
  <si>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</si>
  <si>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</si>
  <si>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</si>
  <si>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</si>
  <si>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</si>
  <si>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</si>
  <si>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</si>
  <si>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</si>
  <si>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</si>
  <si>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</si>
  <si>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</si>
  <si>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</si>
  <si>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</si>
  <si>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</si>
  <si>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</si>
  <si>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</si>
  <si>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</si>
  <si>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</si>
  <si>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</si>
  <si>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</si>
  <si>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</si>
  <si>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</si>
  <si>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</si>
  <si>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</si>
  <si>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</si>
  <si>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</si>
  <si>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</si>
  <si>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</si>
  <si>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</si>
  <si>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</si>
  <si>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</si>
  <si>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</si>
  <si>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</si>
  <si>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</si>
  <si>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</si>
  <si>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</si>
  <si>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</si>
  <si>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</si>
  <si>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</si>
  <si>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</si>
  <si>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</si>
  <si>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</si>
  <si>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</si>
  <si>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</si>
  <si>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</si>
  <si>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</si>
  <si>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</si>
  <si>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</si>
  <si>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</si>
  <si>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</si>
  <si>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</si>
  <si>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</si>
  <si>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</si>
  <si>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</si>
  <si>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</si>
  <si>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</si>
  <si>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</si>
  <si>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</si>
  <si>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</si>
  <si>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</si>
  <si>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</si>
  <si>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</si>
  <si>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</si>
  <si>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</si>
  <si>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</si>
  <si>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</si>
  <si>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</si>
  <si>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</si>
  <si>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</si>
  <si>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</si>
  <si>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</si>
  <si>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</si>
  <si>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</si>
  <si>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</si>
  <si>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</si>
  <si>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</si>
  <si>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</si>
  <si>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</si>
  <si>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</si>
  <si>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</si>
  <si>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</si>
  <si>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</si>
  <si>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</si>
  <si>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</si>
  <si>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</si>
  <si>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</si>
  <si>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</si>
  <si>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</si>
  <si>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</si>
  <si>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</si>
  <si>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</si>
  <si>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</si>
  <si>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</si>
  <si>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</si>
  <si>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</si>
  <si>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</si>
  <si>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</si>
  <si>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</si>
  <si>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</si>
  <si>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</si>
  <si>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</si>
  <si>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</si>
  <si>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</si>
  <si>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</si>
  <si>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</si>
  <si>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</si>
  <si>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</si>
  <si>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</si>
  <si>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</si>
  <si>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</si>
  <si>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</si>
  <si>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</si>
  <si>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</si>
  <si>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</si>
  <si>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</si>
  <si>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</si>
  <si>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</si>
  <si>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</si>
  <si>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</si>
  <si>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</si>
  <si>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</si>
  <si>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</si>
  <si>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</si>
  <si>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</si>
  <si>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</si>
  <si>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</si>
  <si>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</si>
  <si>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</si>
  <si>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</si>
  <si>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</si>
  <si>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</si>
  <si>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</si>
  <si>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</si>
  <si>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</si>
  <si>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</si>
  <si>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</si>
  <si>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</si>
  <si>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</si>
  <si>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</si>
  <si>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</si>
  <si>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</si>
  <si>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</si>
  <si>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</si>
  <si>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</si>
  <si>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</si>
  <si>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</si>
  <si>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</si>
  <si>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</si>
  <si>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</si>
  <si>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</si>
  <si>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</si>
  <si>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</si>
  <si>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</si>
  <si>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</si>
  <si>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</si>
  <si>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</si>
  <si>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</si>
  <si>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</si>
  <si>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</si>
  <si>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</si>
  <si>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</si>
  <si>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</si>
  <si>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</si>
  <si>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</si>
  <si>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</si>
  <si>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</si>
  <si>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</si>
  <si>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</si>
  <si>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</si>
  <si>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</si>
  <si>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</si>
  <si>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</si>
  <si>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</si>
  <si>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</si>
  <si>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</si>
  <si>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</si>
  <si>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</si>
  <si>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</si>
  <si>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</si>
  <si>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</si>
  <si>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</si>
  <si>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</si>
  <si>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</si>
  <si>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</si>
  <si>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</si>
  <si>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</si>
  <si>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</si>
  <si>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</si>
  <si>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</si>
  <si>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</si>
  <si>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</si>
  <si>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</si>
  <si>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</si>
  <si>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</si>
  <si>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</si>
  <si>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</si>
  <si>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</si>
  <si>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</si>
  <si>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</si>
  <si>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</si>
  <si>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</si>
  <si>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</si>
  <si>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</si>
  <si>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</si>
  <si>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</si>
  <si>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</si>
  <si>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</si>
  <si>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</si>
  <si>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</si>
  <si>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</si>
  <si>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</si>
  <si>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</si>
  <si>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</si>
  <si>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</si>
  <si>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</si>
  <si>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</si>
  <si>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</si>
  <si>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</si>
  <si>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</si>
  <si>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</si>
  <si>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</si>
  <si>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</si>
  <si>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</si>
  <si>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</si>
  <si>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</si>
  <si>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</si>
  <si>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</si>
  <si>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</si>
  <si>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</si>
  <si>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</si>
  <si>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</si>
  <si>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</si>
  <si>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</si>
  <si>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</si>
  <si>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</si>
  <si>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</si>
  <si>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</si>
  <si>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</si>
  <si>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</si>
  <si>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</si>
  <si>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</si>
  <si>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</si>
  <si>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</si>
  <si>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</si>
  <si>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</si>
  <si>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</si>
  <si>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</si>
  <si>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</si>
  <si>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</si>
  <si>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</si>
  <si>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</si>
  <si>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</si>
  <si>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</si>
  <si>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</si>
  <si>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</si>
  <si>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</si>
  <si>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</si>
  <si>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</si>
  <si>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</si>
  <si>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</si>
  <si>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</si>
  <si>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</si>
  <si>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</si>
  <si>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</si>
  <si>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</si>
  <si>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</si>
  <si>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</si>
  <si>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</si>
  <si>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</si>
  <si>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</si>
  <si>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</si>
  <si>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</si>
  <si>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</si>
  <si>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</si>
  <si>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</si>
  <si>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</si>
  <si>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</si>
  <si>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</si>
  <si>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</si>
  <si>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</si>
  <si>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</si>
  <si>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</si>
  <si>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</si>
  <si>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</si>
  <si>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</si>
  <si>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</si>
  <si>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</si>
  <si>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</si>
  <si>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</si>
  <si>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</si>
  <si>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</si>
  <si>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</si>
  <si>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</si>
  <si>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</si>
  <si>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</si>
  <si>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</si>
  <si>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</si>
  <si>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</si>
  <si>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</si>
  <si>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</si>
  <si>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</si>
  <si>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</si>
  <si>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</si>
  <si>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</si>
  <si>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</si>
  <si>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</si>
  <si>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</si>
  <si>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</si>
  <si>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</si>
  <si>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</si>
  <si>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</si>
  <si>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</si>
  <si>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</si>
  <si>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</si>
  <si>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</si>
  <si>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</si>
  <si>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</si>
  <si>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</si>
  <si>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</si>
  <si>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</si>
  <si>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</si>
  <si>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</si>
  <si>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</si>
  <si>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</si>
  <si>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</si>
  <si>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</si>
  <si>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</si>
  <si>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</si>
  <si>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</si>
  <si>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</si>
  <si>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</si>
  <si>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</si>
  <si>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</si>
  <si>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</si>
  <si>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</si>
  <si>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</si>
  <si>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</si>
  <si>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</si>
  <si>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</si>
  <si>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</si>
  <si>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</si>
  <si>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</si>
  <si>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</si>
  <si>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</si>
  <si>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</si>
  <si>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</si>
  <si>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</si>
  <si>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</si>
  <si>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</si>
  <si>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</si>
  <si>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</si>
  <si>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</si>
  <si>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</si>
  <si>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</si>
  <si>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</si>
  <si>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</si>
  <si>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</si>
  <si>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</si>
  <si>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</si>
  <si>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</si>
  <si>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</si>
  <si>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</si>
  <si>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</si>
  <si>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</si>
  <si>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</si>
  <si>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</si>
  <si>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</si>
  <si>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</si>
  <si>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</si>
  <si>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</si>
  <si>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</si>
  <si>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</si>
  <si>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</si>
  <si>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</si>
  <si>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</si>
  <si>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</si>
  <si>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</si>
  <si>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</si>
  <si>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</si>
  <si>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</si>
  <si>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</si>
  <si>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</si>
  <si>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</si>
  <si>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</si>
  <si>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</si>
  <si>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</si>
  <si>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</si>
  <si>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</si>
  <si>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</si>
  <si>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</si>
  <si>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</si>
  <si>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</si>
  <si>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</si>
  <si>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</si>
  <si>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</si>
  <si>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</si>
  <si>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</si>
  <si>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</si>
  <si>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</si>
  <si>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</si>
  <si>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</si>
  <si>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</si>
  <si>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</si>
  <si>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</si>
  <si>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</si>
  <si>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</si>
  <si>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</si>
  <si>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</si>
  <si>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</si>
  <si>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</si>
  <si>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</si>
  <si>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</si>
  <si>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</si>
  <si>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</si>
  <si>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</si>
  <si>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</si>
  <si>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</si>
  <si>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</si>
  <si>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</si>
  <si>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</si>
  <si>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</si>
  <si>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</si>
  <si>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</si>
  <si>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</si>
  <si>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</si>
  <si>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</si>
  <si>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</si>
  <si>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</si>
  <si>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</si>
  <si>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</si>
  <si>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</si>
  <si>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</si>
  <si>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</si>
  <si>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</si>
  <si>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</si>
  <si>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</si>
  <si>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</si>
  <si>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</si>
  <si>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</si>
  <si>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</si>
  <si>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</si>
  <si>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</si>
  <si>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</si>
  <si>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</si>
  <si>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</si>
  <si>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</si>
  <si>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</si>
  <si>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Behind-the-meter Data Center Gas Plants</t>
  </si>
  <si>
    <r>
      <t>Table 3.</t>
    </r>
    <r>
      <rPr>
        <sz val="13.5"/>
        <color rgb="FF161400"/>
        <rFont val="Arial"/>
        <family val="2"/>
      </rPr>
      <t> Overall Behind-the-Meter Effective Capacity Growth by Region Out to 2030 (GW)</t>
    </r>
  </si>
  <si>
    <t>Actual</t>
  </si>
  <si>
    <t>Forecast</t>
  </si>
  <si>
    <t>ISO regions</t>
  </si>
  <si>
    <t>CAISO</t>
  </si>
  <si>
    <t>ERCOT</t>
  </si>
  <si>
    <t>NE-ISO</t>
  </si>
  <si>
    <t>MISO</t>
  </si>
  <si>
    <t>NY-ISO</t>
  </si>
  <si>
    <t>PJM</t>
  </si>
  <si>
    <t>SPP</t>
  </si>
  <si>
    <t>Non-ISO regions</t>
  </si>
  <si>
    <t>Annual incremental</t>
  </si>
  <si>
    <t>—</t>
  </si>
  <si>
    <t>RAND has estimated the behind the meter capacity to support data centers through 2030.</t>
  </si>
  <si>
    <t>We assume 100% of this gas.</t>
  </si>
  <si>
    <t>We add this forecasted capacity to AEO forecasts, which isn't capturing this trend</t>
  </si>
  <si>
    <t>RAND</t>
  </si>
  <si>
    <t>https://www.rand.org/pubs/research_briefs/RBA3845-1.html</t>
  </si>
  <si>
    <t>How Much More Power Can the U.S. Grid Provide for AI?</t>
  </si>
  <si>
    <t>urban residential</t>
  </si>
  <si>
    <t>rural residential</t>
  </si>
  <si>
    <t>SYDEC Start Year Distributed Electricity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</si>
</sst>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30"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
      <sz val="13.5"/>
      <color rgb="FF161400"/>
      <name val="Arial"/>
      <family val="2"/>
    </font>
    <font>
      <b/>
      <sz val="13.5"/>
      <color rgb="FF2D2B19"/>
      <name val="Arial"/>
      <family val="2"/>
    </font>
    <font>
      <b/>
      <sz val="11"/>
      <color rgb="FF2D2B19"/>
      <name val="Arial"/>
      <family val="2"/>
    </font>
    <font>
      <sz val="11"/>
      <color rgb="FF2D2B19"/>
      <name val="Arial"/>
      <family val="2"/>
    </font>
  </fonts>
  <fills count="21">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9.9978637043366805E-2"/>
        <bgColor indexed="64"/>
      </patternFill>
    </fill>
    <fill>
      <patternFill patternType="solid">
        <fgColor theme="2" tint="-0.249977111117893"/>
        <bgColor indexed="64"/>
      </patternFill>
    </fill>
  </fills>
  <borders count="24">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ck">
        <color rgb="FF2D2B19"/>
      </bottom>
      <diagonal/>
    </border>
    <border>
      <left/>
      <right style="medium">
        <color rgb="FFD0D0CC"/>
      </right>
      <top/>
      <bottom style="thick">
        <color rgb="FF2D2B19"/>
      </bottom>
      <diagonal/>
    </border>
    <border>
      <left/>
      <right style="medium">
        <color rgb="FFD0D0CC"/>
      </right>
      <top/>
      <bottom style="medium">
        <color rgb="FFD0D0CC"/>
      </bottom>
      <diagonal/>
    </border>
    <border>
      <left/>
      <right/>
      <top/>
      <bottom style="medium">
        <color rgb="FFD0D0CC"/>
      </bottom>
      <diagonal/>
    </border>
    <border>
      <left style="medium">
        <color rgb="FFD0D0CC"/>
      </left>
      <right/>
      <top/>
      <bottom style="thick">
        <color rgb="FF2D2B19"/>
      </bottom>
      <diagonal/>
    </border>
    <border>
      <left/>
      <right/>
      <top style="thick">
        <color rgb="FF2D2B19"/>
      </top>
      <bottom style="medium">
        <color rgb="FFD0D0CC"/>
      </bottom>
      <diagonal/>
    </border>
    <border>
      <left/>
      <right style="medium">
        <color rgb="FFD0D0CC"/>
      </right>
      <top style="thick">
        <color rgb="FF2D2B19"/>
      </top>
      <bottom style="medium">
        <color rgb="FFD0D0CC"/>
      </bottom>
      <diagonal/>
    </border>
    <border>
      <left style="medium">
        <color rgb="FFD0D0CC"/>
      </left>
      <right/>
      <top style="thick">
        <color rgb="FF2D2B19"/>
      </top>
      <bottom style="medium">
        <color rgb="FFD0D0CC"/>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99">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0" fillId="19" borderId="0" xfId="0" applyFill="1"/>
    <xf numFmtId="0" fontId="27" fillId="0" borderId="0" xfId="0" applyFont="1" applyAlignment="1">
      <alignment vertical="center"/>
    </xf>
    <xf numFmtId="0" fontId="28" fillId="16" borderId="16" xfId="0" applyFont="1" applyFill="1" applyBorder="1" applyAlignment="1">
      <alignment horizontal="right" wrapText="1"/>
    </xf>
    <xf numFmtId="0" fontId="28" fillId="16" borderId="17" xfId="0" applyFont="1" applyFill="1" applyBorder="1" applyAlignment="1">
      <alignment horizontal="right" wrapText="1"/>
    </xf>
    <xf numFmtId="0" fontId="29" fillId="16" borderId="19" xfId="0" applyFont="1" applyFill="1" applyBorder="1" applyAlignment="1">
      <alignment horizontal="left" vertical="top" wrapText="1"/>
    </xf>
    <xf numFmtId="0" fontId="29" fillId="16" borderId="19" xfId="0" applyFont="1" applyFill="1" applyBorder="1" applyAlignment="1">
      <alignment horizontal="right" vertical="top" wrapText="1"/>
    </xf>
    <xf numFmtId="0" fontId="29" fillId="16" borderId="18" xfId="0" applyFont="1" applyFill="1" applyBorder="1" applyAlignment="1">
      <alignment horizontal="right" vertical="top" wrapText="1"/>
    </xf>
    <xf numFmtId="0" fontId="28" fillId="16" borderId="19" xfId="0" applyFont="1" applyFill="1" applyBorder="1" applyAlignment="1">
      <alignment horizontal="left" vertical="top" wrapText="1"/>
    </xf>
    <xf numFmtId="0" fontId="22" fillId="16" borderId="0" xfId="0" applyFont="1" applyFill="1" applyAlignment="1">
      <alignment horizontal="left" wrapText="1"/>
    </xf>
    <xf numFmtId="0" fontId="25" fillId="16" borderId="0" xfId="0" applyFont="1" applyFill="1" applyAlignment="1">
      <alignment horizontal="left" wrapText="1"/>
    </xf>
    <xf numFmtId="0" fontId="24" fillId="18" borderId="14" xfId="0" applyFont="1" applyFill="1" applyBorder="1" applyAlignment="1">
      <alignment horizontal="center" wrapText="1"/>
    </xf>
    <xf numFmtId="0" fontId="24" fillId="18" borderId="15" xfId="0" applyFont="1" applyFill="1" applyBorder="1" applyAlignment="1">
      <alignment horizontal="center" wrapText="1"/>
    </xf>
    <xf numFmtId="0" fontId="24" fillId="18" borderId="13" xfId="0" applyFont="1" applyFill="1" applyBorder="1" applyAlignment="1">
      <alignment horizontal="center"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28" fillId="16" borderId="0" xfId="0" applyFont="1" applyFill="1" applyAlignment="1">
      <alignment horizontal="left" wrapText="1"/>
    </xf>
    <xf numFmtId="0" fontId="28" fillId="16" borderId="16" xfId="0" applyFont="1" applyFill="1" applyBorder="1" applyAlignment="1">
      <alignment horizontal="left" wrapText="1"/>
    </xf>
    <xf numFmtId="0" fontId="28" fillId="16" borderId="16" xfId="0" applyFont="1" applyFill="1" applyBorder="1" applyAlignment="1">
      <alignment horizontal="center" wrapText="1"/>
    </xf>
    <xf numFmtId="0" fontId="28" fillId="16" borderId="17" xfId="0" applyFont="1" applyFill="1" applyBorder="1" applyAlignment="1">
      <alignment horizontal="center" wrapText="1"/>
    </xf>
    <xf numFmtId="0" fontId="28" fillId="16" borderId="20" xfId="0" applyFont="1" applyFill="1" applyBorder="1" applyAlignment="1">
      <alignment horizontal="center" wrapText="1"/>
    </xf>
    <xf numFmtId="0" fontId="29" fillId="16" borderId="21" xfId="0" applyFont="1" applyFill="1" applyBorder="1" applyAlignment="1">
      <alignment horizontal="left" vertical="top" wrapText="1"/>
    </xf>
    <xf numFmtId="0" fontId="29" fillId="16" borderId="22" xfId="0" applyFont="1" applyFill="1" applyBorder="1" applyAlignment="1">
      <alignment horizontal="left" vertical="top" wrapText="1"/>
    </xf>
    <xf numFmtId="0" fontId="29" fillId="16" borderId="23" xfId="0" applyFont="1" applyFill="1" applyBorder="1" applyAlignment="1">
      <alignment horizontal="right" vertical="top" wrapText="1"/>
    </xf>
    <xf numFmtId="0" fontId="29" fillId="16" borderId="21" xfId="0" applyFont="1" applyFill="1" applyBorder="1" applyAlignment="1">
      <alignment horizontal="right" vertical="top" wrapText="1"/>
    </xf>
    <xf numFmtId="0" fontId="0" fillId="0" borderId="0" xfId="0" applyAlignment="1">
      <alignment horizontal="right"/>
    </xf>
    <xf numFmtId="0" fontId="0" fillId="20" borderId="0" xfId="0" applyFill="1"/>
    <xf numFmtId="1" fontId="0" fillId="20" borderId="0" xfId="0" applyNumberFormat="1" applyFill="1"/>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7"/>
  <sheetViews>
    <sheetView tabSelected="1" workbookViewId="0">
      <selection activeCell="A2" sqref="A2"/>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1000</v>
      </c>
    </row>
    <row r="3" spans="1:4" x14ac:dyDescent="0.25">
      <c r="A3" s="1" t="s">
        <v>0</v>
      </c>
      <c r="B3" s="3" t="s">
        <v>1</v>
      </c>
      <c r="D3" s="3" t="s">
        <v>882</v>
      </c>
    </row>
    <row r="4" spans="1:4" x14ac:dyDescent="0.25">
      <c r="B4" t="s">
        <v>878</v>
      </c>
      <c r="D4" t="s">
        <v>883</v>
      </c>
    </row>
    <row r="5" spans="1:4" x14ac:dyDescent="0.25">
      <c r="B5" s="2">
        <v>2026</v>
      </c>
      <c r="D5" s="2">
        <v>2026</v>
      </c>
    </row>
    <row r="6" spans="1:4" x14ac:dyDescent="0.25">
      <c r="B6" t="s">
        <v>879</v>
      </c>
      <c r="D6" t="s">
        <v>884</v>
      </c>
    </row>
    <row r="7" spans="1:4" x14ac:dyDescent="0.25">
      <c r="B7" t="s">
        <v>880</v>
      </c>
      <c r="D7" t="s">
        <v>885</v>
      </c>
    </row>
    <row r="8" spans="1:4" x14ac:dyDescent="0.25">
      <c r="B8" t="s">
        <v>3</v>
      </c>
      <c r="D8" t="s">
        <v>881</v>
      </c>
    </row>
    <row r="9" spans="1:4" x14ac:dyDescent="0.25">
      <c r="B9" t="s">
        <v>4</v>
      </c>
    </row>
    <row r="12" spans="1:4" x14ac:dyDescent="0.25">
      <c r="B12" s="3" t="s">
        <v>5</v>
      </c>
      <c r="D12" s="3" t="s">
        <v>959</v>
      </c>
    </row>
    <row r="13" spans="1:4" x14ac:dyDescent="0.25">
      <c r="B13" t="s">
        <v>2</v>
      </c>
      <c r="D13" t="s">
        <v>960</v>
      </c>
    </row>
    <row r="14" spans="1:4" x14ac:dyDescent="0.25">
      <c r="B14" s="2">
        <v>2020</v>
      </c>
      <c r="D14" s="2">
        <v>2026</v>
      </c>
    </row>
    <row r="15" spans="1:4" x14ac:dyDescent="0.25">
      <c r="B15" t="s">
        <v>6</v>
      </c>
      <c r="D15" t="s">
        <v>961</v>
      </c>
    </row>
    <row r="16" spans="1:4" x14ac:dyDescent="0.25">
      <c r="B16" s="18" t="s">
        <v>7</v>
      </c>
      <c r="D16" t="s">
        <v>963</v>
      </c>
    </row>
    <row r="17" spans="1:4" x14ac:dyDescent="0.25">
      <c r="B17" s="18" t="s">
        <v>8</v>
      </c>
      <c r="D17" t="s">
        <v>962</v>
      </c>
    </row>
    <row r="18" spans="1:4" x14ac:dyDescent="0.25">
      <c r="B18" t="s">
        <v>9</v>
      </c>
    </row>
    <row r="20" spans="1:4" x14ac:dyDescent="0.25">
      <c r="B20" s="3" t="s">
        <v>977</v>
      </c>
    </row>
    <row r="21" spans="1:4" x14ac:dyDescent="0.25">
      <c r="B21" t="s">
        <v>995</v>
      </c>
    </row>
    <row r="22" spans="1:4" x14ac:dyDescent="0.25">
      <c r="B22" s="2">
        <v>2026</v>
      </c>
    </row>
    <row r="23" spans="1:4" x14ac:dyDescent="0.25">
      <c r="B23" t="s">
        <v>997</v>
      </c>
    </row>
    <row r="24" spans="1:4" x14ac:dyDescent="0.25">
      <c r="B24" s="18" t="s">
        <v>996</v>
      </c>
    </row>
    <row r="27" spans="1:4" x14ac:dyDescent="0.25">
      <c r="A27" s="1" t="s">
        <v>10</v>
      </c>
    </row>
    <row r="28" spans="1:4" x14ac:dyDescent="0.25">
      <c r="A28" t="s">
        <v>11</v>
      </c>
    </row>
    <row r="29" spans="1:4" x14ac:dyDescent="0.25">
      <c r="A29" t="s">
        <v>12</v>
      </c>
    </row>
    <row r="30" spans="1:4" x14ac:dyDescent="0.25">
      <c r="A30" t="s">
        <v>13</v>
      </c>
    </row>
    <row r="31" spans="1:4" x14ac:dyDescent="0.25">
      <c r="A31" s="1" t="s">
        <v>14</v>
      </c>
    </row>
    <row r="32" spans="1:4" x14ac:dyDescent="0.25">
      <c r="A32" s="8">
        <f>'RECS HC2.1'!B24/SUM('RECS HC2.1'!B24,'RECS HC2.1'!B27)</f>
        <v>0.81308184246741677</v>
      </c>
      <c r="B32" t="s">
        <v>15</v>
      </c>
    </row>
    <row r="33" spans="1:6" x14ac:dyDescent="0.25">
      <c r="A33" s="8">
        <f>'RECS HC2.1'!B27/SUM('RECS HC2.1'!B24,'RECS HC2.1'!B27)</f>
        <v>0.18691815753258317</v>
      </c>
      <c r="B33" t="s">
        <v>16</v>
      </c>
    </row>
    <row r="35" spans="1:6" ht="30" x14ac:dyDescent="0.25">
      <c r="A35" s="10" t="s">
        <v>17</v>
      </c>
      <c r="B35">
        <f>10^6</f>
        <v>1000000</v>
      </c>
      <c r="C35" s="11"/>
      <c r="D35" s="12"/>
      <c r="E35" s="13"/>
    </row>
    <row r="36" spans="1:6" x14ac:dyDescent="0.25">
      <c r="A36" t="s">
        <v>18</v>
      </c>
      <c r="B36">
        <v>1000</v>
      </c>
      <c r="F36" s="13"/>
    </row>
    <row r="39" spans="1:6" x14ac:dyDescent="0.25">
      <c r="A39" s="1" t="s">
        <v>972</v>
      </c>
    </row>
    <row r="40" spans="1:6" x14ac:dyDescent="0.25">
      <c r="A40" t="s">
        <v>971</v>
      </c>
    </row>
    <row r="41" spans="1:6" x14ac:dyDescent="0.25">
      <c r="A41" t="s">
        <v>968</v>
      </c>
      <c r="B41" t="s">
        <v>969</v>
      </c>
    </row>
    <row r="42" spans="1:6" x14ac:dyDescent="0.25">
      <c r="A42">
        <f>AEO26_Table_21._Residential!E77</f>
        <v>44.365597000000001</v>
      </c>
      <c r="B42">
        <f>'STEO Feb26'!B40</f>
        <v>40.4</v>
      </c>
      <c r="C42">
        <f>A42-B42</f>
        <v>3.9655970000000025</v>
      </c>
      <c r="D42" t="s">
        <v>974</v>
      </c>
    </row>
    <row r="43" spans="1:6" x14ac:dyDescent="0.25">
      <c r="A43">
        <f>AEO26_Table_22._Commercial!E61</f>
        <v>33.559604999999998</v>
      </c>
      <c r="B43">
        <f>SUM('STEO Feb26'!B41:B42)</f>
        <v>18.8</v>
      </c>
      <c r="C43" s="1">
        <f>11.6-C42</f>
        <v>7.6344029999999972</v>
      </c>
      <c r="D43" t="s">
        <v>973</v>
      </c>
    </row>
    <row r="45" spans="1:6" x14ac:dyDescent="0.25">
      <c r="B45" t="s">
        <v>970</v>
      </c>
    </row>
    <row r="46" spans="1:6" x14ac:dyDescent="0.25">
      <c r="A46" s="55">
        <v>36072.861350926898</v>
      </c>
      <c r="B46" t="s">
        <v>15</v>
      </c>
      <c r="C46" s="1">
        <f>$C$42*A46/SUM($A$46:$A$47)</f>
        <v>3.2243549152432633</v>
      </c>
      <c r="D46" t="s">
        <v>975</v>
      </c>
    </row>
    <row r="47" spans="1:6" x14ac:dyDescent="0.25">
      <c r="A47" s="55">
        <v>8292.7356490730999</v>
      </c>
      <c r="B47" t="s">
        <v>16</v>
      </c>
      <c r="C47" s="1">
        <f>$C$42*A47/SUM($A$46:$A$47)</f>
        <v>0.74124208475673992</v>
      </c>
      <c r="D47" t="s">
        <v>976</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57" bestFit="1" customWidth="1"/>
    <col min="2" max="21" width="12" style="57" bestFit="1" customWidth="1"/>
    <col min="22" max="16384" width="9.140625" style="57"/>
  </cols>
  <sheetData>
    <row r="1" spans="1:21" ht="15.95" customHeight="1" x14ac:dyDescent="0.25">
      <c r="A1" s="73" t="s">
        <v>958</v>
      </c>
      <c r="B1" s="73"/>
      <c r="C1" s="73"/>
      <c r="D1" s="73"/>
      <c r="E1" s="73"/>
      <c r="F1" s="73"/>
      <c r="G1" s="73"/>
      <c r="H1" s="73"/>
      <c r="I1" s="73"/>
      <c r="J1" s="73"/>
      <c r="K1" s="73"/>
      <c r="L1" s="73"/>
      <c r="M1" s="73"/>
      <c r="N1" s="73"/>
      <c r="O1" s="73"/>
      <c r="P1" s="73"/>
      <c r="Q1" s="73"/>
      <c r="R1" s="73"/>
      <c r="S1" s="73"/>
      <c r="T1" s="73"/>
      <c r="U1" s="73"/>
    </row>
    <row r="2" spans="1:21" ht="39" x14ac:dyDescent="0.25">
      <c r="A2" s="63" t="s">
        <v>957</v>
      </c>
      <c r="B2" s="74" t="s">
        <v>956</v>
      </c>
      <c r="C2" s="75"/>
      <c r="D2" s="75"/>
      <c r="E2" s="75"/>
      <c r="F2" s="75"/>
      <c r="G2" s="75"/>
      <c r="H2" s="75"/>
      <c r="I2" s="75"/>
      <c r="J2" s="75"/>
      <c r="K2" s="75"/>
      <c r="L2" s="75"/>
      <c r="M2" s="75"/>
      <c r="N2" s="75"/>
      <c r="O2" s="76"/>
      <c r="P2" s="74" t="s">
        <v>955</v>
      </c>
      <c r="Q2" s="76"/>
      <c r="R2" s="74" t="s">
        <v>954</v>
      </c>
      <c r="S2" s="75"/>
      <c r="T2" s="75"/>
      <c r="U2" s="76"/>
    </row>
    <row r="3" spans="1:21" ht="39" x14ac:dyDescent="0.25">
      <c r="A3" s="63" t="s">
        <v>953</v>
      </c>
      <c r="B3" s="74" t="s">
        <v>85</v>
      </c>
      <c r="C3" s="76"/>
      <c r="D3" s="74" t="s">
        <v>952</v>
      </c>
      <c r="E3" s="76"/>
      <c r="F3" s="74" t="s">
        <v>43</v>
      </c>
      <c r="G3" s="76"/>
      <c r="H3" s="74" t="s">
        <v>951</v>
      </c>
      <c r="I3" s="76"/>
      <c r="J3" s="74" t="s">
        <v>950</v>
      </c>
      <c r="K3" s="76"/>
      <c r="L3" s="74" t="s">
        <v>949</v>
      </c>
      <c r="M3" s="76"/>
      <c r="N3" s="74" t="s">
        <v>948</v>
      </c>
      <c r="O3" s="76"/>
      <c r="P3" s="74" t="s">
        <v>947</v>
      </c>
      <c r="Q3" s="76"/>
      <c r="R3" s="74" t="s">
        <v>946</v>
      </c>
      <c r="S3" s="76"/>
      <c r="T3" s="74" t="s">
        <v>945</v>
      </c>
      <c r="U3" s="76"/>
    </row>
    <row r="4" spans="1:21" ht="26.25" x14ac:dyDescent="0.25">
      <c r="A4" s="63" t="s">
        <v>944</v>
      </c>
      <c r="B4" s="62" t="s">
        <v>943</v>
      </c>
      <c r="C4" s="62" t="s">
        <v>942</v>
      </c>
      <c r="D4" s="62" t="s">
        <v>943</v>
      </c>
      <c r="E4" s="62" t="s">
        <v>942</v>
      </c>
      <c r="F4" s="62" t="s">
        <v>943</v>
      </c>
      <c r="G4" s="62" t="s">
        <v>942</v>
      </c>
      <c r="H4" s="62" t="s">
        <v>943</v>
      </c>
      <c r="I4" s="62" t="s">
        <v>942</v>
      </c>
      <c r="J4" s="62" t="s">
        <v>943</v>
      </c>
      <c r="K4" s="62" t="s">
        <v>942</v>
      </c>
      <c r="L4" s="62" t="s">
        <v>943</v>
      </c>
      <c r="M4" s="62" t="s">
        <v>942</v>
      </c>
      <c r="N4" s="62" t="s">
        <v>943</v>
      </c>
      <c r="O4" s="62" t="s">
        <v>942</v>
      </c>
      <c r="P4" s="62" t="s">
        <v>943</v>
      </c>
      <c r="Q4" s="62" t="s">
        <v>942</v>
      </c>
      <c r="R4" s="62" t="s">
        <v>943</v>
      </c>
      <c r="S4" s="62" t="s">
        <v>942</v>
      </c>
      <c r="T4" s="62" t="s">
        <v>943</v>
      </c>
      <c r="U4" s="62" t="s">
        <v>942</v>
      </c>
    </row>
    <row r="5" spans="1:21" x14ac:dyDescent="0.25">
      <c r="A5" s="59" t="s">
        <v>381</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x14ac:dyDescent="0.25">
      <c r="A6" s="61" t="s">
        <v>941</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x14ac:dyDescent="0.25">
      <c r="A7" s="61" t="s">
        <v>940</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x14ac:dyDescent="0.25">
      <c r="A8" s="61" t="s">
        <v>939</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x14ac:dyDescent="0.25">
      <c r="A9" s="61" t="s">
        <v>938</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x14ac:dyDescent="0.25">
      <c r="A10" s="61" t="s">
        <v>937</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x14ac:dyDescent="0.25">
      <c r="A11" s="61" t="s">
        <v>936</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x14ac:dyDescent="0.25">
      <c r="A12" s="59" t="s">
        <v>382</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x14ac:dyDescent="0.25">
      <c r="A13" s="61" t="s">
        <v>935</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x14ac:dyDescent="0.25">
      <c r="A14" s="61" t="s">
        <v>934</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x14ac:dyDescent="0.25">
      <c r="A15" s="61" t="s">
        <v>933</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x14ac:dyDescent="0.25">
      <c r="A16" s="59" t="s">
        <v>384</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x14ac:dyDescent="0.25">
      <c r="A17" s="61" t="s">
        <v>932</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x14ac:dyDescent="0.25">
      <c r="A18" s="61" t="s">
        <v>931</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x14ac:dyDescent="0.25">
      <c r="A19" s="61" t="s">
        <v>930</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x14ac:dyDescent="0.25">
      <c r="A20" s="61" t="s">
        <v>929</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x14ac:dyDescent="0.25">
      <c r="A21" s="61" t="s">
        <v>928</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x14ac:dyDescent="0.25">
      <c r="A22" s="59" t="s">
        <v>385</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x14ac:dyDescent="0.25">
      <c r="A23" s="61" t="s">
        <v>927</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x14ac:dyDescent="0.25">
      <c r="A24" s="61" t="s">
        <v>926</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x14ac:dyDescent="0.25">
      <c r="A25" s="61" t="s">
        <v>925</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x14ac:dyDescent="0.25">
      <c r="A26" s="61" t="s">
        <v>924</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x14ac:dyDescent="0.25">
      <c r="A27" s="61" t="s">
        <v>923</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x14ac:dyDescent="0.25">
      <c r="A28" s="61" t="s">
        <v>922</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x14ac:dyDescent="0.25">
      <c r="A29" s="61" t="s">
        <v>921</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x14ac:dyDescent="0.25">
      <c r="A30" s="59" t="s">
        <v>387</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x14ac:dyDescent="0.25">
      <c r="A31" s="61" t="s">
        <v>920</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x14ac:dyDescent="0.25">
      <c r="A32" s="61" t="s">
        <v>919</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x14ac:dyDescent="0.25">
      <c r="A33" s="61" t="s">
        <v>918</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x14ac:dyDescent="0.25">
      <c r="A34" s="61" t="s">
        <v>917</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x14ac:dyDescent="0.25">
      <c r="A35" s="61" t="s">
        <v>916</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x14ac:dyDescent="0.25">
      <c r="A36" s="61" t="s">
        <v>915</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x14ac:dyDescent="0.25">
      <c r="A37" s="61" t="s">
        <v>914</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x14ac:dyDescent="0.25">
      <c r="A38" s="61" t="s">
        <v>913</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x14ac:dyDescent="0.25">
      <c r="A39" s="61" t="s">
        <v>912</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x14ac:dyDescent="0.25">
      <c r="A40" s="59" t="s">
        <v>388</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x14ac:dyDescent="0.25">
      <c r="A41" s="61" t="s">
        <v>911</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910</v>
      </c>
      <c r="Q41" s="60">
        <v>17</v>
      </c>
      <c r="R41" s="60" t="s">
        <v>910</v>
      </c>
      <c r="S41" s="60">
        <v>680.5</v>
      </c>
      <c r="T41" s="60" t="s">
        <v>910</v>
      </c>
      <c r="U41" s="60">
        <v>680.5</v>
      </c>
    </row>
    <row r="42" spans="1:21" x14ac:dyDescent="0.25">
      <c r="A42" s="61" t="s">
        <v>909</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x14ac:dyDescent="0.25">
      <c r="A43" s="61" t="s">
        <v>908</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x14ac:dyDescent="0.25">
      <c r="A44" s="61" t="s">
        <v>907</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x14ac:dyDescent="0.25">
      <c r="A45" s="59" t="s">
        <v>389</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x14ac:dyDescent="0.25">
      <c r="A46" s="61" t="s">
        <v>906</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x14ac:dyDescent="0.25">
      <c r="A47" s="61" t="s">
        <v>905</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x14ac:dyDescent="0.25">
      <c r="A48" s="61" t="s">
        <v>904</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x14ac:dyDescent="0.25">
      <c r="A49" s="61" t="s">
        <v>903</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x14ac:dyDescent="0.25">
      <c r="A50" s="59" t="s">
        <v>391</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x14ac:dyDescent="0.25">
      <c r="A51" s="61" t="s">
        <v>902</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x14ac:dyDescent="0.25">
      <c r="A52" s="61" t="s">
        <v>901</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x14ac:dyDescent="0.25">
      <c r="A53" s="61" t="s">
        <v>900</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x14ac:dyDescent="0.25">
      <c r="A54" s="61" t="s">
        <v>899</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x14ac:dyDescent="0.25">
      <c r="A55" s="61" t="s">
        <v>898</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x14ac:dyDescent="0.25">
      <c r="A56" s="61" t="s">
        <v>897</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x14ac:dyDescent="0.25">
      <c r="A57" s="61" t="s">
        <v>896</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x14ac:dyDescent="0.25">
      <c r="A58" s="61" t="s">
        <v>895</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x14ac:dyDescent="0.25">
      <c r="A59" s="59" t="s">
        <v>894</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x14ac:dyDescent="0.25">
      <c r="A60" s="61" t="s">
        <v>893</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x14ac:dyDescent="0.25">
      <c r="A61" s="61" t="s">
        <v>892</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x14ac:dyDescent="0.25">
      <c r="A62" s="61" t="s">
        <v>891</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x14ac:dyDescent="0.25">
      <c r="A63" s="59" t="s">
        <v>890</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x14ac:dyDescent="0.25">
      <c r="A64" s="61" t="s">
        <v>889</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x14ac:dyDescent="0.25">
      <c r="A65" s="61" t="s">
        <v>888</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x14ac:dyDescent="0.25">
      <c r="A66" s="59" t="s">
        <v>887</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x14ac:dyDescent="0.25">
      <c r="A67" s="72" t="s">
        <v>886</v>
      </c>
      <c r="B67" s="72"/>
      <c r="C67" s="72"/>
      <c r="D67" s="72"/>
      <c r="E67" s="72"/>
      <c r="F67" s="72"/>
      <c r="G67" s="72"/>
      <c r="H67" s="72"/>
      <c r="I67" s="72"/>
      <c r="J67" s="72"/>
      <c r="K67" s="72"/>
      <c r="L67" s="72"/>
      <c r="M67" s="72"/>
      <c r="N67" s="72"/>
      <c r="O67" s="72"/>
      <c r="P67" s="72"/>
      <c r="Q67" s="72"/>
      <c r="R67" s="72"/>
      <c r="S67" s="72"/>
      <c r="T67" s="72"/>
      <c r="U67" s="72"/>
    </row>
  </sheetData>
  <mergeCells count="15">
    <mergeCell ref="A67:U67"/>
    <mergeCell ref="A1:U1"/>
    <mergeCell ref="B2:O2"/>
    <mergeCell ref="P2:Q2"/>
    <mergeCell ref="R2:U2"/>
    <mergeCell ref="B3:C3"/>
    <mergeCell ref="D3:E3"/>
    <mergeCell ref="F3:G3"/>
    <mergeCell ref="H3:I3"/>
    <mergeCell ref="J3:K3"/>
    <mergeCell ref="L3:M3"/>
    <mergeCell ref="N3:O3"/>
    <mergeCell ref="P3:Q3"/>
    <mergeCell ref="R3:S3"/>
    <mergeCell ref="T3:U3"/>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964</v>
      </c>
    </row>
    <row r="39" spans="2:3" x14ac:dyDescent="0.25">
      <c r="B39">
        <v>59.1</v>
      </c>
      <c r="C39" t="s">
        <v>36</v>
      </c>
    </row>
    <row r="40" spans="2:3" x14ac:dyDescent="0.25">
      <c r="B40">
        <v>40.4</v>
      </c>
      <c r="C40" t="s">
        <v>965</v>
      </c>
    </row>
    <row r="41" spans="2:3" x14ac:dyDescent="0.25">
      <c r="B41">
        <v>15.8</v>
      </c>
      <c r="C41" t="s">
        <v>966</v>
      </c>
    </row>
    <row r="42" spans="2:3" x14ac:dyDescent="0.25">
      <c r="B42">
        <v>3</v>
      </c>
      <c r="C42" t="s">
        <v>967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19</v>
      </c>
    </row>
    <row r="2" spans="1:33" x14ac:dyDescent="0.25">
      <c r="A2" t="s">
        <v>93</v>
      </c>
    </row>
    <row r="3" spans="1:33" x14ac:dyDescent="0.25">
      <c r="A3" t="s">
        <v>94</v>
      </c>
    </row>
    <row r="4" spans="1:33" x14ac:dyDescent="0.25">
      <c r="A4" t="s">
        <v>20</v>
      </c>
    </row>
    <row r="5" spans="1:33" x14ac:dyDescent="0.25">
      <c r="B5" t="s">
        <v>21</v>
      </c>
      <c r="C5" t="s">
        <v>22</v>
      </c>
      <c r="D5" t="s">
        <v>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v>
      </c>
    </row>
    <row r="6" spans="1:33" x14ac:dyDescent="0.25">
      <c r="A6" t="s">
        <v>24</v>
      </c>
    </row>
    <row r="7" spans="1:33" x14ac:dyDescent="0.25">
      <c r="A7" t="s">
        <v>25</v>
      </c>
    </row>
    <row r="8" spans="1:33" x14ac:dyDescent="0.25">
      <c r="A8" t="s">
        <v>26</v>
      </c>
      <c r="B8" t="s">
        <v>96</v>
      </c>
      <c r="C8" t="s">
        <v>97</v>
      </c>
      <c r="D8" t="s">
        <v>27</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28</v>
      </c>
      <c r="B9" t="s">
        <v>98</v>
      </c>
      <c r="C9" t="s">
        <v>99</v>
      </c>
      <c r="D9" t="s">
        <v>27</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29</v>
      </c>
      <c r="B10" t="s">
        <v>100</v>
      </c>
      <c r="C10" t="s">
        <v>101</v>
      </c>
      <c r="D10" t="s">
        <v>27</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30</v>
      </c>
      <c r="B11" t="s">
        <v>102</v>
      </c>
      <c r="C11" t="s">
        <v>103</v>
      </c>
      <c r="D11" t="s">
        <v>27</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31</v>
      </c>
      <c r="B12" t="s">
        <v>104</v>
      </c>
      <c r="C12" t="s">
        <v>105</v>
      </c>
      <c r="D12" t="s">
        <v>27</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32</v>
      </c>
      <c r="B13" t="s">
        <v>106</v>
      </c>
      <c r="C13" t="s">
        <v>107</v>
      </c>
      <c r="D13" t="s">
        <v>27</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33</v>
      </c>
      <c r="B14" t="s">
        <v>108</v>
      </c>
      <c r="C14" t="s">
        <v>109</v>
      </c>
      <c r="D14" t="s">
        <v>27</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34</v>
      </c>
      <c r="B15" t="s">
        <v>110</v>
      </c>
      <c r="C15" t="s">
        <v>111</v>
      </c>
      <c r="D15" t="s">
        <v>27</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35</v>
      </c>
      <c r="B16" t="s">
        <v>112</v>
      </c>
      <c r="C16" t="s">
        <v>113</v>
      </c>
      <c r="D16" t="s">
        <v>27</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36</v>
      </c>
      <c r="B17" t="s">
        <v>114</v>
      </c>
      <c r="C17" t="s">
        <v>115</v>
      </c>
      <c r="D17" t="s">
        <v>27</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37</v>
      </c>
    </row>
    <row r="19" spans="1:33" x14ac:dyDescent="0.25">
      <c r="A19" t="s">
        <v>26</v>
      </c>
      <c r="B19" t="s">
        <v>116</v>
      </c>
      <c r="C19" t="s">
        <v>117</v>
      </c>
      <c r="D19" t="s">
        <v>27</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29</v>
      </c>
      <c r="B20" t="s">
        <v>118</v>
      </c>
      <c r="C20" t="s">
        <v>119</v>
      </c>
      <c r="D20" t="s">
        <v>27</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35</v>
      </c>
      <c r="B21" t="s">
        <v>120</v>
      </c>
      <c r="C21" t="s">
        <v>121</v>
      </c>
      <c r="D21" t="s">
        <v>27</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38</v>
      </c>
      <c r="B22" t="s">
        <v>122</v>
      </c>
      <c r="C22" t="s">
        <v>123</v>
      </c>
      <c r="D22" t="s">
        <v>27</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39</v>
      </c>
      <c r="B23" t="s">
        <v>124</v>
      </c>
      <c r="C23" t="s">
        <v>125</v>
      </c>
      <c r="D23" t="s">
        <v>27</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36</v>
      </c>
      <c r="B24" t="s">
        <v>126</v>
      </c>
      <c r="C24" t="s">
        <v>127</v>
      </c>
      <c r="D24" t="s">
        <v>27</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40</v>
      </c>
    </row>
    <row r="26" spans="1:33" x14ac:dyDescent="0.25">
      <c r="A26" t="s">
        <v>41</v>
      </c>
      <c r="B26" t="s">
        <v>128</v>
      </c>
      <c r="C26" t="s">
        <v>129</v>
      </c>
      <c r="D26" t="s">
        <v>27</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42</v>
      </c>
      <c r="B27" t="s">
        <v>130</v>
      </c>
      <c r="C27" t="s">
        <v>131</v>
      </c>
      <c r="D27" t="s">
        <v>27</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31</v>
      </c>
      <c r="B28" t="s">
        <v>132</v>
      </c>
      <c r="C28" t="s">
        <v>133</v>
      </c>
      <c r="D28" t="s">
        <v>27</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32</v>
      </c>
      <c r="B29" t="s">
        <v>134</v>
      </c>
      <c r="C29" t="s">
        <v>135</v>
      </c>
      <c r="D29" t="s">
        <v>27</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43</v>
      </c>
      <c r="B30" t="s">
        <v>136</v>
      </c>
      <c r="C30" t="s">
        <v>137</v>
      </c>
      <c r="D30" t="s">
        <v>27</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36</v>
      </c>
      <c r="B31" t="s">
        <v>138</v>
      </c>
      <c r="C31" t="s">
        <v>139</v>
      </c>
      <c r="D31" t="s">
        <v>27</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44</v>
      </c>
    </row>
    <row r="33" spans="1:33" x14ac:dyDescent="0.25">
      <c r="A33" t="s">
        <v>41</v>
      </c>
      <c r="B33" t="s">
        <v>140</v>
      </c>
      <c r="C33" t="s">
        <v>141</v>
      </c>
      <c r="D33" t="s">
        <v>27</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42</v>
      </c>
      <c r="B34" t="s">
        <v>142</v>
      </c>
      <c r="C34" t="s">
        <v>143</v>
      </c>
      <c r="D34" t="s">
        <v>27</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32</v>
      </c>
      <c r="B35" t="s">
        <v>144</v>
      </c>
      <c r="C35" t="s">
        <v>145</v>
      </c>
      <c r="D35" t="s">
        <v>27</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36</v>
      </c>
      <c r="B36" t="s">
        <v>146</v>
      </c>
      <c r="C36" t="s">
        <v>147</v>
      </c>
      <c r="D36" t="s">
        <v>27</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45</v>
      </c>
    </row>
    <row r="38" spans="1:33" x14ac:dyDescent="0.25">
      <c r="A38" t="s">
        <v>41</v>
      </c>
      <c r="B38" t="s">
        <v>148</v>
      </c>
      <c r="C38" t="s">
        <v>149</v>
      </c>
      <c r="D38" t="s">
        <v>27</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42</v>
      </c>
      <c r="B39" t="s">
        <v>150</v>
      </c>
      <c r="C39" t="s">
        <v>151</v>
      </c>
      <c r="D39" t="s">
        <v>27</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36</v>
      </c>
      <c r="B40" t="s">
        <v>152</v>
      </c>
      <c r="C40" t="s">
        <v>153</v>
      </c>
      <c r="D40" t="s">
        <v>27</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46</v>
      </c>
    </row>
    <row r="42" spans="1:33" x14ac:dyDescent="0.25">
      <c r="A42" t="s">
        <v>47</v>
      </c>
      <c r="B42" t="s">
        <v>154</v>
      </c>
      <c r="C42" t="s">
        <v>155</v>
      </c>
      <c r="D42" t="s">
        <v>27</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48</v>
      </c>
      <c r="B43" t="s">
        <v>156</v>
      </c>
      <c r="C43" t="s">
        <v>157</v>
      </c>
      <c r="D43" t="s">
        <v>27</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49</v>
      </c>
    </row>
    <row r="45" spans="1:33" x14ac:dyDescent="0.25">
      <c r="A45" t="s">
        <v>25</v>
      </c>
    </row>
    <row r="46" spans="1:33" x14ac:dyDescent="0.25">
      <c r="A46" t="s">
        <v>50</v>
      </c>
      <c r="B46" t="s">
        <v>158</v>
      </c>
      <c r="C46" t="s">
        <v>159</v>
      </c>
      <c r="D46" t="s">
        <v>51</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52</v>
      </c>
      <c r="B47" t="s">
        <v>160</v>
      </c>
      <c r="C47" t="s">
        <v>161</v>
      </c>
      <c r="D47" t="s">
        <v>53</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54</v>
      </c>
      <c r="B48" t="s">
        <v>162</v>
      </c>
      <c r="C48" t="s">
        <v>163</v>
      </c>
      <c r="D48" t="s">
        <v>55</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56</v>
      </c>
      <c r="B49" t="s">
        <v>164</v>
      </c>
      <c r="C49" t="s">
        <v>165</v>
      </c>
      <c r="D49" t="s">
        <v>57</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58</v>
      </c>
      <c r="B50" t="s">
        <v>166</v>
      </c>
      <c r="C50" t="s">
        <v>167</v>
      </c>
      <c r="D50" t="s">
        <v>57</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59</v>
      </c>
    </row>
    <row r="52" spans="1:33" x14ac:dyDescent="0.25">
      <c r="A52" t="s">
        <v>60</v>
      </c>
      <c r="B52" t="s">
        <v>168</v>
      </c>
      <c r="C52" t="s">
        <v>169</v>
      </c>
      <c r="D52" t="s">
        <v>61</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52</v>
      </c>
      <c r="B53" t="s">
        <v>170</v>
      </c>
      <c r="C53" t="s">
        <v>171</v>
      </c>
      <c r="D53" t="s">
        <v>53</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62</v>
      </c>
      <c r="B54" t="s">
        <v>172</v>
      </c>
      <c r="C54" t="s">
        <v>173</v>
      </c>
      <c r="D54" t="s">
        <v>63</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64</v>
      </c>
      <c r="B55" t="s">
        <v>174</v>
      </c>
      <c r="C55" t="s">
        <v>175</v>
      </c>
      <c r="D55" t="s">
        <v>61</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65</v>
      </c>
      <c r="B56" t="s">
        <v>176</v>
      </c>
      <c r="C56" t="s">
        <v>177</v>
      </c>
      <c r="D56" t="s">
        <v>63</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66</v>
      </c>
    </row>
    <row r="58" spans="1:33" x14ac:dyDescent="0.25">
      <c r="A58" t="s">
        <v>67</v>
      </c>
      <c r="B58" t="s">
        <v>178</v>
      </c>
      <c r="C58" t="s">
        <v>179</v>
      </c>
      <c r="D58" t="s">
        <v>68</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69</v>
      </c>
      <c r="B59" t="s">
        <v>180</v>
      </c>
      <c r="C59" t="s">
        <v>181</v>
      </c>
      <c r="D59" t="s">
        <v>68</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70</v>
      </c>
      <c r="B60" t="s">
        <v>182</v>
      </c>
      <c r="C60" t="s">
        <v>183</v>
      </c>
      <c r="D60" t="s">
        <v>68</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71</v>
      </c>
      <c r="B61" t="s">
        <v>184</v>
      </c>
      <c r="C61" t="s">
        <v>185</v>
      </c>
      <c r="D61" t="s">
        <v>68</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72</v>
      </c>
    </row>
    <row r="63" spans="1:33" x14ac:dyDescent="0.25">
      <c r="A63" t="s">
        <v>47</v>
      </c>
      <c r="B63" t="s">
        <v>186</v>
      </c>
      <c r="C63" t="s">
        <v>187</v>
      </c>
      <c r="D63" t="s">
        <v>73</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48</v>
      </c>
      <c r="B64" t="s">
        <v>188</v>
      </c>
      <c r="C64" t="s">
        <v>189</v>
      </c>
      <c r="D64" t="s">
        <v>73</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74</v>
      </c>
    </row>
    <row r="66" spans="1:33" x14ac:dyDescent="0.25">
      <c r="A66" t="s">
        <v>75</v>
      </c>
    </row>
    <row r="67" spans="1:33" x14ac:dyDescent="0.25">
      <c r="A67" t="s">
        <v>190</v>
      </c>
      <c r="B67" t="s">
        <v>191</v>
      </c>
      <c r="C67" t="s">
        <v>192</v>
      </c>
      <c r="D67" t="s">
        <v>76</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77</v>
      </c>
      <c r="B68" t="s">
        <v>193</v>
      </c>
      <c r="C68" t="s">
        <v>194</v>
      </c>
      <c r="D68" t="s">
        <v>76</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78</v>
      </c>
      <c r="B69" t="s">
        <v>195</v>
      </c>
      <c r="C69" t="s">
        <v>196</v>
      </c>
      <c r="D69" t="s">
        <v>76</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59</v>
      </c>
    </row>
    <row r="71" spans="1:33" x14ac:dyDescent="0.25">
      <c r="A71" t="s">
        <v>190</v>
      </c>
      <c r="B71" t="s">
        <v>197</v>
      </c>
      <c r="C71" t="s">
        <v>198</v>
      </c>
      <c r="D71" t="s">
        <v>76</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77</v>
      </c>
      <c r="B72" t="s">
        <v>199</v>
      </c>
      <c r="C72" t="s">
        <v>200</v>
      </c>
      <c r="D72" t="s">
        <v>76</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78</v>
      </c>
      <c r="B73" t="s">
        <v>201</v>
      </c>
      <c r="C73" t="s">
        <v>202</v>
      </c>
      <c r="D73" t="s">
        <v>76</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79</v>
      </c>
    </row>
    <row r="75" spans="1:33" x14ac:dyDescent="0.25">
      <c r="A75" t="s">
        <v>80</v>
      </c>
    </row>
    <row r="76" spans="1:33" s="48" customFormat="1" x14ac:dyDescent="0.25">
      <c r="A76" s="48" t="s">
        <v>81</v>
      </c>
    </row>
    <row r="77" spans="1:33" x14ac:dyDescent="0.25">
      <c r="A77" t="s">
        <v>82</v>
      </c>
      <c r="B77" t="s">
        <v>203</v>
      </c>
      <c r="C77" t="s">
        <v>204</v>
      </c>
      <c r="D77" t="s">
        <v>83</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84</v>
      </c>
      <c r="B78" t="s">
        <v>205</v>
      </c>
      <c r="C78" t="s">
        <v>206</v>
      </c>
      <c r="D78" t="s">
        <v>83</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85</v>
      </c>
      <c r="B79" t="s">
        <v>207</v>
      </c>
      <c r="C79" t="s">
        <v>208</v>
      </c>
      <c r="D79" t="s">
        <v>83</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36</v>
      </c>
      <c r="B80" t="s">
        <v>209</v>
      </c>
      <c r="C80" t="s">
        <v>210</v>
      </c>
      <c r="D80" t="s">
        <v>83</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86</v>
      </c>
    </row>
    <row r="82" spans="1:33" x14ac:dyDescent="0.25">
      <c r="A82" t="s">
        <v>82</v>
      </c>
      <c r="B82" t="s">
        <v>211</v>
      </c>
      <c r="C82" t="s">
        <v>212</v>
      </c>
      <c r="D82" t="s">
        <v>87</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84</v>
      </c>
      <c r="B83" t="s">
        <v>213</v>
      </c>
      <c r="C83" t="s">
        <v>214</v>
      </c>
      <c r="D83" t="s">
        <v>87</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85</v>
      </c>
      <c r="B84" s="1" t="s">
        <v>215</v>
      </c>
      <c r="C84" s="1" t="s">
        <v>216</v>
      </c>
      <c r="D84" s="1" t="s">
        <v>87</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36</v>
      </c>
      <c r="B85" t="s">
        <v>217</v>
      </c>
      <c r="C85" t="s">
        <v>218</v>
      </c>
      <c r="D85" t="s">
        <v>87</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88</v>
      </c>
    </row>
    <row r="87" spans="1:33" x14ac:dyDescent="0.25">
      <c r="A87" t="s">
        <v>89</v>
      </c>
      <c r="B87" t="s">
        <v>219</v>
      </c>
      <c r="C87" t="s">
        <v>220</v>
      </c>
      <c r="D87" t="s">
        <v>87</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90</v>
      </c>
      <c r="B88" t="s">
        <v>221</v>
      </c>
      <c r="C88" t="s">
        <v>222</v>
      </c>
      <c r="D88" t="s">
        <v>87</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91</v>
      </c>
    </row>
    <row r="90" spans="1:33" x14ac:dyDescent="0.25">
      <c r="A90" t="s">
        <v>82</v>
      </c>
      <c r="B90" t="s">
        <v>223</v>
      </c>
      <c r="C90" t="s">
        <v>224</v>
      </c>
      <c r="D90" t="s">
        <v>92</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84</v>
      </c>
      <c r="B91" t="s">
        <v>225</v>
      </c>
      <c r="C91" t="s">
        <v>226</v>
      </c>
      <c r="D91" t="s">
        <v>92</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85</v>
      </c>
      <c r="B92" t="s">
        <v>227</v>
      </c>
      <c r="C92" t="s">
        <v>228</v>
      </c>
      <c r="D92" t="s">
        <v>92</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36</v>
      </c>
      <c r="B93" t="s">
        <v>229</v>
      </c>
      <c r="C93" t="s">
        <v>230</v>
      </c>
      <c r="D93" t="s">
        <v>92</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231</v>
      </c>
    </row>
    <row r="2" spans="1:33" x14ac:dyDescent="0.25">
      <c r="A2" t="s">
        <v>260</v>
      </c>
    </row>
    <row r="3" spans="1:33" x14ac:dyDescent="0.25">
      <c r="A3" t="s">
        <v>261</v>
      </c>
    </row>
    <row r="4" spans="1:33" x14ac:dyDescent="0.25">
      <c r="A4" t="s">
        <v>20</v>
      </c>
    </row>
    <row r="5" spans="1:33" x14ac:dyDescent="0.25">
      <c r="B5" t="s">
        <v>21</v>
      </c>
      <c r="C5" t="s">
        <v>22</v>
      </c>
      <c r="D5" t="s">
        <v>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v>
      </c>
    </row>
    <row r="6" spans="1:33" x14ac:dyDescent="0.25">
      <c r="A6" t="s">
        <v>232</v>
      </c>
    </row>
    <row r="7" spans="1:33" x14ac:dyDescent="0.25">
      <c r="A7" t="s">
        <v>233</v>
      </c>
    </row>
    <row r="8" spans="1:33" x14ac:dyDescent="0.25">
      <c r="A8" t="s">
        <v>234</v>
      </c>
      <c r="B8" t="s">
        <v>262</v>
      </c>
      <c r="C8" t="s">
        <v>263</v>
      </c>
      <c r="D8" t="s">
        <v>235</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236</v>
      </c>
      <c r="B9" t="s">
        <v>264</v>
      </c>
      <c r="C9" t="s">
        <v>265</v>
      </c>
      <c r="D9" t="s">
        <v>235</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237</v>
      </c>
      <c r="B10" t="s">
        <v>266</v>
      </c>
      <c r="C10" t="s">
        <v>267</v>
      </c>
      <c r="D10" t="s">
        <v>235</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238</v>
      </c>
      <c r="B11" t="s">
        <v>268</v>
      </c>
      <c r="C11" t="s">
        <v>269</v>
      </c>
      <c r="D11" t="s">
        <v>235</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239</v>
      </c>
      <c r="B12" t="s">
        <v>270</v>
      </c>
      <c r="C12" t="s">
        <v>271</v>
      </c>
      <c r="D12" t="s">
        <v>235</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240</v>
      </c>
      <c r="B13" t="s">
        <v>272</v>
      </c>
      <c r="C13" t="s">
        <v>273</v>
      </c>
      <c r="D13" t="s">
        <v>235</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241</v>
      </c>
      <c r="B14" t="s">
        <v>274</v>
      </c>
      <c r="C14" t="s">
        <v>275</v>
      </c>
      <c r="D14" t="s">
        <v>235</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242</v>
      </c>
      <c r="B15" t="s">
        <v>276</v>
      </c>
      <c r="C15" t="s">
        <v>277</v>
      </c>
      <c r="D15" t="s">
        <v>235</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243</v>
      </c>
      <c r="B16" t="s">
        <v>278</v>
      </c>
      <c r="C16" t="s">
        <v>279</v>
      </c>
      <c r="D16" t="s">
        <v>235</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244</v>
      </c>
      <c r="B17" t="s">
        <v>280</v>
      </c>
      <c r="C17" t="s">
        <v>281</v>
      </c>
      <c r="D17" t="s">
        <v>235</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245</v>
      </c>
      <c r="B18" t="s">
        <v>282</v>
      </c>
      <c r="C18" t="s">
        <v>283</v>
      </c>
      <c r="D18" t="s">
        <v>235</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36</v>
      </c>
      <c r="B19" t="s">
        <v>284</v>
      </c>
      <c r="C19" t="s">
        <v>285</v>
      </c>
      <c r="D19" t="s">
        <v>235</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246</v>
      </c>
    </row>
    <row r="21" spans="1:33" x14ac:dyDescent="0.25">
      <c r="A21" t="s">
        <v>247</v>
      </c>
    </row>
    <row r="22" spans="1:33" x14ac:dyDescent="0.25">
      <c r="A22" t="s">
        <v>234</v>
      </c>
      <c r="B22" t="s">
        <v>286</v>
      </c>
      <c r="C22" t="s">
        <v>287</v>
      </c>
      <c r="D22" t="s">
        <v>248</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236</v>
      </c>
      <c r="B23" t="s">
        <v>288</v>
      </c>
      <c r="C23" t="s">
        <v>289</v>
      </c>
      <c r="D23" t="s">
        <v>248</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237</v>
      </c>
      <c r="B24" t="s">
        <v>290</v>
      </c>
      <c r="C24" t="s">
        <v>291</v>
      </c>
      <c r="D24" t="s">
        <v>248</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238</v>
      </c>
      <c r="B25" t="s">
        <v>292</v>
      </c>
      <c r="C25" t="s">
        <v>293</v>
      </c>
      <c r="D25" t="s">
        <v>248</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239</v>
      </c>
      <c r="B26" t="s">
        <v>294</v>
      </c>
      <c r="C26" t="s">
        <v>295</v>
      </c>
      <c r="D26" t="s">
        <v>248</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240</v>
      </c>
      <c r="B27" t="s">
        <v>296</v>
      </c>
      <c r="C27" t="s">
        <v>297</v>
      </c>
      <c r="D27" t="s">
        <v>248</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241</v>
      </c>
      <c r="B28" t="s">
        <v>298</v>
      </c>
      <c r="C28" t="s">
        <v>299</v>
      </c>
      <c r="D28" t="s">
        <v>248</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242</v>
      </c>
      <c r="B29" t="s">
        <v>300</v>
      </c>
      <c r="C29" t="s">
        <v>301</v>
      </c>
      <c r="D29" t="s">
        <v>248</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243</v>
      </c>
      <c r="B30" t="s">
        <v>302</v>
      </c>
      <c r="C30" t="s">
        <v>303</v>
      </c>
      <c r="D30" t="s">
        <v>248</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244</v>
      </c>
      <c r="B31" t="s">
        <v>304</v>
      </c>
      <c r="C31" t="s">
        <v>305</v>
      </c>
      <c r="D31" t="s">
        <v>248</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245</v>
      </c>
      <c r="B32" t="s">
        <v>306</v>
      </c>
      <c r="C32" t="s">
        <v>307</v>
      </c>
      <c r="D32" t="s">
        <v>248</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36</v>
      </c>
      <c r="B33" t="s">
        <v>308</v>
      </c>
      <c r="C33" t="s">
        <v>309</v>
      </c>
      <c r="D33" t="s">
        <v>248</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49</v>
      </c>
    </row>
    <row r="35" spans="1:33" x14ac:dyDescent="0.25">
      <c r="A35" t="s">
        <v>75</v>
      </c>
    </row>
    <row r="36" spans="1:33" x14ac:dyDescent="0.25">
      <c r="A36" t="s">
        <v>249</v>
      </c>
      <c r="B36" t="s">
        <v>310</v>
      </c>
      <c r="C36" t="s">
        <v>311</v>
      </c>
      <c r="D36" t="s">
        <v>250</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42</v>
      </c>
      <c r="B37" t="s">
        <v>312</v>
      </c>
      <c r="C37" t="s">
        <v>313</v>
      </c>
      <c r="D37" t="s">
        <v>250</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31</v>
      </c>
      <c r="B38" t="s">
        <v>314</v>
      </c>
      <c r="C38" t="s">
        <v>315</v>
      </c>
      <c r="D38" t="s">
        <v>250</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59</v>
      </c>
    </row>
    <row r="40" spans="1:33" x14ac:dyDescent="0.25">
      <c r="A40" t="s">
        <v>249</v>
      </c>
      <c r="B40" t="s">
        <v>316</v>
      </c>
      <c r="C40" t="s">
        <v>317</v>
      </c>
      <c r="D40" t="s">
        <v>250</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42</v>
      </c>
      <c r="B41" t="s">
        <v>318</v>
      </c>
      <c r="C41" t="s">
        <v>319</v>
      </c>
      <c r="D41" t="s">
        <v>250</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251</v>
      </c>
    </row>
    <row r="43" spans="1:33" x14ac:dyDescent="0.25">
      <c r="A43" t="s">
        <v>249</v>
      </c>
      <c r="B43" t="s">
        <v>320</v>
      </c>
      <c r="C43" t="s">
        <v>321</v>
      </c>
      <c r="D43" t="s">
        <v>250</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42</v>
      </c>
      <c r="B44" t="s">
        <v>322</v>
      </c>
      <c r="C44" t="s">
        <v>323</v>
      </c>
      <c r="D44" t="s">
        <v>250</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31</v>
      </c>
      <c r="B45" t="s">
        <v>324</v>
      </c>
      <c r="C45" t="s">
        <v>325</v>
      </c>
      <c r="D45" t="s">
        <v>250</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252</v>
      </c>
    </row>
    <row r="47" spans="1:33" x14ac:dyDescent="0.25">
      <c r="A47" t="s">
        <v>249</v>
      </c>
      <c r="B47" t="s">
        <v>326</v>
      </c>
      <c r="C47" t="s">
        <v>327</v>
      </c>
      <c r="D47" t="s">
        <v>253</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254</v>
      </c>
    </row>
    <row r="49" spans="1:33" x14ac:dyDescent="0.25">
      <c r="A49" t="s">
        <v>249</v>
      </c>
      <c r="B49" t="s">
        <v>328</v>
      </c>
      <c r="C49" t="s">
        <v>329</v>
      </c>
      <c r="D49" t="s">
        <v>250</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42</v>
      </c>
      <c r="B50" t="s">
        <v>330</v>
      </c>
      <c r="C50" t="s">
        <v>331</v>
      </c>
      <c r="D50" t="s">
        <v>250</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255</v>
      </c>
    </row>
    <row r="52" spans="1:33" x14ac:dyDescent="0.25">
      <c r="A52" t="s">
        <v>256</v>
      </c>
    </row>
    <row r="53" spans="1:33" x14ac:dyDescent="0.25">
      <c r="A53" t="s">
        <v>249</v>
      </c>
      <c r="B53" t="s">
        <v>332</v>
      </c>
      <c r="C53" t="s">
        <v>333</v>
      </c>
      <c r="D53" t="s">
        <v>257</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258</v>
      </c>
    </row>
    <row r="55" spans="1:33" x14ac:dyDescent="0.25">
      <c r="A55" t="s">
        <v>249</v>
      </c>
      <c r="B55" t="s">
        <v>334</v>
      </c>
      <c r="C55" t="s">
        <v>335</v>
      </c>
      <c r="D55" t="s">
        <v>250</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79</v>
      </c>
    </row>
    <row r="57" spans="1:33" x14ac:dyDescent="0.25">
      <c r="A57" t="s">
        <v>80</v>
      </c>
    </row>
    <row r="58" spans="1:33" x14ac:dyDescent="0.25">
      <c r="A58" t="s">
        <v>81</v>
      </c>
    </row>
    <row r="59" spans="1:33" x14ac:dyDescent="0.25">
      <c r="A59" t="s">
        <v>259</v>
      </c>
      <c r="B59" t="s">
        <v>336</v>
      </c>
      <c r="C59" t="s">
        <v>337</v>
      </c>
      <c r="D59" t="s">
        <v>83</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42</v>
      </c>
      <c r="B60" t="s">
        <v>338</v>
      </c>
      <c r="C60" t="s">
        <v>339</v>
      </c>
      <c r="D60" t="s">
        <v>83</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84</v>
      </c>
      <c r="B61" t="s">
        <v>340</v>
      </c>
      <c r="C61" t="s">
        <v>341</v>
      </c>
      <c r="D61" t="s">
        <v>83</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85</v>
      </c>
      <c r="B62" t="s">
        <v>342</v>
      </c>
      <c r="C62" t="s">
        <v>343</v>
      </c>
      <c r="D62" t="s">
        <v>83</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245</v>
      </c>
      <c r="B63" t="s">
        <v>344</v>
      </c>
      <c r="C63" t="s">
        <v>345</v>
      </c>
      <c r="D63" t="s">
        <v>83</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36</v>
      </c>
      <c r="B64" t="s">
        <v>346</v>
      </c>
      <c r="C64" t="s">
        <v>347</v>
      </c>
      <c r="D64" t="s">
        <v>83</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86</v>
      </c>
    </row>
    <row r="66" spans="1:33" x14ac:dyDescent="0.25">
      <c r="A66" t="s">
        <v>259</v>
      </c>
      <c r="B66" t="s">
        <v>348</v>
      </c>
      <c r="C66" t="s">
        <v>349</v>
      </c>
      <c r="D66" t="s">
        <v>87</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42</v>
      </c>
      <c r="B67" t="s">
        <v>350</v>
      </c>
      <c r="C67" t="s">
        <v>351</v>
      </c>
      <c r="D67" t="s">
        <v>87</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84</v>
      </c>
      <c r="B68" t="s">
        <v>352</v>
      </c>
      <c r="C68" t="s">
        <v>214</v>
      </c>
      <c r="D68" t="s">
        <v>87</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85</v>
      </c>
      <c r="B69" t="s">
        <v>353</v>
      </c>
      <c r="C69" t="s">
        <v>216</v>
      </c>
      <c r="D69" t="s">
        <v>87</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245</v>
      </c>
      <c r="B70" t="s">
        <v>354</v>
      </c>
      <c r="C70" t="s">
        <v>355</v>
      </c>
      <c r="D70" t="s">
        <v>87</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36</v>
      </c>
      <c r="B71" t="s">
        <v>356</v>
      </c>
      <c r="C71" t="s">
        <v>218</v>
      </c>
      <c r="D71" t="s">
        <v>87</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88</v>
      </c>
    </row>
    <row r="73" spans="1:33" x14ac:dyDescent="0.25">
      <c r="A73" t="s">
        <v>89</v>
      </c>
      <c r="B73" t="s">
        <v>357</v>
      </c>
      <c r="C73" t="s">
        <v>220</v>
      </c>
      <c r="D73" t="s">
        <v>87</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90</v>
      </c>
      <c r="B74" t="s">
        <v>358</v>
      </c>
      <c r="C74" t="s">
        <v>222</v>
      </c>
      <c r="D74" t="s">
        <v>87</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91</v>
      </c>
    </row>
    <row r="76" spans="1:33" x14ac:dyDescent="0.25">
      <c r="A76" t="s">
        <v>259</v>
      </c>
      <c r="B76" t="s">
        <v>359</v>
      </c>
      <c r="C76" t="s">
        <v>360</v>
      </c>
      <c r="D76" t="s">
        <v>92</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42</v>
      </c>
      <c r="B77" t="s">
        <v>361</v>
      </c>
      <c r="C77" t="s">
        <v>362</v>
      </c>
      <c r="D77" t="s">
        <v>92</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84</v>
      </c>
      <c r="B78" t="s">
        <v>363</v>
      </c>
      <c r="C78" t="s">
        <v>226</v>
      </c>
      <c r="D78" t="s">
        <v>92</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85</v>
      </c>
      <c r="B79" t="s">
        <v>364</v>
      </c>
      <c r="C79" t="s">
        <v>228</v>
      </c>
      <c r="D79" t="s">
        <v>92</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245</v>
      </c>
      <c r="B80" t="s">
        <v>365</v>
      </c>
      <c r="C80" t="s">
        <v>366</v>
      </c>
      <c r="D80" t="s">
        <v>92</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36</v>
      </c>
      <c r="B81" t="s">
        <v>367</v>
      </c>
      <c r="C81" t="s">
        <v>230</v>
      </c>
      <c r="D81" t="s">
        <v>92</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86" t="s">
        <v>368</v>
      </c>
      <c r="B1" s="83"/>
    </row>
    <row r="2" spans="1:7" ht="24" customHeight="1" x14ac:dyDescent="0.25">
      <c r="A2" s="82" t="s">
        <v>369</v>
      </c>
      <c r="B2" s="83"/>
      <c r="C2" s="83"/>
      <c r="D2" s="83"/>
      <c r="E2" s="83"/>
      <c r="F2" s="83"/>
      <c r="G2" s="83"/>
    </row>
    <row r="3" spans="1:7" ht="24" customHeight="1" thickBot="1" x14ac:dyDescent="0.3">
      <c r="A3" s="17"/>
      <c r="B3" s="77" t="s">
        <v>370</v>
      </c>
      <c r="C3" s="78"/>
      <c r="D3" s="78"/>
      <c r="E3" s="78"/>
      <c r="F3" s="78"/>
      <c r="G3" s="78"/>
    </row>
    <row r="4" spans="1:7" ht="23.25" customHeight="1" thickTop="1" x14ac:dyDescent="0.25">
      <c r="A4" s="17"/>
      <c r="B4" s="19"/>
      <c r="C4" s="79" t="s">
        <v>371</v>
      </c>
      <c r="D4" s="80"/>
      <c r="E4" s="80"/>
      <c r="F4" s="80"/>
      <c r="G4" s="81"/>
    </row>
    <row r="5" spans="1:7" ht="46.5" customHeight="1" thickBot="1" x14ac:dyDescent="0.3">
      <c r="A5" s="20"/>
      <c r="B5" s="4" t="s">
        <v>372</v>
      </c>
      <c r="C5" s="4" t="s">
        <v>373</v>
      </c>
      <c r="D5" s="4" t="s">
        <v>374</v>
      </c>
      <c r="E5" s="4" t="s">
        <v>375</v>
      </c>
      <c r="F5" s="4" t="s">
        <v>376</v>
      </c>
      <c r="G5" s="4" t="s">
        <v>377</v>
      </c>
    </row>
    <row r="6" spans="1:7" ht="24" customHeight="1" thickTop="1" x14ac:dyDescent="0.25">
      <c r="A6" s="21" t="s">
        <v>378</v>
      </c>
      <c r="B6" s="22">
        <v>123.53</v>
      </c>
      <c r="C6" s="22">
        <v>77.069999999999993</v>
      </c>
      <c r="D6" s="22">
        <v>7.45</v>
      </c>
      <c r="E6" s="22">
        <v>9.34</v>
      </c>
      <c r="F6" s="22">
        <v>22.84</v>
      </c>
      <c r="G6" s="22">
        <v>6.83</v>
      </c>
    </row>
    <row r="7" spans="1:7" ht="24" customHeight="1" x14ac:dyDescent="0.25">
      <c r="A7" s="23" t="s">
        <v>379</v>
      </c>
      <c r="B7" s="24"/>
      <c r="C7" s="24"/>
      <c r="D7" s="24"/>
      <c r="E7" s="24"/>
      <c r="F7" s="24"/>
      <c r="G7" s="24"/>
    </row>
    <row r="8" spans="1:7" ht="15" customHeight="1" x14ac:dyDescent="0.25">
      <c r="A8" s="7" t="s">
        <v>380</v>
      </c>
      <c r="B8" s="25">
        <v>21.92</v>
      </c>
      <c r="C8" s="25">
        <v>11.23</v>
      </c>
      <c r="D8" s="25">
        <v>1.95</v>
      </c>
      <c r="E8" s="25">
        <v>3.15</v>
      </c>
      <c r="F8" s="25">
        <v>5.0999999999999996</v>
      </c>
      <c r="G8" s="25">
        <v>0.5</v>
      </c>
    </row>
    <row r="9" spans="1:7" x14ac:dyDescent="0.25">
      <c r="A9" s="26" t="s">
        <v>381</v>
      </c>
      <c r="B9" s="25">
        <v>5.88</v>
      </c>
      <c r="C9" s="25">
        <v>3.34</v>
      </c>
      <c r="D9" s="25">
        <v>0.3</v>
      </c>
      <c r="E9" s="25">
        <v>0.99</v>
      </c>
      <c r="F9" s="25">
        <v>1.1000000000000001</v>
      </c>
      <c r="G9" s="25">
        <v>0.14000000000000001</v>
      </c>
    </row>
    <row r="10" spans="1:7" x14ac:dyDescent="0.25">
      <c r="A10" s="26" t="s">
        <v>382</v>
      </c>
      <c r="B10" s="25">
        <v>16.04</v>
      </c>
      <c r="C10" s="25">
        <v>7.89</v>
      </c>
      <c r="D10" s="25">
        <v>1.65</v>
      </c>
      <c r="E10" s="25">
        <v>2.15</v>
      </c>
      <c r="F10" s="25">
        <v>3.99</v>
      </c>
      <c r="G10" s="25">
        <v>0.36</v>
      </c>
    </row>
    <row r="11" spans="1:7" x14ac:dyDescent="0.25">
      <c r="A11" s="7" t="s">
        <v>383</v>
      </c>
      <c r="B11" s="25">
        <v>27.04</v>
      </c>
      <c r="C11" s="25">
        <v>18.579999999999998</v>
      </c>
      <c r="D11" s="25">
        <v>1.33</v>
      </c>
      <c r="E11" s="25">
        <v>1.95</v>
      </c>
      <c r="F11" s="25">
        <v>4.2</v>
      </c>
      <c r="G11" s="25">
        <v>0.97</v>
      </c>
    </row>
    <row r="12" spans="1:7" x14ac:dyDescent="0.25">
      <c r="A12" s="26" t="s">
        <v>384</v>
      </c>
      <c r="B12" s="25">
        <v>18.55</v>
      </c>
      <c r="C12" s="25">
        <v>12.59</v>
      </c>
      <c r="D12" s="25">
        <v>0.91</v>
      </c>
      <c r="E12" s="25">
        <v>1.49</v>
      </c>
      <c r="F12" s="25">
        <v>2.94</v>
      </c>
      <c r="G12" s="25">
        <v>0.63</v>
      </c>
    </row>
    <row r="13" spans="1:7" ht="15" customHeight="1" x14ac:dyDescent="0.25">
      <c r="A13" s="26" t="s">
        <v>385</v>
      </c>
      <c r="B13" s="25">
        <v>8.5</v>
      </c>
      <c r="C13" s="25">
        <v>5.99</v>
      </c>
      <c r="D13" s="25">
        <v>0.43</v>
      </c>
      <c r="E13" s="25">
        <v>0.47</v>
      </c>
      <c r="F13" s="25">
        <v>1.26</v>
      </c>
      <c r="G13" s="25">
        <v>0.35</v>
      </c>
    </row>
    <row r="14" spans="1:7" x14ac:dyDescent="0.25">
      <c r="A14" s="7" t="s">
        <v>386</v>
      </c>
      <c r="B14" s="25">
        <v>46.84</v>
      </c>
      <c r="C14" s="25">
        <v>30.29</v>
      </c>
      <c r="D14" s="25">
        <v>2.48</v>
      </c>
      <c r="E14" s="25">
        <v>2.36</v>
      </c>
      <c r="F14" s="25">
        <v>7.83</v>
      </c>
      <c r="G14" s="25">
        <v>3.89</v>
      </c>
    </row>
    <row r="15" spans="1:7" x14ac:dyDescent="0.25">
      <c r="A15" s="26" t="s">
        <v>387</v>
      </c>
      <c r="B15" s="25">
        <v>24.84</v>
      </c>
      <c r="C15" s="25">
        <v>15.25</v>
      </c>
      <c r="D15" s="25">
        <v>1.92</v>
      </c>
      <c r="E15" s="25">
        <v>1.17</v>
      </c>
      <c r="F15" s="25">
        <v>4.51</v>
      </c>
      <c r="G15" s="25">
        <v>2</v>
      </c>
    </row>
    <row r="16" spans="1:7" x14ac:dyDescent="0.25">
      <c r="A16" s="26" t="s">
        <v>388</v>
      </c>
      <c r="B16" s="25">
        <v>7.38</v>
      </c>
      <c r="C16" s="25">
        <v>5.17</v>
      </c>
      <c r="D16" s="25">
        <v>0.19</v>
      </c>
      <c r="E16" s="25">
        <v>0.41</v>
      </c>
      <c r="F16" s="25">
        <v>0.84</v>
      </c>
      <c r="G16" s="25">
        <v>0.77</v>
      </c>
    </row>
    <row r="17" spans="1:7" ht="15" customHeight="1" x14ac:dyDescent="0.25">
      <c r="A17" s="26" t="s">
        <v>389</v>
      </c>
      <c r="B17" s="25">
        <v>14.62</v>
      </c>
      <c r="C17" s="25">
        <v>9.8699999999999992</v>
      </c>
      <c r="D17" s="25">
        <v>0.36</v>
      </c>
      <c r="E17" s="25">
        <v>0.78</v>
      </c>
      <c r="F17" s="25">
        <v>2.48</v>
      </c>
      <c r="G17" s="25">
        <v>1.1200000000000001</v>
      </c>
    </row>
    <row r="18" spans="1:7" x14ac:dyDescent="0.25">
      <c r="A18" s="7" t="s">
        <v>390</v>
      </c>
      <c r="B18" s="25">
        <v>27.72</v>
      </c>
      <c r="C18" s="25">
        <v>16.97</v>
      </c>
      <c r="D18" s="25">
        <v>1.69</v>
      </c>
      <c r="E18" s="25">
        <v>1.89</v>
      </c>
      <c r="F18" s="25">
        <v>5.7</v>
      </c>
      <c r="G18" s="25">
        <v>1.47</v>
      </c>
    </row>
    <row r="19" spans="1:7" x14ac:dyDescent="0.25">
      <c r="A19" s="26" t="s">
        <v>391</v>
      </c>
      <c r="B19" s="25">
        <v>9.2200000000000006</v>
      </c>
      <c r="C19" s="25">
        <v>6.06</v>
      </c>
      <c r="D19" s="25">
        <v>0.5</v>
      </c>
      <c r="E19" s="25">
        <v>0.52</v>
      </c>
      <c r="F19" s="25">
        <v>1.47</v>
      </c>
      <c r="G19" s="25">
        <v>0.67</v>
      </c>
    </row>
    <row r="20" spans="1:7" x14ac:dyDescent="0.25">
      <c r="A20" s="27" t="s">
        <v>392</v>
      </c>
      <c r="B20" s="25">
        <v>4.62</v>
      </c>
      <c r="C20" s="25">
        <v>3.1</v>
      </c>
      <c r="D20" s="25">
        <v>0.28999999999999998</v>
      </c>
      <c r="E20" s="25">
        <v>0.26</v>
      </c>
      <c r="F20" s="25">
        <v>0.73</v>
      </c>
      <c r="G20" s="25">
        <v>0.24</v>
      </c>
    </row>
    <row r="21" spans="1:7" x14ac:dyDescent="0.25">
      <c r="A21" s="27" t="s">
        <v>393</v>
      </c>
      <c r="B21" s="25">
        <v>4.5999999999999996</v>
      </c>
      <c r="C21" s="25">
        <v>2.96</v>
      </c>
      <c r="D21" s="25">
        <v>0.21</v>
      </c>
      <c r="E21" s="25">
        <v>0.26</v>
      </c>
      <c r="F21" s="25">
        <v>0.74</v>
      </c>
      <c r="G21" s="25">
        <v>0.43</v>
      </c>
    </row>
    <row r="22" spans="1:7" x14ac:dyDescent="0.25">
      <c r="A22" s="26" t="s">
        <v>394</v>
      </c>
      <c r="B22" s="25">
        <v>18.510000000000002</v>
      </c>
      <c r="C22" s="25">
        <v>10.91</v>
      </c>
      <c r="D22" s="25">
        <v>1.19</v>
      </c>
      <c r="E22" s="25">
        <v>1.36</v>
      </c>
      <c r="F22" s="25">
        <v>4.24</v>
      </c>
      <c r="G22" s="25">
        <v>0.8</v>
      </c>
    </row>
    <row r="23" spans="1:7" ht="24" customHeight="1" x14ac:dyDescent="0.25">
      <c r="A23" s="23" t="s">
        <v>395</v>
      </c>
      <c r="B23" s="24"/>
      <c r="C23" s="24"/>
      <c r="D23" s="24"/>
      <c r="E23" s="24"/>
      <c r="F23" s="24"/>
      <c r="G23" s="24"/>
    </row>
    <row r="24" spans="1:7" x14ac:dyDescent="0.25">
      <c r="A24" s="7" t="s">
        <v>15</v>
      </c>
      <c r="B24" s="25">
        <v>100.44</v>
      </c>
      <c r="C24" s="25">
        <v>58.8</v>
      </c>
      <c r="D24" s="25">
        <v>7.04</v>
      </c>
      <c r="E24" s="25">
        <v>9.02</v>
      </c>
      <c r="F24" s="25">
        <v>22.27</v>
      </c>
      <c r="G24" s="25">
        <v>3.31</v>
      </c>
    </row>
    <row r="25" spans="1:7" s="6" customFormat="1" x14ac:dyDescent="0.25">
      <c r="A25" s="26" t="s">
        <v>396</v>
      </c>
      <c r="B25" s="25">
        <v>89.24</v>
      </c>
      <c r="C25" s="25">
        <v>50.99</v>
      </c>
      <c r="D25" s="25">
        <v>6.57</v>
      </c>
      <c r="E25" s="25">
        <v>7.95</v>
      </c>
      <c r="F25" s="25">
        <v>21.2</v>
      </c>
      <c r="G25" s="25">
        <v>2.5299999999999998</v>
      </c>
    </row>
    <row r="26" spans="1:7" s="6" customFormat="1" x14ac:dyDescent="0.25">
      <c r="A26" s="26" t="s">
        <v>397</v>
      </c>
      <c r="B26" s="25">
        <v>11.2</v>
      </c>
      <c r="C26" s="25">
        <v>7.82</v>
      </c>
      <c r="D26" s="25">
        <v>0.47</v>
      </c>
      <c r="E26" s="25">
        <v>1.07</v>
      </c>
      <c r="F26" s="25">
        <v>1.07</v>
      </c>
      <c r="G26" s="25">
        <v>0.77</v>
      </c>
    </row>
    <row r="27" spans="1:7" x14ac:dyDescent="0.25">
      <c r="A27" s="7" t="s">
        <v>16</v>
      </c>
      <c r="B27" s="25">
        <v>23.09</v>
      </c>
      <c r="C27" s="25">
        <v>18.27</v>
      </c>
      <c r="D27" s="25">
        <v>0.41</v>
      </c>
      <c r="E27" s="25">
        <v>0.32</v>
      </c>
      <c r="F27" s="25">
        <v>0.56999999999999995</v>
      </c>
      <c r="G27" s="25">
        <v>3.52</v>
      </c>
    </row>
    <row r="28" spans="1:7" ht="33.950000000000003" customHeight="1" x14ac:dyDescent="0.25">
      <c r="A28" s="23" t="s">
        <v>398</v>
      </c>
      <c r="B28" s="24"/>
      <c r="C28" s="24"/>
      <c r="D28" s="24"/>
      <c r="E28" s="24"/>
      <c r="F28" s="24"/>
      <c r="G28" s="24"/>
    </row>
    <row r="29" spans="1:7" x14ac:dyDescent="0.25">
      <c r="A29" s="7" t="s">
        <v>399</v>
      </c>
      <c r="B29" s="25">
        <v>42.5</v>
      </c>
      <c r="C29" s="25">
        <v>28.04</v>
      </c>
      <c r="D29" s="25">
        <v>2.4300000000000002</v>
      </c>
      <c r="E29" s="25">
        <v>3.78</v>
      </c>
      <c r="F29" s="25">
        <v>6.74</v>
      </c>
      <c r="G29" s="25">
        <v>1.52</v>
      </c>
    </row>
    <row r="30" spans="1:7" x14ac:dyDescent="0.25">
      <c r="A30" s="7" t="s">
        <v>400</v>
      </c>
      <c r="B30" s="25">
        <v>36.79</v>
      </c>
      <c r="C30" s="25">
        <v>21.89</v>
      </c>
      <c r="D30" s="25">
        <v>2.8</v>
      </c>
      <c r="E30" s="25">
        <v>2.72</v>
      </c>
      <c r="F30" s="25">
        <v>7.03</v>
      </c>
      <c r="G30" s="25">
        <v>2.35</v>
      </c>
    </row>
    <row r="31" spans="1:7" x14ac:dyDescent="0.25">
      <c r="A31" s="7" t="s">
        <v>401</v>
      </c>
      <c r="B31" s="25">
        <v>15.06</v>
      </c>
      <c r="C31" s="25">
        <v>9.07</v>
      </c>
      <c r="D31" s="25">
        <v>0.9</v>
      </c>
      <c r="E31" s="25">
        <v>1.1200000000000001</v>
      </c>
      <c r="F31" s="25">
        <v>3.12</v>
      </c>
      <c r="G31" s="25">
        <v>0.83</v>
      </c>
    </row>
    <row r="32" spans="1:7" ht="24" customHeight="1" x14ac:dyDescent="0.25">
      <c r="A32" s="7" t="s">
        <v>402</v>
      </c>
      <c r="B32" s="25">
        <v>22.31</v>
      </c>
      <c r="C32" s="25">
        <v>13.98</v>
      </c>
      <c r="D32" s="25">
        <v>0.92</v>
      </c>
      <c r="E32" s="25">
        <v>1.25</v>
      </c>
      <c r="F32" s="25">
        <v>4.37</v>
      </c>
      <c r="G32" s="25">
        <v>1.8</v>
      </c>
    </row>
    <row r="33" spans="1:7" x14ac:dyDescent="0.25">
      <c r="A33" s="7" t="s">
        <v>403</v>
      </c>
      <c r="B33" s="25">
        <v>6.87</v>
      </c>
      <c r="C33" s="25">
        <v>4.09</v>
      </c>
      <c r="D33" s="25">
        <v>0.4</v>
      </c>
      <c r="E33" s="25">
        <v>0.48</v>
      </c>
      <c r="F33" s="25">
        <v>1.57</v>
      </c>
      <c r="G33" s="25">
        <v>0.34</v>
      </c>
    </row>
    <row r="34" spans="1:7" x14ac:dyDescent="0.25">
      <c r="A34" s="23" t="s">
        <v>404</v>
      </c>
      <c r="B34" s="24"/>
      <c r="C34" s="24"/>
      <c r="D34" s="24"/>
      <c r="E34" s="24"/>
      <c r="F34" s="24"/>
      <c r="G34" s="24"/>
    </row>
    <row r="35" spans="1:7" x14ac:dyDescent="0.25">
      <c r="A35" s="7" t="s">
        <v>405</v>
      </c>
      <c r="B35" s="25">
        <v>20.260000000000002</v>
      </c>
      <c r="C35" s="25">
        <v>13.58</v>
      </c>
      <c r="D35" s="25">
        <v>1.1399999999999999</v>
      </c>
      <c r="E35" s="25">
        <v>2.36</v>
      </c>
      <c r="F35" s="25">
        <v>3.08</v>
      </c>
      <c r="G35" s="25">
        <v>0.09</v>
      </c>
    </row>
    <row r="36" spans="1:7" x14ac:dyDescent="0.25">
      <c r="A36" s="7" t="s">
        <v>406</v>
      </c>
      <c r="B36" s="25">
        <v>12.48</v>
      </c>
      <c r="C36" s="25">
        <v>9.9</v>
      </c>
      <c r="D36" s="25">
        <v>0.4</v>
      </c>
      <c r="E36" s="25">
        <v>0.77</v>
      </c>
      <c r="F36" s="25">
        <v>1.25</v>
      </c>
      <c r="G36" s="25">
        <v>0.16</v>
      </c>
    </row>
    <row r="37" spans="1:7" x14ac:dyDescent="0.25">
      <c r="A37" s="7" t="s">
        <v>407</v>
      </c>
      <c r="B37" s="25">
        <v>12.76</v>
      </c>
      <c r="C37" s="25">
        <v>8.23</v>
      </c>
      <c r="D37" s="25">
        <v>0.63</v>
      </c>
      <c r="E37" s="25">
        <v>1.1200000000000001</v>
      </c>
      <c r="F37" s="25">
        <v>2.41</v>
      </c>
      <c r="G37" s="25">
        <v>0.37</v>
      </c>
    </row>
    <row r="38" spans="1:7" ht="24" customHeight="1" x14ac:dyDescent="0.25">
      <c r="A38" s="7" t="s">
        <v>408</v>
      </c>
      <c r="B38" s="25">
        <v>18.34</v>
      </c>
      <c r="C38" s="25">
        <v>10.46</v>
      </c>
      <c r="D38" s="25">
        <v>0.97</v>
      </c>
      <c r="E38" s="25">
        <v>1.56</v>
      </c>
      <c r="F38" s="25">
        <v>4.01</v>
      </c>
      <c r="G38" s="25">
        <v>1.34</v>
      </c>
    </row>
    <row r="39" spans="1:7" x14ac:dyDescent="0.25">
      <c r="A39" s="7" t="s">
        <v>409</v>
      </c>
      <c r="B39" s="25">
        <v>16.3</v>
      </c>
      <c r="C39" s="25">
        <v>8.67</v>
      </c>
      <c r="D39" s="25">
        <v>1.26</v>
      </c>
      <c r="E39" s="25">
        <v>1.43</v>
      </c>
      <c r="F39" s="25">
        <v>3.6</v>
      </c>
      <c r="G39" s="25">
        <v>1.33</v>
      </c>
    </row>
    <row r="40" spans="1:7" x14ac:dyDescent="0.25">
      <c r="A40" s="7" t="s">
        <v>410</v>
      </c>
      <c r="B40" s="25">
        <v>17.16</v>
      </c>
      <c r="C40" s="25">
        <v>10.65</v>
      </c>
      <c r="D40" s="25">
        <v>1.08</v>
      </c>
      <c r="E40" s="25">
        <v>0.95</v>
      </c>
      <c r="F40" s="25">
        <v>2.5499999999999998</v>
      </c>
      <c r="G40" s="25">
        <v>1.92</v>
      </c>
    </row>
    <row r="41" spans="1:7" x14ac:dyDescent="0.25">
      <c r="A41" s="7" t="s">
        <v>411</v>
      </c>
      <c r="B41" s="25">
        <v>16.16</v>
      </c>
      <c r="C41" s="25">
        <v>9.98</v>
      </c>
      <c r="D41" s="25">
        <v>1.31</v>
      </c>
      <c r="E41" s="25">
        <v>0.72</v>
      </c>
      <c r="F41" s="25">
        <v>3.17</v>
      </c>
      <c r="G41" s="25">
        <v>0.98</v>
      </c>
    </row>
    <row r="42" spans="1:7" x14ac:dyDescent="0.25">
      <c r="A42" s="7" t="s">
        <v>412</v>
      </c>
      <c r="B42" s="25">
        <v>5.53</v>
      </c>
      <c r="C42" s="25">
        <v>3.05</v>
      </c>
      <c r="D42" s="25">
        <v>0.37</v>
      </c>
      <c r="E42" s="25">
        <v>0.26</v>
      </c>
      <c r="F42" s="25">
        <v>1.52</v>
      </c>
      <c r="G42" s="25">
        <v>0.32</v>
      </c>
    </row>
    <row r="43" spans="1:7" x14ac:dyDescent="0.25">
      <c r="A43" s="7" t="s">
        <v>413</v>
      </c>
      <c r="B43" s="25">
        <v>4.5599999999999996</v>
      </c>
      <c r="C43" s="25">
        <v>2.5299999999999998</v>
      </c>
      <c r="D43" s="25">
        <v>0.28999999999999998</v>
      </c>
      <c r="E43" s="25">
        <v>0.18</v>
      </c>
      <c r="F43" s="25">
        <v>1.26</v>
      </c>
      <c r="G43" s="25">
        <v>0.31</v>
      </c>
    </row>
    <row r="44" spans="1:7" x14ac:dyDescent="0.25">
      <c r="A44" s="23" t="s">
        <v>414</v>
      </c>
      <c r="B44" s="24"/>
      <c r="C44" s="24"/>
      <c r="D44" s="24"/>
      <c r="E44" s="24"/>
      <c r="F44" s="24"/>
      <c r="G44" s="24"/>
    </row>
    <row r="45" spans="1:7" x14ac:dyDescent="0.25">
      <c r="A45" s="7" t="s">
        <v>415</v>
      </c>
      <c r="B45" s="25">
        <v>47.15</v>
      </c>
      <c r="C45" s="25">
        <v>44.59</v>
      </c>
      <c r="D45" s="25">
        <v>2.57</v>
      </c>
      <c r="E45" s="25" t="s">
        <v>416</v>
      </c>
      <c r="F45" s="25" t="s">
        <v>416</v>
      </c>
      <c r="G45" s="25" t="s">
        <v>416</v>
      </c>
    </row>
    <row r="46" spans="1:7" x14ac:dyDescent="0.25">
      <c r="A46" s="7" t="s">
        <v>417</v>
      </c>
      <c r="B46" s="25">
        <v>32.47</v>
      </c>
      <c r="C46" s="25">
        <v>28.53</v>
      </c>
      <c r="D46" s="25">
        <v>3.94</v>
      </c>
      <c r="E46" s="25" t="s">
        <v>416</v>
      </c>
      <c r="F46" s="25" t="s">
        <v>416</v>
      </c>
      <c r="G46" s="25" t="s">
        <v>416</v>
      </c>
    </row>
    <row r="47" spans="1:7" ht="24" customHeight="1" x14ac:dyDescent="0.25">
      <c r="A47" s="7" t="s">
        <v>418</v>
      </c>
      <c r="B47" s="25">
        <v>2.61</v>
      </c>
      <c r="C47" s="25">
        <v>1.76</v>
      </c>
      <c r="D47" s="25">
        <v>0.85</v>
      </c>
      <c r="E47" s="25" t="s">
        <v>416</v>
      </c>
      <c r="F47" s="25" t="s">
        <v>416</v>
      </c>
      <c r="G47" s="25" t="s">
        <v>416</v>
      </c>
    </row>
    <row r="48" spans="1:7" x14ac:dyDescent="0.25">
      <c r="A48" s="7" t="s">
        <v>419</v>
      </c>
      <c r="B48" s="25">
        <v>2.2799999999999998</v>
      </c>
      <c r="C48" s="25">
        <v>2.19</v>
      </c>
      <c r="D48" s="25">
        <v>0.09</v>
      </c>
      <c r="E48" s="25" t="s">
        <v>416</v>
      </c>
      <c r="F48" s="25" t="s">
        <v>416</v>
      </c>
      <c r="G48" s="25" t="s">
        <v>416</v>
      </c>
    </row>
    <row r="49" spans="1:7" ht="27.2" customHeight="1" x14ac:dyDescent="0.25">
      <c r="A49" s="7" t="s">
        <v>420</v>
      </c>
      <c r="B49" s="25">
        <v>39.01</v>
      </c>
      <c r="C49" s="25" t="s">
        <v>416</v>
      </c>
      <c r="D49" s="25" t="s">
        <v>416</v>
      </c>
      <c r="E49" s="25">
        <v>9.34</v>
      </c>
      <c r="F49" s="25">
        <v>22.84</v>
      </c>
      <c r="G49" s="25">
        <v>6.83</v>
      </c>
    </row>
    <row r="50" spans="1:7" x14ac:dyDescent="0.25">
      <c r="A50" s="23" t="s">
        <v>421</v>
      </c>
      <c r="B50" s="24"/>
      <c r="C50" s="24"/>
      <c r="D50" s="24"/>
      <c r="E50" s="24"/>
      <c r="F50" s="24"/>
      <c r="G50" s="24"/>
    </row>
    <row r="51" spans="1:7" ht="27.2" customHeight="1" x14ac:dyDescent="0.25">
      <c r="A51" s="7" t="s">
        <v>422</v>
      </c>
      <c r="B51" s="25">
        <v>45.44</v>
      </c>
      <c r="C51" s="25">
        <v>31.14</v>
      </c>
      <c r="D51" s="25">
        <v>2.83</v>
      </c>
      <c r="E51" s="25">
        <v>2.23</v>
      </c>
      <c r="F51" s="25">
        <v>3.79</v>
      </c>
      <c r="G51" s="25">
        <v>5.45</v>
      </c>
    </row>
    <row r="52" spans="1:7" x14ac:dyDescent="0.25">
      <c r="A52" s="7" t="s">
        <v>423</v>
      </c>
      <c r="B52" s="25">
        <v>33.369999999999997</v>
      </c>
      <c r="C52" s="25">
        <v>17.52</v>
      </c>
      <c r="D52" s="25">
        <v>2.0099999999999998</v>
      </c>
      <c r="E52" s="25">
        <v>3.79</v>
      </c>
      <c r="F52" s="25">
        <v>9.8000000000000007</v>
      </c>
      <c r="G52" s="25">
        <v>0.24</v>
      </c>
    </row>
    <row r="53" spans="1:7" ht="24" customHeight="1" x14ac:dyDescent="0.25">
      <c r="A53" s="7" t="s">
        <v>424</v>
      </c>
      <c r="B53" s="25">
        <v>18.8</v>
      </c>
      <c r="C53" s="25">
        <v>12.63</v>
      </c>
      <c r="D53" s="25">
        <v>0.92</v>
      </c>
      <c r="E53" s="25">
        <v>1.55</v>
      </c>
      <c r="F53" s="25">
        <v>2.86</v>
      </c>
      <c r="G53" s="25">
        <v>0.84</v>
      </c>
    </row>
    <row r="54" spans="1:7" ht="15" customHeight="1" x14ac:dyDescent="0.25">
      <c r="A54" s="7" t="s">
        <v>425</v>
      </c>
      <c r="B54" s="25">
        <v>15.65</v>
      </c>
      <c r="C54" s="25">
        <v>10.54</v>
      </c>
      <c r="D54" s="25">
        <v>1.07</v>
      </c>
      <c r="E54" s="25">
        <v>0.89</v>
      </c>
      <c r="F54" s="25">
        <v>3.08</v>
      </c>
      <c r="G54" s="25">
        <v>0.08</v>
      </c>
    </row>
    <row r="55" spans="1:7" x14ac:dyDescent="0.25">
      <c r="A55" s="7" t="s">
        <v>426</v>
      </c>
      <c r="B55" s="25">
        <v>6.42</v>
      </c>
      <c r="C55" s="25">
        <v>2.89</v>
      </c>
      <c r="D55" s="25">
        <v>0.41</v>
      </c>
      <c r="E55" s="25">
        <v>0.5</v>
      </c>
      <c r="F55" s="25">
        <v>2.56</v>
      </c>
      <c r="G55" s="25" t="s">
        <v>427</v>
      </c>
    </row>
    <row r="56" spans="1:7" x14ac:dyDescent="0.25">
      <c r="A56" s="7" t="s">
        <v>428</v>
      </c>
      <c r="B56" s="25">
        <v>1.89</v>
      </c>
      <c r="C56" s="25">
        <v>1.1599999999999999</v>
      </c>
      <c r="D56" s="25">
        <v>0.11</v>
      </c>
      <c r="E56" s="25">
        <v>0.21</v>
      </c>
      <c r="F56" s="25">
        <v>0.3</v>
      </c>
      <c r="G56" s="25">
        <v>0.11</v>
      </c>
    </row>
    <row r="57" spans="1:7" x14ac:dyDescent="0.25">
      <c r="A57" s="7" t="s">
        <v>429</v>
      </c>
      <c r="B57" s="25">
        <v>1.46</v>
      </c>
      <c r="C57" s="25">
        <v>0.94</v>
      </c>
      <c r="D57" s="25">
        <v>0.08</v>
      </c>
      <c r="E57" s="25">
        <v>0.14000000000000001</v>
      </c>
      <c r="F57" s="25">
        <v>0.31</v>
      </c>
      <c r="G57" s="25" t="s">
        <v>416</v>
      </c>
    </row>
    <row r="58" spans="1:7" x14ac:dyDescent="0.25">
      <c r="A58" s="7" t="s">
        <v>430</v>
      </c>
      <c r="B58" s="25">
        <v>0.5</v>
      </c>
      <c r="C58" s="25">
        <v>0.26</v>
      </c>
      <c r="D58" s="25" t="s">
        <v>427</v>
      </c>
      <c r="E58" s="25" t="s">
        <v>427</v>
      </c>
      <c r="F58" s="25">
        <v>0.14000000000000001</v>
      </c>
      <c r="G58" s="25" t="s">
        <v>427</v>
      </c>
    </row>
    <row r="59" spans="1:7" x14ac:dyDescent="0.25">
      <c r="A59" s="23" t="s">
        <v>431</v>
      </c>
      <c r="B59" s="24"/>
      <c r="C59" s="24"/>
      <c r="D59" s="24"/>
      <c r="E59" s="24"/>
      <c r="F59" s="24"/>
      <c r="G59" s="24"/>
    </row>
    <row r="60" spans="1:7" x14ac:dyDescent="0.25">
      <c r="A60" s="7" t="s">
        <v>432</v>
      </c>
      <c r="B60" s="25">
        <v>76.03</v>
      </c>
      <c r="C60" s="25">
        <v>61.56</v>
      </c>
      <c r="D60" s="25">
        <v>5.49</v>
      </c>
      <c r="E60" s="25">
        <v>5.89</v>
      </c>
      <c r="F60" s="25" t="s">
        <v>416</v>
      </c>
      <c r="G60" s="25">
        <v>3.09</v>
      </c>
    </row>
    <row r="61" spans="1:7" x14ac:dyDescent="0.25">
      <c r="A61" s="7" t="s">
        <v>433</v>
      </c>
      <c r="B61" s="25">
        <v>9.69</v>
      </c>
      <c r="C61" s="25">
        <v>5.87</v>
      </c>
      <c r="D61" s="25">
        <v>0.28000000000000003</v>
      </c>
      <c r="E61" s="25">
        <v>0.46</v>
      </c>
      <c r="F61" s="25" t="s">
        <v>416</v>
      </c>
      <c r="G61" s="25">
        <v>3.08</v>
      </c>
    </row>
    <row r="62" spans="1:7" ht="24" customHeight="1" x14ac:dyDescent="0.25">
      <c r="A62" s="7" t="s">
        <v>434</v>
      </c>
      <c r="B62" s="25">
        <v>5.19</v>
      </c>
      <c r="C62" s="25">
        <v>3.06</v>
      </c>
      <c r="D62" s="25">
        <v>0.55000000000000004</v>
      </c>
      <c r="E62" s="25">
        <v>1.23</v>
      </c>
      <c r="F62" s="25" t="s">
        <v>416</v>
      </c>
      <c r="G62" s="25">
        <v>0.35</v>
      </c>
    </row>
    <row r="63" spans="1:7" x14ac:dyDescent="0.25">
      <c r="A63" s="7" t="s">
        <v>435</v>
      </c>
      <c r="B63" s="25">
        <v>4.8899999999999997</v>
      </c>
      <c r="C63" s="25">
        <v>3.6</v>
      </c>
      <c r="D63" s="25">
        <v>0.59</v>
      </c>
      <c r="E63" s="25">
        <v>0.66</v>
      </c>
      <c r="F63" s="25" t="s">
        <v>416</v>
      </c>
      <c r="G63" s="25" t="s">
        <v>427</v>
      </c>
    </row>
    <row r="64" spans="1:7" x14ac:dyDescent="0.25">
      <c r="A64" s="7" t="s">
        <v>436</v>
      </c>
      <c r="B64" s="25">
        <v>2.14</v>
      </c>
      <c r="C64" s="25">
        <v>1.58</v>
      </c>
      <c r="D64" s="25">
        <v>0.11</v>
      </c>
      <c r="E64" s="25">
        <v>0.43</v>
      </c>
      <c r="F64" s="25" t="s">
        <v>416</v>
      </c>
      <c r="G64" s="25" t="s">
        <v>427</v>
      </c>
    </row>
    <row r="65" spans="1:7" x14ac:dyDescent="0.25">
      <c r="A65" s="7" t="s">
        <v>437</v>
      </c>
      <c r="B65" s="25">
        <v>1.49</v>
      </c>
      <c r="C65" s="25">
        <v>0.73</v>
      </c>
      <c r="D65" s="25">
        <v>0.18</v>
      </c>
      <c r="E65" s="25">
        <v>0.51</v>
      </c>
      <c r="F65" s="25" t="s">
        <v>416</v>
      </c>
      <c r="G65" s="25">
        <v>0.08</v>
      </c>
    </row>
    <row r="66" spans="1:7" x14ac:dyDescent="0.25">
      <c r="A66" s="7" t="s">
        <v>430</v>
      </c>
      <c r="B66" s="25">
        <v>1.26</v>
      </c>
      <c r="C66" s="25">
        <v>0.67</v>
      </c>
      <c r="D66" s="25">
        <v>0.27</v>
      </c>
      <c r="E66" s="25">
        <v>0.15</v>
      </c>
      <c r="F66" s="25" t="s">
        <v>416</v>
      </c>
      <c r="G66" s="25">
        <v>0.18</v>
      </c>
    </row>
    <row r="67" spans="1:7" ht="27.2" customHeight="1" x14ac:dyDescent="0.25">
      <c r="A67" s="7" t="s">
        <v>438</v>
      </c>
      <c r="B67" s="25">
        <v>22.84</v>
      </c>
      <c r="C67" s="25" t="s">
        <v>416</v>
      </c>
      <c r="D67" s="25" t="s">
        <v>416</v>
      </c>
      <c r="E67" s="25" t="s">
        <v>416</v>
      </c>
      <c r="F67" s="25">
        <v>22.84</v>
      </c>
      <c r="G67" s="25" t="s">
        <v>416</v>
      </c>
    </row>
    <row r="68" spans="1:7" ht="27.2" customHeight="1" x14ac:dyDescent="0.25">
      <c r="A68" s="23" t="s">
        <v>439</v>
      </c>
      <c r="B68" s="24"/>
      <c r="C68" s="24"/>
      <c r="D68" s="24"/>
      <c r="E68" s="24"/>
      <c r="F68" s="24"/>
      <c r="G68" s="24"/>
    </row>
    <row r="69" spans="1:7" x14ac:dyDescent="0.25">
      <c r="A69" s="28" t="s">
        <v>440</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441</v>
      </c>
      <c r="B76" s="25">
        <v>19.899999999999999</v>
      </c>
      <c r="C76" s="25">
        <v>18.73</v>
      </c>
      <c r="D76" s="25">
        <v>0.51</v>
      </c>
      <c r="E76" s="25">
        <v>0.25</v>
      </c>
      <c r="F76" s="25">
        <v>0.11</v>
      </c>
      <c r="G76" s="25">
        <v>0.3</v>
      </c>
    </row>
    <row r="77" spans="1:7" x14ac:dyDescent="0.25">
      <c r="A77" s="23" t="s">
        <v>442</v>
      </c>
      <c r="B77" s="25"/>
      <c r="C77" s="25"/>
      <c r="D77" s="25"/>
      <c r="E77" s="25"/>
      <c r="F77" s="25"/>
      <c r="G77" s="25"/>
    </row>
    <row r="78" spans="1:7" x14ac:dyDescent="0.25">
      <c r="A78" s="28">
        <v>0</v>
      </c>
      <c r="B78" s="25">
        <v>1.82</v>
      </c>
      <c r="C78" s="25">
        <v>0.1</v>
      </c>
      <c r="D78" s="25" t="s">
        <v>427</v>
      </c>
      <c r="E78" s="25">
        <v>0.32</v>
      </c>
      <c r="F78" s="25">
        <v>1.36</v>
      </c>
      <c r="G78" s="25" t="s">
        <v>427</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443</v>
      </c>
      <c r="B83" s="25">
        <v>6.16</v>
      </c>
      <c r="C83" s="25">
        <v>5.69</v>
      </c>
      <c r="D83" s="25">
        <v>0.21</v>
      </c>
      <c r="E83" s="25">
        <v>0.13</v>
      </c>
      <c r="F83" s="25" t="s">
        <v>427</v>
      </c>
      <c r="G83" s="25">
        <v>7.0000000000000007E-2</v>
      </c>
    </row>
    <row r="84" spans="1:7" ht="27.2" customHeight="1" x14ac:dyDescent="0.25">
      <c r="A84" s="23" t="s">
        <v>444</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443</v>
      </c>
      <c r="B89" s="25">
        <v>27.64</v>
      </c>
      <c r="C89" s="25">
        <v>24.75</v>
      </c>
      <c r="D89" s="25">
        <v>1.1100000000000001</v>
      </c>
      <c r="E89" s="25">
        <v>0.51</v>
      </c>
      <c r="F89" s="25">
        <v>0.47</v>
      </c>
      <c r="G89" s="25">
        <v>0.79</v>
      </c>
    </row>
    <row r="90" spans="1:7" x14ac:dyDescent="0.25">
      <c r="A90" s="23" t="s">
        <v>445</v>
      </c>
      <c r="B90" s="24"/>
      <c r="C90" s="24"/>
      <c r="D90" s="24"/>
      <c r="E90" s="24"/>
      <c r="F90" s="24"/>
      <c r="G90" s="24"/>
    </row>
    <row r="91" spans="1:7" x14ac:dyDescent="0.25">
      <c r="A91" s="28">
        <v>0</v>
      </c>
      <c r="B91" s="25">
        <v>0.15</v>
      </c>
      <c r="C91" s="25">
        <v>7.0000000000000007E-2</v>
      </c>
      <c r="D91" s="25" t="s">
        <v>427</v>
      </c>
      <c r="E91" s="25" t="s">
        <v>427</v>
      </c>
      <c r="F91" s="25" t="s">
        <v>427</v>
      </c>
      <c r="G91" s="25" t="s">
        <v>427</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446</v>
      </c>
      <c r="B94" s="25">
        <v>16.21</v>
      </c>
      <c r="C94" s="25">
        <v>14.89</v>
      </c>
      <c r="D94" s="25">
        <v>0.72</v>
      </c>
      <c r="E94" s="25">
        <v>0.23</v>
      </c>
      <c r="F94" s="25">
        <v>0.15</v>
      </c>
      <c r="G94" s="25">
        <v>0.22</v>
      </c>
    </row>
    <row r="95" spans="1:7" x14ac:dyDescent="0.25">
      <c r="A95" s="23" t="s">
        <v>447</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448</v>
      </c>
      <c r="B98" s="25">
        <v>2.91</v>
      </c>
      <c r="C98" s="25">
        <v>2.39</v>
      </c>
      <c r="D98" s="25">
        <v>0.18</v>
      </c>
      <c r="E98" s="25">
        <v>0.11</v>
      </c>
      <c r="F98" s="25">
        <v>0.13</v>
      </c>
      <c r="G98" s="25">
        <v>0.1</v>
      </c>
    </row>
    <row r="99" spans="1:7" x14ac:dyDescent="0.25">
      <c r="A99" s="23" t="s">
        <v>449</v>
      </c>
      <c r="B99" s="24"/>
      <c r="C99" s="24"/>
      <c r="D99" s="24"/>
      <c r="E99" s="24"/>
      <c r="F99" s="24"/>
      <c r="G99" s="24"/>
    </row>
    <row r="100" spans="1:7" x14ac:dyDescent="0.25">
      <c r="A100" s="7" t="s">
        <v>450</v>
      </c>
      <c r="B100" s="25">
        <v>36.83</v>
      </c>
      <c r="C100" s="25">
        <v>33.86</v>
      </c>
      <c r="D100" s="25">
        <v>2.98</v>
      </c>
      <c r="E100" s="25" t="s">
        <v>416</v>
      </c>
      <c r="F100" s="25" t="s">
        <v>416</v>
      </c>
      <c r="G100" s="25" t="s">
        <v>416</v>
      </c>
    </row>
    <row r="101" spans="1:7" x14ac:dyDescent="0.25">
      <c r="A101" s="26" t="s">
        <v>451</v>
      </c>
      <c r="B101" s="25">
        <v>21.71</v>
      </c>
      <c r="C101" s="25">
        <v>19.850000000000001</v>
      </c>
      <c r="D101" s="25">
        <v>1.87</v>
      </c>
      <c r="E101" s="25" t="s">
        <v>416</v>
      </c>
      <c r="F101" s="25" t="s">
        <v>416</v>
      </c>
      <c r="G101" s="25" t="s">
        <v>416</v>
      </c>
    </row>
    <row r="102" spans="1:7" ht="24" customHeight="1" x14ac:dyDescent="0.25">
      <c r="A102" s="26" t="s">
        <v>452</v>
      </c>
      <c r="B102" s="25">
        <v>15.12</v>
      </c>
      <c r="C102" s="25">
        <v>14.01</v>
      </c>
      <c r="D102" s="25">
        <v>1.1100000000000001</v>
      </c>
      <c r="E102" s="25" t="s">
        <v>416</v>
      </c>
      <c r="F102" s="25" t="s">
        <v>416</v>
      </c>
      <c r="G102" s="25" t="s">
        <v>416</v>
      </c>
    </row>
    <row r="103" spans="1:7" x14ac:dyDescent="0.25">
      <c r="A103" s="28" t="s">
        <v>453</v>
      </c>
      <c r="B103" s="25">
        <v>47.68</v>
      </c>
      <c r="C103" s="25">
        <v>43.21</v>
      </c>
      <c r="D103" s="25">
        <v>4.47</v>
      </c>
      <c r="E103" s="25" t="s">
        <v>416</v>
      </c>
      <c r="F103" s="25" t="s">
        <v>416</v>
      </c>
      <c r="G103" s="25" t="s">
        <v>416</v>
      </c>
    </row>
    <row r="104" spans="1:7" ht="27.2" customHeight="1" x14ac:dyDescent="0.25">
      <c r="A104" s="28" t="s">
        <v>420</v>
      </c>
      <c r="B104" s="25">
        <v>39.01</v>
      </c>
      <c r="C104" s="25" t="s">
        <v>416</v>
      </c>
      <c r="D104" s="25" t="s">
        <v>416</v>
      </c>
      <c r="E104" s="25">
        <v>9.34</v>
      </c>
      <c r="F104" s="25">
        <v>22.84</v>
      </c>
      <c r="G104" s="25">
        <v>6.83</v>
      </c>
    </row>
    <row r="105" spans="1:7" x14ac:dyDescent="0.25">
      <c r="A105" s="23" t="s">
        <v>454</v>
      </c>
      <c r="B105" s="24"/>
      <c r="C105" s="24"/>
      <c r="D105" s="24"/>
      <c r="E105" s="24"/>
      <c r="F105" s="24"/>
      <c r="G105" s="24"/>
    </row>
    <row r="106" spans="1:7" x14ac:dyDescent="0.25">
      <c r="A106" s="7" t="s">
        <v>450</v>
      </c>
      <c r="B106" s="25">
        <v>56.5</v>
      </c>
      <c r="C106" s="25">
        <v>52.99</v>
      </c>
      <c r="D106" s="25">
        <v>3.52</v>
      </c>
      <c r="E106" s="25" t="s">
        <v>416</v>
      </c>
      <c r="F106" s="25" t="s">
        <v>416</v>
      </c>
      <c r="G106" s="25" t="s">
        <v>416</v>
      </c>
    </row>
    <row r="107" spans="1:7" x14ac:dyDescent="0.25">
      <c r="A107" s="26" t="s">
        <v>455</v>
      </c>
      <c r="B107" s="25">
        <v>7.68</v>
      </c>
      <c r="C107" s="25">
        <v>7.1</v>
      </c>
      <c r="D107" s="25">
        <v>0.56999999999999995</v>
      </c>
      <c r="E107" s="25" t="s">
        <v>416</v>
      </c>
      <c r="F107" s="25" t="s">
        <v>416</v>
      </c>
      <c r="G107" s="25" t="s">
        <v>416</v>
      </c>
    </row>
    <row r="108" spans="1:7" ht="24" customHeight="1" x14ac:dyDescent="0.25">
      <c r="A108" s="26" t="s">
        <v>456</v>
      </c>
      <c r="B108" s="25">
        <v>48.83</v>
      </c>
      <c r="C108" s="25">
        <v>45.88</v>
      </c>
      <c r="D108" s="25">
        <v>2.94</v>
      </c>
      <c r="E108" s="25" t="s">
        <v>416</v>
      </c>
      <c r="F108" s="25" t="s">
        <v>416</v>
      </c>
      <c r="G108" s="25" t="s">
        <v>416</v>
      </c>
    </row>
    <row r="109" spans="1:7" x14ac:dyDescent="0.25">
      <c r="A109" s="7" t="s">
        <v>453</v>
      </c>
      <c r="B109" s="25">
        <v>28.01</v>
      </c>
      <c r="C109" s="25">
        <v>24.08</v>
      </c>
      <c r="D109" s="25">
        <v>3.94</v>
      </c>
      <c r="E109" s="25" t="s">
        <v>416</v>
      </c>
      <c r="F109" s="25" t="s">
        <v>416</v>
      </c>
      <c r="G109" s="25" t="s">
        <v>416</v>
      </c>
    </row>
    <row r="110" spans="1:7" ht="27.2" customHeight="1" x14ac:dyDescent="0.25">
      <c r="A110" s="28" t="s">
        <v>420</v>
      </c>
      <c r="B110" s="25">
        <v>39.01</v>
      </c>
      <c r="C110" s="25" t="s">
        <v>416</v>
      </c>
      <c r="D110" s="25" t="s">
        <v>416</v>
      </c>
      <c r="E110" s="25">
        <v>9.34</v>
      </c>
      <c r="F110" s="25">
        <v>22.84</v>
      </c>
      <c r="G110" s="25">
        <v>6.83</v>
      </c>
    </row>
    <row r="111" spans="1:7" x14ac:dyDescent="0.25">
      <c r="A111" s="23" t="s">
        <v>457</v>
      </c>
      <c r="B111" s="24"/>
      <c r="C111" s="24"/>
      <c r="D111" s="24"/>
      <c r="E111" s="24"/>
      <c r="F111" s="24"/>
      <c r="G111" s="24"/>
    </row>
    <row r="112" spans="1:7" x14ac:dyDescent="0.25">
      <c r="A112" s="7" t="s">
        <v>450</v>
      </c>
      <c r="B112" s="25">
        <v>51.79</v>
      </c>
      <c r="C112" s="25">
        <v>48.19</v>
      </c>
      <c r="D112" s="25">
        <v>3.6</v>
      </c>
      <c r="E112" s="25" t="s">
        <v>416</v>
      </c>
      <c r="F112" s="25" t="s">
        <v>416</v>
      </c>
      <c r="G112" s="25" t="s">
        <v>416</v>
      </c>
    </row>
    <row r="113" spans="1:7" x14ac:dyDescent="0.25">
      <c r="A113" s="26" t="s">
        <v>458</v>
      </c>
      <c r="B113" s="25">
        <v>11.27</v>
      </c>
      <c r="C113" s="25">
        <v>9.64</v>
      </c>
      <c r="D113" s="25">
        <v>1.64</v>
      </c>
      <c r="E113" s="25" t="s">
        <v>416</v>
      </c>
      <c r="F113" s="25" t="s">
        <v>416</v>
      </c>
      <c r="G113" s="25" t="s">
        <v>416</v>
      </c>
    </row>
    <row r="114" spans="1:7" ht="24" customHeight="1" x14ac:dyDescent="0.25">
      <c r="A114" s="26" t="s">
        <v>459</v>
      </c>
      <c r="B114" s="25">
        <v>34.18</v>
      </c>
      <c r="C114" s="25">
        <v>32.270000000000003</v>
      </c>
      <c r="D114" s="25">
        <v>1.91</v>
      </c>
      <c r="E114" s="25" t="s">
        <v>416</v>
      </c>
      <c r="F114" s="25" t="s">
        <v>416</v>
      </c>
      <c r="G114" s="25" t="s">
        <v>416</v>
      </c>
    </row>
    <row r="115" spans="1:7" ht="24" customHeight="1" x14ac:dyDescent="0.25">
      <c r="A115" s="26" t="s">
        <v>460</v>
      </c>
      <c r="B115" s="25">
        <v>6.34</v>
      </c>
      <c r="C115" s="25">
        <v>6.28</v>
      </c>
      <c r="D115" s="25">
        <v>0.06</v>
      </c>
      <c r="E115" s="25" t="s">
        <v>416</v>
      </c>
      <c r="F115" s="25" t="s">
        <v>416</v>
      </c>
      <c r="G115" s="25" t="s">
        <v>416</v>
      </c>
    </row>
    <row r="116" spans="1:7" x14ac:dyDescent="0.25">
      <c r="A116" s="7" t="s">
        <v>453</v>
      </c>
      <c r="B116" s="25">
        <v>32.72</v>
      </c>
      <c r="C116" s="25">
        <v>28.88</v>
      </c>
      <c r="D116" s="25">
        <v>3.85</v>
      </c>
      <c r="E116" s="25" t="s">
        <v>416</v>
      </c>
      <c r="F116" s="25" t="s">
        <v>416</v>
      </c>
      <c r="G116" s="25" t="s">
        <v>416</v>
      </c>
    </row>
    <row r="117" spans="1:7" ht="27.2" customHeight="1" x14ac:dyDescent="0.25">
      <c r="A117" s="28" t="s">
        <v>420</v>
      </c>
      <c r="B117" s="25">
        <v>39.01</v>
      </c>
      <c r="C117" s="25" t="s">
        <v>416</v>
      </c>
      <c r="D117" s="25" t="s">
        <v>416</v>
      </c>
      <c r="E117" s="25">
        <v>9.34</v>
      </c>
      <c r="F117" s="25">
        <v>22.84</v>
      </c>
      <c r="G117" s="25">
        <v>6.83</v>
      </c>
    </row>
    <row r="118" spans="1:7" x14ac:dyDescent="0.25">
      <c r="A118" s="23" t="s">
        <v>461</v>
      </c>
      <c r="B118" s="24"/>
      <c r="C118" s="24"/>
      <c r="D118" s="24"/>
      <c r="E118" s="24"/>
      <c r="F118" s="24"/>
      <c r="G118" s="24"/>
    </row>
    <row r="119" spans="1:7" x14ac:dyDescent="0.25">
      <c r="A119" s="7" t="s">
        <v>462</v>
      </c>
      <c r="B119" s="25">
        <v>34.340000000000003</v>
      </c>
      <c r="C119" s="25">
        <v>24.33</v>
      </c>
      <c r="D119" s="25">
        <v>1.8</v>
      </c>
      <c r="E119" s="25">
        <v>1.59</v>
      </c>
      <c r="F119" s="25">
        <v>5.22</v>
      </c>
      <c r="G119" s="25">
        <v>1.39</v>
      </c>
    </row>
    <row r="120" spans="1:7" x14ac:dyDescent="0.25">
      <c r="A120" s="7" t="s">
        <v>463</v>
      </c>
      <c r="B120" s="25">
        <v>64.27</v>
      </c>
      <c r="C120" s="25">
        <v>40.369999999999997</v>
      </c>
      <c r="D120" s="25">
        <v>3.98</v>
      </c>
      <c r="E120" s="25">
        <v>4.41</v>
      </c>
      <c r="F120" s="25">
        <v>12.22</v>
      </c>
      <c r="G120" s="25">
        <v>3.28</v>
      </c>
    </row>
    <row r="121" spans="1:7" ht="24" customHeight="1" x14ac:dyDescent="0.25">
      <c r="A121" s="7" t="s">
        <v>464</v>
      </c>
      <c r="B121" s="25">
        <v>21.29</v>
      </c>
      <c r="C121" s="25">
        <v>11.11</v>
      </c>
      <c r="D121" s="25">
        <v>1.45</v>
      </c>
      <c r="E121" s="25">
        <v>2.7</v>
      </c>
      <c r="F121" s="25">
        <v>4.1500000000000004</v>
      </c>
      <c r="G121" s="25">
        <v>1.87</v>
      </c>
    </row>
    <row r="122" spans="1:7" x14ac:dyDescent="0.25">
      <c r="A122" s="7" t="s">
        <v>465</v>
      </c>
      <c r="B122" s="25">
        <v>3.63</v>
      </c>
      <c r="C122" s="25">
        <v>1.25</v>
      </c>
      <c r="D122" s="25">
        <v>0.21</v>
      </c>
      <c r="E122" s="25">
        <v>0.64</v>
      </c>
      <c r="F122" s="25">
        <v>1.24</v>
      </c>
      <c r="G122" s="25">
        <v>0.28999999999999998</v>
      </c>
    </row>
    <row r="123" spans="1:7" ht="27.2" customHeight="1" x14ac:dyDescent="0.25">
      <c r="A123" s="23" t="s">
        <v>466</v>
      </c>
      <c r="B123" s="24"/>
      <c r="C123" s="24"/>
      <c r="D123" s="24"/>
      <c r="E123" s="24"/>
      <c r="F123" s="24"/>
      <c r="G123" s="24"/>
    </row>
    <row r="124" spans="1:7" x14ac:dyDescent="0.25">
      <c r="A124" s="7" t="s">
        <v>467</v>
      </c>
      <c r="B124" s="25">
        <v>55.37</v>
      </c>
      <c r="C124" s="25">
        <v>37.020000000000003</v>
      </c>
      <c r="D124" s="25">
        <v>2.91</v>
      </c>
      <c r="E124" s="25">
        <v>2.9</v>
      </c>
      <c r="F124" s="25">
        <v>10.130000000000001</v>
      </c>
      <c r="G124" s="25">
        <v>2.41</v>
      </c>
    </row>
    <row r="125" spans="1:7" x14ac:dyDescent="0.25">
      <c r="A125" s="7" t="s">
        <v>468</v>
      </c>
      <c r="B125" s="25">
        <v>52.63</v>
      </c>
      <c r="C125" s="25">
        <v>32.53</v>
      </c>
      <c r="D125" s="25">
        <v>3.35</v>
      </c>
      <c r="E125" s="25">
        <v>4.22</v>
      </c>
      <c r="F125" s="25">
        <v>9.35</v>
      </c>
      <c r="G125" s="25">
        <v>3.19</v>
      </c>
    </row>
    <row r="126" spans="1:7" s="6" customFormat="1" ht="24" customHeight="1" x14ac:dyDescent="0.25">
      <c r="A126" s="7" t="s">
        <v>469</v>
      </c>
      <c r="B126" s="25">
        <v>10.39</v>
      </c>
      <c r="C126" s="25">
        <v>5.3</v>
      </c>
      <c r="D126" s="25">
        <v>0.76</v>
      </c>
      <c r="E126" s="25">
        <v>1.43</v>
      </c>
      <c r="F126" s="25">
        <v>2.15</v>
      </c>
      <c r="G126" s="25">
        <v>0.75</v>
      </c>
    </row>
    <row r="127" spans="1:7" s="6" customFormat="1" x14ac:dyDescent="0.25">
      <c r="A127" s="7" t="s">
        <v>470</v>
      </c>
      <c r="B127" s="25">
        <v>5.14</v>
      </c>
      <c r="C127" s="25">
        <v>2.2200000000000002</v>
      </c>
      <c r="D127" s="25">
        <v>0.44</v>
      </c>
      <c r="E127" s="25">
        <v>0.8</v>
      </c>
      <c r="F127" s="25">
        <v>1.2</v>
      </c>
      <c r="G127" s="25">
        <v>0.48</v>
      </c>
    </row>
    <row r="128" spans="1:7" s="6" customFormat="1" x14ac:dyDescent="0.25">
      <c r="A128" s="23" t="s">
        <v>471</v>
      </c>
      <c r="B128" s="24"/>
      <c r="C128" s="24"/>
      <c r="D128" s="24"/>
      <c r="E128" s="24"/>
      <c r="F128" s="24"/>
      <c r="G128" s="24"/>
    </row>
    <row r="129" spans="1:7" x14ac:dyDescent="0.25">
      <c r="A129" s="7" t="s">
        <v>450</v>
      </c>
      <c r="B129" s="25">
        <v>55.18</v>
      </c>
      <c r="C129" s="25">
        <v>39.22</v>
      </c>
      <c r="D129" s="25">
        <v>3.72</v>
      </c>
      <c r="E129" s="25">
        <v>3.49</v>
      </c>
      <c r="F129" s="25">
        <v>8.75</v>
      </c>
      <c r="G129" s="25" t="s">
        <v>416</v>
      </c>
    </row>
    <row r="130" spans="1:7" x14ac:dyDescent="0.25">
      <c r="A130" s="7" t="s">
        <v>453</v>
      </c>
      <c r="B130" s="25">
        <v>61.52</v>
      </c>
      <c r="C130" s="25">
        <v>37.85</v>
      </c>
      <c r="D130" s="25">
        <v>3.73</v>
      </c>
      <c r="E130" s="25">
        <v>5.85</v>
      </c>
      <c r="F130" s="25">
        <v>14.08</v>
      </c>
      <c r="G130" s="25" t="s">
        <v>416</v>
      </c>
    </row>
    <row r="131" spans="1:7" ht="24" customHeight="1" x14ac:dyDescent="0.25">
      <c r="A131" s="28" t="s">
        <v>472</v>
      </c>
      <c r="B131" s="25">
        <v>6.83</v>
      </c>
      <c r="C131" s="25" t="s">
        <v>416</v>
      </c>
      <c r="D131" s="25" t="s">
        <v>416</v>
      </c>
      <c r="E131" s="25" t="s">
        <v>416</v>
      </c>
      <c r="F131" s="25" t="s">
        <v>416</v>
      </c>
      <c r="G131" s="25">
        <v>6.83</v>
      </c>
    </row>
    <row r="132" spans="1:7" x14ac:dyDescent="0.25">
      <c r="A132" s="23" t="s">
        <v>473</v>
      </c>
      <c r="B132" s="24"/>
      <c r="C132" s="24"/>
      <c r="D132" s="24"/>
      <c r="E132" s="24"/>
      <c r="F132" s="24"/>
      <c r="G132" s="24"/>
    </row>
    <row r="133" spans="1:7" x14ac:dyDescent="0.25">
      <c r="A133" s="7" t="s">
        <v>474</v>
      </c>
      <c r="B133" s="25">
        <v>6.95</v>
      </c>
      <c r="C133" s="25">
        <v>0.1</v>
      </c>
      <c r="D133" s="25">
        <v>0.22</v>
      </c>
      <c r="E133" s="25">
        <v>0.77</v>
      </c>
      <c r="F133" s="25">
        <v>5.85</v>
      </c>
      <c r="G133" s="25" t="s">
        <v>427</v>
      </c>
    </row>
    <row r="134" spans="1:7" x14ac:dyDescent="0.25">
      <c r="A134" s="7" t="s">
        <v>475</v>
      </c>
      <c r="B134" s="25">
        <v>18.149999999999999</v>
      </c>
      <c r="C134" s="25">
        <v>1.72</v>
      </c>
      <c r="D134" s="25">
        <v>1.79</v>
      </c>
      <c r="E134" s="25">
        <v>3.81</v>
      </c>
      <c r="F134" s="25">
        <v>10.54</v>
      </c>
      <c r="G134" s="25">
        <v>0.28999999999999998</v>
      </c>
    </row>
    <row r="135" spans="1:7" ht="24" customHeight="1" x14ac:dyDescent="0.25">
      <c r="A135" s="7" t="s">
        <v>476</v>
      </c>
      <c r="B135" s="25">
        <v>29.35</v>
      </c>
      <c r="C135" s="25">
        <v>16.16</v>
      </c>
      <c r="D135" s="25">
        <v>2.6</v>
      </c>
      <c r="E135" s="25">
        <v>2.86</v>
      </c>
      <c r="F135" s="25">
        <v>5.09</v>
      </c>
      <c r="G135" s="25">
        <v>2.66</v>
      </c>
    </row>
    <row r="136" spans="1:7" x14ac:dyDescent="0.25">
      <c r="A136" s="29" t="s">
        <v>477</v>
      </c>
      <c r="B136" s="25">
        <v>38.42</v>
      </c>
      <c r="C136" s="25">
        <v>30.76</v>
      </c>
      <c r="D136" s="25">
        <v>1.97</v>
      </c>
      <c r="E136" s="25">
        <v>1.42</v>
      </c>
      <c r="F136" s="25">
        <v>1.04</v>
      </c>
      <c r="G136" s="25">
        <v>3.23</v>
      </c>
    </row>
    <row r="137" spans="1:7" x14ac:dyDescent="0.25">
      <c r="A137" s="29" t="s">
        <v>478</v>
      </c>
      <c r="B137" s="25">
        <v>13.61</v>
      </c>
      <c r="C137" s="25">
        <v>12.28</v>
      </c>
      <c r="D137" s="25">
        <v>0.43</v>
      </c>
      <c r="E137" s="25">
        <v>0.25</v>
      </c>
      <c r="F137" s="25">
        <v>0.14000000000000001</v>
      </c>
      <c r="G137" s="25">
        <v>0.51</v>
      </c>
    </row>
    <row r="138" spans="1:7" x14ac:dyDescent="0.25">
      <c r="A138" s="29" t="s">
        <v>479</v>
      </c>
      <c r="B138" s="25">
        <v>12.43</v>
      </c>
      <c r="C138" s="25">
        <v>11.7</v>
      </c>
      <c r="D138" s="25">
        <v>0.35</v>
      </c>
      <c r="E138" s="25">
        <v>0.14000000000000001</v>
      </c>
      <c r="F138" s="25" t="s">
        <v>427</v>
      </c>
      <c r="G138" s="25">
        <v>0.13</v>
      </c>
    </row>
    <row r="139" spans="1:7" x14ac:dyDescent="0.25">
      <c r="A139" s="29" t="s">
        <v>480</v>
      </c>
      <c r="B139" s="25">
        <v>4.62</v>
      </c>
      <c r="C139" s="25">
        <v>4.3499999999999996</v>
      </c>
      <c r="D139" s="25">
        <v>0.1</v>
      </c>
      <c r="E139" s="25">
        <v>0.09</v>
      </c>
      <c r="F139" s="25" t="s">
        <v>427</v>
      </c>
      <c r="G139" s="25" t="s">
        <v>427</v>
      </c>
    </row>
    <row r="140" spans="1:7" x14ac:dyDescent="0.25">
      <c r="A140" s="23" t="s">
        <v>481</v>
      </c>
      <c r="B140" s="24"/>
      <c r="C140" s="24"/>
      <c r="D140" s="24"/>
      <c r="E140" s="24"/>
      <c r="F140" s="24"/>
      <c r="G140" s="24"/>
    </row>
    <row r="141" spans="1:7" x14ac:dyDescent="0.25">
      <c r="A141" s="7" t="s">
        <v>482</v>
      </c>
      <c r="B141" s="25">
        <v>43.51</v>
      </c>
      <c r="C141" s="25">
        <v>21.45</v>
      </c>
      <c r="D141" s="25">
        <v>2.81</v>
      </c>
      <c r="E141" s="25">
        <v>4.9400000000000004</v>
      </c>
      <c r="F141" s="25">
        <v>10.84</v>
      </c>
      <c r="G141" s="25">
        <v>3.46</v>
      </c>
    </row>
    <row r="142" spans="1:7" x14ac:dyDescent="0.25">
      <c r="A142" s="7" t="s">
        <v>483</v>
      </c>
      <c r="B142" s="25">
        <v>77.95</v>
      </c>
      <c r="C142" s="25">
        <v>54.09</v>
      </c>
      <c r="D142" s="25">
        <v>4.5199999999999996</v>
      </c>
      <c r="E142" s="25">
        <v>4.33</v>
      </c>
      <c r="F142" s="25">
        <v>11.72</v>
      </c>
      <c r="G142" s="25">
        <v>3.29</v>
      </c>
    </row>
    <row r="143" spans="1:7" ht="24" customHeight="1" x14ac:dyDescent="0.25">
      <c r="A143" s="7" t="s">
        <v>484</v>
      </c>
      <c r="B143" s="25">
        <v>2.0699999999999998</v>
      </c>
      <c r="C143" s="25">
        <v>1.53</v>
      </c>
      <c r="D143" s="25">
        <v>0.12</v>
      </c>
      <c r="E143" s="25">
        <v>7.0000000000000007E-2</v>
      </c>
      <c r="F143" s="25">
        <v>0.27</v>
      </c>
      <c r="G143" s="25" t="s">
        <v>427</v>
      </c>
    </row>
    <row r="144" spans="1:7" x14ac:dyDescent="0.25">
      <c r="A144" s="23" t="s">
        <v>485</v>
      </c>
      <c r="B144" s="24"/>
      <c r="C144" s="24"/>
      <c r="D144" s="24"/>
      <c r="E144" s="24"/>
      <c r="F144" s="24"/>
      <c r="G144" s="24"/>
    </row>
    <row r="145" spans="1:7" x14ac:dyDescent="0.25">
      <c r="A145" s="7" t="s">
        <v>486</v>
      </c>
      <c r="B145" s="25">
        <v>47.4</v>
      </c>
      <c r="C145" s="25">
        <v>23.3</v>
      </c>
      <c r="D145" s="25">
        <v>2.89</v>
      </c>
      <c r="E145" s="25">
        <v>4.2300000000000004</v>
      </c>
      <c r="F145" s="25">
        <v>13.02</v>
      </c>
      <c r="G145" s="25">
        <v>3.94</v>
      </c>
    </row>
    <row r="146" spans="1:7" x14ac:dyDescent="0.25">
      <c r="A146" s="7" t="s">
        <v>424</v>
      </c>
      <c r="B146" s="25">
        <v>40.31</v>
      </c>
      <c r="C146" s="25">
        <v>27.87</v>
      </c>
      <c r="D146" s="25">
        <v>2.2599999999999998</v>
      </c>
      <c r="E146" s="25">
        <v>3.23</v>
      </c>
      <c r="F146" s="25">
        <v>5.52</v>
      </c>
      <c r="G146" s="25">
        <v>1.43</v>
      </c>
    </row>
    <row r="147" spans="1:7" ht="24" customHeight="1" x14ac:dyDescent="0.25">
      <c r="A147" s="7" t="s">
        <v>487</v>
      </c>
      <c r="B147" s="25">
        <v>31.85</v>
      </c>
      <c r="C147" s="25">
        <v>23.39</v>
      </c>
      <c r="D147" s="25">
        <v>1.95</v>
      </c>
      <c r="E147" s="25">
        <v>1.54</v>
      </c>
      <c r="F147" s="25">
        <v>3.66</v>
      </c>
      <c r="G147" s="25">
        <v>1.3</v>
      </c>
    </row>
    <row r="148" spans="1:7" x14ac:dyDescent="0.25">
      <c r="A148" s="29" t="s">
        <v>488</v>
      </c>
      <c r="B148" s="25">
        <v>1.72</v>
      </c>
      <c r="C148" s="25">
        <v>0.94</v>
      </c>
      <c r="D148" s="25">
        <v>0.15</v>
      </c>
      <c r="E148" s="25">
        <v>0.19</v>
      </c>
      <c r="F148" s="25">
        <v>0.34</v>
      </c>
      <c r="G148" s="25">
        <v>0.1</v>
      </c>
    </row>
    <row r="149" spans="1:7" x14ac:dyDescent="0.25">
      <c r="A149" s="29" t="s">
        <v>489</v>
      </c>
      <c r="B149" s="25">
        <v>2.25</v>
      </c>
      <c r="C149" s="25">
        <v>1.56</v>
      </c>
      <c r="D149" s="25">
        <v>0.19</v>
      </c>
      <c r="E149" s="25">
        <v>0.15</v>
      </c>
      <c r="F149" s="25">
        <v>0.3</v>
      </c>
      <c r="G149" s="25" t="s">
        <v>427</v>
      </c>
    </row>
    <row r="150" spans="1:7" ht="27.2" customHeight="1" x14ac:dyDescent="0.25">
      <c r="A150" s="23" t="s">
        <v>490</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446</v>
      </c>
      <c r="B154" s="25">
        <v>8.16</v>
      </c>
      <c r="C154" s="25">
        <v>6.75</v>
      </c>
      <c r="D154" s="25">
        <v>0.38</v>
      </c>
      <c r="E154" s="25">
        <v>0.2</v>
      </c>
      <c r="F154" s="25">
        <v>0.64</v>
      </c>
      <c r="G154" s="25">
        <v>0.19</v>
      </c>
    </row>
    <row r="155" spans="1:7" x14ac:dyDescent="0.25">
      <c r="A155" s="23" t="s">
        <v>491</v>
      </c>
      <c r="B155" s="24"/>
      <c r="C155" s="24"/>
      <c r="D155" s="24"/>
      <c r="E155" s="24"/>
      <c r="F155" s="24"/>
      <c r="G155" s="24"/>
    </row>
    <row r="156" spans="1:7" x14ac:dyDescent="0.25">
      <c r="A156" s="7" t="s">
        <v>450</v>
      </c>
      <c r="B156" s="25">
        <v>34.299999999999997</v>
      </c>
      <c r="C156" s="25">
        <v>25.3</v>
      </c>
      <c r="D156" s="25">
        <v>1.83</v>
      </c>
      <c r="E156" s="25">
        <v>1.97</v>
      </c>
      <c r="F156" s="25">
        <v>3.38</v>
      </c>
      <c r="G156" s="25">
        <v>1.82</v>
      </c>
    </row>
    <row r="157" spans="1:7" x14ac:dyDescent="0.25">
      <c r="A157" s="7" t="s">
        <v>453</v>
      </c>
      <c r="B157" s="25">
        <v>36.81</v>
      </c>
      <c r="C157" s="25">
        <v>22.8</v>
      </c>
      <c r="D157" s="25">
        <v>2.2000000000000002</v>
      </c>
      <c r="E157" s="25">
        <v>2.74</v>
      </c>
      <c r="F157" s="25">
        <v>6.71</v>
      </c>
      <c r="G157" s="25">
        <v>2.35</v>
      </c>
    </row>
    <row r="158" spans="1:7" ht="24" customHeight="1" x14ac:dyDescent="0.25">
      <c r="A158" s="7" t="s">
        <v>492</v>
      </c>
      <c r="B158" s="25">
        <v>52.42</v>
      </c>
      <c r="C158" s="25">
        <v>28.96</v>
      </c>
      <c r="D158" s="25">
        <v>3.43</v>
      </c>
      <c r="E158" s="25">
        <v>4.62</v>
      </c>
      <c r="F158" s="25">
        <v>12.74</v>
      </c>
      <c r="G158" s="25">
        <v>2.66</v>
      </c>
    </row>
    <row r="159" spans="1:7" ht="27.2" customHeight="1" x14ac:dyDescent="0.25">
      <c r="A159" s="23" t="s">
        <v>493</v>
      </c>
      <c r="B159" s="24"/>
      <c r="C159" s="24"/>
      <c r="D159" s="24"/>
      <c r="E159" s="24"/>
      <c r="F159" s="24"/>
      <c r="G159" s="24"/>
    </row>
    <row r="160" spans="1:7" x14ac:dyDescent="0.25">
      <c r="A160" s="7" t="s">
        <v>450</v>
      </c>
      <c r="B160" s="25">
        <v>67.83</v>
      </c>
      <c r="C160" s="25">
        <v>58.09</v>
      </c>
      <c r="D160" s="25">
        <v>4.22</v>
      </c>
      <c r="E160" s="25">
        <v>2.11</v>
      </c>
      <c r="F160" s="25" t="s">
        <v>416</v>
      </c>
      <c r="G160" s="25">
        <v>3.41</v>
      </c>
    </row>
    <row r="161" spans="1:7" x14ac:dyDescent="0.25">
      <c r="A161" s="7" t="s">
        <v>453</v>
      </c>
      <c r="B161" s="25">
        <v>32.869999999999997</v>
      </c>
      <c r="C161" s="25">
        <v>18.97</v>
      </c>
      <c r="D161" s="25">
        <v>3.24</v>
      </c>
      <c r="E161" s="25">
        <v>7.23</v>
      </c>
      <c r="F161" s="25" t="s">
        <v>416</v>
      </c>
      <c r="G161" s="25">
        <v>3.42</v>
      </c>
    </row>
    <row r="162" spans="1:7" ht="24" customHeight="1" x14ac:dyDescent="0.25">
      <c r="A162" s="7" t="s">
        <v>438</v>
      </c>
      <c r="B162" s="25">
        <v>22.84</v>
      </c>
      <c r="C162" s="25" t="s">
        <v>416</v>
      </c>
      <c r="D162" s="25" t="s">
        <v>416</v>
      </c>
      <c r="E162" s="25" t="s">
        <v>416</v>
      </c>
      <c r="F162" s="25">
        <v>22.84</v>
      </c>
      <c r="G162" s="25" t="s">
        <v>416</v>
      </c>
    </row>
    <row r="163" spans="1:7" ht="27.2" customHeight="1" x14ac:dyDescent="0.25">
      <c r="A163" s="23" t="s">
        <v>494</v>
      </c>
      <c r="B163" s="30"/>
      <c r="C163" s="30"/>
      <c r="D163" s="30"/>
      <c r="E163" s="30"/>
      <c r="F163" s="30"/>
      <c r="G163" s="30"/>
    </row>
    <row r="164" spans="1:7" x14ac:dyDescent="0.25">
      <c r="A164" s="7" t="s">
        <v>450</v>
      </c>
      <c r="B164" s="30">
        <v>1.82</v>
      </c>
      <c r="C164" s="30">
        <v>1.46</v>
      </c>
      <c r="D164" s="30">
        <v>0.11</v>
      </c>
      <c r="E164" s="30" t="s">
        <v>427</v>
      </c>
      <c r="F164" s="30">
        <v>0.17</v>
      </c>
      <c r="G164" s="30" t="s">
        <v>427</v>
      </c>
    </row>
    <row r="165" spans="1:7" x14ac:dyDescent="0.25">
      <c r="A165" s="26" t="s">
        <v>495</v>
      </c>
      <c r="B165" s="30">
        <v>1.39</v>
      </c>
      <c r="C165" s="30">
        <v>1.22</v>
      </c>
      <c r="D165" s="30">
        <v>0.09</v>
      </c>
      <c r="E165" s="30" t="s">
        <v>427</v>
      </c>
      <c r="F165" s="30" t="s">
        <v>427</v>
      </c>
      <c r="G165" s="30" t="s">
        <v>427</v>
      </c>
    </row>
    <row r="166" spans="1:7" ht="33.75" customHeight="1" x14ac:dyDescent="0.25">
      <c r="A166" s="7" t="s">
        <v>453</v>
      </c>
      <c r="B166" s="30">
        <v>121.71</v>
      </c>
      <c r="C166" s="30">
        <v>75.61</v>
      </c>
      <c r="D166" s="30">
        <v>7.34</v>
      </c>
      <c r="E166" s="30">
        <v>9.2899999999999991</v>
      </c>
      <c r="F166" s="30">
        <v>22.67</v>
      </c>
      <c r="G166" s="30">
        <v>6.79</v>
      </c>
    </row>
    <row r="167" spans="1:7" ht="27.2" customHeight="1" x14ac:dyDescent="0.25">
      <c r="A167" s="23" t="s">
        <v>496</v>
      </c>
      <c r="B167" s="23"/>
      <c r="C167" s="23"/>
      <c r="D167" s="23"/>
      <c r="E167" s="23"/>
      <c r="F167" s="23"/>
      <c r="G167" s="23"/>
    </row>
    <row r="168" spans="1:7" x14ac:dyDescent="0.25">
      <c r="A168" s="7" t="s">
        <v>450</v>
      </c>
      <c r="B168" s="25">
        <v>84.52</v>
      </c>
      <c r="C168" s="25">
        <v>54.13</v>
      </c>
      <c r="D168" s="25">
        <v>5.63</v>
      </c>
      <c r="E168" s="25">
        <v>6.95</v>
      </c>
      <c r="F168" s="25">
        <v>14.94</v>
      </c>
      <c r="G168" s="25">
        <v>2.87</v>
      </c>
    </row>
    <row r="169" spans="1:7" x14ac:dyDescent="0.25">
      <c r="A169" s="26" t="s">
        <v>497</v>
      </c>
      <c r="B169" s="25">
        <v>69.489999999999995</v>
      </c>
      <c r="C169" s="25">
        <v>47.14</v>
      </c>
      <c r="D169" s="25">
        <v>4.9000000000000004</v>
      </c>
      <c r="E169" s="25">
        <v>5.27</v>
      </c>
      <c r="F169" s="25">
        <v>10.3</v>
      </c>
      <c r="G169" s="25">
        <v>1.89</v>
      </c>
    </row>
    <row r="170" spans="1:7" ht="33.75" customHeight="1" x14ac:dyDescent="0.25">
      <c r="A170" s="26" t="s">
        <v>498</v>
      </c>
      <c r="B170" s="25">
        <v>15.03</v>
      </c>
      <c r="C170" s="25">
        <v>6.99</v>
      </c>
      <c r="D170" s="25">
        <v>0.74</v>
      </c>
      <c r="E170" s="25">
        <v>1.68</v>
      </c>
      <c r="F170" s="25">
        <v>4.6399999999999997</v>
      </c>
      <c r="G170" s="25">
        <v>0.98</v>
      </c>
    </row>
    <row r="171" spans="1:7" x14ac:dyDescent="0.25">
      <c r="A171" s="7" t="s">
        <v>453</v>
      </c>
      <c r="B171" s="25">
        <v>39.01</v>
      </c>
      <c r="C171" s="25">
        <v>22.93</v>
      </c>
      <c r="D171" s="25">
        <v>1.82</v>
      </c>
      <c r="E171" s="25">
        <v>2.4</v>
      </c>
      <c r="F171" s="25">
        <v>7.9</v>
      </c>
      <c r="G171" s="25">
        <v>3.96</v>
      </c>
    </row>
    <row r="172" spans="1:7" x14ac:dyDescent="0.25">
      <c r="A172" s="23" t="s">
        <v>499</v>
      </c>
      <c r="B172" s="24"/>
      <c r="C172" s="24"/>
      <c r="D172" s="24"/>
      <c r="E172" s="24"/>
      <c r="F172" s="24"/>
      <c r="G172" s="24"/>
    </row>
    <row r="173" spans="1:7" x14ac:dyDescent="0.25">
      <c r="A173" s="7" t="s">
        <v>450</v>
      </c>
      <c r="B173" s="25">
        <v>3.37</v>
      </c>
      <c r="C173" s="25">
        <v>3.16</v>
      </c>
      <c r="D173" s="25">
        <v>0.11</v>
      </c>
      <c r="E173" s="25" t="s">
        <v>416</v>
      </c>
      <c r="F173" s="25" t="s">
        <v>416</v>
      </c>
      <c r="G173" s="25">
        <v>0.1</v>
      </c>
    </row>
    <row r="174" spans="1:7" x14ac:dyDescent="0.25">
      <c r="A174" s="7" t="s">
        <v>453</v>
      </c>
      <c r="B174" s="25">
        <v>87.98</v>
      </c>
      <c r="C174" s="25">
        <v>73.91</v>
      </c>
      <c r="D174" s="25">
        <v>7.34</v>
      </c>
      <c r="E174" s="25" t="s">
        <v>416</v>
      </c>
      <c r="F174" s="25" t="s">
        <v>416</v>
      </c>
      <c r="G174" s="25">
        <v>6.73</v>
      </c>
    </row>
    <row r="175" spans="1:7" ht="24" customHeight="1" x14ac:dyDescent="0.25">
      <c r="A175" s="7" t="s">
        <v>500</v>
      </c>
      <c r="B175" s="25">
        <v>32.18</v>
      </c>
      <c r="C175" s="25" t="s">
        <v>416</v>
      </c>
      <c r="D175" s="25" t="s">
        <v>416</v>
      </c>
      <c r="E175" s="25">
        <v>9.34</v>
      </c>
      <c r="F175" s="25">
        <v>22.84</v>
      </c>
      <c r="G175" s="25" t="s">
        <v>416</v>
      </c>
    </row>
    <row r="176" spans="1:7" ht="27.2" customHeight="1" x14ac:dyDescent="0.25">
      <c r="A176" s="23" t="s">
        <v>501</v>
      </c>
      <c r="B176" s="24"/>
      <c r="C176" s="24"/>
      <c r="D176" s="24"/>
      <c r="E176" s="24"/>
      <c r="F176" s="24"/>
      <c r="G176" s="24"/>
    </row>
    <row r="177" spans="1:7" x14ac:dyDescent="0.25">
      <c r="A177" s="7" t="s">
        <v>450</v>
      </c>
      <c r="B177" s="25">
        <v>22.72</v>
      </c>
      <c r="C177" s="25">
        <v>15.11</v>
      </c>
      <c r="D177" s="25">
        <v>1.05</v>
      </c>
      <c r="E177" s="25">
        <v>1.42</v>
      </c>
      <c r="F177" s="25">
        <v>3.64</v>
      </c>
      <c r="G177" s="25">
        <v>1.5</v>
      </c>
    </row>
    <row r="178" spans="1:7" ht="27.2" customHeight="1" x14ac:dyDescent="0.25">
      <c r="A178" s="26" t="s">
        <v>502</v>
      </c>
      <c r="B178" s="25">
        <v>19</v>
      </c>
      <c r="C178" s="25">
        <v>13.08</v>
      </c>
      <c r="D178" s="25">
        <v>0.83</v>
      </c>
      <c r="E178" s="25">
        <v>1.08</v>
      </c>
      <c r="F178" s="25">
        <v>2.68</v>
      </c>
      <c r="G178" s="25">
        <v>1.32</v>
      </c>
    </row>
    <row r="179" spans="1:7" ht="24" customHeight="1" x14ac:dyDescent="0.25">
      <c r="A179" s="26" t="s">
        <v>503</v>
      </c>
      <c r="B179" s="25">
        <v>0.25</v>
      </c>
      <c r="C179" s="25">
        <v>0.15</v>
      </c>
      <c r="D179" s="25" t="s">
        <v>427</v>
      </c>
      <c r="E179" s="25" t="s">
        <v>427</v>
      </c>
      <c r="F179" s="25" t="s">
        <v>427</v>
      </c>
      <c r="G179" s="25" t="s">
        <v>427</v>
      </c>
    </row>
    <row r="180" spans="1:7" ht="27.2" customHeight="1" x14ac:dyDescent="0.25">
      <c r="A180" s="26" t="s">
        <v>504</v>
      </c>
      <c r="B180" s="25">
        <v>3.08</v>
      </c>
      <c r="C180" s="25">
        <v>1.71</v>
      </c>
      <c r="D180" s="25">
        <v>0.18</v>
      </c>
      <c r="E180" s="25">
        <v>0.28999999999999998</v>
      </c>
      <c r="F180" s="25">
        <v>0.76</v>
      </c>
      <c r="G180" s="25">
        <v>0.14000000000000001</v>
      </c>
    </row>
    <row r="181" spans="1:7" x14ac:dyDescent="0.25">
      <c r="A181" s="26" t="s">
        <v>245</v>
      </c>
      <c r="B181" s="25">
        <v>0.39</v>
      </c>
      <c r="C181" s="25">
        <v>0.16</v>
      </c>
      <c r="D181" s="25" t="s">
        <v>427</v>
      </c>
      <c r="E181" s="25" t="s">
        <v>427</v>
      </c>
      <c r="F181" s="25">
        <v>0.18</v>
      </c>
      <c r="G181" s="25" t="s">
        <v>427</v>
      </c>
    </row>
    <row r="182" spans="1:7" x14ac:dyDescent="0.25">
      <c r="A182" s="7" t="s">
        <v>453</v>
      </c>
      <c r="B182" s="25">
        <v>100.81</v>
      </c>
      <c r="C182" s="25">
        <v>61.96</v>
      </c>
      <c r="D182" s="25">
        <v>6.4</v>
      </c>
      <c r="E182" s="25">
        <v>7.92</v>
      </c>
      <c r="F182" s="25">
        <v>19.190000000000001</v>
      </c>
      <c r="G182" s="25">
        <v>5.33</v>
      </c>
    </row>
    <row r="183" spans="1:7" ht="24" customHeight="1" x14ac:dyDescent="0.25">
      <c r="A183" s="23" t="s">
        <v>505</v>
      </c>
      <c r="B183" s="24"/>
      <c r="C183" s="24"/>
      <c r="D183" s="24"/>
      <c r="E183" s="24"/>
      <c r="F183" s="24"/>
      <c r="G183" s="24"/>
    </row>
    <row r="184" spans="1:7" x14ac:dyDescent="0.25">
      <c r="A184" s="7" t="s">
        <v>450</v>
      </c>
      <c r="B184" s="25">
        <v>17.66</v>
      </c>
      <c r="C184" s="25">
        <v>13.93</v>
      </c>
      <c r="D184" s="25">
        <v>0.34</v>
      </c>
      <c r="E184" s="25">
        <v>0.22</v>
      </c>
      <c r="F184" s="25">
        <v>2.15</v>
      </c>
      <c r="G184" s="25">
        <v>1.02</v>
      </c>
    </row>
    <row r="185" spans="1:7" x14ac:dyDescent="0.25">
      <c r="A185" s="7" t="s">
        <v>453</v>
      </c>
      <c r="B185" s="25">
        <v>105.87</v>
      </c>
      <c r="C185" s="25">
        <v>63.14</v>
      </c>
      <c r="D185" s="25">
        <v>7.11</v>
      </c>
      <c r="E185" s="25">
        <v>9.1199999999999992</v>
      </c>
      <c r="F185" s="25">
        <v>20.69</v>
      </c>
      <c r="G185" s="25">
        <v>5.82</v>
      </c>
    </row>
    <row r="186" spans="1:7" x14ac:dyDescent="0.25">
      <c r="A186" s="23" t="s">
        <v>506</v>
      </c>
      <c r="B186" s="24"/>
      <c r="C186" s="24"/>
      <c r="D186" s="24"/>
      <c r="E186" s="24"/>
      <c r="F186" s="24"/>
      <c r="G186" s="24"/>
    </row>
    <row r="187" spans="1:7" ht="24" customHeight="1" x14ac:dyDescent="0.25">
      <c r="A187" s="28" t="s">
        <v>450</v>
      </c>
      <c r="B187" s="25">
        <v>8.52</v>
      </c>
      <c r="C187" s="25">
        <v>8.09</v>
      </c>
      <c r="D187" s="25">
        <v>0.2</v>
      </c>
      <c r="E187" s="25" t="s">
        <v>416</v>
      </c>
      <c r="F187" s="25" t="s">
        <v>416</v>
      </c>
      <c r="G187" s="25">
        <v>0.23</v>
      </c>
    </row>
    <row r="188" spans="1:7" x14ac:dyDescent="0.25">
      <c r="A188" s="7" t="s">
        <v>453</v>
      </c>
      <c r="B188" s="25">
        <v>82.83</v>
      </c>
      <c r="C188" s="25">
        <v>68.98</v>
      </c>
      <c r="D188" s="25">
        <v>7.25</v>
      </c>
      <c r="E188" s="25" t="s">
        <v>416</v>
      </c>
      <c r="F188" s="25" t="s">
        <v>416</v>
      </c>
      <c r="G188" s="25">
        <v>6.6</v>
      </c>
    </row>
    <row r="189" spans="1:7" x14ac:dyDescent="0.25">
      <c r="A189" s="7" t="s">
        <v>500</v>
      </c>
      <c r="B189" s="25">
        <v>32.18</v>
      </c>
      <c r="C189" s="25" t="s">
        <v>416</v>
      </c>
      <c r="D189" s="25" t="s">
        <v>416</v>
      </c>
      <c r="E189" s="25">
        <v>9.34</v>
      </c>
      <c r="F189" s="25">
        <v>22.84</v>
      </c>
      <c r="G189" s="25" t="s">
        <v>416</v>
      </c>
    </row>
    <row r="190" spans="1:7" x14ac:dyDescent="0.25">
      <c r="A190" s="31" t="s">
        <v>507</v>
      </c>
      <c r="B190" s="24"/>
      <c r="C190" s="24"/>
      <c r="D190" s="24"/>
      <c r="E190" s="24"/>
      <c r="F190" s="24"/>
      <c r="G190" s="24"/>
    </row>
    <row r="191" spans="1:7" x14ac:dyDescent="0.25">
      <c r="A191" s="26" t="s">
        <v>508</v>
      </c>
      <c r="B191" s="25">
        <v>1.9</v>
      </c>
      <c r="C191" s="25">
        <v>1.77</v>
      </c>
      <c r="D191" s="25">
        <v>0.06</v>
      </c>
      <c r="E191" s="25" t="s">
        <v>416</v>
      </c>
      <c r="F191" s="25" t="s">
        <v>416</v>
      </c>
      <c r="G191" s="25" t="s">
        <v>427</v>
      </c>
    </row>
    <row r="192" spans="1:7" x14ac:dyDescent="0.25">
      <c r="A192" s="26" t="s">
        <v>509</v>
      </c>
      <c r="B192" s="25">
        <v>5.08</v>
      </c>
      <c r="C192" s="25">
        <v>4.84</v>
      </c>
      <c r="D192" s="25">
        <v>0.1</v>
      </c>
      <c r="E192" s="25" t="s">
        <v>416</v>
      </c>
      <c r="F192" s="25" t="s">
        <v>416</v>
      </c>
      <c r="G192" s="25">
        <v>0.14000000000000001</v>
      </c>
    </row>
    <row r="193" spans="1:7" ht="24" customHeight="1" x14ac:dyDescent="0.25">
      <c r="A193" s="26" t="s">
        <v>510</v>
      </c>
      <c r="B193" s="25">
        <v>1.54</v>
      </c>
      <c r="C193" s="25">
        <v>1.48</v>
      </c>
      <c r="D193" s="25" t="s">
        <v>427</v>
      </c>
      <c r="E193" s="25" t="s">
        <v>416</v>
      </c>
      <c r="F193" s="25" t="s">
        <v>416</v>
      </c>
      <c r="G193" s="25" t="s">
        <v>427</v>
      </c>
    </row>
    <row r="194" spans="1:7" x14ac:dyDescent="0.25">
      <c r="A194" s="26" t="s">
        <v>511</v>
      </c>
      <c r="B194" s="25">
        <v>82.83</v>
      </c>
      <c r="C194" s="25">
        <v>68.98</v>
      </c>
      <c r="D194" s="25">
        <v>7.25</v>
      </c>
      <c r="E194" s="25" t="s">
        <v>416</v>
      </c>
      <c r="F194" s="25" t="s">
        <v>416</v>
      </c>
      <c r="G194" s="25">
        <v>6.6</v>
      </c>
    </row>
    <row r="195" spans="1:7" x14ac:dyDescent="0.25">
      <c r="A195" s="26" t="s">
        <v>500</v>
      </c>
      <c r="B195" s="25">
        <v>32.18</v>
      </c>
      <c r="C195" s="25" t="s">
        <v>416</v>
      </c>
      <c r="D195" s="25" t="s">
        <v>416</v>
      </c>
      <c r="E195" s="25">
        <v>9.34</v>
      </c>
      <c r="F195" s="25">
        <v>22.84</v>
      </c>
      <c r="G195" s="25" t="s">
        <v>416</v>
      </c>
    </row>
    <row r="196" spans="1:7" x14ac:dyDescent="0.25">
      <c r="A196" s="31" t="s">
        <v>512</v>
      </c>
      <c r="B196" s="24"/>
      <c r="C196" s="24"/>
      <c r="D196" s="24"/>
      <c r="E196" s="24"/>
      <c r="F196" s="24"/>
      <c r="G196" s="24"/>
    </row>
    <row r="197" spans="1:7" x14ac:dyDescent="0.25">
      <c r="A197" s="26" t="s">
        <v>513</v>
      </c>
      <c r="B197" s="25">
        <v>2.89</v>
      </c>
      <c r="C197" s="25">
        <v>2.82</v>
      </c>
      <c r="D197" s="25">
        <v>0.05</v>
      </c>
      <c r="E197" s="25" t="s">
        <v>416</v>
      </c>
      <c r="F197" s="25" t="s">
        <v>416</v>
      </c>
      <c r="G197" s="25" t="s">
        <v>427</v>
      </c>
    </row>
    <row r="198" spans="1:7" x14ac:dyDescent="0.25">
      <c r="A198" s="27" t="s">
        <v>249</v>
      </c>
      <c r="B198" s="25">
        <v>0.85</v>
      </c>
      <c r="C198" s="25">
        <v>0.82</v>
      </c>
      <c r="D198" s="25" t="s">
        <v>427</v>
      </c>
      <c r="E198" s="25" t="s">
        <v>416</v>
      </c>
      <c r="F198" s="25" t="s">
        <v>416</v>
      </c>
      <c r="G198" s="25" t="s">
        <v>427</v>
      </c>
    </row>
    <row r="199" spans="1:7" x14ac:dyDescent="0.25">
      <c r="A199" s="27" t="s">
        <v>514</v>
      </c>
      <c r="B199" s="25">
        <v>1.32</v>
      </c>
      <c r="C199" s="25">
        <v>1.3</v>
      </c>
      <c r="D199" s="25" t="s">
        <v>427</v>
      </c>
      <c r="E199" s="25" t="s">
        <v>416</v>
      </c>
      <c r="F199" s="25" t="s">
        <v>416</v>
      </c>
      <c r="G199" s="25" t="s">
        <v>427</v>
      </c>
    </row>
    <row r="200" spans="1:7" x14ac:dyDescent="0.25">
      <c r="A200" s="27" t="s">
        <v>32</v>
      </c>
      <c r="B200" s="25">
        <v>0.28999999999999998</v>
      </c>
      <c r="C200" s="25">
        <v>0.28000000000000003</v>
      </c>
      <c r="D200" s="25" t="s">
        <v>427</v>
      </c>
      <c r="E200" s="25" t="s">
        <v>416</v>
      </c>
      <c r="F200" s="25" t="s">
        <v>416</v>
      </c>
      <c r="G200" s="25" t="s">
        <v>416</v>
      </c>
    </row>
    <row r="201" spans="1:7" x14ac:dyDescent="0.25">
      <c r="A201" s="27" t="s">
        <v>515</v>
      </c>
      <c r="B201" s="25">
        <v>0.42</v>
      </c>
      <c r="C201" s="25">
        <v>0.42</v>
      </c>
      <c r="D201" s="25" t="s">
        <v>427</v>
      </c>
      <c r="E201" s="25" t="s">
        <v>416</v>
      </c>
      <c r="F201" s="25" t="s">
        <v>416</v>
      </c>
      <c r="G201" s="25" t="s">
        <v>416</v>
      </c>
    </row>
    <row r="202" spans="1:7" x14ac:dyDescent="0.25">
      <c r="A202" s="26" t="s">
        <v>516</v>
      </c>
      <c r="B202" s="25">
        <v>5.63</v>
      </c>
      <c r="C202" s="25">
        <v>5.27</v>
      </c>
      <c r="D202" s="25">
        <v>0.15</v>
      </c>
      <c r="E202" s="25" t="s">
        <v>416</v>
      </c>
      <c r="F202" s="25" t="s">
        <v>416</v>
      </c>
      <c r="G202" s="25">
        <v>0.22</v>
      </c>
    </row>
    <row r="203" spans="1:7" ht="24" customHeight="1" x14ac:dyDescent="0.25">
      <c r="A203" s="26" t="s">
        <v>511</v>
      </c>
      <c r="B203" s="25">
        <v>82.83</v>
      </c>
      <c r="C203" s="25">
        <v>68.98</v>
      </c>
      <c r="D203" s="25">
        <v>7.25</v>
      </c>
      <c r="E203" s="25" t="s">
        <v>416</v>
      </c>
      <c r="F203" s="25" t="s">
        <v>416</v>
      </c>
      <c r="G203" s="25">
        <v>6.6</v>
      </c>
    </row>
    <row r="204" spans="1:7" s="6" customFormat="1" x14ac:dyDescent="0.25">
      <c r="A204" s="26" t="s">
        <v>500</v>
      </c>
      <c r="B204" s="25">
        <v>32.18</v>
      </c>
      <c r="C204" s="25" t="s">
        <v>416</v>
      </c>
      <c r="D204" s="25" t="s">
        <v>416</v>
      </c>
      <c r="E204" s="25">
        <v>9.34</v>
      </c>
      <c r="F204" s="25">
        <v>22.84</v>
      </c>
      <c r="G204" s="25" t="s">
        <v>416</v>
      </c>
    </row>
    <row r="205" spans="1:7" s="6" customFormat="1" x14ac:dyDescent="0.25">
      <c r="A205" s="23" t="s">
        <v>517</v>
      </c>
      <c r="B205" s="24"/>
      <c r="C205" s="24"/>
      <c r="D205" s="24"/>
      <c r="E205" s="24"/>
      <c r="F205" s="24"/>
      <c r="G205" s="24"/>
    </row>
    <row r="206" spans="1:7" s="6" customFormat="1" ht="24" customHeight="1" x14ac:dyDescent="0.25">
      <c r="A206" s="7" t="s">
        <v>450</v>
      </c>
      <c r="B206" s="25">
        <v>8.84</v>
      </c>
      <c r="C206" s="25">
        <v>7.33</v>
      </c>
      <c r="D206" s="25">
        <v>0.28000000000000003</v>
      </c>
      <c r="E206" s="25">
        <v>0.22</v>
      </c>
      <c r="F206" s="25">
        <v>0.73</v>
      </c>
      <c r="G206" s="25">
        <v>0.28999999999999998</v>
      </c>
    </row>
    <row r="207" spans="1:7" s="6" customFormat="1" x14ac:dyDescent="0.25">
      <c r="A207" s="7" t="s">
        <v>453</v>
      </c>
      <c r="B207" s="25">
        <v>114.69</v>
      </c>
      <c r="C207" s="25">
        <v>69.739999999999995</v>
      </c>
      <c r="D207" s="25">
        <v>7.18</v>
      </c>
      <c r="E207" s="25">
        <v>9.1199999999999992</v>
      </c>
      <c r="F207" s="25">
        <v>22.11</v>
      </c>
      <c r="G207" s="25">
        <v>6.55</v>
      </c>
    </row>
    <row r="208" spans="1:7" s="6" customFormat="1" x14ac:dyDescent="0.25">
      <c r="A208" s="31" t="s">
        <v>518</v>
      </c>
      <c r="B208" s="24"/>
      <c r="C208" s="24"/>
      <c r="D208" s="24"/>
      <c r="E208" s="24"/>
      <c r="F208" s="24"/>
      <c r="G208" s="24"/>
    </row>
    <row r="209" spans="1:7" s="6" customFormat="1" x14ac:dyDescent="0.25">
      <c r="A209" s="26" t="s">
        <v>508</v>
      </c>
      <c r="B209" s="25">
        <v>4.22</v>
      </c>
      <c r="C209" s="25">
        <v>3.3</v>
      </c>
      <c r="D209" s="25">
        <v>0.17</v>
      </c>
      <c r="E209" s="25">
        <v>0.14000000000000001</v>
      </c>
      <c r="F209" s="25">
        <v>0.44</v>
      </c>
      <c r="G209" s="25">
        <v>0.16</v>
      </c>
    </row>
    <row r="210" spans="1:7" s="6" customFormat="1" x14ac:dyDescent="0.25">
      <c r="A210" s="26" t="s">
        <v>509</v>
      </c>
      <c r="B210" s="25">
        <v>1.27</v>
      </c>
      <c r="C210" s="25">
        <v>1.1299999999999999</v>
      </c>
      <c r="D210" s="25" t="s">
        <v>427</v>
      </c>
      <c r="E210" s="25" t="s">
        <v>427</v>
      </c>
      <c r="F210" s="25" t="s">
        <v>427</v>
      </c>
      <c r="G210" s="25" t="s">
        <v>427</v>
      </c>
    </row>
    <row r="211" spans="1:7" ht="24" customHeight="1" x14ac:dyDescent="0.25">
      <c r="A211" s="26" t="s">
        <v>510</v>
      </c>
      <c r="B211" s="25">
        <v>3.35</v>
      </c>
      <c r="C211" s="25">
        <v>2.9</v>
      </c>
      <c r="D211" s="25">
        <v>0.08</v>
      </c>
      <c r="E211" s="25" t="s">
        <v>427</v>
      </c>
      <c r="F211" s="25">
        <v>0.21</v>
      </c>
      <c r="G211" s="25">
        <v>0.1</v>
      </c>
    </row>
    <row r="212" spans="1:7" x14ac:dyDescent="0.25">
      <c r="A212" s="26" t="s">
        <v>519</v>
      </c>
      <c r="B212" s="25">
        <v>114.69</v>
      </c>
      <c r="C212" s="25">
        <v>69.739999999999995</v>
      </c>
      <c r="D212" s="25">
        <v>7.18</v>
      </c>
      <c r="E212" s="25">
        <v>9.1199999999999992</v>
      </c>
      <c r="F212" s="25">
        <v>22.11</v>
      </c>
      <c r="G212" s="25">
        <v>6.55</v>
      </c>
    </row>
    <row r="213" spans="1:7" x14ac:dyDescent="0.25">
      <c r="A213" s="31" t="s">
        <v>520</v>
      </c>
      <c r="B213" s="24"/>
      <c r="C213" s="24"/>
      <c r="D213" s="24"/>
      <c r="E213" s="24"/>
      <c r="F213" s="24"/>
      <c r="G213" s="24"/>
    </row>
    <row r="214" spans="1:7" x14ac:dyDescent="0.25">
      <c r="A214" s="26" t="s">
        <v>249</v>
      </c>
      <c r="B214" s="25">
        <v>4.41</v>
      </c>
      <c r="C214" s="25">
        <v>3.8</v>
      </c>
      <c r="D214" s="25">
        <v>0.1</v>
      </c>
      <c r="E214" s="25" t="s">
        <v>427</v>
      </c>
      <c r="F214" s="25">
        <v>0.24</v>
      </c>
      <c r="G214" s="25">
        <v>0.17</v>
      </c>
    </row>
    <row r="215" spans="1:7" x14ac:dyDescent="0.25">
      <c r="A215" s="26" t="s">
        <v>514</v>
      </c>
      <c r="B215" s="25">
        <v>1.47</v>
      </c>
      <c r="C215" s="25">
        <v>1.23</v>
      </c>
      <c r="D215" s="25">
        <v>0.04</v>
      </c>
      <c r="E215" s="25" t="s">
        <v>427</v>
      </c>
      <c r="F215" s="25">
        <v>0.11</v>
      </c>
      <c r="G215" s="25" t="s">
        <v>427</v>
      </c>
    </row>
    <row r="216" spans="1:7" x14ac:dyDescent="0.25">
      <c r="A216" s="26" t="s">
        <v>515</v>
      </c>
      <c r="B216" s="25">
        <v>0.36</v>
      </c>
      <c r="C216" s="25">
        <v>0.32</v>
      </c>
      <c r="D216" s="25" t="s">
        <v>427</v>
      </c>
      <c r="E216" s="25" t="s">
        <v>416</v>
      </c>
      <c r="F216" s="25" t="s">
        <v>427</v>
      </c>
      <c r="G216" s="25" t="s">
        <v>416</v>
      </c>
    </row>
    <row r="217" spans="1:7" ht="43.5" customHeight="1" x14ac:dyDescent="0.25">
      <c r="A217" s="26" t="s">
        <v>521</v>
      </c>
      <c r="B217" s="25">
        <v>2.6</v>
      </c>
      <c r="C217" s="25">
        <v>1.98</v>
      </c>
      <c r="D217" s="25">
        <v>0.12</v>
      </c>
      <c r="E217" s="25" t="s">
        <v>427</v>
      </c>
      <c r="F217" s="25">
        <v>0.34</v>
      </c>
      <c r="G217" s="25">
        <v>0.09</v>
      </c>
    </row>
    <row r="218" spans="1:7" x14ac:dyDescent="0.25">
      <c r="A218" s="26" t="s">
        <v>519</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84" t="s">
        <v>522</v>
      </c>
      <c r="B221" s="85"/>
      <c r="C221" s="85"/>
      <c r="D221" s="85"/>
      <c r="E221" s="85"/>
      <c r="F221" s="85"/>
      <c r="G221" s="85"/>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19</v>
      </c>
    </row>
    <row r="2" spans="1:31" x14ac:dyDescent="0.25">
      <c r="A2" t="s">
        <v>608</v>
      </c>
    </row>
    <row r="3" spans="1:31" x14ac:dyDescent="0.25">
      <c r="A3" t="s">
        <v>609</v>
      </c>
    </row>
    <row r="4" spans="1:31" x14ac:dyDescent="0.25">
      <c r="A4" t="s">
        <v>20</v>
      </c>
    </row>
    <row r="5" spans="1:31" x14ac:dyDescent="0.25">
      <c r="B5" t="s">
        <v>21</v>
      </c>
      <c r="C5" t="s">
        <v>22</v>
      </c>
      <c r="D5" t="s">
        <v>23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610</v>
      </c>
    </row>
    <row r="6" spans="1:31" x14ac:dyDescent="0.25">
      <c r="A6" t="s">
        <v>24</v>
      </c>
    </row>
    <row r="7" spans="1:31" x14ac:dyDescent="0.25">
      <c r="A7" t="s">
        <v>25</v>
      </c>
    </row>
    <row r="8" spans="1:31" x14ac:dyDescent="0.25">
      <c r="A8" t="s">
        <v>26</v>
      </c>
      <c r="B8" t="s">
        <v>611</v>
      </c>
      <c r="C8" t="s">
        <v>612</v>
      </c>
      <c r="D8" t="s">
        <v>27</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613</v>
      </c>
    </row>
    <row r="9" spans="1:31" x14ac:dyDescent="0.25">
      <c r="A9" t="s">
        <v>28</v>
      </c>
      <c r="B9" t="s">
        <v>614</v>
      </c>
      <c r="C9" t="s">
        <v>615</v>
      </c>
      <c r="D9" t="s">
        <v>27</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616</v>
      </c>
    </row>
    <row r="10" spans="1:31" x14ac:dyDescent="0.25">
      <c r="A10" t="s">
        <v>29</v>
      </c>
      <c r="B10" t="s">
        <v>617</v>
      </c>
      <c r="C10" t="s">
        <v>618</v>
      </c>
      <c r="D10" t="s">
        <v>27</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619</v>
      </c>
    </row>
    <row r="11" spans="1:31" x14ac:dyDescent="0.25">
      <c r="A11" t="s">
        <v>30</v>
      </c>
      <c r="B11" t="s">
        <v>620</v>
      </c>
      <c r="C11" t="s">
        <v>621</v>
      </c>
      <c r="D11" t="s">
        <v>27</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622</v>
      </c>
    </row>
    <row r="12" spans="1:31" x14ac:dyDescent="0.25">
      <c r="A12" t="s">
        <v>31</v>
      </c>
      <c r="B12" t="s">
        <v>623</v>
      </c>
      <c r="C12" t="s">
        <v>624</v>
      </c>
      <c r="D12" t="s">
        <v>27</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625</v>
      </c>
    </row>
    <row r="13" spans="1:31" x14ac:dyDescent="0.25">
      <c r="A13" t="s">
        <v>32</v>
      </c>
      <c r="B13" t="s">
        <v>626</v>
      </c>
      <c r="C13" t="s">
        <v>627</v>
      </c>
      <c r="D13" t="s">
        <v>27</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628</v>
      </c>
    </row>
    <row r="14" spans="1:31" x14ac:dyDescent="0.25">
      <c r="A14" t="s">
        <v>34</v>
      </c>
      <c r="B14" t="s">
        <v>629</v>
      </c>
      <c r="C14" t="s">
        <v>630</v>
      </c>
      <c r="D14" t="s">
        <v>27</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631</v>
      </c>
    </row>
    <row r="15" spans="1:31" x14ac:dyDescent="0.25">
      <c r="A15" t="s">
        <v>35</v>
      </c>
      <c r="B15" t="s">
        <v>632</v>
      </c>
      <c r="C15" t="s">
        <v>633</v>
      </c>
      <c r="D15" t="s">
        <v>27</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634</v>
      </c>
    </row>
    <row r="16" spans="1:31" x14ac:dyDescent="0.25">
      <c r="A16" t="s">
        <v>36</v>
      </c>
      <c r="B16" t="s">
        <v>635</v>
      </c>
      <c r="C16" t="s">
        <v>636</v>
      </c>
      <c r="D16" t="s">
        <v>27</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637</v>
      </c>
    </row>
    <row r="17" spans="1:31" x14ac:dyDescent="0.25">
      <c r="A17" t="s">
        <v>37</v>
      </c>
    </row>
    <row r="18" spans="1:31" x14ac:dyDescent="0.25">
      <c r="A18" t="s">
        <v>26</v>
      </c>
      <c r="B18" t="s">
        <v>638</v>
      </c>
      <c r="C18" t="s">
        <v>639</v>
      </c>
      <c r="D18" t="s">
        <v>27</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613</v>
      </c>
    </row>
    <row r="19" spans="1:31" x14ac:dyDescent="0.25">
      <c r="A19" t="s">
        <v>29</v>
      </c>
      <c r="B19" t="s">
        <v>640</v>
      </c>
      <c r="C19" t="s">
        <v>641</v>
      </c>
      <c r="D19" t="s">
        <v>27</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619</v>
      </c>
    </row>
    <row r="20" spans="1:31" x14ac:dyDescent="0.25">
      <c r="A20" t="s">
        <v>35</v>
      </c>
      <c r="B20" t="s">
        <v>642</v>
      </c>
      <c r="C20" t="s">
        <v>643</v>
      </c>
      <c r="D20" t="s">
        <v>27</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634</v>
      </c>
    </row>
    <row r="21" spans="1:31" x14ac:dyDescent="0.25">
      <c r="A21" t="s">
        <v>38</v>
      </c>
      <c r="B21" t="s">
        <v>644</v>
      </c>
      <c r="C21" t="s">
        <v>645</v>
      </c>
      <c r="D21" t="s">
        <v>27</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646</v>
      </c>
    </row>
    <row r="22" spans="1:31" x14ac:dyDescent="0.25">
      <c r="A22" t="s">
        <v>39</v>
      </c>
      <c r="B22" t="s">
        <v>647</v>
      </c>
      <c r="C22" t="s">
        <v>648</v>
      </c>
      <c r="D22" t="s">
        <v>27</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649</v>
      </c>
    </row>
    <row r="23" spans="1:31" x14ac:dyDescent="0.25">
      <c r="A23" t="s">
        <v>36</v>
      </c>
      <c r="B23" t="s">
        <v>650</v>
      </c>
      <c r="C23" t="s">
        <v>651</v>
      </c>
      <c r="D23" t="s">
        <v>27</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652</v>
      </c>
    </row>
    <row r="24" spans="1:31" x14ac:dyDescent="0.25">
      <c r="A24" t="s">
        <v>40</v>
      </c>
    </row>
    <row r="25" spans="1:31" x14ac:dyDescent="0.25">
      <c r="A25" t="s">
        <v>41</v>
      </c>
      <c r="B25" t="s">
        <v>653</v>
      </c>
      <c r="C25" t="s">
        <v>654</v>
      </c>
      <c r="D25" t="s">
        <v>27</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616</v>
      </c>
    </row>
    <row r="26" spans="1:31" x14ac:dyDescent="0.25">
      <c r="A26" t="s">
        <v>42</v>
      </c>
      <c r="B26" t="s">
        <v>655</v>
      </c>
      <c r="C26" t="s">
        <v>656</v>
      </c>
      <c r="D26" t="s">
        <v>27</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622</v>
      </c>
    </row>
    <row r="27" spans="1:31" x14ac:dyDescent="0.25">
      <c r="A27" t="s">
        <v>31</v>
      </c>
      <c r="B27" t="s">
        <v>657</v>
      </c>
      <c r="C27" t="s">
        <v>658</v>
      </c>
      <c r="D27" t="s">
        <v>27</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659</v>
      </c>
    </row>
    <row r="28" spans="1:31" x14ac:dyDescent="0.25">
      <c r="A28" t="s">
        <v>32</v>
      </c>
      <c r="B28" t="s">
        <v>660</v>
      </c>
      <c r="C28" t="s">
        <v>661</v>
      </c>
      <c r="D28" t="s">
        <v>27</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662</v>
      </c>
    </row>
    <row r="29" spans="1:31" x14ac:dyDescent="0.25">
      <c r="A29" t="s">
        <v>43</v>
      </c>
      <c r="B29" t="s">
        <v>663</v>
      </c>
      <c r="C29" t="s">
        <v>664</v>
      </c>
      <c r="D29" t="s">
        <v>27</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649</v>
      </c>
    </row>
    <row r="30" spans="1:31" x14ac:dyDescent="0.25">
      <c r="A30" t="s">
        <v>36</v>
      </c>
      <c r="B30" t="s">
        <v>665</v>
      </c>
      <c r="C30" t="s">
        <v>666</v>
      </c>
      <c r="D30" t="s">
        <v>27</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637</v>
      </c>
    </row>
    <row r="31" spans="1:31" x14ac:dyDescent="0.25">
      <c r="A31" t="s">
        <v>44</v>
      </c>
    </row>
    <row r="32" spans="1:31" x14ac:dyDescent="0.25">
      <c r="A32" t="s">
        <v>41</v>
      </c>
      <c r="B32" t="s">
        <v>667</v>
      </c>
      <c r="C32" t="s">
        <v>668</v>
      </c>
      <c r="D32" t="s">
        <v>27</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634</v>
      </c>
    </row>
    <row r="33" spans="1:31" x14ac:dyDescent="0.25">
      <c r="A33" t="s">
        <v>42</v>
      </c>
      <c r="B33" t="s">
        <v>669</v>
      </c>
      <c r="C33" t="s">
        <v>670</v>
      </c>
      <c r="D33" t="s">
        <v>27</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622</v>
      </c>
    </row>
    <row r="34" spans="1:31" x14ac:dyDescent="0.25">
      <c r="A34" t="s">
        <v>32</v>
      </c>
      <c r="B34" t="s">
        <v>671</v>
      </c>
      <c r="C34" t="s">
        <v>672</v>
      </c>
      <c r="D34" t="s">
        <v>27</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649</v>
      </c>
    </row>
    <row r="35" spans="1:31" x14ac:dyDescent="0.25">
      <c r="A35" t="s">
        <v>36</v>
      </c>
      <c r="B35" t="s">
        <v>673</v>
      </c>
      <c r="C35" t="s">
        <v>674</v>
      </c>
      <c r="D35" t="s">
        <v>27</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634</v>
      </c>
    </row>
    <row r="36" spans="1:31" x14ac:dyDescent="0.25">
      <c r="A36" t="s">
        <v>45</v>
      </c>
    </row>
    <row r="37" spans="1:31" x14ac:dyDescent="0.25">
      <c r="A37" t="s">
        <v>41</v>
      </c>
      <c r="B37" t="s">
        <v>675</v>
      </c>
      <c r="C37" t="s">
        <v>676</v>
      </c>
      <c r="D37" t="s">
        <v>27</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677</v>
      </c>
    </row>
    <row r="38" spans="1:31" x14ac:dyDescent="0.25">
      <c r="A38" t="s">
        <v>42</v>
      </c>
      <c r="B38" t="s">
        <v>678</v>
      </c>
      <c r="C38" t="s">
        <v>679</v>
      </c>
      <c r="D38" t="s">
        <v>27</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680</v>
      </c>
    </row>
    <row r="39" spans="1:31" x14ac:dyDescent="0.25">
      <c r="A39" t="s">
        <v>36</v>
      </c>
      <c r="B39" t="s">
        <v>681</v>
      </c>
      <c r="C39" t="s">
        <v>682</v>
      </c>
      <c r="D39" t="s">
        <v>27</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683</v>
      </c>
    </row>
    <row r="40" spans="1:31" x14ac:dyDescent="0.25">
      <c r="A40" t="s">
        <v>46</v>
      </c>
    </row>
    <row r="41" spans="1:31" x14ac:dyDescent="0.25">
      <c r="A41" t="s">
        <v>47</v>
      </c>
      <c r="B41" t="s">
        <v>684</v>
      </c>
      <c r="C41" t="s">
        <v>685</v>
      </c>
      <c r="D41" t="s">
        <v>27</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637</v>
      </c>
    </row>
    <row r="42" spans="1:31" x14ac:dyDescent="0.25">
      <c r="A42" t="s">
        <v>48</v>
      </c>
      <c r="B42" t="s">
        <v>686</v>
      </c>
      <c r="C42" t="s">
        <v>687</v>
      </c>
      <c r="D42" t="s">
        <v>27</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622</v>
      </c>
    </row>
    <row r="43" spans="1:31" x14ac:dyDescent="0.25">
      <c r="A43" t="s">
        <v>49</v>
      </c>
    </row>
    <row r="44" spans="1:31" x14ac:dyDescent="0.25">
      <c r="A44" t="s">
        <v>25</v>
      </c>
    </row>
    <row r="45" spans="1:31" x14ac:dyDescent="0.25">
      <c r="A45" t="s">
        <v>50</v>
      </c>
      <c r="B45" t="s">
        <v>688</v>
      </c>
      <c r="C45" t="s">
        <v>689</v>
      </c>
      <c r="D45" t="s">
        <v>51</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619</v>
      </c>
    </row>
    <row r="46" spans="1:31" x14ac:dyDescent="0.25">
      <c r="A46" t="s">
        <v>52</v>
      </c>
      <c r="B46" t="s">
        <v>690</v>
      </c>
      <c r="C46" t="s">
        <v>691</v>
      </c>
      <c r="D46" t="s">
        <v>53</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692</v>
      </c>
    </row>
    <row r="47" spans="1:31" x14ac:dyDescent="0.25">
      <c r="A47" t="s">
        <v>54</v>
      </c>
      <c r="B47" t="s">
        <v>693</v>
      </c>
      <c r="C47" t="s">
        <v>694</v>
      </c>
      <c r="D47" t="s">
        <v>55</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695</v>
      </c>
    </row>
    <row r="48" spans="1:31" x14ac:dyDescent="0.25">
      <c r="A48" t="s">
        <v>56</v>
      </c>
      <c r="B48" t="s">
        <v>696</v>
      </c>
      <c r="C48" t="s">
        <v>697</v>
      </c>
      <c r="D48" t="s">
        <v>57</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634</v>
      </c>
    </row>
    <row r="49" spans="1:31" x14ac:dyDescent="0.25">
      <c r="A49" t="s">
        <v>58</v>
      </c>
      <c r="B49" t="s">
        <v>698</v>
      </c>
      <c r="C49" t="s">
        <v>699</v>
      </c>
      <c r="D49" t="s">
        <v>57</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692</v>
      </c>
    </row>
    <row r="50" spans="1:31" x14ac:dyDescent="0.25">
      <c r="A50" t="s">
        <v>59</v>
      </c>
    </row>
    <row r="51" spans="1:31" x14ac:dyDescent="0.25">
      <c r="A51" t="s">
        <v>60</v>
      </c>
      <c r="B51" t="s">
        <v>700</v>
      </c>
      <c r="C51" t="s">
        <v>701</v>
      </c>
      <c r="D51" t="s">
        <v>61</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622</v>
      </c>
    </row>
    <row r="52" spans="1:31" x14ac:dyDescent="0.25">
      <c r="A52" t="s">
        <v>52</v>
      </c>
      <c r="B52" t="s">
        <v>702</v>
      </c>
      <c r="C52" t="s">
        <v>703</v>
      </c>
      <c r="D52" t="s">
        <v>53</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695</v>
      </c>
    </row>
    <row r="53" spans="1:31" x14ac:dyDescent="0.25">
      <c r="A53" t="s">
        <v>62</v>
      </c>
      <c r="B53" t="s">
        <v>704</v>
      </c>
      <c r="C53" t="s">
        <v>705</v>
      </c>
      <c r="D53" t="s">
        <v>63</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634</v>
      </c>
    </row>
    <row r="54" spans="1:31" x14ac:dyDescent="0.25">
      <c r="A54" t="s">
        <v>64</v>
      </c>
      <c r="B54" t="s">
        <v>706</v>
      </c>
      <c r="C54" t="s">
        <v>707</v>
      </c>
      <c r="D54" t="s">
        <v>61</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619</v>
      </c>
    </row>
    <row r="55" spans="1:31" x14ac:dyDescent="0.25">
      <c r="A55" t="s">
        <v>65</v>
      </c>
      <c r="B55" t="s">
        <v>708</v>
      </c>
      <c r="C55" t="s">
        <v>709</v>
      </c>
      <c r="D55" t="s">
        <v>63</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710</v>
      </c>
    </row>
    <row r="56" spans="1:31" x14ac:dyDescent="0.25">
      <c r="A56" t="s">
        <v>66</v>
      </c>
    </row>
    <row r="57" spans="1:31" x14ac:dyDescent="0.25">
      <c r="A57" t="s">
        <v>67</v>
      </c>
      <c r="B57" t="s">
        <v>711</v>
      </c>
      <c r="C57" t="s">
        <v>712</v>
      </c>
      <c r="D57" t="s">
        <v>68</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713</v>
      </c>
    </row>
    <row r="58" spans="1:31" x14ac:dyDescent="0.25">
      <c r="A58" t="s">
        <v>69</v>
      </c>
      <c r="B58" t="s">
        <v>714</v>
      </c>
      <c r="C58" t="s">
        <v>715</v>
      </c>
      <c r="D58" t="s">
        <v>68</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716</v>
      </c>
    </row>
    <row r="59" spans="1:31" x14ac:dyDescent="0.25">
      <c r="A59" t="s">
        <v>70</v>
      </c>
      <c r="B59" t="s">
        <v>717</v>
      </c>
      <c r="C59" t="s">
        <v>718</v>
      </c>
      <c r="D59" t="s">
        <v>68</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634</v>
      </c>
    </row>
    <row r="60" spans="1:31" x14ac:dyDescent="0.25">
      <c r="A60" t="s">
        <v>71</v>
      </c>
      <c r="B60" t="s">
        <v>719</v>
      </c>
      <c r="C60" t="s">
        <v>720</v>
      </c>
      <c r="D60" t="s">
        <v>68</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716</v>
      </c>
    </row>
    <row r="61" spans="1:31" x14ac:dyDescent="0.25">
      <c r="A61" t="s">
        <v>72</v>
      </c>
    </row>
    <row r="62" spans="1:31" x14ac:dyDescent="0.25">
      <c r="A62" t="s">
        <v>47</v>
      </c>
      <c r="B62" t="s">
        <v>721</v>
      </c>
      <c r="C62" t="s">
        <v>722</v>
      </c>
      <c r="D62" t="s">
        <v>73</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723</v>
      </c>
    </row>
    <row r="63" spans="1:31" x14ac:dyDescent="0.25">
      <c r="A63" t="s">
        <v>48</v>
      </c>
      <c r="B63" t="s">
        <v>724</v>
      </c>
      <c r="C63" t="s">
        <v>725</v>
      </c>
      <c r="D63" t="s">
        <v>73</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726</v>
      </c>
    </row>
    <row r="64" spans="1:31" x14ac:dyDescent="0.25">
      <c r="A64" t="s">
        <v>74</v>
      </c>
    </row>
    <row r="65" spans="1:31" x14ac:dyDescent="0.25">
      <c r="A65" t="s">
        <v>75</v>
      </c>
    </row>
    <row r="66" spans="1:31" x14ac:dyDescent="0.25">
      <c r="A66" t="s">
        <v>190</v>
      </c>
      <c r="B66" t="s">
        <v>727</v>
      </c>
      <c r="C66" t="s">
        <v>728</v>
      </c>
      <c r="D66" t="s">
        <v>729</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730</v>
      </c>
    </row>
    <row r="67" spans="1:31" x14ac:dyDescent="0.25">
      <c r="A67" t="s">
        <v>77</v>
      </c>
      <c r="B67" t="s">
        <v>731</v>
      </c>
      <c r="C67" t="s">
        <v>732</v>
      </c>
      <c r="D67" t="s">
        <v>729</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695</v>
      </c>
    </row>
    <row r="68" spans="1:31" x14ac:dyDescent="0.25">
      <c r="A68" t="s">
        <v>78</v>
      </c>
      <c r="B68" t="s">
        <v>733</v>
      </c>
      <c r="C68" t="s">
        <v>734</v>
      </c>
      <c r="D68" t="s">
        <v>729</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625</v>
      </c>
    </row>
    <row r="69" spans="1:31" x14ac:dyDescent="0.25">
      <c r="A69" t="s">
        <v>59</v>
      </c>
    </row>
    <row r="70" spans="1:31" x14ac:dyDescent="0.25">
      <c r="A70" t="s">
        <v>190</v>
      </c>
      <c r="B70" t="s">
        <v>735</v>
      </c>
      <c r="C70" t="s">
        <v>736</v>
      </c>
      <c r="D70" t="s">
        <v>729</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737</v>
      </c>
    </row>
    <row r="71" spans="1:31" x14ac:dyDescent="0.25">
      <c r="A71" t="s">
        <v>77</v>
      </c>
      <c r="B71" t="s">
        <v>738</v>
      </c>
      <c r="C71" t="s">
        <v>739</v>
      </c>
      <c r="D71" t="s">
        <v>729</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628</v>
      </c>
    </row>
    <row r="72" spans="1:31" x14ac:dyDescent="0.25">
      <c r="A72" t="s">
        <v>78</v>
      </c>
      <c r="B72" t="s">
        <v>740</v>
      </c>
      <c r="C72" t="s">
        <v>741</v>
      </c>
      <c r="D72" t="s">
        <v>729</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631</v>
      </c>
    </row>
    <row r="73" spans="1:31" x14ac:dyDescent="0.25">
      <c r="A73" t="s">
        <v>79</v>
      </c>
    </row>
    <row r="74" spans="1:31" x14ac:dyDescent="0.25">
      <c r="A74" t="s">
        <v>80</v>
      </c>
    </row>
    <row r="75" spans="1:31" x14ac:dyDescent="0.25">
      <c r="A75" t="s">
        <v>81</v>
      </c>
    </row>
    <row r="76" spans="1:31" x14ac:dyDescent="0.25">
      <c r="A76" t="s">
        <v>82</v>
      </c>
      <c r="B76" t="s">
        <v>549</v>
      </c>
      <c r="C76" t="s">
        <v>742</v>
      </c>
      <c r="D76" t="s">
        <v>83</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743</v>
      </c>
    </row>
    <row r="77" spans="1:31" x14ac:dyDescent="0.25">
      <c r="A77" t="s">
        <v>84</v>
      </c>
      <c r="B77" t="s">
        <v>551</v>
      </c>
      <c r="C77" t="s">
        <v>744</v>
      </c>
      <c r="D77" t="s">
        <v>83</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745</v>
      </c>
    </row>
    <row r="78" spans="1:31" x14ac:dyDescent="0.25">
      <c r="A78" t="s">
        <v>85</v>
      </c>
      <c r="B78" t="s">
        <v>550</v>
      </c>
      <c r="C78" t="s">
        <v>746</v>
      </c>
      <c r="D78" t="s">
        <v>83</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747</v>
      </c>
    </row>
    <row r="79" spans="1:31" x14ac:dyDescent="0.25">
      <c r="A79" t="s">
        <v>36</v>
      </c>
      <c r="B79" t="s">
        <v>748</v>
      </c>
      <c r="C79" t="s">
        <v>749</v>
      </c>
      <c r="D79" t="s">
        <v>83</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745</v>
      </c>
    </row>
    <row r="80" spans="1:31" x14ac:dyDescent="0.25">
      <c r="A80" t="s">
        <v>86</v>
      </c>
    </row>
    <row r="81" spans="1:31" x14ac:dyDescent="0.25">
      <c r="A81" t="s">
        <v>82</v>
      </c>
      <c r="B81" t="s">
        <v>528</v>
      </c>
      <c r="C81" t="s">
        <v>750</v>
      </c>
      <c r="D81" t="s">
        <v>87</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743</v>
      </c>
    </row>
    <row r="82" spans="1:31" x14ac:dyDescent="0.25">
      <c r="A82" t="s">
        <v>84</v>
      </c>
      <c r="B82" t="s">
        <v>534</v>
      </c>
      <c r="C82" t="s">
        <v>751</v>
      </c>
      <c r="D82" t="s">
        <v>87</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752</v>
      </c>
    </row>
    <row r="83" spans="1:31" x14ac:dyDescent="0.25">
      <c r="A83" t="s">
        <v>85</v>
      </c>
      <c r="B83" t="s">
        <v>532</v>
      </c>
      <c r="C83" t="s">
        <v>753</v>
      </c>
      <c r="D83" t="s">
        <v>87</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683</v>
      </c>
    </row>
    <row r="84" spans="1:31" x14ac:dyDescent="0.25">
      <c r="A84" t="s">
        <v>36</v>
      </c>
      <c r="B84" t="s">
        <v>754</v>
      </c>
      <c r="C84" t="s">
        <v>755</v>
      </c>
      <c r="D84" t="s">
        <v>87</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752</v>
      </c>
    </row>
    <row r="85" spans="1:31" x14ac:dyDescent="0.25">
      <c r="A85" t="s">
        <v>88</v>
      </c>
    </row>
    <row r="86" spans="1:31" x14ac:dyDescent="0.25">
      <c r="A86" t="s">
        <v>89</v>
      </c>
      <c r="B86" t="s">
        <v>756</v>
      </c>
      <c r="C86" t="s">
        <v>757</v>
      </c>
      <c r="D86" t="s">
        <v>87</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758</v>
      </c>
    </row>
    <row r="87" spans="1:31" x14ac:dyDescent="0.25">
      <c r="A87" t="s">
        <v>90</v>
      </c>
      <c r="B87" t="s">
        <v>759</v>
      </c>
      <c r="C87" t="s">
        <v>760</v>
      </c>
      <c r="D87" t="s">
        <v>87</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761</v>
      </c>
    </row>
    <row r="88" spans="1:31" x14ac:dyDescent="0.25">
      <c r="A88" t="s">
        <v>91</v>
      </c>
    </row>
    <row r="89" spans="1:31" x14ac:dyDescent="0.25">
      <c r="A89" t="s">
        <v>82</v>
      </c>
      <c r="B89" t="s">
        <v>762</v>
      </c>
      <c r="C89" t="s">
        <v>763</v>
      </c>
      <c r="D89" t="s">
        <v>92</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743</v>
      </c>
    </row>
    <row r="90" spans="1:31" x14ac:dyDescent="0.25">
      <c r="A90" t="s">
        <v>84</v>
      </c>
      <c r="B90" t="s">
        <v>764</v>
      </c>
      <c r="C90" t="s">
        <v>765</v>
      </c>
      <c r="D90" t="s">
        <v>92</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752</v>
      </c>
    </row>
    <row r="91" spans="1:31" x14ac:dyDescent="0.25">
      <c r="A91" t="s">
        <v>85</v>
      </c>
      <c r="B91" t="s">
        <v>766</v>
      </c>
      <c r="C91" t="s">
        <v>767</v>
      </c>
      <c r="D91" t="s">
        <v>92</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683</v>
      </c>
    </row>
    <row r="92" spans="1:31" x14ac:dyDescent="0.25">
      <c r="A92" t="s">
        <v>36</v>
      </c>
      <c r="B92" t="s">
        <v>768</v>
      </c>
      <c r="C92" t="s">
        <v>769</v>
      </c>
      <c r="D92" t="s">
        <v>92</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231</v>
      </c>
    </row>
    <row r="2" spans="1:31" x14ac:dyDescent="0.25">
      <c r="A2" t="s">
        <v>770</v>
      </c>
    </row>
    <row r="3" spans="1:31" x14ac:dyDescent="0.25">
      <c r="A3" t="s">
        <v>771</v>
      </c>
    </row>
    <row r="4" spans="1:31" x14ac:dyDescent="0.25">
      <c r="A4" t="s">
        <v>20</v>
      </c>
    </row>
    <row r="5" spans="1:31" x14ac:dyDescent="0.25">
      <c r="B5" t="s">
        <v>21</v>
      </c>
      <c r="C5" t="s">
        <v>22</v>
      </c>
      <c r="D5" t="s">
        <v>23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610</v>
      </c>
    </row>
    <row r="6" spans="1:31" x14ac:dyDescent="0.25">
      <c r="A6" t="s">
        <v>232</v>
      </c>
    </row>
    <row r="7" spans="1:31" x14ac:dyDescent="0.25">
      <c r="A7" t="s">
        <v>233</v>
      </c>
    </row>
    <row r="8" spans="1:31" x14ac:dyDescent="0.25">
      <c r="A8" t="s">
        <v>234</v>
      </c>
      <c r="B8" t="s">
        <v>772</v>
      </c>
      <c r="C8" t="s">
        <v>773</v>
      </c>
      <c r="D8" t="s">
        <v>235</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631</v>
      </c>
    </row>
    <row r="9" spans="1:31" x14ac:dyDescent="0.25">
      <c r="A9" t="s">
        <v>236</v>
      </c>
      <c r="B9" t="s">
        <v>774</v>
      </c>
      <c r="C9" t="s">
        <v>775</v>
      </c>
      <c r="D9" t="s">
        <v>235</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628</v>
      </c>
    </row>
    <row r="10" spans="1:31" x14ac:dyDescent="0.25">
      <c r="A10" t="s">
        <v>237</v>
      </c>
      <c r="B10" t="s">
        <v>776</v>
      </c>
      <c r="C10" t="s">
        <v>777</v>
      </c>
      <c r="D10" t="s">
        <v>235</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662</v>
      </c>
    </row>
    <row r="11" spans="1:31" x14ac:dyDescent="0.25">
      <c r="A11" t="s">
        <v>238</v>
      </c>
      <c r="B11" t="s">
        <v>778</v>
      </c>
      <c r="C11" t="s">
        <v>779</v>
      </c>
      <c r="D11" t="s">
        <v>235</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737</v>
      </c>
    </row>
    <row r="12" spans="1:31" x14ac:dyDescent="0.25">
      <c r="A12" t="s">
        <v>239</v>
      </c>
      <c r="B12" t="s">
        <v>780</v>
      </c>
      <c r="C12" t="s">
        <v>781</v>
      </c>
      <c r="D12" t="s">
        <v>235</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616</v>
      </c>
    </row>
    <row r="13" spans="1:31" x14ac:dyDescent="0.25">
      <c r="A13" t="s">
        <v>240</v>
      </c>
      <c r="B13" t="s">
        <v>782</v>
      </c>
      <c r="C13" t="s">
        <v>783</v>
      </c>
      <c r="D13" t="s">
        <v>235</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637</v>
      </c>
    </row>
    <row r="14" spans="1:31" x14ac:dyDescent="0.25">
      <c r="A14" t="s">
        <v>241</v>
      </c>
      <c r="B14" t="s">
        <v>784</v>
      </c>
      <c r="C14" t="s">
        <v>785</v>
      </c>
      <c r="D14" t="s">
        <v>235</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628</v>
      </c>
    </row>
    <row r="15" spans="1:31" x14ac:dyDescent="0.25">
      <c r="A15" t="s">
        <v>242</v>
      </c>
      <c r="B15" t="s">
        <v>786</v>
      </c>
      <c r="C15" t="s">
        <v>787</v>
      </c>
      <c r="D15" t="s">
        <v>235</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631</v>
      </c>
    </row>
    <row r="16" spans="1:31" x14ac:dyDescent="0.25">
      <c r="A16" t="s">
        <v>243</v>
      </c>
      <c r="B16" t="s">
        <v>788</v>
      </c>
      <c r="C16" t="s">
        <v>789</v>
      </c>
      <c r="D16" t="s">
        <v>235</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790</v>
      </c>
    </row>
    <row r="17" spans="1:31" x14ac:dyDescent="0.25">
      <c r="A17" t="s">
        <v>244</v>
      </c>
      <c r="B17" t="s">
        <v>791</v>
      </c>
      <c r="C17" t="s">
        <v>792</v>
      </c>
      <c r="D17" t="s">
        <v>235</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793</v>
      </c>
    </row>
    <row r="18" spans="1:31" x14ac:dyDescent="0.25">
      <c r="A18" t="s">
        <v>245</v>
      </c>
      <c r="B18" t="s">
        <v>794</v>
      </c>
      <c r="C18" t="s">
        <v>795</v>
      </c>
      <c r="D18" t="s">
        <v>235</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796</v>
      </c>
    </row>
    <row r="19" spans="1:31" x14ac:dyDescent="0.25">
      <c r="A19" t="s">
        <v>36</v>
      </c>
      <c r="B19" t="s">
        <v>797</v>
      </c>
      <c r="C19" t="s">
        <v>798</v>
      </c>
      <c r="D19" t="s">
        <v>235</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637</v>
      </c>
    </row>
    <row r="20" spans="1:31" x14ac:dyDescent="0.25">
      <c r="A20" t="s">
        <v>246</v>
      </c>
    </row>
    <row r="21" spans="1:31" x14ac:dyDescent="0.25">
      <c r="A21" t="s">
        <v>247</v>
      </c>
    </row>
    <row r="22" spans="1:31" x14ac:dyDescent="0.25">
      <c r="A22" t="s">
        <v>234</v>
      </c>
      <c r="B22" t="s">
        <v>799</v>
      </c>
      <c r="C22" t="s">
        <v>800</v>
      </c>
      <c r="D22" t="s">
        <v>248</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649</v>
      </c>
    </row>
    <row r="23" spans="1:31" x14ac:dyDescent="0.25">
      <c r="A23" t="s">
        <v>236</v>
      </c>
      <c r="B23" t="s">
        <v>801</v>
      </c>
      <c r="C23" t="s">
        <v>802</v>
      </c>
      <c r="D23" t="s">
        <v>248</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646</v>
      </c>
    </row>
    <row r="24" spans="1:31" x14ac:dyDescent="0.25">
      <c r="A24" t="s">
        <v>237</v>
      </c>
      <c r="B24" t="s">
        <v>803</v>
      </c>
      <c r="C24" t="s">
        <v>804</v>
      </c>
      <c r="D24" t="s">
        <v>248</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628</v>
      </c>
    </row>
    <row r="25" spans="1:31" x14ac:dyDescent="0.25">
      <c r="A25" t="s">
        <v>238</v>
      </c>
      <c r="B25" t="s">
        <v>805</v>
      </c>
      <c r="C25" t="s">
        <v>806</v>
      </c>
      <c r="D25" t="s">
        <v>248</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716</v>
      </c>
    </row>
    <row r="26" spans="1:31" x14ac:dyDescent="0.25">
      <c r="A26" t="s">
        <v>239</v>
      </c>
      <c r="B26" t="s">
        <v>807</v>
      </c>
      <c r="C26" t="s">
        <v>808</v>
      </c>
      <c r="D26" t="s">
        <v>248</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680</v>
      </c>
    </row>
    <row r="27" spans="1:31" x14ac:dyDescent="0.25">
      <c r="A27" t="s">
        <v>240</v>
      </c>
      <c r="B27" t="s">
        <v>809</v>
      </c>
      <c r="C27" t="s">
        <v>810</v>
      </c>
      <c r="D27" t="s">
        <v>248</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811</v>
      </c>
    </row>
    <row r="28" spans="1:31" x14ac:dyDescent="0.25">
      <c r="A28" t="s">
        <v>241</v>
      </c>
      <c r="B28" t="s">
        <v>812</v>
      </c>
      <c r="C28" t="s">
        <v>813</v>
      </c>
      <c r="D28" t="s">
        <v>248</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716</v>
      </c>
    </row>
    <row r="29" spans="1:31" x14ac:dyDescent="0.25">
      <c r="A29" t="s">
        <v>242</v>
      </c>
      <c r="B29" t="s">
        <v>814</v>
      </c>
      <c r="C29" t="s">
        <v>815</v>
      </c>
      <c r="D29" t="s">
        <v>248</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695</v>
      </c>
    </row>
    <row r="30" spans="1:31" x14ac:dyDescent="0.25">
      <c r="A30" t="s">
        <v>243</v>
      </c>
      <c r="B30" t="s">
        <v>816</v>
      </c>
      <c r="C30" t="s">
        <v>817</v>
      </c>
      <c r="D30" t="s">
        <v>248</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637</v>
      </c>
    </row>
    <row r="31" spans="1:31" x14ac:dyDescent="0.25">
      <c r="A31" t="s">
        <v>244</v>
      </c>
      <c r="B31" t="s">
        <v>818</v>
      </c>
      <c r="C31" t="s">
        <v>819</v>
      </c>
      <c r="D31" t="s">
        <v>248</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747</v>
      </c>
    </row>
    <row r="32" spans="1:31" x14ac:dyDescent="0.25">
      <c r="A32" t="s">
        <v>245</v>
      </c>
      <c r="B32" t="s">
        <v>820</v>
      </c>
      <c r="C32" t="s">
        <v>821</v>
      </c>
      <c r="D32" t="s">
        <v>248</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680</v>
      </c>
    </row>
    <row r="33" spans="1:31" x14ac:dyDescent="0.25">
      <c r="A33" t="s">
        <v>36</v>
      </c>
      <c r="B33" t="s">
        <v>822</v>
      </c>
      <c r="C33" t="s">
        <v>823</v>
      </c>
      <c r="D33" t="s">
        <v>248</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616</v>
      </c>
    </row>
    <row r="34" spans="1:31" x14ac:dyDescent="0.25">
      <c r="A34" t="s">
        <v>49</v>
      </c>
    </row>
    <row r="35" spans="1:31" x14ac:dyDescent="0.25">
      <c r="A35" t="s">
        <v>75</v>
      </c>
    </row>
    <row r="36" spans="1:31" x14ac:dyDescent="0.25">
      <c r="A36" t="s">
        <v>249</v>
      </c>
      <c r="B36" t="s">
        <v>824</v>
      </c>
      <c r="C36" t="s">
        <v>825</v>
      </c>
      <c r="D36" t="s">
        <v>250</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730</v>
      </c>
    </row>
    <row r="37" spans="1:31" x14ac:dyDescent="0.25">
      <c r="A37" t="s">
        <v>42</v>
      </c>
      <c r="B37" t="s">
        <v>826</v>
      </c>
      <c r="C37" t="s">
        <v>827</v>
      </c>
      <c r="D37" t="s">
        <v>250</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828</v>
      </c>
    </row>
    <row r="38" spans="1:31" x14ac:dyDescent="0.25">
      <c r="A38" t="s">
        <v>31</v>
      </c>
      <c r="B38" t="s">
        <v>829</v>
      </c>
      <c r="C38" t="s">
        <v>830</v>
      </c>
      <c r="D38" t="s">
        <v>250</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828</v>
      </c>
    </row>
    <row r="39" spans="1:31" x14ac:dyDescent="0.25">
      <c r="A39" t="s">
        <v>59</v>
      </c>
    </row>
    <row r="40" spans="1:31" x14ac:dyDescent="0.25">
      <c r="A40" t="s">
        <v>249</v>
      </c>
      <c r="B40" t="s">
        <v>831</v>
      </c>
      <c r="C40" t="s">
        <v>832</v>
      </c>
      <c r="D40" t="s">
        <v>250</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716</v>
      </c>
    </row>
    <row r="41" spans="1:31" x14ac:dyDescent="0.25">
      <c r="A41" t="s">
        <v>42</v>
      </c>
      <c r="B41" t="s">
        <v>833</v>
      </c>
      <c r="C41" t="s">
        <v>834</v>
      </c>
      <c r="D41" t="s">
        <v>250</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622</v>
      </c>
    </row>
    <row r="42" spans="1:31" x14ac:dyDescent="0.25">
      <c r="A42" t="s">
        <v>251</v>
      </c>
    </row>
    <row r="43" spans="1:31" x14ac:dyDescent="0.25">
      <c r="A43" t="s">
        <v>249</v>
      </c>
      <c r="B43" t="s">
        <v>835</v>
      </c>
      <c r="C43" t="s">
        <v>836</v>
      </c>
      <c r="D43" t="s">
        <v>250</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619</v>
      </c>
    </row>
    <row r="44" spans="1:31" x14ac:dyDescent="0.25">
      <c r="A44" t="s">
        <v>42</v>
      </c>
      <c r="B44" t="s">
        <v>837</v>
      </c>
      <c r="C44" t="s">
        <v>838</v>
      </c>
      <c r="D44" t="s">
        <v>250</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716</v>
      </c>
    </row>
    <row r="45" spans="1:31" x14ac:dyDescent="0.25">
      <c r="A45" t="s">
        <v>31</v>
      </c>
      <c r="B45" t="s">
        <v>839</v>
      </c>
      <c r="C45" t="s">
        <v>840</v>
      </c>
      <c r="D45" t="s">
        <v>250</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692</v>
      </c>
    </row>
    <row r="46" spans="1:31" x14ac:dyDescent="0.25">
      <c r="A46" t="s">
        <v>252</v>
      </c>
    </row>
    <row r="47" spans="1:31" x14ac:dyDescent="0.25">
      <c r="A47" t="s">
        <v>249</v>
      </c>
      <c r="B47" t="s">
        <v>841</v>
      </c>
      <c r="C47" t="s">
        <v>842</v>
      </c>
      <c r="D47" t="s">
        <v>253</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695</v>
      </c>
    </row>
    <row r="48" spans="1:31" x14ac:dyDescent="0.25">
      <c r="A48" t="s">
        <v>254</v>
      </c>
    </row>
    <row r="49" spans="1:31" x14ac:dyDescent="0.25">
      <c r="A49" t="s">
        <v>249</v>
      </c>
      <c r="B49" t="s">
        <v>843</v>
      </c>
      <c r="C49" t="s">
        <v>844</v>
      </c>
      <c r="D49" t="s">
        <v>250</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692</v>
      </c>
    </row>
    <row r="50" spans="1:31" x14ac:dyDescent="0.25">
      <c r="A50" t="s">
        <v>42</v>
      </c>
      <c r="B50" t="s">
        <v>845</v>
      </c>
      <c r="C50" t="s">
        <v>846</v>
      </c>
      <c r="D50" t="s">
        <v>250</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716</v>
      </c>
    </row>
    <row r="51" spans="1:31" x14ac:dyDescent="0.25">
      <c r="A51" t="s">
        <v>255</v>
      </c>
    </row>
    <row r="52" spans="1:31" x14ac:dyDescent="0.25">
      <c r="A52" t="s">
        <v>256</v>
      </c>
    </row>
    <row r="53" spans="1:31" x14ac:dyDescent="0.25">
      <c r="A53" t="s">
        <v>249</v>
      </c>
      <c r="B53" t="s">
        <v>847</v>
      </c>
      <c r="C53" t="s">
        <v>848</v>
      </c>
      <c r="D53" t="s">
        <v>257</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747</v>
      </c>
    </row>
    <row r="54" spans="1:31" x14ac:dyDescent="0.25">
      <c r="A54" t="s">
        <v>258</v>
      </c>
    </row>
    <row r="55" spans="1:31" x14ac:dyDescent="0.25">
      <c r="A55" t="s">
        <v>249</v>
      </c>
      <c r="B55" t="s">
        <v>849</v>
      </c>
      <c r="C55" t="s">
        <v>850</v>
      </c>
      <c r="D55" t="s">
        <v>250</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695</v>
      </c>
    </row>
    <row r="56" spans="1:31" x14ac:dyDescent="0.25">
      <c r="A56" t="s">
        <v>79</v>
      </c>
    </row>
    <row r="57" spans="1:31" x14ac:dyDescent="0.25">
      <c r="A57" t="s">
        <v>80</v>
      </c>
    </row>
    <row r="58" spans="1:31" x14ac:dyDescent="0.25">
      <c r="A58" t="s">
        <v>81</v>
      </c>
    </row>
    <row r="59" spans="1:31" x14ac:dyDescent="0.25">
      <c r="A59" t="s">
        <v>259</v>
      </c>
      <c r="B59" t="s">
        <v>558</v>
      </c>
      <c r="C59" t="s">
        <v>851</v>
      </c>
      <c r="D59" t="s">
        <v>83</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692</v>
      </c>
    </row>
    <row r="60" spans="1:31" x14ac:dyDescent="0.25">
      <c r="A60" t="s">
        <v>42</v>
      </c>
      <c r="B60" t="s">
        <v>555</v>
      </c>
      <c r="C60" t="s">
        <v>852</v>
      </c>
      <c r="D60" t="s">
        <v>83</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811</v>
      </c>
    </row>
    <row r="61" spans="1:31" x14ac:dyDescent="0.25">
      <c r="A61" t="s">
        <v>84</v>
      </c>
      <c r="B61" t="s">
        <v>557</v>
      </c>
      <c r="C61" t="s">
        <v>853</v>
      </c>
      <c r="D61" t="s">
        <v>83</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713</v>
      </c>
    </row>
    <row r="62" spans="1:31" x14ac:dyDescent="0.25">
      <c r="A62" t="s">
        <v>85</v>
      </c>
      <c r="B62" t="s">
        <v>556</v>
      </c>
      <c r="C62" t="s">
        <v>854</v>
      </c>
      <c r="D62" t="s">
        <v>83</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628</v>
      </c>
    </row>
    <row r="63" spans="1:31" x14ac:dyDescent="0.25">
      <c r="A63" t="s">
        <v>245</v>
      </c>
      <c r="B63" t="s">
        <v>855</v>
      </c>
      <c r="C63" t="s">
        <v>856</v>
      </c>
      <c r="D63" t="s">
        <v>83</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692</v>
      </c>
    </row>
    <row r="64" spans="1:31" x14ac:dyDescent="0.25">
      <c r="A64" t="s">
        <v>36</v>
      </c>
      <c r="B64" t="s">
        <v>857</v>
      </c>
      <c r="C64" t="s">
        <v>858</v>
      </c>
      <c r="D64" t="s">
        <v>83</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859</v>
      </c>
    </row>
    <row r="65" spans="1:31" x14ac:dyDescent="0.25">
      <c r="A65" t="s">
        <v>86</v>
      </c>
    </row>
    <row r="66" spans="1:31" x14ac:dyDescent="0.25">
      <c r="A66" t="s">
        <v>259</v>
      </c>
      <c r="B66" t="s">
        <v>563</v>
      </c>
      <c r="C66" t="s">
        <v>860</v>
      </c>
      <c r="D66" t="s">
        <v>87</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692</v>
      </c>
    </row>
    <row r="67" spans="1:31" x14ac:dyDescent="0.25">
      <c r="A67" t="s">
        <v>42</v>
      </c>
      <c r="B67" t="s">
        <v>560</v>
      </c>
      <c r="C67" t="s">
        <v>861</v>
      </c>
      <c r="D67" t="s">
        <v>87</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811</v>
      </c>
    </row>
    <row r="68" spans="1:31" x14ac:dyDescent="0.25">
      <c r="A68" t="s">
        <v>84</v>
      </c>
      <c r="B68" t="s">
        <v>562</v>
      </c>
      <c r="C68" t="s">
        <v>751</v>
      </c>
      <c r="D68" t="s">
        <v>87</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862</v>
      </c>
    </row>
    <row r="69" spans="1:31" x14ac:dyDescent="0.25">
      <c r="A69" t="s">
        <v>85</v>
      </c>
      <c r="B69" t="s">
        <v>561</v>
      </c>
      <c r="C69" t="s">
        <v>753</v>
      </c>
      <c r="D69" t="s">
        <v>87</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628</v>
      </c>
    </row>
    <row r="70" spans="1:31" x14ac:dyDescent="0.25">
      <c r="A70" t="s">
        <v>245</v>
      </c>
      <c r="B70" t="s">
        <v>863</v>
      </c>
      <c r="C70" t="s">
        <v>864</v>
      </c>
      <c r="D70" t="s">
        <v>87</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692</v>
      </c>
    </row>
    <row r="71" spans="1:31" x14ac:dyDescent="0.25">
      <c r="A71" t="s">
        <v>36</v>
      </c>
      <c r="B71" t="s">
        <v>865</v>
      </c>
      <c r="C71" t="s">
        <v>755</v>
      </c>
      <c r="D71" t="s">
        <v>87</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866</v>
      </c>
    </row>
    <row r="72" spans="1:31" x14ac:dyDescent="0.25">
      <c r="A72" t="s">
        <v>88</v>
      </c>
    </row>
    <row r="73" spans="1:31" x14ac:dyDescent="0.25">
      <c r="A73" t="s">
        <v>89</v>
      </c>
      <c r="B73" t="s">
        <v>867</v>
      </c>
      <c r="C73" t="s">
        <v>757</v>
      </c>
      <c r="D73" t="s">
        <v>87</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616</v>
      </c>
    </row>
    <row r="74" spans="1:31" x14ac:dyDescent="0.25">
      <c r="A74" t="s">
        <v>90</v>
      </c>
      <c r="B74" t="s">
        <v>868</v>
      </c>
      <c r="C74" t="s">
        <v>760</v>
      </c>
      <c r="D74" t="s">
        <v>87</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862</v>
      </c>
    </row>
    <row r="75" spans="1:31" x14ac:dyDescent="0.25">
      <c r="A75" t="s">
        <v>91</v>
      </c>
    </row>
    <row r="76" spans="1:31" x14ac:dyDescent="0.25">
      <c r="A76" t="s">
        <v>259</v>
      </c>
      <c r="B76" t="s">
        <v>869</v>
      </c>
      <c r="C76" t="s">
        <v>870</v>
      </c>
      <c r="D76" t="s">
        <v>92</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692</v>
      </c>
    </row>
    <row r="77" spans="1:31" x14ac:dyDescent="0.25">
      <c r="A77" t="s">
        <v>42</v>
      </c>
      <c r="B77" t="s">
        <v>871</v>
      </c>
      <c r="C77" t="s">
        <v>872</v>
      </c>
      <c r="D77" t="s">
        <v>92</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811</v>
      </c>
    </row>
    <row r="78" spans="1:31" x14ac:dyDescent="0.25">
      <c r="A78" t="s">
        <v>84</v>
      </c>
      <c r="B78" t="s">
        <v>873</v>
      </c>
      <c r="C78" t="s">
        <v>765</v>
      </c>
      <c r="D78" t="s">
        <v>92</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862</v>
      </c>
    </row>
    <row r="79" spans="1:31" x14ac:dyDescent="0.25">
      <c r="A79" t="s">
        <v>85</v>
      </c>
      <c r="B79" t="s">
        <v>874</v>
      </c>
      <c r="C79" t="s">
        <v>767</v>
      </c>
      <c r="D79" t="s">
        <v>92</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628</v>
      </c>
    </row>
    <row r="80" spans="1:31" x14ac:dyDescent="0.25">
      <c r="A80" t="s">
        <v>245</v>
      </c>
      <c r="B80" t="s">
        <v>875</v>
      </c>
      <c r="C80" t="s">
        <v>876</v>
      </c>
      <c r="D80" t="s">
        <v>92</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692</v>
      </c>
    </row>
    <row r="81" spans="1:31" x14ac:dyDescent="0.25">
      <c r="A81" t="s">
        <v>36</v>
      </c>
      <c r="B81" t="s">
        <v>877</v>
      </c>
      <c r="C81" t="s">
        <v>769</v>
      </c>
      <c r="D81" t="s">
        <v>92</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39" zoomScale="70" zoomScaleNormal="70" workbookViewId="0">
      <selection activeCell="C41" sqref="C41"/>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523</v>
      </c>
      <c r="B1" s="51" t="s">
        <v>524</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86</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525</v>
      </c>
    </row>
    <row r="4" spans="1:43" x14ac:dyDescent="0.25">
      <c r="C4" s="1" t="s">
        <v>526</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527</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528</v>
      </c>
      <c r="B6" t="s">
        <v>211</v>
      </c>
      <c r="C6" t="s">
        <v>529</v>
      </c>
      <c r="D6">
        <f>INDEX(AEO25_Table_21._Residential!$F$82:$AG$93,MATCH($B6,AEO25_Table_21._Residential!$B$82:$B$93,0),MATCH(D$4,AEO25_Table_21._Residential!$F$5:$AG$5,0))*About!$A$32*About!$B$35</f>
        <v>5555.7882295798581</v>
      </c>
      <c r="E6">
        <f>INDEX(AEO26_Table_21._Residential!$E$6:$AD$92,MATCH($A6,AEO26_Table_21._Residential!$B$6:$B$92,0),MATCH(E$4,AEO26_Table_21._Residential!$E$5:$AD$5,0))*About!$A$32*About!$B$35</f>
        <v>1627.7898486197685</v>
      </c>
      <c r="F6">
        <f>INDEX(AEO26_Table_21._Residential!$E$6:$AD$92,MATCH($A6,AEO26_Table_21._Residential!$B$6:$B$92,0),MATCH(F$4,AEO26_Table_21._Residential!$E$5:$AD$5,0))*About!$A$32*About!$B$35</f>
        <v>3557.2330607949489</v>
      </c>
      <c r="G6">
        <f>INDEX(AEO26_Table_21._Residential!$E$6:$AD$92,MATCH($A6,AEO26_Table_21._Residential!$B$6:$B$92,0),MATCH(G$4,AEO26_Table_21._Residential!$E$5:$AD$5,0))*About!$A$32*About!$B$35</f>
        <v>5437.8913624220841</v>
      </c>
      <c r="H6">
        <f>INDEX(AEO26_Table_21._Residential!$E$6:$AD$92,MATCH($A6,AEO26_Table_21._Residential!$B$6:$B$92,0),MATCH(H$4,AEO26_Table_21._Residential!$E$5:$AD$5,0))*About!$A$32*About!$B$35</f>
        <v>5479.358536387922</v>
      </c>
      <c r="I6">
        <f>INDEX(AEO26_Table_21._Residential!$E$6:$AD$92,MATCH($A6,AEO26_Table_21._Residential!$B$6:$B$92,0),MATCH(I$4,AEO26_Table_21._Residential!$E$5:$AD$5,0))*About!$A$32*About!$B$35</f>
        <v>5521.6387921962278</v>
      </c>
      <c r="J6">
        <f>INDEX(AEO26_Table_21._Residential!$E$6:$AD$92,MATCH($A6,AEO26_Table_21._Residential!$B$6:$B$92,0),MATCH(J$4,AEO26_Table_21._Residential!$E$5:$AD$5,0))*About!$A$32*About!$B$35</f>
        <v>8143.014652311178</v>
      </c>
      <c r="K6">
        <f>INDEX(AEO26_Table_21._Residential!$E$6:$AD$92,MATCH($A6,AEO26_Table_21._Residential!$B$6:$B$92,0),MATCH(K$4,AEO26_Table_21._Residential!$E$5:$AD$5,0))*About!$A$32*About!$B$35</f>
        <v>11642.518902290942</v>
      </c>
      <c r="L6">
        <f>INDEX(AEO26_Table_21._Residential!$E$6:$AD$92,MATCH($A6,AEO26_Table_21._Residential!$B$6:$B$92,0),MATCH(L$4,AEO26_Table_21._Residential!$E$5:$AD$5,0))*About!$A$32*About!$B$35</f>
        <v>15250.976119161336</v>
      </c>
      <c r="M6">
        <f>INDEX(AEO26_Table_21._Residential!$E$6:$AD$92,MATCH($A6,AEO26_Table_21._Residential!$B$6:$B$92,0),MATCH(M$4,AEO26_Table_21._Residential!$E$5:$AD$5,0))*About!$A$32*About!$B$35</f>
        <v>18060.986966728731</v>
      </c>
      <c r="N6">
        <f>INDEX(AEO26_Table_21._Residential!$E$6:$AD$92,MATCH($A6,AEO26_Table_21._Residential!$B$6:$B$92,0),MATCH(N$4,AEO26_Table_21._Residential!$E$5:$AD$5,0))*About!$A$32*About!$B$35</f>
        <v>21580.818262770175</v>
      </c>
      <c r="O6">
        <f>INDEX(AEO26_Table_21._Residential!$E$6:$AD$92,MATCH($A6,AEO26_Table_21._Residential!$B$6:$B$92,0),MATCH(O$4,AEO26_Table_21._Residential!$E$5:$AD$5,0))*About!$A$32*About!$B$35</f>
        <v>21622.285436736012</v>
      </c>
      <c r="P6">
        <f>INDEX(AEO26_Table_21._Residential!$E$6:$AD$92,MATCH($A6,AEO26_Table_21._Residential!$B$6:$B$92,0),MATCH(P$4,AEO26_Table_21._Residential!$E$5:$AD$5,0))*About!$A$32*About!$B$35</f>
        <v>21663.752610701853</v>
      </c>
      <c r="Q6">
        <f>INDEX(AEO26_Table_21._Residential!$E$6:$AD$92,MATCH($A6,AEO26_Table_21._Residential!$B$6:$B$92,0),MATCH(Q$4,AEO26_Table_21._Residential!$E$5:$AD$5,0))*About!$A$32*About!$B$35</f>
        <v>21706.032866510159</v>
      </c>
      <c r="R6">
        <f>INDEX(AEO26_Table_21._Residential!$E$6:$AD$92,MATCH($A6,AEO26_Table_21._Residential!$B$6:$B$92,0),MATCH(R$4,AEO26_Table_21._Residential!$E$5:$AD$5,0))*About!$A$32*About!$B$35</f>
        <v>21747.500040475996</v>
      </c>
      <c r="S6">
        <f>INDEX(AEO26_Table_21._Residential!$E$6:$AD$92,MATCH($A6,AEO26_Table_21._Residential!$B$6:$B$92,0),MATCH(S$4,AEO26_Table_21._Residential!$E$5:$AD$5,0))*About!$A$32*About!$B$35</f>
        <v>21789.780296284302</v>
      </c>
      <c r="T6">
        <f>INDEX(AEO26_Table_21._Residential!$E$6:$AD$92,MATCH($A6,AEO26_Table_21._Residential!$B$6:$B$92,0),MATCH(T$4,AEO26_Table_21._Residential!$E$5:$AD$5,0))*About!$A$32*About!$B$35</f>
        <v>21835.312879462479</v>
      </c>
      <c r="U6">
        <f>INDEX(AEO26_Table_21._Residential!$E$6:$AD$92,MATCH($A6,AEO26_Table_21._Residential!$B$6:$B$92,0),MATCH(U$4,AEO26_Table_21._Residential!$E$5:$AD$5,0))*About!$A$32*About!$B$35</f>
        <v>21887.350117380389</v>
      </c>
      <c r="V6">
        <f>INDEX(AEO26_Table_21._Residential!$E$6:$AD$92,MATCH($A6,AEO26_Table_21._Residential!$B$6:$B$92,0),MATCH(V$4,AEO26_Table_21._Residential!$E$5:$AD$5,0))*About!$A$32*About!$B$35</f>
        <v>21954.022828462723</v>
      </c>
      <c r="W6">
        <f>INDEX(AEO26_Table_21._Residential!$E$6:$AD$92,MATCH($A6,AEO26_Table_21._Residential!$B$6:$B$92,0),MATCH(W$4,AEO26_Table_21._Residential!$E$5:$AD$5,0))*About!$A$32*About!$B$35</f>
        <v>22048.340322188938</v>
      </c>
      <c r="X6">
        <f>INDEX(AEO26_Table_21._Residential!$E$6:$AD$92,MATCH($A6,AEO26_Table_21._Residential!$B$6:$B$92,0),MATCH(X$4,AEO26_Table_21._Residential!$E$5:$AD$5,0))*About!$A$32*About!$B$35</f>
        <v>22197.947381202943</v>
      </c>
      <c r="Y6">
        <f>INDEX(AEO26_Table_21._Residential!$E$6:$AD$92,MATCH($A6,AEO26_Table_21._Residential!$B$6:$B$92,0),MATCH(Y$4,AEO26_Table_21._Residential!$E$5:$AD$5,0))*About!$A$32*About!$B$35</f>
        <v>22450.815834210316</v>
      </c>
      <c r="Z6">
        <f>INDEX(AEO26_Table_21._Residential!$E$6:$AD$92,MATCH($A6,AEO26_Table_21._Residential!$B$6:$B$92,0),MATCH(Z$4,AEO26_Table_21._Residential!$E$5:$AD$5,0))*About!$A$32*About!$B$35</f>
        <v>22894.75852019752</v>
      </c>
      <c r="AA6">
        <f>INDEX(AEO26_Table_21._Residential!$E$6:$AD$92,MATCH($A6,AEO26_Table_21._Residential!$B$6:$B$92,0),MATCH(AA$4,AEO26_Table_21._Residential!$E$5:$AD$5,0))*About!$A$32*About!$B$35</f>
        <v>23341.140451712134</v>
      </c>
      <c r="AB6">
        <f>INDEX(AEO26_Table_21._Residential!$E$6:$AD$92,MATCH($A6,AEO26_Table_21._Residential!$B$6:$B$92,0),MATCH(AB$4,AEO26_Table_21._Residential!$E$5:$AD$5,0))*About!$A$32*About!$B$35</f>
        <v>23789.148546911678</v>
      </c>
      <c r="AC6">
        <f>INDEX(AEO26_Table_21._Residential!$E$6:$AD$92,MATCH($A6,AEO26_Table_21._Residential!$B$6:$B$92,0),MATCH(AC$4,AEO26_Table_21._Residential!$E$5:$AD$5,0))*About!$A$32*About!$B$35</f>
        <v>24239.595887638628</v>
      </c>
      <c r="AD6">
        <f>INDEX(AEO26_Table_21._Residential!$E$6:$AD$92,MATCH($A6,AEO26_Table_21._Residential!$B$6:$B$92,0),MATCH(AD$4,AEO26_Table_21._Residential!$E$5:$AD$5,0))*About!$A$32*About!$B$35</f>
        <v>24694.108637577912</v>
      </c>
    </row>
    <row r="7" spans="1:43" x14ac:dyDescent="0.25">
      <c r="C7" t="s">
        <v>530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532</v>
      </c>
      <c r="B9" t="s">
        <v>215</v>
      </c>
      <c r="C9" t="s">
        <v>533</v>
      </c>
      <c r="D9">
        <f>INDEX(AEO25_Table_21._Residential!$F$82:$AG$93,MATCH($B9,AEO25_Table_21._Residential!$B$82:$B$93,0),MATCH(D$4,AEO25_Table_21._Residential!$F$5:$AG$5,0))*About!$A$32*About!$B$35</f>
        <v>300368.69424431311</v>
      </c>
      <c r="E9">
        <f>INDEX(AEO26_Table_21._Residential!$E$6:$AD$92,MATCH($A9,AEO26_Table_21._Residential!$B$6:$B$92,0),MATCH(E$4,AEO26_Table_21._Residential!$E$5:$AD$5,0))*About!$A$32*About!$B$35</f>
        <v>140072.86132923176</v>
      </c>
      <c r="F9">
        <f>INDEX(AEO26_Table_21._Residential!$E$6:$AD$92,MATCH($A9,AEO26_Table_21._Residential!$B$6:$B$92,0),MATCH(F$4,AEO26_Table_21._Residential!$E$5:$AD$5,0))*About!$A$32*About!$B$35</f>
        <v>140198.07593297173</v>
      </c>
      <c r="G9">
        <f>INDEX(AEO26_Table_21._Residential!$E$6:$AD$92,MATCH($A9,AEO26_Table_21._Residential!$B$6:$B$92,0),MATCH(G$4,AEO26_Table_21._Residential!$E$5:$AD$5,0))*About!$A$32*About!$B$35</f>
        <v>140350.9353193556</v>
      </c>
      <c r="H9">
        <f>INDEX(AEO26_Table_21._Residential!$E$6:$AD$92,MATCH($A9,AEO26_Table_21._Residential!$B$6:$B$92,0),MATCH(H$4,AEO26_Table_21._Residential!$E$5:$AD$5,0))*About!$A$32*About!$B$35</f>
        <v>140502.16854205454</v>
      </c>
      <c r="I9">
        <f>INDEX(AEO26_Table_21._Residential!$E$6:$AD$92,MATCH($A9,AEO26_Table_21._Residential!$B$6:$B$92,0),MATCH(I$4,AEO26_Table_21._Residential!$E$5:$AD$5,0))*About!$A$32*About!$B$35</f>
        <v>140746.90617663725</v>
      </c>
      <c r="J9">
        <f>INDEX(AEO26_Table_21._Residential!$E$6:$AD$92,MATCH($A9,AEO26_Table_21._Residential!$B$6:$B$92,0),MATCH(J$4,AEO26_Table_21._Residential!$E$5:$AD$5,0))*About!$A$32*About!$B$35</f>
        <v>141171.33489840524</v>
      </c>
      <c r="K9">
        <f>INDEX(AEO26_Table_21._Residential!$E$6:$AD$92,MATCH($A9,AEO26_Table_21._Residential!$B$6:$B$92,0),MATCH(K$4,AEO26_Table_21._Residential!$E$5:$AD$5,0))*About!$A$32*About!$B$35</f>
        <v>141941.32340322188</v>
      </c>
      <c r="L9">
        <f>INDEX(AEO26_Table_21._Residential!$E$6:$AD$92,MATCH($A9,AEO26_Table_21._Residential!$B$6:$B$92,0),MATCH(L$4,AEO26_Table_21._Residential!$E$5:$AD$5,0))*About!$A$32*About!$B$35</f>
        <v>143138.99295717638</v>
      </c>
      <c r="M9">
        <f>INDEX(AEO26_Table_21._Residential!$E$6:$AD$92,MATCH($A9,AEO26_Table_21._Residential!$B$6:$B$92,0),MATCH(M$4,AEO26_Table_21._Residential!$E$5:$AD$5,0))*About!$A$32*About!$B$35</f>
        <v>144978.99716668014</v>
      </c>
      <c r="N9">
        <f>INDEX(AEO26_Table_21._Residential!$E$6:$AD$92,MATCH($A9,AEO26_Table_21._Residential!$B$6:$B$92,0),MATCH(N$4,AEO26_Table_21._Residential!$E$5:$AD$5,0))*About!$A$32*About!$B$35</f>
        <v>147506.86861491136</v>
      </c>
      <c r="O9">
        <f>INDEX(AEO26_Table_21._Residential!$E$6:$AD$92,MATCH($A9,AEO26_Table_21._Residential!$B$6:$B$92,0),MATCH(O$4,AEO26_Table_21._Residential!$E$5:$AD$5,0))*About!$A$32*About!$B$35</f>
        <v>150522.589168623</v>
      </c>
      <c r="P9">
        <f>INDEX(AEO26_Table_21._Residential!$E$6:$AD$92,MATCH($A9,AEO26_Table_21._Residential!$B$6:$B$92,0),MATCH(P$4,AEO26_Table_21._Residential!$E$5:$AD$5,0))*About!$A$32*About!$B$35</f>
        <v>153902.57038776006</v>
      </c>
      <c r="Q9">
        <f>INDEX(AEO26_Table_21._Residential!$E$6:$AD$92,MATCH($A9,AEO26_Table_21._Residential!$B$6:$B$92,0),MATCH(Q$4,AEO26_Table_21._Residential!$E$5:$AD$5,0))*About!$A$32*About!$B$35</f>
        <v>157645.18610863757</v>
      </c>
      <c r="R9">
        <f>INDEX(AEO26_Table_21._Residential!$E$6:$AD$92,MATCH($A9,AEO26_Table_21._Residential!$B$6:$B$92,0),MATCH(R$4,AEO26_Table_21._Residential!$E$5:$AD$5,0))*About!$A$32*About!$B$35</f>
        <v>161573.18448959765</v>
      </c>
      <c r="S9">
        <f>INDEX(AEO26_Table_21._Residential!$E$6:$AD$92,MATCH($A9,AEO26_Table_21._Residential!$B$6:$B$92,0),MATCH(S$4,AEO26_Table_21._Residential!$E$5:$AD$5,0))*About!$A$32*About!$B$35</f>
        <v>165598.75269165382</v>
      </c>
      <c r="T9">
        <f>INDEX(AEO26_Table_21._Residential!$E$6:$AD$92,MATCH($A9,AEO26_Table_21._Residential!$B$6:$B$92,0),MATCH(T$4,AEO26_Table_21._Residential!$E$5:$AD$5,0))*About!$A$32*About!$B$35</f>
        <v>169864.18003723791</v>
      </c>
      <c r="U9">
        <f>INDEX(AEO26_Table_21._Residential!$E$6:$AD$92,MATCH($A9,AEO26_Table_21._Residential!$B$6:$B$92,0),MATCH(U$4,AEO26_Table_21._Residential!$E$5:$AD$5,0))*About!$A$32*About!$B$35</f>
        <v>174618.26957014488</v>
      </c>
      <c r="V9">
        <f>INDEX(AEO26_Table_21._Residential!$E$6:$AD$92,MATCH($A9,AEO26_Table_21._Residential!$B$6:$B$92,0),MATCH(V$4,AEO26_Table_21._Residential!$E$5:$AD$5,0))*About!$A$32*About!$B$35</f>
        <v>179692.71334898405</v>
      </c>
      <c r="W9">
        <f>INDEX(AEO26_Table_21._Residential!$E$6:$AD$92,MATCH($A9,AEO26_Table_21._Residential!$B$6:$B$92,0),MATCH(W$4,AEO26_Table_21._Residential!$E$5:$AD$5,0))*About!$A$32*About!$B$35</f>
        <v>184928.14733263175</v>
      </c>
      <c r="X9">
        <f>INDEX(AEO26_Table_21._Residential!$E$6:$AD$92,MATCH($A9,AEO26_Table_21._Residential!$B$6:$B$92,0),MATCH(X$4,AEO26_Table_21._Residential!$E$5:$AD$5,0))*About!$A$32*About!$B$35</f>
        <v>190289.60900186186</v>
      </c>
      <c r="Y9">
        <f>INDEX(AEO26_Table_21._Residential!$E$6:$AD$92,MATCH($A9,AEO26_Table_21._Residential!$B$6:$B$92,0),MATCH(Y$4,AEO26_Table_21._Residential!$E$5:$AD$5,0))*About!$A$32*About!$B$35</f>
        <v>195821.81785801018</v>
      </c>
      <c r="Z9">
        <f>INDEX(AEO26_Table_21._Residential!$E$6:$AD$92,MATCH($A9,AEO26_Table_21._Residential!$B$6:$B$92,0),MATCH(Z$4,AEO26_Table_21._Residential!$E$5:$AD$5,0))*About!$A$32*About!$B$35</f>
        <v>201816.67028252245</v>
      </c>
      <c r="AA9">
        <f>INDEX(AEO26_Table_21._Residential!$E$6:$AD$92,MATCH($A9,AEO26_Table_21._Residential!$B$6:$B$92,0),MATCH(AA$4,AEO26_Table_21._Residential!$E$5:$AD$5,0))*About!$A$32*About!$B$35</f>
        <v>208040.81178661055</v>
      </c>
      <c r="AB9">
        <f>INDEX(AEO26_Table_21._Residential!$E$6:$AD$92,MATCH($A9,AEO26_Table_21._Residential!$B$6:$B$92,0),MATCH(AB$4,AEO26_Table_21._Residential!$E$5:$AD$5,0))*About!$A$32*About!$B$35</f>
        <v>215123.56771634417</v>
      </c>
      <c r="AC9">
        <f>INDEX(AEO26_Table_21._Residential!$E$6:$AD$92,MATCH($A9,AEO26_Table_21._Residential!$B$6:$B$92,0),MATCH(AC$4,AEO26_Table_21._Residential!$E$5:$AD$5,0))*About!$A$32*About!$B$35</f>
        <v>222286.00566663966</v>
      </c>
      <c r="AD9">
        <f>INDEX(AEO26_Table_21._Residential!$E$6:$AD$92,MATCH($A9,AEO26_Table_21._Residential!$B$6:$B$92,0),MATCH(AD$4,AEO26_Table_21._Residential!$E$5:$AD$5,0))*About!$A$32*About!$B$35</f>
        <v>229521.62098275719</v>
      </c>
    </row>
    <row r="10" spans="1:43" x14ac:dyDescent="0.25">
      <c r="A10" t="s">
        <v>534</v>
      </c>
      <c r="B10" t="s">
        <v>213</v>
      </c>
      <c r="C10" t="s">
        <v>535</v>
      </c>
      <c r="D10">
        <f>INDEX(AEO25_Table_21._Residential!$F$82:$AG$93,MATCH($B10,AEO25_Table_21._Residential!$B$82:$B$93,0),MATCH(D$4,AEO25_Table_21._Residential!$F$5:$AG$5,0))*About!$A$32*About!$B$35</f>
        <v>50978364.686796732</v>
      </c>
      <c r="E10">
        <f>INDEX(AEO26_Table_21._Residential!$E$6:$AD$92,MATCH($A10,AEO26_Table_21._Residential!$B$6:$B$92,0),MATCH(E$4,AEO26_Table_21._Residential!$E$5:$AD$5,0))*About!$A$32*About!$B$35</f>
        <v>53470950.009228528</v>
      </c>
      <c r="F10">
        <f>INDEX(AEO26_Table_21._Residential!$E$6:$AD$92,MATCH($A10,AEO26_Table_21._Residential!$B$6:$B$92,0),MATCH(F$4,AEO26_Table_21._Residential!$E$5:$AD$5,0))*About!$A$32*About!$B$35</f>
        <v>56521290.774710603</v>
      </c>
      <c r="G10">
        <f>INDEX(AEO26_Table_21._Residential!$E$6:$AD$92,MATCH($A10,AEO26_Table_21._Residential!$B$6:$B$92,0),MATCH(G$4,AEO26_Table_21._Residential!$E$5:$AD$5,0))*About!$A$32*About!$B$35</f>
        <v>59964463.088480517</v>
      </c>
      <c r="H10">
        <f>INDEX(AEO26_Table_21._Residential!$E$6:$AD$92,MATCH($A10,AEO26_Table_21._Residential!$B$6:$B$92,0),MATCH(H$4,AEO26_Table_21._Residential!$E$5:$AD$5,0))*About!$A$32*About!$B$35</f>
        <v>63515989.127823189</v>
      </c>
      <c r="I10">
        <f>INDEX(AEO26_Table_21._Residential!$E$6:$AD$92,MATCH($A10,AEO26_Table_21._Residential!$B$6:$B$92,0),MATCH(I$4,AEO26_Table_21._Residential!$E$5:$AD$5,0))*About!$A$32*About!$B$35</f>
        <v>66825908.71075853</v>
      </c>
      <c r="J10">
        <f>INDEX(AEO26_Table_21._Residential!$E$6:$AD$92,MATCH($A10,AEO26_Table_21._Residential!$B$6:$B$92,0),MATCH(J$4,AEO26_Table_21._Residential!$E$5:$AD$5,0))*About!$A$32*About!$B$35</f>
        <v>70302740.173561066</v>
      </c>
      <c r="K10">
        <f>INDEX(AEO26_Table_21._Residential!$E$6:$AD$92,MATCH($A10,AEO26_Table_21._Residential!$B$6:$B$92,0),MATCH(K$4,AEO26_Table_21._Residential!$E$5:$AD$5,0))*About!$A$32*About!$B$35</f>
        <v>74066152.901805222</v>
      </c>
      <c r="L10">
        <f>INDEX(AEO26_Table_21._Residential!$E$6:$AD$92,MATCH($A10,AEO26_Table_21._Residential!$B$6:$B$92,0),MATCH(L$4,AEO26_Table_21._Residential!$E$5:$AD$5,0))*About!$A$32*About!$B$35</f>
        <v>77813083.648020715</v>
      </c>
      <c r="M10">
        <f>INDEX(AEO26_Table_21._Residential!$E$6:$AD$92,MATCH($A10,AEO26_Table_21._Residential!$B$6:$B$92,0),MATCH(M$4,AEO26_Table_21._Residential!$E$5:$AD$5,0))*About!$A$32*About!$B$35</f>
        <v>81739216.006152347</v>
      </c>
      <c r="N10">
        <f>INDEX(AEO26_Table_21._Residential!$E$6:$AD$92,MATCH($A10,AEO26_Table_21._Residential!$B$6:$B$92,0),MATCH(N$4,AEO26_Table_21._Residential!$E$5:$AD$5,0))*About!$A$32*About!$B$35</f>
        <v>85899672.046628341</v>
      </c>
      <c r="O10">
        <f>INDEX(AEO26_Table_21._Residential!$E$6:$AD$92,MATCH($A10,AEO26_Table_21._Residential!$B$6:$B$92,0),MATCH(O$4,AEO26_Table_21._Residential!$E$5:$AD$5,0))*About!$A$32*About!$B$35</f>
        <v>90335556.308912814</v>
      </c>
      <c r="P10">
        <f>INDEX(AEO26_Table_21._Residential!$E$6:$AD$92,MATCH($A10,AEO26_Table_21._Residential!$B$6:$B$92,0),MATCH(P$4,AEO26_Table_21._Residential!$E$5:$AD$5,0))*About!$A$32*About!$B$35</f>
        <v>94982501.982028648</v>
      </c>
      <c r="Q10">
        <f>INDEX(AEO26_Table_21._Residential!$E$6:$AD$92,MATCH($A10,AEO26_Table_21._Residential!$B$6:$B$92,0),MATCH(Q$4,AEO26_Table_21._Residential!$E$5:$AD$5,0))*About!$A$32*About!$B$35</f>
        <v>99960122.34890309</v>
      </c>
      <c r="R10">
        <f>INDEX(AEO26_Table_21._Residential!$E$6:$AD$92,MATCH($A10,AEO26_Table_21._Residential!$B$6:$B$92,0),MATCH(R$4,AEO26_Table_21._Residential!$E$5:$AD$5,0))*About!$A$32*About!$B$35</f>
        <v>105171992.40767422</v>
      </c>
      <c r="S10">
        <f>INDEX(AEO26_Table_21._Residential!$E$6:$AD$92,MATCH($A10,AEO26_Table_21._Residential!$B$6:$B$92,0),MATCH(S$4,AEO26_Table_21._Residential!$E$5:$AD$5,0))*About!$A$32*About!$B$35</f>
        <v>110663048.75252973</v>
      </c>
      <c r="T10">
        <f>INDEX(AEO26_Table_21._Residential!$E$6:$AD$92,MATCH($A10,AEO26_Table_21._Residential!$B$6:$B$92,0),MATCH(T$4,AEO26_Table_21._Residential!$E$5:$AD$5,0))*About!$A$32*About!$B$35</f>
        <v>116346805.49405001</v>
      </c>
      <c r="U10">
        <f>INDEX(AEO26_Table_21._Residential!$E$6:$AD$92,MATCH($A10,AEO26_Table_21._Residential!$B$6:$B$92,0),MATCH(U$4,AEO26_Table_21._Residential!$E$5:$AD$5,0))*About!$A$32*About!$B$35</f>
        <v>122255072.83315793</v>
      </c>
      <c r="V10">
        <f>INDEX(AEO26_Table_21._Residential!$E$6:$AD$92,MATCH($A10,AEO26_Table_21._Residential!$B$6:$B$92,0),MATCH(V$4,AEO26_Table_21._Residential!$E$5:$AD$5,0))*About!$A$32*About!$B$35</f>
        <v>128329093.41050757</v>
      </c>
      <c r="W10">
        <f>INDEX(AEO26_Table_21._Residential!$E$6:$AD$92,MATCH($A10,AEO26_Table_21._Residential!$B$6:$B$92,0),MATCH(W$4,AEO26_Table_21._Residential!$E$5:$AD$5,0))*About!$A$32*About!$B$35</f>
        <v>134590739.12766129</v>
      </c>
      <c r="X10">
        <f>INDEX(AEO26_Table_21._Residential!$E$6:$AD$92,MATCH($A10,AEO26_Table_21._Residential!$B$6:$B$92,0),MATCH(X$4,AEO26_Table_21._Residential!$E$5:$AD$5,0))*About!$A$32*About!$B$35</f>
        <v>141094736.08419007</v>
      </c>
      <c r="Y10">
        <f>INDEX(AEO26_Table_21._Residential!$E$6:$AD$92,MATCH($A10,AEO26_Table_21._Residential!$B$6:$B$92,0),MATCH(Y$4,AEO26_Table_21._Residential!$E$5:$AD$5,0))*About!$A$32*About!$B$35</f>
        <v>147745429.26673684</v>
      </c>
      <c r="Z10">
        <f>INDEX(AEO26_Table_21._Residential!$E$6:$AD$92,MATCH($A10,AEO26_Table_21._Residential!$B$6:$B$92,0),MATCH(Z$4,AEO26_Table_21._Residential!$E$5:$AD$5,0))*About!$A$32*About!$B$35</f>
        <v>154590957.18578482</v>
      </c>
      <c r="AA10">
        <f>INDEX(AEO26_Table_21._Residential!$E$6:$AD$92,MATCH($A10,AEO26_Table_21._Residential!$B$6:$B$92,0),MATCH(AA$4,AEO26_Table_21._Residential!$E$5:$AD$5,0))*About!$A$32*About!$B$35</f>
        <v>161636864.24641788</v>
      </c>
      <c r="AB10">
        <f>INDEX(AEO26_Table_21._Residential!$E$6:$AD$92,MATCH($A10,AEO26_Table_21._Residential!$B$6:$B$92,0),MATCH(AB$4,AEO26_Table_21._Residential!$E$5:$AD$5,0))*About!$A$32*About!$B$35</f>
        <v>168976932.12142801</v>
      </c>
      <c r="AC10">
        <f>INDEX(AEO26_Table_21._Residential!$E$6:$AD$92,MATCH($A10,AEO26_Table_21._Residential!$B$6:$B$92,0),MATCH(AC$4,AEO26_Table_21._Residential!$E$5:$AD$5,0))*About!$A$32*About!$B$35</f>
        <v>176433189.3917267</v>
      </c>
      <c r="AD10">
        <f>INDEX(AEO26_Table_21._Residential!$E$6:$AD$92,MATCH($A10,AEO26_Table_21._Residential!$B$6:$B$92,0),MATCH(AD$4,AEO26_Table_21._Residential!$E$5:$AD$5,0))*About!$A$32*About!$B$35</f>
        <v>184157193.69966808</v>
      </c>
    </row>
    <row r="11" spans="1:43" x14ac:dyDescent="0.25">
      <c r="C11" t="s">
        <v>536</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537</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538</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539</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541</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542</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543</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544</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545</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546</v>
      </c>
    </row>
    <row r="23" spans="1:30" x14ac:dyDescent="0.25">
      <c r="C23" s="1" t="s">
        <v>526</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527</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528</v>
      </c>
      <c r="B25" t="s">
        <v>211</v>
      </c>
      <c r="C25" t="s">
        <v>529</v>
      </c>
      <c r="D25">
        <f>INDEX(AEO25_Table_21._Residential!$F$82:$AG$93,MATCH($B25,AEO25_Table_21._Residential!$B$82:$B$93,0),MATCH(D$4,AEO25_Table_21._Residential!$F$5:$AG$5,0))*About!$A$33*About!$B$35</f>
        <v>1277.2117704201407</v>
      </c>
      <c r="E25">
        <f>INDEX(AEO26_Table_21._Residential!$E$6:$AD$92,MATCH($A25,AEO26_Table_21._Residential!$B$6:$B$92,0),MATCH(E$4,AEO26_Table_21._Residential!$E$5:$AD$5,0))*About!$A$33*About!$B$35</f>
        <v>374.21015138023148</v>
      </c>
      <c r="F25">
        <f>INDEX(AEO26_Table_21._Residential!$E$6:$AD$92,MATCH($A25,AEO26_Table_21._Residential!$B$6:$B$92,0),MATCH(F$4,AEO26_Table_21._Residential!$E$5:$AD$5,0))*About!$A$33*About!$B$35</f>
        <v>817.76693920505147</v>
      </c>
      <c r="G25">
        <f>INDEX(AEO26_Table_21._Residential!$E$6:$AD$92,MATCH($A25,AEO26_Table_21._Residential!$B$6:$B$92,0),MATCH(G$4,AEO26_Table_21._Residential!$E$5:$AD$5,0))*About!$A$33*About!$B$35</f>
        <v>1250.1086375779162</v>
      </c>
      <c r="H25">
        <f>INDEX(AEO26_Table_21._Residential!$E$6:$AD$92,MATCH($A25,AEO26_Table_21._Residential!$B$6:$B$92,0),MATCH(H$4,AEO26_Table_21._Residential!$E$5:$AD$5,0))*About!$A$33*About!$B$35</f>
        <v>1259.641463612078</v>
      </c>
      <c r="I25">
        <f>INDEX(AEO26_Table_21._Residential!$E$6:$AD$92,MATCH($A25,AEO26_Table_21._Residential!$B$6:$B$92,0),MATCH(I$4,AEO26_Table_21._Residential!$E$5:$AD$5,0))*About!$A$33*About!$B$35</f>
        <v>1269.3612078037722</v>
      </c>
      <c r="J25">
        <f>INDEX(AEO26_Table_21._Residential!$E$6:$AD$92,MATCH($A25,AEO26_Table_21._Residential!$B$6:$B$92,0),MATCH(J$4,AEO26_Table_21._Residential!$E$5:$AD$5,0))*About!$A$33*About!$B$35</f>
        <v>1871.9853476888204</v>
      </c>
      <c r="K25">
        <f>INDEX(AEO26_Table_21._Residential!$E$6:$AD$92,MATCH($A25,AEO26_Table_21._Residential!$B$6:$B$92,0),MATCH(K$4,AEO26_Table_21._Residential!$E$5:$AD$5,0))*About!$A$33*About!$B$35</f>
        <v>2676.4810977090583</v>
      </c>
      <c r="L25">
        <f>INDEX(AEO26_Table_21._Residential!$E$6:$AD$92,MATCH($A25,AEO26_Table_21._Residential!$B$6:$B$92,0),MATCH(L$4,AEO26_Table_21._Residential!$E$5:$AD$5,0))*About!$A$33*About!$B$35</f>
        <v>3506.0238808386625</v>
      </c>
      <c r="M25">
        <f>INDEX(AEO26_Table_21._Residential!$E$6:$AD$92,MATCH($A25,AEO26_Table_21._Residential!$B$6:$B$92,0),MATCH(M$4,AEO26_Table_21._Residential!$E$5:$AD$5,0))*About!$A$33*About!$B$35</f>
        <v>4152.0130332712697</v>
      </c>
      <c r="N25">
        <f>INDEX(AEO26_Table_21._Residential!$E$6:$AD$92,MATCH($A25,AEO26_Table_21._Residential!$B$6:$B$92,0),MATCH(N$4,AEO26_Table_21._Residential!$E$5:$AD$5,0))*About!$A$33*About!$B$35</f>
        <v>4961.1817372298228</v>
      </c>
      <c r="O25">
        <f>INDEX(AEO26_Table_21._Residential!$E$6:$AD$92,MATCH($A25,AEO26_Table_21._Residential!$B$6:$B$92,0),MATCH(O$4,AEO26_Table_21._Residential!$E$5:$AD$5,0))*About!$A$33*About!$B$35</f>
        <v>4970.714563263984</v>
      </c>
      <c r="P25">
        <f>INDEX(AEO26_Table_21._Residential!$E$6:$AD$92,MATCH($A25,AEO26_Table_21._Residential!$B$6:$B$92,0),MATCH(P$4,AEO26_Table_21._Residential!$E$5:$AD$5,0))*About!$A$33*About!$B$35</f>
        <v>4980.2473892981461</v>
      </c>
      <c r="Q25">
        <f>INDEX(AEO26_Table_21._Residential!$E$6:$AD$92,MATCH($A25,AEO26_Table_21._Residential!$B$6:$B$92,0),MATCH(Q$4,AEO26_Table_21._Residential!$E$5:$AD$5,0))*About!$A$33*About!$B$35</f>
        <v>4989.9671334898403</v>
      </c>
      <c r="R25">
        <f>INDEX(AEO26_Table_21._Residential!$E$6:$AD$92,MATCH($A25,AEO26_Table_21._Residential!$B$6:$B$92,0),MATCH(R$4,AEO26_Table_21._Residential!$E$5:$AD$5,0))*About!$A$33*About!$B$35</f>
        <v>4999.4999595240024</v>
      </c>
      <c r="S25">
        <f>INDEX(AEO26_Table_21._Residential!$E$6:$AD$92,MATCH($A25,AEO26_Table_21._Residential!$B$6:$B$92,0),MATCH(S$4,AEO26_Table_21._Residential!$E$5:$AD$5,0))*About!$A$33*About!$B$35</f>
        <v>5009.2197037156966</v>
      </c>
      <c r="T25">
        <f>INDEX(AEO26_Table_21._Residential!$E$6:$AD$92,MATCH($A25,AEO26_Table_21._Residential!$B$6:$B$92,0),MATCH(T$4,AEO26_Table_21._Residential!$E$5:$AD$5,0))*About!$A$33*About!$B$35</f>
        <v>5019.687120537521</v>
      </c>
      <c r="U25">
        <f>INDEX(AEO26_Table_21._Residential!$E$6:$AD$92,MATCH($A25,AEO26_Table_21._Residential!$B$6:$B$92,0),MATCH(U$4,AEO26_Table_21._Residential!$E$5:$AD$5,0))*About!$A$33*About!$B$35</f>
        <v>5031.6498826196057</v>
      </c>
      <c r="V25">
        <f>INDEX(AEO26_Table_21._Residential!$E$6:$AD$92,MATCH($A25,AEO26_Table_21._Residential!$B$6:$B$92,0),MATCH(V$4,AEO26_Table_21._Residential!$E$5:$AD$5,0))*About!$A$33*About!$B$35</f>
        <v>5046.977171537279</v>
      </c>
      <c r="W25">
        <f>INDEX(AEO26_Table_21._Residential!$E$6:$AD$92,MATCH($A25,AEO26_Table_21._Residential!$B$6:$B$92,0),MATCH(W$4,AEO26_Table_21._Residential!$E$5:$AD$5,0))*About!$A$33*About!$B$35</f>
        <v>5068.6596778110579</v>
      </c>
      <c r="X25">
        <f>INDEX(AEO26_Table_21._Residential!$E$6:$AD$92,MATCH($A25,AEO26_Table_21._Residential!$B$6:$B$92,0),MATCH(X$4,AEO26_Table_21._Residential!$E$5:$AD$5,0))*About!$A$33*About!$B$35</f>
        <v>5103.0526187970527</v>
      </c>
      <c r="Y25">
        <f>INDEX(AEO26_Table_21._Residential!$E$6:$AD$92,MATCH($A25,AEO26_Table_21._Residential!$B$6:$B$92,0),MATCH(Y$4,AEO26_Table_21._Residential!$E$5:$AD$5,0))*About!$A$33*About!$B$35</f>
        <v>5161.1841657896866</v>
      </c>
      <c r="Z25">
        <f>INDEX(AEO26_Table_21._Residential!$E$6:$AD$92,MATCH($A25,AEO26_Table_21._Residential!$B$6:$B$92,0),MATCH(Z$4,AEO26_Table_21._Residential!$E$5:$AD$5,0))*About!$A$33*About!$B$35</f>
        <v>5263.2414798024765</v>
      </c>
      <c r="AA25">
        <f>INDEX(AEO26_Table_21._Residential!$E$6:$AD$92,MATCH($A25,AEO26_Table_21._Residential!$B$6:$B$92,0),MATCH(AA$4,AEO26_Table_21._Residential!$E$5:$AD$5,0))*About!$A$33*About!$B$35</f>
        <v>5365.8595482878654</v>
      </c>
      <c r="AB25">
        <f>INDEX(AEO26_Table_21._Residential!$E$6:$AD$92,MATCH($A25,AEO26_Table_21._Residential!$B$6:$B$92,0),MATCH(AB$4,AEO26_Table_21._Residential!$E$5:$AD$5,0))*About!$A$33*About!$B$35</f>
        <v>5468.8514530883176</v>
      </c>
      <c r="AC25">
        <f>INDEX(AEO26_Table_21._Residential!$E$6:$AD$92,MATCH($A25,AEO26_Table_21._Residential!$B$6:$B$92,0),MATCH(AC$4,AEO26_Table_21._Residential!$E$5:$AD$5,0))*About!$A$33*About!$B$35</f>
        <v>5572.4041123613697</v>
      </c>
      <c r="AD25">
        <f>INDEX(AEO26_Table_21._Residential!$E$6:$AD$92,MATCH($A25,AEO26_Table_21._Residential!$B$6:$B$92,0),MATCH(AD$4,AEO26_Table_21._Residential!$E$5:$AD$5,0))*About!$A$33*About!$B$35</f>
        <v>5676.8913624220831</v>
      </c>
    </row>
    <row r="26" spans="1:30" x14ac:dyDescent="0.25">
      <c r="C26" t="s">
        <v>530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531</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532</v>
      </c>
      <c r="B28" t="s">
        <v>215</v>
      </c>
      <c r="C28" t="s">
        <v>533</v>
      </c>
      <c r="D28">
        <f>INDEX(AEO25_Table_21._Residential!$F$82:$AG$93,MATCH($B28,AEO25_Table_21._Residential!$B$82:$B$93,0),MATCH(D$4,AEO25_Table_21._Residential!$F$5:$AG$5,0))*About!$A$33*About!$B$35</f>
        <v>69051.305755686888</v>
      </c>
      <c r="E28">
        <f>INDEX(AEO26_Table_21._Residential!$E$6:$AD$92,MATCH($A28,AEO26_Table_21._Residential!$B$6:$B$92,0),MATCH(E$4,AEO26_Table_21._Residential!$E$5:$AD$5,0))*About!$A$33*About!$B$35</f>
        <v>32201.138670768236</v>
      </c>
      <c r="F28">
        <f>INDEX(AEO26_Table_21._Residential!$E$6:$AD$92,MATCH($A28,AEO26_Table_21._Residential!$B$6:$B$92,0),MATCH(F$4,AEO26_Table_21._Residential!$E$5:$AD$5,0))*About!$A$33*About!$B$35</f>
        <v>32229.924067028252</v>
      </c>
      <c r="G28">
        <f>INDEX(AEO26_Table_21._Residential!$E$6:$AD$92,MATCH($A28,AEO26_Table_21._Residential!$B$6:$B$92,0),MATCH(G$4,AEO26_Table_21._Residential!$E$5:$AD$5,0))*About!$A$33*About!$B$35</f>
        <v>32265.064680644376</v>
      </c>
      <c r="H28">
        <f>INDEX(AEO26_Table_21._Residential!$E$6:$AD$92,MATCH($A28,AEO26_Table_21._Residential!$B$6:$B$92,0),MATCH(H$4,AEO26_Table_21._Residential!$E$5:$AD$5,0))*About!$A$33*About!$B$35</f>
        <v>32299.831457945438</v>
      </c>
      <c r="I28">
        <f>INDEX(AEO26_Table_21._Residential!$E$6:$AD$92,MATCH($A28,AEO26_Table_21._Residential!$B$6:$B$92,0),MATCH(I$4,AEO26_Table_21._Residential!$E$5:$AD$5,0))*About!$A$33*About!$B$35</f>
        <v>32356.093823362749</v>
      </c>
      <c r="J28">
        <f>INDEX(AEO26_Table_21._Residential!$E$6:$AD$92,MATCH($A28,AEO26_Table_21._Residential!$B$6:$B$92,0),MATCH(J$4,AEO26_Table_21._Residential!$E$5:$AD$5,0))*About!$A$33*About!$B$35</f>
        <v>32453.665101594754</v>
      </c>
      <c r="K28">
        <f>INDEX(AEO26_Table_21._Residential!$E$6:$AD$92,MATCH($A28,AEO26_Table_21._Residential!$B$6:$B$92,0),MATCH(K$4,AEO26_Table_21._Residential!$E$5:$AD$5,0))*About!$A$33*About!$B$35</f>
        <v>32630.67659677811</v>
      </c>
      <c r="L28">
        <f>INDEX(AEO26_Table_21._Residential!$E$6:$AD$92,MATCH($A28,AEO26_Table_21._Residential!$B$6:$B$92,0),MATCH(L$4,AEO26_Table_21._Residential!$E$5:$AD$5,0))*About!$A$33*About!$B$35</f>
        <v>32906.007042823607</v>
      </c>
      <c r="M28">
        <f>INDEX(AEO26_Table_21._Residential!$E$6:$AD$92,MATCH($A28,AEO26_Table_21._Residential!$B$6:$B$92,0),MATCH(M$4,AEO26_Table_21._Residential!$E$5:$AD$5,0))*About!$A$33*About!$B$35</f>
        <v>33329.002833319842</v>
      </c>
      <c r="N28">
        <f>INDEX(AEO26_Table_21._Residential!$E$6:$AD$92,MATCH($A28,AEO26_Table_21._Residential!$B$6:$B$92,0),MATCH(N$4,AEO26_Table_21._Residential!$E$5:$AD$5,0))*About!$A$33*About!$B$35</f>
        <v>33910.131385088636</v>
      </c>
      <c r="O28">
        <f>INDEX(AEO26_Table_21._Residential!$E$6:$AD$92,MATCH($A28,AEO26_Table_21._Residential!$B$6:$B$92,0),MATCH(O$4,AEO26_Table_21._Residential!$E$5:$AD$5,0))*About!$A$33*About!$B$35</f>
        <v>34603.410831376998</v>
      </c>
      <c r="P28">
        <f>INDEX(AEO26_Table_21._Residential!$E$6:$AD$92,MATCH($A28,AEO26_Table_21._Residential!$B$6:$B$92,0),MATCH(P$4,AEO26_Table_21._Residential!$E$5:$AD$5,0))*About!$A$33*About!$B$35</f>
        <v>35380.429612239946</v>
      </c>
      <c r="Q28">
        <f>INDEX(AEO26_Table_21._Residential!$E$6:$AD$92,MATCH($A28,AEO26_Table_21._Residential!$B$6:$B$92,0),MATCH(Q$4,AEO26_Table_21._Residential!$E$5:$AD$5,0))*About!$A$33*About!$B$35</f>
        <v>36240.813891362428</v>
      </c>
      <c r="R28">
        <f>INDEX(AEO26_Table_21._Residential!$E$6:$AD$92,MATCH($A28,AEO26_Table_21._Residential!$B$6:$B$92,0),MATCH(R$4,AEO26_Table_21._Residential!$E$5:$AD$5,0))*About!$A$33*About!$B$35</f>
        <v>37143.815510402332</v>
      </c>
      <c r="S28">
        <f>INDEX(AEO26_Table_21._Residential!$E$6:$AD$92,MATCH($A28,AEO26_Table_21._Residential!$B$6:$B$92,0),MATCH(S$4,AEO26_Table_21._Residential!$E$5:$AD$5,0))*About!$A$33*About!$B$35</f>
        <v>38069.247308346145</v>
      </c>
      <c r="T28">
        <f>INDEX(AEO26_Table_21._Residential!$E$6:$AD$92,MATCH($A28,AEO26_Table_21._Residential!$B$6:$B$92,0),MATCH(T$4,AEO26_Table_21._Residential!$E$5:$AD$5,0))*About!$A$33*About!$B$35</f>
        <v>39049.819962762078</v>
      </c>
      <c r="U28">
        <f>INDEX(AEO26_Table_21._Residential!$E$6:$AD$92,MATCH($A28,AEO26_Table_21._Residential!$B$6:$B$92,0),MATCH(U$4,AEO26_Table_21._Residential!$E$5:$AD$5,0))*About!$A$33*About!$B$35</f>
        <v>40142.730429855095</v>
      </c>
      <c r="V28">
        <f>INDEX(AEO26_Table_21._Residential!$E$6:$AD$92,MATCH($A28,AEO26_Table_21._Residential!$B$6:$B$92,0),MATCH(V$4,AEO26_Table_21._Residential!$E$5:$AD$5,0))*About!$A$33*About!$B$35</f>
        <v>41309.286651015951</v>
      </c>
      <c r="W28">
        <f>INDEX(AEO26_Table_21._Residential!$E$6:$AD$92,MATCH($A28,AEO26_Table_21._Residential!$B$6:$B$92,0),MATCH(W$4,AEO26_Table_21._Residential!$E$5:$AD$5,0))*About!$A$33*About!$B$35</f>
        <v>42512.85266736825</v>
      </c>
      <c r="X28">
        <f>INDEX(AEO26_Table_21._Residential!$E$6:$AD$92,MATCH($A28,AEO26_Table_21._Residential!$B$6:$B$92,0),MATCH(X$4,AEO26_Table_21._Residential!$E$5:$AD$5,0))*About!$A$33*About!$B$35</f>
        <v>43745.3909981381</v>
      </c>
      <c r="Y28">
        <f>INDEX(AEO26_Table_21._Residential!$E$6:$AD$92,MATCH($A28,AEO26_Table_21._Residential!$B$6:$B$92,0),MATCH(Y$4,AEO26_Table_21._Residential!$E$5:$AD$5,0))*About!$A$33*About!$B$35</f>
        <v>45017.182141989797</v>
      </c>
      <c r="Z28">
        <f>INDEX(AEO26_Table_21._Residential!$E$6:$AD$92,MATCH($A28,AEO26_Table_21._Residential!$B$6:$B$92,0),MATCH(Z$4,AEO26_Table_21._Residential!$E$5:$AD$5,0))*About!$A$33*About!$B$35</f>
        <v>46395.329717477536</v>
      </c>
      <c r="AA28">
        <f>INDEX(AEO26_Table_21._Residential!$E$6:$AD$92,MATCH($A28,AEO26_Table_21._Residential!$B$6:$B$92,0),MATCH(AA$4,AEO26_Table_21._Residential!$E$5:$AD$5,0))*About!$A$33*About!$B$35</f>
        <v>47826.188213389454</v>
      </c>
      <c r="AB28">
        <f>INDEX(AEO26_Table_21._Residential!$E$6:$AD$92,MATCH($A28,AEO26_Table_21._Residential!$B$6:$B$92,0),MATCH(AB$4,AEO26_Table_21._Residential!$E$5:$AD$5,0))*About!$A$33*About!$B$35</f>
        <v>49454.432283655784</v>
      </c>
      <c r="AC28">
        <f>INDEX(AEO26_Table_21._Residential!$E$6:$AD$92,MATCH($A28,AEO26_Table_21._Residential!$B$6:$B$92,0),MATCH(AC$4,AEO26_Table_21._Residential!$E$5:$AD$5,0))*About!$A$33*About!$B$35</f>
        <v>51100.994333360315</v>
      </c>
      <c r="AD28">
        <f>INDEX(AEO26_Table_21._Residential!$E$6:$AD$92,MATCH($A28,AEO26_Table_21._Residential!$B$6:$B$92,0),MATCH(AD$4,AEO26_Table_21._Residential!$E$5:$AD$5,0))*About!$A$33*About!$B$35</f>
        <v>52764.379017242769</v>
      </c>
    </row>
    <row r="29" spans="1:30" x14ac:dyDescent="0.25">
      <c r="A29" t="s">
        <v>534</v>
      </c>
      <c r="B29" t="s">
        <v>213</v>
      </c>
      <c r="C29" t="s">
        <v>535</v>
      </c>
      <c r="D29">
        <f>INDEX(AEO25_Table_21._Residential!$F$82:$AG$93,MATCH($B29,AEO25_Table_21._Residential!$B$82:$B$93,0),MATCH(D$4,AEO25_Table_21._Residential!$F$5:$AG$5,0))*About!$A$33*About!$B$35</f>
        <v>11719339.313203271</v>
      </c>
      <c r="E29">
        <f>INDEX(AEO26_Table_21._Residential!$E$6:$AD$92,MATCH($A29,AEO26_Table_21._Residential!$B$6:$B$92,0),MATCH(E$4,AEO26_Table_21._Residential!$E$5:$AD$5,0))*About!$A$33*About!$B$35</f>
        <v>12292355.990771472</v>
      </c>
      <c r="F29">
        <f>INDEX(AEO26_Table_21._Residential!$E$6:$AD$92,MATCH($A29,AEO26_Table_21._Residential!$B$6:$B$92,0),MATCH(F$4,AEO26_Table_21._Residential!$E$5:$AD$5,0))*About!$A$33*About!$B$35</f>
        <v>12993594.225289404</v>
      </c>
      <c r="G29">
        <f>INDEX(AEO26_Table_21._Residential!$E$6:$AD$92,MATCH($A29,AEO26_Table_21._Residential!$B$6:$B$92,0),MATCH(G$4,AEO26_Table_21._Residential!$E$5:$AD$5,0))*About!$A$33*About!$B$35</f>
        <v>13785139.911519468</v>
      </c>
      <c r="H29">
        <f>INDEX(AEO26_Table_21._Residential!$E$6:$AD$92,MATCH($A29,AEO26_Table_21._Residential!$B$6:$B$92,0),MATCH(H$4,AEO26_Table_21._Residential!$E$5:$AD$5,0))*About!$A$33*About!$B$35</f>
        <v>14601594.872176796</v>
      </c>
      <c r="I29">
        <f>INDEX(AEO26_Table_21._Residential!$E$6:$AD$92,MATCH($A29,AEO26_Table_21._Residential!$B$6:$B$92,0),MATCH(I$4,AEO26_Table_21._Residential!$E$5:$AD$5,0))*About!$A$33*About!$B$35</f>
        <v>15362507.28924148</v>
      </c>
      <c r="J29">
        <f>INDEX(AEO26_Table_21._Residential!$E$6:$AD$92,MATCH($A29,AEO26_Table_21._Residential!$B$6:$B$92,0),MATCH(J$4,AEO26_Table_21._Residential!$E$5:$AD$5,0))*About!$A$33*About!$B$35</f>
        <v>16161790.826438921</v>
      </c>
      <c r="K29">
        <f>INDEX(AEO26_Table_21._Residential!$E$6:$AD$92,MATCH($A29,AEO26_Table_21._Residential!$B$6:$B$92,0),MATCH(K$4,AEO26_Table_21._Residential!$E$5:$AD$5,0))*About!$A$33*About!$B$35</f>
        <v>17026956.098194771</v>
      </c>
      <c r="L29">
        <f>INDEX(AEO26_Table_21._Residential!$E$6:$AD$92,MATCH($A29,AEO26_Table_21._Residential!$B$6:$B$92,0),MATCH(L$4,AEO26_Table_21._Residential!$E$5:$AD$5,0))*About!$A$33*About!$B$35</f>
        <v>17888332.351979274</v>
      </c>
      <c r="M29">
        <f>INDEX(AEO26_Table_21._Residential!$E$6:$AD$92,MATCH($A29,AEO26_Table_21._Residential!$B$6:$B$92,0),MATCH(M$4,AEO26_Table_21._Residential!$E$5:$AD$5,0))*About!$A$33*About!$B$35</f>
        <v>18790904.993847646</v>
      </c>
      <c r="N29">
        <f>INDEX(AEO26_Table_21._Residential!$E$6:$AD$92,MATCH($A29,AEO26_Table_21._Residential!$B$6:$B$92,0),MATCH(N$4,AEO26_Table_21._Residential!$E$5:$AD$5,0))*About!$A$33*About!$B$35</f>
        <v>19747345.953371648</v>
      </c>
      <c r="O29">
        <f>INDEX(AEO26_Table_21._Residential!$E$6:$AD$92,MATCH($A29,AEO26_Table_21._Residential!$B$6:$B$92,0),MATCH(O$4,AEO26_Table_21._Residential!$E$5:$AD$5,0))*About!$A$33*About!$B$35</f>
        <v>20767104.691087183</v>
      </c>
      <c r="P29">
        <f>INDEX(AEO26_Table_21._Residential!$E$6:$AD$92,MATCH($A29,AEO26_Table_21._Residential!$B$6:$B$92,0),MATCH(P$4,AEO26_Table_21._Residential!$E$5:$AD$5,0))*About!$A$33*About!$B$35</f>
        <v>21835384.017971344</v>
      </c>
      <c r="Q29">
        <f>INDEX(AEO26_Table_21._Residential!$E$6:$AD$92,MATCH($A29,AEO26_Table_21._Residential!$B$6:$B$92,0),MATCH(Q$4,AEO26_Table_21._Residential!$E$5:$AD$5,0))*About!$A$33*About!$B$35</f>
        <v>22979681.651096895</v>
      </c>
      <c r="R29">
        <f>INDEX(AEO26_Table_21._Residential!$E$6:$AD$92,MATCH($A29,AEO26_Table_21._Residential!$B$6:$B$92,0),MATCH(R$4,AEO26_Table_21._Residential!$E$5:$AD$5,0))*About!$A$33*About!$B$35</f>
        <v>24177830.592325747</v>
      </c>
      <c r="S29">
        <f>INDEX(AEO26_Table_21._Residential!$E$6:$AD$92,MATCH($A29,AEO26_Table_21._Residential!$B$6:$B$92,0),MATCH(S$4,AEO26_Table_21._Residential!$E$5:$AD$5,0))*About!$A$33*About!$B$35</f>
        <v>25440161.247470248</v>
      </c>
      <c r="T29">
        <f>INDEX(AEO26_Table_21._Residential!$E$6:$AD$92,MATCH($A29,AEO26_Table_21._Residential!$B$6:$B$92,0),MATCH(T$4,AEO26_Table_21._Residential!$E$5:$AD$5,0))*About!$A$33*About!$B$35</f>
        <v>26746791.505949967</v>
      </c>
      <c r="U29">
        <f>INDEX(AEO26_Table_21._Residential!$E$6:$AD$92,MATCH($A29,AEO26_Table_21._Residential!$B$6:$B$92,0),MATCH(U$4,AEO26_Table_21._Residential!$E$5:$AD$5,0))*About!$A$33*About!$B$35</f>
        <v>28105034.166842062</v>
      </c>
      <c r="V29">
        <f>INDEX(AEO26_Table_21._Residential!$E$6:$AD$92,MATCH($A29,AEO26_Table_21._Residential!$B$6:$B$92,0),MATCH(V$4,AEO26_Table_21._Residential!$E$5:$AD$5,0))*About!$A$33*About!$B$35</f>
        <v>29501381.589492433</v>
      </c>
      <c r="W29">
        <f>INDEX(AEO26_Table_21._Residential!$E$6:$AD$92,MATCH($A29,AEO26_Table_21._Residential!$B$6:$B$92,0),MATCH(W$4,AEO26_Table_21._Residential!$E$5:$AD$5,0))*About!$A$33*About!$B$35</f>
        <v>30940861.872338701</v>
      </c>
      <c r="X29">
        <f>INDEX(AEO26_Table_21._Residential!$E$6:$AD$92,MATCH($A29,AEO26_Table_21._Residential!$B$6:$B$92,0),MATCH(X$4,AEO26_Table_21._Residential!$E$5:$AD$5,0))*About!$A$33*About!$B$35</f>
        <v>32436055.915809922</v>
      </c>
      <c r="Y29">
        <f>INDEX(AEO26_Table_21._Residential!$E$6:$AD$92,MATCH($A29,AEO26_Table_21._Residential!$B$6:$B$92,0),MATCH(Y$4,AEO26_Table_21._Residential!$E$5:$AD$5,0))*About!$A$33*About!$B$35</f>
        <v>33964973.73326318</v>
      </c>
      <c r="Z29">
        <f>INDEX(AEO26_Table_21._Residential!$E$6:$AD$92,MATCH($A29,AEO26_Table_21._Residential!$B$6:$B$92,0),MATCH(Z$4,AEO26_Table_21._Residential!$E$5:$AD$5,0))*About!$A$33*About!$B$35</f>
        <v>35538681.814215168</v>
      </c>
      <c r="AA29">
        <f>INDEX(AEO26_Table_21._Residential!$E$6:$AD$92,MATCH($A29,AEO26_Table_21._Residential!$B$6:$B$92,0),MATCH(AA$4,AEO26_Table_21._Residential!$E$5:$AD$5,0))*About!$A$33*About!$B$35</f>
        <v>37158454.753582127</v>
      </c>
      <c r="AB29">
        <f>INDEX(AEO26_Table_21._Residential!$E$6:$AD$92,MATCH($A29,AEO26_Table_21._Residential!$B$6:$B$92,0),MATCH(AB$4,AEO26_Table_21._Residential!$E$5:$AD$5,0))*About!$A$33*About!$B$35</f>
        <v>38845851.87857201</v>
      </c>
      <c r="AC29">
        <f>INDEX(AEO26_Table_21._Residential!$E$6:$AD$92,MATCH($A29,AEO26_Table_21._Residential!$B$6:$B$92,0),MATCH(AC$4,AEO26_Table_21._Residential!$E$5:$AD$5,0))*About!$A$33*About!$B$35</f>
        <v>40559959.60827329</v>
      </c>
      <c r="AD29">
        <f>INDEX(AEO26_Table_21._Residential!$E$6:$AD$92,MATCH($A29,AEO26_Table_21._Residential!$B$6:$B$92,0),MATCH(AD$4,AEO26_Table_21._Residential!$E$5:$AD$5,0))*About!$A$33*About!$B$35</f>
        <v>42335619.300331905</v>
      </c>
    </row>
    <row r="30" spans="1:30" x14ac:dyDescent="0.25">
      <c r="C30" t="s">
        <v>536</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537</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538</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539</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541</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542</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543</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544</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545</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81</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547</v>
      </c>
    </row>
    <row r="42" spans="1:43" x14ac:dyDescent="0.25">
      <c r="C42" s="1" t="s">
        <v>548</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527</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549</v>
      </c>
      <c r="B44" t="s">
        <v>203</v>
      </c>
      <c r="C44" t="s">
        <v>529</v>
      </c>
      <c r="D44">
        <f>INDEX(AEO25_Table_21._Residential!$F$77:$AG$80,MATCH($B44,AEO25_Table_21._Residential!$B$77:$B$80,0),MATCH(D$42,AEO25_Table_21._Residential!$F$5:$AG$5,0))*About!$A$32*About!$B$36</f>
        <v>1.4025661782562939</v>
      </c>
      <c r="E44">
        <f>INDEX(AEO26_Table_21._Residential!$E$6:$AD$92,MATCH($A44,AEO26_Table_21._Residential!$B$6:$B$92,0),MATCH(E$42,AEO26_Table_21._Residential!$E$5:$AD$5,0))*About!$A$32*About!$B$36</f>
        <v>0.41060633044604544</v>
      </c>
      <c r="F44">
        <f>INDEX(AEO26_Table_21._Residential!$E$6:$AD$92,MATCH($A44,AEO26_Table_21._Residential!$B$6:$B$92,0),MATCH(F$42,AEO26_Table_21._Residential!$E$5:$AD$5,0))*About!$A$32*About!$B$36</f>
        <v>0.89845543592649557</v>
      </c>
      <c r="G44">
        <f>INDEX(AEO26_Table_21._Residential!$E$6:$AD$92,MATCH($A44,AEO26_Table_21._Residential!$B$6:$B$92,0),MATCH(G$42,AEO26_Table_21._Residential!$E$5:$AD$5,0))*About!$A$32*About!$B$36</f>
        <v>1.3732952319274669</v>
      </c>
      <c r="H44">
        <f>INDEX(AEO26_Table_21._Residential!$E$6:$AD$92,MATCH($A44,AEO26_Table_21._Residential!$B$6:$B$92,0),MATCH(H$42,AEO26_Table_21._Residential!$E$5:$AD$5,0))*About!$A$32*About!$B$36</f>
        <v>1.3838652958795432</v>
      </c>
      <c r="I44">
        <f>INDEX(AEO26_Table_21._Residential!$E$6:$AD$92,MATCH($A44,AEO26_Table_21._Residential!$B$6:$B$92,0),MATCH(I$42,AEO26_Table_21._Residential!$E$5:$AD$5,0))*About!$A$32*About!$B$36</f>
        <v>1.3944353598316197</v>
      </c>
      <c r="J44">
        <f>INDEX(AEO26_Table_21._Residential!$E$6:$AD$92,MATCH($A44,AEO26_Table_21._Residential!$B$6:$B$92,0),MATCH(J$42,AEO26_Table_21._Residential!$E$5:$AD$5,0))*About!$A$32*About!$B$36</f>
        <v>2.0562839796000971</v>
      </c>
      <c r="K44">
        <f>INDEX(AEO26_Table_21._Residential!$E$6:$AD$92,MATCH($A44,AEO26_Table_21._Residential!$B$6:$B$92,0),MATCH(K$42,AEO26_Table_21._Residential!$E$5:$AD$5,0))*About!$A$32*About!$B$36</f>
        <v>2.9401039423621791</v>
      </c>
      <c r="L44">
        <f>INDEX(AEO26_Table_21._Residential!$E$6:$AD$92,MATCH($A44,AEO26_Table_21._Residential!$B$6:$B$92,0),MATCH(L$42,AEO26_Table_21._Residential!$E$5:$AD$5,0))*About!$A$32*About!$B$36</f>
        <v>3.8515686877681534</v>
      </c>
      <c r="M44">
        <f>INDEX(AEO26_Table_21._Residential!$E$6:$AD$92,MATCH($A44,AEO26_Table_21._Residential!$B$6:$B$92,0),MATCH(M$42,AEO26_Table_21._Residential!$E$5:$AD$5,0))*About!$A$32*About!$B$36</f>
        <v>4.5605760543997409</v>
      </c>
      <c r="N44">
        <f>INDEX(AEO26_Table_21._Residential!$E$6:$AD$92,MATCH($A44,AEO26_Table_21._Residential!$B$6:$B$92,0),MATCH(N$42,AEO26_Table_21._Residential!$E$5:$AD$5,0))*About!$A$32*About!$B$36</f>
        <v>5.449274508216627</v>
      </c>
      <c r="O44">
        <f>INDEX(AEO26_Table_21._Residential!$E$6:$AD$92,MATCH($A44,AEO26_Table_21._Residential!$B$6:$B$92,0),MATCH(O$42,AEO26_Table_21._Residential!$E$5:$AD$5,0))*About!$A$32*About!$B$36</f>
        <v>5.459844572168703</v>
      </c>
      <c r="P44">
        <f>INDEX(AEO26_Table_21._Residential!$E$6:$AD$92,MATCH($A44,AEO26_Table_21._Residential!$B$6:$B$92,0),MATCH(P$42,AEO26_Table_21._Residential!$E$5:$AD$5,0))*About!$A$32*About!$B$36</f>
        <v>5.4704146361207799</v>
      </c>
      <c r="Q44">
        <f>INDEX(AEO26_Table_21._Residential!$E$6:$AD$92,MATCH($A44,AEO26_Table_21._Residential!$B$6:$B$92,0),MATCH(Q$42,AEO26_Table_21._Residential!$E$5:$AD$5,0))*About!$A$32*About!$B$36</f>
        <v>5.480984700072856</v>
      </c>
      <c r="R44">
        <f>INDEX(AEO26_Table_21._Residential!$E$6:$AD$92,MATCH($A44,AEO26_Table_21._Residential!$B$6:$B$92,0),MATCH(R$42,AEO26_Table_21._Residential!$E$5:$AD$5,0))*About!$A$32*About!$B$36</f>
        <v>5.4915547640249329</v>
      </c>
      <c r="S44">
        <f>INDEX(AEO26_Table_21._Residential!$E$6:$AD$92,MATCH($A44,AEO26_Table_21._Residential!$B$6:$B$92,0),MATCH(S$42,AEO26_Table_21._Residential!$E$5:$AD$5,0))*About!$A$32*About!$B$36</f>
        <v>5.5029379098194759</v>
      </c>
      <c r="T44">
        <f>INDEX(AEO26_Table_21._Residential!$E$6:$AD$92,MATCH($A44,AEO26_Table_21._Residential!$B$6:$B$92,0),MATCH(T$42,AEO26_Table_21._Residential!$E$5:$AD$5,0))*About!$A$32*About!$B$36</f>
        <v>5.5143210556140208</v>
      </c>
      <c r="U44">
        <f>INDEX(AEO26_Table_21._Residential!$E$6:$AD$92,MATCH($A44,AEO26_Table_21._Residential!$B$6:$B$92,0),MATCH(U$42,AEO26_Table_21._Residential!$E$5:$AD$5,0))*About!$A$32*About!$B$36</f>
        <v>5.5273303650934995</v>
      </c>
      <c r="V44">
        <f>INDEX(AEO26_Table_21._Residential!$E$6:$AD$92,MATCH($A44,AEO26_Table_21._Residential!$B$6:$B$92,0),MATCH(V$42,AEO26_Table_21._Residential!$E$5:$AD$5,0))*About!$A$32*About!$B$36</f>
        <v>5.5444050837853149</v>
      </c>
      <c r="W44">
        <f>INDEX(AEO26_Table_21._Residential!$E$6:$AD$92,MATCH($A44,AEO26_Table_21._Residential!$B$6:$B$92,0),MATCH(W$42,AEO26_Table_21._Residential!$E$5:$AD$5,0))*About!$A$32*About!$B$36</f>
        <v>5.5679844572168697</v>
      </c>
      <c r="X44">
        <f>INDEX(AEO26_Table_21._Residential!$E$6:$AD$92,MATCH($A44,AEO26_Table_21._Residential!$B$6:$B$92,0),MATCH(X$42,AEO26_Table_21._Residential!$E$5:$AD$5,0))*About!$A$32*About!$B$36</f>
        <v>5.6053862219703712</v>
      </c>
      <c r="Y44">
        <f>INDEX(AEO26_Table_21._Residential!$E$6:$AD$92,MATCH($A44,AEO26_Table_21._Residential!$B$6:$B$92,0),MATCH(Y$42,AEO26_Table_21._Residential!$E$5:$AD$5,0))*About!$A$32*About!$B$36</f>
        <v>5.6696196875252971</v>
      </c>
      <c r="Z44">
        <f>INDEX(AEO26_Table_21._Residential!$E$6:$AD$92,MATCH($A44,AEO26_Table_21._Residential!$B$6:$B$92,0),MATCH(Z$42,AEO26_Table_21._Residential!$E$5:$AD$5,0))*About!$A$32*About!$B$36</f>
        <v>5.7818249817858005</v>
      </c>
      <c r="AA44">
        <f>INDEX(AEO26_Table_21._Residential!$E$6:$AD$92,MATCH($A44,AEO26_Table_21._Residential!$B$6:$B$92,0),MATCH(AA$42,AEO26_Table_21._Residential!$E$5:$AD$5,0))*About!$A$32*About!$B$36</f>
        <v>5.8940302760463048</v>
      </c>
      <c r="AB44">
        <f>INDEX(AEO26_Table_21._Residential!$E$6:$AD$92,MATCH($A44,AEO26_Table_21._Residential!$B$6:$B$92,0),MATCH(AB$42,AEO26_Table_21._Residential!$E$5:$AD$5,0))*About!$A$32*About!$B$36</f>
        <v>6.0070486521492752</v>
      </c>
      <c r="AC44">
        <f>INDEX(AEO26_Table_21._Residential!$E$6:$AD$92,MATCH($A44,AEO26_Table_21._Residential!$B$6:$B$92,0),MATCH(AC$42,AEO26_Table_21._Residential!$E$5:$AD$5,0))*About!$A$32*About!$B$36</f>
        <v>6.1208801100947134</v>
      </c>
      <c r="AD44">
        <f>INDEX(AEO26_Table_21._Residential!$E$6:$AD$92,MATCH($A44,AEO26_Table_21._Residential!$B$6:$B$92,0),MATCH(AD$42,AEO26_Table_21._Residential!$E$5:$AD$5,0))*About!$A$32*About!$B$36</f>
        <v>6.2355246498826196</v>
      </c>
    </row>
    <row r="45" spans="1:43" x14ac:dyDescent="0.25">
      <c r="C45" t="s">
        <v>530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550</v>
      </c>
      <c r="B47" t="s">
        <v>207</v>
      </c>
      <c r="C47" t="s">
        <v>533</v>
      </c>
      <c r="D47">
        <f>INDEX(AEO25_Table_21._Residential!$F$77:$AG$80,MATCH($B47,AEO25_Table_21._Residential!$B$77:$B$80,0),MATCH(D$42,AEO25_Table_21._Residential!$F$5:$AG$5,0))*About!$A$32*About!$B$36</f>
        <v>250.57474912976602</v>
      </c>
      <c r="E47">
        <f>INDEX(AEO26_Table_21._Residential!$E$6:$AD$92,MATCH($A47,AEO26_Table_21._Residential!$B$6:$B$92,0),MATCH(E$42,AEO26_Table_21._Residential!$E$5:$AD$5,0))*About!$A$32*About!$B$36</f>
        <v>131.09481162470655</v>
      </c>
      <c r="F47">
        <f>INDEX(AEO26_Table_21._Residential!$E$6:$AD$92,MATCH($A47,AEO26_Table_21._Residential!$B$6:$B$92,0),MATCH(F$42,AEO26_Table_21._Residential!$E$5:$AD$5,0))*About!$A$32*About!$B$36</f>
        <v>131.20376459159718</v>
      </c>
      <c r="G47">
        <f>INDEX(AEO26_Table_21._Residential!$E$6:$AD$92,MATCH($A47,AEO26_Table_21._Residential!$B$6:$B$92,0),MATCH(G$42,AEO26_Table_21._Residential!$E$5:$AD$5,0))*About!$A$32*About!$B$36</f>
        <v>131.33711001376184</v>
      </c>
      <c r="H47">
        <f>INDEX(AEO26_Table_21._Residential!$E$6:$AD$92,MATCH($A47,AEO26_Table_21._Residential!$B$6:$B$92,0),MATCH(H$42,AEO26_Table_21._Residential!$E$5:$AD$5,0))*About!$A$32*About!$B$36</f>
        <v>131.46882927224155</v>
      </c>
      <c r="I47">
        <f>INDEX(AEO26_Table_21._Residential!$E$6:$AD$92,MATCH($A47,AEO26_Table_21._Residential!$B$6:$B$92,0),MATCH(I$42,AEO26_Table_21._Residential!$E$5:$AD$5,0))*About!$A$32*About!$B$36</f>
        <v>131.68185671496801</v>
      </c>
      <c r="J47">
        <f>INDEX(AEO26_Table_21._Residential!$E$6:$AD$92,MATCH($A47,AEO26_Table_21._Residential!$B$6:$B$92,0),MATCH(J$42,AEO26_Table_21._Residential!$E$5:$AD$5,0))*About!$A$32*About!$B$36</f>
        <v>132.05262203513317</v>
      </c>
      <c r="K47">
        <f>INDEX(AEO26_Table_21._Residential!$E$6:$AD$92,MATCH($A47,AEO26_Table_21._Residential!$B$6:$B$92,0),MATCH(K$42,AEO26_Table_21._Residential!$E$5:$AD$5,0))*About!$A$32*About!$B$36</f>
        <v>132.72666688253864</v>
      </c>
      <c r="L47">
        <f>INDEX(AEO26_Table_21._Residential!$E$6:$AD$92,MATCH($A47,AEO26_Table_21._Residential!$B$6:$B$92,0),MATCH(L$42,AEO26_Table_21._Residential!$E$5:$AD$5,0))*About!$A$32*About!$B$36</f>
        <v>133.77960786853396</v>
      </c>
      <c r="M47">
        <f>INDEX(AEO26_Table_21._Residential!$E$6:$AD$92,MATCH($A47,AEO26_Table_21._Residential!$B$6:$B$92,0),MATCH(M$42,AEO26_Table_21._Residential!$E$5:$AD$5,0))*About!$A$32*About!$B$36</f>
        <v>135.40658463531125</v>
      </c>
      <c r="N47">
        <f>INDEX(AEO26_Table_21._Residential!$E$6:$AD$92,MATCH($A47,AEO26_Table_21._Residential!$B$6:$B$92,0),MATCH(N$42,AEO26_Table_21._Residential!$E$5:$AD$5,0))*About!$A$32*About!$B$36</f>
        <v>137.65150360236379</v>
      </c>
      <c r="O47">
        <f>INDEX(AEO26_Table_21._Residential!$E$6:$AD$92,MATCH($A47,AEO26_Table_21._Residential!$B$6:$B$92,0),MATCH(O$42,AEO26_Table_21._Residential!$E$5:$AD$5,0))*About!$A$32*About!$B$36</f>
        <v>140.33792600987613</v>
      </c>
      <c r="P47">
        <f>INDEX(AEO26_Table_21._Residential!$E$6:$AD$92,MATCH($A47,AEO26_Table_21._Residential!$B$6:$B$92,0),MATCH(P$42,AEO26_Table_21._Residential!$E$5:$AD$5,0))*About!$A$32*About!$B$36</f>
        <v>143.35527272727273</v>
      </c>
      <c r="Q47">
        <f>INDEX(AEO26_Table_21._Residential!$E$6:$AD$92,MATCH($A47,AEO26_Table_21._Residential!$B$6:$B$92,0),MATCH(Q$42,AEO26_Table_21._Residential!$E$5:$AD$5,0))*About!$A$32*About!$B$36</f>
        <v>146.70191759086862</v>
      </c>
      <c r="R47">
        <f>INDEX(AEO26_Table_21._Residential!$E$6:$AD$92,MATCH($A47,AEO26_Table_21._Residential!$B$6:$B$92,0),MATCH(R$42,AEO26_Table_21._Residential!$E$5:$AD$5,0))*About!$A$32*About!$B$36</f>
        <v>150.2176834776977</v>
      </c>
      <c r="S47">
        <f>INDEX(AEO26_Table_21._Residential!$E$6:$AD$92,MATCH($A47,AEO26_Table_21._Residential!$B$6:$B$92,0),MATCH(S$42,AEO26_Table_21._Residential!$E$5:$AD$5,0))*About!$A$32*About!$B$36</f>
        <v>153.8212622035133</v>
      </c>
      <c r="T47">
        <f>INDEX(AEO26_Table_21._Residential!$E$6:$AD$92,MATCH($A47,AEO26_Table_21._Residential!$B$6:$B$92,0),MATCH(T$42,AEO26_Table_21._Residential!$E$5:$AD$5,0))*About!$A$32*About!$B$36</f>
        <v>157.64274686311018</v>
      </c>
      <c r="U47">
        <f>INDEX(AEO26_Table_21._Residential!$E$6:$AD$92,MATCH($A47,AEO26_Table_21._Residential!$B$6:$B$92,0),MATCH(U$42,AEO26_Table_21._Residential!$E$5:$AD$5,0))*About!$A$32*About!$B$36</f>
        <v>161.90654804500929</v>
      </c>
      <c r="V47">
        <f>INDEX(AEO26_Table_21._Residential!$E$6:$AD$92,MATCH($A47,AEO26_Table_21._Residential!$B$6:$B$92,0),MATCH(V$42,AEO26_Table_21._Residential!$E$5:$AD$5,0))*About!$A$32*About!$B$36</f>
        <v>166.46143252651177</v>
      </c>
      <c r="W47">
        <f>INDEX(AEO26_Table_21._Residential!$E$6:$AD$92,MATCH($A47,AEO26_Table_21._Residential!$B$6:$B$92,0),MATCH(W$42,AEO26_Table_21._Residential!$E$5:$AD$5,0))*About!$A$32*About!$B$36</f>
        <v>171.16429790334331</v>
      </c>
      <c r="X47">
        <f>INDEX(AEO26_Table_21._Residential!$E$6:$AD$92,MATCH($A47,AEO26_Table_21._Residential!$B$6:$B$92,0),MATCH(X$42,AEO26_Table_21._Residential!$E$5:$AD$5,0))*About!$A$32*About!$B$36</f>
        <v>175.98343398364767</v>
      </c>
      <c r="Y47">
        <f>INDEX(AEO26_Table_21._Residential!$E$6:$AD$92,MATCH($A47,AEO26_Table_21._Residential!$B$6:$B$92,0),MATCH(Y$42,AEO26_Table_21._Residential!$E$5:$AD$5,0))*About!$A$32*About!$B$36</f>
        <v>180.96112102323323</v>
      </c>
      <c r="Z47">
        <f>INDEX(AEO26_Table_21._Residential!$E$6:$AD$92,MATCH($A47,AEO26_Table_21._Residential!$B$6:$B$92,0),MATCH(Z$42,AEO26_Table_21._Residential!$E$5:$AD$5,0))*About!$A$32*About!$B$36</f>
        <v>186.38193766696349</v>
      </c>
      <c r="AA47">
        <f>INDEX(AEO26_Table_21._Residential!$E$6:$AD$92,MATCH($A47,AEO26_Table_21._Residential!$B$6:$B$92,0),MATCH(AA$42,AEO26_Table_21._Residential!$E$5:$AD$5,0))*About!$A$32*About!$B$36</f>
        <v>192.00683785315306</v>
      </c>
      <c r="AB47">
        <f>INDEX(AEO26_Table_21._Residential!$E$6:$AD$92,MATCH($A47,AEO26_Table_21._Residential!$B$6:$B$92,0),MATCH(AB$42,AEO26_Table_21._Residential!$E$5:$AD$5,0))*About!$A$32*About!$B$36</f>
        <v>198.43587598154292</v>
      </c>
      <c r="AC47">
        <f>INDEX(AEO26_Table_21._Residential!$E$6:$AD$92,MATCH($A47,AEO26_Table_21._Residential!$B$6:$B$92,0),MATCH(AC$42,AEO26_Table_21._Residential!$E$5:$AD$5,0))*About!$A$32*About!$B$36</f>
        <v>204.93646531206994</v>
      </c>
      <c r="AD47">
        <f>INDEX(AEO26_Table_21._Residential!$E$6:$AD$92,MATCH($A47,AEO26_Table_21._Residential!$B$6:$B$92,0),MATCH(AD$42,AEO26_Table_21._Residential!$E$5:$AD$5,0))*About!$A$32*About!$B$36</f>
        <v>211.50616659920667</v>
      </c>
    </row>
    <row r="48" spans="1:43" x14ac:dyDescent="0.25">
      <c r="A48" t="s">
        <v>551</v>
      </c>
      <c r="B48" t="s">
        <v>205</v>
      </c>
      <c r="C48" t="s">
        <v>535</v>
      </c>
      <c r="D48">
        <f>INDEX(AEO25_Table_21._Residential!$F$77:$AG$80,MATCH($B48,AEO25_Table_21._Residential!$B$77:$B$80,0),MATCH(D$42,AEO25_Table_21._Residential!$F$5:$AG$5,0))*About!$A$32*About!$B$36</f>
        <v>33586.644085485314</v>
      </c>
      <c r="E48">
        <f>INDEX(AEO26_Table_21._Residential!$E$6:$AD$92,MATCH($A48,AEO26_Table_21._Residential!$B$6:$B$92,0),MATCH(E$42,AEO26_Table_21._Residential!$E$5:$AD$5,0))*About!$A$32*About!$B$36</f>
        <v>36072.861350926898</v>
      </c>
      <c r="F48">
        <f>INDEX(AEO26_Table_21._Residential!$E$6:$AD$92,MATCH($A48,AEO26_Table_21._Residential!$B$6:$B$92,0),MATCH(F$42,AEO26_Table_21._Residential!$E$5:$AD$5,0))*About!$A$32*About!$B$36</f>
        <v>38259.984834453164</v>
      </c>
      <c r="G48">
        <f>INDEX(AEO26_Table_21._Residential!$E$6:$AD$92,MATCH($A48,AEO26_Table_21._Residential!$B$6:$B$92,0),MATCH(G$42,AEO26_Table_21._Residential!$E$5:$AD$5,0))*About!$A$32*About!$B$36</f>
        <v>40727.440236379822</v>
      </c>
      <c r="H48">
        <f>INDEX(AEO26_Table_21._Residential!$E$6:$AD$92,MATCH($A48,AEO26_Table_21._Residential!$B$6:$B$92,0),MATCH(H$42,AEO26_Table_21._Residential!$E$5:$AD$5,0))*About!$A$32*About!$B$36</f>
        <v>43279.974083056746</v>
      </c>
      <c r="I48">
        <f>INDEX(AEO26_Table_21._Residential!$E$6:$AD$92,MATCH($A48,AEO26_Table_21._Residential!$B$6:$B$92,0),MATCH(I$42,AEO26_Table_21._Residential!$E$5:$AD$5,0))*About!$A$32*About!$B$36</f>
        <v>45677.105223346553</v>
      </c>
      <c r="J48">
        <f>INDEX(AEO26_Table_21._Residential!$E$6:$AD$92,MATCH($A48,AEO26_Table_21._Residential!$B$6:$B$92,0),MATCH(J$42,AEO26_Table_21._Residential!$E$5:$AD$5,0))*About!$A$32*About!$B$36</f>
        <v>48200.653515421349</v>
      </c>
      <c r="K48">
        <f>INDEX(AEO26_Table_21._Residential!$E$6:$AD$92,MATCH($A48,AEO26_Table_21._Residential!$B$6:$B$92,0),MATCH(K$42,AEO26_Table_21._Residential!$E$5:$AD$5,0))*About!$A$32*About!$B$36</f>
        <v>50934.882696025255</v>
      </c>
      <c r="L48">
        <f>INDEX(AEO26_Table_21._Residential!$E$6:$AD$92,MATCH($A48,AEO26_Table_21._Residential!$B$6:$B$92,0),MATCH(L$42,AEO26_Table_21._Residential!$E$5:$AD$5,0))*About!$A$32*About!$B$36</f>
        <v>53663.724396340971</v>
      </c>
      <c r="M48">
        <f>INDEX(AEO26_Table_21._Residential!$E$6:$AD$92,MATCH($A48,AEO26_Table_21._Residential!$B$6:$B$92,0),MATCH(M$42,AEO26_Table_21._Residential!$E$5:$AD$5,0))*About!$A$32*About!$B$36</f>
        <v>56531.886044199789</v>
      </c>
      <c r="N48">
        <f>INDEX(AEO26_Table_21._Residential!$E$6:$AD$92,MATCH($A48,AEO26_Table_21._Residential!$B$6:$B$92,0),MATCH(N$42,AEO26_Table_21._Residential!$E$5:$AD$5,0))*About!$A$32*About!$B$36</f>
        <v>59575.347324212737</v>
      </c>
      <c r="O48">
        <f>INDEX(AEO26_Table_21._Residential!$E$6:$AD$92,MATCH($A48,AEO26_Table_21._Residential!$B$6:$B$92,0),MATCH(O$42,AEO26_Table_21._Residential!$E$5:$AD$5,0))*About!$A$32*About!$B$36</f>
        <v>62828.816260989224</v>
      </c>
      <c r="P48">
        <f>INDEX(AEO26_Table_21._Residential!$E$6:$AD$92,MATCH($A48,AEO26_Table_21._Residential!$B$6:$B$92,0),MATCH(P$42,AEO26_Table_21._Residential!$E$5:$AD$5,0))*About!$A$32*About!$B$36</f>
        <v>66242.132209503761</v>
      </c>
      <c r="Q48">
        <f>INDEX(AEO26_Table_21._Residential!$E$6:$AD$92,MATCH($A48,AEO26_Table_21._Residential!$B$6:$B$92,0),MATCH(Q$42,AEO26_Table_21._Residential!$E$5:$AD$5,0))*About!$A$32*About!$B$36</f>
        <v>69907.185614182774</v>
      </c>
      <c r="R48">
        <f>INDEX(AEO26_Table_21._Residential!$E$6:$AD$92,MATCH($A48,AEO26_Table_21._Residential!$B$6:$B$92,0),MATCH(R$42,AEO26_Table_21._Residential!$E$5:$AD$5,0))*About!$A$32*About!$B$36</f>
        <v>73746.942662025409</v>
      </c>
      <c r="S48">
        <f>INDEX(AEO26_Table_21._Residential!$E$6:$AD$92,MATCH($A48,AEO26_Table_21._Residential!$B$6:$B$92,0),MATCH(S$42,AEO26_Table_21._Residential!$E$5:$AD$5,0))*About!$A$32*About!$B$36</f>
        <v>77794.55432591273</v>
      </c>
      <c r="T48">
        <f>INDEX(AEO26_Table_21._Residential!$E$6:$AD$92,MATCH($A48,AEO26_Table_21._Residential!$B$6:$B$92,0),MATCH(T$42,AEO26_Table_21._Residential!$E$5:$AD$5,0))*About!$A$32*About!$B$36</f>
        <v>81990.716855500679</v>
      </c>
      <c r="U48">
        <f>INDEX(AEO26_Table_21._Residential!$E$6:$AD$92,MATCH($A48,AEO26_Table_21._Residential!$B$6:$B$92,0),MATCH(U$42,AEO26_Table_21._Residential!$E$5:$AD$5,0))*About!$A$32*About!$B$36</f>
        <v>86364.605253460701</v>
      </c>
      <c r="V48">
        <f>INDEX(AEO26_Table_21._Residential!$E$6:$AD$92,MATCH($A48,AEO26_Table_21._Residential!$B$6:$B$92,0),MATCH(V$42,AEO26_Table_21._Residential!$E$5:$AD$5,0))*About!$A$32*About!$B$36</f>
        <v>90868.614390998133</v>
      </c>
      <c r="W48">
        <f>INDEX(AEO26_Table_21._Residential!$E$6:$AD$92,MATCH($A48,AEO26_Table_21._Residential!$B$6:$B$92,0),MATCH(W$42,AEO26_Table_21._Residential!$E$5:$AD$5,0))*About!$A$32*About!$B$36</f>
        <v>95514.394104751875</v>
      </c>
      <c r="X48">
        <f>INDEX(AEO26_Table_21._Residential!$E$6:$AD$92,MATCH($A48,AEO26_Table_21._Residential!$B$6:$B$92,0),MATCH(X$42,AEO26_Table_21._Residential!$E$5:$AD$5,0))*About!$A$32*About!$B$36</f>
        <v>100341.03086505302</v>
      </c>
      <c r="Y48">
        <f>INDEX(AEO26_Table_21._Residential!$E$6:$AD$92,MATCH($A48,AEO26_Table_21._Residential!$B$6:$B$92,0),MATCH(Y$42,AEO26_Table_21._Residential!$E$5:$AD$5,0))*About!$A$32*About!$B$36</f>
        <v>105287.69639310289</v>
      </c>
      <c r="Z48">
        <f>INDEX(AEO26_Table_21._Residential!$E$6:$AD$92,MATCH($A48,AEO26_Table_21._Residential!$B$6:$B$92,0),MATCH(Z$42,AEO26_Table_21._Residential!$E$5:$AD$5,0))*About!$A$32*About!$B$36</f>
        <v>110385.40081729133</v>
      </c>
      <c r="AA48">
        <f>INDEX(AEO26_Table_21._Residential!$E$6:$AD$92,MATCH($A48,AEO26_Table_21._Residential!$B$6:$B$92,0),MATCH(AA$42,AEO26_Table_21._Residential!$E$5:$AD$5,0))*About!$A$32*About!$B$36</f>
        <v>115640.48292366226</v>
      </c>
      <c r="AB48">
        <f>INDEX(AEO26_Table_21._Residential!$E$6:$AD$92,MATCH($A48,AEO26_Table_21._Residential!$B$6:$B$92,0),MATCH(AB$42,AEO26_Table_21._Residential!$E$5:$AD$5,0))*About!$A$32*About!$B$36</f>
        <v>121126.73883331985</v>
      </c>
      <c r="AC48">
        <f>INDEX(AEO26_Table_21._Residential!$E$6:$AD$92,MATCH($A48,AEO26_Table_21._Residential!$B$6:$B$92,0),MATCH(AC$42,AEO26_Table_21._Residential!$E$5:$AD$5,0))*About!$A$32*About!$B$36</f>
        <v>126714.16976896301</v>
      </c>
      <c r="AD48">
        <f>INDEX(AEO26_Table_21._Residential!$E$6:$AD$92,MATCH($A48,AEO26_Table_21._Residential!$B$6:$B$92,0),MATCH(AD$42,AEO26_Table_21._Residential!$E$5:$AD$5,0))*About!$A$32*About!$B$36</f>
        <v>132502.56445203593</v>
      </c>
    </row>
    <row r="49" spans="1:30" x14ac:dyDescent="0.25">
      <c r="C49" t="s">
        <v>536</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537</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538</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539</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542</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543</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544</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545</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552</v>
      </c>
    </row>
    <row r="61" spans="1:30" x14ac:dyDescent="0.25">
      <c r="C61" s="1" t="s">
        <v>548</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527</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549</v>
      </c>
      <c r="B63" t="s">
        <v>203</v>
      </c>
      <c r="C63" t="s">
        <v>529</v>
      </c>
      <c r="D63">
        <f>INDEX(AEO25_Table_21._Residential!$F$77:$AG$80,MATCH($B63,AEO25_Table_21._Residential!$B$77:$B$80,0),MATCH(D$42,AEO25_Table_21._Residential!$F$5:$AG$5,0))*About!$A$33*About!$B$36</f>
        <v>0.32243382174370594</v>
      </c>
      <c r="E63">
        <f>INDEX(AEO26_Table_21._Residential!$E$6:$AD$92,MATCH($A63,AEO26_Table_21._Residential!$B$6:$B$92,0),MATCH(E$42,AEO26_Table_21._Residential!$E$5:$AD$5,0))*About!$A$33*About!$B$36</f>
        <v>9.4393669553954507E-2</v>
      </c>
      <c r="F63">
        <f>INDEX(AEO26_Table_21._Residential!$E$6:$AD$92,MATCH($A63,AEO26_Table_21._Residential!$B$6:$B$92,0),MATCH(F$42,AEO26_Table_21._Residential!$E$5:$AD$5,0))*About!$A$33*About!$B$36</f>
        <v>0.20654456407350441</v>
      </c>
      <c r="G63">
        <f>INDEX(AEO26_Table_21._Residential!$E$6:$AD$92,MATCH($A63,AEO26_Table_21._Residential!$B$6:$B$92,0),MATCH(G$42,AEO26_Table_21._Residential!$E$5:$AD$5,0))*About!$A$33*About!$B$36</f>
        <v>0.31570476807253295</v>
      </c>
      <c r="H63">
        <f>INDEX(AEO26_Table_21._Residential!$E$6:$AD$92,MATCH($A63,AEO26_Table_21._Residential!$B$6:$B$92,0),MATCH(H$42,AEO26_Table_21._Residential!$E$5:$AD$5,0))*About!$A$33*About!$B$36</f>
        <v>0.31813470412045658</v>
      </c>
      <c r="I63">
        <f>INDEX(AEO26_Table_21._Residential!$E$6:$AD$92,MATCH($A63,AEO26_Table_21._Residential!$B$6:$B$92,0),MATCH(I$42,AEO26_Table_21._Residential!$E$5:$AD$5,0))*About!$A$33*About!$B$36</f>
        <v>0.32056464016838015</v>
      </c>
      <c r="J63">
        <f>INDEX(AEO26_Table_21._Residential!$E$6:$AD$92,MATCH($A63,AEO26_Table_21._Residential!$B$6:$B$92,0),MATCH(J$42,AEO26_Table_21._Residential!$E$5:$AD$5,0))*About!$A$33*About!$B$36</f>
        <v>0.47271602039990285</v>
      </c>
      <c r="K63">
        <f>INDEX(AEO26_Table_21._Residential!$E$6:$AD$92,MATCH($A63,AEO26_Table_21._Residential!$B$6:$B$92,0),MATCH(K$42,AEO26_Table_21._Residential!$E$5:$AD$5,0))*About!$A$33*About!$B$36</f>
        <v>0.67589605763782079</v>
      </c>
      <c r="L63">
        <f>INDEX(AEO26_Table_21._Residential!$E$6:$AD$92,MATCH($A63,AEO26_Table_21._Residential!$B$6:$B$92,0),MATCH(L$42,AEO26_Table_21._Residential!$E$5:$AD$5,0))*About!$A$33*About!$B$36</f>
        <v>0.88543131223184646</v>
      </c>
      <c r="M63">
        <f>INDEX(AEO26_Table_21._Residential!$E$6:$AD$92,MATCH($A63,AEO26_Table_21._Residential!$B$6:$B$92,0),MATCH(M$42,AEO26_Table_21._Residential!$E$5:$AD$5,0))*About!$A$33*About!$B$36</f>
        <v>1.0484239456002591</v>
      </c>
      <c r="N63">
        <f>INDEX(AEO26_Table_21._Residential!$E$6:$AD$92,MATCH($A63,AEO26_Table_21._Residential!$B$6:$B$92,0),MATCH(N$42,AEO26_Table_21._Residential!$E$5:$AD$5,0))*About!$A$33*About!$B$36</f>
        <v>1.2527254917833723</v>
      </c>
      <c r="O63">
        <f>INDEX(AEO26_Table_21._Residential!$E$6:$AD$92,MATCH($A63,AEO26_Table_21._Residential!$B$6:$B$92,0),MATCH(O$42,AEO26_Table_21._Residential!$E$5:$AD$5,0))*About!$A$33*About!$B$36</f>
        <v>1.255155427831296</v>
      </c>
      <c r="P63">
        <f>INDEX(AEO26_Table_21._Residential!$E$6:$AD$92,MATCH($A63,AEO26_Table_21._Residential!$B$6:$B$92,0),MATCH(P$42,AEO26_Table_21._Residential!$E$5:$AD$5,0))*About!$A$33*About!$B$36</f>
        <v>1.2575853638792196</v>
      </c>
      <c r="Q63">
        <f>INDEX(AEO26_Table_21._Residential!$E$6:$AD$92,MATCH($A63,AEO26_Table_21._Residential!$B$6:$B$92,0),MATCH(Q$42,AEO26_Table_21._Residential!$E$5:$AD$5,0))*About!$A$33*About!$B$36</f>
        <v>1.2600152999271432</v>
      </c>
      <c r="R63">
        <f>INDEX(AEO26_Table_21._Residential!$E$6:$AD$92,MATCH($A63,AEO26_Table_21._Residential!$B$6:$B$92,0),MATCH(R$42,AEO26_Table_21._Residential!$E$5:$AD$5,0))*About!$A$33*About!$B$36</f>
        <v>1.2624452359750666</v>
      </c>
      <c r="S63">
        <f>INDEX(AEO26_Table_21._Residential!$E$6:$AD$92,MATCH($A63,AEO26_Table_21._Residential!$B$6:$B$92,0),MATCH(S$42,AEO26_Table_21._Residential!$E$5:$AD$5,0))*About!$A$33*About!$B$36</f>
        <v>1.265062090180523</v>
      </c>
      <c r="T63">
        <f>INDEX(AEO26_Table_21._Residential!$E$6:$AD$92,MATCH($A63,AEO26_Table_21._Residential!$B$6:$B$92,0),MATCH(T$42,AEO26_Table_21._Residential!$E$5:$AD$5,0))*About!$A$33*About!$B$36</f>
        <v>1.2676789443859791</v>
      </c>
      <c r="U63">
        <f>INDEX(AEO26_Table_21._Residential!$E$6:$AD$92,MATCH($A63,AEO26_Table_21._Residential!$B$6:$B$92,0),MATCH(U$42,AEO26_Table_21._Residential!$E$5:$AD$5,0))*About!$A$33*About!$B$36</f>
        <v>1.2706696349065005</v>
      </c>
      <c r="V63">
        <f>INDEX(AEO26_Table_21._Residential!$E$6:$AD$92,MATCH($A63,AEO26_Table_21._Residential!$B$6:$B$92,0),MATCH(V$42,AEO26_Table_21._Residential!$E$5:$AD$5,0))*About!$A$33*About!$B$36</f>
        <v>1.2745949162146848</v>
      </c>
      <c r="W63">
        <f>INDEX(AEO26_Table_21._Residential!$E$6:$AD$92,MATCH($A63,AEO26_Table_21._Residential!$B$6:$B$92,0),MATCH(W$42,AEO26_Table_21._Residential!$E$5:$AD$5,0))*About!$A$33*About!$B$36</f>
        <v>1.2800155427831297</v>
      </c>
      <c r="X63">
        <f>INDEX(AEO26_Table_21._Residential!$E$6:$AD$92,MATCH($A63,AEO26_Table_21._Residential!$B$6:$B$92,0),MATCH(X$42,AEO26_Table_21._Residential!$E$5:$AD$5,0))*About!$A$33*About!$B$36</f>
        <v>1.2886137780296285</v>
      </c>
      <c r="Y63">
        <f>INDEX(AEO26_Table_21._Residential!$E$6:$AD$92,MATCH($A63,AEO26_Table_21._Residential!$B$6:$B$92,0),MATCH(Y$42,AEO26_Table_21._Residential!$E$5:$AD$5,0))*About!$A$33*About!$B$36</f>
        <v>1.3033803124747023</v>
      </c>
      <c r="Z63">
        <f>INDEX(AEO26_Table_21._Residential!$E$6:$AD$92,MATCH($A63,AEO26_Table_21._Residential!$B$6:$B$92,0),MATCH(Z$42,AEO26_Table_21._Residential!$E$5:$AD$5,0))*About!$A$33*About!$B$36</f>
        <v>1.329175018214199</v>
      </c>
      <c r="AA63">
        <f>INDEX(AEO26_Table_21._Residential!$E$6:$AD$92,MATCH($A63,AEO26_Table_21._Residential!$B$6:$B$92,0),MATCH(AA$42,AEO26_Table_21._Residential!$E$5:$AD$5,0))*About!$A$33*About!$B$36</f>
        <v>1.3549697239536955</v>
      </c>
      <c r="AB63">
        <f>INDEX(AEO26_Table_21._Residential!$E$6:$AD$92,MATCH($A63,AEO26_Table_21._Residential!$B$6:$B$92,0),MATCH(AB$42,AEO26_Table_21._Residential!$E$5:$AD$5,0))*About!$A$33*About!$B$36</f>
        <v>1.3809513478507245</v>
      </c>
      <c r="AC63">
        <f>INDEX(AEO26_Table_21._Residential!$E$6:$AD$92,MATCH($A63,AEO26_Table_21._Residential!$B$6:$B$92,0),MATCH(AC$42,AEO26_Table_21._Residential!$E$5:$AD$5,0))*About!$A$33*About!$B$36</f>
        <v>1.4071198899052861</v>
      </c>
      <c r="AD63">
        <f>INDEX(AEO26_Table_21._Residential!$E$6:$AD$92,MATCH($A63,AEO26_Table_21._Residential!$B$6:$B$92,0),MATCH(AD$42,AEO26_Table_21._Residential!$E$5:$AD$5,0))*About!$A$33*About!$B$36</f>
        <v>1.4334753501173803</v>
      </c>
    </row>
    <row r="64" spans="1:30" x14ac:dyDescent="0.25">
      <c r="C64" t="s">
        <v>530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531</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550</v>
      </c>
      <c r="B66" t="s">
        <v>207</v>
      </c>
      <c r="C66" t="s">
        <v>533</v>
      </c>
      <c r="D66">
        <f>INDEX(AEO25_Table_21._Residential!$F$77:$AG$80,MATCH($B66,AEO25_Table_21._Residential!$B$77:$B$80,0),MATCH(D$42,AEO25_Table_21._Residential!$F$5:$AG$5,0))*About!$A$33*About!$B$36</f>
        <v>57.60425087023394</v>
      </c>
      <c r="E66">
        <f>INDEX(AEO26_Table_21._Residential!$E$6:$AD$92,MATCH($A66,AEO26_Table_21._Residential!$B$6:$B$92,0),MATCH(E$42,AEO26_Table_21._Residential!$E$5:$AD$5,0))*About!$A$33*About!$B$36</f>
        <v>30.137188375293448</v>
      </c>
      <c r="F66">
        <f>INDEX(AEO26_Table_21._Residential!$E$6:$AD$92,MATCH($A66,AEO26_Table_21._Residential!$B$6:$B$92,0),MATCH(F$42,AEO26_Table_21._Residential!$E$5:$AD$5,0))*About!$A$33*About!$B$36</f>
        <v>30.162235408402818</v>
      </c>
      <c r="G66">
        <f>INDEX(AEO26_Table_21._Residential!$E$6:$AD$92,MATCH($A66,AEO26_Table_21._Residential!$B$6:$B$92,0),MATCH(G$42,AEO26_Table_21._Residential!$E$5:$AD$5,0))*About!$A$33*About!$B$36</f>
        <v>30.192889986238161</v>
      </c>
      <c r="H66">
        <f>INDEX(AEO26_Table_21._Residential!$E$6:$AD$92,MATCH($A66,AEO26_Table_21._Residential!$B$6:$B$92,0),MATCH(H$42,AEO26_Table_21._Residential!$E$5:$AD$5,0))*About!$A$33*About!$B$36</f>
        <v>30.223170727758436</v>
      </c>
      <c r="I66">
        <f>INDEX(AEO26_Table_21._Residential!$E$6:$AD$92,MATCH($A66,AEO26_Table_21._Residential!$B$6:$B$92,0),MATCH(I$42,AEO26_Table_21._Residential!$E$5:$AD$5,0))*About!$A$33*About!$B$36</f>
        <v>30.272143285031973</v>
      </c>
      <c r="J66">
        <f>INDEX(AEO26_Table_21._Residential!$E$6:$AD$92,MATCH($A66,AEO26_Table_21._Residential!$B$6:$B$92,0),MATCH(J$42,AEO26_Table_21._Residential!$E$5:$AD$5,0))*About!$A$33*About!$B$36</f>
        <v>30.357377964866835</v>
      </c>
      <c r="K66">
        <f>INDEX(AEO26_Table_21._Residential!$E$6:$AD$92,MATCH($A66,AEO26_Table_21._Residential!$B$6:$B$92,0),MATCH(K$42,AEO26_Table_21._Residential!$E$5:$AD$5,0))*About!$A$33*About!$B$36</f>
        <v>30.512333117461345</v>
      </c>
      <c r="L66">
        <f>INDEX(AEO26_Table_21._Residential!$E$6:$AD$92,MATCH($A66,AEO26_Table_21._Residential!$B$6:$B$92,0),MATCH(L$42,AEO26_Table_21._Residential!$E$5:$AD$5,0))*About!$A$33*About!$B$36</f>
        <v>30.754392131466041</v>
      </c>
      <c r="M66">
        <f>INDEX(AEO26_Table_21._Residential!$E$6:$AD$92,MATCH($A66,AEO26_Table_21._Residential!$B$6:$B$92,0),MATCH(M$42,AEO26_Table_21._Residential!$E$5:$AD$5,0))*About!$A$33*About!$B$36</f>
        <v>31.128415364688738</v>
      </c>
      <c r="N66">
        <f>INDEX(AEO26_Table_21._Residential!$E$6:$AD$92,MATCH($A66,AEO26_Table_21._Residential!$B$6:$B$92,0),MATCH(N$42,AEO26_Table_21._Residential!$E$5:$AD$5,0))*About!$A$33*About!$B$36</f>
        <v>31.644496397636203</v>
      </c>
      <c r="O66">
        <f>INDEX(AEO26_Table_21._Residential!$E$6:$AD$92,MATCH($A66,AEO26_Table_21._Residential!$B$6:$B$92,0),MATCH(O$42,AEO26_Table_21._Residential!$E$5:$AD$5,0))*About!$A$33*About!$B$36</f>
        <v>32.262073990123852</v>
      </c>
      <c r="P66">
        <f>INDEX(AEO26_Table_21._Residential!$E$6:$AD$92,MATCH($A66,AEO26_Table_21._Residential!$B$6:$B$92,0),MATCH(P$42,AEO26_Table_21._Residential!$E$5:$AD$5,0))*About!$A$33*About!$B$36</f>
        <v>32.955727272727266</v>
      </c>
      <c r="Q66">
        <f>INDEX(AEO26_Table_21._Residential!$E$6:$AD$92,MATCH($A66,AEO26_Table_21._Residential!$B$6:$B$92,0),MATCH(Q$42,AEO26_Table_21._Residential!$E$5:$AD$5,0))*About!$A$33*About!$B$36</f>
        <v>33.725082409131382</v>
      </c>
      <c r="R66">
        <f>INDEX(AEO26_Table_21._Residential!$E$6:$AD$92,MATCH($A66,AEO26_Table_21._Residential!$B$6:$B$92,0),MATCH(R$42,AEO26_Table_21._Residential!$E$5:$AD$5,0))*About!$A$33*About!$B$36</f>
        <v>34.533316522302272</v>
      </c>
      <c r="S66">
        <f>INDEX(AEO26_Table_21._Residential!$E$6:$AD$92,MATCH($A66,AEO26_Table_21._Residential!$B$6:$B$92,0),MATCH(S$42,AEO26_Table_21._Residential!$E$5:$AD$5,0))*About!$A$33*About!$B$36</f>
        <v>35.361737796486679</v>
      </c>
      <c r="T66">
        <f>INDEX(AEO26_Table_21._Residential!$E$6:$AD$92,MATCH($A66,AEO26_Table_21._Residential!$B$6:$B$92,0),MATCH(T$42,AEO26_Table_21._Residential!$E$5:$AD$5,0))*About!$A$33*About!$B$36</f>
        <v>36.240253136889827</v>
      </c>
      <c r="U66">
        <f>INDEX(AEO26_Table_21._Residential!$E$6:$AD$92,MATCH($A66,AEO26_Table_21._Residential!$B$6:$B$92,0),MATCH(U$42,AEO26_Table_21._Residential!$E$5:$AD$5,0))*About!$A$33*About!$B$36</f>
        <v>37.220451954990693</v>
      </c>
      <c r="V66">
        <f>INDEX(AEO26_Table_21._Residential!$E$6:$AD$92,MATCH($A66,AEO26_Table_21._Residential!$B$6:$B$92,0),MATCH(V$42,AEO26_Table_21._Residential!$E$5:$AD$5,0))*About!$A$33*About!$B$36</f>
        <v>38.267567473488214</v>
      </c>
      <c r="W66">
        <f>INDEX(AEO26_Table_21._Residential!$E$6:$AD$92,MATCH($A66,AEO26_Table_21._Residential!$B$6:$B$92,0),MATCH(W$42,AEO26_Table_21._Residential!$E$5:$AD$5,0))*About!$A$33*About!$B$36</f>
        <v>39.34870209665668</v>
      </c>
      <c r="X66">
        <f>INDEX(AEO26_Table_21._Residential!$E$6:$AD$92,MATCH($A66,AEO26_Table_21._Residential!$B$6:$B$92,0),MATCH(X$42,AEO26_Table_21._Residential!$E$5:$AD$5,0))*About!$A$33*About!$B$36</f>
        <v>40.456566016352298</v>
      </c>
      <c r="Y66">
        <f>INDEX(AEO26_Table_21._Residential!$E$6:$AD$92,MATCH($A66,AEO26_Table_21._Residential!$B$6:$B$92,0),MATCH(Y$42,AEO26_Table_21._Residential!$E$5:$AD$5,0))*About!$A$33*About!$B$36</f>
        <v>41.600878976766779</v>
      </c>
      <c r="Z66">
        <f>INDEX(AEO26_Table_21._Residential!$E$6:$AD$92,MATCH($A66,AEO26_Table_21._Residential!$B$6:$B$92,0),MATCH(Z$42,AEO26_Table_21._Residential!$E$5:$AD$5,0))*About!$A$33*About!$B$36</f>
        <v>42.847062333036504</v>
      </c>
      <c r="AA66">
        <f>INDEX(AEO26_Table_21._Residential!$E$6:$AD$92,MATCH($A66,AEO26_Table_21._Residential!$B$6:$B$92,0),MATCH(AA$42,AEO26_Table_21._Residential!$E$5:$AD$5,0))*About!$A$33*About!$B$36</f>
        <v>44.140162146846919</v>
      </c>
      <c r="AB66">
        <f>INDEX(AEO26_Table_21._Residential!$E$6:$AD$92,MATCH($A66,AEO26_Table_21._Residential!$B$6:$B$92,0),MATCH(AB$42,AEO26_Table_21._Residential!$E$5:$AD$5,0))*About!$A$33*About!$B$36</f>
        <v>45.618124018457053</v>
      </c>
      <c r="AC66">
        <f>INDEX(AEO26_Table_21._Residential!$E$6:$AD$92,MATCH($A66,AEO26_Table_21._Residential!$B$6:$B$92,0),MATCH(AC$42,AEO26_Table_21._Residential!$E$5:$AD$5,0))*About!$A$33*About!$B$36</f>
        <v>47.112534687930058</v>
      </c>
      <c r="AD66">
        <f>INDEX(AEO26_Table_21._Residential!$E$6:$AD$92,MATCH($A66,AEO26_Table_21._Residential!$B$6:$B$92,0),MATCH(AD$42,AEO26_Table_21._Residential!$E$5:$AD$5,0))*About!$A$33*About!$B$36</f>
        <v>48.622833400793326</v>
      </c>
    </row>
    <row r="67" spans="1:43" x14ac:dyDescent="0.25">
      <c r="A67" t="s">
        <v>551</v>
      </c>
      <c r="B67" t="s">
        <v>205</v>
      </c>
      <c r="C67" t="s">
        <v>535</v>
      </c>
      <c r="D67">
        <f>INDEX(AEO25_Table_21._Residential!$F$77:$AG$80,MATCH($B67,AEO25_Table_21._Residential!$B$77:$B$80,0),MATCH(D$42,AEO25_Table_21._Residential!$F$5:$AG$5,0))*About!$A$33*About!$B$36</f>
        <v>7721.182914514693</v>
      </c>
      <c r="E67">
        <f>INDEX(AEO26_Table_21._Residential!$E$6:$AD$92,MATCH($A67,AEO26_Table_21._Residential!$B$6:$B$92,0),MATCH(E$42,AEO26_Table_21._Residential!$E$5:$AD$5,0))*About!$A$33*About!$B$36</f>
        <v>8292.7356490730999</v>
      </c>
      <c r="F67">
        <f>INDEX(AEO26_Table_21._Residential!$E$6:$AD$92,MATCH($A67,AEO26_Table_21._Residential!$B$6:$B$92,0),MATCH(F$42,AEO26_Table_21._Residential!$E$5:$AD$5,0))*About!$A$33*About!$B$36</f>
        <v>8795.5301655468302</v>
      </c>
      <c r="G67">
        <f>INDEX(AEO26_Table_21._Residential!$E$6:$AD$92,MATCH($A67,AEO26_Table_21._Residential!$B$6:$B$92,0),MATCH(G$42,AEO26_Table_21._Residential!$E$5:$AD$5,0))*About!$A$33*About!$B$36</f>
        <v>9362.7697636201738</v>
      </c>
      <c r="H67">
        <f>INDEX(AEO26_Table_21._Residential!$E$6:$AD$92,MATCH($A67,AEO26_Table_21._Residential!$B$6:$B$92,0),MATCH(H$42,AEO26_Table_21._Residential!$E$5:$AD$5,0))*About!$A$33*About!$B$36</f>
        <v>9949.5679169432515</v>
      </c>
      <c r="I67">
        <f>INDEX(AEO26_Table_21._Residential!$E$6:$AD$92,MATCH($A67,AEO26_Table_21._Residential!$B$6:$B$92,0),MATCH(I$42,AEO26_Table_21._Residential!$E$5:$AD$5,0))*About!$A$33*About!$B$36</f>
        <v>10500.640776653445</v>
      </c>
      <c r="J67">
        <f>INDEX(AEO26_Table_21._Residential!$E$6:$AD$92,MATCH($A67,AEO26_Table_21._Residential!$B$6:$B$92,0),MATCH(J$42,AEO26_Table_21._Residential!$E$5:$AD$5,0))*About!$A$33*About!$B$36</f>
        <v>11080.775484578644</v>
      </c>
      <c r="K67">
        <f>INDEX(AEO26_Table_21._Residential!$E$6:$AD$92,MATCH($A67,AEO26_Table_21._Residential!$B$6:$B$92,0),MATCH(K$42,AEO26_Table_21._Residential!$E$5:$AD$5,0))*About!$A$33*About!$B$36</f>
        <v>11709.343303974743</v>
      </c>
      <c r="L67">
        <f>INDEX(AEO26_Table_21._Residential!$E$6:$AD$92,MATCH($A67,AEO26_Table_21._Residential!$B$6:$B$92,0),MATCH(L$42,AEO26_Table_21._Residential!$E$5:$AD$5,0))*About!$A$33*About!$B$36</f>
        <v>12336.67260365903</v>
      </c>
      <c r="M67">
        <f>INDEX(AEO26_Table_21._Residential!$E$6:$AD$92,MATCH($A67,AEO26_Table_21._Residential!$B$6:$B$92,0),MATCH(M$42,AEO26_Table_21._Residential!$E$5:$AD$5,0))*About!$A$33*About!$B$36</f>
        <v>12996.02995580021</v>
      </c>
      <c r="N67">
        <f>INDEX(AEO26_Table_21._Residential!$E$6:$AD$92,MATCH($A67,AEO26_Table_21._Residential!$B$6:$B$92,0),MATCH(N$42,AEO26_Table_21._Residential!$E$5:$AD$5,0))*About!$A$33*About!$B$36</f>
        <v>13695.686675787258</v>
      </c>
      <c r="O67">
        <f>INDEX(AEO26_Table_21._Residential!$E$6:$AD$92,MATCH($A67,AEO26_Table_21._Residential!$B$6:$B$92,0),MATCH(O$42,AEO26_Table_21._Residential!$E$5:$AD$5,0))*About!$A$33*About!$B$36</f>
        <v>14443.621739010765</v>
      </c>
      <c r="P67">
        <f>INDEX(AEO26_Table_21._Residential!$E$6:$AD$92,MATCH($A67,AEO26_Table_21._Residential!$B$6:$B$92,0),MATCH(P$42,AEO26_Table_21._Residential!$E$5:$AD$5,0))*About!$A$33*About!$B$36</f>
        <v>15228.303790496237</v>
      </c>
      <c r="Q67">
        <f>INDEX(AEO26_Table_21._Residential!$E$6:$AD$92,MATCH($A67,AEO26_Table_21._Residential!$B$6:$B$92,0),MATCH(Q$42,AEO26_Table_21._Residential!$E$5:$AD$5,0))*About!$A$33*About!$B$36</f>
        <v>16070.857385817209</v>
      </c>
      <c r="R67">
        <f>INDEX(AEO26_Table_21._Residential!$E$6:$AD$92,MATCH($A67,AEO26_Table_21._Residential!$B$6:$B$92,0),MATCH(R$42,AEO26_Table_21._Residential!$E$5:$AD$5,0))*About!$A$33*About!$B$36</f>
        <v>16953.57333797458</v>
      </c>
      <c r="S67">
        <f>INDEX(AEO26_Table_21._Residential!$E$6:$AD$92,MATCH($A67,AEO26_Table_21._Residential!$B$6:$B$92,0),MATCH(S$42,AEO26_Table_21._Residential!$E$5:$AD$5,0))*About!$A$33*About!$B$36</f>
        <v>17884.072674087267</v>
      </c>
      <c r="T67">
        <f>INDEX(AEO26_Table_21._Residential!$E$6:$AD$92,MATCH($A67,AEO26_Table_21._Residential!$B$6:$B$92,0),MATCH(T$42,AEO26_Table_21._Residential!$E$5:$AD$5,0))*About!$A$33*About!$B$36</f>
        <v>18848.722144499312</v>
      </c>
      <c r="U67">
        <f>INDEX(AEO26_Table_21._Residential!$E$6:$AD$92,MATCH($A67,AEO26_Table_21._Residential!$B$6:$B$92,0),MATCH(U$42,AEO26_Table_21._Residential!$E$5:$AD$5,0))*About!$A$33*About!$B$36</f>
        <v>19854.228746539302</v>
      </c>
      <c r="V67">
        <f>INDEX(AEO26_Table_21._Residential!$E$6:$AD$92,MATCH($A67,AEO26_Table_21._Residential!$B$6:$B$92,0),MATCH(V$42,AEO26_Table_21._Residential!$E$5:$AD$5,0))*About!$A$33*About!$B$36</f>
        <v>20889.648609001859</v>
      </c>
      <c r="W67">
        <f>INDEX(AEO26_Table_21._Residential!$E$6:$AD$92,MATCH($A67,AEO26_Table_21._Residential!$B$6:$B$92,0),MATCH(W$42,AEO26_Table_21._Residential!$E$5:$AD$5,0))*About!$A$33*About!$B$36</f>
        <v>21957.659895248118</v>
      </c>
      <c r="X67">
        <f>INDEX(AEO26_Table_21._Residential!$E$6:$AD$92,MATCH($A67,AEO26_Table_21._Residential!$B$6:$B$92,0),MATCH(X$42,AEO26_Table_21._Residential!$E$5:$AD$5,0))*About!$A$33*About!$B$36</f>
        <v>23067.248134946974</v>
      </c>
      <c r="Y67">
        <f>INDEX(AEO26_Table_21._Residential!$E$6:$AD$92,MATCH($A67,AEO26_Table_21._Residential!$B$6:$B$92,0),MATCH(Y$42,AEO26_Table_21._Residential!$E$5:$AD$5,0))*About!$A$33*About!$B$36</f>
        <v>24204.429606897113</v>
      </c>
      <c r="Z67">
        <f>INDEX(AEO26_Table_21._Residential!$E$6:$AD$92,MATCH($A67,AEO26_Table_21._Residential!$B$6:$B$92,0),MATCH(Z$42,AEO26_Table_21._Residential!$E$5:$AD$5,0))*About!$A$33*About!$B$36</f>
        <v>25376.333182708651</v>
      </c>
      <c r="AA67">
        <f>INDEX(AEO26_Table_21._Residential!$E$6:$AD$92,MATCH($A67,AEO26_Table_21._Residential!$B$6:$B$92,0),MATCH(AA$42,AEO26_Table_21._Residential!$E$5:$AD$5,0))*About!$A$33*About!$B$36</f>
        <v>26584.416076337729</v>
      </c>
      <c r="AB67">
        <f>INDEX(AEO26_Table_21._Residential!$E$6:$AD$92,MATCH($A67,AEO26_Table_21._Residential!$B$6:$B$92,0),MATCH(AB$42,AEO26_Table_21._Residential!$E$5:$AD$5,0))*About!$A$33*About!$B$36</f>
        <v>27845.643166680158</v>
      </c>
      <c r="AC67">
        <f>INDEX(AEO26_Table_21._Residential!$E$6:$AD$92,MATCH($A67,AEO26_Table_21._Residential!$B$6:$B$92,0),MATCH(AC$42,AEO26_Table_21._Residential!$E$5:$AD$5,0))*About!$A$33*About!$B$36</f>
        <v>29130.129231036997</v>
      </c>
      <c r="AD67">
        <f>INDEX(AEO26_Table_21._Residential!$E$6:$AD$92,MATCH($A67,AEO26_Table_21._Residential!$B$6:$B$92,0),MATCH(AD$42,AEO26_Table_21._Residential!$E$5:$AD$5,0))*About!$A$33*About!$B$36</f>
        <v>30460.814547964055</v>
      </c>
    </row>
    <row r="68" spans="1:43" x14ac:dyDescent="0.25">
      <c r="C68" t="s">
        <v>536</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537</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538</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539</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541</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542</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544</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545</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553</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81</v>
      </c>
    </row>
    <row r="81" spans="1:30" x14ac:dyDescent="0.25">
      <c r="B81" s="1" t="s">
        <v>554</v>
      </c>
      <c r="C81" s="1" t="s">
        <v>548</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527</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555</v>
      </c>
      <c r="B84" t="s">
        <v>338</v>
      </c>
      <c r="C84" t="s">
        <v>529</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531</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556</v>
      </c>
      <c r="B87" t="s">
        <v>342</v>
      </c>
      <c r="C87" t="s">
        <v>533</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557</v>
      </c>
      <c r="B88" t="s">
        <v>340</v>
      </c>
      <c r="C88" t="s">
        <v>535</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536</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537</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538</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558</v>
      </c>
      <c r="B92" t="s">
        <v>336</v>
      </c>
      <c r="C92" t="s">
        <v>539</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541</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542</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543</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544</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545</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86</v>
      </c>
    </row>
    <row r="101" spans="1:30" x14ac:dyDescent="0.25">
      <c r="B101" s="1" t="s">
        <v>559</v>
      </c>
      <c r="C101" s="1" t="s">
        <v>526</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527</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560</v>
      </c>
      <c r="B104" t="s">
        <v>350</v>
      </c>
      <c r="C104" t="s">
        <v>529</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531</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561</v>
      </c>
      <c r="B107" t="s">
        <v>353</v>
      </c>
      <c r="C107" t="s">
        <v>533</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562</v>
      </c>
      <c r="B108" t="s">
        <v>352</v>
      </c>
      <c r="C108" t="s">
        <v>535</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536</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537</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538</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563</v>
      </c>
      <c r="B112" t="s">
        <v>348</v>
      </c>
      <c r="C112" t="s">
        <v>539</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541</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542</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543</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544</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545</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564</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565</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566</v>
      </c>
    </row>
    <row r="3" spans="1:38" ht="13.5" customHeight="1" x14ac:dyDescent="0.2">
      <c r="A3" s="35"/>
    </row>
    <row r="4" spans="1:38" ht="13.5" customHeight="1" x14ac:dyDescent="0.2">
      <c r="A4" s="35" t="s">
        <v>567</v>
      </c>
    </row>
    <row r="5" spans="1:38" ht="13.5" customHeight="1" x14ac:dyDescent="0.2">
      <c r="A5" s="35" t="s">
        <v>568</v>
      </c>
    </row>
    <row r="6" spans="1:38" ht="13.5" customHeight="1" x14ac:dyDescent="0.2">
      <c r="A6" s="35" t="s">
        <v>569</v>
      </c>
    </row>
    <row r="7" spans="1:38" ht="13.5" customHeight="1" x14ac:dyDescent="0.2">
      <c r="A7" s="35"/>
    </row>
    <row r="8" spans="1:38" ht="13.5" customHeight="1" x14ac:dyDescent="0.2">
      <c r="A8" s="35" t="s">
        <v>570</v>
      </c>
    </row>
    <row r="9" spans="1:38" ht="13.5" customHeight="1" x14ac:dyDescent="0.2">
      <c r="A9" s="35" t="s">
        <v>571</v>
      </c>
    </row>
    <row r="10" spans="1:38" ht="13.5" customHeight="1" x14ac:dyDescent="0.2">
      <c r="A10" s="35"/>
    </row>
    <row r="11" spans="1:38" ht="13.5" customHeight="1" x14ac:dyDescent="0.2">
      <c r="A11" s="35" t="s">
        <v>572</v>
      </c>
    </row>
    <row r="12" spans="1:38" ht="13.5" customHeight="1" x14ac:dyDescent="0.2">
      <c r="A12" s="35" t="s">
        <v>573</v>
      </c>
    </row>
    <row r="13" spans="1:38" ht="13.5" customHeight="1" x14ac:dyDescent="0.2">
      <c r="A13" s="35"/>
    </row>
    <row r="14" spans="1:38" ht="14.25" customHeight="1" x14ac:dyDescent="0.25">
      <c r="A14" s="32" t="s">
        <v>574</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575</v>
      </c>
      <c r="B16" s="37"/>
    </row>
    <row r="17" spans="1:31" ht="13.5" customHeight="1" x14ac:dyDescent="0.2">
      <c r="A17" s="35" t="s">
        <v>576</v>
      </c>
      <c r="B17" s="37"/>
    </row>
    <row r="18" spans="1:31" ht="13.5" customHeight="1" x14ac:dyDescent="0.2">
      <c r="A18" s="35"/>
      <c r="B18" s="37"/>
    </row>
    <row r="19" spans="1:31" ht="13.5" customHeight="1" x14ac:dyDescent="0.2">
      <c r="A19" s="35" t="s">
        <v>577</v>
      </c>
      <c r="B19" s="35">
        <v>3.3</v>
      </c>
    </row>
    <row r="20" spans="1:31" ht="13.5" customHeight="1" x14ac:dyDescent="0.2">
      <c r="A20" s="35" t="s">
        <v>578</v>
      </c>
      <c r="B20" s="37">
        <v>0.3</v>
      </c>
    </row>
    <row r="21" spans="1:31" ht="13.5" customHeight="1" x14ac:dyDescent="0.2">
      <c r="A21" s="35"/>
      <c r="B21" s="37"/>
    </row>
    <row r="22" spans="1:31" ht="13.5" customHeight="1" x14ac:dyDescent="0.2">
      <c r="A22" s="35"/>
      <c r="B22" s="37"/>
    </row>
    <row r="23" spans="1:31" ht="27" customHeight="1" x14ac:dyDescent="0.2">
      <c r="A23" s="40" t="s">
        <v>579</v>
      </c>
      <c r="B23" s="35">
        <v>0</v>
      </c>
    </row>
    <row r="24" spans="1:31" ht="13.5" customHeight="1" x14ac:dyDescent="0.2">
      <c r="A24" s="35" t="s">
        <v>580</v>
      </c>
      <c r="B24" s="35">
        <v>0</v>
      </c>
    </row>
    <row r="25" spans="1:31" ht="14.85" customHeight="1" x14ac:dyDescent="0.25">
      <c r="A25" s="39"/>
      <c r="C25" s="38"/>
    </row>
    <row r="26" spans="1:31" s="44" customFormat="1" ht="14.85" customHeight="1" x14ac:dyDescent="0.25">
      <c r="A26" s="43" t="s">
        <v>581</v>
      </c>
    </row>
    <row r="27" spans="1:31" s="44" customFormat="1" ht="14.85" customHeight="1" x14ac:dyDescent="0.25">
      <c r="A27" s="45" t="s">
        <v>581</v>
      </c>
    </row>
    <row r="28" spans="1:31" s="44" customFormat="1" ht="14.85" customHeight="1" x14ac:dyDescent="0.25">
      <c r="A28" s="44" t="s">
        <v>582</v>
      </c>
      <c r="B28" s="44">
        <v>4</v>
      </c>
      <c r="C28" s="44" t="s">
        <v>583</v>
      </c>
    </row>
    <row r="29" spans="1:31" s="44" customFormat="1" ht="14.85" customHeight="1" x14ac:dyDescent="0.25">
      <c r="A29" s="44" t="s">
        <v>584</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585</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586</v>
      </c>
    </row>
    <row r="36" spans="1:31" s="44" customFormat="1" ht="14.85" customHeight="1" x14ac:dyDescent="0.25"/>
    <row r="37" spans="1:31" s="44" customFormat="1" ht="29.45" customHeight="1" x14ac:dyDescent="0.25">
      <c r="A37" s="45" t="s">
        <v>587</v>
      </c>
      <c r="B37" s="44">
        <v>2.4805304788796989</v>
      </c>
    </row>
    <row r="38" spans="1:31" s="44" customFormat="1" ht="14.85" customHeight="1" x14ac:dyDescent="0.25">
      <c r="A38" s="45" t="s">
        <v>588</v>
      </c>
      <c r="B38" s="44">
        <v>9.9221219155187974</v>
      </c>
    </row>
    <row r="39" spans="1:31" s="44" customFormat="1" ht="14.85" customHeight="1" x14ac:dyDescent="0.25">
      <c r="A39" s="44" t="s">
        <v>589</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585</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590</v>
      </c>
    </row>
    <row r="45" spans="1:31" s="44" customFormat="1" ht="14.85" customHeight="1" x14ac:dyDescent="0.25"/>
    <row r="46" spans="1:31" s="44" customFormat="1" ht="14.85" customHeight="1" x14ac:dyDescent="0.25">
      <c r="A46" s="44" t="s">
        <v>591</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585</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592</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593</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594</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595</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596</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597</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04B2-5734-4794-B2D1-CAE7717AD060}">
  <dimension ref="B2:AC27"/>
  <sheetViews>
    <sheetView zoomScale="85" zoomScaleNormal="85" workbookViewId="0">
      <selection activeCell="C27" sqref="C27"/>
    </sheetView>
  </sheetViews>
  <sheetFormatPr defaultRowHeight="15" x14ac:dyDescent="0.25"/>
  <cols>
    <col min="2" max="2" width="30" customWidth="1"/>
  </cols>
  <sheetData>
    <row r="2" spans="2:9" x14ac:dyDescent="0.25">
      <c r="B2" t="s">
        <v>992</v>
      </c>
    </row>
    <row r="3" spans="2:9" x14ac:dyDescent="0.25">
      <c r="B3" t="s">
        <v>993</v>
      </c>
    </row>
    <row r="5" spans="2:9" x14ac:dyDescent="0.25">
      <c r="B5" t="s">
        <v>994</v>
      </c>
    </row>
    <row r="7" spans="2:9" ht="17.25" x14ac:dyDescent="0.25">
      <c r="B7" s="65" t="s">
        <v>978</v>
      </c>
    </row>
    <row r="9" spans="2:9" ht="15.75" thickBot="1" x14ac:dyDescent="0.3">
      <c r="B9" s="87"/>
      <c r="C9" s="89" t="s">
        <v>979</v>
      </c>
      <c r="D9" s="89"/>
      <c r="E9" s="90"/>
      <c r="F9" s="91" t="s">
        <v>980</v>
      </c>
      <c r="G9" s="89"/>
      <c r="H9" s="89"/>
      <c r="I9" s="89"/>
    </row>
    <row r="10" spans="2:9" ht="16.5" thickTop="1" thickBot="1" x14ac:dyDescent="0.3">
      <c r="B10" s="88"/>
      <c r="C10" s="66">
        <v>2024</v>
      </c>
      <c r="D10" s="66">
        <v>2025</v>
      </c>
      <c r="E10" s="67">
        <v>2026</v>
      </c>
      <c r="F10" s="66">
        <v>2027</v>
      </c>
      <c r="G10" s="66">
        <v>2028</v>
      </c>
      <c r="H10" s="66">
        <v>2029</v>
      </c>
      <c r="I10" s="66">
        <v>2030</v>
      </c>
    </row>
    <row r="11" spans="2:9" ht="16.5" thickTop="1" thickBot="1" x14ac:dyDescent="0.3">
      <c r="B11" s="92" t="s">
        <v>981</v>
      </c>
      <c r="C11" s="92"/>
      <c r="D11" s="92"/>
      <c r="E11" s="93"/>
      <c r="F11" s="94"/>
      <c r="G11" s="95"/>
      <c r="H11" s="95"/>
      <c r="I11" s="95"/>
    </row>
    <row r="12" spans="2:9" ht="15.75" thickBot="1" x14ac:dyDescent="0.3">
      <c r="B12" s="68" t="s">
        <v>982</v>
      </c>
      <c r="C12" s="69">
        <v>3</v>
      </c>
      <c r="D12" s="69">
        <v>3.1</v>
      </c>
      <c r="E12" s="70">
        <v>3.2</v>
      </c>
      <c r="F12" s="69">
        <v>3.3</v>
      </c>
      <c r="G12" s="69">
        <v>3.4</v>
      </c>
      <c r="H12" s="69">
        <v>3.5</v>
      </c>
      <c r="I12" s="69">
        <v>3.6</v>
      </c>
    </row>
    <row r="13" spans="2:9" ht="15.75" thickBot="1" x14ac:dyDescent="0.3">
      <c r="B13" s="68" t="s">
        <v>983</v>
      </c>
      <c r="C13" s="69">
        <v>2</v>
      </c>
      <c r="D13" s="69">
        <v>3.3</v>
      </c>
      <c r="E13" s="70">
        <v>4.7</v>
      </c>
      <c r="F13" s="69">
        <v>4.8</v>
      </c>
      <c r="G13" s="69">
        <v>4.9000000000000004</v>
      </c>
      <c r="H13" s="69">
        <v>6.9</v>
      </c>
      <c r="I13" s="69">
        <v>9</v>
      </c>
    </row>
    <row r="14" spans="2:9" ht="15.75" thickBot="1" x14ac:dyDescent="0.3">
      <c r="B14" s="68" t="s">
        <v>984</v>
      </c>
      <c r="C14" s="69">
        <v>0.2</v>
      </c>
      <c r="D14" s="69">
        <v>0.2</v>
      </c>
      <c r="E14" s="70">
        <v>0.2</v>
      </c>
      <c r="F14" s="69">
        <v>0.4</v>
      </c>
      <c r="G14" s="69">
        <v>0.6</v>
      </c>
      <c r="H14" s="69">
        <v>0.8</v>
      </c>
      <c r="I14" s="69">
        <v>1</v>
      </c>
    </row>
    <row r="15" spans="2:9" ht="15.75" thickBot="1" x14ac:dyDescent="0.3">
      <c r="B15" s="68" t="s">
        <v>985</v>
      </c>
      <c r="C15" s="69">
        <v>2.2000000000000002</v>
      </c>
      <c r="D15" s="69">
        <v>2.5</v>
      </c>
      <c r="E15" s="70">
        <v>2.9</v>
      </c>
      <c r="F15" s="69">
        <v>3.9</v>
      </c>
      <c r="G15" s="69">
        <v>5</v>
      </c>
      <c r="H15" s="69">
        <v>8.1</v>
      </c>
      <c r="I15" s="69">
        <v>11.2</v>
      </c>
    </row>
    <row r="16" spans="2:9" ht="15.75" thickBot="1" x14ac:dyDescent="0.3">
      <c r="B16" s="68" t="s">
        <v>986</v>
      </c>
      <c r="C16" s="69">
        <v>0.8</v>
      </c>
      <c r="D16" s="69">
        <v>1.6</v>
      </c>
      <c r="E16" s="70">
        <v>2.2999999999999998</v>
      </c>
      <c r="F16" s="69">
        <v>2.6</v>
      </c>
      <c r="G16" s="69">
        <v>2.8</v>
      </c>
      <c r="H16" s="69">
        <v>3</v>
      </c>
      <c r="I16" s="69">
        <v>3.3</v>
      </c>
    </row>
    <row r="17" spans="2:29" ht="15.75" thickBot="1" x14ac:dyDescent="0.3">
      <c r="B17" s="68" t="s">
        <v>987</v>
      </c>
      <c r="C17" s="69">
        <v>0.9</v>
      </c>
      <c r="D17" s="69">
        <v>1.8</v>
      </c>
      <c r="E17" s="70">
        <v>2.6</v>
      </c>
      <c r="F17" s="69">
        <v>2.9</v>
      </c>
      <c r="G17" s="69">
        <v>3.2</v>
      </c>
      <c r="H17" s="69">
        <v>3.9</v>
      </c>
      <c r="I17" s="69">
        <v>4.7</v>
      </c>
    </row>
    <row r="18" spans="2:29" ht="15.75" thickBot="1" x14ac:dyDescent="0.3">
      <c r="B18" s="68" t="s">
        <v>988</v>
      </c>
      <c r="C18" s="69">
        <v>0.5</v>
      </c>
      <c r="D18" s="69">
        <v>0.6</v>
      </c>
      <c r="E18" s="70">
        <v>0.7</v>
      </c>
      <c r="F18" s="69">
        <v>0.9</v>
      </c>
      <c r="G18" s="69">
        <v>1.1000000000000001</v>
      </c>
      <c r="H18" s="69">
        <v>2.2999999999999998</v>
      </c>
      <c r="I18" s="69">
        <v>3.5</v>
      </c>
    </row>
    <row r="19" spans="2:29" ht="15.75" thickBot="1" x14ac:dyDescent="0.3">
      <c r="B19" s="68" t="s">
        <v>989</v>
      </c>
      <c r="C19" s="69">
        <v>2.2999999999999998</v>
      </c>
      <c r="D19" s="69">
        <v>3.5</v>
      </c>
      <c r="E19" s="70">
        <v>4.5999999999999996</v>
      </c>
      <c r="F19" s="69">
        <v>6</v>
      </c>
      <c r="G19" s="69">
        <v>7.3</v>
      </c>
      <c r="H19" s="69">
        <v>9.6999999999999993</v>
      </c>
      <c r="I19" s="69">
        <v>12</v>
      </c>
    </row>
    <row r="20" spans="2:29" ht="15.75" thickBot="1" x14ac:dyDescent="0.3">
      <c r="B20" s="68" t="s">
        <v>990</v>
      </c>
      <c r="C20" s="69" t="s">
        <v>991</v>
      </c>
      <c r="D20" s="69">
        <v>4.7</v>
      </c>
      <c r="E20" s="70">
        <v>4.7</v>
      </c>
      <c r="F20" s="69">
        <v>3.5</v>
      </c>
      <c r="G20" s="69">
        <v>3.5</v>
      </c>
      <c r="H20" s="69">
        <v>10</v>
      </c>
      <c r="I20" s="69">
        <v>10</v>
      </c>
    </row>
    <row r="21" spans="2:29" ht="15.75" thickBot="1" x14ac:dyDescent="0.3">
      <c r="B21" s="71" t="s">
        <v>36</v>
      </c>
      <c r="C21" s="69">
        <v>12</v>
      </c>
      <c r="D21" s="69">
        <v>17</v>
      </c>
      <c r="E21" s="70">
        <v>21</v>
      </c>
      <c r="F21" s="69">
        <v>25</v>
      </c>
      <c r="G21" s="69">
        <v>29</v>
      </c>
      <c r="H21" s="69">
        <v>39</v>
      </c>
      <c r="I21" s="69">
        <v>49</v>
      </c>
    </row>
    <row r="24" spans="2:29" x14ac:dyDescent="0.25">
      <c r="C24">
        <v>2024</v>
      </c>
      <c r="D24">
        <v>2025</v>
      </c>
      <c r="E24">
        <v>2026</v>
      </c>
      <c r="F24">
        <v>2027</v>
      </c>
      <c r="G24">
        <v>2028</v>
      </c>
      <c r="H24">
        <v>2029</v>
      </c>
      <c r="I24">
        <v>2030</v>
      </c>
      <c r="J24">
        <v>2031</v>
      </c>
      <c r="K24">
        <v>2032</v>
      </c>
      <c r="L24">
        <v>2033</v>
      </c>
      <c r="M24">
        <v>2034</v>
      </c>
      <c r="N24">
        <v>2035</v>
      </c>
      <c r="O24">
        <v>2036</v>
      </c>
      <c r="P24">
        <v>2037</v>
      </c>
      <c r="Q24">
        <v>2038</v>
      </c>
      <c r="R24">
        <v>2039</v>
      </c>
      <c r="S24">
        <v>2040</v>
      </c>
      <c r="T24">
        <v>2041</v>
      </c>
      <c r="U24">
        <v>2042</v>
      </c>
      <c r="V24">
        <v>2043</v>
      </c>
      <c r="W24">
        <v>2044</v>
      </c>
      <c r="X24">
        <v>2045</v>
      </c>
      <c r="Y24">
        <v>2046</v>
      </c>
      <c r="Z24">
        <v>2047</v>
      </c>
      <c r="AA24">
        <v>2048</v>
      </c>
      <c r="AB24">
        <v>2049</v>
      </c>
      <c r="AC24">
        <v>2050</v>
      </c>
    </row>
    <row r="25" spans="2:29" x14ac:dyDescent="0.25">
      <c r="B25" s="1" t="s">
        <v>547</v>
      </c>
      <c r="C25">
        <f>Calculations!D44</f>
        <v>1.4025661782562939</v>
      </c>
      <c r="D25">
        <f>Calculations!E44</f>
        <v>0.41060633044604544</v>
      </c>
      <c r="E25">
        <f>Calculations!F44</f>
        <v>0.89845543592649557</v>
      </c>
      <c r="F25">
        <f>Calculations!G44</f>
        <v>1.3732952319274669</v>
      </c>
      <c r="G25">
        <f>Calculations!H44</f>
        <v>1.3838652958795432</v>
      </c>
      <c r="H25">
        <f>Calculations!I44</f>
        <v>1.3944353598316197</v>
      </c>
      <c r="I25">
        <f>Calculations!J44</f>
        <v>2.0562839796000971</v>
      </c>
      <c r="J25">
        <f>Calculations!K44</f>
        <v>2.9401039423621791</v>
      </c>
      <c r="K25">
        <f>Calculations!L44</f>
        <v>3.8515686877681534</v>
      </c>
      <c r="L25">
        <f>Calculations!M44</f>
        <v>4.5605760543997409</v>
      </c>
      <c r="M25">
        <f>Calculations!N44</f>
        <v>5.449274508216627</v>
      </c>
      <c r="N25">
        <f>Calculations!O44</f>
        <v>5.459844572168703</v>
      </c>
      <c r="O25">
        <f>Calculations!P44</f>
        <v>5.4704146361207799</v>
      </c>
      <c r="P25">
        <f>Calculations!Q44</f>
        <v>5.480984700072856</v>
      </c>
      <c r="Q25">
        <f>Calculations!R44</f>
        <v>5.4915547640249329</v>
      </c>
      <c r="R25">
        <f>Calculations!S44</f>
        <v>5.5029379098194759</v>
      </c>
      <c r="S25">
        <f>Calculations!T44</f>
        <v>5.5143210556140208</v>
      </c>
      <c r="T25">
        <f>Calculations!U44</f>
        <v>5.5273303650934995</v>
      </c>
      <c r="U25">
        <f>Calculations!V44</f>
        <v>5.5444050837853149</v>
      </c>
      <c r="V25">
        <f>Calculations!W44</f>
        <v>5.5679844572168697</v>
      </c>
      <c r="W25">
        <f>Calculations!X44</f>
        <v>5.6053862219703712</v>
      </c>
      <c r="X25">
        <f>Calculations!Y44</f>
        <v>5.6696196875252971</v>
      </c>
      <c r="Y25">
        <f>Calculations!Z44</f>
        <v>5.7818249817858005</v>
      </c>
      <c r="Z25">
        <f>Calculations!AA44</f>
        <v>5.8940302760463048</v>
      </c>
      <c r="AA25">
        <f>Calculations!AB44</f>
        <v>6.0070486521492752</v>
      </c>
      <c r="AB25">
        <f>Calculations!AC44</f>
        <v>6.1208801100947134</v>
      </c>
      <c r="AC25">
        <f>Calculations!AD44</f>
        <v>6.2355246498826196</v>
      </c>
    </row>
    <row r="26" spans="2:29" x14ac:dyDescent="0.25">
      <c r="B26" s="1" t="s">
        <v>552</v>
      </c>
      <c r="C26">
        <f>Calculations!D63</f>
        <v>0.32243382174370594</v>
      </c>
      <c r="D26">
        <f>Calculations!E63</f>
        <v>9.4393669553954507E-2</v>
      </c>
      <c r="E26">
        <f>Calculations!F63</f>
        <v>0.20654456407350441</v>
      </c>
      <c r="F26">
        <f>Calculations!G63</f>
        <v>0.31570476807253295</v>
      </c>
      <c r="G26">
        <f>Calculations!H63</f>
        <v>0.31813470412045658</v>
      </c>
      <c r="H26">
        <f>Calculations!I63</f>
        <v>0.32056464016838015</v>
      </c>
      <c r="I26">
        <f>Calculations!J63</f>
        <v>0.47271602039990285</v>
      </c>
      <c r="J26">
        <f>Calculations!K63</f>
        <v>0.67589605763782079</v>
      </c>
      <c r="K26">
        <f>Calculations!L63</f>
        <v>0.88543131223184646</v>
      </c>
      <c r="L26">
        <f>Calculations!M63</f>
        <v>1.0484239456002591</v>
      </c>
      <c r="M26">
        <f>Calculations!N63</f>
        <v>1.2527254917833723</v>
      </c>
      <c r="N26">
        <f>Calculations!O63</f>
        <v>1.255155427831296</v>
      </c>
      <c r="O26">
        <f>Calculations!P63</f>
        <v>1.2575853638792196</v>
      </c>
      <c r="P26">
        <f>Calculations!Q63</f>
        <v>1.2600152999271432</v>
      </c>
      <c r="Q26">
        <f>Calculations!R63</f>
        <v>1.2624452359750666</v>
      </c>
      <c r="R26">
        <f>Calculations!S63</f>
        <v>1.265062090180523</v>
      </c>
      <c r="S26">
        <f>Calculations!T63</f>
        <v>1.2676789443859791</v>
      </c>
      <c r="T26">
        <f>Calculations!U63</f>
        <v>1.2706696349065005</v>
      </c>
      <c r="U26">
        <f>Calculations!V63</f>
        <v>1.2745949162146848</v>
      </c>
      <c r="V26">
        <f>Calculations!W63</f>
        <v>1.2800155427831297</v>
      </c>
      <c r="W26">
        <f>Calculations!X63</f>
        <v>1.2886137780296285</v>
      </c>
      <c r="X26">
        <f>Calculations!Y63</f>
        <v>1.3033803124747023</v>
      </c>
      <c r="Y26">
        <f>Calculations!Z63</f>
        <v>1.329175018214199</v>
      </c>
      <c r="Z26">
        <f>Calculations!AA63</f>
        <v>1.3549697239536955</v>
      </c>
      <c r="AA26">
        <f>Calculations!AB63</f>
        <v>1.3809513478507245</v>
      </c>
      <c r="AB26">
        <f>Calculations!AC63</f>
        <v>1.4071198899052861</v>
      </c>
      <c r="AC26">
        <f>Calculations!AD63</f>
        <v>1.4334753501173803</v>
      </c>
    </row>
    <row r="27" spans="2:29" x14ac:dyDescent="0.25">
      <c r="B27" s="1" t="s">
        <v>554</v>
      </c>
      <c r="C27">
        <f>Calculations!D84+C21*1000</f>
        <v>13468.725</v>
      </c>
      <c r="D27">
        <f>Calculations!E84+D21*1000</f>
        <v>18508.008000000002</v>
      </c>
      <c r="E27">
        <f>Calculations!F84+E21*1000</f>
        <v>22540.969000000001</v>
      </c>
      <c r="F27">
        <f>Calculations!G84+F21*1000</f>
        <v>26559.125</v>
      </c>
      <c r="G27">
        <f>Calculations!H84+G21*1000</f>
        <v>30576.868999999999</v>
      </c>
      <c r="H27">
        <f>Calculations!I84+H21*1000</f>
        <v>40595.394999999997</v>
      </c>
      <c r="I27">
        <f>Calculations!J84+I21*1000</f>
        <v>50615.290999999997</v>
      </c>
      <c r="J27">
        <f>Calculations!K84+$I$21*1000</f>
        <v>50634.760999999999</v>
      </c>
      <c r="K27">
        <f>Calculations!L84+$I$21*1000</f>
        <v>50655.343999999997</v>
      </c>
      <c r="L27">
        <f>Calculations!M84+$I$21*1000</f>
        <v>50676.552000000003</v>
      </c>
      <c r="M27">
        <f>Calculations!N84+$I$21*1000</f>
        <v>50700.095000000001</v>
      </c>
      <c r="N27">
        <f>Calculations!O84+$I$21*1000</f>
        <v>50722.014000000003</v>
      </c>
      <c r="O27">
        <f>Calculations!P84+$I$21*1000</f>
        <v>50744.811999999998</v>
      </c>
      <c r="P27">
        <f>Calculations!Q84+$I$21*1000</f>
        <v>50769.997000000003</v>
      </c>
      <c r="Q27">
        <f>Calculations!R84+$I$21*1000</f>
        <v>50793.459000000003</v>
      </c>
      <c r="R27">
        <f>Calculations!S84+$I$21*1000</f>
        <v>50816.315999999999</v>
      </c>
      <c r="S27">
        <f>Calculations!T84+$I$21*1000</f>
        <v>50838.228000000003</v>
      </c>
      <c r="T27">
        <f>Calculations!U84+$I$21*1000</f>
        <v>50858.498999999996</v>
      </c>
      <c r="U27">
        <f>Calculations!V84+$I$21*1000</f>
        <v>50881.084999999999</v>
      </c>
      <c r="V27">
        <f>Calculations!W84+$I$21*1000</f>
        <v>50901.161999999997</v>
      </c>
      <c r="W27">
        <f>Calculations!X84+$I$21*1000</f>
        <v>50921.178</v>
      </c>
      <c r="X27">
        <f>Calculations!Y84+$I$21*1000</f>
        <v>50940.084000000003</v>
      </c>
      <c r="Y27">
        <f>Calculations!Z84+$I$21*1000</f>
        <v>50959.432999999997</v>
      </c>
      <c r="Z27">
        <f>Calculations!AA84+$I$21*1000</f>
        <v>50979.940999999999</v>
      </c>
      <c r="AA27">
        <f>Calculations!AB84+$I$21*1000</f>
        <v>51000.097000000002</v>
      </c>
      <c r="AB27">
        <f>Calculations!AC84+$I$21*1000</f>
        <v>51019.017999999996</v>
      </c>
      <c r="AC27">
        <f>Calculations!AD84+$I$21*1000</f>
        <v>51039.06</v>
      </c>
    </row>
  </sheetData>
  <mergeCells count="5">
    <mergeCell ref="B9:B10"/>
    <mergeCell ref="C9:E9"/>
    <mergeCell ref="F9:I9"/>
    <mergeCell ref="B11:E11"/>
    <mergeCell ref="F11:I11"/>
  </mergeCells>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F4" sqref="F4"/>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533</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535</v>
      </c>
      <c r="B8" s="55">
        <f>Calculations!D48-About!$C$46*1000</f>
        <v>30362.289170242049</v>
      </c>
      <c r="C8" s="55">
        <f>Calculations!E48-About!$C$46*1000</f>
        <v>32848.506435683637</v>
      </c>
      <c r="D8" s="55">
        <f>Calculations!F48-About!$C$46*1000</f>
        <v>35035.629919209903</v>
      </c>
      <c r="E8" s="55">
        <f>Calculations!G48-About!$C$46*1000</f>
        <v>37503.085321136561</v>
      </c>
      <c r="F8" s="55">
        <f>Calculations!H48-About!$C$46*1000</f>
        <v>40055.619167813486</v>
      </c>
      <c r="G8" s="55">
        <f>Calculations!I48-About!$C$46*1000</f>
        <v>42452.750308103292</v>
      </c>
      <c r="H8" s="55">
        <f>Calculations!J48-About!$C$46*1000</f>
        <v>44976.298600178088</v>
      </c>
      <c r="I8" s="55">
        <f>Calculations!K48-About!$C$46*1000</f>
        <v>47710.527780781995</v>
      </c>
      <c r="J8" s="55">
        <f>Calculations!L48-About!$C$46*1000</f>
        <v>50439.36948109771</v>
      </c>
      <c r="K8" s="55">
        <f>Calculations!M48-About!$C$46*1000</f>
        <v>53307.531128956529</v>
      </c>
      <c r="L8" s="55">
        <f>Calculations!N48-About!$C$46*1000</f>
        <v>56350.992408969476</v>
      </c>
      <c r="M8" s="55">
        <f>Calculations!O48-About!$C$46*1000</f>
        <v>59604.461345745964</v>
      </c>
      <c r="N8" s="55">
        <f>Calculations!P48-About!$C$46*1000</f>
        <v>63017.777294260501</v>
      </c>
      <c r="O8" s="55">
        <f>Calculations!Q48-About!$C$46*1000</f>
        <v>66682.830698939506</v>
      </c>
      <c r="P8" s="55">
        <f>Calculations!R48-About!$C$46*1000</f>
        <v>70522.587746782141</v>
      </c>
      <c r="Q8" s="55">
        <f>Calculations!S48-About!$C$46*1000</f>
        <v>74570.199410669462</v>
      </c>
      <c r="R8" s="55">
        <f>Calculations!T48-About!$C$46*1000</f>
        <v>78766.361940257411</v>
      </c>
      <c r="S8" s="55">
        <f>Calculations!U48-About!$C$46*1000</f>
        <v>83140.250338217433</v>
      </c>
      <c r="T8" s="55">
        <f>Calculations!V48-About!$C$46*1000</f>
        <v>87644.259475754865</v>
      </c>
      <c r="U8" s="55">
        <f>Calculations!W48-About!$C$46*1000</f>
        <v>92290.039189508607</v>
      </c>
      <c r="V8" s="55">
        <f>Calculations!X48-About!$C$46*1000</f>
        <v>97116.675949809753</v>
      </c>
      <c r="W8" s="55">
        <f>Calculations!Y48-About!$C$46*1000</f>
        <v>102063.34147785962</v>
      </c>
      <c r="X8" s="55">
        <f>Calculations!Z48-About!$C$46*1000</f>
        <v>107161.04590204806</v>
      </c>
      <c r="Y8" s="55">
        <f>Calculations!AA48-About!$C$46*1000</f>
        <v>112416.12800841899</v>
      </c>
      <c r="Z8" s="55">
        <f>Calculations!AB48-About!$C$46*1000</f>
        <v>117902.38391807658</v>
      </c>
      <c r="AA8" s="55">
        <f>Calculations!AC48-About!$C$46*1000</f>
        <v>123489.81485371974</v>
      </c>
      <c r="AB8" s="55">
        <f>Calculations!AD48-About!$C$46*1000</f>
        <v>129278.20953679267</v>
      </c>
    </row>
    <row r="9" spans="1:28" x14ac:dyDescent="0.25">
      <c r="A9" t="s">
        <v>536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56"/>
    </row>
    <row r="28" spans="1:28" x14ac:dyDescent="0.25">
      <c r="C28" s="5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D4" sqref="D4"/>
    </sheetView>
  </sheetViews>
  <sheetFormatPr defaultColWidth="8.7109375" defaultRowHeight="15" x14ac:dyDescent="0.25"/>
  <cols>
    <col min="1" max="1" width="23.42578125" customWidth="1"/>
    <col min="2"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530</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531</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533</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535</v>
      </c>
      <c r="B8">
        <f>Calculations!D67-About!$C$47*1000</f>
        <v>6979.940829757953</v>
      </c>
      <c r="C8">
        <f>Calculations!E67-About!$C$47*1000</f>
        <v>7551.4935643163599</v>
      </c>
      <c r="D8">
        <f>Calculations!F67-About!$C$47*1000</f>
        <v>8054.2880807900901</v>
      </c>
      <c r="E8">
        <f>Calculations!G67-About!$C$47*1000</f>
        <v>8621.5276788634346</v>
      </c>
      <c r="F8">
        <f>Calculations!H67-About!$C$47*1000</f>
        <v>9208.3258321865123</v>
      </c>
      <c r="G8">
        <f>Calculations!I67-About!$C$47*1000</f>
        <v>9759.3986918967057</v>
      </c>
      <c r="H8">
        <f>Calculations!J67-About!$C$47*1000</f>
        <v>10339.533399821905</v>
      </c>
      <c r="I8">
        <f>Calculations!K67-About!$C$47*1000</f>
        <v>10968.101219218004</v>
      </c>
      <c r="J8">
        <f>Calculations!L67-About!$C$47*1000</f>
        <v>11595.430518902291</v>
      </c>
      <c r="K8">
        <f>Calculations!M67-About!$C$47*1000</f>
        <v>12254.787871043471</v>
      </c>
      <c r="L8">
        <f>Calculations!N67-About!$C$47*1000</f>
        <v>12954.444591030518</v>
      </c>
      <c r="M8">
        <f>Calculations!O67-About!$C$47*1000</f>
        <v>13702.379654254026</v>
      </c>
      <c r="N8">
        <f>Calculations!P67-About!$C$47*1000</f>
        <v>14487.061705739497</v>
      </c>
      <c r="O8">
        <f>Calculations!Q67-About!$C$47*1000</f>
        <v>15329.61530106047</v>
      </c>
      <c r="P8">
        <f>Calculations!R67-About!$C$47*1000</f>
        <v>16212.331253217841</v>
      </c>
      <c r="Q8">
        <f>Calculations!S67-About!$C$47*1000</f>
        <v>17142.830589330526</v>
      </c>
      <c r="R8">
        <f>Calculations!T67-About!$C$47*1000</f>
        <v>18107.480059742571</v>
      </c>
      <c r="S8">
        <f>Calculations!U67-About!$C$47*1000</f>
        <v>19112.986661782561</v>
      </c>
      <c r="T8">
        <f>Calculations!V67-About!$C$47*1000</f>
        <v>20148.406524245118</v>
      </c>
      <c r="U8">
        <f>Calculations!W67-About!$C$47*1000</f>
        <v>21216.417810491377</v>
      </c>
      <c r="V8">
        <f>Calculations!X67-About!$C$47*1000</f>
        <v>22326.006050190234</v>
      </c>
      <c r="W8">
        <f>Calculations!Y67-About!$C$47*1000</f>
        <v>23463.187522140372</v>
      </c>
      <c r="X8">
        <f>Calculations!Z67-About!$C$47*1000</f>
        <v>24635.09109795191</v>
      </c>
      <c r="Y8">
        <f>Calculations!AA67-About!$C$47*1000</f>
        <v>25843.173991580989</v>
      </c>
      <c r="Z8">
        <f>Calculations!AB67-About!$C$47*1000</f>
        <v>27104.401081923417</v>
      </c>
      <c r="AA8">
        <f>Calculations!AC67-About!$C$47*1000</f>
        <v>28388.887146280256</v>
      </c>
      <c r="AB8">
        <f>Calculations!AD67-About!$C$47*1000</f>
        <v>29719.572463207314</v>
      </c>
    </row>
    <row r="9" spans="1:28" x14ac:dyDescent="0.25">
      <c r="A9" t="s">
        <v>536</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537</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538</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539</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540</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541</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542</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543</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544</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545</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K33" sqref="K33"/>
    </sheetView>
  </sheetViews>
  <sheetFormatPr defaultColWidth="8.7109375" defaultRowHeight="15" x14ac:dyDescent="0.25"/>
  <cols>
    <col min="1" max="1" width="23.42578125" customWidth="1"/>
    <col min="2"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s="64">
        <f>'Data Center Gas'!C27</f>
        <v>13468.725</v>
      </c>
      <c r="C4" s="64">
        <f>'Data Center Gas'!D27</f>
        <v>18508.008000000002</v>
      </c>
      <c r="D4" s="64">
        <f>'Data Center Gas'!E27</f>
        <v>22540.969000000001</v>
      </c>
      <c r="E4" s="64">
        <f>'Data Center Gas'!F27</f>
        <v>26559.125</v>
      </c>
      <c r="F4" s="64">
        <f>'Data Center Gas'!G27</f>
        <v>30576.868999999999</v>
      </c>
      <c r="G4" s="64">
        <f>'Data Center Gas'!H27</f>
        <v>40595.394999999997</v>
      </c>
      <c r="H4" s="64">
        <f>'Data Center Gas'!I27</f>
        <v>50615.290999999997</v>
      </c>
      <c r="I4" s="64">
        <f>'Data Center Gas'!J27</f>
        <v>50634.760999999999</v>
      </c>
      <c r="J4" s="64">
        <f>'Data Center Gas'!K27</f>
        <v>50655.343999999997</v>
      </c>
      <c r="K4" s="64">
        <f>'Data Center Gas'!L27</f>
        <v>50676.552000000003</v>
      </c>
      <c r="L4" s="64">
        <f>'Data Center Gas'!M27</f>
        <v>50700.095000000001</v>
      </c>
      <c r="M4" s="64">
        <f>'Data Center Gas'!N27</f>
        <v>50722.014000000003</v>
      </c>
      <c r="N4" s="64">
        <f>'Data Center Gas'!O27</f>
        <v>50744.811999999998</v>
      </c>
      <c r="O4" s="64">
        <f>'Data Center Gas'!P27</f>
        <v>50769.997000000003</v>
      </c>
      <c r="P4" s="64">
        <f>'Data Center Gas'!Q27</f>
        <v>50793.459000000003</v>
      </c>
      <c r="Q4" s="64">
        <f>'Data Center Gas'!R27</f>
        <v>50816.315999999999</v>
      </c>
      <c r="R4" s="64">
        <f>'Data Center Gas'!S27</f>
        <v>50838.228000000003</v>
      </c>
      <c r="S4" s="64">
        <f>'Data Center Gas'!T27</f>
        <v>50858.498999999996</v>
      </c>
      <c r="T4" s="64">
        <f>'Data Center Gas'!U27</f>
        <v>50881.084999999999</v>
      </c>
      <c r="U4" s="64">
        <f>'Data Center Gas'!V27</f>
        <v>50901.161999999997</v>
      </c>
      <c r="V4" s="64">
        <f>'Data Center Gas'!W27</f>
        <v>50921.178</v>
      </c>
      <c r="W4" s="64">
        <f>'Data Center Gas'!X27</f>
        <v>50940.084000000003</v>
      </c>
      <c r="X4" s="64">
        <f>'Data Center Gas'!Y27</f>
        <v>50959.432999999997</v>
      </c>
      <c r="Y4" s="64">
        <f>'Data Center Gas'!Z27</f>
        <v>50979.940999999999</v>
      </c>
      <c r="Z4" s="64">
        <f>'Data Center Gas'!AA27</f>
        <v>51000.097000000002</v>
      </c>
      <c r="AA4" s="64">
        <f>'Data Center Gas'!AB27</f>
        <v>51019.017999999996</v>
      </c>
      <c r="AB4" s="64">
        <f>'Data Center Gas'!AC27</f>
        <v>51039.06</v>
      </c>
    </row>
    <row r="5" spans="1:28" x14ac:dyDescent="0.25">
      <c r="A5" t="s">
        <v>530</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531</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533</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535</v>
      </c>
      <c r="B8">
        <f>Calculations!D88-About!$C$43*1000</f>
        <v>21769.497000000003</v>
      </c>
      <c r="C8">
        <f>Calculations!E88-About!$C$43*1000</f>
        <v>25925.201999999997</v>
      </c>
      <c r="D8">
        <f>Calculations!F88-About!$C$43*1000</f>
        <v>30160.527000000002</v>
      </c>
      <c r="E8">
        <f>Calculations!G88-About!$C$43*1000</f>
        <v>33771.183000000005</v>
      </c>
      <c r="F8">
        <f>Calculations!H88-About!$C$43*1000</f>
        <v>35511.208000000006</v>
      </c>
      <c r="G8">
        <f>Calculations!I88-About!$C$43*1000</f>
        <v>36631.794000000002</v>
      </c>
      <c r="H8">
        <f>Calculations!J88-About!$C$43*1000</f>
        <v>37899.681000000004</v>
      </c>
      <c r="I8">
        <f>Calculations!K88-About!$C$43*1000</f>
        <v>38829.173999999999</v>
      </c>
      <c r="J8">
        <f>Calculations!L88-About!$C$43*1000</f>
        <v>39576.554000000004</v>
      </c>
      <c r="K8">
        <f>Calculations!M88-About!$C$43*1000</f>
        <v>40414.337000000007</v>
      </c>
      <c r="L8">
        <f>Calculations!N88-About!$C$43*1000</f>
        <v>41719.628000000004</v>
      </c>
      <c r="M8">
        <f>Calculations!O88-About!$C$43*1000</f>
        <v>42791.535000000003</v>
      </c>
      <c r="N8">
        <f>Calculations!P88-About!$C$43*1000</f>
        <v>43690.09</v>
      </c>
      <c r="O8">
        <f>Calculations!Q88-About!$C$43*1000</f>
        <v>45293.167000000001</v>
      </c>
      <c r="P8">
        <f>Calculations!R88-About!$C$43*1000</f>
        <v>46843.823000000004</v>
      </c>
      <c r="Q8">
        <f>Calculations!S88-About!$C$43*1000</f>
        <v>48761.62</v>
      </c>
      <c r="R8">
        <f>Calculations!T88-About!$C$43*1000</f>
        <v>50386.563000000002</v>
      </c>
      <c r="S8">
        <f>Calculations!U88-About!$C$43*1000</f>
        <v>51249.068999999996</v>
      </c>
      <c r="T8">
        <f>Calculations!V88-About!$C$43*1000</f>
        <v>52600.880000000005</v>
      </c>
      <c r="U8">
        <f>Calculations!W88-About!$C$43*1000</f>
        <v>53315.83</v>
      </c>
      <c r="V8">
        <f>Calculations!X88-About!$C$43*1000</f>
        <v>54131.939000000006</v>
      </c>
      <c r="W8">
        <f>Calculations!Y88-About!$C$43*1000</f>
        <v>54786.152000000002</v>
      </c>
      <c r="X8">
        <f>Calculations!Z88-About!$C$43*1000</f>
        <v>55810.433000000005</v>
      </c>
      <c r="Y8">
        <f>Calculations!AA88-About!$C$43*1000</f>
        <v>57088.451999999997</v>
      </c>
      <c r="Z8">
        <f>Calculations!AB88-About!$C$43*1000</f>
        <v>58391.651000000005</v>
      </c>
      <c r="AA8">
        <f>Calculations!AC88-About!$C$43*1000</f>
        <v>59345.417000000009</v>
      </c>
      <c r="AB8">
        <f>Calculations!AD88-About!$C$43*1000</f>
        <v>60616.367999999995</v>
      </c>
    </row>
    <row r="9" spans="1:28" x14ac:dyDescent="0.25">
      <c r="A9" t="s">
        <v>536</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537</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538</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539</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540</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541</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542</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543</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544</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545</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12F16-2538-4421-91BC-5D10BE5A5338}">
  <sheetPr>
    <tabColor theme="3"/>
  </sheetPr>
  <dimension ref="A1:D25"/>
  <sheetViews>
    <sheetView workbookViewId="0">
      <selection activeCell="D7" sqref="D7"/>
    </sheetView>
  </sheetViews>
  <sheetFormatPr defaultRowHeight="15" x14ac:dyDescent="0.25"/>
  <cols>
    <col min="1" max="4" width="23.42578125" customWidth="1"/>
  </cols>
  <sheetData>
    <row r="1" spans="1:4" x14ac:dyDescent="0.25">
      <c r="A1" t="s">
        <v>548</v>
      </c>
      <c r="B1" s="96" t="s">
        <v>998</v>
      </c>
      <c r="C1" s="96" t="s">
        <v>999</v>
      </c>
      <c r="D1" s="96" t="s">
        <v>973</v>
      </c>
    </row>
    <row r="2" spans="1:4" x14ac:dyDescent="0.25">
      <c r="A2" t="s">
        <v>527</v>
      </c>
      <c r="B2">
        <v>0</v>
      </c>
      <c r="C2">
        <v>0</v>
      </c>
      <c r="D2">
        <v>0</v>
      </c>
    </row>
    <row r="3" spans="1:4" x14ac:dyDescent="0.25">
      <c r="A3" t="s">
        <v>599</v>
      </c>
      <c r="B3">
        <v>0</v>
      </c>
      <c r="C3">
        <v>0</v>
      </c>
      <c r="D3">
        <v>0</v>
      </c>
    </row>
    <row r="4" spans="1:4" x14ac:dyDescent="0.25">
      <c r="A4" t="s">
        <v>600</v>
      </c>
      <c r="B4">
        <v>0</v>
      </c>
      <c r="C4">
        <v>0</v>
      </c>
      <c r="D4" s="97">
        <f>'BDESC-commercial'!B4</f>
        <v>13468.725</v>
      </c>
    </row>
    <row r="5" spans="1:4" x14ac:dyDescent="0.25">
      <c r="A5" t="s">
        <v>530</v>
      </c>
      <c r="B5">
        <v>0</v>
      </c>
      <c r="C5">
        <v>0</v>
      </c>
      <c r="D5">
        <v>0</v>
      </c>
    </row>
    <row r="6" spans="1:4" x14ac:dyDescent="0.25">
      <c r="A6" t="s">
        <v>531</v>
      </c>
      <c r="B6">
        <v>0</v>
      </c>
      <c r="C6">
        <v>0</v>
      </c>
      <c r="D6">
        <v>0</v>
      </c>
    </row>
    <row r="7" spans="1:4" x14ac:dyDescent="0.25">
      <c r="A7" t="s">
        <v>533</v>
      </c>
      <c r="B7" s="97">
        <f>'BDESC-urban-residential'!B7</f>
        <v>250.57474912976602</v>
      </c>
      <c r="C7" s="97">
        <f>'BDESC-rural-residential'!B7</f>
        <v>57.60425087023394</v>
      </c>
      <c r="D7" s="97">
        <f>'BDESC-commercial'!B7</f>
        <v>585.6400000000001</v>
      </c>
    </row>
    <row r="8" spans="1:4" x14ac:dyDescent="0.25">
      <c r="A8" t="s">
        <v>535</v>
      </c>
      <c r="B8" s="98">
        <f>'BDESC-urban-residential'!B8</f>
        <v>30362.289170242049</v>
      </c>
      <c r="C8" s="97">
        <f>'BDESC-rural-residential'!B8</f>
        <v>6979.940829757953</v>
      </c>
      <c r="D8" s="97">
        <f>'BDESC-commercial'!B8</f>
        <v>21769.497000000003</v>
      </c>
    </row>
    <row r="9" spans="1:4" x14ac:dyDescent="0.25">
      <c r="A9" t="s">
        <v>536</v>
      </c>
      <c r="B9">
        <v>0</v>
      </c>
      <c r="C9">
        <v>0</v>
      </c>
      <c r="D9">
        <v>0</v>
      </c>
    </row>
    <row r="10" spans="1:4" x14ac:dyDescent="0.25">
      <c r="A10" t="s">
        <v>537</v>
      </c>
      <c r="B10">
        <v>0</v>
      </c>
      <c r="C10">
        <v>0</v>
      </c>
      <c r="D10">
        <v>0</v>
      </c>
    </row>
    <row r="11" spans="1:4" x14ac:dyDescent="0.25">
      <c r="A11" t="s">
        <v>538</v>
      </c>
      <c r="B11">
        <v>0</v>
      </c>
      <c r="C11">
        <v>0</v>
      </c>
      <c r="D11">
        <v>0</v>
      </c>
    </row>
    <row r="12" spans="1:4" x14ac:dyDescent="0.25">
      <c r="A12" t="s">
        <v>539</v>
      </c>
      <c r="B12">
        <v>0</v>
      </c>
      <c r="C12">
        <v>0</v>
      </c>
      <c r="D12" s="97">
        <f>'BDESC-commercial'!B12</f>
        <v>20.507000000000001</v>
      </c>
    </row>
    <row r="13" spans="1:4" x14ac:dyDescent="0.25">
      <c r="A13" t="s">
        <v>540</v>
      </c>
      <c r="B13">
        <v>0</v>
      </c>
      <c r="C13">
        <v>0</v>
      </c>
      <c r="D13">
        <v>0</v>
      </c>
    </row>
    <row r="14" spans="1:4" x14ac:dyDescent="0.25">
      <c r="A14" t="s">
        <v>541</v>
      </c>
      <c r="B14">
        <v>0</v>
      </c>
      <c r="C14">
        <v>0</v>
      </c>
      <c r="D14">
        <v>0</v>
      </c>
    </row>
    <row r="15" spans="1:4" x14ac:dyDescent="0.25">
      <c r="A15" t="s">
        <v>542</v>
      </c>
      <c r="B15">
        <v>0</v>
      </c>
      <c r="C15">
        <v>0</v>
      </c>
      <c r="D15">
        <v>0</v>
      </c>
    </row>
    <row r="16" spans="1:4" x14ac:dyDescent="0.25">
      <c r="A16" t="s">
        <v>543</v>
      </c>
      <c r="B16">
        <v>0</v>
      </c>
      <c r="C16">
        <v>0</v>
      </c>
      <c r="D16">
        <v>0</v>
      </c>
    </row>
    <row r="17" spans="1:4" x14ac:dyDescent="0.25">
      <c r="A17" t="s">
        <v>544</v>
      </c>
      <c r="B17">
        <v>0</v>
      </c>
      <c r="C17">
        <v>0</v>
      </c>
      <c r="D17">
        <v>0</v>
      </c>
    </row>
    <row r="18" spans="1:4" x14ac:dyDescent="0.25">
      <c r="A18" t="s">
        <v>545</v>
      </c>
      <c r="B18">
        <v>0</v>
      </c>
      <c r="C18">
        <v>0</v>
      </c>
      <c r="D18">
        <v>0</v>
      </c>
    </row>
    <row r="19" spans="1:4" x14ac:dyDescent="0.25">
      <c r="A19" t="s">
        <v>601</v>
      </c>
      <c r="B19">
        <v>0</v>
      </c>
      <c r="C19">
        <v>0</v>
      </c>
      <c r="D19">
        <v>0</v>
      </c>
    </row>
    <row r="20" spans="1:4" x14ac:dyDescent="0.25">
      <c r="A20" t="s">
        <v>602</v>
      </c>
      <c r="B20">
        <v>0</v>
      </c>
      <c r="C20">
        <v>0</v>
      </c>
      <c r="D20">
        <v>0</v>
      </c>
    </row>
    <row r="21" spans="1:4" x14ac:dyDescent="0.25">
      <c r="A21" t="s">
        <v>603</v>
      </c>
      <c r="B21">
        <v>0</v>
      </c>
      <c r="C21">
        <v>0</v>
      </c>
      <c r="D21">
        <v>0</v>
      </c>
    </row>
    <row r="22" spans="1:4" x14ac:dyDescent="0.25">
      <c r="A22" t="s">
        <v>604</v>
      </c>
      <c r="B22">
        <v>0</v>
      </c>
      <c r="C22">
        <v>0</v>
      </c>
      <c r="D22">
        <v>0</v>
      </c>
    </row>
    <row r="23" spans="1:4" x14ac:dyDescent="0.25">
      <c r="A23" t="s">
        <v>605</v>
      </c>
      <c r="B23">
        <v>0</v>
      </c>
      <c r="C23">
        <v>0</v>
      </c>
      <c r="D23">
        <v>0</v>
      </c>
    </row>
    <row r="24" spans="1:4" x14ac:dyDescent="0.25">
      <c r="A24" s="54" t="s">
        <v>606</v>
      </c>
      <c r="B24">
        <v>0</v>
      </c>
      <c r="C24">
        <v>0</v>
      </c>
      <c r="D24">
        <v>0</v>
      </c>
    </row>
    <row r="25" spans="1:4" x14ac:dyDescent="0.25">
      <c r="A25" s="54" t="s">
        <v>607</v>
      </c>
      <c r="B25">
        <v>0</v>
      </c>
      <c r="C25">
        <v>0</v>
      </c>
      <c r="D25">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Data Center Gas</vt:lpstr>
      <vt:lpstr>BDESC-urban-residential</vt:lpstr>
      <vt:lpstr>BDESC-rural-residential</vt:lpstr>
      <vt:lpstr>BDESC-commercial</vt:lpstr>
      <vt:lpstr>SYDEC</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2016-01-26T19:10:58Z</dcterms:created>
  <dcterms:modified xsi:type="dcterms:W3CDTF">2026-06-12T15:54:32Z</dcterms:modified>
</cp:coreProperties>
</file>