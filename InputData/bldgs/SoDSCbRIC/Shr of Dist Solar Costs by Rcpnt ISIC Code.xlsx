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dc-replay\InputData\bldgs\SoDSCbRIC\"/>
    </mc:Choice>
  </mc:AlternateContent>
  <xr:revisionPtr revIDLastSave="0" documentId="13_ncr:1_{7825810E-F931-490E-BC77-7A75C40035C3}" xr6:coauthVersionLast="47" xr6:coauthVersionMax="47" xr10:uidLastSave="{00000000-0000-0000-0000-000000000000}"/>
  <bookViews>
    <workbookView xWindow="-120" yWindow="-120" windowWidth="57840" windowHeight="23520" activeTab="2" xr2:uid="{00000000-000D-0000-FFFF-FFFF00000000}"/>
  </bookViews>
  <sheets>
    <sheet name="About" sheetId="1" r:id="rId1"/>
    <sheet name="Factors applied" sheetId="2" r:id="rId2"/>
    <sheet name="Data" sheetId="3" r:id="rId3"/>
    <sheet name="Checks" sheetId="4" r:id="rId4"/>
    <sheet name="SoDSCbRI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5" i="5" l="1"/>
  <c r="AZ5" i="5"/>
  <c r="AY5" i="5"/>
  <c r="AX5" i="5"/>
  <c r="AW5" i="5"/>
  <c r="AV5" i="5"/>
  <c r="AS5" i="5"/>
  <c r="AR5" i="5"/>
  <c r="AQ5" i="5"/>
  <c r="AP5" i="5"/>
  <c r="AO5" i="5"/>
  <c r="AN5" i="5"/>
  <c r="AM5" i="5"/>
  <c r="AL5" i="5"/>
  <c r="AK5" i="5"/>
  <c r="AJ5" i="5"/>
  <c r="AI5" i="5"/>
  <c r="AH5" i="5"/>
  <c r="AF5" i="5"/>
  <c r="AE5" i="5"/>
  <c r="AD5" i="5"/>
  <c r="AC5" i="5"/>
  <c r="AB5" i="5"/>
  <c r="AA5" i="5"/>
  <c r="Z5" i="5"/>
  <c r="Y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BA4" i="5"/>
  <c r="AZ4" i="5"/>
  <c r="AY4" i="5"/>
  <c r="AX4" i="5"/>
  <c r="AW4" i="5"/>
  <c r="AV4" i="5"/>
  <c r="AS4" i="5"/>
  <c r="AR4" i="5"/>
  <c r="AQ4" i="5"/>
  <c r="AP4" i="5"/>
  <c r="AO4" i="5"/>
  <c r="AN4" i="5"/>
  <c r="AM4" i="5"/>
  <c r="AL4" i="5"/>
  <c r="AK4" i="5"/>
  <c r="AJ4" i="5"/>
  <c r="AI4" i="5"/>
  <c r="AH4" i="5"/>
  <c r="AF4" i="5"/>
  <c r="AE4" i="5"/>
  <c r="AD4" i="5"/>
  <c r="AC4" i="5"/>
  <c r="AB4" i="5"/>
  <c r="AA4" i="5"/>
  <c r="Z4" i="5"/>
  <c r="Y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G5" i="5" s="1"/>
  <c r="F4" i="5"/>
  <c r="F5" i="5" s="1"/>
  <c r="E4" i="5"/>
  <c r="E5" i="5" s="1"/>
  <c r="D4" i="5"/>
  <c r="D5" i="5" s="1"/>
  <c r="C4" i="5"/>
  <c r="C5" i="5" s="1"/>
  <c r="B4" i="5"/>
  <c r="B5" i="5" s="1"/>
  <c r="BA3" i="5"/>
  <c r="AZ3" i="5"/>
  <c r="AY3" i="5"/>
  <c r="AX3" i="5"/>
  <c r="AW3" i="5"/>
  <c r="AV3" i="5"/>
  <c r="AS3" i="5"/>
  <c r="AR3" i="5"/>
  <c r="AQ3" i="5"/>
  <c r="AP3" i="5"/>
  <c r="AO3" i="5"/>
  <c r="AN3" i="5"/>
  <c r="AH3" i="5"/>
  <c r="AF3" i="5"/>
  <c r="AE3" i="5"/>
  <c r="AD3" i="5"/>
  <c r="AC3" i="5"/>
  <c r="AB3" i="5"/>
  <c r="AA3" i="5"/>
  <c r="Z3" i="5"/>
  <c r="Y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BA2" i="5"/>
  <c r="AZ2" i="5"/>
  <c r="AY2" i="5"/>
  <c r="AX2" i="5"/>
  <c r="AW2" i="5"/>
  <c r="AV2" i="5"/>
  <c r="AS2" i="5"/>
  <c r="AR2" i="5"/>
  <c r="AQ2" i="5"/>
  <c r="AP2" i="5"/>
  <c r="AO2" i="5"/>
  <c r="AN2" i="5"/>
  <c r="AH2" i="5"/>
  <c r="AF2" i="5"/>
  <c r="AE2" i="5"/>
  <c r="AD2" i="5"/>
  <c r="AC2" i="5"/>
  <c r="AB2" i="5"/>
  <c r="AA2" i="5"/>
  <c r="Z2" i="5"/>
  <c r="Y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B21" i="4"/>
  <c r="C21" i="4" s="1"/>
  <c r="B20" i="4"/>
  <c r="C20" i="4" s="1"/>
  <c r="B19" i="4"/>
  <c r="C19" i="4" s="1"/>
  <c r="B18" i="4"/>
  <c r="C18" i="4" s="1"/>
  <c r="B17" i="4"/>
  <c r="C17" i="4" s="1"/>
  <c r="B16" i="4"/>
  <c r="C16" i="4" s="1"/>
  <c r="B15" i="4"/>
  <c r="C15" i="4" s="1"/>
  <c r="B14" i="4"/>
  <c r="C14" i="4" s="1"/>
  <c r="B13" i="4"/>
  <c r="C13" i="4" s="1"/>
  <c r="B12" i="4"/>
  <c r="C12" i="4" s="1"/>
  <c r="B11" i="4"/>
  <c r="C11" i="4" s="1"/>
  <c r="B10" i="4"/>
  <c r="C10" i="4" s="1"/>
  <c r="B9" i="4"/>
  <c r="C9" i="4" s="1"/>
  <c r="B8" i="4"/>
  <c r="C8" i="4" s="1"/>
  <c r="B7" i="4"/>
  <c r="C7" i="4" s="1"/>
  <c r="B6" i="4"/>
  <c r="C6" i="4" s="1"/>
  <c r="B5" i="4"/>
  <c r="C5" i="4" s="1"/>
  <c r="B4" i="4"/>
  <c r="C4" i="4" s="1"/>
  <c r="C27" i="3"/>
  <c r="C26" i="3"/>
  <c r="C25" i="3"/>
  <c r="C24" i="3"/>
  <c r="C23" i="3"/>
  <c r="C22" i="3"/>
  <c r="C21" i="3"/>
  <c r="C19" i="3"/>
  <c r="C18" i="3"/>
  <c r="C17" i="3"/>
  <c r="C13" i="3"/>
  <c r="C12" i="3"/>
  <c r="C11" i="3"/>
  <c r="C10" i="3"/>
  <c r="C9" i="3"/>
  <c r="C7" i="3"/>
  <c r="C6" i="3"/>
  <c r="C5" i="3"/>
  <c r="C4" i="3"/>
  <c r="C3" i="3"/>
  <c r="D25" i="3" l="1"/>
  <c r="V4" i="5" s="1"/>
  <c r="V5" i="5" s="1"/>
  <c r="D22" i="3"/>
  <c r="D12" i="3"/>
  <c r="D5" i="3"/>
  <c r="D27" i="3"/>
  <c r="W4" i="5" s="1"/>
  <c r="W5" i="5" s="1"/>
  <c r="D11" i="3"/>
  <c r="D26" i="3"/>
  <c r="D24" i="3"/>
  <c r="X4" i="5" s="1"/>
  <c r="X5" i="5" s="1"/>
  <c r="D23" i="3"/>
  <c r="D21" i="3"/>
  <c r="D19" i="3"/>
  <c r="D18" i="3"/>
  <c r="D13" i="3"/>
  <c r="W3" i="5" s="1"/>
  <c r="D10" i="3"/>
  <c r="D9" i="3"/>
  <c r="D7" i="3"/>
  <c r="D6" i="3"/>
  <c r="AU3" i="5" s="1"/>
  <c r="D4" i="3"/>
  <c r="AT4" i="5"/>
  <c r="AT5" i="5" s="1"/>
  <c r="AU4" i="5"/>
  <c r="AU5" i="5" s="1"/>
  <c r="D20" i="3"/>
  <c r="D17" i="3"/>
  <c r="AG4" i="5" s="1"/>
  <c r="AG5" i="5" s="1"/>
  <c r="W2" i="5"/>
  <c r="D8" i="3"/>
  <c r="D3" i="3"/>
  <c r="AU2" i="5" l="1"/>
  <c r="AT2" i="5"/>
  <c r="AT3" i="5"/>
  <c r="V2" i="5"/>
  <c r="V3" i="5"/>
  <c r="X3" i="5"/>
  <c r="X2" i="5"/>
  <c r="AJ2" i="5"/>
  <c r="AM2" i="5"/>
  <c r="AK3" i="5"/>
  <c r="AM3" i="5"/>
  <c r="AK2" i="5"/>
  <c r="AJ3" i="5"/>
  <c r="AI2" i="5"/>
  <c r="AL2" i="5"/>
  <c r="AI3" i="5"/>
  <c r="AL3" i="5"/>
  <c r="AG3" i="5"/>
  <c r="AG2" i="5"/>
</calcChain>
</file>

<file path=xl/sharedStrings.xml><?xml version="1.0" encoding="utf-8"?>
<sst xmlns="http://schemas.openxmlformats.org/spreadsheetml/2006/main" count="481" uniqueCount="179">
  <si>
    <t>Residential</t>
  </si>
  <si>
    <t>ISIC Code</t>
  </si>
  <si>
    <t>Meaning</t>
  </si>
  <si>
    <t>2018 USD/W-DC, mixed weighted average, 6.2 kW</t>
  </si>
  <si>
    <t>Pre-Tax Reallocation</t>
  </si>
  <si>
    <t>Share</t>
  </si>
  <si>
    <t>ISIC 01T03</t>
  </si>
  <si>
    <t>Agriculture, forestry and fishing</t>
  </si>
  <si>
    <t>Net Profit</t>
  </si>
  <si>
    <t>ISIC 41T43</t>
  </si>
  <si>
    <t>ISIC 05</t>
  </si>
  <si>
    <t>Coal mining</t>
  </si>
  <si>
    <t>Overhead</t>
  </si>
  <si>
    <t>ISIC 06</t>
  </si>
  <si>
    <t>Oil and gas extraction</t>
  </si>
  <si>
    <t>Sales and Marketing</t>
  </si>
  <si>
    <t>ISIC 69T82</t>
  </si>
  <si>
    <t>ISIC 07T08</t>
  </si>
  <si>
    <t>Mining and quarrying of non-energy producing products</t>
  </si>
  <si>
    <t>Permitting, Inspection, Interconnection</t>
  </si>
  <si>
    <t>ISIC 09</t>
  </si>
  <si>
    <t>Mining support service activities</t>
  </si>
  <si>
    <t>Install Labor</t>
  </si>
  <si>
    <t>ISIC 10T12</t>
  </si>
  <si>
    <t>Food products, beverages and tobacco</t>
  </si>
  <si>
    <t>Sales Tax</t>
  </si>
  <si>
    <t>ISIC 13T15</t>
  </si>
  <si>
    <t>Textiles, wearing apparel, leather and related products</t>
  </si>
  <si>
    <t>Supply Chain Costs</t>
  </si>
  <si>
    <t>ISIC 49T53</t>
  </si>
  <si>
    <t>ISIC 16</t>
  </si>
  <si>
    <t>Wood and of products of wood and cork (except furniture)</t>
  </si>
  <si>
    <t>Electrical BOS</t>
  </si>
  <si>
    <t>ISIC 27</t>
  </si>
  <si>
    <t>ISIC 17T18</t>
  </si>
  <si>
    <t>Paper products and printing</t>
  </si>
  <si>
    <t>Structrual BOS</t>
  </si>
  <si>
    <t>ISIC 25</t>
  </si>
  <si>
    <t>ISIC 19</t>
  </si>
  <si>
    <t>Coke and refined petroleum products</t>
  </si>
  <si>
    <t>Inverter</t>
  </si>
  <si>
    <t>ISIC 20</t>
  </si>
  <si>
    <t>Chemicals</t>
  </si>
  <si>
    <t>Module</t>
  </si>
  <si>
    <t>ISIC 26</t>
  </si>
  <si>
    <t>ISIC 21</t>
  </si>
  <si>
    <t>Pharmaceuticals</t>
  </si>
  <si>
    <t>ISIC 22</t>
  </si>
  <si>
    <t>Rubber and plastics products</t>
  </si>
  <si>
    <t>Commercial</t>
  </si>
  <si>
    <t>ISIC 231</t>
  </si>
  <si>
    <t>Glass</t>
  </si>
  <si>
    <t>2018 USD/W-DC, 200 kW</t>
  </si>
  <si>
    <t>ISIC 239</t>
  </si>
  <si>
    <t>Cement and other nonmetallic minerals</t>
  </si>
  <si>
    <t>EPC/Developer Net Profit</t>
  </si>
  <si>
    <t>ISIC 241</t>
  </si>
  <si>
    <t>Iron and steel</t>
  </si>
  <si>
    <t>Contingency</t>
  </si>
  <si>
    <t>ISIC 242</t>
  </si>
  <si>
    <t>Other metals</t>
  </si>
  <si>
    <t>Developer Overhead</t>
  </si>
  <si>
    <t>Fabricated metal products, except machinery and equipment</t>
  </si>
  <si>
    <t>Computer, electronic and optical products</t>
  </si>
  <si>
    <t>PII</t>
  </si>
  <si>
    <t>Electrical equipment</t>
  </si>
  <si>
    <t>EPC Overhead</t>
  </si>
  <si>
    <t>ISIC 28</t>
  </si>
  <si>
    <t>Machinery and equipment n.e.c.</t>
  </si>
  <si>
    <t>Install Labor and Equipment</t>
  </si>
  <si>
    <t>ISIC 29</t>
  </si>
  <si>
    <t>Motor vehicles, trailers and semi-trailers</t>
  </si>
  <si>
    <t>ISIC 30</t>
  </si>
  <si>
    <t>Other transport equipment</t>
  </si>
  <si>
    <t>Structural BOS</t>
  </si>
  <si>
    <t>ISIC 31T33</t>
  </si>
  <si>
    <t>Other manufacturing; repair and installation of machinery and equipment</t>
  </si>
  <si>
    <t>Inverter Only</t>
  </si>
  <si>
    <t>ISIC 351</t>
  </si>
  <si>
    <t>Electricity generation and distribution</t>
  </si>
  <si>
    <t>ISIC 352T353</t>
  </si>
  <si>
    <t>Energy pipelines and gas processing</t>
  </si>
  <si>
    <t>ISIC 36T39</t>
  </si>
  <si>
    <t>Water and waste</t>
  </si>
  <si>
    <t>Construction</t>
  </si>
  <si>
    <t>ISIC 45T47</t>
  </si>
  <si>
    <t>Wholesale and retail trade; repair of motor vehicles</t>
  </si>
  <si>
    <t>Transportation and storage</t>
  </si>
  <si>
    <t>ISIC 55T56</t>
  </si>
  <si>
    <t>Accomodation and food services</t>
  </si>
  <si>
    <t>ISIC 58T60</t>
  </si>
  <si>
    <t>Publishing, audiovisual and broadcasting activities</t>
  </si>
  <si>
    <t>ISIC 61</t>
  </si>
  <si>
    <t>Telecommunications</t>
  </si>
  <si>
    <t>ISIC 62T63</t>
  </si>
  <si>
    <t>IT and other information services</t>
  </si>
  <si>
    <t>ISIC 64T66</t>
  </si>
  <si>
    <t>Financial and insurance activities</t>
  </si>
  <si>
    <t>ISIC 68</t>
  </si>
  <si>
    <t>Real estate activities</t>
  </si>
  <si>
    <t>Other business sector services</t>
  </si>
  <si>
    <t>ISIC 84</t>
  </si>
  <si>
    <t>Public administration and defence; compulsory social security</t>
  </si>
  <si>
    <t>ISIC 85</t>
  </si>
  <si>
    <t>Education</t>
  </si>
  <si>
    <t>ISIC 86T88</t>
  </si>
  <si>
    <t>Human health and social work</t>
  </si>
  <si>
    <t>ISIC 90T96</t>
  </si>
  <si>
    <t>Arts, entertainment, recreation and other service activities</t>
  </si>
  <si>
    <t>ISIC 97T98</t>
  </si>
  <si>
    <t>Private households with employed persons</t>
  </si>
  <si>
    <t>SoDSCbRIC Share of Distriuted Solar Costs by Recipient ISIC Code</t>
  </si>
  <si>
    <t>Source:</t>
  </si>
  <si>
    <t>NREL</t>
  </si>
  <si>
    <t>U.S. Solar Photovoltaic System Cost Benchmark: Q1 2018</t>
  </si>
  <si>
    <t>https://www.nrel.gov/docs/fy19osti/72399.pdf</t>
  </si>
  <si>
    <t>Figures 14 and 20</t>
  </si>
  <si>
    <t>Notes</t>
  </si>
  <si>
    <t>As taxes (except fuel taxes) are handled separately (on the "Cross-Sector Totals" sheet), not within</t>
  </si>
  <si>
    <t>each sector, we reallocate the "sales tax" share in this variable to the equipment portions</t>
  </si>
  <si>
    <t>of the costs.</t>
  </si>
  <si>
    <t>52-code expansion (2026-07-17):</t>
  </si>
  <si>
    <t>The output tabs produce the 52-code ISIC list. The derivation above is unchanged and live; output-tab formulas reference the derivation tabs</t>
  </si>
  <si>
    <t>directly, with the original header-label criteria written as literals (the derivation tabs still use the pre-split 42-code labels).</t>
  </si>
  <si>
    <t>Children of split parents multiply the parent's allocation by the factors on the 'Factors applied' tab (editable; defaults = BEA 2024 gross-</t>
  </si>
  <si>
    <t>output shares from io-model/BObIC; semantic overrides documented per row with rationale).</t>
  </si>
  <si>
    <t>Child factors applied inline in the output-tab formulas (editable). Defaults = BEA 2024 output shares; semantic overrides and fuel reroutes noted per row.</t>
  </si>
  <si>
    <t>File</t>
  </si>
  <si>
    <t>Row context</t>
  </si>
  <si>
    <t>Child</t>
  </si>
  <si>
    <t>Parent</t>
  </si>
  <si>
    <t>Factor</t>
  </si>
  <si>
    <t>Rationale</t>
  </si>
  <si>
    <t>BEA 2024 output share</t>
  </si>
  <si>
    <t>SoDSCbRIC.csv</t>
  </si>
  <si>
    <t>commercial</t>
  </si>
  <si>
    <t>ISIC 01</t>
  </si>
  <si>
    <t>BEA 2024 output share (default)</t>
  </si>
  <si>
    <t>ISIC 02</t>
  </si>
  <si>
    <t>ISIC 03</t>
  </si>
  <si>
    <t>ISIC 07</t>
  </si>
  <si>
    <t>ISIC 08</t>
  </si>
  <si>
    <t>ISIC 301</t>
  </si>
  <si>
    <t>ISIC 302T309</t>
  </si>
  <si>
    <t>ISIC 49</t>
  </si>
  <si>
    <t>semantic override</t>
  </si>
  <si>
    <t>ISIC 50</t>
  </si>
  <si>
    <t>ISIC 51</t>
  </si>
  <si>
    <t>ISIC 52</t>
  </si>
  <si>
    <t>ISIC 53</t>
  </si>
  <si>
    <t>ISIC 69T75</t>
  </si>
  <si>
    <t>ISIC 77T82</t>
  </si>
  <si>
    <t>ISIC 90T93</t>
  </si>
  <si>
    <t>ISIC 94T96</t>
  </si>
  <si>
    <t>rural residential</t>
  </si>
  <si>
    <t>urban residential</t>
  </si>
  <si>
    <t>Validation checks</t>
  </si>
  <si>
    <t>Child-factor groups sum to 1 (per file/context/parent; rate-file reroutes excluded)</t>
  </si>
  <si>
    <t>SoDSCbRIC.csv | commercial | ISIC 01T03</t>
  </si>
  <si>
    <t>SoDSCbRIC.csv | commercial | ISIC 07T08</t>
  </si>
  <si>
    <t>SoDSCbRIC.csv | commercial | ISIC 30</t>
  </si>
  <si>
    <t>SoDSCbRIC.csv | commercial | ISIC 49T53</t>
  </si>
  <si>
    <t>SoDSCbRIC.csv | commercial | ISIC 69T82</t>
  </si>
  <si>
    <t>SoDSCbRIC.csv | commercial | ISIC 90T96</t>
  </si>
  <si>
    <t>SoDSCbRIC.csv | rural residential | ISIC 01T03</t>
  </si>
  <si>
    <t>SoDSCbRIC.csv | rural residential | ISIC 07T08</t>
  </si>
  <si>
    <t>SoDSCbRIC.csv | rural residential | ISIC 30</t>
  </si>
  <si>
    <t>SoDSCbRIC.csv | rural residential | ISIC 49T53</t>
  </si>
  <si>
    <t>SoDSCbRIC.csv | rural residential | ISIC 69T82</t>
  </si>
  <si>
    <t>SoDSCbRIC.csv | rural residential | ISIC 90T96</t>
  </si>
  <si>
    <t>SoDSCbRIC.csv | urban residential | ISIC 01T03</t>
  </si>
  <si>
    <t>SoDSCbRIC.csv | urban residential | ISIC 07T08</t>
  </si>
  <si>
    <t>SoDSCbRIC.csv | urban residential | ISIC 30</t>
  </si>
  <si>
    <t>SoDSCbRIC.csv | urban residential | ISIC 49T53</t>
  </si>
  <si>
    <t>SoDSCbRIC.csv | urban residential | ISIC 69T82</t>
  </si>
  <si>
    <t>SoDSCbRIC.csv | urban residential | ISIC 90T96</t>
  </si>
  <si>
    <t>data centers</t>
  </si>
  <si>
    <t>Data centers</t>
  </si>
  <si>
    <t>Data centers are a separate building type. They copy the commercial cost shares so the values are defined; data centers have no distributed solar.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</si>
</sst>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/>
    <xf numFmtId="0" fontId="3" fillId="0" borderId="0"/>
  </cellStyleXfs>
  <cellXfs count="13">
    <xf numFmtId="0" fontId="0" fillId="0" borderId="0" xfId="0"/>
    <xf numFmtId="0" fontId="2" fillId="0" borderId="0" xfId="0" applyFont="1"/>
    <xf numFmtId="9" fontId="0" fillId="0" borderId="0" xfId="1" applyFont="1"/>
    <xf numFmtId="0" fontId="0" fillId="0" borderId="0" xfId="0" applyAlignment="1">
      <alignment horizontal="left"/>
    </xf>
    <xf numFmtId="0" fontId="3" fillId="0" borderId="0" xfId="2"/>
    <xf numFmtId="0" fontId="0" fillId="2" borderId="0" xfId="0" applyFill="1"/>
    <xf numFmtId="2" fontId="0" fillId="3" borderId="0" xfId="0" applyNumberFormat="1" applyFill="1"/>
    <xf numFmtId="0" fontId="2" fillId="4" borderId="0" xfId="0" applyFont="1" applyFill="1"/>
    <xf numFmtId="0" fontId="0" fillId="4" borderId="0" xfId="0" applyFill="1"/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rel.gov/docs/fy19osti/7239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5" x14ac:dyDescent="0.25"/>
  <cols>
    <col min="2" max="2" width="51.42578125" customWidth="1"/>
  </cols>
  <sheetData>
    <row r="1" spans="1:2" x14ac:dyDescent="0.25">
      <c r="A1" s="1" t="s">
        <v>111</v>
      </c>
    </row>
    <row r="3" spans="1:2" x14ac:dyDescent="0.25">
      <c r="A3" s="1" t="s">
        <v>112</v>
      </c>
      <c r="B3" t="s">
        <v>113</v>
      </c>
    </row>
    <row r="4" spans="1:2" x14ac:dyDescent="0.25">
      <c r="B4" s="3">
        <v>2018</v>
      </c>
    </row>
    <row r="5" spans="1:2" x14ac:dyDescent="0.25">
      <c r="B5" t="s">
        <v>114</v>
      </c>
    </row>
    <row r="6" spans="1:2" x14ac:dyDescent="0.25">
      <c r="B6" s="4" t="s">
        <v>115</v>
      </c>
    </row>
    <row r="7" spans="1:2" x14ac:dyDescent="0.25">
      <c r="B7" t="s">
        <v>116</v>
      </c>
    </row>
    <row r="9" spans="1:2" x14ac:dyDescent="0.25">
      <c r="A9" s="1" t="s">
        <v>117</v>
      </c>
    </row>
    <row r="10" spans="1:2" x14ac:dyDescent="0.25">
      <c r="A10" t="s">
        <v>118</v>
      </c>
    </row>
    <row r="11" spans="1:2" x14ac:dyDescent="0.25">
      <c r="A11" t="s">
        <v>119</v>
      </c>
    </row>
    <row r="12" spans="1:2" x14ac:dyDescent="0.25">
      <c r="A12" t="s">
        <v>120</v>
      </c>
    </row>
    <row r="14" spans="1:2" x14ac:dyDescent="0.25">
      <c r="A14" s="10" t="s">
        <v>121</v>
      </c>
    </row>
    <row r="15" spans="1:2" x14ac:dyDescent="0.25">
      <c r="A15" t="s">
        <v>122</v>
      </c>
    </row>
    <row r="16" spans="1:2" x14ac:dyDescent="0.25">
      <c r="A16" t="s">
        <v>123</v>
      </c>
    </row>
    <row r="18" spans="1:2" x14ac:dyDescent="0.25">
      <c r="A18" t="s">
        <v>124</v>
      </c>
    </row>
    <row r="19" spans="1:2" x14ac:dyDescent="0.25">
      <c r="A19" t="s">
        <v>125</v>
      </c>
    </row>
    <row r="21" spans="1:2" ht="45" x14ac:dyDescent="0.25">
      <c r="A21" s="1" t="s">
        <v>177</v>
      </c>
      <c r="B21" s="12" t="s">
        <v>178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workbookViewId="0"/>
  </sheetViews>
  <sheetFormatPr defaultRowHeight="15" x14ac:dyDescent="0.25"/>
  <cols>
    <col min="1" max="1" width="28" customWidth="1"/>
    <col min="2" max="2" width="30" customWidth="1"/>
    <col min="6" max="6" width="44" customWidth="1"/>
  </cols>
  <sheetData>
    <row r="1" spans="1:7" x14ac:dyDescent="0.25">
      <c r="A1" s="10" t="s">
        <v>126</v>
      </c>
    </row>
    <row r="2" spans="1:7" x14ac:dyDescent="0.25">
      <c r="A2" s="10" t="s">
        <v>127</v>
      </c>
      <c r="B2" s="10" t="s">
        <v>128</v>
      </c>
      <c r="C2" s="10" t="s">
        <v>129</v>
      </c>
      <c r="D2" s="10" t="s">
        <v>130</v>
      </c>
      <c r="E2" s="10" t="s">
        <v>131</v>
      </c>
      <c r="F2" s="10" t="s">
        <v>132</v>
      </c>
      <c r="G2" s="10" t="s">
        <v>133</v>
      </c>
    </row>
    <row r="3" spans="1:7" x14ac:dyDescent="0.25">
      <c r="A3" t="s">
        <v>134</v>
      </c>
      <c r="B3" t="s">
        <v>135</v>
      </c>
      <c r="C3" t="s">
        <v>136</v>
      </c>
      <c r="D3" t="s">
        <v>6</v>
      </c>
      <c r="E3">
        <v>0.94299868264323294</v>
      </c>
      <c r="F3" t="s">
        <v>137</v>
      </c>
      <c r="G3">
        <v>0.94299868264323294</v>
      </c>
    </row>
    <row r="4" spans="1:7" x14ac:dyDescent="0.25">
      <c r="A4" t="s">
        <v>134</v>
      </c>
      <c r="B4" t="s">
        <v>135</v>
      </c>
      <c r="C4" t="s">
        <v>138</v>
      </c>
      <c r="D4" t="s">
        <v>6</v>
      </c>
      <c r="E4">
        <v>4.1765731369656618E-2</v>
      </c>
      <c r="F4" t="s">
        <v>137</v>
      </c>
      <c r="G4">
        <v>4.1765731369656618E-2</v>
      </c>
    </row>
    <row r="5" spans="1:7" x14ac:dyDescent="0.25">
      <c r="A5" t="s">
        <v>134</v>
      </c>
      <c r="B5" t="s">
        <v>135</v>
      </c>
      <c r="C5" t="s">
        <v>139</v>
      </c>
      <c r="D5" t="s">
        <v>6</v>
      </c>
      <c r="E5">
        <v>1.523558598711041E-2</v>
      </c>
      <c r="F5" t="s">
        <v>137</v>
      </c>
      <c r="G5">
        <v>1.523558598711041E-2</v>
      </c>
    </row>
    <row r="6" spans="1:7" x14ac:dyDescent="0.25">
      <c r="A6" t="s">
        <v>134</v>
      </c>
      <c r="B6" t="s">
        <v>135</v>
      </c>
      <c r="C6" t="s">
        <v>140</v>
      </c>
      <c r="D6" t="s">
        <v>17</v>
      </c>
      <c r="E6">
        <v>0.43273688361237522</v>
      </c>
      <c r="F6" t="s">
        <v>137</v>
      </c>
      <c r="G6">
        <v>0.43273688361237522</v>
      </c>
    </row>
    <row r="7" spans="1:7" x14ac:dyDescent="0.25">
      <c r="A7" t="s">
        <v>134</v>
      </c>
      <c r="B7" t="s">
        <v>135</v>
      </c>
      <c r="C7" t="s">
        <v>141</v>
      </c>
      <c r="D7" t="s">
        <v>17</v>
      </c>
      <c r="E7">
        <v>0.56726311638762483</v>
      </c>
      <c r="F7" t="s">
        <v>137</v>
      </c>
      <c r="G7">
        <v>0.56726311638762483</v>
      </c>
    </row>
    <row r="8" spans="1:7" x14ac:dyDescent="0.25">
      <c r="A8" t="s">
        <v>134</v>
      </c>
      <c r="B8" t="s">
        <v>135</v>
      </c>
      <c r="C8" t="s">
        <v>142</v>
      </c>
      <c r="D8" t="s">
        <v>72</v>
      </c>
      <c r="E8">
        <v>0.1171368722490322</v>
      </c>
      <c r="F8" t="s">
        <v>137</v>
      </c>
      <c r="G8">
        <v>0.1171368722490322</v>
      </c>
    </row>
    <row r="9" spans="1:7" x14ac:dyDescent="0.25">
      <c r="A9" t="s">
        <v>134</v>
      </c>
      <c r="B9" t="s">
        <v>135</v>
      </c>
      <c r="C9" t="s">
        <v>143</v>
      </c>
      <c r="D9" t="s">
        <v>72</v>
      </c>
      <c r="E9">
        <v>0.88286312775096776</v>
      </c>
      <c r="F9" t="s">
        <v>137</v>
      </c>
      <c r="G9">
        <v>0.88286312775096776</v>
      </c>
    </row>
    <row r="10" spans="1:7" x14ac:dyDescent="0.25">
      <c r="A10" t="s">
        <v>134</v>
      </c>
      <c r="B10" t="s">
        <v>135</v>
      </c>
      <c r="C10" t="s">
        <v>144</v>
      </c>
      <c r="D10" t="s">
        <v>29</v>
      </c>
      <c r="E10">
        <v>0.69</v>
      </c>
      <c r="F10" t="s">
        <v>145</v>
      </c>
      <c r="G10">
        <v>0.45630816353267001</v>
      </c>
    </row>
    <row r="11" spans="1:7" x14ac:dyDescent="0.25">
      <c r="A11" t="s">
        <v>134</v>
      </c>
      <c r="B11" t="s">
        <v>135</v>
      </c>
      <c r="C11" t="s">
        <v>146</v>
      </c>
      <c r="D11" t="s">
        <v>29</v>
      </c>
      <c r="E11">
        <v>0</v>
      </c>
      <c r="F11" t="s">
        <v>145</v>
      </c>
      <c r="G11">
        <v>4.4370047500516312E-2</v>
      </c>
    </row>
    <row r="12" spans="1:7" x14ac:dyDescent="0.25">
      <c r="A12" t="s">
        <v>134</v>
      </c>
      <c r="B12" t="s">
        <v>135</v>
      </c>
      <c r="C12" t="s">
        <v>147</v>
      </c>
      <c r="D12" t="s">
        <v>29</v>
      </c>
      <c r="E12">
        <v>0</v>
      </c>
      <c r="F12" t="s">
        <v>145</v>
      </c>
      <c r="G12">
        <v>0.1883750452665103</v>
      </c>
    </row>
    <row r="13" spans="1:7" x14ac:dyDescent="0.25">
      <c r="A13" t="s">
        <v>134</v>
      </c>
      <c r="B13" t="s">
        <v>135</v>
      </c>
      <c r="C13" t="s">
        <v>148</v>
      </c>
      <c r="D13" t="s">
        <v>29</v>
      </c>
      <c r="E13">
        <v>0.31</v>
      </c>
      <c r="F13" t="s">
        <v>145</v>
      </c>
      <c r="G13">
        <v>0.22286512267581851</v>
      </c>
    </row>
    <row r="14" spans="1:7" x14ac:dyDescent="0.25">
      <c r="A14" t="s">
        <v>134</v>
      </c>
      <c r="B14" t="s">
        <v>135</v>
      </c>
      <c r="C14" t="s">
        <v>149</v>
      </c>
      <c r="D14" t="s">
        <v>29</v>
      </c>
      <c r="E14">
        <v>0</v>
      </c>
      <c r="F14" t="s">
        <v>145</v>
      </c>
      <c r="G14">
        <v>8.8081621024484816E-2</v>
      </c>
    </row>
    <row r="15" spans="1:7" x14ac:dyDescent="0.25">
      <c r="A15" t="s">
        <v>134</v>
      </c>
      <c r="B15" t="s">
        <v>135</v>
      </c>
      <c r="C15" t="s">
        <v>150</v>
      </c>
      <c r="D15" t="s">
        <v>16</v>
      </c>
      <c r="E15">
        <v>1</v>
      </c>
      <c r="F15" t="s">
        <v>145</v>
      </c>
      <c r="G15">
        <v>0.72982194479141249</v>
      </c>
    </row>
    <row r="16" spans="1:7" x14ac:dyDescent="0.25">
      <c r="A16" t="s">
        <v>134</v>
      </c>
      <c r="B16" t="s">
        <v>135</v>
      </c>
      <c r="C16" t="s">
        <v>151</v>
      </c>
      <c r="D16" t="s">
        <v>16</v>
      </c>
      <c r="E16">
        <v>0</v>
      </c>
      <c r="F16" t="s">
        <v>145</v>
      </c>
      <c r="G16">
        <v>0.27017805520858751</v>
      </c>
    </row>
    <row r="17" spans="1:7" x14ac:dyDescent="0.25">
      <c r="A17" t="s">
        <v>134</v>
      </c>
      <c r="B17" t="s">
        <v>135</v>
      </c>
      <c r="C17" t="s">
        <v>152</v>
      </c>
      <c r="D17" t="s">
        <v>107</v>
      </c>
      <c r="E17">
        <v>0.42162495143522749</v>
      </c>
      <c r="F17" t="s">
        <v>137</v>
      </c>
      <c r="G17">
        <v>0.42162495143522749</v>
      </c>
    </row>
    <row r="18" spans="1:7" x14ac:dyDescent="0.25">
      <c r="A18" t="s">
        <v>134</v>
      </c>
      <c r="B18" t="s">
        <v>135</v>
      </c>
      <c r="C18" t="s">
        <v>153</v>
      </c>
      <c r="D18" t="s">
        <v>107</v>
      </c>
      <c r="E18">
        <v>0.57837504856477251</v>
      </c>
      <c r="F18" t="s">
        <v>137</v>
      </c>
      <c r="G18">
        <v>0.57837504856477251</v>
      </c>
    </row>
    <row r="19" spans="1:7" x14ac:dyDescent="0.25">
      <c r="A19" t="s">
        <v>134</v>
      </c>
      <c r="B19" t="s">
        <v>154</v>
      </c>
      <c r="C19" t="s">
        <v>136</v>
      </c>
      <c r="D19" t="s">
        <v>6</v>
      </c>
      <c r="E19">
        <v>0.94299868264323294</v>
      </c>
      <c r="F19" t="s">
        <v>137</v>
      </c>
      <c r="G19">
        <v>0.94299868264323294</v>
      </c>
    </row>
    <row r="20" spans="1:7" x14ac:dyDescent="0.25">
      <c r="A20" t="s">
        <v>134</v>
      </c>
      <c r="B20" t="s">
        <v>154</v>
      </c>
      <c r="C20" t="s">
        <v>138</v>
      </c>
      <c r="D20" t="s">
        <v>6</v>
      </c>
      <c r="E20">
        <v>4.1765731369656618E-2</v>
      </c>
      <c r="F20" t="s">
        <v>137</v>
      </c>
      <c r="G20">
        <v>4.1765731369656618E-2</v>
      </c>
    </row>
    <row r="21" spans="1:7" x14ac:dyDescent="0.25">
      <c r="A21" t="s">
        <v>134</v>
      </c>
      <c r="B21" t="s">
        <v>154</v>
      </c>
      <c r="C21" t="s">
        <v>139</v>
      </c>
      <c r="D21" t="s">
        <v>6</v>
      </c>
      <c r="E21">
        <v>1.523558598711041E-2</v>
      </c>
      <c r="F21" t="s">
        <v>137</v>
      </c>
      <c r="G21">
        <v>1.523558598711041E-2</v>
      </c>
    </row>
    <row r="22" spans="1:7" x14ac:dyDescent="0.25">
      <c r="A22" t="s">
        <v>134</v>
      </c>
      <c r="B22" t="s">
        <v>154</v>
      </c>
      <c r="C22" t="s">
        <v>140</v>
      </c>
      <c r="D22" t="s">
        <v>17</v>
      </c>
      <c r="E22">
        <v>0.43273688361237522</v>
      </c>
      <c r="F22" t="s">
        <v>137</v>
      </c>
      <c r="G22">
        <v>0.43273688361237522</v>
      </c>
    </row>
    <row r="23" spans="1:7" x14ac:dyDescent="0.25">
      <c r="A23" t="s">
        <v>134</v>
      </c>
      <c r="B23" t="s">
        <v>154</v>
      </c>
      <c r="C23" t="s">
        <v>141</v>
      </c>
      <c r="D23" t="s">
        <v>17</v>
      </c>
      <c r="E23">
        <v>0.56726311638762483</v>
      </c>
      <c r="F23" t="s">
        <v>137</v>
      </c>
      <c r="G23">
        <v>0.56726311638762483</v>
      </c>
    </row>
    <row r="24" spans="1:7" x14ac:dyDescent="0.25">
      <c r="A24" t="s">
        <v>134</v>
      </c>
      <c r="B24" t="s">
        <v>154</v>
      </c>
      <c r="C24" t="s">
        <v>142</v>
      </c>
      <c r="D24" t="s">
        <v>72</v>
      </c>
      <c r="E24">
        <v>0.1171368722490322</v>
      </c>
      <c r="F24" t="s">
        <v>137</v>
      </c>
      <c r="G24">
        <v>0.1171368722490322</v>
      </c>
    </row>
    <row r="25" spans="1:7" x14ac:dyDescent="0.25">
      <c r="A25" t="s">
        <v>134</v>
      </c>
      <c r="B25" t="s">
        <v>154</v>
      </c>
      <c r="C25" t="s">
        <v>143</v>
      </c>
      <c r="D25" t="s">
        <v>72</v>
      </c>
      <c r="E25">
        <v>0.88286312775096776</v>
      </c>
      <c r="F25" t="s">
        <v>137</v>
      </c>
      <c r="G25">
        <v>0.88286312775096776</v>
      </c>
    </row>
    <row r="26" spans="1:7" x14ac:dyDescent="0.25">
      <c r="A26" t="s">
        <v>134</v>
      </c>
      <c r="B26" t="s">
        <v>154</v>
      </c>
      <c r="C26" t="s">
        <v>144</v>
      </c>
      <c r="D26" t="s">
        <v>29</v>
      </c>
      <c r="E26">
        <v>0.69</v>
      </c>
      <c r="F26" t="s">
        <v>145</v>
      </c>
      <c r="G26">
        <v>0.45630816353267001</v>
      </c>
    </row>
    <row r="27" spans="1:7" x14ac:dyDescent="0.25">
      <c r="A27" t="s">
        <v>134</v>
      </c>
      <c r="B27" t="s">
        <v>154</v>
      </c>
      <c r="C27" t="s">
        <v>146</v>
      </c>
      <c r="D27" t="s">
        <v>29</v>
      </c>
      <c r="E27">
        <v>0</v>
      </c>
      <c r="F27" t="s">
        <v>145</v>
      </c>
      <c r="G27">
        <v>4.4370047500516312E-2</v>
      </c>
    </row>
    <row r="28" spans="1:7" x14ac:dyDescent="0.25">
      <c r="A28" t="s">
        <v>134</v>
      </c>
      <c r="B28" t="s">
        <v>154</v>
      </c>
      <c r="C28" t="s">
        <v>147</v>
      </c>
      <c r="D28" t="s">
        <v>29</v>
      </c>
      <c r="E28">
        <v>0</v>
      </c>
      <c r="F28" t="s">
        <v>145</v>
      </c>
      <c r="G28">
        <v>0.1883750452665103</v>
      </c>
    </row>
    <row r="29" spans="1:7" x14ac:dyDescent="0.25">
      <c r="A29" t="s">
        <v>134</v>
      </c>
      <c r="B29" t="s">
        <v>154</v>
      </c>
      <c r="C29" t="s">
        <v>148</v>
      </c>
      <c r="D29" t="s">
        <v>29</v>
      </c>
      <c r="E29">
        <v>0.31</v>
      </c>
      <c r="F29" t="s">
        <v>145</v>
      </c>
      <c r="G29">
        <v>0.22286512267581851</v>
      </c>
    </row>
    <row r="30" spans="1:7" x14ac:dyDescent="0.25">
      <c r="A30" t="s">
        <v>134</v>
      </c>
      <c r="B30" t="s">
        <v>154</v>
      </c>
      <c r="C30" t="s">
        <v>149</v>
      </c>
      <c r="D30" t="s">
        <v>29</v>
      </c>
      <c r="E30">
        <v>0</v>
      </c>
      <c r="F30" t="s">
        <v>145</v>
      </c>
      <c r="G30">
        <v>8.8081621024484816E-2</v>
      </c>
    </row>
    <row r="31" spans="1:7" x14ac:dyDescent="0.25">
      <c r="A31" t="s">
        <v>134</v>
      </c>
      <c r="B31" t="s">
        <v>154</v>
      </c>
      <c r="C31" t="s">
        <v>150</v>
      </c>
      <c r="D31" t="s">
        <v>16</v>
      </c>
      <c r="E31">
        <v>1</v>
      </c>
      <c r="F31" t="s">
        <v>145</v>
      </c>
      <c r="G31">
        <v>0.72982194479141249</v>
      </c>
    </row>
    <row r="32" spans="1:7" x14ac:dyDescent="0.25">
      <c r="A32" t="s">
        <v>134</v>
      </c>
      <c r="B32" t="s">
        <v>154</v>
      </c>
      <c r="C32" t="s">
        <v>151</v>
      </c>
      <c r="D32" t="s">
        <v>16</v>
      </c>
      <c r="E32">
        <v>0</v>
      </c>
      <c r="F32" t="s">
        <v>145</v>
      </c>
      <c r="G32">
        <v>0.27017805520858751</v>
      </c>
    </row>
    <row r="33" spans="1:7" x14ac:dyDescent="0.25">
      <c r="A33" t="s">
        <v>134</v>
      </c>
      <c r="B33" t="s">
        <v>154</v>
      </c>
      <c r="C33" t="s">
        <v>152</v>
      </c>
      <c r="D33" t="s">
        <v>107</v>
      </c>
      <c r="E33">
        <v>0.42162495143522749</v>
      </c>
      <c r="F33" t="s">
        <v>137</v>
      </c>
      <c r="G33">
        <v>0.42162495143522749</v>
      </c>
    </row>
    <row r="34" spans="1:7" x14ac:dyDescent="0.25">
      <c r="A34" t="s">
        <v>134</v>
      </c>
      <c r="B34" t="s">
        <v>154</v>
      </c>
      <c r="C34" t="s">
        <v>153</v>
      </c>
      <c r="D34" t="s">
        <v>107</v>
      </c>
      <c r="E34">
        <v>0.57837504856477251</v>
      </c>
      <c r="F34" t="s">
        <v>137</v>
      </c>
      <c r="G34">
        <v>0.57837504856477251</v>
      </c>
    </row>
    <row r="35" spans="1:7" x14ac:dyDescent="0.25">
      <c r="A35" t="s">
        <v>134</v>
      </c>
      <c r="B35" t="s">
        <v>155</v>
      </c>
      <c r="C35" t="s">
        <v>136</v>
      </c>
      <c r="D35" t="s">
        <v>6</v>
      </c>
      <c r="E35">
        <v>0.94299868264323294</v>
      </c>
      <c r="F35" t="s">
        <v>137</v>
      </c>
      <c r="G35">
        <v>0.94299868264323294</v>
      </c>
    </row>
    <row r="36" spans="1:7" x14ac:dyDescent="0.25">
      <c r="A36" t="s">
        <v>134</v>
      </c>
      <c r="B36" t="s">
        <v>155</v>
      </c>
      <c r="C36" t="s">
        <v>138</v>
      </c>
      <c r="D36" t="s">
        <v>6</v>
      </c>
      <c r="E36">
        <v>4.1765731369656618E-2</v>
      </c>
      <c r="F36" t="s">
        <v>137</v>
      </c>
      <c r="G36">
        <v>4.1765731369656618E-2</v>
      </c>
    </row>
    <row r="37" spans="1:7" x14ac:dyDescent="0.25">
      <c r="A37" t="s">
        <v>134</v>
      </c>
      <c r="B37" t="s">
        <v>155</v>
      </c>
      <c r="C37" t="s">
        <v>139</v>
      </c>
      <c r="D37" t="s">
        <v>6</v>
      </c>
      <c r="E37">
        <v>1.523558598711041E-2</v>
      </c>
      <c r="F37" t="s">
        <v>137</v>
      </c>
      <c r="G37">
        <v>1.523558598711041E-2</v>
      </c>
    </row>
    <row r="38" spans="1:7" x14ac:dyDescent="0.25">
      <c r="A38" t="s">
        <v>134</v>
      </c>
      <c r="B38" t="s">
        <v>155</v>
      </c>
      <c r="C38" t="s">
        <v>140</v>
      </c>
      <c r="D38" t="s">
        <v>17</v>
      </c>
      <c r="E38">
        <v>0.43273688361237522</v>
      </c>
      <c r="F38" t="s">
        <v>137</v>
      </c>
      <c r="G38">
        <v>0.43273688361237522</v>
      </c>
    </row>
    <row r="39" spans="1:7" x14ac:dyDescent="0.25">
      <c r="A39" t="s">
        <v>134</v>
      </c>
      <c r="B39" t="s">
        <v>155</v>
      </c>
      <c r="C39" t="s">
        <v>141</v>
      </c>
      <c r="D39" t="s">
        <v>17</v>
      </c>
      <c r="E39">
        <v>0.56726311638762483</v>
      </c>
      <c r="F39" t="s">
        <v>137</v>
      </c>
      <c r="G39">
        <v>0.56726311638762483</v>
      </c>
    </row>
    <row r="40" spans="1:7" x14ac:dyDescent="0.25">
      <c r="A40" t="s">
        <v>134</v>
      </c>
      <c r="B40" t="s">
        <v>155</v>
      </c>
      <c r="C40" t="s">
        <v>142</v>
      </c>
      <c r="D40" t="s">
        <v>72</v>
      </c>
      <c r="E40">
        <v>0.1171368722490322</v>
      </c>
      <c r="F40" t="s">
        <v>137</v>
      </c>
      <c r="G40">
        <v>0.1171368722490322</v>
      </c>
    </row>
    <row r="41" spans="1:7" x14ac:dyDescent="0.25">
      <c r="A41" t="s">
        <v>134</v>
      </c>
      <c r="B41" t="s">
        <v>155</v>
      </c>
      <c r="C41" t="s">
        <v>143</v>
      </c>
      <c r="D41" t="s">
        <v>72</v>
      </c>
      <c r="E41">
        <v>0.88286312775096776</v>
      </c>
      <c r="F41" t="s">
        <v>137</v>
      </c>
      <c r="G41">
        <v>0.88286312775096776</v>
      </c>
    </row>
    <row r="42" spans="1:7" x14ac:dyDescent="0.25">
      <c r="A42" t="s">
        <v>134</v>
      </c>
      <c r="B42" t="s">
        <v>155</v>
      </c>
      <c r="C42" t="s">
        <v>144</v>
      </c>
      <c r="D42" t="s">
        <v>29</v>
      </c>
      <c r="E42">
        <v>0.69</v>
      </c>
      <c r="F42" t="s">
        <v>145</v>
      </c>
      <c r="G42">
        <v>0.45630816353267001</v>
      </c>
    </row>
    <row r="43" spans="1:7" x14ac:dyDescent="0.25">
      <c r="A43" t="s">
        <v>134</v>
      </c>
      <c r="B43" t="s">
        <v>155</v>
      </c>
      <c r="C43" t="s">
        <v>146</v>
      </c>
      <c r="D43" t="s">
        <v>29</v>
      </c>
      <c r="E43">
        <v>0</v>
      </c>
      <c r="F43" t="s">
        <v>145</v>
      </c>
      <c r="G43">
        <v>4.4370047500516312E-2</v>
      </c>
    </row>
    <row r="44" spans="1:7" x14ac:dyDescent="0.25">
      <c r="A44" t="s">
        <v>134</v>
      </c>
      <c r="B44" t="s">
        <v>155</v>
      </c>
      <c r="C44" t="s">
        <v>147</v>
      </c>
      <c r="D44" t="s">
        <v>29</v>
      </c>
      <c r="E44">
        <v>0</v>
      </c>
      <c r="F44" t="s">
        <v>145</v>
      </c>
      <c r="G44">
        <v>0.1883750452665103</v>
      </c>
    </row>
    <row r="45" spans="1:7" x14ac:dyDescent="0.25">
      <c r="A45" t="s">
        <v>134</v>
      </c>
      <c r="B45" t="s">
        <v>155</v>
      </c>
      <c r="C45" t="s">
        <v>148</v>
      </c>
      <c r="D45" t="s">
        <v>29</v>
      </c>
      <c r="E45">
        <v>0.31</v>
      </c>
      <c r="F45" t="s">
        <v>145</v>
      </c>
      <c r="G45">
        <v>0.22286512267581851</v>
      </c>
    </row>
    <row r="46" spans="1:7" x14ac:dyDescent="0.25">
      <c r="A46" t="s">
        <v>134</v>
      </c>
      <c r="B46" t="s">
        <v>155</v>
      </c>
      <c r="C46" t="s">
        <v>149</v>
      </c>
      <c r="D46" t="s">
        <v>29</v>
      </c>
      <c r="E46">
        <v>0</v>
      </c>
      <c r="F46" t="s">
        <v>145</v>
      </c>
      <c r="G46">
        <v>8.8081621024484816E-2</v>
      </c>
    </row>
    <row r="47" spans="1:7" x14ac:dyDescent="0.25">
      <c r="A47" t="s">
        <v>134</v>
      </c>
      <c r="B47" t="s">
        <v>155</v>
      </c>
      <c r="C47" t="s">
        <v>150</v>
      </c>
      <c r="D47" t="s">
        <v>16</v>
      </c>
      <c r="E47">
        <v>1</v>
      </c>
      <c r="F47" t="s">
        <v>145</v>
      </c>
      <c r="G47">
        <v>0.72982194479141249</v>
      </c>
    </row>
    <row r="48" spans="1:7" x14ac:dyDescent="0.25">
      <c r="A48" t="s">
        <v>134</v>
      </c>
      <c r="B48" t="s">
        <v>155</v>
      </c>
      <c r="C48" t="s">
        <v>151</v>
      </c>
      <c r="D48" t="s">
        <v>16</v>
      </c>
      <c r="E48">
        <v>0</v>
      </c>
      <c r="F48" t="s">
        <v>145</v>
      </c>
      <c r="G48">
        <v>0.27017805520858751</v>
      </c>
    </row>
    <row r="49" spans="1:7" x14ac:dyDescent="0.25">
      <c r="A49" t="s">
        <v>134</v>
      </c>
      <c r="B49" t="s">
        <v>155</v>
      </c>
      <c r="C49" t="s">
        <v>152</v>
      </c>
      <c r="D49" t="s">
        <v>107</v>
      </c>
      <c r="E49">
        <v>0.42162495143522749</v>
      </c>
      <c r="F49" t="s">
        <v>137</v>
      </c>
      <c r="G49">
        <v>0.42162495143522749</v>
      </c>
    </row>
    <row r="50" spans="1:7" x14ac:dyDescent="0.25">
      <c r="A50" t="s">
        <v>134</v>
      </c>
      <c r="B50" t="s">
        <v>155</v>
      </c>
      <c r="C50" t="s">
        <v>153</v>
      </c>
      <c r="D50" t="s">
        <v>107</v>
      </c>
      <c r="E50">
        <v>0.57837504856477251</v>
      </c>
      <c r="F50" t="s">
        <v>137</v>
      </c>
      <c r="G50">
        <v>0.57837504856477251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tabSelected="1" workbookViewId="0"/>
  </sheetViews>
  <sheetFormatPr defaultRowHeight="15" x14ac:dyDescent="0.25"/>
  <cols>
    <col min="1" max="1" width="39.7109375" customWidth="1"/>
    <col min="2" max="2" width="14.5703125" customWidth="1"/>
    <col min="3" max="3" width="12.7109375" customWidth="1"/>
    <col min="5" max="5" width="11.28515625" customWidth="1"/>
    <col min="7" max="7" width="11.85546875" customWidth="1"/>
    <col min="8" max="8" width="66.85546875" customWidth="1"/>
  </cols>
  <sheetData>
    <row r="1" spans="1:8" x14ac:dyDescent="0.25">
      <c r="A1" s="7" t="s">
        <v>0</v>
      </c>
      <c r="B1" s="8"/>
      <c r="C1" s="8"/>
      <c r="D1" s="8"/>
      <c r="E1" s="8"/>
      <c r="G1" s="7" t="s">
        <v>1</v>
      </c>
      <c r="H1" s="7" t="s">
        <v>2</v>
      </c>
    </row>
    <row r="2" spans="1:8" ht="30" customHeight="1" x14ac:dyDescent="0.25">
      <c r="A2" s="9" t="s">
        <v>3</v>
      </c>
      <c r="B2" s="9" t="s">
        <v>4</v>
      </c>
      <c r="C2" s="9" t="s">
        <v>4</v>
      </c>
      <c r="D2" s="1" t="s">
        <v>5</v>
      </c>
      <c r="E2" s="1" t="s">
        <v>1</v>
      </c>
      <c r="G2" t="s">
        <v>6</v>
      </c>
      <c r="H2" t="s">
        <v>7</v>
      </c>
    </row>
    <row r="3" spans="1:8" x14ac:dyDescent="0.25">
      <c r="A3" t="s">
        <v>8</v>
      </c>
      <c r="B3">
        <v>0.33</v>
      </c>
      <c r="C3">
        <f>B3</f>
        <v>0.33</v>
      </c>
      <c r="D3" s="2">
        <f t="shared" ref="D3:D13" si="0">C3/SUM($C$3:$C$13)</f>
        <v>0.11115462948456839</v>
      </c>
      <c r="E3" t="s">
        <v>9</v>
      </c>
      <c r="G3" t="s">
        <v>10</v>
      </c>
      <c r="H3" t="s">
        <v>11</v>
      </c>
    </row>
    <row r="4" spans="1:8" x14ac:dyDescent="0.25">
      <c r="A4" t="s">
        <v>12</v>
      </c>
      <c r="B4">
        <v>0.32</v>
      </c>
      <c r="C4">
        <f>B4</f>
        <v>0.32</v>
      </c>
      <c r="D4" s="2">
        <f t="shared" si="0"/>
        <v>0.10778630737897542</v>
      </c>
      <c r="E4" t="s">
        <v>9</v>
      </c>
      <c r="G4" t="s">
        <v>13</v>
      </c>
      <c r="H4" t="s">
        <v>14</v>
      </c>
    </row>
    <row r="5" spans="1:8" x14ac:dyDescent="0.25">
      <c r="A5" t="s">
        <v>15</v>
      </c>
      <c r="B5">
        <v>0.35</v>
      </c>
      <c r="C5">
        <f>B5</f>
        <v>0.35</v>
      </c>
      <c r="D5" s="2">
        <f t="shared" si="0"/>
        <v>0.11789127369575435</v>
      </c>
      <c r="E5" t="s">
        <v>16</v>
      </c>
      <c r="G5" t="s">
        <v>17</v>
      </c>
      <c r="H5" t="s">
        <v>18</v>
      </c>
    </row>
    <row r="6" spans="1:8" x14ac:dyDescent="0.25">
      <c r="A6" t="s">
        <v>19</v>
      </c>
      <c r="B6">
        <v>0.06</v>
      </c>
      <c r="C6">
        <f>B6</f>
        <v>0.06</v>
      </c>
      <c r="D6" s="2">
        <f t="shared" si="0"/>
        <v>2.020993263355789E-2</v>
      </c>
      <c r="E6" t="s">
        <v>16</v>
      </c>
      <c r="G6" t="s">
        <v>20</v>
      </c>
      <c r="H6" t="s">
        <v>21</v>
      </c>
    </row>
    <row r="7" spans="1:8" x14ac:dyDescent="0.25">
      <c r="A7" t="s">
        <v>22</v>
      </c>
      <c r="B7">
        <v>0.27</v>
      </c>
      <c r="C7">
        <f>B7</f>
        <v>0.27</v>
      </c>
      <c r="D7" s="2">
        <f t="shared" si="0"/>
        <v>9.0944696851010504E-2</v>
      </c>
      <c r="E7" t="s">
        <v>9</v>
      </c>
      <c r="G7" t="s">
        <v>23</v>
      </c>
      <c r="H7" t="s">
        <v>24</v>
      </c>
    </row>
    <row r="8" spans="1:8" x14ac:dyDescent="0.25">
      <c r="A8" t="s">
        <v>25</v>
      </c>
      <c r="B8">
        <v>0.09</v>
      </c>
      <c r="C8" s="5">
        <v>0</v>
      </c>
      <c r="D8" s="2">
        <f t="shared" si="0"/>
        <v>0</v>
      </c>
      <c r="G8" t="s">
        <v>26</v>
      </c>
      <c r="H8" t="s">
        <v>27</v>
      </c>
    </row>
    <row r="9" spans="1:8" x14ac:dyDescent="0.25">
      <c r="A9" t="s">
        <v>28</v>
      </c>
      <c r="B9">
        <v>0.3</v>
      </c>
      <c r="C9" s="6">
        <f>B9+(B$8/SUM(B$9:B$13))</f>
        <v>0.36976744186046512</v>
      </c>
      <c r="D9" s="2">
        <f t="shared" si="0"/>
        <v>0.12454958483471723</v>
      </c>
      <c r="E9" t="s">
        <v>29</v>
      </c>
      <c r="G9" t="s">
        <v>30</v>
      </c>
      <c r="H9" t="s">
        <v>31</v>
      </c>
    </row>
    <row r="10" spans="1:8" x14ac:dyDescent="0.25">
      <c r="A10" t="s">
        <v>32</v>
      </c>
      <c r="B10">
        <v>0.21</v>
      </c>
      <c r="C10" s="6">
        <f>B10+(B$8/SUM(B$9:B$13))</f>
        <v>0.27976744186046509</v>
      </c>
      <c r="D10" s="2">
        <f t="shared" si="0"/>
        <v>9.4234685884380387E-2</v>
      </c>
      <c r="E10" t="s">
        <v>33</v>
      </c>
      <c r="G10" t="s">
        <v>34</v>
      </c>
      <c r="H10" t="s">
        <v>35</v>
      </c>
    </row>
    <row r="11" spans="1:8" x14ac:dyDescent="0.25">
      <c r="A11" t="s">
        <v>36</v>
      </c>
      <c r="B11">
        <v>0.1</v>
      </c>
      <c r="C11" s="6">
        <f>B11+(B$8/SUM(B$9:B$13))</f>
        <v>0.16976744186046511</v>
      </c>
      <c r="D11" s="2">
        <f t="shared" si="0"/>
        <v>5.7183142722857593E-2</v>
      </c>
      <c r="E11" t="s">
        <v>37</v>
      </c>
      <c r="G11" t="s">
        <v>38</v>
      </c>
      <c r="H11" t="s">
        <v>39</v>
      </c>
    </row>
    <row r="12" spans="1:8" x14ac:dyDescent="0.25">
      <c r="A12" t="s">
        <v>40</v>
      </c>
      <c r="B12">
        <v>0.21</v>
      </c>
      <c r="C12" s="6">
        <f>B12+(B$8/SUM(B$9:B$13))</f>
        <v>0.27976744186046509</v>
      </c>
      <c r="D12" s="2">
        <f t="shared" si="0"/>
        <v>9.4234685884380387E-2</v>
      </c>
      <c r="E12" t="s">
        <v>33</v>
      </c>
      <c r="G12" t="s">
        <v>41</v>
      </c>
      <c r="H12" t="s">
        <v>42</v>
      </c>
    </row>
    <row r="13" spans="1:8" x14ac:dyDescent="0.25">
      <c r="A13" t="s">
        <v>43</v>
      </c>
      <c r="B13">
        <v>0.47</v>
      </c>
      <c r="C13" s="6">
        <f>B13+(B$8/SUM(B$9:B$13))</f>
        <v>0.5397674418604651</v>
      </c>
      <c r="D13" s="2">
        <f t="shared" si="0"/>
        <v>0.1818110606297979</v>
      </c>
      <c r="E13" t="s">
        <v>44</v>
      </c>
      <c r="G13" t="s">
        <v>45</v>
      </c>
      <c r="H13" t="s">
        <v>46</v>
      </c>
    </row>
    <row r="14" spans="1:8" x14ac:dyDescent="0.25">
      <c r="G14" t="s">
        <v>47</v>
      </c>
      <c r="H14" t="s">
        <v>48</v>
      </c>
    </row>
    <row r="15" spans="1:8" x14ac:dyDescent="0.25">
      <c r="A15" s="7" t="s">
        <v>49</v>
      </c>
      <c r="B15" s="8"/>
      <c r="C15" s="8"/>
      <c r="D15" s="8"/>
      <c r="E15" s="8"/>
      <c r="G15" t="s">
        <v>50</v>
      </c>
      <c r="H15" t="s">
        <v>51</v>
      </c>
    </row>
    <row r="16" spans="1:8" ht="30" customHeight="1" x14ac:dyDescent="0.25">
      <c r="A16" s="1" t="s">
        <v>52</v>
      </c>
      <c r="B16" s="9" t="s">
        <v>4</v>
      </c>
      <c r="C16" s="9" t="s">
        <v>4</v>
      </c>
      <c r="D16" s="1" t="s">
        <v>5</v>
      </c>
      <c r="E16" s="1" t="s">
        <v>1</v>
      </c>
      <c r="G16" t="s">
        <v>53</v>
      </c>
      <c r="H16" t="s">
        <v>54</v>
      </c>
    </row>
    <row r="17" spans="1:8" x14ac:dyDescent="0.25">
      <c r="A17" t="s">
        <v>55</v>
      </c>
      <c r="B17">
        <v>0.12</v>
      </c>
      <c r="C17">
        <f>B17</f>
        <v>0.12</v>
      </c>
      <c r="D17" s="2">
        <f t="shared" ref="D17:D27" si="1">C17/SUM($C$17:$C$27)</f>
        <v>5.9203313436472164E-2</v>
      </c>
      <c r="E17" t="s">
        <v>9</v>
      </c>
      <c r="G17" t="s">
        <v>56</v>
      </c>
      <c r="H17" t="s">
        <v>57</v>
      </c>
    </row>
    <row r="18" spans="1:8" x14ac:dyDescent="0.25">
      <c r="A18" t="s">
        <v>58</v>
      </c>
      <c r="B18">
        <v>0.05</v>
      </c>
      <c r="C18">
        <f>B18</f>
        <v>0.05</v>
      </c>
      <c r="D18" s="2">
        <f t="shared" si="1"/>
        <v>2.4668047265196738E-2</v>
      </c>
      <c r="E18" t="s">
        <v>9</v>
      </c>
      <c r="G18" t="s">
        <v>59</v>
      </c>
      <c r="H18" t="s">
        <v>60</v>
      </c>
    </row>
    <row r="19" spans="1:8" x14ac:dyDescent="0.25">
      <c r="A19" t="s">
        <v>61</v>
      </c>
      <c r="B19">
        <v>0.36</v>
      </c>
      <c r="C19">
        <f>B19</f>
        <v>0.36</v>
      </c>
      <c r="D19" s="2">
        <f t="shared" si="1"/>
        <v>0.17760994030941649</v>
      </c>
      <c r="E19" t="s">
        <v>9</v>
      </c>
      <c r="G19" t="s">
        <v>37</v>
      </c>
      <c r="H19" t="s">
        <v>62</v>
      </c>
    </row>
    <row r="20" spans="1:8" x14ac:dyDescent="0.25">
      <c r="A20" t="s">
        <v>25</v>
      </c>
      <c r="B20">
        <v>0.05</v>
      </c>
      <c r="C20" s="5">
        <v>0</v>
      </c>
      <c r="D20" s="2">
        <f t="shared" si="1"/>
        <v>0</v>
      </c>
      <c r="G20" t="s">
        <v>44</v>
      </c>
      <c r="H20" t="s">
        <v>63</v>
      </c>
    </row>
    <row r="21" spans="1:8" x14ac:dyDescent="0.25">
      <c r="A21" t="s">
        <v>64</v>
      </c>
      <c r="B21">
        <v>0.1</v>
      </c>
      <c r="C21">
        <f>B21</f>
        <v>0.1</v>
      </c>
      <c r="D21" s="2">
        <f t="shared" si="1"/>
        <v>4.9336094530393476E-2</v>
      </c>
      <c r="E21" t="s">
        <v>16</v>
      </c>
      <c r="G21" t="s">
        <v>33</v>
      </c>
      <c r="H21" t="s">
        <v>65</v>
      </c>
    </row>
    <row r="22" spans="1:8" x14ac:dyDescent="0.25">
      <c r="A22" t="s">
        <v>66</v>
      </c>
      <c r="B22">
        <v>0.18</v>
      </c>
      <c r="C22">
        <f>B22</f>
        <v>0.18</v>
      </c>
      <c r="D22" s="2">
        <f t="shared" si="1"/>
        <v>8.8804970154708243E-2</v>
      </c>
      <c r="E22" t="s">
        <v>9</v>
      </c>
      <c r="G22" t="s">
        <v>67</v>
      </c>
      <c r="H22" t="s">
        <v>68</v>
      </c>
    </row>
    <row r="23" spans="1:8" x14ac:dyDescent="0.25">
      <c r="A23" t="s">
        <v>69</v>
      </c>
      <c r="B23">
        <v>0.16</v>
      </c>
      <c r="C23">
        <f>B23</f>
        <v>0.16</v>
      </c>
      <c r="D23" s="2">
        <f t="shared" si="1"/>
        <v>7.8937751248629548E-2</v>
      </c>
      <c r="E23" t="s">
        <v>9</v>
      </c>
      <c r="G23" t="s">
        <v>70</v>
      </c>
      <c r="H23" t="s">
        <v>71</v>
      </c>
    </row>
    <row r="24" spans="1:8" x14ac:dyDescent="0.25">
      <c r="A24" t="s">
        <v>32</v>
      </c>
      <c r="B24">
        <v>0.14000000000000001</v>
      </c>
      <c r="C24" s="6">
        <f>B24+(B$20/SUM(B$24:B$27))</f>
        <v>0.2017283950617284</v>
      </c>
      <c r="D24" s="2">
        <f t="shared" si="1"/>
        <v>9.9524911682299919E-2</v>
      </c>
      <c r="E24" t="s">
        <v>33</v>
      </c>
      <c r="G24" t="s">
        <v>72</v>
      </c>
      <c r="H24" t="s">
        <v>73</v>
      </c>
    </row>
    <row r="25" spans="1:8" x14ac:dyDescent="0.25">
      <c r="A25" t="s">
        <v>74</v>
      </c>
      <c r="B25">
        <v>0.12</v>
      </c>
      <c r="C25" s="6">
        <f>B25+(B$20/SUM(B$24:B$27))</f>
        <v>0.18172839506172839</v>
      </c>
      <c r="D25" s="2">
        <f t="shared" si="1"/>
        <v>8.9657692776221209E-2</v>
      </c>
      <c r="E25" t="s">
        <v>37</v>
      </c>
      <c r="G25" t="s">
        <v>75</v>
      </c>
      <c r="H25" t="s">
        <v>76</v>
      </c>
    </row>
    <row r="26" spans="1:8" x14ac:dyDescent="0.25">
      <c r="A26" t="s">
        <v>77</v>
      </c>
      <c r="B26">
        <v>0.08</v>
      </c>
      <c r="C26" s="6">
        <f>B26+(B$20/SUM(B$24:B$27))</f>
        <v>0.14172839506172841</v>
      </c>
      <c r="D26" s="2">
        <f t="shared" si="1"/>
        <v>6.9923254964063833E-2</v>
      </c>
      <c r="E26" t="s">
        <v>33</v>
      </c>
      <c r="G26" t="s">
        <v>78</v>
      </c>
      <c r="H26" t="s">
        <v>79</v>
      </c>
    </row>
    <row r="27" spans="1:8" x14ac:dyDescent="0.25">
      <c r="A27" t="s">
        <v>43</v>
      </c>
      <c r="B27">
        <v>0.47</v>
      </c>
      <c r="C27" s="6">
        <f>B27+(B$20/SUM(B$24:B$27))</f>
        <v>0.53172839506172842</v>
      </c>
      <c r="D27" s="2">
        <f t="shared" si="1"/>
        <v>0.26233402363259839</v>
      </c>
      <c r="E27" t="s">
        <v>44</v>
      </c>
      <c r="G27" t="s">
        <v>80</v>
      </c>
      <c r="H27" t="s">
        <v>81</v>
      </c>
    </row>
    <row r="28" spans="1:8" x14ac:dyDescent="0.25">
      <c r="G28" t="s">
        <v>82</v>
      </c>
      <c r="H28" t="s">
        <v>83</v>
      </c>
    </row>
    <row r="29" spans="1:8" x14ac:dyDescent="0.25">
      <c r="G29" t="s">
        <v>9</v>
      </c>
      <c r="H29" t="s">
        <v>84</v>
      </c>
    </row>
    <row r="30" spans="1:8" x14ac:dyDescent="0.25">
      <c r="G30" t="s">
        <v>85</v>
      </c>
      <c r="H30" t="s">
        <v>86</v>
      </c>
    </row>
    <row r="31" spans="1:8" x14ac:dyDescent="0.25">
      <c r="G31" t="s">
        <v>29</v>
      </c>
      <c r="H31" t="s">
        <v>87</v>
      </c>
    </row>
    <row r="32" spans="1:8" x14ac:dyDescent="0.25">
      <c r="G32" t="s">
        <v>88</v>
      </c>
      <c r="H32" t="s">
        <v>89</v>
      </c>
    </row>
    <row r="33" spans="7:8" x14ac:dyDescent="0.25">
      <c r="G33" t="s">
        <v>90</v>
      </c>
      <c r="H33" t="s">
        <v>91</v>
      </c>
    </row>
    <row r="34" spans="7:8" x14ac:dyDescent="0.25">
      <c r="G34" t="s">
        <v>92</v>
      </c>
      <c r="H34" t="s">
        <v>93</v>
      </c>
    </row>
    <row r="35" spans="7:8" x14ac:dyDescent="0.25">
      <c r="G35" t="s">
        <v>94</v>
      </c>
      <c r="H35" t="s">
        <v>95</v>
      </c>
    </row>
    <row r="36" spans="7:8" x14ac:dyDescent="0.25">
      <c r="G36" t="s">
        <v>96</v>
      </c>
      <c r="H36" t="s">
        <v>97</v>
      </c>
    </row>
    <row r="37" spans="7:8" x14ac:dyDescent="0.25">
      <c r="G37" t="s">
        <v>98</v>
      </c>
      <c r="H37" t="s">
        <v>99</v>
      </c>
    </row>
    <row r="38" spans="7:8" x14ac:dyDescent="0.25">
      <c r="G38" t="s">
        <v>16</v>
      </c>
      <c r="H38" t="s">
        <v>100</v>
      </c>
    </row>
    <row r="39" spans="7:8" x14ac:dyDescent="0.25">
      <c r="G39" t="s">
        <v>101</v>
      </c>
      <c r="H39" t="s">
        <v>102</v>
      </c>
    </row>
    <row r="40" spans="7:8" x14ac:dyDescent="0.25">
      <c r="G40" t="s">
        <v>103</v>
      </c>
      <c r="H40" t="s">
        <v>104</v>
      </c>
    </row>
    <row r="41" spans="7:8" x14ac:dyDescent="0.25">
      <c r="G41" t="s">
        <v>105</v>
      </c>
      <c r="H41" t="s">
        <v>106</v>
      </c>
    </row>
    <row r="42" spans="7:8" x14ac:dyDescent="0.25">
      <c r="G42" t="s">
        <v>107</v>
      </c>
      <c r="H42" t="s">
        <v>108</v>
      </c>
    </row>
    <row r="43" spans="7:8" x14ac:dyDescent="0.25">
      <c r="G43" t="s">
        <v>109</v>
      </c>
      <c r="H43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s="10" t="s">
        <v>156</v>
      </c>
    </row>
    <row r="3" spans="1:3" x14ac:dyDescent="0.25">
      <c r="A3" s="10" t="s">
        <v>157</v>
      </c>
    </row>
    <row r="4" spans="1:3" x14ac:dyDescent="0.25">
      <c r="A4" t="s">
        <v>158</v>
      </c>
      <c r="B4">
        <f>('Factors applied'!$E$3+'Factors applied'!$E$4+'Factors applied'!$E$5)</f>
        <v>1</v>
      </c>
      <c r="C4" s="10" t="str">
        <f t="shared" ref="C4:C21" si="0">IF(ABS(B4-1)&lt;0.000000001,"PASS","FAIL")</f>
        <v>PASS</v>
      </c>
    </row>
    <row r="5" spans="1:3" x14ac:dyDescent="0.25">
      <c r="A5" t="s">
        <v>159</v>
      </c>
      <c r="B5">
        <f>('Factors applied'!$E$6+'Factors applied'!$E$7)</f>
        <v>1</v>
      </c>
      <c r="C5" s="10" t="str">
        <f t="shared" si="0"/>
        <v>PASS</v>
      </c>
    </row>
    <row r="6" spans="1:3" x14ac:dyDescent="0.25">
      <c r="A6" t="s">
        <v>160</v>
      </c>
      <c r="B6">
        <f>('Factors applied'!$E$8+'Factors applied'!$E$9)</f>
        <v>1</v>
      </c>
      <c r="C6" s="10" t="str">
        <f t="shared" si="0"/>
        <v>PASS</v>
      </c>
    </row>
    <row r="7" spans="1:3" x14ac:dyDescent="0.25">
      <c r="A7" t="s">
        <v>161</v>
      </c>
      <c r="B7">
        <f>('Factors applied'!$E$10+'Factors applied'!$E$11+'Factors applied'!$E$12+'Factors applied'!$E$13+'Factors applied'!$E$14)</f>
        <v>1</v>
      </c>
      <c r="C7" s="10" t="str">
        <f t="shared" si="0"/>
        <v>PASS</v>
      </c>
    </row>
    <row r="8" spans="1:3" x14ac:dyDescent="0.25">
      <c r="A8" t="s">
        <v>162</v>
      </c>
      <c r="B8">
        <f>('Factors applied'!$E$15+'Factors applied'!$E$16)</f>
        <v>1</v>
      </c>
      <c r="C8" s="10" t="str">
        <f t="shared" si="0"/>
        <v>PASS</v>
      </c>
    </row>
    <row r="9" spans="1:3" x14ac:dyDescent="0.25">
      <c r="A9" t="s">
        <v>163</v>
      </c>
      <c r="B9">
        <f>('Factors applied'!$E$17+'Factors applied'!$E$18)</f>
        <v>1</v>
      </c>
      <c r="C9" s="10" t="str">
        <f t="shared" si="0"/>
        <v>PASS</v>
      </c>
    </row>
    <row r="10" spans="1:3" x14ac:dyDescent="0.25">
      <c r="A10" t="s">
        <v>164</v>
      </c>
      <c r="B10">
        <f>('Factors applied'!$E$19+'Factors applied'!$E$20+'Factors applied'!$E$21)</f>
        <v>1</v>
      </c>
      <c r="C10" s="10" t="str">
        <f t="shared" si="0"/>
        <v>PASS</v>
      </c>
    </row>
    <row r="11" spans="1:3" x14ac:dyDescent="0.25">
      <c r="A11" t="s">
        <v>165</v>
      </c>
      <c r="B11">
        <f>('Factors applied'!$E$22+'Factors applied'!$E$23)</f>
        <v>1</v>
      </c>
      <c r="C11" s="10" t="str">
        <f t="shared" si="0"/>
        <v>PASS</v>
      </c>
    </row>
    <row r="12" spans="1:3" x14ac:dyDescent="0.25">
      <c r="A12" t="s">
        <v>166</v>
      </c>
      <c r="B12">
        <f>('Factors applied'!$E$24+'Factors applied'!$E$25)</f>
        <v>1</v>
      </c>
      <c r="C12" s="10" t="str">
        <f t="shared" si="0"/>
        <v>PASS</v>
      </c>
    </row>
    <row r="13" spans="1:3" x14ac:dyDescent="0.25">
      <c r="A13" t="s">
        <v>167</v>
      </c>
      <c r="B13">
        <f>('Factors applied'!$E$26+'Factors applied'!$E$27+'Factors applied'!$E$28+'Factors applied'!$E$29+'Factors applied'!$E$30)</f>
        <v>1</v>
      </c>
      <c r="C13" s="10" t="str">
        <f t="shared" si="0"/>
        <v>PASS</v>
      </c>
    </row>
    <row r="14" spans="1:3" x14ac:dyDescent="0.25">
      <c r="A14" t="s">
        <v>168</v>
      </c>
      <c r="B14">
        <f>('Factors applied'!$E$31+'Factors applied'!$E$32)</f>
        <v>1</v>
      </c>
      <c r="C14" s="10" t="str">
        <f t="shared" si="0"/>
        <v>PASS</v>
      </c>
    </row>
    <row r="15" spans="1:3" x14ac:dyDescent="0.25">
      <c r="A15" t="s">
        <v>169</v>
      </c>
      <c r="B15">
        <f>('Factors applied'!$E$33+'Factors applied'!$E$34)</f>
        <v>1</v>
      </c>
      <c r="C15" s="10" t="str">
        <f t="shared" si="0"/>
        <v>PASS</v>
      </c>
    </row>
    <row r="16" spans="1:3" x14ac:dyDescent="0.25">
      <c r="A16" t="s">
        <v>170</v>
      </c>
      <c r="B16">
        <f>('Factors applied'!$E$35+'Factors applied'!$E$36+'Factors applied'!$E$37)</f>
        <v>1</v>
      </c>
      <c r="C16" s="10" t="str">
        <f t="shared" si="0"/>
        <v>PASS</v>
      </c>
    </row>
    <row r="17" spans="1:3" x14ac:dyDescent="0.25">
      <c r="A17" t="s">
        <v>171</v>
      </c>
      <c r="B17">
        <f>('Factors applied'!$E$38+'Factors applied'!$E$39)</f>
        <v>1</v>
      </c>
      <c r="C17" s="10" t="str">
        <f t="shared" si="0"/>
        <v>PASS</v>
      </c>
    </row>
    <row r="18" spans="1:3" x14ac:dyDescent="0.25">
      <c r="A18" t="s">
        <v>172</v>
      </c>
      <c r="B18">
        <f>('Factors applied'!$E$40+'Factors applied'!$E$41)</f>
        <v>1</v>
      </c>
      <c r="C18" s="10" t="str">
        <f t="shared" si="0"/>
        <v>PASS</v>
      </c>
    </row>
    <row r="19" spans="1:3" x14ac:dyDescent="0.25">
      <c r="A19" t="s">
        <v>173</v>
      </c>
      <c r="B19">
        <f>('Factors applied'!$E$42+'Factors applied'!$E$43+'Factors applied'!$E$44+'Factors applied'!$E$45+'Factors applied'!$E$46)</f>
        <v>1</v>
      </c>
      <c r="C19" s="10" t="str">
        <f t="shared" si="0"/>
        <v>PASS</v>
      </c>
    </row>
    <row r="20" spans="1:3" x14ac:dyDescent="0.25">
      <c r="A20" t="s">
        <v>174</v>
      </c>
      <c r="B20">
        <f>('Factors applied'!$E$47+'Factors applied'!$E$48)</f>
        <v>1</v>
      </c>
      <c r="C20" s="10" t="str">
        <f t="shared" si="0"/>
        <v>PASS</v>
      </c>
    </row>
    <row r="21" spans="1:3" x14ac:dyDescent="0.25">
      <c r="A21" t="s">
        <v>175</v>
      </c>
      <c r="B21">
        <f>('Factors applied'!$E$49+'Factors applied'!$E$50)</f>
        <v>1</v>
      </c>
      <c r="C21" s="10" t="str">
        <f t="shared" si="0"/>
        <v>PASS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BA5"/>
  <sheetViews>
    <sheetView tabSelected="1" workbookViewId="0"/>
  </sheetViews>
  <sheetFormatPr defaultRowHeight="15" x14ac:dyDescent="0.25"/>
  <cols>
    <col min="1" max="1" width="16.28515625" bestFit="1" customWidth="1"/>
  </cols>
  <sheetData>
    <row r="1" spans="1:53" x14ac:dyDescent="0.25">
      <c r="A1" s="11"/>
      <c r="B1" s="10" t="s">
        <v>136</v>
      </c>
      <c r="C1" s="10" t="s">
        <v>138</v>
      </c>
      <c r="D1" s="10" t="s">
        <v>139</v>
      </c>
      <c r="E1" s="10" t="s">
        <v>10</v>
      </c>
      <c r="F1" s="10" t="s">
        <v>13</v>
      </c>
      <c r="G1" s="10" t="s">
        <v>140</v>
      </c>
      <c r="H1" s="10" t="s">
        <v>141</v>
      </c>
      <c r="I1" s="10" t="s">
        <v>20</v>
      </c>
      <c r="J1" s="10" t="s">
        <v>23</v>
      </c>
      <c r="K1" s="10" t="s">
        <v>26</v>
      </c>
      <c r="L1" s="10" t="s">
        <v>30</v>
      </c>
      <c r="M1" s="10" t="s">
        <v>34</v>
      </c>
      <c r="N1" s="10" t="s">
        <v>38</v>
      </c>
      <c r="O1" s="10" t="s">
        <v>41</v>
      </c>
      <c r="P1" s="10" t="s">
        <v>45</v>
      </c>
      <c r="Q1" s="10" t="s">
        <v>47</v>
      </c>
      <c r="R1" s="10" t="s">
        <v>50</v>
      </c>
      <c r="S1" s="10" t="s">
        <v>53</v>
      </c>
      <c r="T1" s="10" t="s">
        <v>56</v>
      </c>
      <c r="U1" s="10" t="s">
        <v>59</v>
      </c>
      <c r="V1" s="10" t="s">
        <v>37</v>
      </c>
      <c r="W1" s="10" t="s">
        <v>44</v>
      </c>
      <c r="X1" s="10" t="s">
        <v>33</v>
      </c>
      <c r="Y1" s="10" t="s">
        <v>67</v>
      </c>
      <c r="Z1" s="10" t="s">
        <v>70</v>
      </c>
      <c r="AA1" s="10" t="s">
        <v>142</v>
      </c>
      <c r="AB1" s="10" t="s">
        <v>143</v>
      </c>
      <c r="AC1" s="10" t="s">
        <v>75</v>
      </c>
      <c r="AD1" s="10" t="s">
        <v>78</v>
      </c>
      <c r="AE1" s="10" t="s">
        <v>80</v>
      </c>
      <c r="AF1" s="10" t="s">
        <v>82</v>
      </c>
      <c r="AG1" s="10" t="s">
        <v>9</v>
      </c>
      <c r="AH1" s="10" t="s">
        <v>85</v>
      </c>
      <c r="AI1" s="10" t="s">
        <v>144</v>
      </c>
      <c r="AJ1" s="10" t="s">
        <v>146</v>
      </c>
      <c r="AK1" s="10" t="s">
        <v>147</v>
      </c>
      <c r="AL1" s="10" t="s">
        <v>148</v>
      </c>
      <c r="AM1" s="10" t="s">
        <v>149</v>
      </c>
      <c r="AN1" s="10" t="s">
        <v>88</v>
      </c>
      <c r="AO1" s="10" t="s">
        <v>90</v>
      </c>
      <c r="AP1" s="10" t="s">
        <v>92</v>
      </c>
      <c r="AQ1" s="10" t="s">
        <v>94</v>
      </c>
      <c r="AR1" s="10" t="s">
        <v>96</v>
      </c>
      <c r="AS1" s="10" t="s">
        <v>98</v>
      </c>
      <c r="AT1" s="10" t="s">
        <v>150</v>
      </c>
      <c r="AU1" s="10" t="s">
        <v>151</v>
      </c>
      <c r="AV1" s="10" t="s">
        <v>101</v>
      </c>
      <c r="AW1" s="10" t="s">
        <v>103</v>
      </c>
      <c r="AX1" s="10" t="s">
        <v>105</v>
      </c>
      <c r="AY1" s="10" t="s">
        <v>152</v>
      </c>
      <c r="AZ1" s="10" t="s">
        <v>153</v>
      </c>
      <c r="BA1" s="10" t="s">
        <v>109</v>
      </c>
    </row>
    <row r="2" spans="1:53" x14ac:dyDescent="0.25">
      <c r="A2" t="s">
        <v>155</v>
      </c>
      <c r="B2">
        <f>(SUMIF(Data!$E$3:$E$13,"ISIC 01T03",Data!$D$3:$D$13))*'Factors applied'!$E$35</f>
        <v>0</v>
      </c>
      <c r="C2">
        <f>(SUMIF(Data!$E$3:$E$13,"ISIC 01T03",Data!$D$3:$D$13))*'Factors applied'!$E$36</f>
        <v>0</v>
      </c>
      <c r="D2">
        <f>(SUMIF(Data!$E$3:$E$13,"ISIC 01T03",Data!$D$3:$D$13))*'Factors applied'!$E$37</f>
        <v>0</v>
      </c>
      <c r="E2">
        <f>(SUMIF(Data!$E$3:$E$13,"ISIC 05",Data!$D$3:$D$13))</f>
        <v>0</v>
      </c>
      <c r="F2">
        <f>(SUMIF(Data!$E$3:$E$13,"ISIC 06",Data!$D$3:$D$13))</f>
        <v>0</v>
      </c>
      <c r="G2">
        <f>(SUMIF(Data!$E$3:$E$13,"ISIC 07T08",Data!$D$3:$D$13))*'Factors applied'!$E$38</f>
        <v>0</v>
      </c>
      <c r="H2">
        <f>(SUMIF(Data!$E$3:$E$13,"ISIC 07T08",Data!$D$3:$D$13))*'Factors applied'!$E$39</f>
        <v>0</v>
      </c>
      <c r="I2">
        <f>(SUMIF(Data!$E$3:$E$13,"ISIC 09",Data!$D$3:$D$13))</f>
        <v>0</v>
      </c>
      <c r="J2">
        <f>(SUMIF(Data!$E$3:$E$13,"ISIC 10T12",Data!$D$3:$D$13))</f>
        <v>0</v>
      </c>
      <c r="K2">
        <f>(SUMIF(Data!$E$3:$E$13,"ISIC 13T15",Data!$D$3:$D$13))</f>
        <v>0</v>
      </c>
      <c r="L2">
        <f>(SUMIF(Data!$E$3:$E$13,"ISIC 16",Data!$D$3:$D$13))</f>
        <v>0</v>
      </c>
      <c r="M2">
        <f>(SUMIF(Data!$E$3:$E$13,"ISIC 17T18",Data!$D$3:$D$13))</f>
        <v>0</v>
      </c>
      <c r="N2">
        <f>(SUMIF(Data!$E$3:$E$13,"ISIC 19",Data!$D$3:$D$13))</f>
        <v>0</v>
      </c>
      <c r="O2">
        <f>(SUMIF(Data!$E$3:$E$13,"ISIC 20",Data!$D$3:$D$13))</f>
        <v>0</v>
      </c>
      <c r="P2">
        <f>(SUMIF(Data!$E$3:$E$13,"ISIC 21",Data!$D$3:$D$13))</f>
        <v>0</v>
      </c>
      <c r="Q2">
        <f>(SUMIF(Data!$E$3:$E$13,"ISIC 22",Data!$D$3:$D$13))</f>
        <v>0</v>
      </c>
      <c r="R2">
        <f>(SUMIF(Data!$E$3:$E$13,"ISIC 231",Data!$D$3:$D$13))</f>
        <v>0</v>
      </c>
      <c r="S2">
        <f>(SUMIF(Data!$E$3:$E$13,"ISIC 239",Data!$D$3:$D$13))</f>
        <v>0</v>
      </c>
      <c r="T2">
        <f>(SUMIF(Data!$E$3:$E$13,"ISIC 241",Data!$D$3:$D$13))</f>
        <v>0</v>
      </c>
      <c r="U2">
        <f>(SUMIF(Data!$E$3:$E$13,"ISIC 242",Data!$D$3:$D$13))</f>
        <v>0</v>
      </c>
      <c r="V2">
        <f>(SUMIF(Data!$E$3:$E$13,"ISIC 25",Data!$D$3:$D$13))</f>
        <v>5.7183142722857593E-2</v>
      </c>
      <c r="W2">
        <f>(SUMIF(Data!$E$3:$E$13,"ISIC 26",Data!$D$3:$D$13))</f>
        <v>0.1818110606297979</v>
      </c>
      <c r="X2">
        <f>(SUMIF(Data!$E$3:$E$13,"ISIC 27",Data!$D$3:$D$13))</f>
        <v>0.18846937176876077</v>
      </c>
      <c r="Y2">
        <f>(SUMIF(Data!$E$3:$E$13,"ISIC 28",Data!$D$3:$D$13))</f>
        <v>0</v>
      </c>
      <c r="Z2">
        <f>(SUMIF(Data!$E$3:$E$13,"ISIC 29",Data!$D$3:$D$13))</f>
        <v>0</v>
      </c>
      <c r="AA2">
        <f>(SUMIF(Data!$E$3:$E$13,"ISIC 30",Data!$D$3:$D$13))*'Factors applied'!$E$40</f>
        <v>0</v>
      </c>
      <c r="AB2">
        <f>(SUMIF(Data!$E$3:$E$13,"ISIC 30",Data!$D$3:$D$13))*'Factors applied'!$E$41</f>
        <v>0</v>
      </c>
      <c r="AC2">
        <f>(SUMIF(Data!$E$3:$E$13,"ISIC 31T33",Data!$D$3:$D$13))</f>
        <v>0</v>
      </c>
      <c r="AD2">
        <f>(SUMIF(Data!$E$3:$E$13,"ISIC 351",Data!$D$3:$D$13))</f>
        <v>0</v>
      </c>
      <c r="AE2">
        <f>(SUMIF(Data!$E$3:$E$13,"ISIC 352T353",Data!$D$3:$D$13))</f>
        <v>0</v>
      </c>
      <c r="AF2">
        <f>(SUMIF(Data!$E$3:$E$13,"ISIC 36T39",Data!$D$3:$D$13))</f>
        <v>0</v>
      </c>
      <c r="AG2">
        <f>(SUMIF(Data!$E$3:$E$13,"ISIC 41T43",Data!$D$3:$D$13))</f>
        <v>0.30988563371455435</v>
      </c>
      <c r="AH2">
        <f>(SUMIF(Data!$E$3:$E$13,"ISIC 45T47",Data!$D$3:$D$13))</f>
        <v>0</v>
      </c>
      <c r="AI2">
        <f>(SUMIF(Data!$E$3:$E$13,"ISIC 49T53",Data!$D$3:$D$13))*'Factors applied'!$E$42</f>
        <v>8.5939213535954878E-2</v>
      </c>
      <c r="AJ2">
        <f>(SUMIF(Data!$E$3:$E$13,"ISIC 49T53",Data!$D$3:$D$13))*'Factors applied'!$E$43</f>
        <v>0</v>
      </c>
      <c r="AK2">
        <f>(SUMIF(Data!$E$3:$E$13,"ISIC 49T53",Data!$D$3:$D$13))*'Factors applied'!$E$44</f>
        <v>0</v>
      </c>
      <c r="AL2">
        <f>(SUMIF(Data!$E$3:$E$13,"ISIC 49T53",Data!$D$3:$D$13))*'Factors applied'!$E$45</f>
        <v>3.8610371298762339E-2</v>
      </c>
      <c r="AM2">
        <f>(SUMIF(Data!$E$3:$E$13,"ISIC 49T53",Data!$D$3:$D$13))*'Factors applied'!$E$46</f>
        <v>0</v>
      </c>
      <c r="AN2">
        <f>(SUMIF(Data!$E$3:$E$13,"ISIC 55T56",Data!$D$3:$D$13))</f>
        <v>0</v>
      </c>
      <c r="AO2">
        <f>(SUMIF(Data!$E$3:$E$13,"ISIC 58T60",Data!$D$3:$D$13))</f>
        <v>0</v>
      </c>
      <c r="AP2">
        <f>(SUMIF(Data!$E$3:$E$13,"ISIC 61",Data!$D$3:$D$13))</f>
        <v>0</v>
      </c>
      <c r="AQ2">
        <f>(SUMIF(Data!$E$3:$E$13,"ISIC 62T63",Data!$D$3:$D$13))</f>
        <v>0</v>
      </c>
      <c r="AR2">
        <f>(SUMIF(Data!$E$3:$E$13,"ISIC 64T66",Data!$D$3:$D$13))</f>
        <v>0</v>
      </c>
      <c r="AS2">
        <f>(SUMIF(Data!$E$3:$E$13,"ISIC 68",Data!$D$3:$D$13))</f>
        <v>0</v>
      </c>
      <c r="AT2">
        <f>(SUMIF(Data!$E$3:$E$13,"ISIC 69T82",Data!$D$3:$D$13))*'Factors applied'!$E$47</f>
        <v>0.13810120632931225</v>
      </c>
      <c r="AU2">
        <f>(SUMIF(Data!$E$3:$E$13,"ISIC 69T82",Data!$D$3:$D$13))*'Factors applied'!$E$48</f>
        <v>0</v>
      </c>
      <c r="AV2">
        <f>(SUMIF(Data!$E$3:$E$13,"ISIC 84",Data!$D$3:$D$13))</f>
        <v>0</v>
      </c>
      <c r="AW2">
        <f>(SUMIF(Data!$E$3:$E$13,"ISIC 85",Data!$D$3:$D$13))</f>
        <v>0</v>
      </c>
      <c r="AX2">
        <f>(SUMIF(Data!$E$3:$E$13,"ISIC 86T88",Data!$D$3:$D$13))</f>
        <v>0</v>
      </c>
      <c r="AY2">
        <f>(SUMIF(Data!$E$3:$E$13,"ISIC 90T96",Data!$D$3:$D$13))*'Factors applied'!$E$49</f>
        <v>0</v>
      </c>
      <c r="AZ2">
        <f>(SUMIF(Data!$E$3:$E$13,"ISIC 90T96",Data!$D$3:$D$13))*'Factors applied'!$E$50</f>
        <v>0</v>
      </c>
      <c r="BA2">
        <f>(SUMIF(Data!$E$3:$E$13,"ISIC 97T98",Data!$D$3:$D$13))</f>
        <v>0</v>
      </c>
    </row>
    <row r="3" spans="1:53" x14ac:dyDescent="0.25">
      <c r="A3" t="s">
        <v>154</v>
      </c>
      <c r="B3">
        <f>((SUMIF(Data!$E$3:$E$13,"ISIC 01T03",Data!$D$3:$D$13)))*'Factors applied'!$E$19</f>
        <v>0</v>
      </c>
      <c r="C3">
        <f>((SUMIF(Data!$E$3:$E$13,"ISIC 01T03",Data!$D$3:$D$13)))*'Factors applied'!$E$20</f>
        <v>0</v>
      </c>
      <c r="D3">
        <f>((SUMIF(Data!$E$3:$E$13,"ISIC 01T03",Data!$D$3:$D$13)))*'Factors applied'!$E$21</f>
        <v>0</v>
      </c>
      <c r="E3">
        <f>((SUMIF(Data!$E$3:$E$13,"ISIC 05",Data!$D$3:$D$13)))</f>
        <v>0</v>
      </c>
      <c r="F3">
        <f>((SUMIF(Data!$E$3:$E$13,"ISIC 06",Data!$D$3:$D$13)))</f>
        <v>0</v>
      </c>
      <c r="G3">
        <f>((SUMIF(Data!$E$3:$E$13,"ISIC 07T08",Data!$D$3:$D$13)))*'Factors applied'!$E$22</f>
        <v>0</v>
      </c>
      <c r="H3">
        <f>((SUMIF(Data!$E$3:$E$13,"ISIC 07T08",Data!$D$3:$D$13)))*'Factors applied'!$E$23</f>
        <v>0</v>
      </c>
      <c r="I3">
        <f>((SUMIF(Data!$E$3:$E$13,"ISIC 09",Data!$D$3:$D$13)))</f>
        <v>0</v>
      </c>
      <c r="J3">
        <f>((SUMIF(Data!$E$3:$E$13,"ISIC 10T12",Data!$D$3:$D$13)))</f>
        <v>0</v>
      </c>
      <c r="K3">
        <f>((SUMIF(Data!$E$3:$E$13,"ISIC 13T15",Data!$D$3:$D$13)))</f>
        <v>0</v>
      </c>
      <c r="L3">
        <f>((SUMIF(Data!$E$3:$E$13,"ISIC 16",Data!$D$3:$D$13)))</f>
        <v>0</v>
      </c>
      <c r="M3">
        <f>((SUMIF(Data!$E$3:$E$13,"ISIC 17T18",Data!$D$3:$D$13)))</f>
        <v>0</v>
      </c>
      <c r="N3">
        <f>((SUMIF(Data!$E$3:$E$13,"ISIC 19",Data!$D$3:$D$13)))</f>
        <v>0</v>
      </c>
      <c r="O3">
        <f>((SUMIF(Data!$E$3:$E$13,"ISIC 20",Data!$D$3:$D$13)))</f>
        <v>0</v>
      </c>
      <c r="P3">
        <f>((SUMIF(Data!$E$3:$E$13,"ISIC 21",Data!$D$3:$D$13)))</f>
        <v>0</v>
      </c>
      <c r="Q3">
        <f>((SUMIF(Data!$E$3:$E$13,"ISIC 22",Data!$D$3:$D$13)))</f>
        <v>0</v>
      </c>
      <c r="R3">
        <f>((SUMIF(Data!$E$3:$E$13,"ISIC 231",Data!$D$3:$D$13)))</f>
        <v>0</v>
      </c>
      <c r="S3">
        <f>((SUMIF(Data!$E$3:$E$13,"ISIC 239",Data!$D$3:$D$13)))</f>
        <v>0</v>
      </c>
      <c r="T3">
        <f>((SUMIF(Data!$E$3:$E$13,"ISIC 241",Data!$D$3:$D$13)))</f>
        <v>0</v>
      </c>
      <c r="U3">
        <f>((SUMIF(Data!$E$3:$E$13,"ISIC 242",Data!$D$3:$D$13)))</f>
        <v>0</v>
      </c>
      <c r="V3">
        <f>((SUMIF(Data!$E$3:$E$13,"ISIC 25",Data!$D$3:$D$13)))</f>
        <v>5.7183142722857593E-2</v>
      </c>
      <c r="W3">
        <f>((SUMIF(Data!$E$3:$E$13,"ISIC 26",Data!$D$3:$D$13)))</f>
        <v>0.1818110606297979</v>
      </c>
      <c r="X3">
        <f>((SUMIF(Data!$E$3:$E$13,"ISIC 27",Data!$D$3:$D$13)))</f>
        <v>0.18846937176876077</v>
      </c>
      <c r="Y3">
        <f>((SUMIF(Data!$E$3:$E$13,"ISIC 28",Data!$D$3:$D$13)))</f>
        <v>0</v>
      </c>
      <c r="Z3">
        <f>((SUMIF(Data!$E$3:$E$13,"ISIC 29",Data!$D$3:$D$13)))</f>
        <v>0</v>
      </c>
      <c r="AA3">
        <f>((SUMIF(Data!$E$3:$E$13,"ISIC 30",Data!$D$3:$D$13)))*'Factors applied'!$E$24</f>
        <v>0</v>
      </c>
      <c r="AB3">
        <f>((SUMIF(Data!$E$3:$E$13,"ISIC 30",Data!$D$3:$D$13)))*'Factors applied'!$E$25</f>
        <v>0</v>
      </c>
      <c r="AC3">
        <f>((SUMIF(Data!$E$3:$E$13,"ISIC 31T33",Data!$D$3:$D$13)))</f>
        <v>0</v>
      </c>
      <c r="AD3">
        <f>((SUMIF(Data!$E$3:$E$13,"ISIC 351",Data!$D$3:$D$13)))</f>
        <v>0</v>
      </c>
      <c r="AE3">
        <f>((SUMIF(Data!$E$3:$E$13,"ISIC 352T353",Data!$D$3:$D$13)))</f>
        <v>0</v>
      </c>
      <c r="AF3">
        <f>((SUMIF(Data!$E$3:$E$13,"ISIC 36T39",Data!$D$3:$D$13)))</f>
        <v>0</v>
      </c>
      <c r="AG3">
        <f>((SUMIF(Data!$E$3:$E$13,"ISIC 41T43",Data!$D$3:$D$13)))</f>
        <v>0.30988563371455435</v>
      </c>
      <c r="AH3">
        <f>((SUMIF(Data!$E$3:$E$13,"ISIC 45T47",Data!$D$3:$D$13)))</f>
        <v>0</v>
      </c>
      <c r="AI3">
        <f>((SUMIF(Data!$E$3:$E$13,"ISIC 49T53",Data!$D$3:$D$13)))*'Factors applied'!$E$26</f>
        <v>8.5939213535954878E-2</v>
      </c>
      <c r="AJ3">
        <f>((SUMIF(Data!$E$3:$E$13,"ISIC 49T53",Data!$D$3:$D$13)))*'Factors applied'!$E$27</f>
        <v>0</v>
      </c>
      <c r="AK3">
        <f>((SUMIF(Data!$E$3:$E$13,"ISIC 49T53",Data!$D$3:$D$13)))*'Factors applied'!$E$28</f>
        <v>0</v>
      </c>
      <c r="AL3">
        <f>((SUMIF(Data!$E$3:$E$13,"ISIC 49T53",Data!$D$3:$D$13)))*'Factors applied'!$E$29</f>
        <v>3.8610371298762339E-2</v>
      </c>
      <c r="AM3">
        <f>((SUMIF(Data!$E$3:$E$13,"ISIC 49T53",Data!$D$3:$D$13)))*'Factors applied'!$E$30</f>
        <v>0</v>
      </c>
      <c r="AN3">
        <f>((SUMIF(Data!$E$3:$E$13,"ISIC 55T56",Data!$D$3:$D$13)))</f>
        <v>0</v>
      </c>
      <c r="AO3">
        <f>((SUMIF(Data!$E$3:$E$13,"ISIC 58T60",Data!$D$3:$D$13)))</f>
        <v>0</v>
      </c>
      <c r="AP3">
        <f>((SUMIF(Data!$E$3:$E$13,"ISIC 61",Data!$D$3:$D$13)))</f>
        <v>0</v>
      </c>
      <c r="AQ3">
        <f>((SUMIF(Data!$E$3:$E$13,"ISIC 62T63",Data!$D$3:$D$13)))</f>
        <v>0</v>
      </c>
      <c r="AR3">
        <f>((SUMIF(Data!$E$3:$E$13,"ISIC 64T66",Data!$D$3:$D$13)))</f>
        <v>0</v>
      </c>
      <c r="AS3">
        <f>((SUMIF(Data!$E$3:$E$13,"ISIC 68",Data!$D$3:$D$13)))</f>
        <v>0</v>
      </c>
      <c r="AT3">
        <f>((SUMIF(Data!$E$3:$E$13,"ISIC 69T82",Data!$D$3:$D$13)))*'Factors applied'!$E$31</f>
        <v>0.13810120632931225</v>
      </c>
      <c r="AU3">
        <f>((SUMIF(Data!$E$3:$E$13,"ISIC 69T82",Data!$D$3:$D$13)))*'Factors applied'!$E$32</f>
        <v>0</v>
      </c>
      <c r="AV3">
        <f>((SUMIF(Data!$E$3:$E$13,"ISIC 84",Data!$D$3:$D$13)))</f>
        <v>0</v>
      </c>
      <c r="AW3">
        <f>((SUMIF(Data!$E$3:$E$13,"ISIC 85",Data!$D$3:$D$13)))</f>
        <v>0</v>
      </c>
      <c r="AX3">
        <f>((SUMIF(Data!$E$3:$E$13,"ISIC 86T88",Data!$D$3:$D$13)))</f>
        <v>0</v>
      </c>
      <c r="AY3">
        <f>((SUMIF(Data!$E$3:$E$13,"ISIC 90T96",Data!$D$3:$D$13)))*'Factors applied'!$E$33</f>
        <v>0</v>
      </c>
      <c r="AZ3">
        <f>((SUMIF(Data!$E$3:$E$13,"ISIC 90T96",Data!$D$3:$D$13)))*'Factors applied'!$E$34</f>
        <v>0</v>
      </c>
      <c r="BA3">
        <f>((SUMIF(Data!$E$3:$E$13,"ISIC 97T98",Data!$D$3:$D$13)))</f>
        <v>0</v>
      </c>
    </row>
    <row r="4" spans="1:53" x14ac:dyDescent="0.25">
      <c r="A4" t="s">
        <v>135</v>
      </c>
      <c r="B4">
        <f>(SUMIF(Data!$E$17:$E$27,"ISIC 01T03",Data!$D$17:$D$27))*'Factors applied'!$E$3</f>
        <v>0</v>
      </c>
      <c r="C4">
        <f>(SUMIF(Data!$E$17:$E$27,"ISIC 01T03",Data!$D$17:$D$27))*'Factors applied'!$E$4</f>
        <v>0</v>
      </c>
      <c r="D4">
        <f>(SUMIF(Data!$E$17:$E$27,"ISIC 01T03",Data!$D$17:$D$27))*'Factors applied'!$E$5</f>
        <v>0</v>
      </c>
      <c r="E4">
        <f>(SUMIF(Data!$E$17:$E$27,"ISIC 05",Data!$D$17:$D$27))</f>
        <v>0</v>
      </c>
      <c r="F4">
        <f>(SUMIF(Data!$E$17:$E$27,"ISIC 06",Data!$D$17:$D$27))</f>
        <v>0</v>
      </c>
      <c r="G4">
        <f>(SUMIF(Data!$E$17:$E$27,"ISIC 07T08",Data!$D$17:$D$27))*'Factors applied'!$E$6</f>
        <v>0</v>
      </c>
      <c r="H4">
        <f>(SUMIF(Data!$E$17:$E$27,"ISIC 07T08",Data!$D$17:$D$27))*'Factors applied'!$E$7</f>
        <v>0</v>
      </c>
      <c r="I4">
        <f>(SUMIF(Data!$E$17:$E$27,"ISIC 09",Data!$D$17:$D$27))</f>
        <v>0</v>
      </c>
      <c r="J4">
        <f>(SUMIF(Data!$E$17:$E$27,"ISIC 10T12",Data!$D$17:$D$27))</f>
        <v>0</v>
      </c>
      <c r="K4">
        <f>(SUMIF(Data!$E$17:$E$27,"ISIC 13T15",Data!$D$17:$D$27))</f>
        <v>0</v>
      </c>
      <c r="L4">
        <f>(SUMIF(Data!$E$17:$E$27,"ISIC 16",Data!$D$17:$D$27))</f>
        <v>0</v>
      </c>
      <c r="M4">
        <f>(SUMIF(Data!$E$17:$E$27,"ISIC 17T18",Data!$D$17:$D$27))</f>
        <v>0</v>
      </c>
      <c r="N4">
        <f>(SUMIF(Data!$E$17:$E$27,"ISIC 19",Data!$D$17:$D$27))</f>
        <v>0</v>
      </c>
      <c r="O4">
        <f>(SUMIF(Data!$E$17:$E$27,"ISIC 20",Data!$D$17:$D$27))</f>
        <v>0</v>
      </c>
      <c r="P4">
        <f>(SUMIF(Data!$E$17:$E$27,"ISIC 21",Data!$D$17:$D$27))</f>
        <v>0</v>
      </c>
      <c r="Q4">
        <f>(SUMIF(Data!$E$17:$E$27,"ISIC 22",Data!$D$17:$D$27))</f>
        <v>0</v>
      </c>
      <c r="R4">
        <f>(SUMIF(Data!$E$17:$E$27,"ISIC 231",Data!$D$17:$D$27))</f>
        <v>0</v>
      </c>
      <c r="S4">
        <f>(SUMIF(Data!$E$17:$E$27,"ISIC 239",Data!$D$17:$D$27))</f>
        <v>0</v>
      </c>
      <c r="T4">
        <f>(SUMIF(Data!$E$17:$E$27,"ISIC 241",Data!$D$17:$D$27))</f>
        <v>0</v>
      </c>
      <c r="U4">
        <f>(SUMIF(Data!$E$17:$E$27,"ISIC 242",Data!$D$17:$D$27))</f>
        <v>0</v>
      </c>
      <c r="V4">
        <f>(SUMIF(Data!$E$17:$E$27,"ISIC 25",Data!$D$17:$D$27))</f>
        <v>8.9657692776221209E-2</v>
      </c>
      <c r="W4">
        <f>(SUMIF(Data!$E$17:$E$27,"ISIC 26",Data!$D$17:$D$27))</f>
        <v>0.26233402363259839</v>
      </c>
      <c r="X4">
        <f>(SUMIF(Data!$E$17:$E$27,"ISIC 27",Data!$D$17:$D$27))</f>
        <v>0.16944816664636375</v>
      </c>
      <c r="Y4">
        <f>(SUMIF(Data!$E$17:$E$27,"ISIC 28",Data!$D$17:$D$27))</f>
        <v>0</v>
      </c>
      <c r="Z4">
        <f>(SUMIF(Data!$E$17:$E$27,"ISIC 29",Data!$D$17:$D$27))</f>
        <v>0</v>
      </c>
      <c r="AA4">
        <f>(SUMIF(Data!$E$17:$E$27,"ISIC 30",Data!$D$17:$D$27))*'Factors applied'!$E$8</f>
        <v>0</v>
      </c>
      <c r="AB4">
        <f>(SUMIF(Data!$E$17:$E$27,"ISIC 30",Data!$D$17:$D$27))*'Factors applied'!$E$9</f>
        <v>0</v>
      </c>
      <c r="AC4">
        <f>(SUMIF(Data!$E$17:$E$27,"ISIC 31T33",Data!$D$17:$D$27))</f>
        <v>0</v>
      </c>
      <c r="AD4">
        <f>(SUMIF(Data!$E$17:$E$27,"ISIC 351",Data!$D$17:$D$27))</f>
        <v>0</v>
      </c>
      <c r="AE4">
        <f>(SUMIF(Data!$E$17:$E$27,"ISIC 352T353",Data!$D$17:$D$27))</f>
        <v>0</v>
      </c>
      <c r="AF4">
        <f>(SUMIF(Data!$E$17:$E$27,"ISIC 36T39",Data!$D$17:$D$27))</f>
        <v>0</v>
      </c>
      <c r="AG4">
        <f>(SUMIF(Data!$E$17:$E$27,"ISIC 41T43",Data!$D$17:$D$27))</f>
        <v>0.42922402241442315</v>
      </c>
      <c r="AH4">
        <f>(SUMIF(Data!$E$17:$E$27,"ISIC 45T47",Data!$D$17:$D$27))</f>
        <v>0</v>
      </c>
      <c r="AI4">
        <f>(SUMIF(Data!$E$17:$E$27,"ISIC 49T53",Data!$D$17:$D$27))*'Factors applied'!$E$10</f>
        <v>0</v>
      </c>
      <c r="AJ4">
        <f>(SUMIF(Data!$E$17:$E$27,"ISIC 49T53",Data!$D$17:$D$27))*'Factors applied'!$E$11</f>
        <v>0</v>
      </c>
      <c r="AK4">
        <f>(SUMIF(Data!$E$17:$E$27,"ISIC 49T53",Data!$D$17:$D$27))*'Factors applied'!$E$12</f>
        <v>0</v>
      </c>
      <c r="AL4">
        <f>(SUMIF(Data!$E$17:$E$27,"ISIC 49T53",Data!$D$17:$D$27))*'Factors applied'!$E$13</f>
        <v>0</v>
      </c>
      <c r="AM4">
        <f>(SUMIF(Data!$E$17:$E$27,"ISIC 49T53",Data!$D$17:$D$27))*'Factors applied'!$E$14</f>
        <v>0</v>
      </c>
      <c r="AN4">
        <f>(SUMIF(Data!$E$17:$E$27,"ISIC 55T56",Data!$D$17:$D$27))</f>
        <v>0</v>
      </c>
      <c r="AO4">
        <f>(SUMIF(Data!$E$17:$E$27,"ISIC 58T60",Data!$D$17:$D$27))</f>
        <v>0</v>
      </c>
      <c r="AP4">
        <f>(SUMIF(Data!$E$17:$E$27,"ISIC 61",Data!$D$17:$D$27))</f>
        <v>0</v>
      </c>
      <c r="AQ4">
        <f>(SUMIF(Data!$E$17:$E$27,"ISIC 62T63",Data!$D$17:$D$27))</f>
        <v>0</v>
      </c>
      <c r="AR4">
        <f>(SUMIF(Data!$E$17:$E$27,"ISIC 64T66",Data!$D$17:$D$27))</f>
        <v>0</v>
      </c>
      <c r="AS4">
        <f>(SUMIF(Data!$E$17:$E$27,"ISIC 68",Data!$D$17:$D$27))</f>
        <v>0</v>
      </c>
      <c r="AT4">
        <f>(SUMIF(Data!$E$17:$E$27,"ISIC 69T82",Data!$D$17:$D$27))*'Factors applied'!$E$15</f>
        <v>4.9336094530393476E-2</v>
      </c>
      <c r="AU4">
        <f>(SUMIF(Data!$E$17:$E$27,"ISIC 69T82",Data!$D$17:$D$27))*'Factors applied'!$E$16</f>
        <v>0</v>
      </c>
      <c r="AV4">
        <f>(SUMIF(Data!$E$17:$E$27,"ISIC 84",Data!$D$17:$D$27))</f>
        <v>0</v>
      </c>
      <c r="AW4">
        <f>(SUMIF(Data!$E$17:$E$27,"ISIC 85",Data!$D$17:$D$27))</f>
        <v>0</v>
      </c>
      <c r="AX4">
        <f>(SUMIF(Data!$E$17:$E$27,"ISIC 86T88",Data!$D$17:$D$27))</f>
        <v>0</v>
      </c>
      <c r="AY4">
        <f>(SUMIF(Data!$E$17:$E$27,"ISIC 90T96",Data!$D$17:$D$27))*'Factors applied'!$E$17</f>
        <v>0</v>
      </c>
      <c r="AZ4">
        <f>(SUMIF(Data!$E$17:$E$27,"ISIC 90T96",Data!$D$17:$D$27))*'Factors applied'!$E$18</f>
        <v>0</v>
      </c>
      <c r="BA4">
        <f>(SUMIF(Data!$E$17:$E$27,"ISIC 97T98",Data!$D$17:$D$27))</f>
        <v>0</v>
      </c>
    </row>
    <row r="5" spans="1:53" x14ac:dyDescent="0.25">
      <c r="A5" t="s">
        <v>176</v>
      </c>
      <c r="B5">
        <f>B4</f>
        <v>0</v>
      </c>
      <c r="C5">
        <f>C4</f>
        <v>0</v>
      </c>
      <c r="D5">
        <f>D4</f>
        <v>0</v>
      </c>
      <c r="E5">
        <f>E4</f>
        <v>0</v>
      </c>
      <c r="F5">
        <f>F4</f>
        <v>0</v>
      </c>
      <c r="G5">
        <f>G4</f>
        <v>0</v>
      </c>
      <c r="H5">
        <f>H4</f>
        <v>0</v>
      </c>
      <c r="I5">
        <f>I4</f>
        <v>0</v>
      </c>
      <c r="J5">
        <f>J4</f>
        <v>0</v>
      </c>
      <c r="K5">
        <f>K4</f>
        <v>0</v>
      </c>
      <c r="L5">
        <f>L4</f>
        <v>0</v>
      </c>
      <c r="M5">
        <f>M4</f>
        <v>0</v>
      </c>
      <c r="N5">
        <f>N4</f>
        <v>0</v>
      </c>
      <c r="O5">
        <f>O4</f>
        <v>0</v>
      </c>
      <c r="P5">
        <f>P4</f>
        <v>0</v>
      </c>
      <c r="Q5">
        <f>Q4</f>
        <v>0</v>
      </c>
      <c r="R5">
        <f>R4</f>
        <v>0</v>
      </c>
      <c r="S5">
        <f>S4</f>
        <v>0</v>
      </c>
      <c r="T5">
        <f>T4</f>
        <v>0</v>
      </c>
      <c r="U5">
        <f>U4</f>
        <v>0</v>
      </c>
      <c r="V5">
        <f>V4</f>
        <v>8.9657692776221209E-2</v>
      </c>
      <c r="W5">
        <f>W4</f>
        <v>0.26233402363259839</v>
      </c>
      <c r="X5">
        <f>X4</f>
        <v>0.16944816664636375</v>
      </c>
      <c r="Y5">
        <f>Y4</f>
        <v>0</v>
      </c>
      <c r="Z5">
        <f>Z4</f>
        <v>0</v>
      </c>
      <c r="AA5">
        <f>AA4</f>
        <v>0</v>
      </c>
      <c r="AB5">
        <f>AB4</f>
        <v>0</v>
      </c>
      <c r="AC5">
        <f>AC4</f>
        <v>0</v>
      </c>
      <c r="AD5">
        <f>AD4</f>
        <v>0</v>
      </c>
      <c r="AE5">
        <f>AE4</f>
        <v>0</v>
      </c>
      <c r="AF5">
        <f>AF4</f>
        <v>0</v>
      </c>
      <c r="AG5">
        <f>AG4</f>
        <v>0.42922402241442315</v>
      </c>
      <c r="AH5">
        <f>AH4</f>
        <v>0</v>
      </c>
      <c r="AI5">
        <f>AI4</f>
        <v>0</v>
      </c>
      <c r="AJ5">
        <f>AJ4</f>
        <v>0</v>
      </c>
      <c r="AK5">
        <f>AK4</f>
        <v>0</v>
      </c>
      <c r="AL5">
        <f>AL4</f>
        <v>0</v>
      </c>
      <c r="AM5">
        <f>AM4</f>
        <v>0</v>
      </c>
      <c r="AN5">
        <f>AN4</f>
        <v>0</v>
      </c>
      <c r="AO5">
        <f>AO4</f>
        <v>0</v>
      </c>
      <c r="AP5">
        <f>AP4</f>
        <v>0</v>
      </c>
      <c r="AQ5">
        <f>AQ4</f>
        <v>0</v>
      </c>
      <c r="AR5">
        <f>AR4</f>
        <v>0</v>
      </c>
      <c r="AS5">
        <f>AS4</f>
        <v>0</v>
      </c>
      <c r="AT5">
        <f>AT4</f>
        <v>4.9336094530393476E-2</v>
      </c>
      <c r="AU5">
        <f>AU4</f>
        <v>0</v>
      </c>
      <c r="AV5">
        <f>AV4</f>
        <v>0</v>
      </c>
      <c r="AW5">
        <f>AW4</f>
        <v>0</v>
      </c>
      <c r="AX5">
        <f>AX4</f>
        <v>0</v>
      </c>
      <c r="AY5">
        <f>AY4</f>
        <v>0</v>
      </c>
      <c r="AZ5">
        <f>AZ4</f>
        <v>0</v>
      </c>
      <c r="BA5">
        <f>BA4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Factors applied</vt:lpstr>
      <vt:lpstr>Data</vt:lpstr>
      <vt:lpstr>Checks</vt:lpstr>
      <vt:lpstr>SoDSCbRIC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2020-09-09T17:42:43Z</dcterms:created>
  <dcterms:modified xsi:type="dcterms:W3CDTF">2026-10-23T18:37:25Z</dcterms:modified>
</cp:coreProperties>
</file>