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24226"/>
  <mc:AlternateContent xmlns:mc="http://schemas.openxmlformats.org/markup-compatibility/2006">
    <mc:Choice Requires="x15">
      <x15ac:absPath xmlns:x15ac="http://schemas.microsoft.com/office/spreadsheetml/2010/11/ac" url="C:\Users\RobbieOrvis\Models\EPS Structure Research\eps-us-dc-replay\InputData\bldgs\SYCEU\"/>
    </mc:Choice>
  </mc:AlternateContent>
  <xr:revisionPtr revIDLastSave="0" documentId="13_ncr:1_{192A784F-117B-4817-B355-79FEB3330CE0}" xr6:coauthVersionLast="47" xr6:coauthVersionMax="47" xr10:uidLastSave="{00000000-0000-0000-0000-000000000000}"/>
  <bookViews>
    <workbookView xWindow="-120" yWindow="-120" windowWidth="57840" windowHeight="23520" firstSheet="29" activeTab="33"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AEO Data Center Load" sheetId="7" r:id="rId7"/>
    <sheet name="EPRI" sheetId="8" r:id="rId8"/>
    <sheet name="AEO 2026 Table 5" sheetId="29" r:id="rId9"/>
    <sheet name="AEO 2026 Table 4" sheetId="28" r:id="rId10"/>
    <sheet name="Water and Waste" sheetId="9" r:id="rId11"/>
    <sheet name="Calcs&gt;" sheetId="10" r:id="rId12"/>
    <sheet name="Crosswalk AEO to EPS Summary" sheetId="11" r:id="rId13"/>
    <sheet name="Calculations" sheetId="12" r:id="rId14"/>
    <sheet name="BCEU-urban-residential-heating" sheetId="13" r:id="rId15"/>
    <sheet name="BCEU-urban-residential-cooling" sheetId="14" r:id="rId16"/>
    <sheet name="BCEU-urban-residential-lighting" sheetId="15" r:id="rId17"/>
    <sheet name="BCEU-urban-residential-appl" sheetId="16" r:id="rId18"/>
    <sheet name="BCEU-urban-residential-other" sheetId="17" r:id="rId19"/>
    <sheet name="BCEU-rural-residential-heating" sheetId="18" r:id="rId20"/>
    <sheet name="BCEU-rural-residential-cooling" sheetId="19" r:id="rId21"/>
    <sheet name="BCEU-rural-residential-lighting" sheetId="20" r:id="rId22"/>
    <sheet name="BCEU-rural-residential-appl" sheetId="21" r:id="rId23"/>
    <sheet name="BCEU-rural-residential-other" sheetId="22" r:id="rId24"/>
    <sheet name="BCEU-commercial-heating" sheetId="23" r:id="rId25"/>
    <sheet name="BCEU-commercial-cooling" sheetId="24" r:id="rId26"/>
    <sheet name="BCEU-commercial-lighting" sheetId="25" r:id="rId27"/>
    <sheet name="BCEU-commercial-appl" sheetId="26" r:id="rId28"/>
    <sheet name="BCEU-commercial-other" sheetId="27" r:id="rId29"/>
    <sheet name="Data Centers" sheetId="33" r:id="rId30"/>
    <sheet name="SYCEU-urban-residential" sheetId="30" r:id="rId31"/>
    <sheet name="SYCEU-rural-residential" sheetId="31" r:id="rId32"/>
    <sheet name="SYCEU-commercial" sheetId="32" r:id="rId33"/>
    <sheet name="SYCEU-data-centers" sheetId="34" r:id="rId34"/>
  </sheets>
  <externalReferences>
    <externalReference r:id="rId35"/>
  </externalReferences>
  <definedNames>
    <definedName name="Fraction_coal" localSheetId="32">About!$C$55</definedName>
    <definedName name="Fraction_coal" localSheetId="31">About!$C$55</definedName>
    <definedName name="Fraction_coal" localSheetId="30">About!$C$55</definedName>
    <definedName name="Fraction_coal">About!$C$53</definedName>
    <definedName name="gal_per_barrel">#REF!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Percent_rural" localSheetId="32">[1]About!$A$98</definedName>
    <definedName name="Percent_rural" localSheetId="31">[1]About!$A$98</definedName>
    <definedName name="Percent_rural" localSheetId="30">[1]About!$A$98</definedName>
    <definedName name="Percent_rural">About!$A$75</definedName>
    <definedName name="Percent_urban" localSheetId="32">[1]About!$A$97</definedName>
    <definedName name="Percent_urban" localSheetId="31">[1]About!$A$97</definedName>
    <definedName name="Percent_urban" localSheetId="30">[1]About!$A$97</definedName>
    <definedName name="Percent_urban">About!$A$74</definedName>
    <definedName name="quadrillion" localSheetId="32">[1]About!$B$100</definedName>
    <definedName name="quadrillion" localSheetId="31">[1]About!$B$100</definedName>
    <definedName name="quadrillion" localSheetId="30">[1]About!$B$100</definedName>
    <definedName name="quadrillion">About!$B$77</definedName>
    <definedName name="Table4" localSheetId="32">#REF!</definedName>
    <definedName name="Table4" localSheetId="31">#REF!</definedName>
    <definedName name="Table4" localSheetId="30">#REF!</definedName>
    <definedName name="Table4">#REF!</definedName>
    <definedName name="Table4_1" localSheetId="32">#REF!</definedName>
    <definedName name="Table4_1" localSheetId="31">#REF!</definedName>
    <definedName name="Table4_1" localSheetId="30">#REF!</definedName>
    <definedName name="Table4_1">#REF!</definedName>
    <definedName name="Table4_1_22" localSheetId="32">#REF!</definedName>
    <definedName name="Table4_1_22" localSheetId="31">#REF!</definedName>
    <definedName name="Table4_1_22" localSheetId="30">#REF!</definedName>
    <definedName name="Table4_1_22">#REF!</definedName>
    <definedName name="Table4_22" localSheetId="32">#REF!</definedName>
    <definedName name="Table4_22" localSheetId="31">#REF!</definedName>
    <definedName name="Table4_22" localSheetId="30">#REF!</definedName>
    <definedName name="Table4_22">#REF!</definedName>
    <definedName name="Table4_A" localSheetId="32">#REF!</definedName>
    <definedName name="Table4_A" localSheetId="31">#REF!</definedName>
    <definedName name="Table4_A" localSheetId="30">#REF!</definedName>
    <definedName name="Table4_A">#REF!</definedName>
    <definedName name="Table4_A_22" localSheetId="32">#REF!</definedName>
    <definedName name="Table4_A_22" localSheetId="31">#REF!</definedName>
    <definedName name="Table4_A_22" localSheetId="30">#REF!</definedName>
    <definedName name="Table4_A_22">#REF!</definedName>
    <definedName name="Table5" localSheetId="32">#REF!</definedName>
    <definedName name="Table5" localSheetId="31">#REF!</definedName>
    <definedName name="Table5" localSheetId="30">#REF!</definedName>
    <definedName name="Table5">#REF!</definedName>
    <definedName name="Table5_1" localSheetId="32">#REF!</definedName>
    <definedName name="Table5_1" localSheetId="31">#REF!</definedName>
    <definedName name="Table5_1" localSheetId="30">#REF!</definedName>
    <definedName name="Table5_1">#REF!</definedName>
    <definedName name="Table5_1_22" localSheetId="32">#REF!</definedName>
    <definedName name="Table5_1_22" localSheetId="31">#REF!</definedName>
    <definedName name="Table5_1_22" localSheetId="30">#REF!</definedName>
    <definedName name="Table5_1_22">#REF!</definedName>
    <definedName name="Table5_22" localSheetId="32">#REF!</definedName>
    <definedName name="Table5_22" localSheetId="31">#REF!</definedName>
    <definedName name="Table5_22" localSheetId="30">#REF!</definedName>
    <definedName name="Table5_22">#REF!</definedName>
    <definedName name="Table5_A" localSheetId="32">#REF!</definedName>
    <definedName name="Table5_A" localSheetId="31">#REF!</definedName>
    <definedName name="Table5_A" localSheetId="30">#REF!</definedName>
    <definedName name="Table5_A">#REF!</definedName>
    <definedName name="Table5_A_22" localSheetId="32">#REF!</definedName>
    <definedName name="Table5_A_22" localSheetId="31">#REF!</definedName>
    <definedName name="Table5_A_22" localSheetId="30">#REF!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33" l="1"/>
  <c r="G7" i="32"/>
  <c r="G8" i="32"/>
  <c r="C3" i="32"/>
  <c r="B11" i="32"/>
  <c r="B9" i="32"/>
  <c r="B8" i="32"/>
  <c r="B3" i="32"/>
  <c r="G3" i="31"/>
  <c r="G6" i="31"/>
  <c r="G7" i="31"/>
  <c r="G11" i="31"/>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G11" i="32" s="1"/>
  <c r="AB9" i="27"/>
  <c r="AA9" i="27"/>
  <c r="Z9" i="27"/>
  <c r="Y9" i="27"/>
  <c r="X9" i="27"/>
  <c r="W9" i="27"/>
  <c r="V9" i="27"/>
  <c r="U9" i="27"/>
  <c r="T9" i="27"/>
  <c r="S9" i="27"/>
  <c r="R9" i="27"/>
  <c r="Q9" i="27"/>
  <c r="P9" i="27"/>
  <c r="O9" i="27"/>
  <c r="N9" i="27"/>
  <c r="M9" i="27"/>
  <c r="L9" i="27"/>
  <c r="K9" i="27"/>
  <c r="J9" i="27"/>
  <c r="I9" i="27"/>
  <c r="H9" i="27"/>
  <c r="G9" i="27"/>
  <c r="F9" i="27"/>
  <c r="E9" i="27"/>
  <c r="D9" i="27"/>
  <c r="C9" i="27"/>
  <c r="B9" i="27"/>
  <c r="G9" i="32" s="1"/>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G6" i="32" s="1"/>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F11" i="32" s="1"/>
  <c r="AB9" i="26"/>
  <c r="AA9" i="26"/>
  <c r="Z9" i="26"/>
  <c r="Y9" i="26"/>
  <c r="X9" i="26"/>
  <c r="W9" i="26"/>
  <c r="V9" i="26"/>
  <c r="U9" i="26"/>
  <c r="T9" i="26"/>
  <c r="S9" i="26"/>
  <c r="R9" i="26"/>
  <c r="Q9" i="26"/>
  <c r="P9" i="26"/>
  <c r="O9" i="26"/>
  <c r="N9" i="26"/>
  <c r="M9" i="26"/>
  <c r="L9" i="26"/>
  <c r="K9" i="26"/>
  <c r="J9" i="26"/>
  <c r="I9" i="26"/>
  <c r="H9" i="26"/>
  <c r="G9" i="26"/>
  <c r="F9" i="26"/>
  <c r="E9" i="26"/>
  <c r="D9" i="26"/>
  <c r="C9" i="26"/>
  <c r="B9" i="26"/>
  <c r="F9" i="32" s="1"/>
  <c r="AB8" i="26"/>
  <c r="AA8" i="26"/>
  <c r="Z8" i="26"/>
  <c r="Y8" i="26"/>
  <c r="X8" i="26"/>
  <c r="W8" i="26"/>
  <c r="V8" i="26"/>
  <c r="U8" i="26"/>
  <c r="T8" i="26"/>
  <c r="S8" i="26"/>
  <c r="R8" i="26"/>
  <c r="Q8" i="26"/>
  <c r="P8" i="26"/>
  <c r="O8" i="26"/>
  <c r="N8" i="26"/>
  <c r="M8" i="26"/>
  <c r="L8" i="26"/>
  <c r="K8" i="26"/>
  <c r="J8" i="26"/>
  <c r="I8" i="26"/>
  <c r="H8" i="26"/>
  <c r="G8" i="26"/>
  <c r="F8" i="26"/>
  <c r="E8" i="26"/>
  <c r="D8" i="26"/>
  <c r="C8" i="26"/>
  <c r="B8" i="26"/>
  <c r="F8" i="32" s="1"/>
  <c r="AB7" i="26"/>
  <c r="AA7" i="26"/>
  <c r="Z7" i="26"/>
  <c r="Y7" i="26"/>
  <c r="X7" i="26"/>
  <c r="W7" i="26"/>
  <c r="V7" i="26"/>
  <c r="U7" i="26"/>
  <c r="T7" i="26"/>
  <c r="S7" i="26"/>
  <c r="R7" i="26"/>
  <c r="Q7" i="26"/>
  <c r="P7" i="26"/>
  <c r="O7" i="26"/>
  <c r="N7" i="26"/>
  <c r="M7" i="26"/>
  <c r="L7" i="26"/>
  <c r="K7" i="26"/>
  <c r="J7" i="26"/>
  <c r="I7" i="26"/>
  <c r="H7" i="26"/>
  <c r="G7" i="26"/>
  <c r="F7" i="26"/>
  <c r="E7" i="26"/>
  <c r="D7" i="26"/>
  <c r="C7" i="26"/>
  <c r="B7" i="26"/>
  <c r="F7" i="32" s="1"/>
  <c r="AB6" i="26"/>
  <c r="AA6" i="26"/>
  <c r="Z6" i="26"/>
  <c r="Y6" i="26"/>
  <c r="X6" i="26"/>
  <c r="W6" i="26"/>
  <c r="V6" i="26"/>
  <c r="U6" i="26"/>
  <c r="T6" i="26"/>
  <c r="S6" i="26"/>
  <c r="R6" i="26"/>
  <c r="Q6" i="26"/>
  <c r="P6" i="26"/>
  <c r="O6" i="26"/>
  <c r="N6" i="26"/>
  <c r="M6" i="26"/>
  <c r="L6" i="26"/>
  <c r="K6" i="26"/>
  <c r="J6" i="26"/>
  <c r="I6" i="26"/>
  <c r="H6" i="26"/>
  <c r="G6" i="26"/>
  <c r="F6" i="26"/>
  <c r="E6" i="26"/>
  <c r="D6" i="26"/>
  <c r="C6" i="26"/>
  <c r="B6" i="26"/>
  <c r="F6" i="32" s="1"/>
  <c r="AB3" i="26"/>
  <c r="AA3" i="26"/>
  <c r="Z3" i="26"/>
  <c r="Y3" i="26"/>
  <c r="X3" i="26"/>
  <c r="W3" i="26"/>
  <c r="V3" i="26"/>
  <c r="U3" i="26"/>
  <c r="T3" i="26"/>
  <c r="S3" i="26"/>
  <c r="R3" i="26"/>
  <c r="Q3" i="26"/>
  <c r="P3" i="26"/>
  <c r="O3" i="26"/>
  <c r="N3" i="26"/>
  <c r="M3" i="26"/>
  <c r="L3" i="26"/>
  <c r="K3" i="26"/>
  <c r="J3" i="26"/>
  <c r="I3" i="26"/>
  <c r="H3" i="26"/>
  <c r="G3" i="26"/>
  <c r="F3" i="26"/>
  <c r="E3" i="26"/>
  <c r="D3" i="26"/>
  <c r="C3" i="26"/>
  <c r="B3" i="26"/>
  <c r="F3" i="32" s="1"/>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E11" i="32" s="1"/>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E10" i="32" s="1"/>
  <c r="AB9" i="25"/>
  <c r="AA9" i="25"/>
  <c r="Z9" i="25"/>
  <c r="Y9" i="25"/>
  <c r="X9" i="25"/>
  <c r="W9" i="25"/>
  <c r="V9" i="25"/>
  <c r="U9" i="25"/>
  <c r="T9" i="25"/>
  <c r="S9" i="25"/>
  <c r="R9" i="25"/>
  <c r="Q9" i="25"/>
  <c r="P9" i="25"/>
  <c r="O9" i="25"/>
  <c r="N9" i="25"/>
  <c r="M9" i="25"/>
  <c r="L9" i="25"/>
  <c r="K9" i="25"/>
  <c r="J9" i="25"/>
  <c r="I9" i="25"/>
  <c r="H9" i="25"/>
  <c r="G9" i="25"/>
  <c r="F9" i="25"/>
  <c r="E9" i="25"/>
  <c r="D9" i="25"/>
  <c r="C9" i="25"/>
  <c r="B9" i="25"/>
  <c r="E9" i="32" s="1"/>
  <c r="AB8" i="25"/>
  <c r="AA8" i="25"/>
  <c r="Z8" i="25"/>
  <c r="Y8" i="25"/>
  <c r="X8" i="25"/>
  <c r="W8" i="25"/>
  <c r="V8" i="25"/>
  <c r="U8" i="25"/>
  <c r="T8" i="25"/>
  <c r="S8" i="25"/>
  <c r="R8" i="25"/>
  <c r="Q8" i="25"/>
  <c r="P8" i="25"/>
  <c r="O8" i="25"/>
  <c r="N8" i="25"/>
  <c r="M8" i="25"/>
  <c r="L8" i="25"/>
  <c r="K8" i="25"/>
  <c r="J8" i="25"/>
  <c r="I8" i="25"/>
  <c r="H8" i="25"/>
  <c r="G8" i="25"/>
  <c r="F8" i="25"/>
  <c r="E8" i="25"/>
  <c r="D8" i="25"/>
  <c r="C8" i="25"/>
  <c r="B8" i="25"/>
  <c r="E8" i="32" s="1"/>
  <c r="AB7" i="25"/>
  <c r="AA7" i="25"/>
  <c r="Z7" i="25"/>
  <c r="Y7" i="25"/>
  <c r="X7" i="25"/>
  <c r="W7" i="25"/>
  <c r="V7" i="25"/>
  <c r="U7" i="25"/>
  <c r="T7" i="25"/>
  <c r="S7" i="25"/>
  <c r="R7" i="25"/>
  <c r="Q7" i="25"/>
  <c r="P7" i="25"/>
  <c r="O7" i="25"/>
  <c r="N7" i="25"/>
  <c r="M7" i="25"/>
  <c r="L7" i="25"/>
  <c r="K7" i="25"/>
  <c r="J7" i="25"/>
  <c r="I7" i="25"/>
  <c r="H7" i="25"/>
  <c r="G7" i="25"/>
  <c r="F7" i="25"/>
  <c r="E7" i="25"/>
  <c r="D7" i="25"/>
  <c r="C7" i="25"/>
  <c r="B7" i="25"/>
  <c r="E7" i="32" s="1"/>
  <c r="AB6" i="25"/>
  <c r="AA6" i="25"/>
  <c r="Z6" i="25"/>
  <c r="Y6" i="25"/>
  <c r="X6" i="25"/>
  <c r="W6" i="25"/>
  <c r="V6" i="25"/>
  <c r="U6" i="25"/>
  <c r="T6" i="25"/>
  <c r="S6" i="25"/>
  <c r="R6" i="25"/>
  <c r="Q6" i="25"/>
  <c r="P6" i="25"/>
  <c r="O6" i="25"/>
  <c r="N6" i="25"/>
  <c r="M6" i="25"/>
  <c r="L6" i="25"/>
  <c r="K6" i="25"/>
  <c r="J6" i="25"/>
  <c r="I6" i="25"/>
  <c r="H6" i="25"/>
  <c r="G6" i="25"/>
  <c r="F6" i="25"/>
  <c r="E6" i="25"/>
  <c r="D6" i="25"/>
  <c r="C6" i="25"/>
  <c r="B6" i="25"/>
  <c r="E6" i="32" s="1"/>
  <c r="AB5" i="25"/>
  <c r="AA5" i="25"/>
  <c r="Z5" i="25"/>
  <c r="Y5" i="25"/>
  <c r="X5" i="25"/>
  <c r="W5" i="25"/>
  <c r="V5" i="25"/>
  <c r="U5" i="25"/>
  <c r="T5" i="25"/>
  <c r="S5" i="25"/>
  <c r="R5" i="25"/>
  <c r="Q5" i="25"/>
  <c r="P5" i="25"/>
  <c r="O5" i="25"/>
  <c r="N5" i="25"/>
  <c r="M5" i="25"/>
  <c r="L5" i="25"/>
  <c r="K5" i="25"/>
  <c r="J5" i="25"/>
  <c r="I5" i="25"/>
  <c r="H5" i="25"/>
  <c r="G5" i="25"/>
  <c r="F5" i="25"/>
  <c r="E5" i="25"/>
  <c r="D5" i="25"/>
  <c r="C5" i="25"/>
  <c r="B5" i="25"/>
  <c r="E5" i="32" s="1"/>
  <c r="AB4" i="25"/>
  <c r="AA4" i="25"/>
  <c r="Z4" i="25"/>
  <c r="Y4" i="25"/>
  <c r="X4" i="25"/>
  <c r="W4" i="25"/>
  <c r="V4" i="25"/>
  <c r="U4" i="25"/>
  <c r="T4" i="25"/>
  <c r="S4" i="25"/>
  <c r="R4" i="25"/>
  <c r="Q4" i="25"/>
  <c r="P4" i="25"/>
  <c r="O4" i="25"/>
  <c r="N4" i="25"/>
  <c r="M4" i="25"/>
  <c r="L4" i="25"/>
  <c r="K4" i="25"/>
  <c r="J4" i="25"/>
  <c r="I4" i="25"/>
  <c r="H4" i="25"/>
  <c r="G4" i="25"/>
  <c r="F4" i="25"/>
  <c r="E4" i="25"/>
  <c r="D4" i="25"/>
  <c r="C4" i="25"/>
  <c r="B4" i="25"/>
  <c r="E4" i="32" s="1"/>
  <c r="AB3" i="25"/>
  <c r="AA3" i="25"/>
  <c r="Z3" i="25"/>
  <c r="Y3" i="25"/>
  <c r="X3" i="25"/>
  <c r="W3" i="25"/>
  <c r="V3" i="25"/>
  <c r="U3" i="25"/>
  <c r="T3" i="25"/>
  <c r="S3" i="25"/>
  <c r="R3" i="25"/>
  <c r="Q3" i="25"/>
  <c r="P3" i="25"/>
  <c r="O3" i="25"/>
  <c r="N3" i="25"/>
  <c r="M3" i="25"/>
  <c r="L3" i="25"/>
  <c r="K3" i="25"/>
  <c r="J3" i="25"/>
  <c r="I3" i="25"/>
  <c r="H3" i="25"/>
  <c r="G3" i="25"/>
  <c r="F3" i="25"/>
  <c r="E3" i="25"/>
  <c r="D3" i="25"/>
  <c r="C3" i="25"/>
  <c r="B3" i="25"/>
  <c r="E3" i="32" s="1"/>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C11" i="32" s="1"/>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C10" i="32" s="1"/>
  <c r="AB9" i="24"/>
  <c r="AA9" i="24"/>
  <c r="Z9" i="24"/>
  <c r="Y9" i="24"/>
  <c r="X9" i="24"/>
  <c r="W9" i="24"/>
  <c r="V9" i="24"/>
  <c r="U9" i="24"/>
  <c r="T9" i="24"/>
  <c r="S9" i="24"/>
  <c r="R9" i="24"/>
  <c r="Q9" i="24"/>
  <c r="P9" i="24"/>
  <c r="O9" i="24"/>
  <c r="N9" i="24"/>
  <c r="M9" i="24"/>
  <c r="L9" i="24"/>
  <c r="K9" i="24"/>
  <c r="J9" i="24"/>
  <c r="I9" i="24"/>
  <c r="H9" i="24"/>
  <c r="G9" i="24"/>
  <c r="F9" i="24"/>
  <c r="E9" i="24"/>
  <c r="D9" i="24"/>
  <c r="C9" i="24"/>
  <c r="B9" i="24"/>
  <c r="C9" i="32" s="1"/>
  <c r="AB8" i="24"/>
  <c r="AA8" i="24"/>
  <c r="Z8" i="24"/>
  <c r="Y8" i="24"/>
  <c r="X8" i="24"/>
  <c r="W8" i="24"/>
  <c r="V8" i="24"/>
  <c r="U8" i="24"/>
  <c r="T8" i="24"/>
  <c r="S8" i="24"/>
  <c r="R8" i="24"/>
  <c r="Q8" i="24"/>
  <c r="P8" i="24"/>
  <c r="O8" i="24"/>
  <c r="N8" i="24"/>
  <c r="M8" i="24"/>
  <c r="L8" i="24"/>
  <c r="K8" i="24"/>
  <c r="J8" i="24"/>
  <c r="I8" i="24"/>
  <c r="H8" i="24"/>
  <c r="G8" i="24"/>
  <c r="F8" i="24"/>
  <c r="E8" i="24"/>
  <c r="D8" i="24"/>
  <c r="C8" i="24"/>
  <c r="B8" i="24"/>
  <c r="C8" i="32" s="1"/>
  <c r="AB7" i="24"/>
  <c r="AA7" i="24"/>
  <c r="Z7" i="24"/>
  <c r="Y7" i="24"/>
  <c r="X7" i="24"/>
  <c r="W7" i="24"/>
  <c r="V7" i="24"/>
  <c r="U7" i="24"/>
  <c r="T7" i="24"/>
  <c r="S7" i="24"/>
  <c r="R7" i="24"/>
  <c r="Q7" i="24"/>
  <c r="P7" i="24"/>
  <c r="O7" i="24"/>
  <c r="N7" i="24"/>
  <c r="M7" i="24"/>
  <c r="L7" i="24"/>
  <c r="K7" i="24"/>
  <c r="J7" i="24"/>
  <c r="I7" i="24"/>
  <c r="H7" i="24"/>
  <c r="G7" i="24"/>
  <c r="F7" i="24"/>
  <c r="E7" i="24"/>
  <c r="D7" i="24"/>
  <c r="C7" i="24"/>
  <c r="B7" i="24"/>
  <c r="C7" i="32" s="1"/>
  <c r="AB6" i="24"/>
  <c r="AA6" i="24"/>
  <c r="Z6" i="24"/>
  <c r="Y6" i="24"/>
  <c r="X6" i="24"/>
  <c r="W6" i="24"/>
  <c r="V6" i="24"/>
  <c r="U6" i="24"/>
  <c r="T6" i="24"/>
  <c r="S6" i="24"/>
  <c r="R6" i="24"/>
  <c r="Q6" i="24"/>
  <c r="P6" i="24"/>
  <c r="O6" i="24"/>
  <c r="N6" i="24"/>
  <c r="M6" i="24"/>
  <c r="L6" i="24"/>
  <c r="K6" i="24"/>
  <c r="J6" i="24"/>
  <c r="I6" i="24"/>
  <c r="H6" i="24"/>
  <c r="G6" i="24"/>
  <c r="F6" i="24"/>
  <c r="E6" i="24"/>
  <c r="D6" i="24"/>
  <c r="C6" i="24"/>
  <c r="B6" i="24"/>
  <c r="C6" i="32" s="1"/>
  <c r="AB5" i="24"/>
  <c r="AA5" i="24"/>
  <c r="Z5" i="24"/>
  <c r="Y5" i="24"/>
  <c r="X5" i="24"/>
  <c r="W5" i="24"/>
  <c r="V5" i="24"/>
  <c r="U5" i="24"/>
  <c r="T5" i="24"/>
  <c r="S5" i="24"/>
  <c r="R5" i="24"/>
  <c r="Q5" i="24"/>
  <c r="P5" i="24"/>
  <c r="O5" i="24"/>
  <c r="N5" i="24"/>
  <c r="M5" i="24"/>
  <c r="L5" i="24"/>
  <c r="K5" i="24"/>
  <c r="J5" i="24"/>
  <c r="I5" i="24"/>
  <c r="H5" i="24"/>
  <c r="G5" i="24"/>
  <c r="F5" i="24"/>
  <c r="E5" i="24"/>
  <c r="D5" i="24"/>
  <c r="C5" i="24"/>
  <c r="B5" i="24"/>
  <c r="C5" i="32" s="1"/>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G9" i="31" s="1"/>
  <c r="AB8" i="22"/>
  <c r="AA8" i="22"/>
  <c r="Z8" i="22"/>
  <c r="Y8" i="22"/>
  <c r="X8" i="22"/>
  <c r="W8" i="22"/>
  <c r="V8" i="22"/>
  <c r="U8" i="22"/>
  <c r="T8" i="22"/>
  <c r="S8" i="22"/>
  <c r="R8" i="22"/>
  <c r="Q8" i="22"/>
  <c r="P8" i="22"/>
  <c r="O8" i="22"/>
  <c r="N8" i="22"/>
  <c r="M8" i="22"/>
  <c r="L8" i="22"/>
  <c r="K8" i="22"/>
  <c r="J8" i="22"/>
  <c r="I8" i="22"/>
  <c r="H8" i="22"/>
  <c r="G8" i="22"/>
  <c r="F8" i="22"/>
  <c r="E8" i="22"/>
  <c r="D8" i="22"/>
  <c r="C8" i="22"/>
  <c r="B8" i="22"/>
  <c r="G8" i="31" s="1"/>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F11" i="31" s="1"/>
  <c r="AB9" i="21"/>
  <c r="AA9" i="21"/>
  <c r="Z9" i="21"/>
  <c r="Y9" i="21"/>
  <c r="X9" i="21"/>
  <c r="W9" i="21"/>
  <c r="V9" i="21"/>
  <c r="U9" i="21"/>
  <c r="T9" i="21"/>
  <c r="S9" i="21"/>
  <c r="R9" i="21"/>
  <c r="Q9" i="21"/>
  <c r="P9" i="21"/>
  <c r="O9" i="21"/>
  <c r="N9" i="21"/>
  <c r="M9" i="21"/>
  <c r="L9" i="21"/>
  <c r="K9" i="21"/>
  <c r="J9" i="21"/>
  <c r="I9" i="21"/>
  <c r="H9" i="21"/>
  <c r="G9" i="21"/>
  <c r="F9" i="21"/>
  <c r="E9" i="21"/>
  <c r="D9" i="21"/>
  <c r="C9" i="21"/>
  <c r="B9" i="21"/>
  <c r="F9" i="31" s="1"/>
  <c r="AB8" i="21"/>
  <c r="AA8" i="21"/>
  <c r="Z8" i="21"/>
  <c r="Y8" i="21"/>
  <c r="X8" i="21"/>
  <c r="W8" i="21"/>
  <c r="V8" i="21"/>
  <c r="U8" i="21"/>
  <c r="T8" i="21"/>
  <c r="S8" i="21"/>
  <c r="R8" i="21"/>
  <c r="Q8" i="21"/>
  <c r="P8" i="21"/>
  <c r="O8" i="21"/>
  <c r="N8" i="21"/>
  <c r="M8" i="21"/>
  <c r="L8" i="21"/>
  <c r="K8" i="21"/>
  <c r="J8" i="21"/>
  <c r="I8" i="21"/>
  <c r="H8" i="21"/>
  <c r="G8" i="21"/>
  <c r="F8" i="21"/>
  <c r="E8" i="21"/>
  <c r="D8" i="21"/>
  <c r="C8" i="21"/>
  <c r="B8" i="21"/>
  <c r="F8" i="31" s="1"/>
  <c r="AB7" i="21"/>
  <c r="AA7" i="21"/>
  <c r="Z7" i="21"/>
  <c r="Y7" i="21"/>
  <c r="X7" i="21"/>
  <c r="W7" i="21"/>
  <c r="V7" i="21"/>
  <c r="U7" i="21"/>
  <c r="T7" i="21"/>
  <c r="S7" i="21"/>
  <c r="R7" i="21"/>
  <c r="Q7" i="21"/>
  <c r="P7" i="21"/>
  <c r="O7" i="21"/>
  <c r="N7" i="21"/>
  <c r="M7" i="21"/>
  <c r="L7" i="21"/>
  <c r="K7" i="21"/>
  <c r="J7" i="21"/>
  <c r="I7" i="21"/>
  <c r="H7" i="21"/>
  <c r="G7" i="21"/>
  <c r="F7" i="21"/>
  <c r="E7" i="21"/>
  <c r="D7" i="21"/>
  <c r="C7" i="21"/>
  <c r="B7" i="21"/>
  <c r="F7" i="31" s="1"/>
  <c r="AB6" i="21"/>
  <c r="AA6" i="21"/>
  <c r="Z6" i="21"/>
  <c r="Y6" i="21"/>
  <c r="X6" i="21"/>
  <c r="W6" i="21"/>
  <c r="V6" i="21"/>
  <c r="U6" i="21"/>
  <c r="T6" i="21"/>
  <c r="S6" i="21"/>
  <c r="R6" i="21"/>
  <c r="Q6" i="21"/>
  <c r="P6" i="21"/>
  <c r="O6" i="21"/>
  <c r="N6" i="21"/>
  <c r="M6" i="21"/>
  <c r="L6" i="21"/>
  <c r="K6" i="21"/>
  <c r="J6" i="21"/>
  <c r="I6" i="21"/>
  <c r="H6" i="21"/>
  <c r="G6" i="21"/>
  <c r="F6" i="21"/>
  <c r="E6" i="21"/>
  <c r="D6" i="21"/>
  <c r="C6" i="21"/>
  <c r="B6" i="21"/>
  <c r="F6" i="31" s="1"/>
  <c r="AB3" i="21"/>
  <c r="AA3" i="21"/>
  <c r="Z3" i="21"/>
  <c r="Y3" i="21"/>
  <c r="X3" i="21"/>
  <c r="W3" i="21"/>
  <c r="V3" i="21"/>
  <c r="U3" i="21"/>
  <c r="T3" i="21"/>
  <c r="S3" i="21"/>
  <c r="R3" i="21"/>
  <c r="Q3" i="21"/>
  <c r="P3" i="21"/>
  <c r="O3" i="21"/>
  <c r="N3" i="21"/>
  <c r="M3" i="21"/>
  <c r="L3" i="21"/>
  <c r="K3" i="21"/>
  <c r="J3" i="21"/>
  <c r="I3" i="21"/>
  <c r="H3" i="21"/>
  <c r="G3" i="21"/>
  <c r="F3" i="21"/>
  <c r="E3" i="21"/>
  <c r="D3" i="21"/>
  <c r="C3" i="21"/>
  <c r="B3" i="21"/>
  <c r="F3" i="31" s="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E11" i="31" s="1"/>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E10" i="31" s="1"/>
  <c r="AB9" i="20"/>
  <c r="AA9" i="20"/>
  <c r="Z9" i="20"/>
  <c r="Y9" i="20"/>
  <c r="X9" i="20"/>
  <c r="W9" i="20"/>
  <c r="V9" i="20"/>
  <c r="U9" i="20"/>
  <c r="T9" i="20"/>
  <c r="S9" i="20"/>
  <c r="R9" i="20"/>
  <c r="Q9" i="20"/>
  <c r="P9" i="20"/>
  <c r="O9" i="20"/>
  <c r="N9" i="20"/>
  <c r="M9" i="20"/>
  <c r="L9" i="20"/>
  <c r="K9" i="20"/>
  <c r="J9" i="20"/>
  <c r="I9" i="20"/>
  <c r="H9" i="20"/>
  <c r="G9" i="20"/>
  <c r="F9" i="20"/>
  <c r="E9" i="20"/>
  <c r="D9" i="20"/>
  <c r="C9" i="20"/>
  <c r="B9" i="20"/>
  <c r="E9" i="31" s="1"/>
  <c r="AB8" i="20"/>
  <c r="AA8" i="20"/>
  <c r="Z8" i="20"/>
  <c r="Y8" i="20"/>
  <c r="X8" i="20"/>
  <c r="W8" i="20"/>
  <c r="V8" i="20"/>
  <c r="U8" i="20"/>
  <c r="T8" i="20"/>
  <c r="S8" i="20"/>
  <c r="R8" i="20"/>
  <c r="Q8" i="20"/>
  <c r="P8" i="20"/>
  <c r="O8" i="20"/>
  <c r="N8" i="20"/>
  <c r="M8" i="20"/>
  <c r="L8" i="20"/>
  <c r="K8" i="20"/>
  <c r="J8" i="20"/>
  <c r="I8" i="20"/>
  <c r="H8" i="20"/>
  <c r="G8" i="20"/>
  <c r="F8" i="20"/>
  <c r="E8" i="20"/>
  <c r="D8" i="20"/>
  <c r="C8" i="20"/>
  <c r="B8" i="20"/>
  <c r="E8" i="31" s="1"/>
  <c r="AB7" i="20"/>
  <c r="AA7" i="20"/>
  <c r="Z7" i="20"/>
  <c r="Y7" i="20"/>
  <c r="X7" i="20"/>
  <c r="W7" i="20"/>
  <c r="V7" i="20"/>
  <c r="U7" i="20"/>
  <c r="T7" i="20"/>
  <c r="S7" i="20"/>
  <c r="R7" i="20"/>
  <c r="Q7" i="20"/>
  <c r="P7" i="20"/>
  <c r="O7" i="20"/>
  <c r="N7" i="20"/>
  <c r="M7" i="20"/>
  <c r="L7" i="20"/>
  <c r="K7" i="20"/>
  <c r="J7" i="20"/>
  <c r="I7" i="20"/>
  <c r="H7" i="20"/>
  <c r="G7" i="20"/>
  <c r="F7" i="20"/>
  <c r="E7" i="20"/>
  <c r="D7" i="20"/>
  <c r="C7" i="20"/>
  <c r="B7" i="20"/>
  <c r="E7" i="31" s="1"/>
  <c r="AB6" i="20"/>
  <c r="AA6" i="20"/>
  <c r="Z6" i="20"/>
  <c r="Y6" i="20"/>
  <c r="X6" i="20"/>
  <c r="W6" i="20"/>
  <c r="V6" i="20"/>
  <c r="U6" i="20"/>
  <c r="T6" i="20"/>
  <c r="S6" i="20"/>
  <c r="R6" i="20"/>
  <c r="Q6" i="20"/>
  <c r="P6" i="20"/>
  <c r="O6" i="20"/>
  <c r="N6" i="20"/>
  <c r="M6" i="20"/>
  <c r="L6" i="20"/>
  <c r="K6" i="20"/>
  <c r="J6" i="20"/>
  <c r="I6" i="20"/>
  <c r="H6" i="20"/>
  <c r="G6" i="20"/>
  <c r="F6" i="20"/>
  <c r="E6" i="20"/>
  <c r="D6" i="20"/>
  <c r="C6" i="20"/>
  <c r="B6" i="20"/>
  <c r="E6" i="31" s="1"/>
  <c r="AB5" i="20"/>
  <c r="AA5" i="20"/>
  <c r="Z5" i="20"/>
  <c r="Y5" i="20"/>
  <c r="X5" i="20"/>
  <c r="W5" i="20"/>
  <c r="V5" i="20"/>
  <c r="U5" i="20"/>
  <c r="T5" i="20"/>
  <c r="S5" i="20"/>
  <c r="R5" i="20"/>
  <c r="Q5" i="20"/>
  <c r="P5" i="20"/>
  <c r="O5" i="20"/>
  <c r="N5" i="20"/>
  <c r="M5" i="20"/>
  <c r="L5" i="20"/>
  <c r="K5" i="20"/>
  <c r="J5" i="20"/>
  <c r="I5" i="20"/>
  <c r="H5" i="20"/>
  <c r="G5" i="20"/>
  <c r="F5" i="20"/>
  <c r="E5" i="20"/>
  <c r="D5" i="20"/>
  <c r="C5" i="20"/>
  <c r="B5" i="20"/>
  <c r="E5" i="31" s="1"/>
  <c r="AB4" i="20"/>
  <c r="AA4" i="20"/>
  <c r="Z4" i="20"/>
  <c r="Y4" i="20"/>
  <c r="X4" i="20"/>
  <c r="W4" i="20"/>
  <c r="V4" i="20"/>
  <c r="U4" i="20"/>
  <c r="T4" i="20"/>
  <c r="S4" i="20"/>
  <c r="R4" i="20"/>
  <c r="Q4" i="20"/>
  <c r="P4" i="20"/>
  <c r="O4" i="20"/>
  <c r="N4" i="20"/>
  <c r="M4" i="20"/>
  <c r="L4" i="20"/>
  <c r="K4" i="20"/>
  <c r="J4" i="20"/>
  <c r="I4" i="20"/>
  <c r="H4" i="20"/>
  <c r="G4" i="20"/>
  <c r="F4" i="20"/>
  <c r="E4" i="20"/>
  <c r="D4" i="20"/>
  <c r="C4" i="20"/>
  <c r="B4" i="20"/>
  <c r="E4" i="31" s="1"/>
  <c r="AB3" i="20"/>
  <c r="AA3" i="20"/>
  <c r="Z3" i="20"/>
  <c r="Y3" i="20"/>
  <c r="X3" i="20"/>
  <c r="W3" i="20"/>
  <c r="V3" i="20"/>
  <c r="U3" i="20"/>
  <c r="T3" i="20"/>
  <c r="S3" i="20"/>
  <c r="R3" i="20"/>
  <c r="Q3" i="20"/>
  <c r="P3" i="20"/>
  <c r="O3" i="20"/>
  <c r="N3" i="20"/>
  <c r="M3" i="20"/>
  <c r="L3" i="20"/>
  <c r="K3" i="20"/>
  <c r="J3" i="20"/>
  <c r="I3" i="20"/>
  <c r="H3" i="20"/>
  <c r="G3" i="20"/>
  <c r="F3" i="20"/>
  <c r="E3" i="20"/>
  <c r="D3" i="20"/>
  <c r="C3" i="20"/>
  <c r="B3" i="20"/>
  <c r="E3" i="31" s="1"/>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C11" i="31" s="1"/>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C10" i="31" s="1"/>
  <c r="AB9" i="19"/>
  <c r="AA9" i="19"/>
  <c r="Z9" i="19"/>
  <c r="Y9" i="19"/>
  <c r="X9" i="19"/>
  <c r="W9" i="19"/>
  <c r="V9" i="19"/>
  <c r="U9" i="19"/>
  <c r="T9" i="19"/>
  <c r="S9" i="19"/>
  <c r="R9" i="19"/>
  <c r="Q9" i="19"/>
  <c r="P9" i="19"/>
  <c r="O9" i="19"/>
  <c r="N9" i="19"/>
  <c r="M9" i="19"/>
  <c r="L9" i="19"/>
  <c r="K9" i="19"/>
  <c r="J9" i="19"/>
  <c r="I9" i="19"/>
  <c r="H9" i="19"/>
  <c r="G9" i="19"/>
  <c r="F9" i="19"/>
  <c r="E9" i="19"/>
  <c r="D9" i="19"/>
  <c r="C9" i="19"/>
  <c r="B9" i="19"/>
  <c r="C9" i="31" s="1"/>
  <c r="AB8" i="19"/>
  <c r="AA8" i="19"/>
  <c r="Z8" i="19"/>
  <c r="Y8" i="19"/>
  <c r="X8" i="19"/>
  <c r="W8" i="19"/>
  <c r="V8" i="19"/>
  <c r="U8" i="19"/>
  <c r="T8" i="19"/>
  <c r="S8" i="19"/>
  <c r="R8" i="19"/>
  <c r="Q8" i="19"/>
  <c r="P8" i="19"/>
  <c r="O8" i="19"/>
  <c r="N8" i="19"/>
  <c r="M8" i="19"/>
  <c r="L8" i="19"/>
  <c r="K8" i="19"/>
  <c r="J8" i="19"/>
  <c r="I8" i="19"/>
  <c r="H8" i="19"/>
  <c r="G8" i="19"/>
  <c r="F8" i="19"/>
  <c r="E8" i="19"/>
  <c r="D8" i="19"/>
  <c r="C8" i="19"/>
  <c r="B8" i="19"/>
  <c r="C8" i="31" s="1"/>
  <c r="AB7" i="19"/>
  <c r="AA7" i="19"/>
  <c r="Z7" i="19"/>
  <c r="Y7" i="19"/>
  <c r="X7" i="19"/>
  <c r="W7" i="19"/>
  <c r="V7" i="19"/>
  <c r="U7" i="19"/>
  <c r="T7" i="19"/>
  <c r="S7" i="19"/>
  <c r="R7" i="19"/>
  <c r="Q7" i="19"/>
  <c r="P7" i="19"/>
  <c r="O7" i="19"/>
  <c r="N7" i="19"/>
  <c r="M7" i="19"/>
  <c r="L7" i="19"/>
  <c r="K7" i="19"/>
  <c r="J7" i="19"/>
  <c r="I7" i="19"/>
  <c r="H7" i="19"/>
  <c r="G7" i="19"/>
  <c r="F7" i="19"/>
  <c r="E7" i="19"/>
  <c r="D7" i="19"/>
  <c r="C7" i="19"/>
  <c r="B7" i="19"/>
  <c r="C7" i="31" s="1"/>
  <c r="AB6" i="19"/>
  <c r="AA6" i="19"/>
  <c r="Z6" i="19"/>
  <c r="Y6" i="19"/>
  <c r="X6" i="19"/>
  <c r="W6" i="19"/>
  <c r="V6" i="19"/>
  <c r="U6" i="19"/>
  <c r="T6" i="19"/>
  <c r="S6" i="19"/>
  <c r="R6" i="19"/>
  <c r="Q6" i="19"/>
  <c r="P6" i="19"/>
  <c r="O6" i="19"/>
  <c r="N6" i="19"/>
  <c r="M6" i="19"/>
  <c r="L6" i="19"/>
  <c r="K6" i="19"/>
  <c r="J6" i="19"/>
  <c r="I6" i="19"/>
  <c r="H6" i="19"/>
  <c r="G6" i="19"/>
  <c r="F6" i="19"/>
  <c r="E6" i="19"/>
  <c r="D6" i="19"/>
  <c r="C6" i="19"/>
  <c r="B6" i="19"/>
  <c r="C6" i="31" s="1"/>
  <c r="AB5" i="19"/>
  <c r="AA5" i="19"/>
  <c r="Z5" i="19"/>
  <c r="Y5" i="19"/>
  <c r="X5" i="19"/>
  <c r="W5" i="19"/>
  <c r="V5" i="19"/>
  <c r="U5" i="19"/>
  <c r="T5" i="19"/>
  <c r="S5" i="19"/>
  <c r="R5" i="19"/>
  <c r="Q5" i="19"/>
  <c r="P5" i="19"/>
  <c r="O5" i="19"/>
  <c r="N5" i="19"/>
  <c r="M5" i="19"/>
  <c r="L5" i="19"/>
  <c r="K5" i="19"/>
  <c r="J5" i="19"/>
  <c r="I5" i="19"/>
  <c r="H5" i="19"/>
  <c r="G5" i="19"/>
  <c r="F5" i="19"/>
  <c r="E5" i="19"/>
  <c r="D5" i="19"/>
  <c r="C5" i="19"/>
  <c r="B5" i="19"/>
  <c r="C5" i="31" s="1"/>
  <c r="AB3" i="19"/>
  <c r="AA3" i="19"/>
  <c r="Z3" i="19"/>
  <c r="Y3" i="19"/>
  <c r="X3" i="19"/>
  <c r="W3" i="19"/>
  <c r="V3" i="19"/>
  <c r="U3" i="19"/>
  <c r="T3" i="19"/>
  <c r="S3" i="19"/>
  <c r="R3" i="19"/>
  <c r="Q3" i="19"/>
  <c r="P3" i="19"/>
  <c r="O3" i="19"/>
  <c r="N3" i="19"/>
  <c r="M3" i="19"/>
  <c r="L3" i="19"/>
  <c r="K3" i="19"/>
  <c r="J3" i="19"/>
  <c r="I3" i="19"/>
  <c r="H3" i="19"/>
  <c r="G3" i="19"/>
  <c r="F3" i="19"/>
  <c r="E3" i="19"/>
  <c r="D3" i="19"/>
  <c r="C3" i="19"/>
  <c r="B3" i="19"/>
  <c r="C3" i="31" s="1"/>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B11" i="31" s="1"/>
  <c r="AB9" i="18"/>
  <c r="AA9" i="18"/>
  <c r="Z9" i="18"/>
  <c r="Y9" i="18"/>
  <c r="X9" i="18"/>
  <c r="W9" i="18"/>
  <c r="V9" i="18"/>
  <c r="U9" i="18"/>
  <c r="T9" i="18"/>
  <c r="S9" i="18"/>
  <c r="R9" i="18"/>
  <c r="Q9" i="18"/>
  <c r="P9" i="18"/>
  <c r="O9" i="18"/>
  <c r="N9" i="18"/>
  <c r="M9" i="18"/>
  <c r="L9" i="18"/>
  <c r="K9" i="18"/>
  <c r="J9" i="18"/>
  <c r="I9" i="18"/>
  <c r="H9" i="18"/>
  <c r="G9" i="18"/>
  <c r="F9" i="18"/>
  <c r="E9" i="18"/>
  <c r="D9" i="18"/>
  <c r="C9" i="18"/>
  <c r="B9" i="18"/>
  <c r="B9" i="31" s="1"/>
  <c r="AB8" i="18"/>
  <c r="AA8" i="18"/>
  <c r="Z8" i="18"/>
  <c r="Y8" i="18"/>
  <c r="X8" i="18"/>
  <c r="W8" i="18"/>
  <c r="V8" i="18"/>
  <c r="U8" i="18"/>
  <c r="T8" i="18"/>
  <c r="S8" i="18"/>
  <c r="R8" i="18"/>
  <c r="Q8" i="18"/>
  <c r="P8" i="18"/>
  <c r="O8" i="18"/>
  <c r="N8" i="18"/>
  <c r="M8" i="18"/>
  <c r="L8" i="18"/>
  <c r="K8" i="18"/>
  <c r="J8" i="18"/>
  <c r="I8" i="18"/>
  <c r="H8" i="18"/>
  <c r="G8" i="18"/>
  <c r="F8" i="18"/>
  <c r="E8" i="18"/>
  <c r="D8" i="18"/>
  <c r="C8" i="18"/>
  <c r="B8" i="18"/>
  <c r="B8" i="31" s="1"/>
  <c r="AB6" i="18"/>
  <c r="AA6" i="18"/>
  <c r="Z6" i="18"/>
  <c r="Y6" i="18"/>
  <c r="X6" i="18"/>
  <c r="W6" i="18"/>
  <c r="V6" i="18"/>
  <c r="U6" i="18"/>
  <c r="T6" i="18"/>
  <c r="S6" i="18"/>
  <c r="R6" i="18"/>
  <c r="Q6" i="18"/>
  <c r="P6" i="18"/>
  <c r="O6" i="18"/>
  <c r="N6" i="18"/>
  <c r="M6" i="18"/>
  <c r="L6" i="18"/>
  <c r="K6" i="18"/>
  <c r="J6" i="18"/>
  <c r="I6" i="18"/>
  <c r="H6" i="18"/>
  <c r="G6" i="18"/>
  <c r="F6" i="18"/>
  <c r="E6" i="18"/>
  <c r="D6" i="18"/>
  <c r="C6" i="18"/>
  <c r="B6" i="18"/>
  <c r="B6" i="31" s="1"/>
  <c r="AB3" i="18"/>
  <c r="AA3" i="18"/>
  <c r="Z3" i="18"/>
  <c r="Y3" i="18"/>
  <c r="X3" i="18"/>
  <c r="W3" i="18"/>
  <c r="V3" i="18"/>
  <c r="U3" i="18"/>
  <c r="T3" i="18"/>
  <c r="S3" i="18"/>
  <c r="R3" i="18"/>
  <c r="Q3" i="18"/>
  <c r="P3" i="18"/>
  <c r="O3" i="18"/>
  <c r="N3" i="18"/>
  <c r="M3" i="18"/>
  <c r="L3" i="18"/>
  <c r="K3" i="18"/>
  <c r="J3" i="18"/>
  <c r="I3" i="18"/>
  <c r="H3" i="18"/>
  <c r="G3" i="18"/>
  <c r="F3" i="18"/>
  <c r="E3" i="18"/>
  <c r="D3" i="18"/>
  <c r="C3" i="18"/>
  <c r="B3" i="18"/>
  <c r="B3" i="31" s="1"/>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G11" i="30" s="1"/>
  <c r="AB9" i="17"/>
  <c r="AA9" i="17"/>
  <c r="Z9" i="17"/>
  <c r="Y9" i="17"/>
  <c r="X9" i="17"/>
  <c r="W9" i="17"/>
  <c r="V9" i="17"/>
  <c r="U9" i="17"/>
  <c r="T9" i="17"/>
  <c r="S9" i="17"/>
  <c r="R9" i="17"/>
  <c r="Q9" i="17"/>
  <c r="P9" i="17"/>
  <c r="O9" i="17"/>
  <c r="N9" i="17"/>
  <c r="M9" i="17"/>
  <c r="L9" i="17"/>
  <c r="K9" i="17"/>
  <c r="J9" i="17"/>
  <c r="I9" i="17"/>
  <c r="H9" i="17"/>
  <c r="G9" i="17"/>
  <c r="F9" i="17"/>
  <c r="E9" i="17"/>
  <c r="D9" i="17"/>
  <c r="C9" i="17"/>
  <c r="B9" i="17"/>
  <c r="G9" i="30" s="1"/>
  <c r="AB8" i="17"/>
  <c r="AA8" i="17"/>
  <c r="Z8" i="17"/>
  <c r="Y8" i="17"/>
  <c r="X8" i="17"/>
  <c r="W8" i="17"/>
  <c r="V8" i="17"/>
  <c r="U8" i="17"/>
  <c r="T8" i="17"/>
  <c r="S8" i="17"/>
  <c r="R8" i="17"/>
  <c r="Q8" i="17"/>
  <c r="P8" i="17"/>
  <c r="O8" i="17"/>
  <c r="N8" i="17"/>
  <c r="M8" i="17"/>
  <c r="L8" i="17"/>
  <c r="K8" i="17"/>
  <c r="J8" i="17"/>
  <c r="I8" i="17"/>
  <c r="H8" i="17"/>
  <c r="G8" i="17"/>
  <c r="F8" i="17"/>
  <c r="E8" i="17"/>
  <c r="D8" i="17"/>
  <c r="C8" i="17"/>
  <c r="B8" i="17"/>
  <c r="G8" i="30" s="1"/>
  <c r="AB7" i="17"/>
  <c r="AA7" i="17"/>
  <c r="Z7" i="17"/>
  <c r="Y7" i="17"/>
  <c r="X7" i="17"/>
  <c r="W7" i="17"/>
  <c r="V7" i="17"/>
  <c r="U7" i="17"/>
  <c r="T7" i="17"/>
  <c r="S7" i="17"/>
  <c r="R7" i="17"/>
  <c r="Q7" i="17"/>
  <c r="P7" i="17"/>
  <c r="O7" i="17"/>
  <c r="N7" i="17"/>
  <c r="M7" i="17"/>
  <c r="L7" i="17"/>
  <c r="K7" i="17"/>
  <c r="J7" i="17"/>
  <c r="I7" i="17"/>
  <c r="H7" i="17"/>
  <c r="G7" i="17"/>
  <c r="F7" i="17"/>
  <c r="E7" i="17"/>
  <c r="D7" i="17"/>
  <c r="C7" i="17"/>
  <c r="B7" i="17"/>
  <c r="G7" i="30" s="1"/>
  <c r="AB6" i="17"/>
  <c r="AA6" i="17"/>
  <c r="Z6" i="17"/>
  <c r="Y6" i="17"/>
  <c r="X6" i="17"/>
  <c r="W6" i="17"/>
  <c r="V6" i="17"/>
  <c r="U6" i="17"/>
  <c r="T6" i="17"/>
  <c r="S6" i="17"/>
  <c r="R6" i="17"/>
  <c r="Q6" i="17"/>
  <c r="P6" i="17"/>
  <c r="O6" i="17"/>
  <c r="N6" i="17"/>
  <c r="M6" i="17"/>
  <c r="L6" i="17"/>
  <c r="K6" i="17"/>
  <c r="J6" i="17"/>
  <c r="I6" i="17"/>
  <c r="H6" i="17"/>
  <c r="G6" i="17"/>
  <c r="F6" i="17"/>
  <c r="E6" i="17"/>
  <c r="D6" i="17"/>
  <c r="C6" i="17"/>
  <c r="B6" i="17"/>
  <c r="G6" i="30" s="1"/>
  <c r="AB3" i="17"/>
  <c r="AA3" i="17"/>
  <c r="Z3" i="17"/>
  <c r="Y3" i="17"/>
  <c r="X3" i="17"/>
  <c r="W3" i="17"/>
  <c r="V3" i="17"/>
  <c r="U3" i="17"/>
  <c r="T3" i="17"/>
  <c r="S3" i="17"/>
  <c r="R3" i="17"/>
  <c r="Q3" i="17"/>
  <c r="P3" i="17"/>
  <c r="O3" i="17"/>
  <c r="N3" i="17"/>
  <c r="M3" i="17"/>
  <c r="L3" i="17"/>
  <c r="K3" i="17"/>
  <c r="J3" i="17"/>
  <c r="I3" i="17"/>
  <c r="H3" i="17"/>
  <c r="G3" i="17"/>
  <c r="F3" i="17"/>
  <c r="E3" i="17"/>
  <c r="D3" i="17"/>
  <c r="C3" i="17"/>
  <c r="B3" i="17"/>
  <c r="G3" i="30" s="1"/>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F11" i="30" s="1"/>
  <c r="AB9" i="16"/>
  <c r="AA9" i="16"/>
  <c r="Z9" i="16"/>
  <c r="Y9" i="16"/>
  <c r="X9" i="16"/>
  <c r="W9" i="16"/>
  <c r="V9" i="16"/>
  <c r="U9" i="16"/>
  <c r="T9" i="16"/>
  <c r="S9" i="16"/>
  <c r="R9" i="16"/>
  <c r="Q9" i="16"/>
  <c r="P9" i="16"/>
  <c r="O9" i="16"/>
  <c r="N9" i="16"/>
  <c r="M9" i="16"/>
  <c r="L9" i="16"/>
  <c r="K9" i="16"/>
  <c r="J9" i="16"/>
  <c r="I9" i="16"/>
  <c r="H9" i="16"/>
  <c r="G9" i="16"/>
  <c r="F9" i="16"/>
  <c r="E9" i="16"/>
  <c r="D9" i="16"/>
  <c r="C9" i="16"/>
  <c r="B9" i="16"/>
  <c r="F9" i="30" s="1"/>
  <c r="AB8" i="16"/>
  <c r="AA8" i="16"/>
  <c r="Z8" i="16"/>
  <c r="Y8" i="16"/>
  <c r="X8" i="16"/>
  <c r="W8" i="16"/>
  <c r="V8" i="16"/>
  <c r="U8" i="16"/>
  <c r="T8" i="16"/>
  <c r="S8" i="16"/>
  <c r="R8" i="16"/>
  <c r="Q8" i="16"/>
  <c r="P8" i="16"/>
  <c r="O8" i="16"/>
  <c r="N8" i="16"/>
  <c r="M8" i="16"/>
  <c r="L8" i="16"/>
  <c r="K8" i="16"/>
  <c r="J8" i="16"/>
  <c r="I8" i="16"/>
  <c r="H8" i="16"/>
  <c r="G8" i="16"/>
  <c r="F8" i="16"/>
  <c r="E8" i="16"/>
  <c r="D8" i="16"/>
  <c r="C8" i="16"/>
  <c r="B8" i="16"/>
  <c r="F8" i="30" s="1"/>
  <c r="AB7" i="16"/>
  <c r="AA7" i="16"/>
  <c r="Z7" i="16"/>
  <c r="Y7" i="16"/>
  <c r="X7" i="16"/>
  <c r="W7" i="16"/>
  <c r="V7" i="16"/>
  <c r="U7" i="16"/>
  <c r="T7" i="16"/>
  <c r="S7" i="16"/>
  <c r="R7" i="16"/>
  <c r="Q7" i="16"/>
  <c r="P7" i="16"/>
  <c r="O7" i="16"/>
  <c r="N7" i="16"/>
  <c r="M7" i="16"/>
  <c r="L7" i="16"/>
  <c r="K7" i="16"/>
  <c r="J7" i="16"/>
  <c r="I7" i="16"/>
  <c r="H7" i="16"/>
  <c r="G7" i="16"/>
  <c r="F7" i="16"/>
  <c r="E7" i="16"/>
  <c r="D7" i="16"/>
  <c r="C7" i="16"/>
  <c r="B7" i="16"/>
  <c r="F7" i="30" s="1"/>
  <c r="AB6" i="16"/>
  <c r="AA6" i="16"/>
  <c r="Z6" i="16"/>
  <c r="Y6" i="16"/>
  <c r="X6" i="16"/>
  <c r="W6" i="16"/>
  <c r="V6" i="16"/>
  <c r="U6" i="16"/>
  <c r="T6" i="16"/>
  <c r="S6" i="16"/>
  <c r="R6" i="16"/>
  <c r="Q6" i="16"/>
  <c r="P6" i="16"/>
  <c r="O6" i="16"/>
  <c r="N6" i="16"/>
  <c r="M6" i="16"/>
  <c r="L6" i="16"/>
  <c r="K6" i="16"/>
  <c r="J6" i="16"/>
  <c r="I6" i="16"/>
  <c r="H6" i="16"/>
  <c r="G6" i="16"/>
  <c r="F6" i="16"/>
  <c r="E6" i="16"/>
  <c r="D6" i="16"/>
  <c r="C6" i="16"/>
  <c r="B6" i="16"/>
  <c r="F6" i="30" s="1"/>
  <c r="AB3" i="16"/>
  <c r="AA3" i="16"/>
  <c r="Z3" i="16"/>
  <c r="Y3" i="16"/>
  <c r="X3" i="16"/>
  <c r="W3" i="16"/>
  <c r="V3" i="16"/>
  <c r="U3" i="16"/>
  <c r="T3" i="16"/>
  <c r="S3" i="16"/>
  <c r="R3" i="16"/>
  <c r="Q3" i="16"/>
  <c r="P3" i="16"/>
  <c r="O3" i="16"/>
  <c r="N3" i="16"/>
  <c r="M3" i="16"/>
  <c r="L3" i="16"/>
  <c r="K3" i="16"/>
  <c r="J3" i="16"/>
  <c r="I3" i="16"/>
  <c r="H3" i="16"/>
  <c r="G3" i="16"/>
  <c r="F3" i="16"/>
  <c r="E3" i="16"/>
  <c r="D3" i="16"/>
  <c r="C3" i="16"/>
  <c r="B3" i="16"/>
  <c r="F3" i="30" s="1"/>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E11" i="30" s="1"/>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E10" i="30" s="1"/>
  <c r="AB9" i="15"/>
  <c r="AA9" i="15"/>
  <c r="Z9" i="15"/>
  <c r="Y9" i="15"/>
  <c r="X9" i="15"/>
  <c r="W9" i="15"/>
  <c r="V9" i="15"/>
  <c r="U9" i="15"/>
  <c r="T9" i="15"/>
  <c r="S9" i="15"/>
  <c r="R9" i="15"/>
  <c r="Q9" i="15"/>
  <c r="P9" i="15"/>
  <c r="O9" i="15"/>
  <c r="N9" i="15"/>
  <c r="M9" i="15"/>
  <c r="L9" i="15"/>
  <c r="K9" i="15"/>
  <c r="J9" i="15"/>
  <c r="I9" i="15"/>
  <c r="H9" i="15"/>
  <c r="G9" i="15"/>
  <c r="F9" i="15"/>
  <c r="E9" i="15"/>
  <c r="D9" i="15"/>
  <c r="C9" i="15"/>
  <c r="B9" i="15"/>
  <c r="E9" i="30" s="1"/>
  <c r="AB8" i="15"/>
  <c r="AA8" i="15"/>
  <c r="Z8" i="15"/>
  <c r="Y8" i="15"/>
  <c r="X8" i="15"/>
  <c r="W8" i="15"/>
  <c r="V8" i="15"/>
  <c r="U8" i="15"/>
  <c r="T8" i="15"/>
  <c r="S8" i="15"/>
  <c r="R8" i="15"/>
  <c r="Q8" i="15"/>
  <c r="P8" i="15"/>
  <c r="O8" i="15"/>
  <c r="N8" i="15"/>
  <c r="M8" i="15"/>
  <c r="L8" i="15"/>
  <c r="K8" i="15"/>
  <c r="J8" i="15"/>
  <c r="I8" i="15"/>
  <c r="H8" i="15"/>
  <c r="G8" i="15"/>
  <c r="F8" i="15"/>
  <c r="E8" i="15"/>
  <c r="D8" i="15"/>
  <c r="C8" i="15"/>
  <c r="B8" i="15"/>
  <c r="E8" i="30" s="1"/>
  <c r="AB7" i="15"/>
  <c r="AA7" i="15"/>
  <c r="Z7" i="15"/>
  <c r="Y7" i="15"/>
  <c r="X7" i="15"/>
  <c r="W7" i="15"/>
  <c r="V7" i="15"/>
  <c r="U7" i="15"/>
  <c r="T7" i="15"/>
  <c r="S7" i="15"/>
  <c r="R7" i="15"/>
  <c r="Q7" i="15"/>
  <c r="P7" i="15"/>
  <c r="O7" i="15"/>
  <c r="N7" i="15"/>
  <c r="M7" i="15"/>
  <c r="L7" i="15"/>
  <c r="K7" i="15"/>
  <c r="J7" i="15"/>
  <c r="I7" i="15"/>
  <c r="H7" i="15"/>
  <c r="G7" i="15"/>
  <c r="F7" i="15"/>
  <c r="E7" i="15"/>
  <c r="D7" i="15"/>
  <c r="C7" i="15"/>
  <c r="B7" i="15"/>
  <c r="E7" i="30" s="1"/>
  <c r="AB6" i="15"/>
  <c r="AA6" i="15"/>
  <c r="Z6" i="15"/>
  <c r="Y6" i="15"/>
  <c r="X6" i="15"/>
  <c r="W6" i="15"/>
  <c r="V6" i="15"/>
  <c r="U6" i="15"/>
  <c r="T6" i="15"/>
  <c r="S6" i="15"/>
  <c r="R6" i="15"/>
  <c r="Q6" i="15"/>
  <c r="P6" i="15"/>
  <c r="O6" i="15"/>
  <c r="N6" i="15"/>
  <c r="M6" i="15"/>
  <c r="L6" i="15"/>
  <c r="K6" i="15"/>
  <c r="J6" i="15"/>
  <c r="I6" i="15"/>
  <c r="H6" i="15"/>
  <c r="G6" i="15"/>
  <c r="F6" i="15"/>
  <c r="E6" i="15"/>
  <c r="D6" i="15"/>
  <c r="C6" i="15"/>
  <c r="B6" i="15"/>
  <c r="E6" i="30" s="1"/>
  <c r="AB5" i="15"/>
  <c r="AA5" i="15"/>
  <c r="Z5" i="15"/>
  <c r="Y5" i="15"/>
  <c r="X5" i="15"/>
  <c r="W5" i="15"/>
  <c r="V5" i="15"/>
  <c r="U5" i="15"/>
  <c r="T5" i="15"/>
  <c r="S5" i="15"/>
  <c r="R5" i="15"/>
  <c r="Q5" i="15"/>
  <c r="P5" i="15"/>
  <c r="O5" i="15"/>
  <c r="N5" i="15"/>
  <c r="M5" i="15"/>
  <c r="L5" i="15"/>
  <c r="K5" i="15"/>
  <c r="J5" i="15"/>
  <c r="I5" i="15"/>
  <c r="H5" i="15"/>
  <c r="G5" i="15"/>
  <c r="F5" i="15"/>
  <c r="E5" i="15"/>
  <c r="D5" i="15"/>
  <c r="C5" i="15"/>
  <c r="B5" i="15"/>
  <c r="E5" i="30" s="1"/>
  <c r="AB4" i="15"/>
  <c r="AA4" i="15"/>
  <c r="Z4" i="15"/>
  <c r="Y4" i="15"/>
  <c r="X4" i="15"/>
  <c r="W4" i="15"/>
  <c r="V4" i="15"/>
  <c r="U4" i="15"/>
  <c r="T4" i="15"/>
  <c r="S4" i="15"/>
  <c r="R4" i="15"/>
  <c r="Q4" i="15"/>
  <c r="P4" i="15"/>
  <c r="O4" i="15"/>
  <c r="N4" i="15"/>
  <c r="M4" i="15"/>
  <c r="L4" i="15"/>
  <c r="K4" i="15"/>
  <c r="J4" i="15"/>
  <c r="I4" i="15"/>
  <c r="H4" i="15"/>
  <c r="G4" i="15"/>
  <c r="F4" i="15"/>
  <c r="E4" i="15"/>
  <c r="D4" i="15"/>
  <c r="C4" i="15"/>
  <c r="B4" i="15"/>
  <c r="E4" i="30" s="1"/>
  <c r="AB3" i="15"/>
  <c r="AA3" i="15"/>
  <c r="Z3" i="15"/>
  <c r="Y3" i="15"/>
  <c r="X3" i="15"/>
  <c r="W3" i="15"/>
  <c r="V3" i="15"/>
  <c r="U3" i="15"/>
  <c r="T3" i="15"/>
  <c r="S3" i="15"/>
  <c r="R3" i="15"/>
  <c r="Q3" i="15"/>
  <c r="P3" i="15"/>
  <c r="O3" i="15"/>
  <c r="N3" i="15"/>
  <c r="M3" i="15"/>
  <c r="L3" i="15"/>
  <c r="K3" i="15"/>
  <c r="J3" i="15"/>
  <c r="I3" i="15"/>
  <c r="H3" i="15"/>
  <c r="G3" i="15"/>
  <c r="F3" i="15"/>
  <c r="E3" i="15"/>
  <c r="D3" i="15"/>
  <c r="C3" i="15"/>
  <c r="B3" i="15"/>
  <c r="E3" i="30" s="1"/>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C11" i="30" s="1"/>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C10" i="30" s="1"/>
  <c r="AB9" i="14"/>
  <c r="AA9" i="14"/>
  <c r="Z9" i="14"/>
  <c r="Y9" i="14"/>
  <c r="X9" i="14"/>
  <c r="W9" i="14"/>
  <c r="V9" i="14"/>
  <c r="U9" i="14"/>
  <c r="T9" i="14"/>
  <c r="S9" i="14"/>
  <c r="R9" i="14"/>
  <c r="Q9" i="14"/>
  <c r="P9" i="14"/>
  <c r="O9" i="14"/>
  <c r="N9" i="14"/>
  <c r="M9" i="14"/>
  <c r="L9" i="14"/>
  <c r="K9" i="14"/>
  <c r="J9" i="14"/>
  <c r="I9" i="14"/>
  <c r="H9" i="14"/>
  <c r="G9" i="14"/>
  <c r="F9" i="14"/>
  <c r="E9" i="14"/>
  <c r="D9" i="14"/>
  <c r="C9" i="14"/>
  <c r="B9" i="14"/>
  <c r="C9" i="30" s="1"/>
  <c r="AB8" i="14"/>
  <c r="AA8" i="14"/>
  <c r="Z8" i="14"/>
  <c r="Y8" i="14"/>
  <c r="X8" i="14"/>
  <c r="W8" i="14"/>
  <c r="V8" i="14"/>
  <c r="U8" i="14"/>
  <c r="T8" i="14"/>
  <c r="S8" i="14"/>
  <c r="R8" i="14"/>
  <c r="Q8" i="14"/>
  <c r="P8" i="14"/>
  <c r="O8" i="14"/>
  <c r="N8" i="14"/>
  <c r="M8" i="14"/>
  <c r="L8" i="14"/>
  <c r="K8" i="14"/>
  <c r="J8" i="14"/>
  <c r="I8" i="14"/>
  <c r="H8" i="14"/>
  <c r="G8" i="14"/>
  <c r="F8" i="14"/>
  <c r="E8" i="14"/>
  <c r="D8" i="14"/>
  <c r="C8" i="14"/>
  <c r="B8" i="14"/>
  <c r="C8" i="30" s="1"/>
  <c r="AB7" i="14"/>
  <c r="AA7" i="14"/>
  <c r="Z7" i="14"/>
  <c r="Y7" i="14"/>
  <c r="X7" i="14"/>
  <c r="W7" i="14"/>
  <c r="V7" i="14"/>
  <c r="U7" i="14"/>
  <c r="T7" i="14"/>
  <c r="S7" i="14"/>
  <c r="R7" i="14"/>
  <c r="Q7" i="14"/>
  <c r="P7" i="14"/>
  <c r="O7" i="14"/>
  <c r="N7" i="14"/>
  <c r="M7" i="14"/>
  <c r="L7" i="14"/>
  <c r="K7" i="14"/>
  <c r="J7" i="14"/>
  <c r="I7" i="14"/>
  <c r="H7" i="14"/>
  <c r="G7" i="14"/>
  <c r="F7" i="14"/>
  <c r="E7" i="14"/>
  <c r="D7" i="14"/>
  <c r="C7" i="14"/>
  <c r="B7" i="14"/>
  <c r="C7" i="30" s="1"/>
  <c r="AB6" i="14"/>
  <c r="AA6" i="14"/>
  <c r="Z6" i="14"/>
  <c r="Y6" i="14"/>
  <c r="X6" i="14"/>
  <c r="W6" i="14"/>
  <c r="V6" i="14"/>
  <c r="U6" i="14"/>
  <c r="T6" i="14"/>
  <c r="S6" i="14"/>
  <c r="R6" i="14"/>
  <c r="Q6" i="14"/>
  <c r="P6" i="14"/>
  <c r="O6" i="14"/>
  <c r="N6" i="14"/>
  <c r="M6" i="14"/>
  <c r="L6" i="14"/>
  <c r="K6" i="14"/>
  <c r="J6" i="14"/>
  <c r="I6" i="14"/>
  <c r="H6" i="14"/>
  <c r="G6" i="14"/>
  <c r="F6" i="14"/>
  <c r="E6" i="14"/>
  <c r="D6" i="14"/>
  <c r="C6" i="14"/>
  <c r="B6" i="14"/>
  <c r="C6" i="30" s="1"/>
  <c r="AB5" i="14"/>
  <c r="AA5" i="14"/>
  <c r="Z5" i="14"/>
  <c r="Y5" i="14"/>
  <c r="X5" i="14"/>
  <c r="W5" i="14"/>
  <c r="V5" i="14"/>
  <c r="U5" i="14"/>
  <c r="T5" i="14"/>
  <c r="S5" i="14"/>
  <c r="R5" i="14"/>
  <c r="Q5" i="14"/>
  <c r="P5" i="14"/>
  <c r="O5" i="14"/>
  <c r="N5" i="14"/>
  <c r="M5" i="14"/>
  <c r="L5" i="14"/>
  <c r="K5" i="14"/>
  <c r="J5" i="14"/>
  <c r="I5" i="14"/>
  <c r="H5" i="14"/>
  <c r="G5" i="14"/>
  <c r="F5" i="14"/>
  <c r="E5" i="14"/>
  <c r="D5" i="14"/>
  <c r="C5" i="14"/>
  <c r="B5" i="14"/>
  <c r="C5" i="30" s="1"/>
  <c r="AB3" i="14"/>
  <c r="AA3" i="14"/>
  <c r="Z3" i="14"/>
  <c r="Y3" i="14"/>
  <c r="X3" i="14"/>
  <c r="W3" i="14"/>
  <c r="V3" i="14"/>
  <c r="U3" i="14"/>
  <c r="T3" i="14"/>
  <c r="S3" i="14"/>
  <c r="R3" i="14"/>
  <c r="Q3" i="14"/>
  <c r="P3" i="14"/>
  <c r="O3" i="14"/>
  <c r="N3" i="14"/>
  <c r="M3" i="14"/>
  <c r="L3" i="14"/>
  <c r="K3" i="14"/>
  <c r="J3" i="14"/>
  <c r="I3" i="14"/>
  <c r="H3" i="14"/>
  <c r="G3" i="14"/>
  <c r="F3" i="14"/>
  <c r="E3" i="14"/>
  <c r="D3" i="14"/>
  <c r="C3" i="14"/>
  <c r="B3" i="14"/>
  <c r="C3" i="30" s="1"/>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B11" i="30" s="1"/>
  <c r="AB9" i="13"/>
  <c r="AA9" i="13"/>
  <c r="Z9" i="13"/>
  <c r="Y9" i="13"/>
  <c r="X9" i="13"/>
  <c r="W9" i="13"/>
  <c r="V9" i="13"/>
  <c r="U9" i="13"/>
  <c r="T9" i="13"/>
  <c r="S9" i="13"/>
  <c r="R9" i="13"/>
  <c r="Q9" i="13"/>
  <c r="P9" i="13"/>
  <c r="O9" i="13"/>
  <c r="N9" i="13"/>
  <c r="M9" i="13"/>
  <c r="L9" i="13"/>
  <c r="K9" i="13"/>
  <c r="J9" i="13"/>
  <c r="I9" i="13"/>
  <c r="H9" i="13"/>
  <c r="G9" i="13"/>
  <c r="F9" i="13"/>
  <c r="E9" i="13"/>
  <c r="D9" i="13"/>
  <c r="C9" i="13"/>
  <c r="B9" i="13"/>
  <c r="B9" i="30" s="1"/>
  <c r="AB8" i="13"/>
  <c r="AA8" i="13"/>
  <c r="Z8" i="13"/>
  <c r="Y8" i="13"/>
  <c r="X8" i="13"/>
  <c r="W8" i="13"/>
  <c r="V8" i="13"/>
  <c r="U8" i="13"/>
  <c r="T8" i="13"/>
  <c r="S8" i="13"/>
  <c r="R8" i="13"/>
  <c r="Q8" i="13"/>
  <c r="P8" i="13"/>
  <c r="O8" i="13"/>
  <c r="N8" i="13"/>
  <c r="M8" i="13"/>
  <c r="L8" i="13"/>
  <c r="K8" i="13"/>
  <c r="J8" i="13"/>
  <c r="I8" i="13"/>
  <c r="H8" i="13"/>
  <c r="G8" i="13"/>
  <c r="F8" i="13"/>
  <c r="E8" i="13"/>
  <c r="D8" i="13"/>
  <c r="C8" i="13"/>
  <c r="B8" i="13"/>
  <c r="B8" i="30" s="1"/>
  <c r="AB6" i="13"/>
  <c r="AA6" i="13"/>
  <c r="Z6" i="13"/>
  <c r="Y6" i="13"/>
  <c r="X6" i="13"/>
  <c r="W6" i="13"/>
  <c r="V6" i="13"/>
  <c r="U6" i="13"/>
  <c r="T6" i="13"/>
  <c r="S6" i="13"/>
  <c r="R6" i="13"/>
  <c r="Q6" i="13"/>
  <c r="P6" i="13"/>
  <c r="O6" i="13"/>
  <c r="N6" i="13"/>
  <c r="M6" i="13"/>
  <c r="L6" i="13"/>
  <c r="K6" i="13"/>
  <c r="J6" i="13"/>
  <c r="I6" i="13"/>
  <c r="H6" i="13"/>
  <c r="G6" i="13"/>
  <c r="F6" i="13"/>
  <c r="E6" i="13"/>
  <c r="D6" i="13"/>
  <c r="C6" i="13"/>
  <c r="B6" i="13"/>
  <c r="B6" i="30" s="1"/>
  <c r="AB3" i="13"/>
  <c r="AA3" i="13"/>
  <c r="Z3" i="13"/>
  <c r="Y3" i="13"/>
  <c r="X3" i="13"/>
  <c r="W3" i="13"/>
  <c r="V3" i="13"/>
  <c r="U3" i="13"/>
  <c r="T3" i="13"/>
  <c r="S3" i="13"/>
  <c r="R3" i="13"/>
  <c r="Q3" i="13"/>
  <c r="P3" i="13"/>
  <c r="O3" i="13"/>
  <c r="N3" i="13"/>
  <c r="M3" i="13"/>
  <c r="L3" i="13"/>
  <c r="K3" i="13"/>
  <c r="J3" i="13"/>
  <c r="I3" i="13"/>
  <c r="H3" i="13"/>
  <c r="G3" i="13"/>
  <c r="F3" i="13"/>
  <c r="E3" i="13"/>
  <c r="D3" i="13"/>
  <c r="C3" i="13"/>
  <c r="B3" i="13"/>
  <c r="B3" i="30" s="1"/>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F92" i="11"/>
  <c r="AE92" i="11"/>
  <c r="AD92" i="11"/>
  <c r="AC92" i="11"/>
  <c r="AB92" i="11"/>
  <c r="AA92" i="11"/>
  <c r="Z92" i="11"/>
  <c r="Y92" i="11"/>
  <c r="X92" i="11"/>
  <c r="W92" i="11"/>
  <c r="V92" i="11"/>
  <c r="U92" i="11"/>
  <c r="T92" i="11"/>
  <c r="S92" i="11"/>
  <c r="R92" i="11"/>
  <c r="Q92" i="11"/>
  <c r="P92" i="11"/>
  <c r="O92" i="11"/>
  <c r="N92" i="11"/>
  <c r="M92" i="11"/>
  <c r="L92" i="11"/>
  <c r="K92" i="11"/>
  <c r="J92" i="11"/>
  <c r="I92" i="11"/>
  <c r="H92" i="11"/>
  <c r="G92" i="11"/>
  <c r="AF91" i="11"/>
  <c r="AE91" i="11"/>
  <c r="AD91" i="11"/>
  <c r="AC91" i="11"/>
  <c r="AB91" i="11"/>
  <c r="AA91" i="11"/>
  <c r="Z91" i="11"/>
  <c r="Y91" i="11"/>
  <c r="X91" i="11"/>
  <c r="W91" i="11"/>
  <c r="V91" i="11"/>
  <c r="U91" i="11"/>
  <c r="T91" i="11"/>
  <c r="S91" i="11"/>
  <c r="R91" i="11"/>
  <c r="Q91" i="11"/>
  <c r="P91" i="11"/>
  <c r="O91" i="11"/>
  <c r="N91" i="11"/>
  <c r="M91" i="11"/>
  <c r="L91" i="11"/>
  <c r="K91" i="11"/>
  <c r="J91" i="11"/>
  <c r="I91" i="11"/>
  <c r="H91" i="11"/>
  <c r="G91" i="11"/>
  <c r="AF76" i="11"/>
  <c r="AE76" i="11"/>
  <c r="AD76" i="11"/>
  <c r="AC76" i="11"/>
  <c r="AB76" i="11"/>
  <c r="AA76" i="11"/>
  <c r="Z76" i="11"/>
  <c r="Y76" i="11"/>
  <c r="X76" i="11"/>
  <c r="W76" i="11"/>
  <c r="V76" i="11"/>
  <c r="U76" i="11"/>
  <c r="T76" i="11"/>
  <c r="S76" i="11"/>
  <c r="R76" i="11"/>
  <c r="Q76" i="11"/>
  <c r="P76" i="11"/>
  <c r="O76" i="11"/>
  <c r="N76" i="11"/>
  <c r="M76" i="11"/>
  <c r="L76" i="11"/>
  <c r="K76" i="11"/>
  <c r="J76" i="11"/>
  <c r="I76" i="11"/>
  <c r="H76" i="11"/>
  <c r="G76" i="11"/>
  <c r="AF75" i="11"/>
  <c r="AE75" i="11"/>
  <c r="AD75" i="11"/>
  <c r="AC75" i="11"/>
  <c r="AB75" i="11"/>
  <c r="AA75" i="11"/>
  <c r="Z75" i="11"/>
  <c r="Y75" i="11"/>
  <c r="X75" i="11"/>
  <c r="W75" i="11"/>
  <c r="V75" i="11"/>
  <c r="U75" i="11"/>
  <c r="T75" i="11"/>
  <c r="S75" i="11"/>
  <c r="R75" i="11"/>
  <c r="Q75" i="11"/>
  <c r="P75" i="11"/>
  <c r="O75" i="11"/>
  <c r="N75" i="11"/>
  <c r="M75" i="11"/>
  <c r="L75" i="11"/>
  <c r="K75" i="11"/>
  <c r="J75" i="11"/>
  <c r="I75" i="11"/>
  <c r="H75" i="11"/>
  <c r="G75" i="11"/>
  <c r="AF64" i="11"/>
  <c r="AE64" i="11"/>
  <c r="AD64" i="11"/>
  <c r="AC64" i="11"/>
  <c r="AB64" i="11"/>
  <c r="AA64" i="11"/>
  <c r="Z64" i="11"/>
  <c r="Y64" i="11"/>
  <c r="X64" i="11"/>
  <c r="W64" i="11"/>
  <c r="V64" i="11"/>
  <c r="U64" i="11"/>
  <c r="T64" i="11"/>
  <c r="S64" i="11"/>
  <c r="R64" i="11"/>
  <c r="Q64" i="11"/>
  <c r="P64" i="11"/>
  <c r="O64" i="11"/>
  <c r="N64" i="11"/>
  <c r="M64" i="11"/>
  <c r="L64" i="11"/>
  <c r="K64" i="11"/>
  <c r="J64" i="11"/>
  <c r="I64" i="11"/>
  <c r="H64" i="11"/>
  <c r="G64" i="11"/>
  <c r="F64" i="11"/>
  <c r="B64" i="11"/>
  <c r="AF63" i="11"/>
  <c r="AE63" i="11"/>
  <c r="AD63" i="11"/>
  <c r="AC63" i="11"/>
  <c r="AB63" i="11"/>
  <c r="AA63" i="11"/>
  <c r="Z63" i="11"/>
  <c r="Y63" i="11"/>
  <c r="X63" i="11"/>
  <c r="W63" i="11"/>
  <c r="V63" i="11"/>
  <c r="U63" i="11"/>
  <c r="T63" i="11"/>
  <c r="S63" i="11"/>
  <c r="R63" i="11"/>
  <c r="Q63" i="11"/>
  <c r="P63" i="11"/>
  <c r="O63" i="11"/>
  <c r="N63" i="11"/>
  <c r="M63" i="11"/>
  <c r="L63" i="11"/>
  <c r="K63" i="11"/>
  <c r="J63" i="11"/>
  <c r="I63" i="11"/>
  <c r="H63" i="11"/>
  <c r="G63" i="11"/>
  <c r="F63" i="11"/>
  <c r="B63"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F62" i="11"/>
  <c r="B62" i="11"/>
  <c r="AF61" i="11"/>
  <c r="AE61" i="11"/>
  <c r="AD61" i="11"/>
  <c r="AC61" i="11"/>
  <c r="AB61" i="11"/>
  <c r="AA61" i="11"/>
  <c r="Z61" i="11"/>
  <c r="Y61" i="11"/>
  <c r="X61" i="11"/>
  <c r="W61" i="11"/>
  <c r="V61" i="11"/>
  <c r="U61" i="11"/>
  <c r="T61" i="11"/>
  <c r="S61" i="11"/>
  <c r="R61" i="11"/>
  <c r="Q61" i="11"/>
  <c r="P61" i="11"/>
  <c r="O61" i="11"/>
  <c r="N61" i="11"/>
  <c r="M61" i="11"/>
  <c r="L61" i="11"/>
  <c r="K61" i="11"/>
  <c r="J61" i="11"/>
  <c r="I61" i="11"/>
  <c r="H61" i="11"/>
  <c r="G61" i="11"/>
  <c r="F61" i="11"/>
  <c r="B61" i="11"/>
  <c r="AF60" i="11"/>
  <c r="AE60" i="11"/>
  <c r="AD60" i="11"/>
  <c r="AC60" i="11"/>
  <c r="AB60" i="11"/>
  <c r="AA60" i="11"/>
  <c r="Z60" i="11"/>
  <c r="Y60" i="11"/>
  <c r="X60" i="11"/>
  <c r="W60" i="11"/>
  <c r="V60" i="11"/>
  <c r="U60" i="11"/>
  <c r="T60" i="11"/>
  <c r="S60" i="11"/>
  <c r="R60" i="11"/>
  <c r="Q60" i="11"/>
  <c r="P60" i="11"/>
  <c r="O60" i="11"/>
  <c r="N60" i="11"/>
  <c r="M60" i="11"/>
  <c r="L60" i="11"/>
  <c r="K60" i="11"/>
  <c r="J60" i="11"/>
  <c r="I60" i="11"/>
  <c r="H60" i="11"/>
  <c r="G60" i="11"/>
  <c r="F60" i="11"/>
  <c r="B60" i="11"/>
  <c r="AF59" i="11"/>
  <c r="AE59" i="11"/>
  <c r="AD59" i="11"/>
  <c r="AC59" i="11"/>
  <c r="AB59" i="11"/>
  <c r="AA59" i="11"/>
  <c r="Z59" i="11"/>
  <c r="Y59" i="11"/>
  <c r="X59" i="11"/>
  <c r="W59" i="11"/>
  <c r="V59" i="11"/>
  <c r="U59" i="11"/>
  <c r="T59" i="11"/>
  <c r="S59" i="11"/>
  <c r="R59" i="11"/>
  <c r="Q59" i="11"/>
  <c r="P59" i="11"/>
  <c r="O59" i="11"/>
  <c r="N59" i="11"/>
  <c r="M59" i="11"/>
  <c r="L59" i="11"/>
  <c r="K59" i="11"/>
  <c r="J59" i="11"/>
  <c r="I59" i="11"/>
  <c r="H59" i="11"/>
  <c r="G59" i="11"/>
  <c r="F59" i="11"/>
  <c r="B59" i="11"/>
  <c r="AF58" i="11"/>
  <c r="AE58" i="11"/>
  <c r="AD58" i="11"/>
  <c r="AC58" i="11"/>
  <c r="AB58" i="11"/>
  <c r="AA58" i="11"/>
  <c r="Z58" i="11"/>
  <c r="Y58" i="11"/>
  <c r="X58" i="11"/>
  <c r="W58" i="11"/>
  <c r="V58" i="11"/>
  <c r="U58" i="11"/>
  <c r="T58" i="11"/>
  <c r="S58" i="11"/>
  <c r="R58" i="11"/>
  <c r="Q58" i="11"/>
  <c r="P58" i="11"/>
  <c r="O58" i="11"/>
  <c r="N58" i="11"/>
  <c r="M58" i="11"/>
  <c r="L58" i="11"/>
  <c r="K58" i="11"/>
  <c r="J58" i="11"/>
  <c r="I58" i="11"/>
  <c r="H58" i="11"/>
  <c r="G58" i="11"/>
  <c r="F58" i="11"/>
  <c r="B58" i="11"/>
  <c r="AF57" i="11"/>
  <c r="AE57" i="11"/>
  <c r="AD57" i="11"/>
  <c r="AC57" i="11"/>
  <c r="AB57" i="11"/>
  <c r="AA57" i="11"/>
  <c r="Z57" i="11"/>
  <c r="Y57" i="11"/>
  <c r="X57" i="11"/>
  <c r="W57" i="11"/>
  <c r="V57" i="11"/>
  <c r="U57" i="11"/>
  <c r="T57" i="11"/>
  <c r="S57" i="11"/>
  <c r="R57" i="11"/>
  <c r="Q57" i="11"/>
  <c r="P57" i="11"/>
  <c r="O57" i="11"/>
  <c r="N57" i="11"/>
  <c r="M57" i="11"/>
  <c r="L57" i="11"/>
  <c r="K57" i="11"/>
  <c r="J57" i="11"/>
  <c r="I57" i="11"/>
  <c r="H57" i="11"/>
  <c r="G57" i="11"/>
  <c r="F57" i="11"/>
  <c r="B57" i="11"/>
  <c r="AF56" i="11"/>
  <c r="AE56" i="11"/>
  <c r="AD56" i="11"/>
  <c r="AC56" i="11"/>
  <c r="AB56" i="11"/>
  <c r="AA56" i="11"/>
  <c r="Z56" i="11"/>
  <c r="Y56" i="11"/>
  <c r="X56" i="11"/>
  <c r="W56" i="11"/>
  <c r="V56" i="11"/>
  <c r="U56" i="11"/>
  <c r="T56" i="11"/>
  <c r="S56" i="11"/>
  <c r="R56" i="11"/>
  <c r="Q56" i="11"/>
  <c r="P56" i="11"/>
  <c r="O56" i="11"/>
  <c r="N56" i="11"/>
  <c r="M56" i="11"/>
  <c r="L56" i="11"/>
  <c r="K56" i="11"/>
  <c r="J56" i="11"/>
  <c r="I56" i="11"/>
  <c r="H56" i="11"/>
  <c r="G56" i="11"/>
  <c r="F56" i="11"/>
  <c r="B56" i="11"/>
  <c r="AF55" i="11"/>
  <c r="AE55" i="11"/>
  <c r="AD55" i="11"/>
  <c r="AC55" i="11"/>
  <c r="AB55" i="11"/>
  <c r="AA55" i="11"/>
  <c r="Z55" i="11"/>
  <c r="Y55" i="11"/>
  <c r="X55" i="11"/>
  <c r="W55" i="11"/>
  <c r="V55" i="11"/>
  <c r="U55" i="11"/>
  <c r="T55" i="11"/>
  <c r="S55" i="11"/>
  <c r="R55" i="11"/>
  <c r="Q55" i="11"/>
  <c r="P55" i="11"/>
  <c r="O55" i="11"/>
  <c r="N55" i="11"/>
  <c r="M55" i="11"/>
  <c r="L55" i="11"/>
  <c r="K55" i="11"/>
  <c r="J55" i="11"/>
  <c r="I55" i="11"/>
  <c r="H55" i="11"/>
  <c r="G55" i="11"/>
  <c r="F55" i="11"/>
  <c r="B55" i="11"/>
  <c r="AF54" i="11"/>
  <c r="AE54" i="11"/>
  <c r="AD54" i="11"/>
  <c r="AC54" i="11"/>
  <c r="AB54" i="11"/>
  <c r="AA54" i="11"/>
  <c r="Z54" i="11"/>
  <c r="Y54" i="11"/>
  <c r="X54" i="11"/>
  <c r="W54" i="11"/>
  <c r="V54" i="11"/>
  <c r="U54" i="11"/>
  <c r="T54" i="11"/>
  <c r="S54" i="11"/>
  <c r="R54" i="11"/>
  <c r="Q54" i="11"/>
  <c r="P54" i="11"/>
  <c r="O54" i="11"/>
  <c r="N54" i="11"/>
  <c r="M54" i="11"/>
  <c r="L54" i="11"/>
  <c r="K54" i="11"/>
  <c r="J54" i="11"/>
  <c r="I54" i="11"/>
  <c r="H54" i="11"/>
  <c r="G54" i="11"/>
  <c r="F54" i="11"/>
  <c r="B54" i="11"/>
  <c r="AF53" i="11"/>
  <c r="AE53" i="11"/>
  <c r="AD53" i="11"/>
  <c r="AC53" i="11"/>
  <c r="AB53" i="11"/>
  <c r="AA53" i="11"/>
  <c r="Z53" i="11"/>
  <c r="Y53" i="11"/>
  <c r="X53" i="11"/>
  <c r="W53" i="11"/>
  <c r="V53" i="11"/>
  <c r="U53" i="11"/>
  <c r="T53" i="11"/>
  <c r="S53" i="11"/>
  <c r="R53" i="11"/>
  <c r="Q53" i="11"/>
  <c r="P53" i="11"/>
  <c r="O53" i="11"/>
  <c r="N53" i="11"/>
  <c r="M53" i="11"/>
  <c r="L53" i="11"/>
  <c r="K53" i="11"/>
  <c r="J53" i="11"/>
  <c r="I53" i="11"/>
  <c r="H53" i="11"/>
  <c r="G53" i="11"/>
  <c r="F53" i="11"/>
  <c r="B53" i="11"/>
  <c r="AF52" i="11"/>
  <c r="AE52" i="11"/>
  <c r="AD52" i="11"/>
  <c r="AC52" i="11"/>
  <c r="AB52" i="11"/>
  <c r="AA52" i="11"/>
  <c r="Z52" i="11"/>
  <c r="Y52" i="11"/>
  <c r="X52" i="11"/>
  <c r="W52" i="11"/>
  <c r="V52" i="11"/>
  <c r="U52" i="11"/>
  <c r="T52" i="11"/>
  <c r="S52" i="11"/>
  <c r="R52" i="11"/>
  <c r="Q52" i="11"/>
  <c r="P52" i="11"/>
  <c r="O52" i="11"/>
  <c r="N52" i="11"/>
  <c r="M52" i="11"/>
  <c r="L52" i="11"/>
  <c r="K52" i="11"/>
  <c r="J52" i="11"/>
  <c r="I52" i="11"/>
  <c r="H52" i="11"/>
  <c r="G52" i="11"/>
  <c r="F52" i="11"/>
  <c r="B52" i="11"/>
  <c r="AF51" i="11"/>
  <c r="AE51" i="11"/>
  <c r="AD51" i="11"/>
  <c r="AC51" i="11"/>
  <c r="AB51" i="11"/>
  <c r="AA51" i="11"/>
  <c r="Z51" i="11"/>
  <c r="Y51" i="11"/>
  <c r="X51" i="11"/>
  <c r="W51" i="11"/>
  <c r="V51" i="11"/>
  <c r="U51" i="11"/>
  <c r="T51" i="11"/>
  <c r="S51" i="11"/>
  <c r="R51" i="11"/>
  <c r="Q51" i="11"/>
  <c r="P51" i="11"/>
  <c r="O51" i="11"/>
  <c r="N51" i="11"/>
  <c r="M51" i="11"/>
  <c r="L51" i="11"/>
  <c r="K51" i="11"/>
  <c r="J51" i="11"/>
  <c r="I51" i="11"/>
  <c r="H51" i="11"/>
  <c r="G51" i="11"/>
  <c r="F51" i="11"/>
  <c r="B51" i="11"/>
  <c r="AF50" i="11"/>
  <c r="AE50" i="11"/>
  <c r="AD50" i="11"/>
  <c r="AC50" i="11"/>
  <c r="AB50" i="11"/>
  <c r="AA50" i="11"/>
  <c r="Z50" i="11"/>
  <c r="Y50" i="11"/>
  <c r="X50" i="11"/>
  <c r="W50" i="11"/>
  <c r="V50" i="11"/>
  <c r="U50" i="11"/>
  <c r="T50" i="11"/>
  <c r="S50" i="11"/>
  <c r="R50" i="11"/>
  <c r="Q50" i="11"/>
  <c r="P50" i="11"/>
  <c r="O50" i="11"/>
  <c r="N50" i="11"/>
  <c r="M50" i="11"/>
  <c r="L50" i="11"/>
  <c r="K50" i="11"/>
  <c r="J50" i="11"/>
  <c r="I50" i="11"/>
  <c r="H50" i="11"/>
  <c r="G50" i="11"/>
  <c r="F50" i="11"/>
  <c r="B50" i="11"/>
  <c r="AF49" i="11"/>
  <c r="AE49" i="11"/>
  <c r="AD49" i="11"/>
  <c r="AC49" i="11"/>
  <c r="AB49" i="11"/>
  <c r="AA49" i="11"/>
  <c r="Z49" i="11"/>
  <c r="Y49" i="11"/>
  <c r="X49" i="11"/>
  <c r="W49" i="11"/>
  <c r="V49" i="11"/>
  <c r="U49" i="11"/>
  <c r="T49" i="11"/>
  <c r="S49" i="11"/>
  <c r="R49" i="11"/>
  <c r="Q49" i="11"/>
  <c r="P49" i="11"/>
  <c r="O49" i="11"/>
  <c r="N49" i="11"/>
  <c r="M49" i="11"/>
  <c r="L49" i="11"/>
  <c r="K49" i="11"/>
  <c r="J49" i="11"/>
  <c r="I49" i="11"/>
  <c r="H49" i="11"/>
  <c r="G49" i="11"/>
  <c r="F49" i="11"/>
  <c r="B49"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B48" i="11"/>
  <c r="AF47" i="11"/>
  <c r="AE47" i="11"/>
  <c r="AD47" i="11"/>
  <c r="AC47" i="11"/>
  <c r="AB47" i="11"/>
  <c r="AA47" i="11"/>
  <c r="Z47" i="11"/>
  <c r="Y47" i="11"/>
  <c r="X47" i="11"/>
  <c r="W47" i="11"/>
  <c r="V47" i="11"/>
  <c r="U47" i="11"/>
  <c r="T47" i="11"/>
  <c r="S47" i="11"/>
  <c r="R47" i="11"/>
  <c r="Q47" i="11"/>
  <c r="P47" i="11"/>
  <c r="O47" i="11"/>
  <c r="N47" i="11"/>
  <c r="M47" i="11"/>
  <c r="L47" i="11"/>
  <c r="K47" i="11"/>
  <c r="J47" i="11"/>
  <c r="I47" i="11"/>
  <c r="H47" i="11"/>
  <c r="G47" i="11"/>
  <c r="F47" i="11"/>
  <c r="B47" i="11"/>
  <c r="AF46" i="11"/>
  <c r="AE46" i="11"/>
  <c r="AD46" i="11"/>
  <c r="AC46" i="11"/>
  <c r="AB46" i="11"/>
  <c r="AA46" i="11"/>
  <c r="Z46" i="11"/>
  <c r="Y46" i="11"/>
  <c r="X46" i="11"/>
  <c r="W46" i="11"/>
  <c r="V46" i="11"/>
  <c r="U46" i="11"/>
  <c r="T46" i="11"/>
  <c r="S46" i="11"/>
  <c r="R46" i="11"/>
  <c r="Q46" i="11"/>
  <c r="P46" i="11"/>
  <c r="O46" i="11"/>
  <c r="N46" i="11"/>
  <c r="M46" i="11"/>
  <c r="L46" i="11"/>
  <c r="K46" i="11"/>
  <c r="J46" i="11"/>
  <c r="I46" i="11"/>
  <c r="H46" i="11"/>
  <c r="G46" i="11"/>
  <c r="F46" i="11"/>
  <c r="B46"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G45" i="11"/>
  <c r="F45" i="11"/>
  <c r="B45"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G44" i="11"/>
  <c r="F44" i="11"/>
  <c r="B44" i="11"/>
  <c r="AF43" i="11"/>
  <c r="AE43" i="11"/>
  <c r="AD43" i="11"/>
  <c r="AC43" i="11"/>
  <c r="AB43" i="11"/>
  <c r="AA43" i="11"/>
  <c r="Z43" i="11"/>
  <c r="Y43" i="11"/>
  <c r="X43" i="11"/>
  <c r="W43" i="11"/>
  <c r="V43" i="11"/>
  <c r="U43" i="11"/>
  <c r="T43" i="11"/>
  <c r="S43" i="11"/>
  <c r="R43" i="11"/>
  <c r="Q43" i="11"/>
  <c r="P43" i="11"/>
  <c r="O43" i="11"/>
  <c r="N43" i="11"/>
  <c r="M43" i="11"/>
  <c r="L43" i="11"/>
  <c r="K43" i="11"/>
  <c r="J43" i="11"/>
  <c r="I43" i="11"/>
  <c r="H43" i="11"/>
  <c r="G43" i="11"/>
  <c r="F43" i="11"/>
  <c r="B43"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G42" i="11"/>
  <c r="F42" i="11"/>
  <c r="B42"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G41" i="11"/>
  <c r="F41" i="11"/>
  <c r="B41" i="11"/>
  <c r="AF40" i="11"/>
  <c r="AE40" i="11"/>
  <c r="AD40" i="11"/>
  <c r="AC40" i="11"/>
  <c r="AB40" i="11"/>
  <c r="AA40" i="11"/>
  <c r="Z40" i="11"/>
  <c r="Y40" i="11"/>
  <c r="X40" i="11"/>
  <c r="W40" i="11"/>
  <c r="V40" i="11"/>
  <c r="U40" i="11"/>
  <c r="T40" i="11"/>
  <c r="S40" i="11"/>
  <c r="R40" i="11"/>
  <c r="Q40" i="11"/>
  <c r="P40" i="11"/>
  <c r="O40" i="11"/>
  <c r="N40" i="11"/>
  <c r="M40" i="11"/>
  <c r="L40" i="11"/>
  <c r="K40" i="11"/>
  <c r="J40" i="11"/>
  <c r="I40" i="11"/>
  <c r="H40" i="11"/>
  <c r="G40" i="11"/>
  <c r="F40" i="11"/>
  <c r="B40" i="11"/>
  <c r="AF39" i="11"/>
  <c r="AE39" i="11"/>
  <c r="AD39" i="11"/>
  <c r="AC39" i="11"/>
  <c r="AB39" i="11"/>
  <c r="AA39" i="11"/>
  <c r="Z39" i="11"/>
  <c r="Y39" i="11"/>
  <c r="X39" i="11"/>
  <c r="W39" i="11"/>
  <c r="V39" i="11"/>
  <c r="U39" i="11"/>
  <c r="T39" i="11"/>
  <c r="S39" i="11"/>
  <c r="R39" i="11"/>
  <c r="Q39" i="11"/>
  <c r="P39" i="11"/>
  <c r="O39" i="11"/>
  <c r="N39" i="11"/>
  <c r="M39" i="11"/>
  <c r="L39" i="11"/>
  <c r="K39" i="11"/>
  <c r="J39" i="11"/>
  <c r="I39" i="11"/>
  <c r="H39" i="11"/>
  <c r="G39" i="11"/>
  <c r="F39" i="11"/>
  <c r="B39"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G37" i="11"/>
  <c r="F37" i="11"/>
  <c r="B37"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G36" i="11"/>
  <c r="F36" i="11"/>
  <c r="B36"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G35" i="11"/>
  <c r="F35" i="11"/>
  <c r="B35"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G34" i="11"/>
  <c r="F34" i="11"/>
  <c r="B34"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G33" i="11"/>
  <c r="F33" i="11"/>
  <c r="B33"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G32" i="11"/>
  <c r="F32" i="11"/>
  <c r="B32"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G31" i="11"/>
  <c r="F31" i="11"/>
  <c r="B31"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G30" i="11"/>
  <c r="F30" i="11"/>
  <c r="B30"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G29" i="11"/>
  <c r="F29" i="11"/>
  <c r="B29"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G28" i="11"/>
  <c r="F28" i="11"/>
  <c r="B28"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G27" i="11"/>
  <c r="F27" i="11"/>
  <c r="B27"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G26" i="11"/>
  <c r="F26" i="11"/>
  <c r="B26"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G25" i="11"/>
  <c r="F25" i="11"/>
  <c r="B25"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G24" i="11"/>
  <c r="F24" i="11"/>
  <c r="B24"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G23" i="11"/>
  <c r="F23" i="11"/>
  <c r="B23"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G22" i="11"/>
  <c r="F22" i="11"/>
  <c r="B22"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G21" i="11"/>
  <c r="F21" i="11"/>
  <c r="B21"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G20" i="11"/>
  <c r="F20" i="11"/>
  <c r="B20"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G19" i="11"/>
  <c r="F19" i="11"/>
  <c r="B19"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G18" i="11"/>
  <c r="F18" i="11"/>
  <c r="B18"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G17" i="11"/>
  <c r="F17" i="11"/>
  <c r="B17"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G16" i="11"/>
  <c r="F16" i="11"/>
  <c r="B16"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G15" i="11"/>
  <c r="F15" i="11"/>
  <c r="B15"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G14" i="11"/>
  <c r="F14" i="11"/>
  <c r="B14"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G13" i="11"/>
  <c r="F13" i="11"/>
  <c r="B13"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G12" i="11"/>
  <c r="F12" i="11"/>
  <c r="B12"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G11" i="11"/>
  <c r="F11" i="11"/>
  <c r="B11"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G10" i="11"/>
  <c r="F10" i="11"/>
  <c r="B10"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B9" i="11"/>
  <c r="AF8" i="11"/>
  <c r="AE8" i="11"/>
  <c r="AD8" i="11"/>
  <c r="AC8" i="11"/>
  <c r="AB8" i="11"/>
  <c r="AA8" i="11"/>
  <c r="Z8" i="11"/>
  <c r="Y8" i="11"/>
  <c r="X8" i="11"/>
  <c r="W8" i="11"/>
  <c r="V8" i="11"/>
  <c r="U8" i="11"/>
  <c r="T8" i="11"/>
  <c r="S8" i="11"/>
  <c r="R8" i="11"/>
  <c r="Q8" i="11"/>
  <c r="P8" i="11"/>
  <c r="O8" i="11"/>
  <c r="N8" i="11"/>
  <c r="M8" i="11"/>
  <c r="L8" i="11"/>
  <c r="K8" i="11"/>
  <c r="J8" i="11"/>
  <c r="I8" i="11"/>
  <c r="H8" i="11"/>
  <c r="G8" i="11"/>
  <c r="F8" i="11"/>
  <c r="B8" i="11"/>
  <c r="AF7" i="11"/>
  <c r="AE7" i="11"/>
  <c r="AD7" i="11"/>
  <c r="AC7" i="11"/>
  <c r="AB7" i="11"/>
  <c r="AA7" i="11"/>
  <c r="Z7" i="11"/>
  <c r="Y7" i="11"/>
  <c r="X7" i="11"/>
  <c r="W7" i="11"/>
  <c r="V7" i="11"/>
  <c r="U7" i="11"/>
  <c r="T7" i="11"/>
  <c r="S7" i="11"/>
  <c r="R7" i="11"/>
  <c r="Q7" i="11"/>
  <c r="P7" i="11"/>
  <c r="O7" i="11"/>
  <c r="N7" i="11"/>
  <c r="M7" i="11"/>
  <c r="L7" i="11"/>
  <c r="K7" i="11"/>
  <c r="J7" i="11"/>
  <c r="I7" i="11"/>
  <c r="H7" i="11"/>
  <c r="G7" i="11"/>
  <c r="F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B6"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B5" i="11"/>
  <c r="AF4" i="11"/>
  <c r="AE4" i="11"/>
  <c r="AD4" i="11"/>
  <c r="AC4" i="11"/>
  <c r="AB4" i="11"/>
  <c r="AA4" i="11"/>
  <c r="Z4" i="11"/>
  <c r="Y4" i="11"/>
  <c r="X4" i="11"/>
  <c r="W4" i="11"/>
  <c r="V4" i="11"/>
  <c r="U4" i="11"/>
  <c r="T4" i="11"/>
  <c r="S4" i="11"/>
  <c r="R4" i="11"/>
  <c r="Q4" i="11"/>
  <c r="P4" i="11"/>
  <c r="O4" i="11"/>
  <c r="N4" i="11"/>
  <c r="M4" i="11"/>
  <c r="L4" i="11"/>
  <c r="K4" i="11"/>
  <c r="J4" i="11"/>
  <c r="I4" i="11"/>
  <c r="H4" i="11"/>
  <c r="G4" i="11"/>
  <c r="F4" i="11"/>
  <c r="B4" i="11"/>
  <c r="AF3" i="11"/>
  <c r="AE3" i="11"/>
  <c r="AD3" i="11"/>
  <c r="AC3" i="11"/>
  <c r="AB3" i="11"/>
  <c r="AA3" i="11"/>
  <c r="Z3" i="11"/>
  <c r="Y3" i="11"/>
  <c r="X3" i="11"/>
  <c r="W3" i="11"/>
  <c r="V3" i="11"/>
  <c r="U3" i="11"/>
  <c r="T3" i="11"/>
  <c r="S3" i="11"/>
  <c r="R3" i="11"/>
  <c r="Q3" i="11"/>
  <c r="P3" i="11"/>
  <c r="O3" i="11"/>
  <c r="N3" i="11"/>
  <c r="M3" i="11"/>
  <c r="L3" i="11"/>
  <c r="K3" i="11"/>
  <c r="J3" i="11"/>
  <c r="I3" i="11"/>
  <c r="H3" i="11"/>
  <c r="G3" i="11"/>
  <c r="F3" i="11"/>
  <c r="B3" i="11"/>
  <c r="H6" i="9"/>
  <c r="G6" i="9"/>
  <c r="F6" i="9"/>
  <c r="E6" i="9"/>
  <c r="D6" i="9"/>
  <c r="C6" i="9"/>
  <c r="B6" i="9"/>
  <c r="AB8" i="7"/>
  <c r="AA8" i="7"/>
  <c r="Z8" i="7"/>
  <c r="Y8" i="7"/>
  <c r="X8" i="7"/>
  <c r="W8" i="7"/>
  <c r="V8" i="7"/>
  <c r="U8" i="7"/>
  <c r="T8" i="7"/>
  <c r="S8" i="7"/>
  <c r="R8" i="7"/>
  <c r="Q8" i="7"/>
  <c r="P8" i="7"/>
  <c r="O8" i="7"/>
  <c r="N8" i="7"/>
  <c r="M8" i="7"/>
  <c r="L8" i="7"/>
  <c r="K8" i="7"/>
  <c r="J8" i="7"/>
  <c r="I8" i="7"/>
  <c r="H8" i="7"/>
  <c r="G8" i="7"/>
  <c r="F8" i="7"/>
  <c r="E8" i="7"/>
  <c r="D8" i="7"/>
  <c r="C8" i="7"/>
  <c r="B8" i="7"/>
  <c r="AB7" i="7"/>
  <c r="AA7" i="7"/>
  <c r="Z7" i="7"/>
  <c r="Y7" i="7"/>
  <c r="X7" i="7"/>
  <c r="W7" i="7"/>
  <c r="V7" i="7"/>
  <c r="U7" i="7"/>
  <c r="T7" i="7"/>
  <c r="S7" i="7"/>
  <c r="R7" i="7"/>
  <c r="Q7" i="7"/>
  <c r="P7" i="7"/>
  <c r="O7" i="7"/>
  <c r="N7" i="7"/>
  <c r="M7" i="7"/>
  <c r="L7" i="7"/>
  <c r="K7" i="7"/>
  <c r="J7" i="7"/>
  <c r="I7" i="7"/>
  <c r="H7" i="7"/>
  <c r="G7" i="7"/>
  <c r="F7" i="7"/>
  <c r="E7" i="7"/>
  <c r="D7" i="7"/>
  <c r="C7" i="7"/>
  <c r="B7" i="7"/>
  <c r="AB6" i="7"/>
  <c r="AA6" i="7"/>
  <c r="Z6" i="7"/>
  <c r="Y6" i="7"/>
  <c r="X6" i="7"/>
  <c r="W6" i="7"/>
  <c r="V6" i="7"/>
  <c r="U6" i="7"/>
  <c r="T6" i="7"/>
  <c r="S6" i="7"/>
  <c r="R6" i="7"/>
  <c r="Q6" i="7"/>
  <c r="P6" i="7"/>
  <c r="O6" i="7"/>
  <c r="N6" i="7"/>
  <c r="M6" i="7"/>
  <c r="L6" i="7"/>
  <c r="K6" i="7"/>
  <c r="J6" i="7"/>
  <c r="I6" i="7"/>
  <c r="H6" i="7"/>
  <c r="G6" i="7"/>
  <c r="F6" i="7"/>
  <c r="E6" i="7"/>
  <c r="D6" i="7"/>
  <c r="C6" i="7"/>
  <c r="B6" i="7"/>
  <c r="B77" i="1"/>
  <c r="A75" i="1"/>
  <c r="A74" i="1"/>
  <c r="B11" i="33" l="1"/>
  <c r="G2" i="34" s="1"/>
  <c r="B10" i="33"/>
  <c r="C2" i="34" s="1"/>
  <c r="AB16" i="7"/>
  <c r="AF148" i="12" s="1"/>
  <c r="AB2" i="24" s="1"/>
  <c r="AB10" i="7"/>
  <c r="AA16" i="7"/>
  <c r="AE148" i="12" s="1"/>
  <c r="AA2" i="24" s="1"/>
  <c r="AA10" i="7"/>
  <c r="Z16" i="7"/>
  <c r="AD148" i="12" s="1"/>
  <c r="Z2" i="24" s="1"/>
  <c r="Z10" i="7"/>
  <c r="Y16" i="7"/>
  <c r="AC148" i="12" s="1"/>
  <c r="Y2" i="24" s="1"/>
  <c r="Y10" i="7"/>
  <c r="X16" i="7"/>
  <c r="AB148" i="12" s="1"/>
  <c r="X2" i="24" s="1"/>
  <c r="X10" i="7"/>
  <c r="W16" i="7"/>
  <c r="AA148" i="12" s="1"/>
  <c r="W2" i="24" s="1"/>
  <c r="W10" i="7"/>
  <c r="U16" i="7"/>
  <c r="Y148" i="12" s="1"/>
  <c r="U2" i="24" s="1"/>
  <c r="U10" i="7"/>
  <c r="T16" i="7"/>
  <c r="X148" i="12" s="1"/>
  <c r="T2" i="24" s="1"/>
  <c r="T10" i="7"/>
  <c r="F188" i="12"/>
  <c r="B3" i="27" s="1"/>
  <c r="G3" i="32" s="1"/>
  <c r="G188" i="12"/>
  <c r="C3" i="27" s="1"/>
  <c r="H188" i="12"/>
  <c r="D3" i="27" s="1"/>
  <c r="I188" i="12"/>
  <c r="E3" i="27" s="1"/>
  <c r="J188" i="12"/>
  <c r="F3" i="27" s="1"/>
  <c r="K188" i="12"/>
  <c r="G3" i="27" s="1"/>
  <c r="L188" i="12"/>
  <c r="H3" i="27" s="1"/>
  <c r="M188" i="12"/>
  <c r="I3" i="27" s="1"/>
  <c r="N188" i="12"/>
  <c r="J3" i="27" s="1"/>
  <c r="O188" i="12"/>
  <c r="K3" i="27" s="1"/>
  <c r="P188" i="12"/>
  <c r="L3" i="27" s="1"/>
  <c r="Q188" i="12"/>
  <c r="M3" i="27" s="1"/>
  <c r="R188" i="12"/>
  <c r="N3" i="27" s="1"/>
  <c r="S188" i="12"/>
  <c r="O3" i="27" s="1"/>
  <c r="T188" i="12"/>
  <c r="P3" i="27" s="1"/>
  <c r="U188" i="12"/>
  <c r="Q3" i="27" s="1"/>
  <c r="V188" i="12"/>
  <c r="R3" i="27" s="1"/>
  <c r="W188" i="12"/>
  <c r="S3" i="27" s="1"/>
  <c r="X188" i="12"/>
  <c r="T3" i="27" s="1"/>
  <c r="Y188" i="12"/>
  <c r="U3" i="27" s="1"/>
  <c r="Z188" i="12"/>
  <c r="V3" i="27" s="1"/>
  <c r="S190" i="12"/>
  <c r="O190" i="12"/>
  <c r="J190" i="12"/>
  <c r="G190" i="12"/>
  <c r="W190" i="12"/>
  <c r="R190" i="12"/>
  <c r="K190" i="12"/>
  <c r="AD190" i="12"/>
  <c r="AA190" i="12"/>
  <c r="Y190" i="12"/>
  <c r="T190" i="12"/>
  <c r="U190" i="12"/>
  <c r="Q190" i="12"/>
  <c r="M190" i="12"/>
  <c r="I190" i="12"/>
  <c r="AE190" i="12"/>
  <c r="AB190" i="12"/>
  <c r="P190" i="12"/>
  <c r="H190" i="12"/>
  <c r="V190" i="12"/>
  <c r="F190" i="12"/>
  <c r="L190" i="12"/>
  <c r="AF190" i="12"/>
  <c r="AC190" i="12"/>
  <c r="Z190" i="12"/>
  <c r="X190" i="12"/>
  <c r="N190" i="12"/>
  <c r="T189" i="12"/>
  <c r="P4" i="27" s="1"/>
  <c r="I189" i="12"/>
  <c r="E4" i="27" s="1"/>
  <c r="K189" i="12"/>
  <c r="G4" i="27" s="1"/>
  <c r="U189" i="12"/>
  <c r="Q4" i="27" s="1"/>
  <c r="AC189" i="12"/>
  <c r="Y4" i="27" s="1"/>
  <c r="G189" i="12"/>
  <c r="C4" i="27" s="1"/>
  <c r="S189" i="12"/>
  <c r="O4" i="27" s="1"/>
  <c r="AB189" i="12"/>
  <c r="X4" i="27" s="1"/>
  <c r="AF189" i="12"/>
  <c r="AB4" i="27" s="1"/>
  <c r="M189" i="12"/>
  <c r="I4" i="27" s="1"/>
  <c r="Z189" i="12"/>
  <c r="V4" i="27" s="1"/>
  <c r="AE189" i="12"/>
  <c r="AA4" i="27" s="1"/>
  <c r="H189" i="12"/>
  <c r="D4" i="27" s="1"/>
  <c r="N189" i="12"/>
  <c r="J4" i="27" s="1"/>
  <c r="Y189" i="12"/>
  <c r="U4" i="27" s="1"/>
  <c r="L189" i="12"/>
  <c r="H4" i="27" s="1"/>
  <c r="Q189" i="12"/>
  <c r="M4" i="27" s="1"/>
  <c r="X189" i="12"/>
  <c r="T4" i="27" s="1"/>
  <c r="AD189" i="12"/>
  <c r="Z4" i="27" s="1"/>
  <c r="R189" i="12"/>
  <c r="N4" i="27" s="1"/>
  <c r="P189" i="12"/>
  <c r="L4" i="27" s="1"/>
  <c r="W189" i="12"/>
  <c r="S4" i="27" s="1"/>
  <c r="AA189" i="12"/>
  <c r="W4" i="27" s="1"/>
  <c r="V189" i="12"/>
  <c r="R4" i="27" s="1"/>
  <c r="O189" i="12"/>
  <c r="K4" i="27" s="1"/>
  <c r="J189" i="12"/>
  <c r="F4" i="27" s="1"/>
  <c r="F189" i="12"/>
  <c r="B4" i="27" s="1"/>
  <c r="G4" i="32" s="1"/>
  <c r="AE177" i="12"/>
  <c r="AD177" i="12"/>
  <c r="AC177" i="12"/>
  <c r="AB177" i="12"/>
  <c r="AA177" i="12"/>
  <c r="Z177" i="12"/>
  <c r="Y177" i="12"/>
  <c r="X177" i="12"/>
  <c r="W177" i="12"/>
  <c r="V177" i="12"/>
  <c r="U177" i="12"/>
  <c r="T177" i="12"/>
  <c r="S177" i="12"/>
  <c r="R177" i="12"/>
  <c r="Q177" i="12"/>
  <c r="AF177" i="12"/>
  <c r="M177" i="12"/>
  <c r="L177" i="12"/>
  <c r="K177" i="12"/>
  <c r="J177" i="12"/>
  <c r="I177" i="12"/>
  <c r="H177" i="12"/>
  <c r="G177" i="12"/>
  <c r="P177" i="12"/>
  <c r="O177" i="12"/>
  <c r="N177" i="12"/>
  <c r="F177" i="12"/>
  <c r="T176" i="12"/>
  <c r="P4" i="26" s="1"/>
  <c r="U176" i="12"/>
  <c r="Q4" i="26" s="1"/>
  <c r="V176" i="12"/>
  <c r="R4" i="26" s="1"/>
  <c r="W176" i="12"/>
  <c r="S4" i="26" s="1"/>
  <c r="Y176" i="12"/>
  <c r="U4" i="26" s="1"/>
  <c r="Z176" i="12"/>
  <c r="V4" i="26" s="1"/>
  <c r="AA176" i="12"/>
  <c r="W4" i="26" s="1"/>
  <c r="AB176" i="12"/>
  <c r="X4" i="26" s="1"/>
  <c r="AC176" i="12"/>
  <c r="Y4" i="26" s="1"/>
  <c r="F176" i="12"/>
  <c r="B4" i="26" s="1"/>
  <c r="F4" i="32" s="1"/>
  <c r="AD176" i="12"/>
  <c r="Z4" i="26" s="1"/>
  <c r="AE176" i="12"/>
  <c r="AA4" i="26" s="1"/>
  <c r="AF176" i="12"/>
  <c r="AB4" i="26" s="1"/>
  <c r="L176" i="12"/>
  <c r="H4" i="26" s="1"/>
  <c r="G176" i="12"/>
  <c r="C4" i="26" s="1"/>
  <c r="H176" i="12"/>
  <c r="D4" i="26" s="1"/>
  <c r="I176" i="12"/>
  <c r="E4" i="26" s="1"/>
  <c r="J176" i="12"/>
  <c r="F4" i="26" s="1"/>
  <c r="K176" i="12"/>
  <c r="G4" i="26" s="1"/>
  <c r="M176" i="12"/>
  <c r="I4" i="26" s="1"/>
  <c r="N176" i="12"/>
  <c r="J4" i="26" s="1"/>
  <c r="O176" i="12"/>
  <c r="K4" i="26" s="1"/>
  <c r="P176" i="12"/>
  <c r="L4" i="26" s="1"/>
  <c r="Q176" i="12"/>
  <c r="M4" i="26" s="1"/>
  <c r="X176" i="12"/>
  <c r="T4" i="26" s="1"/>
  <c r="R176" i="12"/>
  <c r="N4" i="26" s="1"/>
  <c r="S176" i="12"/>
  <c r="O4" i="26" s="1"/>
  <c r="V174" i="12"/>
  <c r="R2" i="26" s="1"/>
  <c r="Y174" i="12"/>
  <c r="U2" i="26" s="1"/>
  <c r="Z174" i="12"/>
  <c r="V2" i="26" s="1"/>
  <c r="AD174" i="12"/>
  <c r="Z2" i="26" s="1"/>
  <c r="AA174" i="12"/>
  <c r="W2" i="26" s="1"/>
  <c r="L174" i="12"/>
  <c r="H2" i="26" s="1"/>
  <c r="H174" i="12"/>
  <c r="D2" i="26" s="1"/>
  <c r="K174" i="12"/>
  <c r="G2" i="26" s="1"/>
  <c r="AE174" i="12"/>
  <c r="AA2" i="26" s="1"/>
  <c r="T174" i="12"/>
  <c r="P2" i="26" s="1"/>
  <c r="I174" i="12"/>
  <c r="E2" i="26" s="1"/>
  <c r="F174" i="12"/>
  <c r="B2" i="26" s="1"/>
  <c r="F2" i="32" s="1"/>
  <c r="G174" i="12"/>
  <c r="C2" i="26" s="1"/>
  <c r="W174" i="12"/>
  <c r="S2" i="26" s="1"/>
  <c r="AB174" i="12"/>
  <c r="X2" i="26" s="1"/>
  <c r="S174" i="12"/>
  <c r="O2" i="26" s="1"/>
  <c r="U174" i="12"/>
  <c r="Q2" i="26" s="1"/>
  <c r="M174" i="12"/>
  <c r="I2" i="26" s="1"/>
  <c r="X174" i="12"/>
  <c r="T2" i="26" s="1"/>
  <c r="R174" i="12"/>
  <c r="N2" i="26" s="1"/>
  <c r="AF174" i="12"/>
  <c r="AB2" i="26" s="1"/>
  <c r="J174" i="12"/>
  <c r="F2" i="26" s="1"/>
  <c r="AC174" i="12"/>
  <c r="Y2" i="26" s="1"/>
  <c r="Q174" i="12"/>
  <c r="M2" i="26" s="1"/>
  <c r="P174" i="12"/>
  <c r="L2" i="26" s="1"/>
  <c r="O174" i="12"/>
  <c r="K2" i="26" s="1"/>
  <c r="N174" i="12"/>
  <c r="J2" i="26" s="1"/>
  <c r="V161" i="12"/>
  <c r="R2" i="25" s="1"/>
  <c r="F161" i="12"/>
  <c r="B2" i="25" s="1"/>
  <c r="E2" i="32" s="1"/>
  <c r="G161" i="12"/>
  <c r="C2" i="25" s="1"/>
  <c r="W161" i="12"/>
  <c r="S2" i="25" s="1"/>
  <c r="H161" i="12"/>
  <c r="D2" i="25" s="1"/>
  <c r="Y161" i="12"/>
  <c r="U2" i="25" s="1"/>
  <c r="Z161" i="12"/>
  <c r="V2" i="25" s="1"/>
  <c r="U161" i="12"/>
  <c r="Q2" i="25" s="1"/>
  <c r="S161" i="12"/>
  <c r="O2" i="25" s="1"/>
  <c r="T161" i="12"/>
  <c r="P2" i="25" s="1"/>
  <c r="R161" i="12"/>
  <c r="N2" i="25" s="1"/>
  <c r="Q161" i="12"/>
  <c r="M2" i="25" s="1"/>
  <c r="P161" i="12"/>
  <c r="L2" i="25" s="1"/>
  <c r="AE161" i="12"/>
  <c r="AA2" i="25" s="1"/>
  <c r="X161" i="12"/>
  <c r="T2" i="25" s="1"/>
  <c r="AF161" i="12"/>
  <c r="AB2" i="25" s="1"/>
  <c r="AB161" i="12"/>
  <c r="X2" i="25" s="1"/>
  <c r="AC161" i="12"/>
  <c r="Y2" i="25" s="1"/>
  <c r="AD161" i="12"/>
  <c r="Z2" i="25" s="1"/>
  <c r="I161" i="12"/>
  <c r="E2" i="25" s="1"/>
  <c r="AA161" i="12"/>
  <c r="W2" i="25" s="1"/>
  <c r="K161" i="12"/>
  <c r="G2" i="25" s="1"/>
  <c r="L161" i="12"/>
  <c r="H2" i="25" s="1"/>
  <c r="M161" i="12"/>
  <c r="I2" i="25" s="1"/>
  <c r="N161" i="12"/>
  <c r="J2" i="25" s="1"/>
  <c r="O161" i="12"/>
  <c r="K2" i="25" s="1"/>
  <c r="J161" i="12"/>
  <c r="F2" i="25" s="1"/>
  <c r="Y150" i="12"/>
  <c r="U4" i="24" s="1"/>
  <c r="X150" i="12"/>
  <c r="T4" i="24" s="1"/>
  <c r="AF150" i="12"/>
  <c r="AB4" i="24" s="1"/>
  <c r="AE150" i="12"/>
  <c r="AA4" i="24" s="1"/>
  <c r="AD150" i="12"/>
  <c r="Z4" i="24" s="1"/>
  <c r="W150" i="12"/>
  <c r="S4" i="24" s="1"/>
  <c r="V150" i="12"/>
  <c r="R4" i="24" s="1"/>
  <c r="U150" i="12"/>
  <c r="Q4" i="24" s="1"/>
  <c r="T150" i="12"/>
  <c r="P4" i="24" s="1"/>
  <c r="S150" i="12"/>
  <c r="O4" i="24" s="1"/>
  <c r="R150" i="12"/>
  <c r="N4" i="24" s="1"/>
  <c r="Q150" i="12"/>
  <c r="M4" i="24" s="1"/>
  <c r="P150" i="12"/>
  <c r="L4" i="24" s="1"/>
  <c r="O150" i="12"/>
  <c r="K4" i="24" s="1"/>
  <c r="N150" i="12"/>
  <c r="J4" i="24" s="1"/>
  <c r="M150" i="12"/>
  <c r="I4" i="24" s="1"/>
  <c r="L150" i="12"/>
  <c r="H4" i="24" s="1"/>
  <c r="K150" i="12"/>
  <c r="G4" i="24" s="1"/>
  <c r="J150" i="12"/>
  <c r="F4" i="24" s="1"/>
  <c r="I150" i="12"/>
  <c r="E4" i="24" s="1"/>
  <c r="H150" i="12"/>
  <c r="D4" i="24" s="1"/>
  <c r="G150" i="12"/>
  <c r="C4" i="24" s="1"/>
  <c r="F150" i="12"/>
  <c r="B4" i="24" s="1"/>
  <c r="C4" i="32" s="1"/>
  <c r="AC150" i="12"/>
  <c r="Y4" i="24" s="1"/>
  <c r="AB150" i="12"/>
  <c r="X4" i="24" s="1"/>
  <c r="AA150" i="12"/>
  <c r="W4" i="24" s="1"/>
  <c r="Z150" i="12"/>
  <c r="V4" i="24" s="1"/>
  <c r="AF140" i="12"/>
  <c r="AE140" i="12"/>
  <c r="AD140" i="12"/>
  <c r="AC140" i="12"/>
  <c r="AB140" i="12"/>
  <c r="AA140" i="12"/>
  <c r="Z140" i="12"/>
  <c r="Y140" i="12"/>
  <c r="X140" i="12"/>
  <c r="W140" i="12"/>
  <c r="V140" i="12"/>
  <c r="U140" i="12"/>
  <c r="T140" i="12"/>
  <c r="S140" i="12"/>
  <c r="R140" i="12"/>
  <c r="Q140" i="12"/>
  <c r="P140" i="12"/>
  <c r="O140" i="12"/>
  <c r="F140" i="12"/>
  <c r="I140" i="12"/>
  <c r="G140" i="12"/>
  <c r="H140" i="12"/>
  <c r="J140" i="12"/>
  <c r="K140" i="12"/>
  <c r="L140" i="12"/>
  <c r="M140" i="12"/>
  <c r="N140" i="12"/>
  <c r="F139" i="12"/>
  <c r="B6" i="23" s="1"/>
  <c r="B6" i="32" s="1"/>
  <c r="AB139" i="12"/>
  <c r="X6" i="23" s="1"/>
  <c r="AA139" i="12"/>
  <c r="W6" i="23" s="1"/>
  <c r="AC139" i="12"/>
  <c r="Y6" i="23" s="1"/>
  <c r="Y139" i="12"/>
  <c r="U6" i="23" s="1"/>
  <c r="X139" i="12"/>
  <c r="T6" i="23" s="1"/>
  <c r="W139" i="12"/>
  <c r="S6" i="23" s="1"/>
  <c r="V139" i="12"/>
  <c r="R6" i="23" s="1"/>
  <c r="U139" i="12"/>
  <c r="Q6" i="23" s="1"/>
  <c r="T139" i="12"/>
  <c r="P6" i="23" s="1"/>
  <c r="S139" i="12"/>
  <c r="O6" i="23" s="1"/>
  <c r="R139" i="12"/>
  <c r="N6" i="23" s="1"/>
  <c r="Q139" i="12"/>
  <c r="M6" i="23" s="1"/>
  <c r="AD139" i="12"/>
  <c r="Z6" i="23" s="1"/>
  <c r="L139" i="12"/>
  <c r="H6" i="23" s="1"/>
  <c r="O139" i="12"/>
  <c r="K6" i="23" s="1"/>
  <c r="N139" i="12"/>
  <c r="J6" i="23" s="1"/>
  <c r="M139" i="12"/>
  <c r="I6" i="23" s="1"/>
  <c r="K139" i="12"/>
  <c r="G6" i="23" s="1"/>
  <c r="J139" i="12"/>
  <c r="F6" i="23" s="1"/>
  <c r="P139" i="12"/>
  <c r="L6" i="23" s="1"/>
  <c r="I139" i="12"/>
  <c r="E6" i="23" s="1"/>
  <c r="H139" i="12"/>
  <c r="D6" i="23" s="1"/>
  <c r="G139" i="12"/>
  <c r="C6" i="23" s="1"/>
  <c r="AE139" i="12"/>
  <c r="AA6" i="23" s="1"/>
  <c r="AF139" i="12"/>
  <c r="AB6" i="23" s="1"/>
  <c r="Z139" i="12"/>
  <c r="V6" i="23" s="1"/>
  <c r="L137" i="12"/>
  <c r="K137" i="12"/>
  <c r="J137" i="12"/>
  <c r="I137" i="12"/>
  <c r="H137" i="12"/>
  <c r="G137" i="12"/>
  <c r="F137" i="12"/>
  <c r="AF137" i="12"/>
  <c r="AE137" i="12"/>
  <c r="AD137" i="12"/>
  <c r="AC137" i="12"/>
  <c r="AB137" i="12"/>
  <c r="AA137" i="12"/>
  <c r="Z137" i="12"/>
  <c r="Y137" i="12"/>
  <c r="X137" i="12"/>
  <c r="W137" i="12"/>
  <c r="V137" i="12"/>
  <c r="U137" i="12"/>
  <c r="T137" i="12"/>
  <c r="S137" i="12"/>
  <c r="R137" i="12"/>
  <c r="Q137" i="12"/>
  <c r="P137" i="12"/>
  <c r="O137" i="12"/>
  <c r="N137" i="12"/>
  <c r="M137" i="12"/>
  <c r="U135" i="12"/>
  <c r="AF135" i="12"/>
  <c r="AE135" i="12"/>
  <c r="R135" i="12"/>
  <c r="Q135" i="12"/>
  <c r="P135" i="12"/>
  <c r="S135" i="12"/>
  <c r="O135" i="12"/>
  <c r="N135" i="12"/>
  <c r="M135" i="12"/>
  <c r="L135" i="12"/>
  <c r="K135" i="12"/>
  <c r="J135" i="12"/>
  <c r="T135" i="12"/>
  <c r="I135" i="12"/>
  <c r="H135" i="12"/>
  <c r="G135" i="12"/>
  <c r="AD135" i="12"/>
  <c r="AC135" i="12"/>
  <c r="AB135" i="12"/>
  <c r="AA135" i="12"/>
  <c r="Z135" i="12"/>
  <c r="Y135" i="12"/>
  <c r="X135" i="12"/>
  <c r="W135" i="12"/>
  <c r="V135" i="12"/>
  <c r="F135" i="12"/>
  <c r="AA130" i="12"/>
  <c r="W10" i="22" s="1"/>
  <c r="Z130" i="12"/>
  <c r="V10" i="22" s="1"/>
  <c r="Y130" i="12"/>
  <c r="U10" i="22" s="1"/>
  <c r="W130" i="12"/>
  <c r="S10" i="22" s="1"/>
  <c r="T130" i="12"/>
  <c r="P10" i="22" s="1"/>
  <c r="L130" i="12"/>
  <c r="H10" i="22" s="1"/>
  <c r="M130" i="12"/>
  <c r="I10" i="22" s="1"/>
  <c r="N130" i="12"/>
  <c r="J10" i="22" s="1"/>
  <c r="O130" i="12"/>
  <c r="K10" i="22" s="1"/>
  <c r="P130" i="12"/>
  <c r="L10" i="22" s="1"/>
  <c r="Q130" i="12"/>
  <c r="M10" i="22" s="1"/>
  <c r="R130" i="12"/>
  <c r="N10" i="22" s="1"/>
  <c r="U130" i="12"/>
  <c r="Q10" i="22" s="1"/>
  <c r="S130" i="12"/>
  <c r="O10" i="22" s="1"/>
  <c r="X130" i="12"/>
  <c r="T10" i="22" s="1"/>
  <c r="AF130" i="12"/>
  <c r="AB10" i="22" s="1"/>
  <c r="AE130" i="12"/>
  <c r="AA10" i="22" s="1"/>
  <c r="AD130" i="12"/>
  <c r="Z10" i="22" s="1"/>
  <c r="AC130" i="12"/>
  <c r="Y10" i="22" s="1"/>
  <c r="AB130" i="12"/>
  <c r="X10" i="22" s="1"/>
  <c r="V130" i="12"/>
  <c r="R10" i="22" s="1"/>
  <c r="J130" i="12"/>
  <c r="F10" i="22" s="1"/>
  <c r="I130" i="12"/>
  <c r="E10" i="22" s="1"/>
  <c r="H130" i="12"/>
  <c r="D10" i="22" s="1"/>
  <c r="G130" i="12"/>
  <c r="C10" i="22" s="1"/>
  <c r="F130" i="12"/>
  <c r="B10" i="22" s="1"/>
  <c r="G10" i="31" s="1"/>
  <c r="K130" i="12"/>
  <c r="G10" i="22" s="1"/>
  <c r="X125" i="12"/>
  <c r="T5" i="22" s="1"/>
  <c r="K125" i="12"/>
  <c r="G5" i="22" s="1"/>
  <c r="J125" i="12"/>
  <c r="F5" i="22" s="1"/>
  <c r="I125" i="12"/>
  <c r="E5" i="22" s="1"/>
  <c r="H125" i="12"/>
  <c r="D5" i="22" s="1"/>
  <c r="G125" i="12"/>
  <c r="C5" i="22" s="1"/>
  <c r="F125" i="12"/>
  <c r="B5" i="22" s="1"/>
  <c r="G5" i="31" s="1"/>
  <c r="AF125" i="12"/>
  <c r="AB5" i="22" s="1"/>
  <c r="AE125" i="12"/>
  <c r="AA5" i="22" s="1"/>
  <c r="AD125" i="12"/>
  <c r="Z5" i="22" s="1"/>
  <c r="AC125" i="12"/>
  <c r="Y5" i="22" s="1"/>
  <c r="AB125" i="12"/>
  <c r="X5" i="22" s="1"/>
  <c r="AA125" i="12"/>
  <c r="W5" i="22" s="1"/>
  <c r="Z125" i="12"/>
  <c r="V5" i="22" s="1"/>
  <c r="Y125" i="12"/>
  <c r="U5" i="22" s="1"/>
  <c r="W125" i="12"/>
  <c r="S5" i="22" s="1"/>
  <c r="V125" i="12"/>
  <c r="R5" i="22" s="1"/>
  <c r="U125" i="12"/>
  <c r="Q5" i="22" s="1"/>
  <c r="T125" i="12"/>
  <c r="P5" i="22" s="1"/>
  <c r="S125" i="12"/>
  <c r="O5" i="22" s="1"/>
  <c r="R125" i="12"/>
  <c r="N5" i="22" s="1"/>
  <c r="Q125" i="12"/>
  <c r="M5" i="22" s="1"/>
  <c r="P125" i="12"/>
  <c r="L5" i="22" s="1"/>
  <c r="O125" i="12"/>
  <c r="K5" i="22" s="1"/>
  <c r="N125" i="12"/>
  <c r="J5" i="22" s="1"/>
  <c r="M125" i="12"/>
  <c r="I5" i="22" s="1"/>
  <c r="L125" i="12"/>
  <c r="H5" i="22" s="1"/>
  <c r="G124" i="12"/>
  <c r="C4" i="22" s="1"/>
  <c r="F124" i="12"/>
  <c r="B4" i="22" s="1"/>
  <c r="G4" i="31" s="1"/>
  <c r="X124" i="12"/>
  <c r="T4" i="22" s="1"/>
  <c r="W124" i="12"/>
  <c r="S4" i="22" s="1"/>
  <c r="V124" i="12"/>
  <c r="R4" i="22" s="1"/>
  <c r="U124" i="12"/>
  <c r="Q4" i="22" s="1"/>
  <c r="T124" i="12"/>
  <c r="P4" i="22" s="1"/>
  <c r="S124" i="12"/>
  <c r="O4" i="22" s="1"/>
  <c r="R124" i="12"/>
  <c r="N4" i="22" s="1"/>
  <c r="P124" i="12"/>
  <c r="L4" i="22" s="1"/>
  <c r="M124" i="12"/>
  <c r="I4" i="22" s="1"/>
  <c r="O124" i="12"/>
  <c r="K4" i="22" s="1"/>
  <c r="N124" i="12"/>
  <c r="J4" i="22" s="1"/>
  <c r="K124" i="12"/>
  <c r="G4" i="22" s="1"/>
  <c r="L124" i="12"/>
  <c r="H4" i="22" s="1"/>
  <c r="J124" i="12"/>
  <c r="F4" i="22" s="1"/>
  <c r="Q124" i="12"/>
  <c r="M4" i="22" s="1"/>
  <c r="AA124" i="12"/>
  <c r="W4" i="22" s="1"/>
  <c r="Y124" i="12"/>
  <c r="U4" i="22" s="1"/>
  <c r="Z124" i="12"/>
  <c r="V4" i="22" s="1"/>
  <c r="AB124" i="12"/>
  <c r="X4" i="22" s="1"/>
  <c r="H124" i="12"/>
  <c r="D4" i="22" s="1"/>
  <c r="AC124" i="12"/>
  <c r="Y4" i="22" s="1"/>
  <c r="AD124" i="12"/>
  <c r="Z4" i="22" s="1"/>
  <c r="AE124" i="12"/>
  <c r="AA4" i="22" s="1"/>
  <c r="AF124" i="12"/>
  <c r="AB4" i="22" s="1"/>
  <c r="I124" i="12"/>
  <c r="E4" i="22" s="1"/>
  <c r="N122" i="12"/>
  <c r="J2" i="22" s="1"/>
  <c r="F122" i="12"/>
  <c r="B2" i="22" s="1"/>
  <c r="G2" i="31" s="1"/>
  <c r="H122" i="12"/>
  <c r="D2" i="22" s="1"/>
  <c r="J122" i="12"/>
  <c r="F2" i="22" s="1"/>
  <c r="L122" i="12"/>
  <c r="H2" i="22" s="1"/>
  <c r="O122" i="12"/>
  <c r="K2" i="22" s="1"/>
  <c r="Q122" i="12"/>
  <c r="M2" i="22" s="1"/>
  <c r="S122" i="12"/>
  <c r="O2" i="22" s="1"/>
  <c r="U122" i="12"/>
  <c r="Q2" i="22" s="1"/>
  <c r="W122" i="12"/>
  <c r="S2" i="22" s="1"/>
  <c r="Y122" i="12"/>
  <c r="U2" i="22" s="1"/>
  <c r="AA122" i="12"/>
  <c r="W2" i="22" s="1"/>
  <c r="AC122" i="12"/>
  <c r="Y2" i="22" s="1"/>
  <c r="AF122" i="12"/>
  <c r="AB2" i="22" s="1"/>
  <c r="AD122" i="12"/>
  <c r="Z2" i="22" s="1"/>
  <c r="AB122" i="12"/>
  <c r="X2" i="22" s="1"/>
  <c r="Z122" i="12"/>
  <c r="V2" i="22" s="1"/>
  <c r="X122" i="12"/>
  <c r="T2" i="22" s="1"/>
  <c r="V122" i="12"/>
  <c r="R2" i="22" s="1"/>
  <c r="T122" i="12"/>
  <c r="P2" i="22" s="1"/>
  <c r="R122" i="12"/>
  <c r="N2" i="22" s="1"/>
  <c r="P122" i="12"/>
  <c r="L2" i="22" s="1"/>
  <c r="M122" i="12"/>
  <c r="I2" i="22" s="1"/>
  <c r="K122" i="12"/>
  <c r="G2" i="22" s="1"/>
  <c r="I122" i="12"/>
  <c r="E2" i="22" s="1"/>
  <c r="G122" i="12"/>
  <c r="C2" i="22" s="1"/>
  <c r="AE122" i="12"/>
  <c r="AA2" i="22" s="1"/>
  <c r="V117" i="12"/>
  <c r="R10" i="21" s="1"/>
  <c r="U117" i="12"/>
  <c r="Q10" i="21" s="1"/>
  <c r="S117" i="12"/>
  <c r="O10" i="21" s="1"/>
  <c r="W117" i="12"/>
  <c r="S10" i="21" s="1"/>
  <c r="F117" i="12"/>
  <c r="B10" i="21" s="1"/>
  <c r="F10" i="31" s="1"/>
  <c r="H117" i="12"/>
  <c r="D10" i="21" s="1"/>
  <c r="AF117" i="12"/>
  <c r="AB10" i="21" s="1"/>
  <c r="I117" i="12"/>
  <c r="E10" i="21" s="1"/>
  <c r="L117" i="12"/>
  <c r="H10" i="21" s="1"/>
  <c r="AC117" i="12"/>
  <c r="Y10" i="21" s="1"/>
  <c r="P117" i="12"/>
  <c r="L10" i="21" s="1"/>
  <c r="Q117" i="12"/>
  <c r="M10" i="21" s="1"/>
  <c r="O117" i="12"/>
  <c r="K10" i="21" s="1"/>
  <c r="AD117" i="12"/>
  <c r="Z10" i="21" s="1"/>
  <c r="R117" i="12"/>
  <c r="N10" i="21" s="1"/>
  <c r="T117" i="12"/>
  <c r="P10" i="21" s="1"/>
  <c r="N117" i="12"/>
  <c r="J10" i="21" s="1"/>
  <c r="X117" i="12"/>
  <c r="T10" i="21" s="1"/>
  <c r="Z117" i="12"/>
  <c r="V10" i="21" s="1"/>
  <c r="AB117" i="12"/>
  <c r="X10" i="21" s="1"/>
  <c r="AE117" i="12"/>
  <c r="AA10" i="21" s="1"/>
  <c r="AA117" i="12"/>
  <c r="W10" i="21" s="1"/>
  <c r="M117" i="12"/>
  <c r="I10" i="21" s="1"/>
  <c r="K117" i="12"/>
  <c r="G10" i="21" s="1"/>
  <c r="J117" i="12"/>
  <c r="F10" i="21" s="1"/>
  <c r="G117" i="12"/>
  <c r="C10" i="21" s="1"/>
  <c r="Y117" i="12"/>
  <c r="U10" i="21" s="1"/>
  <c r="G112" i="12"/>
  <c r="C5" i="21" s="1"/>
  <c r="I112" i="12"/>
  <c r="E5" i="21" s="1"/>
  <c r="K112" i="12"/>
  <c r="G5" i="21" s="1"/>
  <c r="O112" i="12"/>
  <c r="K5" i="21" s="1"/>
  <c r="Q112" i="12"/>
  <c r="M5" i="21" s="1"/>
  <c r="P112" i="12"/>
  <c r="L5" i="21" s="1"/>
  <c r="S112" i="12"/>
  <c r="O5" i="21" s="1"/>
  <c r="U112" i="12"/>
  <c r="Q5" i="21" s="1"/>
  <c r="M112" i="12"/>
  <c r="I5" i="21" s="1"/>
  <c r="T112" i="12"/>
  <c r="P5" i="21" s="1"/>
  <c r="V112" i="12"/>
  <c r="R5" i="21" s="1"/>
  <c r="X112" i="12"/>
  <c r="T5" i="21" s="1"/>
  <c r="Z112" i="12"/>
  <c r="V5" i="21" s="1"/>
  <c r="AB112" i="12"/>
  <c r="X5" i="21" s="1"/>
  <c r="N112" i="12"/>
  <c r="J5" i="21" s="1"/>
  <c r="L112" i="12"/>
  <c r="H5" i="21" s="1"/>
  <c r="J112" i="12"/>
  <c r="F5" i="21" s="1"/>
  <c r="H112" i="12"/>
  <c r="D5" i="21" s="1"/>
  <c r="F112" i="12"/>
  <c r="B5" i="21" s="1"/>
  <c r="F5" i="31" s="1"/>
  <c r="AD112" i="12"/>
  <c r="Z5" i="21" s="1"/>
  <c r="R112" i="12"/>
  <c r="N5" i="21" s="1"/>
  <c r="AA112" i="12"/>
  <c r="W5" i="21" s="1"/>
  <c r="Y112" i="12"/>
  <c r="U5" i="21" s="1"/>
  <c r="W112" i="12"/>
  <c r="S5" i="21" s="1"/>
  <c r="AF112" i="12"/>
  <c r="AB5" i="21" s="1"/>
  <c r="AE112" i="12"/>
  <c r="AA5" i="21" s="1"/>
  <c r="AC112" i="12"/>
  <c r="Y5" i="21" s="1"/>
  <c r="I111" i="12"/>
  <c r="E4" i="21" s="1"/>
  <c r="G111" i="12"/>
  <c r="C4" i="21" s="1"/>
  <c r="AF111" i="12"/>
  <c r="AB4" i="21" s="1"/>
  <c r="AE111" i="12"/>
  <c r="AA4" i="21" s="1"/>
  <c r="Y111" i="12"/>
  <c r="U4" i="21" s="1"/>
  <c r="W111" i="12"/>
  <c r="S4" i="21" s="1"/>
  <c r="U111" i="12"/>
  <c r="Q4" i="21" s="1"/>
  <c r="R111" i="12"/>
  <c r="N4" i="21" s="1"/>
  <c r="P111" i="12"/>
  <c r="L4" i="21" s="1"/>
  <c r="N111" i="12"/>
  <c r="J4" i="21" s="1"/>
  <c r="L111" i="12"/>
  <c r="H4" i="21" s="1"/>
  <c r="J111" i="12"/>
  <c r="F4" i="21" s="1"/>
  <c r="H111" i="12"/>
  <c r="D4" i="21" s="1"/>
  <c r="F111" i="12"/>
  <c r="B4" i="21" s="1"/>
  <c r="F4" i="31" s="1"/>
  <c r="O111" i="12"/>
  <c r="K4" i="21" s="1"/>
  <c r="AD111" i="12"/>
  <c r="Z4" i="21" s="1"/>
  <c r="AC111" i="12"/>
  <c r="Y4" i="21" s="1"/>
  <c r="AB111" i="12"/>
  <c r="X4" i="21" s="1"/>
  <c r="AA111" i="12"/>
  <c r="W4" i="21" s="1"/>
  <c r="Z111" i="12"/>
  <c r="V4" i="21" s="1"/>
  <c r="X111" i="12"/>
  <c r="T4" i="21" s="1"/>
  <c r="V111" i="12"/>
  <c r="R4" i="21" s="1"/>
  <c r="T111" i="12"/>
  <c r="P4" i="21" s="1"/>
  <c r="S111" i="12"/>
  <c r="O4" i="21" s="1"/>
  <c r="Q111" i="12"/>
  <c r="M4" i="21" s="1"/>
  <c r="M111" i="12"/>
  <c r="I4" i="21" s="1"/>
  <c r="K111" i="12"/>
  <c r="G4" i="21" s="1"/>
  <c r="S109" i="12"/>
  <c r="O2" i="21" s="1"/>
  <c r="U109" i="12"/>
  <c r="Q2" i="21" s="1"/>
  <c r="F109" i="12"/>
  <c r="B2" i="21" s="1"/>
  <c r="F2" i="31" s="1"/>
  <c r="M109" i="12"/>
  <c r="I2" i="21" s="1"/>
  <c r="O109" i="12"/>
  <c r="K2" i="21" s="1"/>
  <c r="Q109" i="12"/>
  <c r="M2" i="21" s="1"/>
  <c r="AE109" i="12"/>
  <c r="AA2" i="21" s="1"/>
  <c r="T109" i="12"/>
  <c r="P2" i="21" s="1"/>
  <c r="V109" i="12"/>
  <c r="R2" i="21" s="1"/>
  <c r="Y109" i="12"/>
  <c r="U2" i="21" s="1"/>
  <c r="AA109" i="12"/>
  <c r="W2" i="21" s="1"/>
  <c r="AC109" i="12"/>
  <c r="Y2" i="21" s="1"/>
  <c r="H109" i="12"/>
  <c r="D2" i="21" s="1"/>
  <c r="I109" i="12"/>
  <c r="E2" i="21" s="1"/>
  <c r="K109" i="12"/>
  <c r="G2" i="21" s="1"/>
  <c r="AF109" i="12"/>
  <c r="AB2" i="21" s="1"/>
  <c r="AD109" i="12"/>
  <c r="Z2" i="21" s="1"/>
  <c r="AB109" i="12"/>
  <c r="X2" i="21" s="1"/>
  <c r="Z109" i="12"/>
  <c r="V2" i="21" s="1"/>
  <c r="X109" i="12"/>
  <c r="T2" i="21" s="1"/>
  <c r="W109" i="12"/>
  <c r="S2" i="21" s="1"/>
  <c r="R109" i="12"/>
  <c r="N2" i="21" s="1"/>
  <c r="P109" i="12"/>
  <c r="L2" i="21" s="1"/>
  <c r="N109" i="12"/>
  <c r="J2" i="21" s="1"/>
  <c r="L109" i="12"/>
  <c r="H2" i="21" s="1"/>
  <c r="J109" i="12"/>
  <c r="F2" i="21" s="1"/>
  <c r="G109" i="12"/>
  <c r="C2" i="21" s="1"/>
  <c r="K96" i="12"/>
  <c r="G2" i="20" s="1"/>
  <c r="AA96" i="12"/>
  <c r="W2" i="20" s="1"/>
  <c r="I96" i="12"/>
  <c r="E2" i="20" s="1"/>
  <c r="AC96" i="12"/>
  <c r="Y2" i="20" s="1"/>
  <c r="G96" i="12"/>
  <c r="C2" i="20" s="1"/>
  <c r="AF96" i="12"/>
  <c r="AB2" i="20" s="1"/>
  <c r="AD96" i="12"/>
  <c r="Z2" i="20" s="1"/>
  <c r="Y96" i="12"/>
  <c r="U2" i="20" s="1"/>
  <c r="AB96" i="12"/>
  <c r="X2" i="20" s="1"/>
  <c r="Z96" i="12"/>
  <c r="V2" i="20" s="1"/>
  <c r="X96" i="12"/>
  <c r="T2" i="20" s="1"/>
  <c r="W96" i="12"/>
  <c r="S2" i="20" s="1"/>
  <c r="U96" i="12"/>
  <c r="Q2" i="20" s="1"/>
  <c r="S96" i="12"/>
  <c r="O2" i="20" s="1"/>
  <c r="Q96" i="12"/>
  <c r="M2" i="20" s="1"/>
  <c r="O96" i="12"/>
  <c r="K2" i="20" s="1"/>
  <c r="M96" i="12"/>
  <c r="I2" i="20" s="1"/>
  <c r="F96" i="12"/>
  <c r="B2" i="20" s="1"/>
  <c r="E2" i="31" s="1"/>
  <c r="AE96" i="12"/>
  <c r="AA2" i="20" s="1"/>
  <c r="T96" i="12"/>
  <c r="P2" i="20" s="1"/>
  <c r="V96" i="12"/>
  <c r="R2" i="20" s="1"/>
  <c r="R96" i="12"/>
  <c r="N2" i="20" s="1"/>
  <c r="P96" i="12"/>
  <c r="L2" i="20" s="1"/>
  <c r="N96" i="12"/>
  <c r="J2" i="20" s="1"/>
  <c r="L96" i="12"/>
  <c r="H2" i="20" s="1"/>
  <c r="J96" i="12"/>
  <c r="F2" i="20" s="1"/>
  <c r="H96" i="12"/>
  <c r="D2" i="20" s="1"/>
  <c r="X85" i="12"/>
  <c r="T4" i="19" s="1"/>
  <c r="U85" i="12"/>
  <c r="Q4" i="19" s="1"/>
  <c r="S85" i="12"/>
  <c r="O4" i="19" s="1"/>
  <c r="R85" i="12"/>
  <c r="N4" i="19" s="1"/>
  <c r="P85" i="12"/>
  <c r="L4" i="19" s="1"/>
  <c r="K85" i="12"/>
  <c r="G4" i="19" s="1"/>
  <c r="I85" i="12"/>
  <c r="E4" i="19" s="1"/>
  <c r="G85" i="12"/>
  <c r="C4" i="19" s="1"/>
  <c r="F85" i="12"/>
  <c r="B4" i="19" s="1"/>
  <c r="C4" i="31" s="1"/>
  <c r="N85" i="12"/>
  <c r="J4" i="19" s="1"/>
  <c r="AE85" i="12"/>
  <c r="AA4" i="19" s="1"/>
  <c r="AC85" i="12"/>
  <c r="Y4" i="19" s="1"/>
  <c r="AA85" i="12"/>
  <c r="W4" i="19" s="1"/>
  <c r="Y85" i="12"/>
  <c r="U4" i="19" s="1"/>
  <c r="W85" i="12"/>
  <c r="S4" i="19" s="1"/>
  <c r="V85" i="12"/>
  <c r="R4" i="19" s="1"/>
  <c r="T85" i="12"/>
  <c r="P4" i="19" s="1"/>
  <c r="Q85" i="12"/>
  <c r="M4" i="19" s="1"/>
  <c r="O85" i="12"/>
  <c r="K4" i="19" s="1"/>
  <c r="M85" i="12"/>
  <c r="I4" i="19" s="1"/>
  <c r="L85" i="12"/>
  <c r="H4" i="19" s="1"/>
  <c r="J85" i="12"/>
  <c r="F4" i="19" s="1"/>
  <c r="H85" i="12"/>
  <c r="D4" i="19" s="1"/>
  <c r="AF85" i="12"/>
  <c r="AB4" i="19" s="1"/>
  <c r="AD85" i="12"/>
  <c r="Z4" i="19" s="1"/>
  <c r="AB85" i="12"/>
  <c r="X4" i="19" s="1"/>
  <c r="Z85" i="12"/>
  <c r="V4" i="19" s="1"/>
  <c r="H83" i="12"/>
  <c r="D2" i="19" s="1"/>
  <c r="G83" i="12"/>
  <c r="C2" i="19" s="1"/>
  <c r="F83" i="12"/>
  <c r="B2" i="19" s="1"/>
  <c r="C2" i="31" s="1"/>
  <c r="N83" i="12"/>
  <c r="J2" i="19" s="1"/>
  <c r="I83" i="12"/>
  <c r="E2" i="19" s="1"/>
  <c r="O83" i="12"/>
  <c r="K2" i="19" s="1"/>
  <c r="M83" i="12"/>
  <c r="I2" i="19" s="1"/>
  <c r="L83" i="12"/>
  <c r="H2" i="19" s="1"/>
  <c r="K83" i="12"/>
  <c r="G2" i="19" s="1"/>
  <c r="J83" i="12"/>
  <c r="F2" i="19" s="1"/>
  <c r="AF78" i="12"/>
  <c r="AB10" i="18" s="1"/>
  <c r="AE78" i="12"/>
  <c r="AA10" i="18" s="1"/>
  <c r="AD78" i="12"/>
  <c r="Z10" i="18" s="1"/>
  <c r="AC78" i="12"/>
  <c r="Y10" i="18" s="1"/>
  <c r="AB78" i="12"/>
  <c r="X10" i="18" s="1"/>
  <c r="AA78" i="12"/>
  <c r="W10" i="18" s="1"/>
  <c r="Z78" i="12"/>
  <c r="V10" i="18" s="1"/>
  <c r="N78" i="12"/>
  <c r="J10" i="18" s="1"/>
  <c r="O78" i="12"/>
  <c r="K10" i="18" s="1"/>
  <c r="P78" i="12"/>
  <c r="L10" i="18" s="1"/>
  <c r="Q78" i="12"/>
  <c r="M10" i="18" s="1"/>
  <c r="R78" i="12"/>
  <c r="N10" i="18" s="1"/>
  <c r="S78" i="12"/>
  <c r="O10" i="18" s="1"/>
  <c r="T78" i="12"/>
  <c r="P10" i="18" s="1"/>
  <c r="L78" i="12"/>
  <c r="H10" i="18" s="1"/>
  <c r="K78" i="12"/>
  <c r="G10" i="18" s="1"/>
  <c r="J78" i="12"/>
  <c r="F10" i="18" s="1"/>
  <c r="I78" i="12"/>
  <c r="E10" i="18" s="1"/>
  <c r="H78" i="12"/>
  <c r="D10" i="18" s="1"/>
  <c r="G78" i="12"/>
  <c r="C10" i="18" s="1"/>
  <c r="F78" i="12"/>
  <c r="B10" i="18" s="1"/>
  <c r="B10" i="31" s="1"/>
  <c r="V78" i="12"/>
  <c r="R10" i="18" s="1"/>
  <c r="W78" i="12"/>
  <c r="S10" i="18" s="1"/>
  <c r="X78" i="12"/>
  <c r="T10" i="18" s="1"/>
  <c r="Y78" i="12"/>
  <c r="U10" i="18" s="1"/>
  <c r="M78" i="12"/>
  <c r="I10" i="18" s="1"/>
  <c r="U78" i="12"/>
  <c r="Q10" i="18" s="1"/>
  <c r="L75" i="12"/>
  <c r="H7" i="18" s="1"/>
  <c r="K75" i="12"/>
  <c r="G7" i="18" s="1"/>
  <c r="J75" i="12"/>
  <c r="F7" i="18" s="1"/>
  <c r="I75" i="12"/>
  <c r="E7" i="18" s="1"/>
  <c r="G75" i="12"/>
  <c r="C7" i="18" s="1"/>
  <c r="F75" i="12"/>
  <c r="B7" i="18" s="1"/>
  <c r="B7" i="31" s="1"/>
  <c r="AC75" i="12"/>
  <c r="Y7" i="18" s="1"/>
  <c r="AA75" i="12"/>
  <c r="W7" i="18" s="1"/>
  <c r="AB75" i="12"/>
  <c r="X7" i="18" s="1"/>
  <c r="H75" i="12"/>
  <c r="D7" i="18" s="1"/>
  <c r="AD75" i="12"/>
  <c r="Z7" i="18" s="1"/>
  <c r="AE75" i="12"/>
  <c r="AA7" i="18" s="1"/>
  <c r="AF75" i="12"/>
  <c r="AB7" i="18" s="1"/>
  <c r="Y75" i="12"/>
  <c r="U7" i="18" s="1"/>
  <c r="X75" i="12"/>
  <c r="T7" i="18" s="1"/>
  <c r="W75" i="12"/>
  <c r="S7" i="18" s="1"/>
  <c r="V75" i="12"/>
  <c r="R7" i="18" s="1"/>
  <c r="U75" i="12"/>
  <c r="Q7" i="18" s="1"/>
  <c r="Z75" i="12"/>
  <c r="V7" i="18" s="1"/>
  <c r="T75" i="12"/>
  <c r="P7" i="18" s="1"/>
  <c r="S75" i="12"/>
  <c r="O7" i="18" s="1"/>
  <c r="R75" i="12"/>
  <c r="N7" i="18" s="1"/>
  <c r="Q75" i="12"/>
  <c r="M7" i="18" s="1"/>
  <c r="P75" i="12"/>
  <c r="L7" i="18" s="1"/>
  <c r="O75" i="12"/>
  <c r="K7" i="18" s="1"/>
  <c r="N75" i="12"/>
  <c r="J7" i="18" s="1"/>
  <c r="M75" i="12"/>
  <c r="I7" i="18" s="1"/>
  <c r="Y73" i="12"/>
  <c r="U5" i="18" s="1"/>
  <c r="X73" i="12"/>
  <c r="T5" i="18" s="1"/>
  <c r="W73" i="12"/>
  <c r="S5" i="18" s="1"/>
  <c r="V73" i="12"/>
  <c r="R5" i="18" s="1"/>
  <c r="U73" i="12"/>
  <c r="Q5" i="18" s="1"/>
  <c r="T73" i="12"/>
  <c r="P5" i="18" s="1"/>
  <c r="S73" i="12"/>
  <c r="O5" i="18" s="1"/>
  <c r="R73" i="12"/>
  <c r="N5" i="18" s="1"/>
  <c r="AB73" i="12"/>
  <c r="X5" i="18" s="1"/>
  <c r="Q73" i="12"/>
  <c r="M5" i="18" s="1"/>
  <c r="P73" i="12"/>
  <c r="L5" i="18" s="1"/>
  <c r="O73" i="12"/>
  <c r="K5" i="18" s="1"/>
  <c r="N73" i="12"/>
  <c r="J5" i="18" s="1"/>
  <c r="M73" i="12"/>
  <c r="I5" i="18" s="1"/>
  <c r="L73" i="12"/>
  <c r="H5" i="18" s="1"/>
  <c r="K73" i="12"/>
  <c r="G5" i="18" s="1"/>
  <c r="J73" i="12"/>
  <c r="F5" i="18" s="1"/>
  <c r="H73" i="12"/>
  <c r="D5" i="18" s="1"/>
  <c r="G73" i="12"/>
  <c r="C5" i="18" s="1"/>
  <c r="F73" i="12"/>
  <c r="B5" i="18" s="1"/>
  <c r="B5" i="31" s="1"/>
  <c r="AC73" i="12"/>
  <c r="Y5" i="18" s="1"/>
  <c r="I73" i="12"/>
  <c r="E5" i="18" s="1"/>
  <c r="Z73" i="12"/>
  <c r="V5" i="18" s="1"/>
  <c r="AD73" i="12"/>
  <c r="Z5" i="18" s="1"/>
  <c r="AE73" i="12"/>
  <c r="AA5" i="18" s="1"/>
  <c r="AF73" i="12"/>
  <c r="AB5" i="18" s="1"/>
  <c r="AA73" i="12"/>
  <c r="W5" i="18" s="1"/>
  <c r="AF72" i="12"/>
  <c r="AB4" i="18" s="1"/>
  <c r="AE72" i="12"/>
  <c r="AA4" i="18" s="1"/>
  <c r="AD72" i="12"/>
  <c r="Z4" i="18" s="1"/>
  <c r="AC72" i="12"/>
  <c r="Y4" i="18" s="1"/>
  <c r="AB72" i="12"/>
  <c r="X4" i="18" s="1"/>
  <c r="AA72" i="12"/>
  <c r="W4" i="18" s="1"/>
  <c r="Z72" i="12"/>
  <c r="V4" i="18" s="1"/>
  <c r="Y72" i="12"/>
  <c r="U4" i="18" s="1"/>
  <c r="X72" i="12"/>
  <c r="T4" i="18" s="1"/>
  <c r="W72" i="12"/>
  <c r="S4" i="18" s="1"/>
  <c r="U72" i="12"/>
  <c r="Q4" i="18" s="1"/>
  <c r="V72" i="12"/>
  <c r="R4" i="18" s="1"/>
  <c r="O72" i="12"/>
  <c r="K4" i="18" s="1"/>
  <c r="F72" i="12"/>
  <c r="B4" i="18" s="1"/>
  <c r="B4" i="31" s="1"/>
  <c r="G72" i="12"/>
  <c r="C4" i="18" s="1"/>
  <c r="H72" i="12"/>
  <c r="D4" i="18" s="1"/>
  <c r="I72" i="12"/>
  <c r="E4" i="18" s="1"/>
  <c r="J72" i="12"/>
  <c r="F4" i="18" s="1"/>
  <c r="K72" i="12"/>
  <c r="G4" i="18" s="1"/>
  <c r="L72" i="12"/>
  <c r="H4" i="18" s="1"/>
  <c r="M72" i="12"/>
  <c r="I4" i="18" s="1"/>
  <c r="N72" i="12"/>
  <c r="J4" i="18" s="1"/>
  <c r="P72" i="12"/>
  <c r="L4" i="18" s="1"/>
  <c r="Q72" i="12"/>
  <c r="M4" i="18" s="1"/>
  <c r="R72" i="12"/>
  <c r="N4" i="18" s="1"/>
  <c r="S72" i="12"/>
  <c r="O4" i="18" s="1"/>
  <c r="T72" i="12"/>
  <c r="P4" i="18" s="1"/>
  <c r="R70" i="12"/>
  <c r="N2" i="18" s="1"/>
  <c r="S70" i="12"/>
  <c r="O2" i="18" s="1"/>
  <c r="T70" i="12"/>
  <c r="P2" i="18" s="1"/>
  <c r="AD70" i="12"/>
  <c r="Z2" i="18" s="1"/>
  <c r="AE70" i="12"/>
  <c r="AA2" i="18" s="1"/>
  <c r="AF70" i="12"/>
  <c r="AB2" i="18" s="1"/>
  <c r="H70" i="12"/>
  <c r="D2" i="18" s="1"/>
  <c r="L70" i="12"/>
  <c r="H2" i="18" s="1"/>
  <c r="G70" i="12"/>
  <c r="C2" i="18" s="1"/>
  <c r="AB70" i="12"/>
  <c r="X2" i="18" s="1"/>
  <c r="O70" i="12"/>
  <c r="K2" i="18" s="1"/>
  <c r="V70" i="12"/>
  <c r="R2" i="18" s="1"/>
  <c r="P70" i="12"/>
  <c r="L2" i="18" s="1"/>
  <c r="Q70" i="12"/>
  <c r="M2" i="18" s="1"/>
  <c r="K70" i="12"/>
  <c r="G2" i="18" s="1"/>
  <c r="J70" i="12"/>
  <c r="F2" i="18" s="1"/>
  <c r="M70" i="12"/>
  <c r="I2" i="18" s="1"/>
  <c r="I70" i="12"/>
  <c r="E2" i="18" s="1"/>
  <c r="W70" i="12"/>
  <c r="S2" i="18" s="1"/>
  <c r="X70" i="12"/>
  <c r="T2" i="18" s="1"/>
  <c r="Y70" i="12"/>
  <c r="U2" i="18" s="1"/>
  <c r="Z70" i="12"/>
  <c r="V2" i="18" s="1"/>
  <c r="AA70" i="12"/>
  <c r="W2" i="18" s="1"/>
  <c r="AC70" i="12"/>
  <c r="Y2" i="18" s="1"/>
  <c r="F70" i="12"/>
  <c r="B2" i="18" s="1"/>
  <c r="B2" i="31" s="1"/>
  <c r="U70" i="12"/>
  <c r="Q2" i="18" s="1"/>
  <c r="N70" i="12"/>
  <c r="J2" i="18" s="1"/>
  <c r="P65" i="12"/>
  <c r="L10" i="17" s="1"/>
  <c r="O65" i="12"/>
  <c r="K10" i="17" s="1"/>
  <c r="N65" i="12"/>
  <c r="J10" i="17" s="1"/>
  <c r="M65" i="12"/>
  <c r="I10" i="17" s="1"/>
  <c r="L65" i="12"/>
  <c r="H10" i="17" s="1"/>
  <c r="K65" i="12"/>
  <c r="G10" i="17" s="1"/>
  <c r="J65" i="12"/>
  <c r="F10" i="17" s="1"/>
  <c r="I65" i="12"/>
  <c r="E10" i="17" s="1"/>
  <c r="H65" i="12"/>
  <c r="D10" i="17" s="1"/>
  <c r="G65" i="12"/>
  <c r="C10" i="17" s="1"/>
  <c r="F65" i="12"/>
  <c r="B10" i="17" s="1"/>
  <c r="G10" i="30" s="1"/>
  <c r="AB65" i="12"/>
  <c r="X10" i="17" s="1"/>
  <c r="R65" i="12"/>
  <c r="N10" i="17" s="1"/>
  <c r="AF65" i="12"/>
  <c r="AB10" i="17" s="1"/>
  <c r="AE65" i="12"/>
  <c r="AA10" i="17" s="1"/>
  <c r="AD65" i="12"/>
  <c r="Z10" i="17" s="1"/>
  <c r="AC65" i="12"/>
  <c r="Y10" i="17" s="1"/>
  <c r="AA65" i="12"/>
  <c r="W10" i="17" s="1"/>
  <c r="Z65" i="12"/>
  <c r="V10" i="17" s="1"/>
  <c r="Y65" i="12"/>
  <c r="U10" i="17" s="1"/>
  <c r="X65" i="12"/>
  <c r="T10" i="17" s="1"/>
  <c r="W65" i="12"/>
  <c r="S10" i="17" s="1"/>
  <c r="V65" i="12"/>
  <c r="R10" i="17" s="1"/>
  <c r="U65" i="12"/>
  <c r="Q10" i="17" s="1"/>
  <c r="T65" i="12"/>
  <c r="P10" i="17" s="1"/>
  <c r="S65" i="12"/>
  <c r="O10" i="17" s="1"/>
  <c r="Q65" i="12"/>
  <c r="M10" i="17" s="1"/>
  <c r="AD60" i="12"/>
  <c r="Z5" i="17" s="1"/>
  <c r="AE60" i="12"/>
  <c r="AA5" i="17" s="1"/>
  <c r="AF60" i="12"/>
  <c r="AB5" i="17" s="1"/>
  <c r="G60" i="12"/>
  <c r="C5" i="17" s="1"/>
  <c r="F60" i="12"/>
  <c r="B5" i="17" s="1"/>
  <c r="G5" i="30" s="1"/>
  <c r="H60" i="12"/>
  <c r="D5" i="17" s="1"/>
  <c r="I60" i="12"/>
  <c r="E5" i="17" s="1"/>
  <c r="J60" i="12"/>
  <c r="F5" i="17" s="1"/>
  <c r="K60" i="12"/>
  <c r="G5" i="17" s="1"/>
  <c r="L60" i="12"/>
  <c r="H5" i="17" s="1"/>
  <c r="N60" i="12"/>
  <c r="J5" i="17" s="1"/>
  <c r="O60" i="12"/>
  <c r="K5" i="17" s="1"/>
  <c r="P60" i="12"/>
  <c r="L5" i="17" s="1"/>
  <c r="M60" i="12"/>
  <c r="I5" i="17" s="1"/>
  <c r="Q60" i="12"/>
  <c r="M5" i="17" s="1"/>
  <c r="R60" i="12"/>
  <c r="N5" i="17" s="1"/>
  <c r="S60" i="12"/>
  <c r="O5" i="17" s="1"/>
  <c r="T60" i="12"/>
  <c r="P5" i="17" s="1"/>
  <c r="U60" i="12"/>
  <c r="Q5" i="17" s="1"/>
  <c r="V60" i="12"/>
  <c r="R5" i="17" s="1"/>
  <c r="W60" i="12"/>
  <c r="S5" i="17" s="1"/>
  <c r="X60" i="12"/>
  <c r="T5" i="17" s="1"/>
  <c r="Y60" i="12"/>
  <c r="U5" i="17" s="1"/>
  <c r="Z60" i="12"/>
  <c r="V5" i="17" s="1"/>
  <c r="AA60" i="12"/>
  <c r="W5" i="17" s="1"/>
  <c r="AB60" i="12"/>
  <c r="X5" i="17" s="1"/>
  <c r="AC60" i="12"/>
  <c r="Y5" i="17" s="1"/>
  <c r="M59" i="12"/>
  <c r="I4" i="17" s="1"/>
  <c r="L59" i="12"/>
  <c r="H4" i="17" s="1"/>
  <c r="K59" i="12"/>
  <c r="G4" i="17" s="1"/>
  <c r="G59" i="12"/>
  <c r="C4" i="17" s="1"/>
  <c r="H59" i="12"/>
  <c r="D4" i="17" s="1"/>
  <c r="J59" i="12"/>
  <c r="F4" i="17" s="1"/>
  <c r="F59" i="12"/>
  <c r="B4" i="17" s="1"/>
  <c r="G4" i="30" s="1"/>
  <c r="I59" i="12"/>
  <c r="E4" i="17" s="1"/>
  <c r="AF59" i="12"/>
  <c r="AB4" i="17" s="1"/>
  <c r="AE59" i="12"/>
  <c r="AA4" i="17" s="1"/>
  <c r="AD59" i="12"/>
  <c r="Z4" i="17" s="1"/>
  <c r="AC59" i="12"/>
  <c r="Y4" i="17" s="1"/>
  <c r="AB59" i="12"/>
  <c r="X4" i="17" s="1"/>
  <c r="AA59" i="12"/>
  <c r="W4" i="17" s="1"/>
  <c r="Z59" i="12"/>
  <c r="V4" i="17" s="1"/>
  <c r="Y59" i="12"/>
  <c r="U4" i="17" s="1"/>
  <c r="X59" i="12"/>
  <c r="T4" i="17" s="1"/>
  <c r="W59" i="12"/>
  <c r="S4" i="17" s="1"/>
  <c r="V59" i="12"/>
  <c r="R4" i="17" s="1"/>
  <c r="U59" i="12"/>
  <c r="Q4" i="17" s="1"/>
  <c r="T59" i="12"/>
  <c r="P4" i="17" s="1"/>
  <c r="S59" i="12"/>
  <c r="O4" i="17" s="1"/>
  <c r="R59" i="12"/>
  <c r="N4" i="17" s="1"/>
  <c r="Q59" i="12"/>
  <c r="M4" i="17" s="1"/>
  <c r="P59" i="12"/>
  <c r="L4" i="17" s="1"/>
  <c r="O59" i="12"/>
  <c r="K4" i="17" s="1"/>
  <c r="N59" i="12"/>
  <c r="J4" i="17" s="1"/>
  <c r="P57" i="12"/>
  <c r="L2" i="17" s="1"/>
  <c r="Y57" i="12"/>
  <c r="U2" i="17" s="1"/>
  <c r="X57" i="12"/>
  <c r="T2" i="17" s="1"/>
  <c r="W57" i="12"/>
  <c r="S2" i="17" s="1"/>
  <c r="V57" i="12"/>
  <c r="R2" i="17" s="1"/>
  <c r="U57" i="12"/>
  <c r="Q2" i="17" s="1"/>
  <c r="I57" i="12"/>
  <c r="E2" i="17" s="1"/>
  <c r="T57" i="12"/>
  <c r="P2" i="17" s="1"/>
  <c r="S57" i="12"/>
  <c r="O2" i="17" s="1"/>
  <c r="R57" i="12"/>
  <c r="N2" i="17" s="1"/>
  <c r="Q57" i="12"/>
  <c r="M2" i="17" s="1"/>
  <c r="O57" i="12"/>
  <c r="K2" i="17" s="1"/>
  <c r="N57" i="12"/>
  <c r="J2" i="17" s="1"/>
  <c r="H57" i="12"/>
  <c r="D2" i="17" s="1"/>
  <c r="G57" i="12"/>
  <c r="C2" i="17" s="1"/>
  <c r="F57" i="12"/>
  <c r="B2" i="17" s="1"/>
  <c r="G2" i="30" s="1"/>
  <c r="M57" i="12"/>
  <c r="I2" i="17" s="1"/>
  <c r="AC57" i="12"/>
  <c r="Y2" i="17" s="1"/>
  <c r="L57" i="12"/>
  <c r="H2" i="17" s="1"/>
  <c r="K57" i="12"/>
  <c r="G2" i="17" s="1"/>
  <c r="AF57" i="12"/>
  <c r="AB2" i="17" s="1"/>
  <c r="AE57" i="12"/>
  <c r="AA2" i="17" s="1"/>
  <c r="AD57" i="12"/>
  <c r="Z2" i="17" s="1"/>
  <c r="J57" i="12"/>
  <c r="F2" i="17" s="1"/>
  <c r="AB57" i="12"/>
  <c r="X2" i="17" s="1"/>
  <c r="AA57" i="12"/>
  <c r="W2" i="17" s="1"/>
  <c r="Z57" i="12"/>
  <c r="V2" i="17" s="1"/>
  <c r="W52" i="12"/>
  <c r="S10" i="16" s="1"/>
  <c r="X52" i="12"/>
  <c r="T10" i="16" s="1"/>
  <c r="Y52" i="12"/>
  <c r="U10" i="16" s="1"/>
  <c r="Z52" i="12"/>
  <c r="V10" i="16" s="1"/>
  <c r="AA52" i="12"/>
  <c r="W10" i="16" s="1"/>
  <c r="J52" i="12"/>
  <c r="F10" i="16" s="1"/>
  <c r="F52" i="12"/>
  <c r="B10" i="16" s="1"/>
  <c r="F10" i="30" s="1"/>
  <c r="L52" i="12"/>
  <c r="H10" i="16" s="1"/>
  <c r="M52" i="12"/>
  <c r="I10" i="16" s="1"/>
  <c r="N52" i="12"/>
  <c r="J10" i="16" s="1"/>
  <c r="I52" i="12"/>
  <c r="E10" i="16" s="1"/>
  <c r="G52" i="12"/>
  <c r="C10" i="16" s="1"/>
  <c r="AF52" i="12"/>
  <c r="AB10" i="16" s="1"/>
  <c r="AE52" i="12"/>
  <c r="AA10" i="16" s="1"/>
  <c r="AD52" i="12"/>
  <c r="Z10" i="16" s="1"/>
  <c r="K52" i="12"/>
  <c r="G10" i="16" s="1"/>
  <c r="AC52" i="12"/>
  <c r="Y10" i="16" s="1"/>
  <c r="AB52" i="12"/>
  <c r="X10" i="16" s="1"/>
  <c r="V52" i="12"/>
  <c r="R10" i="16" s="1"/>
  <c r="U52" i="12"/>
  <c r="Q10" i="16" s="1"/>
  <c r="H52" i="12"/>
  <c r="D10" i="16" s="1"/>
  <c r="T52" i="12"/>
  <c r="P10" i="16" s="1"/>
  <c r="S52" i="12"/>
  <c r="O10" i="16" s="1"/>
  <c r="R52" i="12"/>
  <c r="N10" i="16" s="1"/>
  <c r="Q52" i="12"/>
  <c r="M10" i="16" s="1"/>
  <c r="P52" i="12"/>
  <c r="L10" i="16" s="1"/>
  <c r="O52" i="12"/>
  <c r="K10" i="16" s="1"/>
  <c r="P47" i="12"/>
  <c r="L5" i="16" s="1"/>
  <c r="Q47" i="12"/>
  <c r="M5" i="16" s="1"/>
  <c r="R47" i="12"/>
  <c r="N5" i="16" s="1"/>
  <c r="S47" i="12"/>
  <c r="O5" i="16" s="1"/>
  <c r="T47" i="12"/>
  <c r="P5" i="16" s="1"/>
  <c r="U47" i="12"/>
  <c r="Q5" i="16" s="1"/>
  <c r="V47" i="12"/>
  <c r="R5" i="16" s="1"/>
  <c r="W47" i="12"/>
  <c r="S5" i="16" s="1"/>
  <c r="X47" i="12"/>
  <c r="T5" i="16" s="1"/>
  <c r="Y47" i="12"/>
  <c r="U5" i="16" s="1"/>
  <c r="AA47" i="12"/>
  <c r="W5" i="16" s="1"/>
  <c r="AB47" i="12"/>
  <c r="X5" i="16" s="1"/>
  <c r="AC47" i="12"/>
  <c r="Y5" i="16" s="1"/>
  <c r="AD47" i="12"/>
  <c r="Z5" i="16" s="1"/>
  <c r="AE47" i="12"/>
  <c r="AA5" i="16" s="1"/>
  <c r="AF47" i="12"/>
  <c r="AB5" i="16" s="1"/>
  <c r="Z47" i="12"/>
  <c r="V5" i="16" s="1"/>
  <c r="F47" i="12"/>
  <c r="B5" i="16" s="1"/>
  <c r="F5" i="30" s="1"/>
  <c r="G47" i="12"/>
  <c r="C5" i="16" s="1"/>
  <c r="H47" i="12"/>
  <c r="D5" i="16" s="1"/>
  <c r="I47" i="12"/>
  <c r="E5" i="16" s="1"/>
  <c r="J47" i="12"/>
  <c r="F5" i="16" s="1"/>
  <c r="K47" i="12"/>
  <c r="G5" i="16" s="1"/>
  <c r="L47" i="12"/>
  <c r="H5" i="16" s="1"/>
  <c r="M47" i="12"/>
  <c r="I5" i="16" s="1"/>
  <c r="N47" i="12"/>
  <c r="J5" i="16" s="1"/>
  <c r="O47" i="12"/>
  <c r="K5" i="16" s="1"/>
  <c r="Y46" i="12"/>
  <c r="U4" i="16" s="1"/>
  <c r="X46" i="12"/>
  <c r="T4" i="16" s="1"/>
  <c r="W46" i="12"/>
  <c r="S4" i="16" s="1"/>
  <c r="V46" i="12"/>
  <c r="R4" i="16" s="1"/>
  <c r="U46" i="12"/>
  <c r="Q4" i="16" s="1"/>
  <c r="T46" i="12"/>
  <c r="P4" i="16" s="1"/>
  <c r="S46" i="12"/>
  <c r="O4" i="16" s="1"/>
  <c r="R46" i="12"/>
  <c r="N4" i="16" s="1"/>
  <c r="Q46" i="12"/>
  <c r="M4" i="16" s="1"/>
  <c r="P46" i="12"/>
  <c r="L4" i="16" s="1"/>
  <c r="O46" i="12"/>
  <c r="K4" i="16" s="1"/>
  <c r="N46" i="12"/>
  <c r="J4" i="16" s="1"/>
  <c r="M46" i="12"/>
  <c r="I4" i="16" s="1"/>
  <c r="L46" i="12"/>
  <c r="H4" i="16" s="1"/>
  <c r="K46" i="12"/>
  <c r="G4" i="16" s="1"/>
  <c r="J46" i="12"/>
  <c r="F4" i="16" s="1"/>
  <c r="I46" i="12"/>
  <c r="E4" i="16" s="1"/>
  <c r="H46" i="12"/>
  <c r="D4" i="16" s="1"/>
  <c r="G46" i="12"/>
  <c r="C4" i="16" s="1"/>
  <c r="F46" i="12"/>
  <c r="B4" i="16" s="1"/>
  <c r="F4" i="30" s="1"/>
  <c r="AF46" i="12"/>
  <c r="AB4" i="16" s="1"/>
  <c r="AE46" i="12"/>
  <c r="AA4" i="16" s="1"/>
  <c r="AD46" i="12"/>
  <c r="Z4" i="16" s="1"/>
  <c r="AC46" i="12"/>
  <c r="Y4" i="16" s="1"/>
  <c r="AB46" i="12"/>
  <c r="X4" i="16" s="1"/>
  <c r="AA46" i="12"/>
  <c r="W4" i="16" s="1"/>
  <c r="Z46" i="12"/>
  <c r="V4" i="16" s="1"/>
  <c r="K44" i="12"/>
  <c r="G2" i="16" s="1"/>
  <c r="I44" i="12"/>
  <c r="E2" i="16" s="1"/>
  <c r="J44" i="12"/>
  <c r="F2" i="16" s="1"/>
  <c r="M44" i="12"/>
  <c r="I2" i="16" s="1"/>
  <c r="L44" i="12"/>
  <c r="H2" i="16" s="1"/>
  <c r="H44" i="12"/>
  <c r="D2" i="16" s="1"/>
  <c r="G44" i="12"/>
  <c r="C2" i="16" s="1"/>
  <c r="F44" i="12"/>
  <c r="B2" i="16" s="1"/>
  <c r="F2" i="30" s="1"/>
  <c r="AF31" i="12"/>
  <c r="AB2" i="15" s="1"/>
  <c r="AE31" i="12"/>
  <c r="AA2" i="15" s="1"/>
  <c r="AD31" i="12"/>
  <c r="Z2" i="15" s="1"/>
  <c r="AC31" i="12"/>
  <c r="Y2" i="15" s="1"/>
  <c r="AB31" i="12"/>
  <c r="X2" i="15" s="1"/>
  <c r="AA31" i="12"/>
  <c r="W2" i="15" s="1"/>
  <c r="Z31" i="12"/>
  <c r="V2" i="15" s="1"/>
  <c r="Y31" i="12"/>
  <c r="U2" i="15" s="1"/>
  <c r="X31" i="12"/>
  <c r="T2" i="15" s="1"/>
  <c r="W31" i="12"/>
  <c r="S2" i="15" s="1"/>
  <c r="V31" i="12"/>
  <c r="R2" i="15" s="1"/>
  <c r="U31" i="12"/>
  <c r="Q2" i="15" s="1"/>
  <c r="T31" i="12"/>
  <c r="P2" i="15" s="1"/>
  <c r="S31" i="12"/>
  <c r="O2" i="15" s="1"/>
  <c r="R31" i="12"/>
  <c r="N2" i="15" s="1"/>
  <c r="Q31" i="12"/>
  <c r="M2" i="15" s="1"/>
  <c r="P31" i="12"/>
  <c r="L2" i="15" s="1"/>
  <c r="O31" i="12"/>
  <c r="K2" i="15" s="1"/>
  <c r="N31" i="12"/>
  <c r="J2" i="15" s="1"/>
  <c r="M31" i="12"/>
  <c r="I2" i="15" s="1"/>
  <c r="L31" i="12"/>
  <c r="H2" i="15" s="1"/>
  <c r="K31" i="12"/>
  <c r="G2" i="15" s="1"/>
  <c r="J31" i="12"/>
  <c r="F2" i="15" s="1"/>
  <c r="I31" i="12"/>
  <c r="E2" i="15" s="1"/>
  <c r="H31" i="12"/>
  <c r="D2" i="15" s="1"/>
  <c r="G31" i="12"/>
  <c r="C2" i="15" s="1"/>
  <c r="F31" i="12"/>
  <c r="B2" i="15" s="1"/>
  <c r="E2" i="30" s="1"/>
  <c r="AF20" i="12"/>
  <c r="AB4" i="14" s="1"/>
  <c r="AE20" i="12"/>
  <c r="AA4" i="14" s="1"/>
  <c r="AD20" i="12"/>
  <c r="Z4" i="14" s="1"/>
  <c r="AC20" i="12"/>
  <c r="Y4" i="14" s="1"/>
  <c r="AB20" i="12"/>
  <c r="X4" i="14" s="1"/>
  <c r="AA20" i="12"/>
  <c r="W4" i="14" s="1"/>
  <c r="Z20" i="12"/>
  <c r="V4" i="14" s="1"/>
  <c r="Y20" i="12"/>
  <c r="U4" i="14" s="1"/>
  <c r="X20" i="12"/>
  <c r="T4" i="14" s="1"/>
  <c r="W20" i="12"/>
  <c r="S4" i="14" s="1"/>
  <c r="V20" i="12"/>
  <c r="R4" i="14" s="1"/>
  <c r="U20" i="12"/>
  <c r="Q4" i="14" s="1"/>
  <c r="T20" i="12"/>
  <c r="P4" i="14" s="1"/>
  <c r="S20" i="12"/>
  <c r="O4" i="14" s="1"/>
  <c r="R20" i="12"/>
  <c r="N4" i="14" s="1"/>
  <c r="Q20" i="12"/>
  <c r="M4" i="14" s="1"/>
  <c r="P20" i="12"/>
  <c r="L4" i="14" s="1"/>
  <c r="O20" i="12"/>
  <c r="K4" i="14" s="1"/>
  <c r="N20" i="12"/>
  <c r="J4" i="14" s="1"/>
  <c r="M20" i="12"/>
  <c r="I4" i="14" s="1"/>
  <c r="L20" i="12"/>
  <c r="H4" i="14" s="1"/>
  <c r="K20" i="12"/>
  <c r="G4" i="14" s="1"/>
  <c r="J20" i="12"/>
  <c r="F4" i="14" s="1"/>
  <c r="I20" i="12"/>
  <c r="E4" i="14" s="1"/>
  <c r="H20" i="12"/>
  <c r="D4" i="14" s="1"/>
  <c r="G20" i="12"/>
  <c r="C4" i="14" s="1"/>
  <c r="F20" i="12"/>
  <c r="B4" i="14" s="1"/>
  <c r="C4" i="30" s="1"/>
  <c r="AF18" i="12"/>
  <c r="AB2" i="14" s="1"/>
  <c r="AE18" i="12"/>
  <c r="AA2" i="14" s="1"/>
  <c r="AD18" i="12"/>
  <c r="Z2" i="14" s="1"/>
  <c r="AC18" i="12"/>
  <c r="Y2" i="14" s="1"/>
  <c r="AB18" i="12"/>
  <c r="X2" i="14" s="1"/>
  <c r="AA18" i="12"/>
  <c r="W2" i="14" s="1"/>
  <c r="Z18" i="12"/>
  <c r="V2" i="14" s="1"/>
  <c r="Y18" i="12"/>
  <c r="U2" i="14" s="1"/>
  <c r="X18" i="12"/>
  <c r="T2" i="14" s="1"/>
  <c r="W18" i="12"/>
  <c r="S2" i="14" s="1"/>
  <c r="V18" i="12"/>
  <c r="R2" i="14" s="1"/>
  <c r="U18" i="12"/>
  <c r="Q2" i="14" s="1"/>
  <c r="T18" i="12"/>
  <c r="P2" i="14" s="1"/>
  <c r="S18" i="12"/>
  <c r="O2" i="14" s="1"/>
  <c r="R18" i="12"/>
  <c r="N2" i="14" s="1"/>
  <c r="Q18" i="12"/>
  <c r="M2" i="14" s="1"/>
  <c r="P18" i="12"/>
  <c r="L2" i="14" s="1"/>
  <c r="O18" i="12"/>
  <c r="K2" i="14" s="1"/>
  <c r="N18" i="12"/>
  <c r="J2" i="14" s="1"/>
  <c r="M18" i="12"/>
  <c r="I2" i="14" s="1"/>
  <c r="L18" i="12"/>
  <c r="H2" i="14" s="1"/>
  <c r="K18" i="12"/>
  <c r="G2" i="14" s="1"/>
  <c r="J18" i="12"/>
  <c r="F2" i="14" s="1"/>
  <c r="I18" i="12"/>
  <c r="E2" i="14" s="1"/>
  <c r="H18" i="12"/>
  <c r="D2" i="14" s="1"/>
  <c r="G18" i="12"/>
  <c r="C2" i="14" s="1"/>
  <c r="F18" i="12"/>
  <c r="B2" i="14" s="1"/>
  <c r="C2" i="30" s="1"/>
  <c r="L13" i="12"/>
  <c r="AF13" i="12"/>
  <c r="AE13" i="12"/>
  <c r="AD13" i="12"/>
  <c r="AC13" i="12"/>
  <c r="AB13" i="12"/>
  <c r="AA13" i="12"/>
  <c r="Z13" i="12"/>
  <c r="Y13" i="12"/>
  <c r="X13" i="12"/>
  <c r="W13" i="12"/>
  <c r="V13" i="12"/>
  <c r="U13" i="12"/>
  <c r="T13" i="12"/>
  <c r="S13" i="12"/>
  <c r="R13" i="12"/>
  <c r="Q13" i="12"/>
  <c r="P13" i="12"/>
  <c r="O13" i="12"/>
  <c r="N13" i="12"/>
  <c r="M13" i="12"/>
  <c r="K13" i="12"/>
  <c r="J13" i="12"/>
  <c r="I13" i="12"/>
  <c r="H13" i="12"/>
  <c r="G13" i="12"/>
  <c r="F13" i="12"/>
  <c r="U10" i="12"/>
  <c r="AA10" i="12"/>
  <c r="Z10" i="12"/>
  <c r="Y10" i="12"/>
  <c r="X10" i="12"/>
  <c r="W10" i="12"/>
  <c r="V10" i="12"/>
  <c r="F10" i="12"/>
  <c r="T10" i="12"/>
  <c r="K10" i="12"/>
  <c r="J10" i="12"/>
  <c r="I10" i="12"/>
  <c r="S10" i="12"/>
  <c r="H10" i="12"/>
  <c r="G10" i="12"/>
  <c r="R10" i="12"/>
  <c r="AF10" i="12"/>
  <c r="Q10" i="12"/>
  <c r="AE10" i="12"/>
  <c r="AD10" i="12"/>
  <c r="P10" i="12"/>
  <c r="L10" i="12"/>
  <c r="AC10" i="12"/>
  <c r="O10" i="12"/>
  <c r="N10" i="12"/>
  <c r="M10" i="12"/>
  <c r="AB10" i="12"/>
  <c r="AE8" i="12"/>
  <c r="T8" i="12"/>
  <c r="U8" i="12"/>
  <c r="V8" i="12"/>
  <c r="W8" i="12"/>
  <c r="X8" i="12"/>
  <c r="AD8" i="12"/>
  <c r="Y8" i="12"/>
  <c r="Z8" i="12"/>
  <c r="AB8" i="12"/>
  <c r="AC8" i="12"/>
  <c r="AF8" i="12"/>
  <c r="AA8" i="12"/>
  <c r="S8" i="12"/>
  <c r="R8" i="12"/>
  <c r="Q8" i="12"/>
  <c r="P8" i="12"/>
  <c r="O8" i="12"/>
  <c r="N8" i="12"/>
  <c r="M8" i="12"/>
  <c r="L8" i="12"/>
  <c r="K8" i="12"/>
  <c r="J8" i="12"/>
  <c r="I8" i="12"/>
  <c r="H8" i="12"/>
  <c r="G8" i="12"/>
  <c r="F8" i="12"/>
  <c r="AC7" i="12"/>
  <c r="S7" i="12"/>
  <c r="T7" i="12"/>
  <c r="U7" i="12"/>
  <c r="V7" i="12"/>
  <c r="W7" i="12"/>
  <c r="X7" i="12"/>
  <c r="Y7" i="12"/>
  <c r="Z7" i="12"/>
  <c r="AA7" i="12"/>
  <c r="Q7" i="12"/>
  <c r="H7" i="12"/>
  <c r="I7" i="12"/>
  <c r="J7" i="12"/>
  <c r="K7" i="12"/>
  <c r="L7" i="12"/>
  <c r="M7" i="12"/>
  <c r="N7" i="12"/>
  <c r="O7" i="12"/>
  <c r="P7" i="12"/>
  <c r="AF7" i="12"/>
  <c r="AE7" i="12"/>
  <c r="R7" i="12"/>
  <c r="AB7" i="12"/>
  <c r="AD7" i="12"/>
  <c r="G7" i="12"/>
  <c r="F7" i="12"/>
  <c r="AF5" i="12"/>
  <c r="V5" i="12"/>
  <c r="U5" i="12"/>
  <c r="Z5" i="12"/>
  <c r="T5" i="12"/>
  <c r="R5" i="12"/>
  <c r="S5" i="12"/>
  <c r="N5" i="12"/>
  <c r="O5" i="12"/>
  <c r="P5" i="12"/>
  <c r="Q5" i="12"/>
  <c r="AE5" i="12"/>
  <c r="AD5" i="12"/>
  <c r="AC5" i="12"/>
  <c r="AB5" i="12"/>
  <c r="AA5" i="12"/>
  <c r="Y5" i="12"/>
  <c r="X5" i="12"/>
  <c r="W5" i="12"/>
  <c r="M5" i="12"/>
  <c r="L5" i="12"/>
  <c r="K5" i="12"/>
  <c r="J5" i="12"/>
  <c r="I5" i="12"/>
  <c r="H5" i="12"/>
  <c r="G5" i="12"/>
  <c r="F5" i="12"/>
  <c r="AH9" i="9"/>
  <c r="AB9" i="9"/>
  <c r="AC9" i="9"/>
  <c r="AD9" i="9"/>
  <c r="AE9" i="9"/>
  <c r="AF9" i="9"/>
  <c r="AJ9" i="9"/>
  <c r="AG9" i="9"/>
  <c r="AI9" i="9"/>
  <c r="AA9" i="9"/>
  <c r="V9" i="9"/>
  <c r="U9" i="9"/>
  <c r="X9" i="9"/>
  <c r="Q9" i="9"/>
  <c r="S9" i="9"/>
  <c r="Y9" i="9"/>
  <c r="R9" i="9"/>
  <c r="Z9" i="9"/>
  <c r="W9" i="9"/>
  <c r="T9" i="9"/>
  <c r="G9" i="9"/>
  <c r="P9" i="9"/>
  <c r="M9" i="9"/>
  <c r="N9" i="9"/>
  <c r="H9" i="9"/>
  <c r="I9" i="9"/>
  <c r="L9" i="9"/>
  <c r="K9" i="9"/>
  <c r="O9" i="9"/>
  <c r="J9" i="9"/>
  <c r="E9" i="9"/>
  <c r="F9" i="9"/>
  <c r="D9" i="9"/>
  <c r="V16" i="7"/>
  <c r="Z148" i="12" s="1"/>
  <c r="V2" i="24" s="1"/>
  <c r="V10" i="7"/>
  <c r="S10" i="7"/>
  <c r="S16" i="7"/>
  <c r="W148" i="12" s="1"/>
  <c r="S2" i="24" s="1"/>
  <c r="R16" i="7"/>
  <c r="V148" i="12" s="1"/>
  <c r="R2" i="24" s="1"/>
  <c r="R10" i="7"/>
  <c r="Q16" i="7"/>
  <c r="U148" i="12" s="1"/>
  <c r="Q2" i="24" s="1"/>
  <c r="Q10" i="7"/>
  <c r="P16" i="7"/>
  <c r="T148" i="12" s="1"/>
  <c r="P2" i="24" s="1"/>
  <c r="P10" i="7"/>
  <c r="O10" i="7"/>
  <c r="O16" i="7"/>
  <c r="S148" i="12" s="1"/>
  <c r="O2" i="24" s="1"/>
  <c r="N16" i="7"/>
  <c r="R148" i="12" s="1"/>
  <c r="N2" i="24" s="1"/>
  <c r="N10" i="7"/>
  <c r="M10" i="7"/>
  <c r="M16" i="7"/>
  <c r="Q148" i="12" s="1"/>
  <c r="M2" i="24" s="1"/>
  <c r="L16" i="7"/>
  <c r="P148" i="12" s="1"/>
  <c r="L2" i="24" s="1"/>
  <c r="L10" i="7"/>
  <c r="K10" i="7"/>
  <c r="K16" i="7"/>
  <c r="O148" i="12" s="1"/>
  <c r="K2" i="24" s="1"/>
  <c r="J10" i="7"/>
  <c r="J16" i="7"/>
  <c r="N148" i="12" s="1"/>
  <c r="J2" i="24" s="1"/>
  <c r="I10" i="7"/>
  <c r="I16" i="7"/>
  <c r="M148" i="12" s="1"/>
  <c r="I2" i="24" s="1"/>
  <c r="H10" i="7"/>
  <c r="H16" i="7"/>
  <c r="L148" i="12" s="1"/>
  <c r="H2" i="24" s="1"/>
  <c r="G10" i="7"/>
  <c r="G16" i="7"/>
  <c r="K148" i="12" s="1"/>
  <c r="G2" i="24" s="1"/>
  <c r="F10" i="7"/>
  <c r="F16" i="7"/>
  <c r="J148" i="12" s="1"/>
  <c r="F2" i="24" s="1"/>
  <c r="E10" i="7"/>
  <c r="E16" i="7"/>
  <c r="I148" i="12" s="1"/>
  <c r="E2" i="24" s="1"/>
  <c r="D16" i="7"/>
  <c r="H148" i="12" s="1"/>
  <c r="D2" i="24" s="1"/>
  <c r="D10" i="7"/>
  <c r="C10" i="7"/>
  <c r="C16" i="7"/>
  <c r="G148" i="12" s="1"/>
  <c r="C2" i="24" s="1"/>
  <c r="B16" i="7"/>
  <c r="F148" i="12" s="1"/>
  <c r="B2" i="24" s="1"/>
  <c r="C2" i="32" s="1"/>
  <c r="B10" i="7"/>
  <c r="B12" i="7" s="1"/>
  <c r="AF230" i="12"/>
  <c r="F234" i="12"/>
  <c r="G234" i="12"/>
  <c r="H234" i="12"/>
  <c r="I234" i="12"/>
  <c r="J234" i="12"/>
  <c r="K234" i="12"/>
  <c r="L234" i="12"/>
  <c r="M234" i="12"/>
  <c r="N234" i="12"/>
  <c r="O234" i="12"/>
  <c r="P234" i="12"/>
  <c r="Q234" i="12"/>
  <c r="R234" i="12"/>
  <c r="S234" i="12"/>
  <c r="T234" i="12"/>
  <c r="U234" i="12"/>
  <c r="V234" i="12"/>
  <c r="W234" i="12"/>
  <c r="X234" i="12"/>
  <c r="Y234" i="12"/>
  <c r="Z234" i="12"/>
  <c r="AA234" i="12"/>
  <c r="AB234" i="12"/>
  <c r="AC234" i="12"/>
  <c r="AD234" i="12"/>
  <c r="AE234" i="12"/>
  <c r="AF234" i="12"/>
  <c r="F238" i="12"/>
  <c r="G238" i="12"/>
  <c r="H238" i="12"/>
  <c r="I238" i="12"/>
  <c r="J238" i="12"/>
  <c r="K238" i="12"/>
  <c r="L238" i="12"/>
  <c r="M238" i="12"/>
  <c r="N238" i="12"/>
  <c r="O238" i="12"/>
  <c r="P238" i="12"/>
  <c r="Q238" i="12"/>
  <c r="R238" i="12"/>
  <c r="S238" i="12"/>
  <c r="T238" i="12"/>
  <c r="U238" i="12"/>
  <c r="V238" i="12"/>
  <c r="W238" i="12"/>
  <c r="X238" i="12"/>
  <c r="Y238" i="12"/>
  <c r="Z238" i="12"/>
  <c r="AA238" i="12"/>
  <c r="AB238" i="12"/>
  <c r="AC238" i="12"/>
  <c r="AD238" i="12"/>
  <c r="AE238" i="12"/>
  <c r="AF238" i="12"/>
  <c r="AC188" i="12"/>
  <c r="Y3" i="27" s="1"/>
  <c r="H200" i="12"/>
  <c r="AA200" i="12"/>
  <c r="AE200" i="12"/>
  <c r="F204" i="12"/>
  <c r="J204" i="12"/>
  <c r="Z204" i="12"/>
  <c r="AD204" i="12"/>
  <c r="AE204" i="12"/>
  <c r="AF204" i="12"/>
  <c r="I208" i="12"/>
  <c r="M208" i="12"/>
  <c r="V208" i="12"/>
  <c r="G221" i="12"/>
  <c r="J221" i="12"/>
  <c r="M221" i="12"/>
  <c r="P221" i="12"/>
  <c r="V221" i="12"/>
  <c r="Y221" i="12"/>
  <c r="AD221" i="12"/>
  <c r="AD188" i="12"/>
  <c r="Z3" i="27" s="1"/>
  <c r="W221" i="12"/>
  <c r="F138" i="12"/>
  <c r="G138" i="12"/>
  <c r="H138" i="12"/>
  <c r="I138" i="12"/>
  <c r="J138" i="12"/>
  <c r="K138" i="12"/>
  <c r="L138" i="12"/>
  <c r="M138" i="12"/>
  <c r="N138" i="12"/>
  <c r="O138" i="12"/>
  <c r="P138" i="12"/>
  <c r="Q138" i="12"/>
  <c r="R138" i="12"/>
  <c r="S138" i="12"/>
  <c r="T138" i="12"/>
  <c r="U138" i="12"/>
  <c r="V138" i="12"/>
  <c r="W138" i="12"/>
  <c r="X138" i="12"/>
  <c r="Y138" i="12"/>
  <c r="Z138" i="12"/>
  <c r="AA138" i="12"/>
  <c r="AB138" i="12"/>
  <c r="AC138" i="12"/>
  <c r="AD138" i="12"/>
  <c r="AE138" i="12"/>
  <c r="AF138" i="12"/>
  <c r="I200" i="12"/>
  <c r="G200" i="12"/>
  <c r="P200" i="12"/>
  <c r="R200" i="12"/>
  <c r="X200" i="12"/>
  <c r="L204" i="12"/>
  <c r="Q204" i="12"/>
  <c r="X204" i="12"/>
  <c r="J208" i="12"/>
  <c r="F212" i="12"/>
  <c r="G212" i="12"/>
  <c r="H212" i="12"/>
  <c r="I212" i="12"/>
  <c r="K212" i="12"/>
  <c r="L212" i="12"/>
  <c r="M212" i="12"/>
  <c r="N212" i="12"/>
  <c r="O212" i="12"/>
  <c r="P212" i="12"/>
  <c r="Q212" i="12"/>
  <c r="R212" i="12"/>
  <c r="S212" i="12"/>
  <c r="T212" i="12"/>
  <c r="U212" i="12"/>
  <c r="V212" i="12"/>
  <c r="W212" i="12"/>
  <c r="AF188" i="12"/>
  <c r="AB3" i="27" s="1"/>
  <c r="J200" i="12"/>
  <c r="O200" i="12"/>
  <c r="Y200" i="12"/>
  <c r="AB200" i="12"/>
  <c r="P204" i="12"/>
  <c r="U204" i="12"/>
  <c r="Y204" i="12"/>
  <c r="AB204" i="12"/>
  <c r="G208" i="12"/>
  <c r="O208" i="12"/>
  <c r="S208" i="12"/>
  <c r="W208" i="12"/>
  <c r="G216" i="12"/>
  <c r="O216" i="12"/>
  <c r="T216" i="12"/>
  <c r="AB216" i="12"/>
  <c r="R221" i="12"/>
  <c r="K208" i="12"/>
  <c r="AB188" i="12"/>
  <c r="X3" i="27" s="1"/>
  <c r="F200" i="12"/>
  <c r="K200" i="12"/>
  <c r="W200" i="12"/>
  <c r="N204" i="12"/>
  <c r="R204" i="12"/>
  <c r="W204" i="12"/>
  <c r="AC204" i="12"/>
  <c r="L208" i="12"/>
  <c r="Q208" i="12"/>
  <c r="T208" i="12"/>
  <c r="Y208" i="12"/>
  <c r="I216" i="12"/>
  <c r="L216" i="12"/>
  <c r="Q216" i="12"/>
  <c r="F221" i="12"/>
  <c r="I221" i="12"/>
  <c r="L221" i="12"/>
  <c r="O221" i="12"/>
  <c r="S221" i="12"/>
  <c r="U221" i="12"/>
  <c r="X221" i="12"/>
  <c r="AA221" i="12"/>
  <c r="AC221" i="12"/>
  <c r="AE221" i="12"/>
  <c r="F226" i="12"/>
  <c r="M200" i="12"/>
  <c r="U200" i="12"/>
  <c r="Z200" i="12"/>
  <c r="AC200" i="12"/>
  <c r="AF200" i="12"/>
  <c r="H204" i="12"/>
  <c r="O204" i="12"/>
  <c r="S204" i="12"/>
  <c r="N208" i="12"/>
  <c r="R208" i="12"/>
  <c r="X208" i="12"/>
  <c r="AA208" i="12"/>
  <c r="AC208" i="12"/>
  <c r="AE208" i="12"/>
  <c r="AF208" i="12"/>
  <c r="X212" i="12"/>
  <c r="Z212" i="12"/>
  <c r="AB212" i="12"/>
  <c r="AD212" i="12"/>
  <c r="AF212" i="12"/>
  <c r="F216" i="12"/>
  <c r="K216" i="12"/>
  <c r="P216" i="12"/>
  <c r="U216" i="12"/>
  <c r="X216" i="12"/>
  <c r="Z216" i="12"/>
  <c r="AD216" i="12"/>
  <c r="H221" i="12"/>
  <c r="K221" i="12"/>
  <c r="N221" i="12"/>
  <c r="Q221" i="12"/>
  <c r="T221" i="12"/>
  <c r="Z221" i="12"/>
  <c r="AB221" i="12"/>
  <c r="AF221" i="12"/>
  <c r="AE188" i="12"/>
  <c r="AA3" i="27" s="1"/>
  <c r="L200" i="12"/>
  <c r="Q200" i="12"/>
  <c r="S200" i="12"/>
  <c r="V200" i="12"/>
  <c r="AD200" i="12"/>
  <c r="I204" i="12"/>
  <c r="M204" i="12"/>
  <c r="T204" i="12"/>
  <c r="F208" i="12"/>
  <c r="Y212" i="12"/>
  <c r="AA212" i="12"/>
  <c r="AC212" i="12"/>
  <c r="AE212" i="12"/>
  <c r="H216" i="12"/>
  <c r="N216" i="12"/>
  <c r="R216" i="12"/>
  <c r="V216" i="12"/>
  <c r="Y216" i="12"/>
  <c r="AC216" i="12"/>
  <c r="AF216" i="12"/>
  <c r="R226" i="12"/>
  <c r="T226" i="12"/>
  <c r="V226" i="12"/>
  <c r="AC226" i="12"/>
  <c r="AA188" i="12"/>
  <c r="W3" i="27" s="1"/>
  <c r="N200" i="12"/>
  <c r="J212" i="12"/>
  <c r="T200" i="12"/>
  <c r="G204" i="12"/>
  <c r="K204" i="12"/>
  <c r="V204" i="12"/>
  <c r="AA204" i="12"/>
  <c r="H208" i="12"/>
  <c r="P208" i="12"/>
  <c r="U208" i="12"/>
  <c r="Z208" i="12"/>
  <c r="AB208" i="12"/>
  <c r="AD208" i="12"/>
  <c r="J216" i="12"/>
  <c r="M216" i="12"/>
  <c r="S216" i="12"/>
  <c r="W216" i="12"/>
  <c r="AA216" i="12"/>
  <c r="AE216" i="12"/>
  <c r="G226" i="12"/>
  <c r="H226" i="12"/>
  <c r="I226" i="12"/>
  <c r="J226" i="12"/>
  <c r="K226" i="12"/>
  <c r="L226" i="12"/>
  <c r="M226" i="12"/>
  <c r="N226" i="12"/>
  <c r="O226" i="12"/>
  <c r="P226" i="12"/>
  <c r="Q226" i="12"/>
  <c r="S226" i="12"/>
  <c r="U226" i="12"/>
  <c r="W226" i="12"/>
  <c r="X226" i="12"/>
  <c r="Y226" i="12"/>
  <c r="Z226" i="12"/>
  <c r="AA226" i="12"/>
  <c r="AB226" i="12"/>
  <c r="AD226" i="12"/>
  <c r="AE226" i="12"/>
  <c r="AF226" i="12"/>
  <c r="F230" i="12"/>
  <c r="G230" i="12"/>
  <c r="H230" i="12"/>
  <c r="I230" i="12"/>
  <c r="J230" i="12"/>
  <c r="K230" i="12"/>
  <c r="L230" i="12"/>
  <c r="M230" i="12"/>
  <c r="N230" i="12"/>
  <c r="O230" i="12"/>
  <c r="P230" i="12"/>
  <c r="Q230" i="12"/>
  <c r="R230" i="12"/>
  <c r="S230" i="12"/>
  <c r="T230" i="12"/>
  <c r="U230" i="12"/>
  <c r="V230" i="12"/>
  <c r="W230" i="12"/>
  <c r="X230" i="12"/>
  <c r="Y230" i="12"/>
  <c r="Z230" i="12"/>
  <c r="AA230" i="12"/>
  <c r="AB230" i="12"/>
  <c r="AC230" i="12"/>
  <c r="AD230" i="12"/>
  <c r="AE230" i="12"/>
  <c r="AE83" i="12"/>
  <c r="AA2" i="19" s="1"/>
  <c r="Y83" i="12"/>
  <c r="U2" i="19" s="1"/>
  <c r="AA83" i="12"/>
  <c r="W2" i="19" s="1"/>
  <c r="AB83" i="12"/>
  <c r="X2" i="19" s="1"/>
  <c r="AC83" i="12"/>
  <c r="Y2" i="19" s="1"/>
  <c r="Q83" i="12"/>
  <c r="M2" i="19" s="1"/>
  <c r="S83" i="12"/>
  <c r="O2" i="19" s="1"/>
  <c r="T83" i="12"/>
  <c r="P2" i="19" s="1"/>
  <c r="U83" i="12"/>
  <c r="Q2" i="19" s="1"/>
  <c r="W83" i="12"/>
  <c r="S2" i="19" s="1"/>
  <c r="AD83" i="12"/>
  <c r="Z2" i="19" s="1"/>
  <c r="X83" i="12"/>
  <c r="T2" i="19" s="1"/>
  <c r="AF83" i="12"/>
  <c r="AB2" i="19" s="1"/>
  <c r="R83" i="12"/>
  <c r="N2" i="19" s="1"/>
  <c r="P83" i="12"/>
  <c r="L2" i="19" s="1"/>
  <c r="V83" i="12"/>
  <c r="R2" i="19" s="1"/>
  <c r="Z83" i="12"/>
  <c r="V2" i="19" s="1"/>
  <c r="Z44" i="12"/>
  <c r="V2" i="16" s="1"/>
  <c r="R44" i="12"/>
  <c r="N2" i="16" s="1"/>
  <c r="AB44" i="12"/>
  <c r="X2" i="16" s="1"/>
  <c r="S44" i="12"/>
  <c r="O2" i="16" s="1"/>
  <c r="AC44" i="12"/>
  <c r="Y2" i="16" s="1"/>
  <c r="AD44" i="12"/>
  <c r="Z2" i="16" s="1"/>
  <c r="AE44" i="12"/>
  <c r="AA2" i="16" s="1"/>
  <c r="AF44" i="12"/>
  <c r="AB2" i="16" s="1"/>
  <c r="T44" i="12"/>
  <c r="P2" i="16" s="1"/>
  <c r="U44" i="12"/>
  <c r="Q2" i="16" s="1"/>
  <c r="V44" i="12"/>
  <c r="R2" i="16" s="1"/>
  <c r="W44" i="12"/>
  <c r="S2" i="16" s="1"/>
  <c r="X44" i="12"/>
  <c r="T2" i="16" s="1"/>
  <c r="N44" i="12"/>
  <c r="J2" i="16" s="1"/>
  <c r="O44" i="12"/>
  <c r="K2" i="16" s="1"/>
  <c r="P44" i="12"/>
  <c r="L2" i="16" s="1"/>
  <c r="Q44" i="12"/>
  <c r="M2" i="16" s="1"/>
  <c r="Y44" i="12"/>
  <c r="U2" i="16" s="1"/>
  <c r="AA44" i="12"/>
  <c r="W2" i="16" s="1"/>
  <c r="P143" i="12" l="1"/>
  <c r="L10" i="23" s="1"/>
  <c r="R143" i="12"/>
  <c r="N10" i="23" s="1"/>
  <c r="I143" i="12"/>
  <c r="E10" i="23" s="1"/>
  <c r="AD143" i="12"/>
  <c r="Z10" i="23" s="1"/>
  <c r="AE143" i="12"/>
  <c r="AA10" i="23" s="1"/>
  <c r="AA143" i="12"/>
  <c r="W10" i="23" s="1"/>
  <c r="W143" i="12"/>
  <c r="S10" i="23" s="1"/>
  <c r="F143" i="12"/>
  <c r="B10" i="23" s="1"/>
  <c r="B10" i="32" s="1"/>
  <c r="Q143" i="12"/>
  <c r="M10" i="23" s="1"/>
  <c r="U143" i="12"/>
  <c r="Q10" i="23" s="1"/>
  <c r="K143" i="12"/>
  <c r="G10" i="23" s="1"/>
  <c r="X143" i="12"/>
  <c r="T10" i="23" s="1"/>
  <c r="M143" i="12"/>
  <c r="I10" i="23" s="1"/>
  <c r="N143" i="12"/>
  <c r="Z143" i="12"/>
  <c r="V10" i="23" s="1"/>
  <c r="L143" i="12"/>
  <c r="H10" i="23" s="1"/>
  <c r="AC143" i="12"/>
  <c r="Y10" i="23" s="1"/>
  <c r="O143" i="12"/>
  <c r="K10" i="23" s="1"/>
  <c r="T143" i="12"/>
  <c r="P10" i="23" s="1"/>
  <c r="S143" i="12"/>
  <c r="O10" i="23" s="1"/>
  <c r="AB143" i="12"/>
  <c r="X10" i="23" s="1"/>
  <c r="J143" i="12"/>
  <c r="F10" i="23" s="1"/>
  <c r="Y143" i="12"/>
  <c r="U10" i="23" s="1"/>
  <c r="AF143" i="12"/>
  <c r="AB10" i="23" s="1"/>
  <c r="H143" i="12"/>
  <c r="D10" i="23" s="1"/>
  <c r="G143" i="12"/>
  <c r="C10" i="23" s="1"/>
  <c r="V143" i="12"/>
  <c r="R10" i="23" s="1"/>
  <c r="J10" i="23"/>
  <c r="AF239" i="12"/>
  <c r="AF240" i="12" s="1"/>
  <c r="AB7" i="23"/>
  <c r="AA7" i="23"/>
  <c r="AE239" i="12"/>
  <c r="AE240" i="12" s="1"/>
  <c r="Z7" i="23"/>
  <c r="AD239" i="12"/>
  <c r="AD240" i="12" s="1"/>
  <c r="Y7" i="23"/>
  <c r="AC239" i="12"/>
  <c r="AC240" i="12" s="1"/>
  <c r="AB239" i="12"/>
  <c r="AB240" i="12" s="1"/>
  <c r="X7" i="23"/>
  <c r="AA239" i="12"/>
  <c r="AA240" i="12" s="1"/>
  <c r="W7" i="23"/>
  <c r="Z239" i="12"/>
  <c r="Z240" i="12" s="1"/>
  <c r="V7" i="23"/>
  <c r="Y239" i="12"/>
  <c r="Y240" i="12" s="1"/>
  <c r="U7" i="23"/>
  <c r="X239" i="12"/>
  <c r="X240" i="12" s="1"/>
  <c r="T7" i="23"/>
  <c r="W239" i="12"/>
  <c r="W240" i="12" s="1"/>
  <c r="S7" i="23"/>
  <c r="V239" i="12"/>
  <c r="V240" i="12" s="1"/>
  <c r="R7" i="23"/>
  <c r="U239" i="12"/>
  <c r="U240" i="12" s="1"/>
  <c r="Q7" i="23"/>
  <c r="T239" i="12"/>
  <c r="T240" i="12" s="1"/>
  <c r="P7" i="23"/>
  <c r="S239" i="12"/>
  <c r="S240" i="12" s="1"/>
  <c r="O7" i="23"/>
  <c r="R239" i="12"/>
  <c r="R240" i="12" s="1"/>
  <c r="N7" i="23"/>
  <c r="Q239" i="12"/>
  <c r="Q240" i="12" s="1"/>
  <c r="M7" i="23"/>
  <c r="P239" i="12"/>
  <c r="P240" i="12" s="1"/>
  <c r="L7" i="23"/>
  <c r="O239" i="12"/>
  <c r="O240" i="12" s="1"/>
  <c r="K7" i="23"/>
  <c r="F239" i="12"/>
  <c r="F240" i="12" s="1"/>
  <c r="B7" i="23"/>
  <c r="B7" i="32" s="1"/>
  <c r="I239" i="12"/>
  <c r="I240" i="12" s="1"/>
  <c r="E7" i="23"/>
  <c r="G239" i="12"/>
  <c r="G240" i="12" s="1"/>
  <c r="C7" i="23"/>
  <c r="H239" i="12"/>
  <c r="H240" i="12" s="1"/>
  <c r="D7" i="23"/>
  <c r="J239" i="12"/>
  <c r="J240" i="12" s="1"/>
  <c r="F7" i="23"/>
  <c r="K239" i="12"/>
  <c r="K240" i="12" s="1"/>
  <c r="G7" i="23"/>
  <c r="L239" i="12"/>
  <c r="L240" i="12" s="1"/>
  <c r="H7" i="23"/>
  <c r="M239" i="12"/>
  <c r="M240" i="12" s="1"/>
  <c r="I7" i="23"/>
  <c r="N239" i="12"/>
  <c r="N240" i="12" s="1"/>
  <c r="J7" i="23"/>
  <c r="L227" i="12"/>
  <c r="L228" i="12" s="1"/>
  <c r="H4" i="23"/>
  <c r="K227" i="12"/>
  <c r="K228" i="12" s="1"/>
  <c r="G4" i="23"/>
  <c r="F4" i="23"/>
  <c r="J227" i="12"/>
  <c r="J228" i="12" s="1"/>
  <c r="I227" i="12"/>
  <c r="I228" i="12" s="1"/>
  <c r="E4" i="23"/>
  <c r="H227" i="12"/>
  <c r="H228" i="12" s="1"/>
  <c r="D4" i="23"/>
  <c r="G227" i="12"/>
  <c r="G228" i="12" s="1"/>
  <c r="C4" i="23"/>
  <c r="B4" i="23"/>
  <c r="B4" i="32" s="1"/>
  <c r="F227" i="12"/>
  <c r="F228" i="12" s="1"/>
  <c r="AF227" i="12"/>
  <c r="AF228" i="12" s="1"/>
  <c r="AB4" i="23"/>
  <c r="AE227" i="12"/>
  <c r="AE228" i="12" s="1"/>
  <c r="AA4" i="23"/>
  <c r="AD227" i="12"/>
  <c r="AD228" i="12" s="1"/>
  <c r="Z4" i="23"/>
  <c r="AC227" i="12"/>
  <c r="AC228" i="12" s="1"/>
  <c r="Y4" i="23"/>
  <c r="AB227" i="12"/>
  <c r="AB228" i="12" s="1"/>
  <c r="X4" i="23"/>
  <c r="AA227" i="12"/>
  <c r="AA228" i="12" s="1"/>
  <c r="W4" i="23"/>
  <c r="Z227" i="12"/>
  <c r="Z228" i="12" s="1"/>
  <c r="V4" i="23"/>
  <c r="Y227" i="12"/>
  <c r="Y228" i="12" s="1"/>
  <c r="U4" i="23"/>
  <c r="X227" i="12"/>
  <c r="X228" i="12" s="1"/>
  <c r="T4" i="23"/>
  <c r="W227" i="12"/>
  <c r="W228" i="12" s="1"/>
  <c r="S4" i="23"/>
  <c r="V227" i="12"/>
  <c r="V228" i="12" s="1"/>
  <c r="R4" i="23"/>
  <c r="U227" i="12"/>
  <c r="U228" i="12" s="1"/>
  <c r="Q4" i="23"/>
  <c r="T227" i="12"/>
  <c r="T228" i="12" s="1"/>
  <c r="P4" i="23"/>
  <c r="S227" i="12"/>
  <c r="S228" i="12" s="1"/>
  <c r="O4" i="23"/>
  <c r="R227" i="12"/>
  <c r="R228" i="12" s="1"/>
  <c r="N4" i="23"/>
  <c r="Q227" i="12"/>
  <c r="Q228" i="12" s="1"/>
  <c r="M4" i="23"/>
  <c r="P227" i="12"/>
  <c r="P228" i="12" s="1"/>
  <c r="L4" i="23"/>
  <c r="O227" i="12"/>
  <c r="O228" i="12" s="1"/>
  <c r="K4" i="23"/>
  <c r="N227" i="12"/>
  <c r="N228" i="12" s="1"/>
  <c r="J4" i="23"/>
  <c r="M227" i="12"/>
  <c r="M228" i="12" s="1"/>
  <c r="I4" i="23"/>
  <c r="Q2" i="23"/>
  <c r="AB2" i="23"/>
  <c r="AA2" i="23"/>
  <c r="N2" i="23"/>
  <c r="M2" i="23"/>
  <c r="L2" i="23"/>
  <c r="O2" i="23"/>
  <c r="K2" i="23"/>
  <c r="J2" i="23"/>
  <c r="I2" i="23"/>
  <c r="H2" i="23"/>
  <c r="G2" i="23"/>
  <c r="F2" i="23"/>
  <c r="P2" i="23"/>
  <c r="E2" i="23"/>
  <c r="D2" i="23"/>
  <c r="C2" i="23"/>
  <c r="Z2" i="23"/>
  <c r="Y2" i="23"/>
  <c r="X2" i="23"/>
  <c r="W2" i="23"/>
  <c r="V2" i="23"/>
  <c r="U2" i="23"/>
  <c r="T2" i="23"/>
  <c r="S2" i="23"/>
  <c r="R2" i="23"/>
  <c r="B2" i="23"/>
  <c r="B2" i="32" s="1"/>
  <c r="L213" i="12"/>
  <c r="L214" i="12" s="1"/>
  <c r="H10" i="13"/>
  <c r="AF213" i="12"/>
  <c r="AF214" i="12" s="1"/>
  <c r="AB10" i="13"/>
  <c r="AE213" i="12"/>
  <c r="AE214" i="12" s="1"/>
  <c r="AA10" i="13"/>
  <c r="AD213" i="12"/>
  <c r="AD214" i="12" s="1"/>
  <c r="Z10" i="13"/>
  <c r="AC213" i="12"/>
  <c r="AC214" i="12" s="1"/>
  <c r="Y10" i="13"/>
  <c r="AB213" i="12"/>
  <c r="AB214" i="12" s="1"/>
  <c r="X10" i="13"/>
  <c r="AA213" i="12"/>
  <c r="AA214" i="12" s="1"/>
  <c r="W10" i="13"/>
  <c r="V10" i="13"/>
  <c r="Z213" i="12"/>
  <c r="Z214" i="12" s="1"/>
  <c r="Y213" i="12"/>
  <c r="Y214" i="12" s="1"/>
  <c r="U10" i="13"/>
  <c r="X213" i="12"/>
  <c r="X214" i="12" s="1"/>
  <c r="T10" i="13"/>
  <c r="W213" i="12"/>
  <c r="W214" i="12" s="1"/>
  <c r="S10" i="13"/>
  <c r="V213" i="12"/>
  <c r="V214" i="12" s="1"/>
  <c r="R10" i="13"/>
  <c r="Q10" i="13"/>
  <c r="U213" i="12"/>
  <c r="U214" i="12" s="1"/>
  <c r="P10" i="13"/>
  <c r="T213" i="12"/>
  <c r="T214" i="12" s="1"/>
  <c r="S213" i="12"/>
  <c r="S214" i="12" s="1"/>
  <c r="O10" i="13"/>
  <c r="R213" i="12"/>
  <c r="R214" i="12" s="1"/>
  <c r="N10" i="13"/>
  <c r="Q213" i="12"/>
  <c r="Q214" i="12" s="1"/>
  <c r="M10" i="13"/>
  <c r="P213" i="12"/>
  <c r="P214" i="12" s="1"/>
  <c r="L10" i="13"/>
  <c r="O213" i="12"/>
  <c r="O214" i="12" s="1"/>
  <c r="K10" i="13"/>
  <c r="N213" i="12"/>
  <c r="N214" i="12" s="1"/>
  <c r="J10" i="13"/>
  <c r="M213" i="12"/>
  <c r="M214" i="12" s="1"/>
  <c r="I10" i="13"/>
  <c r="K213" i="12"/>
  <c r="K214" i="12" s="1"/>
  <c r="G10" i="13"/>
  <c r="J213" i="12"/>
  <c r="J214" i="12" s="1"/>
  <c r="F10" i="13"/>
  <c r="E10" i="13"/>
  <c r="I213" i="12"/>
  <c r="I214" i="12" s="1"/>
  <c r="H213" i="12"/>
  <c r="H214" i="12" s="1"/>
  <c r="D10" i="13"/>
  <c r="G213" i="12"/>
  <c r="G214" i="12" s="1"/>
  <c r="C10" i="13"/>
  <c r="F213" i="12"/>
  <c r="F214" i="12" s="1"/>
  <c r="B10" i="13"/>
  <c r="B10" i="30" s="1"/>
  <c r="U217" i="12"/>
  <c r="U218" i="12" s="1"/>
  <c r="Q7" i="13"/>
  <c r="AA217" i="12"/>
  <c r="AA218" i="12" s="1"/>
  <c r="W7" i="13"/>
  <c r="Z217" i="12"/>
  <c r="Z218" i="12" s="1"/>
  <c r="V7" i="13"/>
  <c r="Y217" i="12"/>
  <c r="Y218" i="12" s="1"/>
  <c r="U7" i="13"/>
  <c r="X217" i="12"/>
  <c r="X218" i="12" s="1"/>
  <c r="T7" i="13"/>
  <c r="S7" i="13"/>
  <c r="W217" i="12"/>
  <c r="W218" i="12" s="1"/>
  <c r="V217" i="12"/>
  <c r="V218" i="12" s="1"/>
  <c r="R7" i="13"/>
  <c r="F217" i="12"/>
  <c r="F218" i="12" s="1"/>
  <c r="B7" i="13"/>
  <c r="B7" i="30" s="1"/>
  <c r="T217" i="12"/>
  <c r="T218" i="12" s="1"/>
  <c r="P7" i="13"/>
  <c r="K217" i="12"/>
  <c r="K218" i="12" s="1"/>
  <c r="G7" i="13"/>
  <c r="J217" i="12"/>
  <c r="J218" i="12" s="1"/>
  <c r="F7" i="13"/>
  <c r="I217" i="12"/>
  <c r="I218" i="12" s="1"/>
  <c r="E7" i="13"/>
  <c r="S217" i="12"/>
  <c r="S218" i="12" s="1"/>
  <c r="O7" i="13"/>
  <c r="H217" i="12"/>
  <c r="H218" i="12" s="1"/>
  <c r="D7" i="13"/>
  <c r="G217" i="12"/>
  <c r="G218" i="12" s="1"/>
  <c r="C7" i="13"/>
  <c r="R217" i="12"/>
  <c r="R218" i="12" s="1"/>
  <c r="N7" i="13"/>
  <c r="AF217" i="12"/>
  <c r="AF218" i="12" s="1"/>
  <c r="AB7" i="13"/>
  <c r="Q217" i="12"/>
  <c r="Q218" i="12" s="1"/>
  <c r="M7" i="13"/>
  <c r="AE217" i="12"/>
  <c r="AE218" i="12" s="1"/>
  <c r="AA7" i="13"/>
  <c r="AD217" i="12"/>
  <c r="AD218" i="12" s="1"/>
  <c r="Z7" i="13"/>
  <c r="P217" i="12"/>
  <c r="P218" i="12" s="1"/>
  <c r="L7" i="13"/>
  <c r="L217" i="12"/>
  <c r="L218" i="12" s="1"/>
  <c r="H7" i="13"/>
  <c r="AC217" i="12"/>
  <c r="AC218" i="12" s="1"/>
  <c r="Y7" i="13"/>
  <c r="O217" i="12"/>
  <c r="O218" i="12" s="1"/>
  <c r="K7" i="13"/>
  <c r="N217" i="12"/>
  <c r="N218" i="12" s="1"/>
  <c r="J7" i="13"/>
  <c r="M217" i="12"/>
  <c r="M218" i="12" s="1"/>
  <c r="I7" i="13"/>
  <c r="AB217" i="12"/>
  <c r="AB218" i="12" s="1"/>
  <c r="X7" i="13"/>
  <c r="AE209" i="12"/>
  <c r="AE210" i="12" s="1"/>
  <c r="AA5" i="13"/>
  <c r="T209" i="12"/>
  <c r="T210" i="12" s="1"/>
  <c r="P5" i="13"/>
  <c r="U209" i="12"/>
  <c r="U210" i="12" s="1"/>
  <c r="Q5" i="13"/>
  <c r="V209" i="12"/>
  <c r="V210" i="12" s="1"/>
  <c r="R5" i="13"/>
  <c r="W209" i="12"/>
  <c r="W210" i="12" s="1"/>
  <c r="S5" i="13"/>
  <c r="T5" i="13"/>
  <c r="X209" i="12"/>
  <c r="X210" i="12" s="1"/>
  <c r="AD209" i="12"/>
  <c r="AD210" i="12" s="1"/>
  <c r="Z5" i="13"/>
  <c r="Y209" i="12"/>
  <c r="Y210" i="12" s="1"/>
  <c r="U5" i="13"/>
  <c r="Z209" i="12"/>
  <c r="Z210" i="12" s="1"/>
  <c r="V5" i="13"/>
  <c r="AB209" i="12"/>
  <c r="AB210" i="12" s="1"/>
  <c r="X5" i="13"/>
  <c r="AC209" i="12"/>
  <c r="AC210" i="12" s="1"/>
  <c r="Y5" i="13"/>
  <c r="AF209" i="12"/>
  <c r="AF210" i="12" s="1"/>
  <c r="AB5" i="13"/>
  <c r="AA209" i="12"/>
  <c r="AA210" i="12" s="1"/>
  <c r="W5" i="13"/>
  <c r="S209" i="12"/>
  <c r="S210" i="12" s="1"/>
  <c r="O5" i="13"/>
  <c r="R209" i="12"/>
  <c r="R210" i="12" s="1"/>
  <c r="N5" i="13"/>
  <c r="Q209" i="12"/>
  <c r="Q210" i="12" s="1"/>
  <c r="M5" i="13"/>
  <c r="L5" i="13"/>
  <c r="P209" i="12"/>
  <c r="P210" i="12" s="1"/>
  <c r="O209" i="12"/>
  <c r="O210" i="12" s="1"/>
  <c r="K5" i="13"/>
  <c r="N209" i="12"/>
  <c r="N210" i="12" s="1"/>
  <c r="J5" i="13"/>
  <c r="M209" i="12"/>
  <c r="M210" i="12" s="1"/>
  <c r="I5" i="13"/>
  <c r="L209" i="12"/>
  <c r="L210" i="12" s="1"/>
  <c r="H5" i="13"/>
  <c r="K209" i="12"/>
  <c r="K210" i="12" s="1"/>
  <c r="G5" i="13"/>
  <c r="J209" i="12"/>
  <c r="J210" i="12" s="1"/>
  <c r="F5" i="13"/>
  <c r="I209" i="12"/>
  <c r="I210" i="12" s="1"/>
  <c r="E5" i="13"/>
  <c r="H209" i="12"/>
  <c r="H210" i="12" s="1"/>
  <c r="D5" i="13"/>
  <c r="G209" i="12"/>
  <c r="G210" i="12" s="1"/>
  <c r="C5" i="13"/>
  <c r="F209" i="12"/>
  <c r="F210" i="12" s="1"/>
  <c r="B5" i="13"/>
  <c r="B5" i="30" s="1"/>
  <c r="AC205" i="12"/>
  <c r="AC206" i="12" s="1"/>
  <c r="Y4" i="13"/>
  <c r="S205" i="12"/>
  <c r="S206" i="12" s="1"/>
  <c r="O4" i="13"/>
  <c r="T205" i="12"/>
  <c r="T206" i="12" s="1"/>
  <c r="P4" i="13"/>
  <c r="U205" i="12"/>
  <c r="U206" i="12" s="1"/>
  <c r="Q4" i="13"/>
  <c r="R4" i="13"/>
  <c r="V205" i="12"/>
  <c r="V206" i="12" s="1"/>
  <c r="W205" i="12"/>
  <c r="W206" i="12" s="1"/>
  <c r="S4" i="13"/>
  <c r="X205" i="12"/>
  <c r="X206" i="12" s="1"/>
  <c r="T4" i="13"/>
  <c r="Y205" i="12"/>
  <c r="Y206" i="12" s="1"/>
  <c r="U4" i="13"/>
  <c r="Z205" i="12"/>
  <c r="Z206" i="12" s="1"/>
  <c r="V4" i="13"/>
  <c r="AA205" i="12"/>
  <c r="AA206" i="12" s="1"/>
  <c r="W4" i="13"/>
  <c r="Q205" i="12"/>
  <c r="Q206" i="12" s="1"/>
  <c r="M4" i="13"/>
  <c r="H205" i="12"/>
  <c r="H206" i="12" s="1"/>
  <c r="D4" i="13"/>
  <c r="I205" i="12"/>
  <c r="I206" i="12" s="1"/>
  <c r="E4" i="13"/>
  <c r="J205" i="12"/>
  <c r="J206" i="12" s="1"/>
  <c r="F4" i="13"/>
  <c r="K205" i="12"/>
  <c r="K206" i="12" s="1"/>
  <c r="G4" i="13"/>
  <c r="L205" i="12"/>
  <c r="L206" i="12" s="1"/>
  <c r="H4" i="13"/>
  <c r="M205" i="12"/>
  <c r="M206" i="12" s="1"/>
  <c r="I4" i="13"/>
  <c r="N205" i="12"/>
  <c r="N206" i="12" s="1"/>
  <c r="J4" i="13"/>
  <c r="O205" i="12"/>
  <c r="O206" i="12" s="1"/>
  <c r="K4" i="13"/>
  <c r="P205" i="12"/>
  <c r="P206" i="12" s="1"/>
  <c r="L4" i="13"/>
  <c r="AF205" i="12"/>
  <c r="AF206" i="12" s="1"/>
  <c r="AB4" i="13"/>
  <c r="AE205" i="12"/>
  <c r="AE206" i="12" s="1"/>
  <c r="AA4" i="13"/>
  <c r="R205" i="12"/>
  <c r="R206" i="12" s="1"/>
  <c r="N4" i="13"/>
  <c r="AB205" i="12"/>
  <c r="AB206" i="12" s="1"/>
  <c r="X4" i="13"/>
  <c r="Z4" i="13"/>
  <c r="AD205" i="12"/>
  <c r="AD206" i="12" s="1"/>
  <c r="G205" i="12"/>
  <c r="G206" i="12" s="1"/>
  <c r="C4" i="13"/>
  <c r="F205" i="12"/>
  <c r="F206" i="12" s="1"/>
  <c r="B4" i="13"/>
  <c r="B4" i="30" s="1"/>
  <c r="AF201" i="12"/>
  <c r="AF202" i="12" s="1"/>
  <c r="AB2" i="13"/>
  <c r="V201" i="12"/>
  <c r="V202" i="12" s="1"/>
  <c r="R2" i="13"/>
  <c r="U201" i="12"/>
  <c r="U202" i="12" s="1"/>
  <c r="Q2" i="13"/>
  <c r="Z201" i="12"/>
  <c r="Z202" i="12" s="1"/>
  <c r="V2" i="13"/>
  <c r="T201" i="12"/>
  <c r="T202" i="12" s="1"/>
  <c r="P2" i="13"/>
  <c r="N2" i="13"/>
  <c r="R201" i="12"/>
  <c r="R202" i="12" s="1"/>
  <c r="S201" i="12"/>
  <c r="S202" i="12" s="1"/>
  <c r="O2" i="13"/>
  <c r="N201" i="12"/>
  <c r="N202" i="12" s="1"/>
  <c r="J2" i="13"/>
  <c r="O201" i="12"/>
  <c r="O202" i="12" s="1"/>
  <c r="K2" i="13"/>
  <c r="P201" i="12"/>
  <c r="P202" i="12" s="1"/>
  <c r="L2" i="13"/>
  <c r="Q201" i="12"/>
  <c r="Q202" i="12" s="1"/>
  <c r="M2" i="13"/>
  <c r="AE201" i="12"/>
  <c r="AE202" i="12" s="1"/>
  <c r="AA2" i="13"/>
  <c r="AD201" i="12"/>
  <c r="AD202" i="12" s="1"/>
  <c r="Z2" i="13"/>
  <c r="AC201" i="12"/>
  <c r="AC202" i="12" s="1"/>
  <c r="Y2" i="13"/>
  <c r="AB201" i="12"/>
  <c r="AB202" i="12" s="1"/>
  <c r="X2" i="13"/>
  <c r="W2" i="13"/>
  <c r="AA201" i="12"/>
  <c r="AA202" i="12" s="1"/>
  <c r="Y201" i="12"/>
  <c r="Y202" i="12" s="1"/>
  <c r="U2" i="13"/>
  <c r="X201" i="12"/>
  <c r="X202" i="12" s="1"/>
  <c r="T2" i="13"/>
  <c r="W201" i="12"/>
  <c r="W202" i="12" s="1"/>
  <c r="S2" i="13"/>
  <c r="M201" i="12"/>
  <c r="M202" i="12" s="1"/>
  <c r="I2" i="13"/>
  <c r="L201" i="12"/>
  <c r="L202" i="12" s="1"/>
  <c r="H2" i="13"/>
  <c r="G2" i="13"/>
  <c r="K201" i="12"/>
  <c r="K202" i="12" s="1"/>
  <c r="J201" i="12"/>
  <c r="J202" i="12" s="1"/>
  <c r="F2" i="13"/>
  <c r="E2" i="13"/>
  <c r="I201" i="12"/>
  <c r="I202" i="12" s="1"/>
  <c r="H201" i="12"/>
  <c r="H202" i="12" s="1"/>
  <c r="D2" i="13"/>
  <c r="G201" i="12"/>
  <c r="G202" i="12" s="1"/>
  <c r="C2" i="13"/>
  <c r="F201" i="12"/>
  <c r="F202" i="12" s="1"/>
  <c r="B2" i="13"/>
  <c r="B2" i="30" s="1"/>
  <c r="C14" i="7"/>
  <c r="E14" i="7"/>
  <c r="G14" i="7"/>
  <c r="I14" i="7"/>
  <c r="K14" i="7"/>
  <c r="M14" i="7"/>
  <c r="O14" i="7"/>
  <c r="Q14" i="7"/>
  <c r="S14" i="7"/>
  <c r="U14" i="7"/>
  <c r="W14" i="7"/>
  <c r="Y14" i="7"/>
  <c r="AB14" i="7"/>
  <c r="B17" i="7"/>
  <c r="F187" i="12" s="1"/>
  <c r="E17" i="7"/>
  <c r="I187" i="12" s="1"/>
  <c r="G17" i="7"/>
  <c r="K187" i="12" s="1"/>
  <c r="H17" i="7"/>
  <c r="L187" i="12" s="1"/>
  <c r="J17" i="7"/>
  <c r="N187" i="12" s="1"/>
  <c r="M17" i="7"/>
  <c r="Q187" i="12" s="1"/>
  <c r="O17" i="7"/>
  <c r="S187" i="12" s="1"/>
  <c r="P17" i="7"/>
  <c r="T187" i="12" s="1"/>
  <c r="R17" i="7"/>
  <c r="V187" i="12" s="1"/>
  <c r="T17" i="7"/>
  <c r="X187" i="12" s="1"/>
  <c r="V17" i="7"/>
  <c r="Z187" i="12" s="1"/>
  <c r="X17" i="7"/>
  <c r="AB187" i="12" s="1"/>
  <c r="Y17" i="7"/>
  <c r="AC187" i="12" s="1"/>
  <c r="AB17" i="7"/>
  <c r="AF187" i="12" s="1"/>
  <c r="B14" i="7"/>
  <c r="D14" i="7"/>
  <c r="F14" i="7"/>
  <c r="H14" i="7"/>
  <c r="J14" i="7"/>
  <c r="L14" i="7"/>
  <c r="N14" i="7"/>
  <c r="P14" i="7"/>
  <c r="R14" i="7"/>
  <c r="T14" i="7"/>
  <c r="V14" i="7"/>
  <c r="X14" i="7"/>
  <c r="Z14" i="7"/>
  <c r="AA14" i="7"/>
  <c r="C17" i="7"/>
  <c r="G187" i="12" s="1"/>
  <c r="C2" i="27" s="1"/>
  <c r="D17" i="7"/>
  <c r="H187" i="12" s="1"/>
  <c r="D2" i="27" s="1"/>
  <c r="F17" i="7"/>
  <c r="J187" i="12" s="1"/>
  <c r="F2" i="27" s="1"/>
  <c r="I17" i="7"/>
  <c r="M187" i="12" s="1"/>
  <c r="I2" i="27" s="1"/>
  <c r="K17" i="7"/>
  <c r="O187" i="12" s="1"/>
  <c r="K2" i="27" s="1"/>
  <c r="L17" i="7"/>
  <c r="P187" i="12" s="1"/>
  <c r="L2" i="27" s="1"/>
  <c r="N17" i="7"/>
  <c r="R187" i="12" s="1"/>
  <c r="N2" i="27" s="1"/>
  <c r="Q17" i="7"/>
  <c r="U187" i="12" s="1"/>
  <c r="Q2" i="27" s="1"/>
  <c r="S17" i="7"/>
  <c r="W187" i="12" s="1"/>
  <c r="U17" i="7"/>
  <c r="Y187" i="12" s="1"/>
  <c r="W17" i="7"/>
  <c r="AA187" i="12" s="1"/>
  <c r="Z17" i="7"/>
  <c r="AD187" i="12" s="1"/>
  <c r="AA17" i="7"/>
  <c r="AE187" i="12" s="1"/>
  <c r="AA2" i="27" s="1"/>
  <c r="F231" i="12"/>
  <c r="F232" i="12" s="1"/>
  <c r="B5" i="23"/>
  <c r="B5" i="32" s="1"/>
  <c r="G231" i="12"/>
  <c r="G232" i="12" s="1"/>
  <c r="C5" i="23"/>
  <c r="H231" i="12"/>
  <c r="H232" i="12" s="1"/>
  <c r="D5" i="23"/>
  <c r="I231" i="12"/>
  <c r="I232" i="12" s="1"/>
  <c r="E5" i="23"/>
  <c r="J231" i="12"/>
  <c r="J232" i="12" s="1"/>
  <c r="F5" i="23"/>
  <c r="K231" i="12"/>
  <c r="K232" i="12" s="1"/>
  <c r="G5" i="23"/>
  <c r="L231" i="12"/>
  <c r="L232" i="12" s="1"/>
  <c r="H5" i="23"/>
  <c r="M231" i="12"/>
  <c r="M232" i="12" s="1"/>
  <c r="I5" i="23"/>
  <c r="N231" i="12"/>
  <c r="N232" i="12" s="1"/>
  <c r="J5" i="23"/>
  <c r="O231" i="12"/>
  <c r="O232" i="12" s="1"/>
  <c r="K5" i="23"/>
  <c r="P231" i="12"/>
  <c r="P232" i="12" s="1"/>
  <c r="L5" i="23"/>
  <c r="Q231" i="12"/>
  <c r="Q232" i="12" s="1"/>
  <c r="M5" i="23"/>
  <c r="R231" i="12"/>
  <c r="R232" i="12" s="1"/>
  <c r="N5" i="23"/>
  <c r="S231" i="12"/>
  <c r="S232" i="12" s="1"/>
  <c r="O5" i="23"/>
  <c r="T231" i="12"/>
  <c r="T232" i="12" s="1"/>
  <c r="P5" i="23"/>
  <c r="U231" i="12"/>
  <c r="U232" i="12" s="1"/>
  <c r="Q5" i="23"/>
  <c r="V231" i="12"/>
  <c r="V232" i="12" s="1"/>
  <c r="R5" i="23"/>
  <c r="W231" i="12"/>
  <c r="W232" i="12" s="1"/>
  <c r="S5" i="23"/>
  <c r="X231" i="12"/>
  <c r="X232" i="12" s="1"/>
  <c r="T5" i="23"/>
  <c r="Y231" i="12"/>
  <c r="Y232" i="12" s="1"/>
  <c r="U5" i="23"/>
  <c r="Z231" i="12"/>
  <c r="Z232" i="12" s="1"/>
  <c r="V5" i="23"/>
  <c r="AA231" i="12"/>
  <c r="AA232" i="12" s="1"/>
  <c r="W5" i="23"/>
  <c r="AB231" i="12"/>
  <c r="AB232" i="12" s="1"/>
  <c r="X5" i="23"/>
  <c r="AC231" i="12"/>
  <c r="AC232" i="12" s="1"/>
  <c r="Y5" i="23"/>
  <c r="AD231" i="12"/>
  <c r="AD232" i="12" s="1"/>
  <c r="Z5" i="23"/>
  <c r="AE231" i="12"/>
  <c r="AE232" i="12" s="1"/>
  <c r="AA5" i="23"/>
  <c r="AF231" i="12"/>
  <c r="AF232" i="12" s="1"/>
  <c r="AB5" i="23"/>
  <c r="O5" i="27"/>
  <c r="S195" i="12"/>
  <c r="K5" i="27"/>
  <c r="O195" i="12"/>
  <c r="F5" i="27"/>
  <c r="J195" i="12"/>
  <c r="C5" i="27"/>
  <c r="G195" i="12"/>
  <c r="S5" i="27"/>
  <c r="W195" i="12"/>
  <c r="N5" i="27"/>
  <c r="R195" i="12"/>
  <c r="G5" i="27"/>
  <c r="K195" i="12"/>
  <c r="G10" i="27" s="1"/>
  <c r="Z5" i="27"/>
  <c r="AD195" i="12"/>
  <c r="Z10" i="27" s="1"/>
  <c r="W5" i="27"/>
  <c r="AA195" i="12"/>
  <c r="W10" i="27" s="1"/>
  <c r="U5" i="27"/>
  <c r="Y195" i="12"/>
  <c r="U10" i="27" s="1"/>
  <c r="P5" i="27"/>
  <c r="T195" i="12"/>
  <c r="Q5" i="27"/>
  <c r="U195" i="12"/>
  <c r="Q10" i="27" s="1"/>
  <c r="M5" i="27"/>
  <c r="Q195" i="12"/>
  <c r="I5" i="27"/>
  <c r="M195" i="12"/>
  <c r="I10" i="27" s="1"/>
  <c r="E5" i="27"/>
  <c r="I195" i="12"/>
  <c r="E10" i="27" s="1"/>
  <c r="AA5" i="27"/>
  <c r="AE195" i="12"/>
  <c r="AA10" i="27" s="1"/>
  <c r="X5" i="27"/>
  <c r="AB195" i="12"/>
  <c r="X10" i="27" s="1"/>
  <c r="L5" i="27"/>
  <c r="P195" i="12"/>
  <c r="D5" i="27"/>
  <c r="H195" i="12"/>
  <c r="R5" i="27"/>
  <c r="V195" i="12"/>
  <c r="R10" i="27" s="1"/>
  <c r="B5" i="27"/>
  <c r="G5" i="32" s="1"/>
  <c r="F195" i="12"/>
  <c r="B10" i="27" s="1"/>
  <c r="G10" i="32" s="1"/>
  <c r="H5" i="27"/>
  <c r="L195" i="12"/>
  <c r="H10" i="27" s="1"/>
  <c r="AB5" i="27"/>
  <c r="AF195" i="12"/>
  <c r="Y5" i="27"/>
  <c r="AC195" i="12"/>
  <c r="Y10" i="27" s="1"/>
  <c r="V5" i="27"/>
  <c r="Z195" i="12"/>
  <c r="V10" i="27" s="1"/>
  <c r="T5" i="27"/>
  <c r="X195" i="12"/>
  <c r="T10" i="27" s="1"/>
  <c r="J5" i="27"/>
  <c r="N195" i="12"/>
  <c r="J10" i="27" s="1"/>
  <c r="AA5" i="26"/>
  <c r="AE182" i="12"/>
  <c r="Z5" i="26"/>
  <c r="AD182" i="12"/>
  <c r="Y5" i="26"/>
  <c r="AC182" i="12"/>
  <c r="X5" i="26"/>
  <c r="AB182" i="12"/>
  <c r="W5" i="26"/>
  <c r="AA182" i="12"/>
  <c r="V5" i="26"/>
  <c r="Z182" i="12"/>
  <c r="U5" i="26"/>
  <c r="Y182" i="12"/>
  <c r="T5" i="26"/>
  <c r="X182" i="12"/>
  <c r="S5" i="26"/>
  <c r="W182" i="12"/>
  <c r="S10" i="26" s="1"/>
  <c r="R5" i="26"/>
  <c r="V182" i="12"/>
  <c r="Q5" i="26"/>
  <c r="U182" i="12"/>
  <c r="P5" i="26"/>
  <c r="T182" i="12"/>
  <c r="P10" i="26" s="1"/>
  <c r="O5" i="26"/>
  <c r="S182" i="12"/>
  <c r="O10" i="26" s="1"/>
  <c r="N5" i="26"/>
  <c r="R182" i="12"/>
  <c r="N10" i="26" s="1"/>
  <c r="M5" i="26"/>
  <c r="Q182" i="12"/>
  <c r="M10" i="26" s="1"/>
  <c r="AB5" i="26"/>
  <c r="AF182" i="12"/>
  <c r="AB10" i="26" s="1"/>
  <c r="I5" i="26"/>
  <c r="M182" i="12"/>
  <c r="H5" i="26"/>
  <c r="L182" i="12"/>
  <c r="G5" i="26"/>
  <c r="K182" i="12"/>
  <c r="F5" i="26"/>
  <c r="J182" i="12"/>
  <c r="F10" i="26" s="1"/>
  <c r="E5" i="26"/>
  <c r="I182" i="12"/>
  <c r="D5" i="26"/>
  <c r="H182" i="12"/>
  <c r="D10" i="26" s="1"/>
  <c r="C5" i="26"/>
  <c r="G182" i="12"/>
  <c r="C10" i="26" s="1"/>
  <c r="L5" i="26"/>
  <c r="P182" i="12"/>
  <c r="L10" i="26" s="1"/>
  <c r="K5" i="26"/>
  <c r="O182" i="12"/>
  <c r="K10" i="26" s="1"/>
  <c r="J5" i="26"/>
  <c r="N182" i="12"/>
  <c r="B5" i="26"/>
  <c r="F5" i="32" s="1"/>
  <c r="F182" i="12"/>
  <c r="R223" i="12" l="1"/>
  <c r="R224" i="12" s="1"/>
  <c r="G223" i="12"/>
  <c r="G224" i="12" s="1"/>
  <c r="M223" i="12"/>
  <c r="M224" i="12" s="1"/>
  <c r="P223" i="12"/>
  <c r="P224" i="12" s="1"/>
  <c r="O223" i="12"/>
  <c r="O224" i="12" s="1"/>
  <c r="J223" i="12"/>
  <c r="J224" i="12" s="1"/>
  <c r="AE223" i="12"/>
  <c r="AE224" i="12" s="1"/>
  <c r="H223" i="12"/>
  <c r="H224" i="12" s="1"/>
  <c r="U223" i="12"/>
  <c r="U224" i="12" s="1"/>
  <c r="B2" i="27"/>
  <c r="G2" i="32" s="1"/>
  <c r="F223" i="12"/>
  <c r="F224" i="12" s="1"/>
  <c r="E2" i="27"/>
  <c r="I223" i="12"/>
  <c r="I224" i="12" s="1"/>
  <c r="G2" i="27"/>
  <c r="K223" i="12"/>
  <c r="K224" i="12" s="1"/>
  <c r="H2" i="27"/>
  <c r="L223" i="12"/>
  <c r="L224" i="12" s="1"/>
  <c r="J2" i="27"/>
  <c r="N223" i="12"/>
  <c r="N224" i="12" s="1"/>
  <c r="M2" i="27"/>
  <c r="Q223" i="12"/>
  <c r="Q224" i="12" s="1"/>
  <c r="O2" i="27"/>
  <c r="S223" i="12"/>
  <c r="S224" i="12" s="1"/>
  <c r="P2" i="27"/>
  <c r="T223" i="12"/>
  <c r="T224" i="12" s="1"/>
  <c r="AB2" i="27"/>
  <c r="AF223" i="12"/>
  <c r="AF224" i="12" s="1"/>
  <c r="N10" i="27"/>
  <c r="R235" i="12"/>
  <c r="R236" i="12" s="1"/>
  <c r="P10" i="27"/>
  <c r="T235" i="12"/>
  <c r="T236" i="12" s="1"/>
  <c r="M10" i="27"/>
  <c r="Q235" i="12"/>
  <c r="Q236" i="12" s="1"/>
  <c r="L10" i="27"/>
  <c r="P235" i="12"/>
  <c r="P236" i="12" s="1"/>
  <c r="D10" i="27"/>
  <c r="H235" i="12"/>
  <c r="H236" i="12" s="1"/>
  <c r="AB10" i="27"/>
  <c r="AF235" i="12"/>
  <c r="AF236" i="12" s="1"/>
  <c r="AA10" i="26"/>
  <c r="AE235" i="12"/>
  <c r="AE236" i="12" s="1"/>
  <c r="Z10" i="26"/>
  <c r="AD235" i="12"/>
  <c r="AD236" i="12" s="1"/>
  <c r="Y10" i="26"/>
  <c r="AC235" i="12"/>
  <c r="AC236" i="12" s="1"/>
  <c r="X10" i="26"/>
  <c r="AB235" i="12"/>
  <c r="AB236" i="12" s="1"/>
  <c r="W10" i="26"/>
  <c r="AA235" i="12"/>
  <c r="AA236" i="12" s="1"/>
  <c r="V10" i="26"/>
  <c r="Z235" i="12"/>
  <c r="Z236" i="12" s="1"/>
  <c r="U10" i="26"/>
  <c r="Y235" i="12"/>
  <c r="Y236" i="12" s="1"/>
  <c r="T10" i="26"/>
  <c r="X235" i="12"/>
  <c r="X236" i="12" s="1"/>
  <c r="R10" i="26"/>
  <c r="V235" i="12"/>
  <c r="V236" i="12" s="1"/>
  <c r="Q10" i="26"/>
  <c r="U235" i="12"/>
  <c r="U236" i="12" s="1"/>
  <c r="I10" i="26"/>
  <c r="M235" i="12"/>
  <c r="M236" i="12" s="1"/>
  <c r="H10" i="26"/>
  <c r="L235" i="12"/>
  <c r="L236" i="12" s="1"/>
  <c r="G10" i="26"/>
  <c r="K235" i="12"/>
  <c r="K236" i="12" s="1"/>
  <c r="E10" i="26"/>
  <c r="I235" i="12"/>
  <c r="I236" i="12" s="1"/>
  <c r="J10" i="26"/>
  <c r="N235" i="12"/>
  <c r="N236" i="12" s="1"/>
  <c r="B10" i="26"/>
  <c r="F10" i="32" s="1"/>
  <c r="F235" i="12"/>
  <c r="F236" i="12" s="1"/>
  <c r="R2" i="27"/>
  <c r="V223" i="12"/>
  <c r="V224" i="12" s="1"/>
  <c r="T2" i="27"/>
  <c r="X223" i="12"/>
  <c r="X224" i="12" s="1"/>
  <c r="V2" i="27"/>
  <c r="Z223" i="12"/>
  <c r="Z224" i="12" s="1"/>
  <c r="X2" i="27"/>
  <c r="AB223" i="12"/>
  <c r="AB224" i="12" s="1"/>
  <c r="Y2" i="27"/>
  <c r="AC223" i="12"/>
  <c r="AC224" i="12" s="1"/>
  <c r="S2" i="27"/>
  <c r="W223" i="12"/>
  <c r="W224" i="12" s="1"/>
  <c r="U2" i="27"/>
  <c r="Y223" i="12"/>
  <c r="Y224" i="12" s="1"/>
  <c r="W2" i="27"/>
  <c r="AA223" i="12"/>
  <c r="AA224" i="12" s="1"/>
  <c r="Z2" i="27"/>
  <c r="AD223" i="12"/>
  <c r="AD224" i="12" s="1"/>
  <c r="O10" i="27"/>
  <c r="S235" i="12"/>
  <c r="S236" i="12" s="1"/>
  <c r="K10" i="27"/>
  <c r="O235" i="12"/>
  <c r="O236" i="12" s="1"/>
  <c r="F10" i="27"/>
  <c r="J235" i="12"/>
  <c r="J236" i="12" s="1"/>
  <c r="C10" i="27"/>
  <c r="G235" i="12"/>
  <c r="G236" i="12" s="1"/>
  <c r="S10" i="27"/>
  <c r="W235" i="12"/>
  <c r="W236" i="12" s="1"/>
</calcChain>
</file>

<file path=xl/sharedStrings.xml><?xml version="1.0" encoding="utf-8"?>
<sst xmlns="http://schemas.openxmlformats.org/spreadsheetml/2006/main" count="3188" uniqueCount="1285">
  <si>
    <t>electrnp.d021826a</t>
  </si>
  <si>
    <t>Report</t>
  </si>
  <si>
    <t>Annual Energy Outlook 2026</t>
  </si>
  <si>
    <t>Scenario</t>
  </si>
  <si>
    <t>electrnp</t>
  </si>
  <si>
    <t>Alternative Electricity and Transportation</t>
  </si>
  <si>
    <t>Datekey</t>
  </si>
  <si>
    <t>d021826a</t>
  </si>
  <si>
    <t>Release Date</t>
  </si>
  <si>
    <t>April 2026</t>
  </si>
  <si>
    <t>5. Commercial Sector Key Indicators and Consumption</t>
  </si>
  <si>
    <t>(quadrillion Btu, unless otherwise noted)</t>
  </si>
  <si>
    <t>Avg Annual Change</t>
  </si>
  <si>
    <t xml:space="preserve"> Key Indicators and Consumption</t>
  </si>
  <si>
    <t>2025-2050</t>
  </si>
  <si>
    <t>Key Indicators</t>
  </si>
  <si>
    <t xml:space="preserve"> Total Floorspace (billion square feet) 1/</t>
  </si>
  <si>
    <t>CKI000:da_Surviving</t>
  </si>
  <si>
    <t xml:space="preserve">   Surviving</t>
  </si>
  <si>
    <t>CKI000:da_NewAdditions</t>
  </si>
  <si>
    <t xml:space="preserve">   New Additions</t>
  </si>
  <si>
    <t>CKI000:da_Total</t>
  </si>
  <si>
    <t xml:space="preserve">     Total</t>
  </si>
  <si>
    <t xml:space="preserve"> Energy Consumption Intensity</t>
  </si>
  <si>
    <t xml:space="preserve"> (thousand Btu per square foot)</t>
  </si>
  <si>
    <t>CKI000:ea_DeliveredEner</t>
  </si>
  <si>
    <t xml:space="preserve">   Gross End-use Consumption  2/</t>
  </si>
  <si>
    <t>CKI000:ea_ElectricityRe</t>
  </si>
  <si>
    <t xml:space="preserve">   Delivered Energy Consumption</t>
  </si>
  <si>
    <t>Energy Consumption by Fuel</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</si>
  <si>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</si>
  <si>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</si>
  <si>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</si>
  <si>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</si>
  <si>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</si>
  <si>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</si>
  <si>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</si>
  <si>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</si>
  <si>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</si>
  <si>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</si>
  <si>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 xml:space="preserve">   Cooking</t>
  </si>
  <si>
    <t>CKI000:ga_Lighting</t>
  </si>
  <si>
    <t xml:space="preserve">   Lighting</t>
  </si>
  <si>
    <t>CKI000:ga_Refrigeration</t>
  </si>
  <si>
    <t xml:space="preserve">   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</si>
  <si>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</si>
  <si>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</si>
  <si>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</si>
  <si>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</si>
  <si>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</si>
  <si>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</si>
  <si>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</si>
  <si>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 xml:space="preserve">     Gross End-use Electricity Consumption</t>
  </si>
  <si>
    <t>CKI000:ha_PurchElecEVCha</t>
  </si>
  <si>
    <t xml:space="preserve">   Purchased Electricity for Electric Vehicle Charging 7/</t>
  </si>
  <si>
    <t>CKI000:ha_OwnGeneration</t>
  </si>
  <si>
    <t xml:space="preserve">   On-site Generation for Own Use</t>
  </si>
  <si>
    <t>CKI000:ha_PurchasedElec</t>
  </si>
  <si>
    <t xml:space="preserve">     Purchased Electricity at Commercial Location 8/</t>
  </si>
  <si>
    <t xml:space="preserve"> Natural Gas</t>
  </si>
  <si>
    <t>CKI000:ia_SpaceHeating</t>
  </si>
  <si>
    <t>CKI000:ia_SpaceCooling</t>
  </si>
  <si>
    <t xml:space="preserve">   Space Cooling 3/</t>
  </si>
  <si>
    <t>CKI000:ia_WaterHeating</t>
  </si>
  <si>
    <t>CKI000:ia_Cooking</t>
  </si>
  <si>
    <t>CKI000:ia_OtherUses</t>
  </si>
  <si>
    <t xml:space="preserve">   Other Uses 9/</t>
  </si>
  <si>
    <t>CKI000:ia_DeliveredEner</t>
  </si>
  <si>
    <t xml:space="preserve">     Delivered Energy</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</si>
  <si>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</si>
  <si>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</si>
  <si>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</si>
  <si>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</si>
  <si>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</si>
  <si>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</si>
  <si>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</si>
  <si>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</si>
  <si>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</si>
  <si>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</si>
  <si>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</si>
  <si>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</si>
  <si>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</si>
  <si>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</si>
  <si>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</si>
  <si>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</si>
  <si>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</si>
  <si>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</si>
  <si>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</si>
  <si>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</si>
  <si>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</si>
  <si>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</si>
  <si>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</si>
  <si>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</si>
  <si>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</si>
  <si>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 xml:space="preserve"> Purchased Electricity for Electric Vehicle Charging 7/</t>
  </si>
  <si>
    <t>CKI000:ma_OwnGeneration</t>
  </si>
  <si>
    <t xml:space="preserve"> On-site Generation for Own Use</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</si>
  <si>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</si>
  <si>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</si>
  <si>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</si>
  <si>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</si>
  <si>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</si>
  <si>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</si>
  <si>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</si>
  <si>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</si>
  <si>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</si>
  <si>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</si>
  <si>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</si>
  <si>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</si>
  <si>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</si>
  <si>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</si>
  <si>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</si>
  <si>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</si>
  <si>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</si>
  <si>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</si>
  <si>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</si>
  <si>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</si>
  <si>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Total Energy 8/</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</si>
  <si>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</si>
  <si>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</si>
  <si>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</si>
  <si>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</si>
  <si>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</si>
  <si>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</si>
  <si>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</si>
  <si>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</si>
  <si>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 xml:space="preserve">    Total</t>
  </si>
  <si>
    <t>Heating Degree Days</t>
  </si>
  <si>
    <t>CKI000:hdd_NewEngland</t>
  </si>
  <si>
    <t xml:space="preserve">   New England</t>
  </si>
  <si>
    <t>CKI000:hdd_MiddleAtlant</t>
  </si>
  <si>
    <t xml:space="preserve">   Middle Atlantic</t>
  </si>
  <si>
    <t>CKI000:hdd_EastNorthCen</t>
  </si>
  <si>
    <t xml:space="preserve">   East North Central</t>
  </si>
  <si>
    <t>CKI000:hdd_WestNorthCen</t>
  </si>
  <si>
    <t xml:space="preserve">   West North Central</t>
  </si>
  <si>
    <t>CKI000:hdd_SouthAtlantc</t>
  </si>
  <si>
    <t xml:space="preserve">   South Atlantic</t>
  </si>
  <si>
    <t>CKI000:hdd_EastSouthCen</t>
  </si>
  <si>
    <t xml:space="preserve">   East South Central</t>
  </si>
  <si>
    <t>CKI000:hdd_WestSouthCen</t>
  </si>
  <si>
    <t xml:space="preserve">   West South Central</t>
  </si>
  <si>
    <t>CKI000:hdd_Mountain</t>
  </si>
  <si>
    <t xml:space="preserve">   Mountain</t>
  </si>
  <si>
    <t>CKI000:hdd_Pacific</t>
  </si>
  <si>
    <t xml:space="preserve">   Pacific</t>
  </si>
  <si>
    <t>CKI000:hdd_UnitedStates</t>
  </si>
  <si>
    <t xml:space="preserve">      United States</t>
  </si>
  <si>
    <t>Cooling Degree Days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</si>
  <si>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</si>
  <si>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</si>
  <si>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</si>
  <si>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</si>
  <si>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</si>
  <si>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</si>
  <si>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</si>
  <si>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</si>
  <si>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</si>
  <si>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</si>
  <si>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</si>
  <si>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</si>
  <si>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</si>
  <si>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</si>
  <si>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</si>
  <si>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</si>
  <si>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</si>
  <si>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including purchased electricity and on-site generation for own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</si>
  <si>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</si>
  <si>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</si>
  <si>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</si>
  <si>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</si>
  <si>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</si>
  <si>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</si>
  <si>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</si>
  <si>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</si>
  <si>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</si>
  <si>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</si>
  <si>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8/ Equal to gross end-use consumption plus purchased electricity for electric vehicle charging less on-site generation for own use.</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</si>
  <si>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</si>
  <si>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</si>
  <si>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</si>
  <si>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</si>
  <si>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</si>
  <si>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</si>
  <si>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</si>
  <si>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</si>
  <si>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</si>
  <si>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</si>
  <si>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</si>
  <si>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Btu = British thermal unit</t>
  </si>
  <si>
    <t>-- = Not applicable</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</si>
  <si>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</si>
  <si>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</si>
  <si>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</si>
  <si>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</si>
  <si>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</si>
  <si>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</si>
  <si>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</si>
  <si>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</si>
  <si>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</si>
  <si>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</si>
  <si>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</si>
  <si>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</si>
  <si>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</si>
  <si>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</si>
  <si>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</si>
  <si>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</si>
  <si>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</si>
  <si>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</si>
  <si>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</si>
  <si>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</si>
  <si>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</si>
  <si>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</si>
  <si>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</si>
  <si>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</si>
  <si>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</si>
  <si>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</si>
  <si>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</si>
  <si>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</si>
  <si>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</si>
  <si>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</si>
  <si>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</si>
  <si>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</si>
  <si>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</si>
  <si>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</si>
  <si>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</si>
  <si>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</si>
  <si>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</si>
  <si>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</si>
  <si>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</si>
  <si>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</si>
  <si>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</si>
  <si>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</si>
  <si>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</si>
  <si>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</si>
  <si>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</si>
  <si>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</si>
  <si>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Data center load is captured in a separate EPS file bldgs/BDCL. We therefore estimate data center load in AEO and remove it from the totals in this file.</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</si>
  <si>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</si>
  <si>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</si>
  <si>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</si>
  <si>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</si>
  <si>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</si>
  <si>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</si>
  <si>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</si>
  <si>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</si>
  <si>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</si>
  <si>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</si>
  <si>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</si>
  <si>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</si>
  <si>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</si>
  <si>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</si>
  <si>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</si>
  <si>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</si>
  <si>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</si>
  <si>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</si>
  <si>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</si>
  <si>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</si>
  <si>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</si>
  <si>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</si>
  <si>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</si>
  <si>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</si>
  <si>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</si>
  <si>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</si>
  <si>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</si>
  <si>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</si>
  <si>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</si>
  <si>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</si>
  <si>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</si>
  <si>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</si>
  <si>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</si>
  <si>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</si>
  <si>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</si>
  <si>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</si>
  <si>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</si>
  <si>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</si>
  <si>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</si>
  <si>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</si>
  <si>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</si>
  <si>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</si>
  <si>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</si>
  <si>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</si>
  <si>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</si>
  <si>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</si>
  <si>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</si>
  <si>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</si>
  <si>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</si>
  <si>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</si>
  <si>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</si>
  <si>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</si>
  <si>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</si>
  <si>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</si>
  <si>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</si>
  <si>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</si>
  <si>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</si>
  <si>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</si>
  <si>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</si>
  <si>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</si>
  <si>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</si>
  <si>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</si>
  <si>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</si>
  <si>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</si>
  <si>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</si>
  <si>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</si>
  <si>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</si>
  <si>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</si>
  <si>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</si>
  <si>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</si>
  <si>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</si>
  <si>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</si>
  <si>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</si>
  <si>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</si>
  <si>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</si>
  <si>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</si>
  <si>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</si>
  <si>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</si>
  <si>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</si>
  <si>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</si>
  <si>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</si>
  <si>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</si>
  <si>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</si>
  <si>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</si>
  <si>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</si>
  <si>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</si>
  <si>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</si>
  <si>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</si>
  <si>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</si>
  <si>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</si>
  <si>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</si>
  <si>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</si>
  <si>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</si>
  <si>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</si>
  <si>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</si>
  <si>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</si>
  <si>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</si>
  <si>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</si>
  <si>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</si>
  <si>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</si>
  <si>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</si>
  <si>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</si>
  <si>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</si>
  <si>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</si>
  <si>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</si>
  <si>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</si>
  <si>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</si>
  <si>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</si>
  <si>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</si>
  <si>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</si>
  <si>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</si>
  <si>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</si>
  <si>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</si>
  <si>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</si>
  <si>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</si>
  <si>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</si>
  <si>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</si>
  <si>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</si>
  <si>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</si>
  <si>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</si>
  <si>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</si>
  <si>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</si>
  <si>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</si>
  <si>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</si>
  <si>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</si>
  <si>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</si>
  <si>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</si>
  <si>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</si>
  <si>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</si>
  <si>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</si>
  <si>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</si>
  <si>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</si>
  <si>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</si>
  <si>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</si>
  <si>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</si>
  <si>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</si>
  <si>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</si>
  <si>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</si>
  <si>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</si>
  <si>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</si>
  <si>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</si>
  <si>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</si>
  <si>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</si>
  <si>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</si>
  <si>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</si>
  <si>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</si>
  <si>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</si>
  <si>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</si>
  <si>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</si>
  <si>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</si>
  <si>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</si>
  <si>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</si>
  <si>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</si>
  <si>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</si>
  <si>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</si>
  <si>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</si>
  <si>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</si>
  <si>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</si>
  <si>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</si>
  <si>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</si>
  <si>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</si>
  <si>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</si>
  <si>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</si>
  <si>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</si>
  <si>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</si>
  <si>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</si>
  <si>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</si>
  <si>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</si>
  <si>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</si>
  <si>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</si>
  <si>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</si>
  <si>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</si>
  <si>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</si>
  <si>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</si>
  <si>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</si>
  <si>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</si>
  <si>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</si>
  <si>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</si>
  <si>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</si>
  <si>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</si>
  <si>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</si>
  <si>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</si>
  <si>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</si>
  <si>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</si>
  <si>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</si>
  <si>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</si>
  <si>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</si>
  <si>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</si>
  <si>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</si>
  <si>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</si>
  <si>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</si>
  <si>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</si>
  <si>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</si>
  <si>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</si>
  <si>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</si>
  <si>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</si>
  <si>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</si>
  <si>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</si>
  <si>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</si>
  <si>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</si>
  <si>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</si>
  <si>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</si>
  <si>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</si>
  <si>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</si>
  <si>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</si>
  <si>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Space Heating</t>
  </si>
  <si>
    <t>Residential: Electricity: Space Heating: High Zero-Carbon Technology Cost</t>
  </si>
  <si>
    <t>AEO.2025.HIGHZTC.CNSM_HHD_RESD_SPH_ELC_NA_USA_QBTU.A</t>
  </si>
  <si>
    <t>quads</t>
  </si>
  <si>
    <t>Space Cooling</t>
  </si>
  <si>
    <t>Residential: Electricity: Space Cooling: High Zero-Carbon Technology Cost</t>
  </si>
  <si>
    <t>AEO.2025.HIGHZTC.CNSM_NA_RESD_SPC_ELC_NA_USA_QBTU.A</t>
  </si>
  <si>
    <t>Water Heating</t>
  </si>
  <si>
    <t>Residential: Electricity: Water Heating: High Zero-Carbon Technology Cost</t>
  </si>
  <si>
    <t>AEO.2025.HIGHZTC.CNSM_NA_RESD_WTHT_ELC_NA_USA_QBTU.A</t>
  </si>
  <si>
    <t>Refrigeration</t>
  </si>
  <si>
    <t>Residential: Electricity: Refrigeration: High Zero-Carbon Technology Cost</t>
  </si>
  <si>
    <t>AEO.2025.HIGHZTC.CNSM_NA_RESD_REFR_ELC_NA_USA_QBTU.A</t>
  </si>
  <si>
    <t>Cooking</t>
  </si>
  <si>
    <t>Residential: Electricity: Cooking: High Zero-Carbon Technology Cost</t>
  </si>
  <si>
    <t>AEO.2025.HIGHZTC.CNSM_NA_RESD_CGR_ELC_NA_USA_QBTU.A</t>
  </si>
  <si>
    <t>Clothes Dryers</t>
  </si>
  <si>
    <t>Residential: Electricity: Clothes Dryers: High Zero-Carbon Technology Cost</t>
  </si>
  <si>
    <t>AEO.2025.HIGHZTC.CNSM_NA_RESD_CDR_ELC_NA_USA_QBTU.A</t>
  </si>
  <si>
    <t>Freezers</t>
  </si>
  <si>
    <t>Residential: Electricity: Freezers: High Zero-Carbon Technology Cost</t>
  </si>
  <si>
    <t>AEO.2025.HIGHZTC.CNSM_NA_RESD_FRZ_ELC_NA_USA_QBTU.A</t>
  </si>
  <si>
    <t>Lighting</t>
  </si>
  <si>
    <t>Residential: Electricity: Lighting: High Zero-Carbon Technology Cost</t>
  </si>
  <si>
    <t>AEO.2025.HIGHZTC.CNSM_NA_RESD_LGHTNG_ELC_NA_USA_QBTU.A</t>
  </si>
  <si>
    <t>Clothes Washers</t>
  </si>
  <si>
    <t>Residential: Electricity: Clothes Washers: High Zero-Carbon Technology Cost</t>
  </si>
  <si>
    <t>AEO.2025.HIGHZTC.CNSM_NA_RESD_CLW_ELC_NA_USA_QBTU.A</t>
  </si>
  <si>
    <t>Dishwashers</t>
  </si>
  <si>
    <t>Residential: Electricity: Dishwashers: High Zero-Carbon Technology Cost</t>
  </si>
  <si>
    <t>AEO.2025.HIGHZTC.CNSM_NA_RESD_DSW_ELC_NA_USA_QBTU.A</t>
  </si>
  <si>
    <t>Televisions and Related Equipment</t>
  </si>
  <si>
    <t>Residential: Electricity: Televisions: High Zero-Carbon Technology Cost</t>
  </si>
  <si>
    <t>AEO.2025.HIGHZTC.CNSM_NA_RESD_TVR_ELC_NA_USA_QBTU.A</t>
  </si>
  <si>
    <t>Computers and Related Equipment</t>
  </si>
  <si>
    <t>Residential: Electricity: Computers: High Zero-Carbon Technology Cost</t>
  </si>
  <si>
    <t>AEO.2025.HIGHZTC.CNSM_NA_RESD_CMPR_ELC_NA_USA_QBTU.A</t>
  </si>
  <si>
    <t>Furnace Fans and Boiler Circulation Pumps</t>
  </si>
  <si>
    <t>Residential: Electricity: Fans and Pumps: High Zero-Carbon Technology Cost</t>
  </si>
  <si>
    <t>AEO.2025.HIGHZTC.CNSM_NA_RESD_FPR_ELC_NA_USA_QBTU.A</t>
  </si>
  <si>
    <t>Other Uses</t>
  </si>
  <si>
    <t>Residential: Electricity: Other Uses: High Zero-Carbon Technology Cost</t>
  </si>
  <si>
    <t>AEO.2025.HIGHZTC.CNSM_NA_RESD_OTHU_ELC_NA_USA_QBTU.A</t>
  </si>
  <si>
    <t>Gross End-use Electricity Consumption</t>
  </si>
  <si>
    <t>Residential: Electricity: Gross End-use Electricity Consumption: High Zero-Carbon Technology Cost</t>
  </si>
  <si>
    <t>AEO.2025.HIGHZTC.CNSM_NA_RESD_DELE_ELC_NA_USA_QBTU.A</t>
  </si>
  <si>
    <t>Purchased Electricity for Electric Vehicle Charging</t>
  </si>
  <si>
    <t>Residential: Electricity: Purchased Electricity for EV Charging: High Zero-Carbon Technology Cost</t>
  </si>
  <si>
    <t>AEO.2025.HIGHZTC.CNSM_NA_RESD_EVCHRING_ELC_NA_USA_QBTU.A</t>
  </si>
  <si>
    <t>On-site Generation for Own Use</t>
  </si>
  <si>
    <t>Residential: Electricity: Generation for Own Use: High Zero-Carbon Technology Cost</t>
  </si>
  <si>
    <t>AEO.2025.HIGHZTC.GEN_NA_RESD_GFO_ELC_NA_USA_QBTU.A</t>
  </si>
  <si>
    <t>Purchased Electricity at Residential Location</t>
  </si>
  <si>
    <t>Residential: Electricity: Purchased Electricity at Residential Location: High Zero-Carbon Technology Cost</t>
  </si>
  <si>
    <t>AEO.2025.HIGHZTC.CNSM_NA_RESD_PURCHELEC_ELC_NA_USA_QBTU.A</t>
  </si>
  <si>
    <t>Natural Gas</t>
  </si>
  <si>
    <t>Residential: Natural Gas: Space Heating: High Zero-Carbon Technology Cost</t>
  </si>
  <si>
    <t>AEO.2025.HIGHZTC.CNSM_NA_RESD_SPH_NG_NA_USA_QBTU.A</t>
  </si>
  <si>
    <t>Residential: Natural Gas: Space Cooling: High Zero-Carbon Technology Cost</t>
  </si>
  <si>
    <t>AEO.2025.HIGHZTC.CNSM_NA_RESD_SPC_NG_NA_USA_QBTU.A</t>
  </si>
  <si>
    <t>Residential: Natural Gas: Water Heating: High Zero-Carbon Technology Cost</t>
  </si>
  <si>
    <t>AEO.2025.HIGHZTC.CNSM_NA_RESD_WTHT_NG_NA_USA_QBTU.A</t>
  </si>
  <si>
    <t>Residential: Natural Gas: Cooking: High Zero-Carbon Technology Cost</t>
  </si>
  <si>
    <t>AEO.2025.HIGHZTC.CNSM_NA_RESD_CGR_NG_NA_USA_QBTU.A</t>
  </si>
  <si>
    <t>Residential: Natural Gas: Clothes Dryers: High Zero-Carbon Technology Cost</t>
  </si>
  <si>
    <t>AEO.2025.HIGHZTC.CNSM_NA_RESD_CDR_NG_NA_USA_QBTU.A</t>
  </si>
  <si>
    <t>Residential: Natural Gas: Other Uses: High Zero-Carbon Technology Cost</t>
  </si>
  <si>
    <t>AEO.2025.HIGHZTC.CNSM_NA_RESD_OTHU_NG_NA_USA_QBTU.A</t>
  </si>
  <si>
    <t>Delivered Energy</t>
  </si>
  <si>
    <t>Residential: Natural Gas: Delivered Energy: High Zero-Carbon Technology Cost</t>
  </si>
  <si>
    <t>AEO.2025.HIGHZTC.CNSM_NA_RESD_DELE_NG_NA_USA_QBTU.A</t>
  </si>
  <si>
    <t>Distillate Fuel Oil</t>
  </si>
  <si>
    <t>Residential: Distillate Fuel Oil: Space Heating: High Zero-Carbon Technology Cost</t>
  </si>
  <si>
    <t>AEO.2025.HIGHZTC.CNSM_NA_RESD_SPH_DFO_NA_USA_QBTU.A</t>
  </si>
  <si>
    <t>Residential: Distillate Fuel Oil: Water Heating: High Zero-Carbon Technology Cost</t>
  </si>
  <si>
    <t>AEO.2025.HIGHZTC.CNSM_NA_RESD_WTHT_DFO_NA_USA_QBTU.A</t>
  </si>
  <si>
    <t>Residential: Distillate Fuel Oil: Other Uses: High Zero-Carbon Technology Cost</t>
  </si>
  <si>
    <t>AEO.2025.HIGHZTC.CNSM_NA_RESD_OTHU_DFO_NA_USA_QBTU.A</t>
  </si>
  <si>
    <t>Residential: Distillate Fuel Oil: Delivered Energy: High Zero-Carbon Technology Cost</t>
  </si>
  <si>
    <t>AEO.2025.HIGHZTC.CNSM_NA_RESD_NA_DFO_NA_USA_QBTU.A</t>
  </si>
  <si>
    <t>Residential: Propane: Space Heating: High Zero-Carbon Technology Cost</t>
  </si>
  <si>
    <t>AEO.2025.HIGHZTC.CNSM_NA_RESD_SPH_PROP_NA_USA_QBTU.A</t>
  </si>
  <si>
    <t>Residential: Propane: Water Heating: High Zero-Carbon Technology Cost</t>
  </si>
  <si>
    <t>AEO.2025.HIGHZTC.CNSM_NA_RESD_WTHT_PROP_NA_USA_QBTU.A</t>
  </si>
  <si>
    <t>Residential: Propane: Cooking: High Zero-Carbon Technology Cost</t>
  </si>
  <si>
    <t>AEO.2025.HIGHZTC.CNSM_NA_RESD_CGR_PROP_NA_USA_QBTU.A</t>
  </si>
  <si>
    <t>Residential: Propane: Other Uses: High Zero-Carbon Technology Cost</t>
  </si>
  <si>
    <t>AEO.2025.HIGHZTC.CNSM_NA_RESD_OTHU_PROP_NA_USA_QBTU.A</t>
  </si>
  <si>
    <t>Residential: Propane: Delivered Energy: High Zero-Carbon Technology Cost</t>
  </si>
  <si>
    <t>AEO.2025.HIGHZTC.CNSM_NA_RESD_DELE_PROP_NA_USA_QBTU.A</t>
  </si>
  <si>
    <t>Marketed Renewables (wood)</t>
  </si>
  <si>
    <t>Residential: Marketed Renewables (wood): High Zero-Carbon Technology Cost</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</si>
  <si>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</si>
  <si>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</si>
  <si>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</si>
  <si>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</si>
  <si>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</si>
  <si>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</si>
  <si>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</si>
  <si>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</si>
  <si>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</si>
  <si>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</si>
  <si>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</si>
  <si>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</si>
  <si>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</si>
  <si>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</si>
  <si>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</si>
  <si>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</si>
  <si>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</si>
  <si>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</si>
  <si>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</si>
  <si>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</si>
  <si>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</si>
  <si>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</si>
  <si>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</si>
  <si>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</si>
  <si>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</si>
  <si>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</si>
  <si>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</si>
  <si>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</si>
  <si>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</si>
  <si>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</si>
  <si>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</si>
  <si>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</si>
  <si>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</si>
  <si>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</si>
  <si>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</si>
  <si>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</si>
  <si>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</si>
  <si>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</si>
  <si>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</si>
  <si>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</si>
  <si>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</si>
  <si>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</si>
  <si>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</si>
  <si>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</si>
  <si>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</si>
  <si>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</si>
  <si>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</si>
  <si>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</si>
  <si>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</si>
  <si>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</si>
  <si>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</si>
  <si>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</si>
  <si>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</si>
  <si>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</si>
  <si>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</si>
  <si>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</si>
  <si>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</si>
  <si>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</si>
  <si>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</si>
  <si>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</si>
  <si>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</si>
  <si>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</si>
  <si>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</si>
  <si>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</si>
  <si>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</si>
  <si>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</si>
  <si>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</si>
  <si>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</si>
  <si>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</si>
  <si>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</si>
  <si>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</si>
  <si>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</si>
  <si>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</si>
  <si>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</si>
  <si>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</si>
  <si>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</si>
  <si>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</si>
  <si>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</si>
  <si>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</si>
  <si>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</si>
  <si>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</si>
  <si>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</si>
  <si>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</si>
  <si>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</si>
  <si>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</si>
  <si>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</si>
  <si>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</si>
  <si>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</si>
  <si>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</si>
  <si>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</si>
  <si>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</si>
  <si>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</si>
  <si>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</si>
  <si>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</si>
  <si>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</si>
  <si>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</si>
  <si>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</si>
  <si>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</si>
  <si>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</si>
  <si>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</si>
  <si>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</si>
  <si>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</si>
  <si>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</si>
  <si>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</si>
  <si>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</si>
  <si>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</si>
  <si>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</si>
  <si>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</si>
  <si>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</si>
  <si>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</si>
  <si>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</si>
  <si>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</si>
  <si>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</si>
  <si>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</si>
  <si>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</si>
  <si>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</si>
  <si>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</si>
  <si>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</si>
  <si>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</si>
  <si>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</si>
  <si>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</si>
  <si>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</si>
  <si>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</si>
  <si>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</si>
  <si>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</si>
  <si>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</si>
  <si>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</si>
  <si>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</si>
  <si>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</si>
  <si>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</si>
  <si>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</si>
  <si>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</si>
  <si>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</si>
  <si>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</si>
  <si>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</si>
  <si>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</si>
  <si>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</si>
  <si>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</si>
  <si>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</si>
  <si>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</si>
  <si>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</si>
  <si>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</si>
  <si>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</si>
  <si>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</si>
  <si>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</si>
  <si>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</si>
  <si>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</si>
  <si>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</si>
  <si>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</si>
  <si>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</si>
  <si>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</si>
  <si>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</si>
  <si>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</si>
  <si>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Commercial: Purchased Electricity: Space Heating: High Zero-Carbon Technology Cost</t>
  </si>
  <si>
    <t>AEO.2025.HIGHZTC.CNSM_NA_COMM_NA_PRC_SPH_USA_QBTU.A</t>
  </si>
  <si>
    <t>Space Cooling 3/</t>
  </si>
  <si>
    <t>Commercial: Purchased Electricity: Space Cooling: High Zero-Carbon Technology Cost</t>
  </si>
  <si>
    <t>AEO.2025.HIGHZTC.CNSM_NA_COMM_NA_PRC_SPC_USA_QBTU.A</t>
  </si>
  <si>
    <t>Commercial: Purchased Electricity: Water Heating: High Zero-Carbon Technology Cost</t>
  </si>
  <si>
    <t>AEO.2025.HIGHZTC.CNSM_NA_COMM_NA_PRC_WTHT_USA_QBTU.A</t>
  </si>
  <si>
    <t>Ventilation</t>
  </si>
  <si>
    <t>Commercial: Purchased Electricity: Ventilation: High Zero-Carbon Technology Cost</t>
  </si>
  <si>
    <t>AEO.2025.HIGHZTC.CNSM_NA_COMM_NA_PRC_VNTC_USA_QBTU.A</t>
  </si>
  <si>
    <t>Commercial: Purchased Electricity: Cooking: High Zero-Carbon Technology Cost</t>
  </si>
  <si>
    <t>AEO.2025.HIGHZTC.CNSM_NA_COMM_NA_PRC_CGR_USA_QBTU.A</t>
  </si>
  <si>
    <t>Commercial: Purchased Electricity: Lighting: High Zero-Carbon Technology Cost</t>
  </si>
  <si>
    <t>AEO.2025.HIGHZTC.CNSM_NA_COMM_NA_PRC_LGHTNG_USA_QBTU.A</t>
  </si>
  <si>
    <t>Commercial: Purchased Electricity: Refrigeration: High Zero-Carbon Technology Cost</t>
  </si>
  <si>
    <t>AEO.2025.HIGHZTC.CNSM_NA_COMM_NA_PRC_REFR_USA_QBTU.A</t>
  </si>
  <si>
    <t>Computing</t>
  </si>
  <si>
    <t>Commercial: Purchased Electricity: Computing: High Zero-Carbon Technology Cost</t>
  </si>
  <si>
    <t>AEO.2025.HIGHZTC.CNSM_NA_COMM_NA_PRC_OTHEQPPC_USA_QBTU.A</t>
  </si>
  <si>
    <t>Office Equipment</t>
  </si>
  <si>
    <t>Commercial: Purchased Electricity: Office Equipment: High Zero-Carbon Technology Cost</t>
  </si>
  <si>
    <t>AEO.2025.HIGHZTC.CNSM_NA_COMM_NA_PRC_OTHEQPNPC_USA_QBTU.A</t>
  </si>
  <si>
    <t>Commercial: Purchased Electricity: Other Uses: High Zero-Carbon Technology Cost</t>
  </si>
  <si>
    <t>AEO.2025.HIGHZTC.CNSM_NA_COMM_NA_PRC_OTHU_USA_QBTU.A</t>
  </si>
  <si>
    <t>Commercial: Energy Consumption by Fuel: Electricity Subtotal: High Zero-Carbon Technology Cost</t>
  </si>
  <si>
    <t>AEO.2025.HIGHZTC.CNSM_NA_COMM_NA_PRC_DELE_USA_QBTU.A</t>
  </si>
  <si>
    <t>Commercial: Energy Consumption by Fuel: Purchased Electricity for EV Charging: High Zero-Carbon Technology Cost</t>
  </si>
  <si>
    <t>AEO.2025.HIGHZTC.GEN_NA_COMM_NA_PRC_EVCHA_USA_QBTU.A</t>
  </si>
  <si>
    <t>Commercial: Energy Consumption by Fuel: Generation for Own Use: High Zero-Carbon Technology Cost</t>
  </si>
  <si>
    <t>AEO.2025.HIGHZTC.GEN_NA_COMM_NA_GFO_ELC_USA_QBTU.A</t>
  </si>
  <si>
    <t>Purchased Electricity at Commercial Location</t>
  </si>
  <si>
    <t>Commercial: Energy Consumption by Fuel: Purchased Electricity: High Zero-Carbon Technology Cost</t>
  </si>
  <si>
    <t>AEO.2025.HIGHZTC.CNSM_NA_COMM_NA_DELE_ELC_USA_QBTU.A</t>
  </si>
  <si>
    <t>Commercial: Natural Gas: Space Heating: High Zero-Carbon Technology Cost</t>
  </si>
  <si>
    <t>AEO.2025.HIGHZTC.CNSM_NA_COMM_NA_NG_SPH_USA_QBTU.A</t>
  </si>
  <si>
    <t>Commercial: Natural Gas: Space Cooling: High Zero-Carbon Technology Cost</t>
  </si>
  <si>
    <t>AEO.2025.HIGHZTC.CNSM_NA_COMM_NA_NG_SPC_USA_QBTU.A</t>
  </si>
  <si>
    <t>Commercial: Natural Gas: Water Heating: High Zero-Carbon Technology Cost</t>
  </si>
  <si>
    <t>AEO.2025.HIGHZTC.CNSM_NA_COMM_NA_NG_WTHT_USA_QBTU.A</t>
  </si>
  <si>
    <t>Commercial: Natural Gas: Cooking: High Zero-Carbon Technology Cost</t>
  </si>
  <si>
    <t>AEO.2025.HIGHZTC.CNSM_NA_COMM_NA_NG_CGR_USA_QBTU.A</t>
  </si>
  <si>
    <t>Commercial: Natural Gas: Other Uses: High Zero-Carbon Technology Cost</t>
  </si>
  <si>
    <t>AEO.2025.HIGHZTC.CNSM_NA_COMM_NA_NG_OTHU_USA_QBTU.A</t>
  </si>
  <si>
    <t>Commercial: Natural Gas: Delivered Energy: High Zero-Carbon Technology Cost</t>
  </si>
  <si>
    <t>AEO.2025.HIGHZTC.CNSM_NA_COMM_NA_NG_DELE_USA_QBTU.A</t>
  </si>
  <si>
    <t>Commercial: Distillate Fuel Oil: Space Heating: High Zero-Carbon Technology Cost</t>
  </si>
  <si>
    <t>AEO.2025.HIGHZTC.CNSM_NA_COMM_NA_DFO_SPH_USA_QBTU.A</t>
  </si>
  <si>
    <t>Commercial: Distillate Fuel Oil: Water Heating: High Zero-Carbon Technology Cost</t>
  </si>
  <si>
    <t>AEO.2025.HIGHZTC.CNSM_NA_COMM_NA_DFO_WTHT_USA_QBTU.A</t>
  </si>
  <si>
    <t>Commercial: Distillate Fuel Oil: Other Uses: High Zero-Carbon Technology Cost</t>
  </si>
  <si>
    <t>AEO.2025.HIGHZTC.CNSM_NA_COMM_NA_DFO_OTHU_USA_QBTU.A</t>
  </si>
  <si>
    <t>Commercial: Distillate Fuel Oil: Delivered Energy: High Zero-Carbon Technology Cost</t>
  </si>
  <si>
    <t>AEO.2025.HIGHZTC.CNSM_NA_COMM_NA_DFO_DELE_USA_QBTU.A</t>
  </si>
  <si>
    <t>Marketed Renewables (biomass)</t>
  </si>
  <si>
    <t>Commercial: Marketed Renewables (biomass): High Zero-Carbon Technology Cost</t>
  </si>
  <si>
    <t>AEO.2025.HIGHZTC.CNSM_NA_COMM_NA_BMS_NA_USA_QBTU.A</t>
  </si>
  <si>
    <t>Other Fuels</t>
  </si>
  <si>
    <t>Commercial: Other Fuels: High Zero-Carbon Technology Cost</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</si>
  <si>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</si>
  <si>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</si>
  <si>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</si>
  <si>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</si>
  <si>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</si>
  <si>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</si>
  <si>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</si>
  <si>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</si>
  <si>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</si>
  <si>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</si>
  <si>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</si>
  <si>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</si>
  <si>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</si>
  <si>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</si>
  <si>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</si>
  <si>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</si>
  <si>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</si>
  <si>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</si>
  <si>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</si>
  <si>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</si>
  <si>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</si>
  <si>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</si>
  <si>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</si>
  <si>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</si>
  <si>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</si>
  <si>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</si>
  <si>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</si>
  <si>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</si>
  <si>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</si>
  <si>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</si>
  <si>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</si>
  <si>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</si>
  <si>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</si>
  <si>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</si>
  <si>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</si>
  <si>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</si>
  <si>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</si>
  <si>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</si>
  <si>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</si>
  <si>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</si>
  <si>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</si>
  <si>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</si>
  <si>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</si>
  <si>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</si>
  <si>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</si>
  <si>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</si>
  <si>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</si>
  <si>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</si>
  <si>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</si>
  <si>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</si>
  <si>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</si>
  <si>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</si>
  <si>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</si>
  <si>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</si>
  <si>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</si>
  <si>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</si>
  <si>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</si>
  <si>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</si>
  <si>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</si>
  <si>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</si>
  <si>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</si>
  <si>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</si>
  <si>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</si>
  <si>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</si>
  <si>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</si>
  <si>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</si>
  <si>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</si>
  <si>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</si>
  <si>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</si>
  <si>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</si>
  <si>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</si>
  <si>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</si>
  <si>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</si>
  <si>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</si>
  <si>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</si>
  <si>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</si>
  <si>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</si>
  <si>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</si>
  <si>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</si>
  <si>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</si>
  <si>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</si>
  <si>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</si>
  <si>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</si>
  <si>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</si>
  <si>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</si>
  <si>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</si>
  <si>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</si>
  <si>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</si>
  <si>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</si>
  <si>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</si>
  <si>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</si>
  <si>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</si>
  <si>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</si>
  <si>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</si>
  <si>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</si>
  <si>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</si>
  <si>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</si>
  <si>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</si>
  <si>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</si>
  <si>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</si>
  <si>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</si>
  <si>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</si>
  <si>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</si>
  <si>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</si>
  <si>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</si>
  <si>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</si>
  <si>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</si>
  <si>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</si>
  <si>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</si>
  <si>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</si>
  <si>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</si>
  <si>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</si>
  <si>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</si>
  <si>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</si>
  <si>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</si>
  <si>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</si>
  <si>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</si>
  <si>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</si>
  <si>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</si>
  <si>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</si>
  <si>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</si>
  <si>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</si>
  <si>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</si>
  <si>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</si>
  <si>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</si>
  <si>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</si>
  <si>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</si>
  <si>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</si>
  <si>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</si>
  <si>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</si>
  <si>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</si>
  <si>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</si>
  <si>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</si>
  <si>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</si>
  <si>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</si>
  <si>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</si>
  <si>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</si>
  <si>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</si>
  <si>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</si>
  <si>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</si>
  <si>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</si>
  <si>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</si>
  <si>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</si>
  <si>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</si>
  <si>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</si>
  <si>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</si>
  <si>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</si>
  <si>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</si>
  <si>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</si>
  <si>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</si>
  <si>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</si>
  <si>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</si>
  <si>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</si>
  <si>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</si>
  <si>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</si>
  <si>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</si>
  <si>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</si>
  <si>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</si>
  <si>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</si>
  <si>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</si>
  <si>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</si>
  <si>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</si>
  <si>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</si>
  <si>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</si>
  <si>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</si>
  <si>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</si>
  <si>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</si>
  <si>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</si>
  <si>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</si>
  <si>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</si>
  <si>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</si>
  <si>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</si>
  <si>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</si>
  <si>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</si>
  <si>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</si>
  <si>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</si>
  <si>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</si>
  <si>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</si>
  <si>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</si>
  <si>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</si>
  <si>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</si>
  <si>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</si>
  <si>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</si>
  <si>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</si>
  <si>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</si>
  <si>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</si>
  <si>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</si>
  <si>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</si>
  <si>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</si>
  <si>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</si>
  <si>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</si>
  <si>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</si>
  <si>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</si>
  <si>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</si>
  <si>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</si>
  <si>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</si>
  <si>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</si>
  <si>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</si>
  <si>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</si>
  <si>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</si>
  <si>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</si>
  <si>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</si>
  <si>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</si>
  <si>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</si>
  <si>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</si>
  <si>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</si>
  <si>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</si>
  <si>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</si>
  <si>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</si>
  <si>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</si>
  <si>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</si>
  <si>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</si>
  <si>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</si>
  <si>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</si>
  <si>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</si>
  <si>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</si>
  <si>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</si>
  <si>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</si>
  <si>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</si>
  <si>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</si>
  <si>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</si>
  <si>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</si>
  <si>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</si>
  <si>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</si>
  <si>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</si>
  <si>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</si>
  <si>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</si>
  <si>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</si>
  <si>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</si>
  <si>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</si>
  <si>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</si>
  <si>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</si>
  <si>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</si>
  <si>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</si>
  <si>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</si>
  <si>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</si>
  <si>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</si>
  <si>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</si>
  <si>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</si>
  <si>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</si>
  <si>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</si>
  <si>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</si>
  <si>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</si>
  <si>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</si>
  <si>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</si>
  <si>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</si>
  <si>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</si>
  <si>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</si>
  <si>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</si>
  <si>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</si>
  <si>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</si>
  <si>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</si>
  <si>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</si>
  <si>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</si>
  <si>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</si>
  <si>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</si>
  <si>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</si>
  <si>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</si>
  <si>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</si>
  <si>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</si>
  <si>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</si>
  <si>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</si>
  <si>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</si>
  <si>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</si>
  <si>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</si>
  <si>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</si>
  <si>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</si>
  <si>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</si>
  <si>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</si>
  <si>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</si>
  <si>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</si>
  <si>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</si>
  <si>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</si>
  <si>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</si>
  <si>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 in data center categories</t>
  </si>
  <si>
    <t>Difference between 2024 computed demand and historical (see bldgs/BDCL)</t>
  </si>
  <si>
    <t>Annual Data Center Load</t>
  </si>
  <si>
    <t>Load to Remove from Cooling</t>
  </si>
  <si>
    <t>Load to Remove from Other Uses</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</si>
  <si>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</si>
  <si>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</si>
  <si>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</si>
  <si>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</si>
  <si>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</si>
  <si>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</si>
  <si>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</si>
  <si>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</si>
  <si>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</si>
  <si>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</si>
  <si>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</si>
  <si>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</si>
  <si>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</si>
  <si>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</si>
  <si>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</si>
  <si>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</si>
  <si>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Variables</t>
  </si>
  <si>
    <t>Combined Code</t>
  </si>
  <si>
    <t>EPS-end use</t>
  </si>
  <si>
    <t>EPS-fuel</t>
  </si>
  <si>
    <t>AEO Table 4</t>
  </si>
  <si>
    <t>residential</t>
  </si>
  <si>
    <t>heating</t>
  </si>
  <si>
    <t>electricity (BTU)</t>
  </si>
  <si>
    <t>cooling</t>
  </si>
  <si>
    <t>appliances</t>
  </si>
  <si>
    <t>lighting</t>
  </si>
  <si>
    <t>other</t>
  </si>
  <si>
    <t>total</t>
  </si>
  <si>
    <t>NA</t>
  </si>
  <si>
    <t>natural gas (BTU)</t>
  </si>
  <si>
    <t>petroleum diesel (BTU)</t>
  </si>
  <si>
    <t>LPG propane or butane (BTU)</t>
  </si>
  <si>
    <t>biomass (BTU)</t>
  </si>
  <si>
    <t>AEO Table 5</t>
  </si>
  <si>
    <t>commercial</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</si>
  <si>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</si>
  <si>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</si>
  <si>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</si>
  <si>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</si>
  <si>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</si>
  <si>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</si>
  <si>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</si>
  <si>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</si>
  <si>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</si>
  <si>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</si>
  <si>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</si>
  <si>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</si>
  <si>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</si>
  <si>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</si>
  <si>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</si>
  <si>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</si>
  <si>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</si>
  <si>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</si>
  <si>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</si>
  <si>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</si>
  <si>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</si>
  <si>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</si>
  <si>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</si>
  <si>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</si>
  <si>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</si>
  <si>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</si>
  <si>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</si>
  <si>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</si>
  <si>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</si>
  <si>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4. Residential Sector Key Indicators and Consumption</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</si>
  <si>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</si>
  <si>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</si>
  <si>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</si>
  <si>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</si>
  <si>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</si>
  <si>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</si>
  <si>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</si>
  <si>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</si>
  <si>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</si>
  <si>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</si>
  <si>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</si>
  <si>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</si>
  <si>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</si>
  <si>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</si>
  <si>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</si>
  <si>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RKI000:ea_DeliveredEner</t>
  </si>
  <si>
    <t>RKI000:ea_TotalEnergyCo</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</si>
  <si>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</si>
  <si>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</si>
  <si>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</si>
  <si>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</si>
  <si>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</si>
  <si>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</si>
  <si>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</si>
  <si>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</si>
  <si>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RKI000:fa_Cooking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</si>
  <si>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</si>
  <si>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</si>
  <si>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</si>
  <si>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</si>
  <si>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</si>
  <si>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</si>
  <si>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</si>
  <si>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</si>
  <si>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</si>
  <si>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</si>
  <si>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</si>
  <si>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</si>
  <si>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</si>
  <si>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</si>
  <si>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</si>
  <si>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</si>
  <si>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</si>
  <si>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</si>
  <si>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</si>
  <si>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RKI000:fa_PurchElecEVCha</t>
  </si>
  <si>
    <t>RKI000:fa_OwnGeneration</t>
  </si>
  <si>
    <t>RKI000:fa_PurchasedElec</t>
  </si>
  <si>
    <t xml:space="preserve">     Purchased Electricity at Residential Location 8/</t>
  </si>
  <si>
    <t>RKI000:ga_SpaceHeating</t>
  </si>
  <si>
    <t>RKI000:ga_SpaceCooling</t>
  </si>
  <si>
    <t>RKI000:ga_WaterHeating</t>
  </si>
  <si>
    <t>RKI000:ga_Cooking</t>
  </si>
  <si>
    <t>RKI000:ga_ClothesDryers</t>
  </si>
  <si>
    <t>RKI000:ga_OtherNatGas</t>
  </si>
  <si>
    <t>RKI000:ga_DeliveredEner</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</si>
  <si>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</si>
  <si>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</si>
  <si>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</si>
  <si>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</si>
  <si>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</si>
  <si>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</si>
  <si>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</si>
  <si>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</si>
  <si>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</si>
  <si>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</si>
  <si>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</si>
  <si>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</si>
  <si>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</si>
  <si>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</si>
  <si>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</si>
  <si>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</si>
  <si>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</si>
  <si>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</si>
  <si>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</si>
  <si>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</si>
  <si>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</si>
  <si>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</si>
  <si>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</si>
  <si>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</si>
  <si>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</si>
  <si>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</si>
  <si>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</si>
  <si>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</si>
  <si>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</si>
  <si>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</si>
  <si>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</si>
  <si>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</si>
  <si>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</si>
  <si>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</si>
  <si>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</si>
  <si>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</si>
  <si>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</si>
  <si>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</si>
  <si>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</si>
  <si>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</si>
  <si>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</si>
  <si>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</si>
  <si>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</si>
  <si>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</si>
  <si>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</si>
  <si>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</si>
  <si>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</si>
  <si>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RKI000:ka_OwnGeneration</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</si>
  <si>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</si>
  <si>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</si>
  <si>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</si>
  <si>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</si>
  <si>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</si>
  <si>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</si>
  <si>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</si>
  <si>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</si>
  <si>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</si>
  <si>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</si>
  <si>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</si>
  <si>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</si>
  <si>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</si>
  <si>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</si>
  <si>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</si>
  <si>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</si>
  <si>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</si>
  <si>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</si>
  <si>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</si>
  <si>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</si>
  <si>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</si>
  <si>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</si>
  <si>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</si>
  <si>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</si>
  <si>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</si>
  <si>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</si>
  <si>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</si>
  <si>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</si>
  <si>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</si>
  <si>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</si>
  <si>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</si>
  <si>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</si>
  <si>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</si>
  <si>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</si>
  <si>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</si>
  <si>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</si>
  <si>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</si>
  <si>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</si>
  <si>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</si>
  <si>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</si>
  <si>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</si>
  <si>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</si>
  <si>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</si>
  <si>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</si>
  <si>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</si>
  <si>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</si>
  <si>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</si>
  <si>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</si>
  <si>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</si>
  <si>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</si>
  <si>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</si>
  <si>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</si>
  <si>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1/ Unless otherwise specified, energy consumption by end use includes all electricity consumed for that end use, </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</si>
  <si>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</si>
  <si>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</si>
  <si>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</si>
  <si>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</si>
  <si>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</si>
  <si>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</si>
  <si>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</si>
  <si>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</si>
  <si>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</si>
  <si>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</si>
  <si>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</si>
  <si>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</si>
  <si>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</si>
  <si>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</si>
  <si>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</si>
  <si>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</si>
  <si>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</si>
  <si>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</si>
  <si>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</si>
  <si>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</si>
  <si>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kWH = kilowatthour</t>
  </si>
  <si>
    <t>Alternative electricity and transportation: Table 4</t>
  </si>
  <si>
    <t>Alternative electricity and transportation: Table 5</t>
  </si>
  <si>
    <t>Year-2023</t>
  </si>
  <si>
    <t>cooling &amp; ventilation</t>
  </si>
  <si>
    <t>envelope</t>
  </si>
  <si>
    <t>Start-year energy use at data centers</t>
  </si>
  <si>
    <t>Data centers are a separate building type whose energy use comes from the data center load scenarios (BDCL). The start year (2024) is the same in all three scenarios. Values below are copied from InputData/bldgs/BDCL/BDCL-mid.csv, 2024 column, and converted from MWh to BTU.</t>
  </si>
  <si>
    <t>Item</t>
  </si>
  <si>
    <t>Value</t>
  </si>
  <si>
    <t>Facility load (cooling, ventilation, power distribution), 2024, MWh</t>
  </si>
  <si>
    <t>IT load, 2024, MWh</t>
  </si>
  <si>
    <t>BTU per MWh (one over the model constant 'MWh per BTU', 2.931e-07)</t>
  </si>
  <si>
    <t>Facility load, BTU</t>
  </si>
  <si>
    <t>IT load, BTU</t>
  </si>
  <si>
    <t>Data centers</t>
  </si>
  <si>
    <t>Data centers are a separate building type. Their start-year energy use comes from the data center load scenarios (see the 'Data Centers' tab), split into facility load (cooling and ventilation) and IT load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</si>
</sst>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E+00"/>
    <numFmt numFmtId="165" formatCode="0.0%"/>
    <numFmt numFmtId="166" formatCode="_(* #,##0_);_(* \(#,##0\);_(* &quot;-&quot;??_);_(@_)"/>
    <numFmt numFmtId="167" formatCode="0.0"/>
    <numFmt numFmtId="168" formatCode="#,##0.0"/>
  </numFmts>
  <fonts count="2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38">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xf numFmtId="9" fontId="9" fillId="0" borderId="0" applyFont="0" applyFill="0" applyBorder="0" applyAlignment="0" applyProtection="0"/>
  </cellStyleXfs>
  <cellXfs count="89">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1" fontId="0" fillId="0" borderId="0" xfId="0" applyNumberFormat="1"/>
    <xf numFmtId="0" fontId="0" fillId="5" borderId="0" xfId="0" applyFill="1"/>
    <xf numFmtId="0" fontId="1" fillId="0" borderId="0" xfId="0" applyFont="1" applyAlignment="1">
      <alignment wrapText="1"/>
    </xf>
    <xf numFmtId="0" fontId="20" fillId="0" borderId="0" xfId="36" applyFont="1"/>
    <xf numFmtId="0" fontId="19" fillId="0" borderId="0" xfId="36"/>
    <xf numFmtId="3" fontId="21" fillId="0" borderId="0" xfId="0" applyNumberFormat="1" applyFont="1"/>
    <xf numFmtId="3" fontId="22" fillId="0" borderId="0" xfId="0" applyNumberFormat="1" applyFont="1"/>
    <xf numFmtId="4" fontId="21" fillId="0" borderId="0" xfId="0" applyNumberFormat="1" applyFont="1"/>
    <xf numFmtId="4" fontId="22" fillId="0" borderId="0" xfId="0" applyNumberFormat="1" applyFont="1"/>
    <xf numFmtId="1" fontId="23" fillId="0" borderId="0" xfId="0" applyNumberFormat="1" applyFont="1"/>
    <xf numFmtId="4" fontId="23" fillId="0" borderId="0" xfId="0" applyNumberFormat="1" applyFont="1"/>
    <xf numFmtId="3" fontId="23" fillId="0" borderId="0" xfId="0" applyNumberFormat="1" applyFont="1"/>
    <xf numFmtId="168" fontId="22" fillId="0" borderId="0" xfId="0" applyNumberFormat="1" applyFont="1"/>
    <xf numFmtId="0" fontId="0" fillId="0" borderId="5" xfId="0" applyBorder="1"/>
    <xf numFmtId="168" fontId="23" fillId="0" borderId="0" xfId="0" applyNumberFormat="1" applyFont="1"/>
    <xf numFmtId="0" fontId="21" fillId="0" borderId="0" xfId="0" applyFont="1"/>
    <xf numFmtId="0" fontId="22" fillId="0" borderId="0" xfId="0" applyFont="1"/>
    <xf numFmtId="0" fontId="23" fillId="0" borderId="0" xfId="0" applyFont="1"/>
    <xf numFmtId="0" fontId="1" fillId="0" borderId="0" xfId="0" applyFont="1" applyAlignment="1">
      <alignment horizontal="right"/>
    </xf>
    <xf numFmtId="9" fontId="0" fillId="0" borderId="0" xfId="37" applyFont="1"/>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xf numFmtId="0" fontId="0" fillId="0" borderId="0" xfId="0" applyAlignment="1">
      <alignment wrapText="1"/>
    </xf>
    <xf numFmtId="0" fontId="0" fillId="0" borderId="0" xfId="0" applyAlignment="1">
      <alignment horizontal="left" vertical="top" wrapText="1"/>
    </xf>
  </cellXfs>
  <cellStyles count="38">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Percent 2" xfId="37" xr:uid="{ECCB6BA1-939E-4FD5-967A-68ECB3586C79}"/>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17">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mahajan/Documents/eps-us/InputData/bldgs/BCEU/BAU%20Components%20Energy%20Use.xlsx" TargetMode="External"/><Relationship Id="rId2" Type="http://schemas.openxmlformats.org/officeDocument/2006/relationships/externalLinkPath" Target="file:///C:\Users\mmahajan\Documents\eps-us\InputData\bldgs\BCEU\BAU%20Components%20Energy%20Use.xlsx" TargetMode="External"/><Relationship Id="rId1" Type="http://schemas.openxmlformats.org/officeDocument/2006/relationships/externalLinkPath" Target="/Users/mmahajan/Documents/eps-us/InputData/bldgs/BCEU/BAU%20Components%20Energy%20U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22 Table 4"/>
      <sheetName val="AEO23 Table 4"/>
      <sheetName val="AEO22 Table 5"/>
      <sheetName val="AEO23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2021</v>
          </cell>
        </row>
      </sheetData>
      <sheetData sheetId="2">
        <row r="1">
          <cell r="C1">
            <v>2022</v>
          </cell>
        </row>
      </sheetData>
      <sheetData sheetId="3">
        <row r="1">
          <cell r="C1">
            <v>2021</v>
          </cell>
        </row>
      </sheetData>
      <sheetData sheetId="4">
        <row r="1">
          <cell r="C1">
            <v>2022</v>
          </cell>
        </row>
      </sheetData>
      <sheetData sheetId="5">
        <row r="9">
          <cell r="F9">
            <v>336352809191520</v>
          </cell>
        </row>
      </sheetData>
      <sheetData sheetId="6">
        <row r="10">
          <cell r="D10">
            <v>0.63892242256425869</v>
          </cell>
        </row>
      </sheetData>
      <sheetData sheetId="7"/>
      <sheetData sheetId="8"/>
      <sheetData sheetId="9">
        <row r="142">
          <cell r="T142">
            <v>395097968936789.25</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0"/>
  <sheetViews>
    <sheetView workbookViewId="0">
      <selection activeCell="B16" sqref="B16"/>
    </sheetView>
  </sheetViews>
  <sheetFormatPr defaultRowHeight="15" x14ac:dyDescent="0.25"/>
  <cols>
    <col min="1" max="1" width="12.42578125" customWidth="1"/>
    <col min="2" max="2" width="61.42578125" customWidth="1"/>
    <col min="3" max="3" width="19.28515625" customWidth="1"/>
  </cols>
  <sheetData>
    <row r="1" spans="1:2" x14ac:dyDescent="0.25">
      <c r="A1" s="1" t="s">
        <v>191</v>
      </c>
    </row>
    <row r="3" spans="1:2" x14ac:dyDescent="0.25">
      <c r="A3" s="1" t="s">
        <v>192</v>
      </c>
      <c r="B3" s="2" t="s">
        <v>193</v>
      </c>
    </row>
    <row r="4" spans="1:2" x14ac:dyDescent="0.25">
      <c r="B4" t="s">
        <v>194</v>
      </c>
    </row>
    <row r="5" spans="1:2" x14ac:dyDescent="0.25">
      <c r="B5" s="4">
        <v>2026</v>
      </c>
    </row>
    <row r="6" spans="1:2" x14ac:dyDescent="0.25">
      <c r="B6" t="s">
        <v>2</v>
      </c>
    </row>
    <row r="7" spans="1:2" x14ac:dyDescent="0.25">
      <c r="B7" t="s">
        <v>1269</v>
      </c>
    </row>
    <row r="8" spans="1:2" x14ac:dyDescent="0.25">
      <c r="B8" t="s">
        <v>195</v>
      </c>
    </row>
    <row r="11" spans="1:2" x14ac:dyDescent="0.25">
      <c r="B11" s="2" t="s">
        <v>196</v>
      </c>
    </row>
    <row r="12" spans="1:2" x14ac:dyDescent="0.25">
      <c r="B12" t="s">
        <v>194</v>
      </c>
    </row>
    <row r="13" spans="1:2" x14ac:dyDescent="0.25">
      <c r="B13" s="4">
        <v>2026</v>
      </c>
    </row>
    <row r="14" spans="1:2" x14ac:dyDescent="0.25">
      <c r="B14" t="s">
        <v>2</v>
      </c>
    </row>
    <row r="15" spans="1:2" x14ac:dyDescent="0.25">
      <c r="B15" t="s">
        <v>1270</v>
      </c>
    </row>
    <row r="16" spans="1:2" x14ac:dyDescent="0.25">
      <c r="B16" t="s">
        <v>195</v>
      </c>
    </row>
    <row r="19" spans="2:2" x14ac:dyDescent="0.25">
      <c r="B19" s="2" t="s">
        <v>197</v>
      </c>
    </row>
    <row r="20" spans="2:2" x14ac:dyDescent="0.25">
      <c r="B20" t="s">
        <v>198</v>
      </c>
    </row>
    <row r="21" spans="2:2" x14ac:dyDescent="0.25">
      <c r="B21" s="4">
        <v>2020</v>
      </c>
    </row>
    <row r="22" spans="2:2" x14ac:dyDescent="0.25">
      <c r="B22" t="s">
        <v>199</v>
      </c>
    </row>
    <row r="23" spans="2:2" x14ac:dyDescent="0.25">
      <c r="B23" s="5" t="s">
        <v>200</v>
      </c>
    </row>
    <row r="24" spans="2:2" x14ac:dyDescent="0.25">
      <c r="B24" s="5" t="s">
        <v>201</v>
      </c>
    </row>
    <row r="25" spans="2:2" x14ac:dyDescent="0.25">
      <c r="B25" t="s">
        <v>202</v>
      </c>
    </row>
    <row r="27" spans="2:2" x14ac:dyDescent="0.25">
      <c r="B27" s="2" t="s">
        <v>203</v>
      </c>
    </row>
    <row r="28" spans="2:2" x14ac:dyDescent="0.25">
      <c r="B28" t="s">
        <v>204</v>
      </c>
    </row>
    <row r="29" spans="2:2" x14ac:dyDescent="0.25">
      <c r="B29" s="4">
        <v>2026</v>
      </c>
    </row>
    <row r="30" spans="2:2" x14ac:dyDescent="0.25">
      <c r="B30" s="4" t="s">
        <v>205</v>
      </c>
    </row>
    <row r="31" spans="2:2" x14ac:dyDescent="0.25">
      <c r="B31" s="4" t="s">
        <v>206</v>
      </c>
    </row>
    <row r="32" spans="2:2" x14ac:dyDescent="0.25">
      <c r="B32" s="4" t="s">
        <v>207</v>
      </c>
    </row>
    <row r="34" spans="1:1" x14ac:dyDescent="0.25">
      <c r="A34" s="1" t="s">
        <v>208</v>
      </c>
    </row>
    <row r="35" spans="1:1" x14ac:dyDescent="0.25">
      <c r="A35" s="1"/>
    </row>
    <row r="36" spans="1:1" x14ac:dyDescent="0.25">
      <c r="A36" s="1" t="s">
        <v>209</v>
      </c>
    </row>
    <row r="37" spans="1:1" x14ac:dyDescent="0.25">
      <c r="A37" t="s">
        <v>210</v>
      </c>
    </row>
    <row r="38" spans="1:1" x14ac:dyDescent="0.25">
      <c r="A38" t="s">
        <v>211</v>
      </c>
    </row>
    <row r="39" spans="1:1" x14ac:dyDescent="0.25">
      <c r="A39" t="s">
        <v>212</v>
      </c>
    </row>
    <row r="41" spans="1:1" x14ac:dyDescent="0.25">
      <c r="A41" t="s">
        <v>213</v>
      </c>
    </row>
    <row r="42" spans="1:1" x14ac:dyDescent="0.25">
      <c r="A42" t="s">
        <v>214</v>
      </c>
    </row>
    <row r="43" spans="1:1" x14ac:dyDescent="0.25">
      <c r="A43" t="s">
        <v>215</v>
      </c>
    </row>
    <row r="44" spans="1:1" x14ac:dyDescent="0.25">
      <c r="A44" t="s">
        <v>216</v>
      </c>
    </row>
    <row r="46" spans="1:1" x14ac:dyDescent="0.25">
      <c r="A46" s="1" t="s">
        <v>217</v>
      </c>
    </row>
    <row r="47" spans="1:1" x14ac:dyDescent="0.25">
      <c r="A47" t="s">
        <v>218</v>
      </c>
    </row>
    <row r="48" spans="1:1" x14ac:dyDescent="0.25">
      <c r="A48" t="s">
        <v>219</v>
      </c>
    </row>
    <row r="49" spans="1:3" x14ac:dyDescent="0.25">
      <c r="A49" t="s">
        <v>220</v>
      </c>
    </row>
    <row r="50" spans="1:3" x14ac:dyDescent="0.25">
      <c r="A50" t="s">
        <v>221</v>
      </c>
    </row>
    <row r="51" spans="1:3" x14ac:dyDescent="0.25">
      <c r="B51" t="s">
        <v>222</v>
      </c>
    </row>
    <row r="52" spans="1:3" x14ac:dyDescent="0.25">
      <c r="B52" t="s">
        <v>223</v>
      </c>
    </row>
    <row r="53" spans="1:3" x14ac:dyDescent="0.25">
      <c r="B53" t="s">
        <v>224</v>
      </c>
      <c r="C53" s="3">
        <v>0.04</v>
      </c>
    </row>
    <row r="54" spans="1:3" x14ac:dyDescent="0.25">
      <c r="B54" t="s">
        <v>225</v>
      </c>
    </row>
    <row r="56" spans="1:3" x14ac:dyDescent="0.25">
      <c r="A56" s="1" t="s">
        <v>226</v>
      </c>
    </row>
    <row r="57" spans="1:3" x14ac:dyDescent="0.25">
      <c r="A57" t="s">
        <v>227</v>
      </c>
    </row>
    <row r="58" spans="1:3" x14ac:dyDescent="0.25">
      <c r="A58" t="s">
        <v>228</v>
      </c>
    </row>
    <row r="59" spans="1:3" x14ac:dyDescent="0.25">
      <c r="A59" t="s">
        <v>229</v>
      </c>
    </row>
    <row r="60" spans="1:3" x14ac:dyDescent="0.25">
      <c r="A60" t="s">
        <v>230</v>
      </c>
    </row>
    <row r="61" spans="1:3" x14ac:dyDescent="0.25">
      <c r="A61" t="s">
        <v>231</v>
      </c>
    </row>
    <row r="62" spans="1:3" x14ac:dyDescent="0.25">
      <c r="A62" t="s">
        <v>232</v>
      </c>
    </row>
    <row r="64" spans="1:3" x14ac:dyDescent="0.25">
      <c r="A64" s="1" t="s">
        <v>233</v>
      </c>
    </row>
    <row r="66" spans="1:2" x14ac:dyDescent="0.25">
      <c r="A66" s="1" t="s">
        <v>234</v>
      </c>
    </row>
    <row r="67" spans="1:2" x14ac:dyDescent="0.25">
      <c r="A67" t="s">
        <v>235</v>
      </c>
    </row>
    <row r="69" spans="1:2" x14ac:dyDescent="0.25">
      <c r="A69" s="1" t="s">
        <v>236</v>
      </c>
    </row>
    <row r="70" spans="1:2" x14ac:dyDescent="0.25">
      <c r="A70" t="s">
        <v>237</v>
      </c>
    </row>
    <row r="72" spans="1:2" x14ac:dyDescent="0.25">
      <c r="A72" s="1" t="s">
        <v>238</v>
      </c>
    </row>
    <row r="73" spans="1:2" x14ac:dyDescent="0.25">
      <c r="A73" s="1" t="s">
        <v>239</v>
      </c>
    </row>
    <row r="74" spans="1:2" x14ac:dyDescent="0.25">
      <c r="A74" s="8">
        <f>'RECS HC2.1'!B24/SUM('RECS HC2.1'!B24,'RECS HC2.1'!B27)</f>
        <v>0.81308184246741677</v>
      </c>
      <c r="B74" t="s">
        <v>240</v>
      </c>
    </row>
    <row r="75" spans="1:2" x14ac:dyDescent="0.25">
      <c r="A75" s="8">
        <f>'RECS HC2.1'!B27/SUM('RECS HC2.1'!B24,'RECS HC2.1'!B27)</f>
        <v>0.18691815753258317</v>
      </c>
      <c r="B75" t="s">
        <v>241</v>
      </c>
    </row>
    <row r="77" spans="1:2" x14ac:dyDescent="0.25">
      <c r="A77" t="s">
        <v>242</v>
      </c>
      <c r="B77" s="11">
        <f>10^15</f>
        <v>1000000000000000</v>
      </c>
    </row>
    <row r="78" spans="1:2" x14ac:dyDescent="0.25">
      <c r="A78" t="s">
        <v>243</v>
      </c>
      <c r="B78">
        <v>293</v>
      </c>
    </row>
    <row r="80" spans="1:2" ht="60" x14ac:dyDescent="0.25">
      <c r="A80" s="1" t="s">
        <v>1283</v>
      </c>
      <c r="B80" s="88" t="s">
        <v>1284</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workbookViewId="0">
      <selection sqref="A1:B1"/>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86" t="s">
        <v>244</v>
      </c>
      <c r="B1" s="83"/>
    </row>
    <row r="2" spans="1:7" ht="24" customHeight="1" x14ac:dyDescent="0.25">
      <c r="A2" s="82" t="s">
        <v>245</v>
      </c>
      <c r="B2" s="83"/>
      <c r="C2" s="83"/>
      <c r="D2" s="83"/>
      <c r="E2" s="83"/>
      <c r="F2" s="83"/>
      <c r="G2" s="83"/>
    </row>
    <row r="3" spans="1:7" ht="24" customHeight="1" thickBot="1" x14ac:dyDescent="0.3">
      <c r="A3" s="24"/>
      <c r="B3" s="77" t="s">
        <v>246</v>
      </c>
      <c r="C3" s="78"/>
      <c r="D3" s="78"/>
      <c r="E3" s="78"/>
      <c r="F3" s="78"/>
      <c r="G3" s="78"/>
    </row>
    <row r="4" spans="1:7" ht="23.25" customHeight="1" thickTop="1" x14ac:dyDescent="0.25">
      <c r="A4" s="24"/>
      <c r="B4" s="25"/>
      <c r="C4" s="79" t="s">
        <v>247</v>
      </c>
      <c r="D4" s="80"/>
      <c r="E4" s="80"/>
      <c r="F4" s="80"/>
      <c r="G4" s="81"/>
    </row>
    <row r="5" spans="1:7" ht="46.5" customHeight="1" thickBot="1" x14ac:dyDescent="0.3">
      <c r="A5" s="26"/>
      <c r="B5" s="27" t="s">
        <v>248</v>
      </c>
      <c r="C5" s="27" t="s">
        <v>249</v>
      </c>
      <c r="D5" s="27" t="s">
        <v>250</v>
      </c>
      <c r="E5" s="27" t="s">
        <v>251</v>
      </c>
      <c r="F5" s="27" t="s">
        <v>252</v>
      </c>
      <c r="G5" s="27" t="s">
        <v>253</v>
      </c>
    </row>
    <row r="6" spans="1:7" ht="24" customHeight="1" thickTop="1" x14ac:dyDescent="0.25">
      <c r="A6" s="28" t="s">
        <v>254</v>
      </c>
      <c r="B6" s="29">
        <v>123.53</v>
      </c>
      <c r="C6" s="29">
        <v>77.069999999999993</v>
      </c>
      <c r="D6" s="29">
        <v>7.45</v>
      </c>
      <c r="E6" s="29">
        <v>9.34</v>
      </c>
      <c r="F6" s="29">
        <v>22.84</v>
      </c>
      <c r="G6" s="29">
        <v>6.83</v>
      </c>
    </row>
    <row r="7" spans="1:7" ht="24" customHeight="1" x14ac:dyDescent="0.25">
      <c r="A7" s="30" t="s">
        <v>255</v>
      </c>
      <c r="B7" s="31"/>
      <c r="C7" s="31"/>
      <c r="D7" s="31"/>
      <c r="E7" s="31"/>
      <c r="F7" s="31"/>
      <c r="G7" s="31"/>
    </row>
    <row r="8" spans="1:7" ht="15" customHeight="1" x14ac:dyDescent="0.25">
      <c r="A8" s="32" t="s">
        <v>256</v>
      </c>
      <c r="B8" s="33">
        <v>21.92</v>
      </c>
      <c r="C8" s="33">
        <v>11.23</v>
      </c>
      <c r="D8" s="33">
        <v>1.95</v>
      </c>
      <c r="E8" s="33">
        <v>3.15</v>
      </c>
      <c r="F8" s="33">
        <v>5.0999999999999996</v>
      </c>
      <c r="G8" s="33">
        <v>0.5</v>
      </c>
    </row>
    <row r="9" spans="1:7" x14ac:dyDescent="0.25">
      <c r="A9" s="34" t="s">
        <v>257</v>
      </c>
      <c r="B9" s="33">
        <v>5.88</v>
      </c>
      <c r="C9" s="33">
        <v>3.34</v>
      </c>
      <c r="D9" s="33">
        <v>0.3</v>
      </c>
      <c r="E9" s="33">
        <v>0.99</v>
      </c>
      <c r="F9" s="33">
        <v>1.1000000000000001</v>
      </c>
      <c r="G9" s="33">
        <v>0.14000000000000001</v>
      </c>
    </row>
    <row r="10" spans="1:7" x14ac:dyDescent="0.25">
      <c r="A10" s="34" t="s">
        <v>258</v>
      </c>
      <c r="B10" s="33">
        <v>16.04</v>
      </c>
      <c r="C10" s="33">
        <v>7.89</v>
      </c>
      <c r="D10" s="33">
        <v>1.65</v>
      </c>
      <c r="E10" s="33">
        <v>2.15</v>
      </c>
      <c r="F10" s="33">
        <v>3.99</v>
      </c>
      <c r="G10" s="33">
        <v>0.36</v>
      </c>
    </row>
    <row r="11" spans="1:7" x14ac:dyDescent="0.25">
      <c r="A11" s="32" t="s">
        <v>259</v>
      </c>
      <c r="B11" s="33">
        <v>27.04</v>
      </c>
      <c r="C11" s="33">
        <v>18.579999999999998</v>
      </c>
      <c r="D11" s="33">
        <v>1.33</v>
      </c>
      <c r="E11" s="33">
        <v>1.95</v>
      </c>
      <c r="F11" s="33">
        <v>4.2</v>
      </c>
      <c r="G11" s="33">
        <v>0.97</v>
      </c>
    </row>
    <row r="12" spans="1:7" x14ac:dyDescent="0.25">
      <c r="A12" s="34" t="s">
        <v>260</v>
      </c>
      <c r="B12" s="33">
        <v>18.55</v>
      </c>
      <c r="C12" s="33">
        <v>12.59</v>
      </c>
      <c r="D12" s="33">
        <v>0.91</v>
      </c>
      <c r="E12" s="33">
        <v>1.49</v>
      </c>
      <c r="F12" s="33">
        <v>2.94</v>
      </c>
      <c r="G12" s="33">
        <v>0.63</v>
      </c>
    </row>
    <row r="13" spans="1:7" ht="15" customHeight="1" x14ac:dyDescent="0.25">
      <c r="A13" s="34" t="s">
        <v>261</v>
      </c>
      <c r="B13" s="33">
        <v>8.5</v>
      </c>
      <c r="C13" s="33">
        <v>5.99</v>
      </c>
      <c r="D13" s="33">
        <v>0.43</v>
      </c>
      <c r="E13" s="33">
        <v>0.47</v>
      </c>
      <c r="F13" s="33">
        <v>1.26</v>
      </c>
      <c r="G13" s="33">
        <v>0.35</v>
      </c>
    </row>
    <row r="14" spans="1:7" x14ac:dyDescent="0.25">
      <c r="A14" s="32" t="s">
        <v>262</v>
      </c>
      <c r="B14" s="33">
        <v>46.84</v>
      </c>
      <c r="C14" s="33">
        <v>30.29</v>
      </c>
      <c r="D14" s="33">
        <v>2.48</v>
      </c>
      <c r="E14" s="33">
        <v>2.36</v>
      </c>
      <c r="F14" s="33">
        <v>7.83</v>
      </c>
      <c r="G14" s="33">
        <v>3.89</v>
      </c>
    </row>
    <row r="15" spans="1:7" x14ac:dyDescent="0.25">
      <c r="A15" s="34" t="s">
        <v>263</v>
      </c>
      <c r="B15" s="33">
        <v>24.84</v>
      </c>
      <c r="C15" s="33">
        <v>15.25</v>
      </c>
      <c r="D15" s="33">
        <v>1.92</v>
      </c>
      <c r="E15" s="33">
        <v>1.17</v>
      </c>
      <c r="F15" s="33">
        <v>4.51</v>
      </c>
      <c r="G15" s="33">
        <v>2</v>
      </c>
    </row>
    <row r="16" spans="1:7" x14ac:dyDescent="0.25">
      <c r="A16" s="34" t="s">
        <v>264</v>
      </c>
      <c r="B16" s="33">
        <v>7.38</v>
      </c>
      <c r="C16" s="33">
        <v>5.17</v>
      </c>
      <c r="D16" s="33">
        <v>0.19</v>
      </c>
      <c r="E16" s="33">
        <v>0.41</v>
      </c>
      <c r="F16" s="33">
        <v>0.84</v>
      </c>
      <c r="G16" s="33">
        <v>0.77</v>
      </c>
    </row>
    <row r="17" spans="1:7" ht="15" customHeight="1" x14ac:dyDescent="0.25">
      <c r="A17" s="34" t="s">
        <v>265</v>
      </c>
      <c r="B17" s="33">
        <v>14.62</v>
      </c>
      <c r="C17" s="33">
        <v>9.8699999999999992</v>
      </c>
      <c r="D17" s="33">
        <v>0.36</v>
      </c>
      <c r="E17" s="33">
        <v>0.78</v>
      </c>
      <c r="F17" s="33">
        <v>2.48</v>
      </c>
      <c r="G17" s="33">
        <v>1.1200000000000001</v>
      </c>
    </row>
    <row r="18" spans="1:7" x14ac:dyDescent="0.25">
      <c r="A18" s="32" t="s">
        <v>266</v>
      </c>
      <c r="B18" s="33">
        <v>27.72</v>
      </c>
      <c r="C18" s="33">
        <v>16.97</v>
      </c>
      <c r="D18" s="33">
        <v>1.69</v>
      </c>
      <c r="E18" s="33">
        <v>1.89</v>
      </c>
      <c r="F18" s="33">
        <v>5.7</v>
      </c>
      <c r="G18" s="33">
        <v>1.47</v>
      </c>
    </row>
    <row r="19" spans="1:7" x14ac:dyDescent="0.25">
      <c r="A19" s="34" t="s">
        <v>267</v>
      </c>
      <c r="B19" s="33">
        <v>9.2200000000000006</v>
      </c>
      <c r="C19" s="33">
        <v>6.06</v>
      </c>
      <c r="D19" s="33">
        <v>0.5</v>
      </c>
      <c r="E19" s="33">
        <v>0.52</v>
      </c>
      <c r="F19" s="33">
        <v>1.47</v>
      </c>
      <c r="G19" s="33">
        <v>0.67</v>
      </c>
    </row>
    <row r="20" spans="1:7" x14ac:dyDescent="0.25">
      <c r="A20" s="35" t="s">
        <v>268</v>
      </c>
      <c r="B20" s="33">
        <v>4.62</v>
      </c>
      <c r="C20" s="33">
        <v>3.1</v>
      </c>
      <c r="D20" s="33">
        <v>0.28999999999999998</v>
      </c>
      <c r="E20" s="33">
        <v>0.26</v>
      </c>
      <c r="F20" s="33">
        <v>0.73</v>
      </c>
      <c r="G20" s="33">
        <v>0.24</v>
      </c>
    </row>
    <row r="21" spans="1:7" x14ac:dyDescent="0.25">
      <c r="A21" s="35" t="s">
        <v>269</v>
      </c>
      <c r="B21" s="33">
        <v>4.5999999999999996</v>
      </c>
      <c r="C21" s="33">
        <v>2.96</v>
      </c>
      <c r="D21" s="33">
        <v>0.21</v>
      </c>
      <c r="E21" s="33">
        <v>0.26</v>
      </c>
      <c r="F21" s="33">
        <v>0.74</v>
      </c>
      <c r="G21" s="33">
        <v>0.43</v>
      </c>
    </row>
    <row r="22" spans="1:7" x14ac:dyDescent="0.25">
      <c r="A22" s="34" t="s">
        <v>270</v>
      </c>
      <c r="B22" s="33">
        <v>18.510000000000002</v>
      </c>
      <c r="C22" s="33">
        <v>10.91</v>
      </c>
      <c r="D22" s="33">
        <v>1.19</v>
      </c>
      <c r="E22" s="33">
        <v>1.36</v>
      </c>
      <c r="F22" s="33">
        <v>4.24</v>
      </c>
      <c r="G22" s="33">
        <v>0.8</v>
      </c>
    </row>
    <row r="23" spans="1:7" ht="24" customHeight="1" x14ac:dyDescent="0.25">
      <c r="A23" s="30" t="s">
        <v>271</v>
      </c>
      <c r="B23" s="31"/>
      <c r="C23" s="31"/>
      <c r="D23" s="31"/>
      <c r="E23" s="31"/>
      <c r="F23" s="31"/>
      <c r="G23" s="31"/>
    </row>
    <row r="24" spans="1:7" x14ac:dyDescent="0.25">
      <c r="A24" s="32" t="s">
        <v>240</v>
      </c>
      <c r="B24" s="33">
        <v>100.44</v>
      </c>
      <c r="C24" s="33">
        <v>58.8</v>
      </c>
      <c r="D24" s="33">
        <v>7.04</v>
      </c>
      <c r="E24" s="33">
        <v>9.02</v>
      </c>
      <c r="F24" s="33">
        <v>22.27</v>
      </c>
      <c r="G24" s="33">
        <v>3.31</v>
      </c>
    </row>
    <row r="25" spans="1:7" s="36" customFormat="1" x14ac:dyDescent="0.25">
      <c r="A25" s="34" t="s">
        <v>272</v>
      </c>
      <c r="B25" s="33">
        <v>89.24</v>
      </c>
      <c r="C25" s="33">
        <v>50.99</v>
      </c>
      <c r="D25" s="33">
        <v>6.57</v>
      </c>
      <c r="E25" s="33">
        <v>7.95</v>
      </c>
      <c r="F25" s="33">
        <v>21.2</v>
      </c>
      <c r="G25" s="33">
        <v>2.5299999999999998</v>
      </c>
    </row>
    <row r="26" spans="1:7" s="36" customFormat="1" x14ac:dyDescent="0.25">
      <c r="A26" s="34" t="s">
        <v>273</v>
      </c>
      <c r="B26" s="33">
        <v>11.2</v>
      </c>
      <c r="C26" s="33">
        <v>7.82</v>
      </c>
      <c r="D26" s="33">
        <v>0.47</v>
      </c>
      <c r="E26" s="33">
        <v>1.07</v>
      </c>
      <c r="F26" s="33">
        <v>1.07</v>
      </c>
      <c r="G26" s="33">
        <v>0.77</v>
      </c>
    </row>
    <row r="27" spans="1:7" x14ac:dyDescent="0.25">
      <c r="A27" s="32" t="s">
        <v>241</v>
      </c>
      <c r="B27" s="33">
        <v>23.09</v>
      </c>
      <c r="C27" s="33">
        <v>18.27</v>
      </c>
      <c r="D27" s="33">
        <v>0.41</v>
      </c>
      <c r="E27" s="33">
        <v>0.32</v>
      </c>
      <c r="F27" s="33">
        <v>0.56999999999999995</v>
      </c>
      <c r="G27" s="33">
        <v>3.52</v>
      </c>
    </row>
    <row r="28" spans="1:7" ht="33.950000000000003" customHeight="1" x14ac:dyDescent="0.25">
      <c r="A28" s="30" t="s">
        <v>274</v>
      </c>
      <c r="B28" s="31"/>
      <c r="C28" s="31"/>
      <c r="D28" s="31"/>
      <c r="E28" s="31"/>
      <c r="F28" s="31"/>
      <c r="G28" s="31"/>
    </row>
    <row r="29" spans="1:7" x14ac:dyDescent="0.25">
      <c r="A29" s="32" t="s">
        <v>275</v>
      </c>
      <c r="B29" s="33">
        <v>42.5</v>
      </c>
      <c r="C29" s="33">
        <v>28.04</v>
      </c>
      <c r="D29" s="33">
        <v>2.4300000000000002</v>
      </c>
      <c r="E29" s="33">
        <v>3.78</v>
      </c>
      <c r="F29" s="33">
        <v>6.74</v>
      </c>
      <c r="G29" s="33">
        <v>1.52</v>
      </c>
    </row>
    <row r="30" spans="1:7" x14ac:dyDescent="0.25">
      <c r="A30" s="32" t="s">
        <v>276</v>
      </c>
      <c r="B30" s="33">
        <v>36.79</v>
      </c>
      <c r="C30" s="33">
        <v>21.89</v>
      </c>
      <c r="D30" s="33">
        <v>2.8</v>
      </c>
      <c r="E30" s="33">
        <v>2.72</v>
      </c>
      <c r="F30" s="33">
        <v>7.03</v>
      </c>
      <c r="G30" s="33">
        <v>2.35</v>
      </c>
    </row>
    <row r="31" spans="1:7" x14ac:dyDescent="0.25">
      <c r="A31" s="32" t="s">
        <v>277</v>
      </c>
      <c r="B31" s="33">
        <v>15.06</v>
      </c>
      <c r="C31" s="33">
        <v>9.07</v>
      </c>
      <c r="D31" s="33">
        <v>0.9</v>
      </c>
      <c r="E31" s="33">
        <v>1.1200000000000001</v>
      </c>
      <c r="F31" s="33">
        <v>3.12</v>
      </c>
      <c r="G31" s="33">
        <v>0.83</v>
      </c>
    </row>
    <row r="32" spans="1:7" ht="24" customHeight="1" x14ac:dyDescent="0.25">
      <c r="A32" s="32" t="s">
        <v>278</v>
      </c>
      <c r="B32" s="33">
        <v>22.31</v>
      </c>
      <c r="C32" s="33">
        <v>13.98</v>
      </c>
      <c r="D32" s="33">
        <v>0.92</v>
      </c>
      <c r="E32" s="33">
        <v>1.25</v>
      </c>
      <c r="F32" s="33">
        <v>4.37</v>
      </c>
      <c r="G32" s="33">
        <v>1.8</v>
      </c>
    </row>
    <row r="33" spans="1:7" x14ac:dyDescent="0.25">
      <c r="A33" s="32" t="s">
        <v>279</v>
      </c>
      <c r="B33" s="33">
        <v>6.87</v>
      </c>
      <c r="C33" s="33">
        <v>4.09</v>
      </c>
      <c r="D33" s="33">
        <v>0.4</v>
      </c>
      <c r="E33" s="33">
        <v>0.48</v>
      </c>
      <c r="F33" s="33">
        <v>1.57</v>
      </c>
      <c r="G33" s="33">
        <v>0.34</v>
      </c>
    </row>
    <row r="34" spans="1:7" x14ac:dyDescent="0.25">
      <c r="A34" s="30" t="s">
        <v>280</v>
      </c>
      <c r="B34" s="31"/>
      <c r="C34" s="31"/>
      <c r="D34" s="31"/>
      <c r="E34" s="31"/>
      <c r="F34" s="31"/>
      <c r="G34" s="31"/>
    </row>
    <row r="35" spans="1:7" x14ac:dyDescent="0.25">
      <c r="A35" s="32" t="s">
        <v>281</v>
      </c>
      <c r="B35" s="33">
        <v>20.260000000000002</v>
      </c>
      <c r="C35" s="33">
        <v>13.58</v>
      </c>
      <c r="D35" s="33">
        <v>1.1399999999999999</v>
      </c>
      <c r="E35" s="33">
        <v>2.36</v>
      </c>
      <c r="F35" s="33">
        <v>3.08</v>
      </c>
      <c r="G35" s="33">
        <v>0.09</v>
      </c>
    </row>
    <row r="36" spans="1:7" x14ac:dyDescent="0.25">
      <c r="A36" s="32" t="s">
        <v>282</v>
      </c>
      <c r="B36" s="33">
        <v>12.48</v>
      </c>
      <c r="C36" s="33">
        <v>9.9</v>
      </c>
      <c r="D36" s="33">
        <v>0.4</v>
      </c>
      <c r="E36" s="33">
        <v>0.77</v>
      </c>
      <c r="F36" s="33">
        <v>1.25</v>
      </c>
      <c r="G36" s="33">
        <v>0.16</v>
      </c>
    </row>
    <row r="37" spans="1:7" x14ac:dyDescent="0.25">
      <c r="A37" s="32" t="s">
        <v>283</v>
      </c>
      <c r="B37" s="33">
        <v>12.76</v>
      </c>
      <c r="C37" s="33">
        <v>8.23</v>
      </c>
      <c r="D37" s="33">
        <v>0.63</v>
      </c>
      <c r="E37" s="33">
        <v>1.1200000000000001</v>
      </c>
      <c r="F37" s="33">
        <v>2.41</v>
      </c>
      <c r="G37" s="33">
        <v>0.37</v>
      </c>
    </row>
    <row r="38" spans="1:7" ht="24" customHeight="1" x14ac:dyDescent="0.25">
      <c r="A38" s="32" t="s">
        <v>284</v>
      </c>
      <c r="B38" s="33">
        <v>18.34</v>
      </c>
      <c r="C38" s="33">
        <v>10.46</v>
      </c>
      <c r="D38" s="33">
        <v>0.97</v>
      </c>
      <c r="E38" s="33">
        <v>1.56</v>
      </c>
      <c r="F38" s="33">
        <v>4.01</v>
      </c>
      <c r="G38" s="33">
        <v>1.34</v>
      </c>
    </row>
    <row r="39" spans="1:7" x14ac:dyDescent="0.25">
      <c r="A39" s="32" t="s">
        <v>285</v>
      </c>
      <c r="B39" s="33">
        <v>16.3</v>
      </c>
      <c r="C39" s="33">
        <v>8.67</v>
      </c>
      <c r="D39" s="33">
        <v>1.26</v>
      </c>
      <c r="E39" s="33">
        <v>1.43</v>
      </c>
      <c r="F39" s="33">
        <v>3.6</v>
      </c>
      <c r="G39" s="33">
        <v>1.33</v>
      </c>
    </row>
    <row r="40" spans="1:7" x14ac:dyDescent="0.25">
      <c r="A40" s="32" t="s">
        <v>286</v>
      </c>
      <c r="B40" s="33">
        <v>17.16</v>
      </c>
      <c r="C40" s="33">
        <v>10.65</v>
      </c>
      <c r="D40" s="33">
        <v>1.08</v>
      </c>
      <c r="E40" s="33">
        <v>0.95</v>
      </c>
      <c r="F40" s="33">
        <v>2.5499999999999998</v>
      </c>
      <c r="G40" s="33">
        <v>1.92</v>
      </c>
    </row>
    <row r="41" spans="1:7" x14ac:dyDescent="0.25">
      <c r="A41" s="32" t="s">
        <v>287</v>
      </c>
      <c r="B41" s="33">
        <v>16.16</v>
      </c>
      <c r="C41" s="33">
        <v>9.98</v>
      </c>
      <c r="D41" s="33">
        <v>1.31</v>
      </c>
      <c r="E41" s="33">
        <v>0.72</v>
      </c>
      <c r="F41" s="33">
        <v>3.17</v>
      </c>
      <c r="G41" s="33">
        <v>0.98</v>
      </c>
    </row>
    <row r="42" spans="1:7" x14ac:dyDescent="0.25">
      <c r="A42" s="32" t="s">
        <v>288</v>
      </c>
      <c r="B42" s="33">
        <v>5.53</v>
      </c>
      <c r="C42" s="33">
        <v>3.05</v>
      </c>
      <c r="D42" s="33">
        <v>0.37</v>
      </c>
      <c r="E42" s="33">
        <v>0.26</v>
      </c>
      <c r="F42" s="33">
        <v>1.52</v>
      </c>
      <c r="G42" s="33">
        <v>0.32</v>
      </c>
    </row>
    <row r="43" spans="1:7" x14ac:dyDescent="0.25">
      <c r="A43" s="32" t="s">
        <v>289</v>
      </c>
      <c r="B43" s="33">
        <v>4.5599999999999996</v>
      </c>
      <c r="C43" s="33">
        <v>2.5299999999999998</v>
      </c>
      <c r="D43" s="33">
        <v>0.28999999999999998</v>
      </c>
      <c r="E43" s="33">
        <v>0.18</v>
      </c>
      <c r="F43" s="33">
        <v>1.26</v>
      </c>
      <c r="G43" s="33">
        <v>0.31</v>
      </c>
    </row>
    <row r="44" spans="1:7" x14ac:dyDescent="0.25">
      <c r="A44" s="30" t="s">
        <v>290</v>
      </c>
      <c r="B44" s="31"/>
      <c r="C44" s="31"/>
      <c r="D44" s="31"/>
      <c r="E44" s="31"/>
      <c r="F44" s="31"/>
      <c r="G44" s="31"/>
    </row>
    <row r="45" spans="1:7" x14ac:dyDescent="0.25">
      <c r="A45" s="32" t="s">
        <v>291</v>
      </c>
      <c r="B45" s="33">
        <v>47.15</v>
      </c>
      <c r="C45" s="33">
        <v>44.59</v>
      </c>
      <c r="D45" s="33">
        <v>2.57</v>
      </c>
      <c r="E45" s="33" t="s">
        <v>292</v>
      </c>
      <c r="F45" s="33" t="s">
        <v>292</v>
      </c>
      <c r="G45" s="33" t="s">
        <v>292</v>
      </c>
    </row>
    <row r="46" spans="1:7" x14ac:dyDescent="0.25">
      <c r="A46" s="32" t="s">
        <v>293</v>
      </c>
      <c r="B46" s="33">
        <v>32.47</v>
      </c>
      <c r="C46" s="33">
        <v>28.53</v>
      </c>
      <c r="D46" s="33">
        <v>3.94</v>
      </c>
      <c r="E46" s="33" t="s">
        <v>292</v>
      </c>
      <c r="F46" s="33" t="s">
        <v>292</v>
      </c>
      <c r="G46" s="33" t="s">
        <v>292</v>
      </c>
    </row>
    <row r="47" spans="1:7" ht="24" customHeight="1" x14ac:dyDescent="0.25">
      <c r="A47" s="32" t="s">
        <v>294</v>
      </c>
      <c r="B47" s="33">
        <v>2.61</v>
      </c>
      <c r="C47" s="33">
        <v>1.76</v>
      </c>
      <c r="D47" s="33">
        <v>0.85</v>
      </c>
      <c r="E47" s="33" t="s">
        <v>292</v>
      </c>
      <c r="F47" s="33" t="s">
        <v>292</v>
      </c>
      <c r="G47" s="33" t="s">
        <v>292</v>
      </c>
    </row>
    <row r="48" spans="1:7" x14ac:dyDescent="0.25">
      <c r="A48" s="32" t="s">
        <v>295</v>
      </c>
      <c r="B48" s="33">
        <v>2.2799999999999998</v>
      </c>
      <c r="C48" s="33">
        <v>2.19</v>
      </c>
      <c r="D48" s="33">
        <v>0.09</v>
      </c>
      <c r="E48" s="33" t="s">
        <v>292</v>
      </c>
      <c r="F48" s="33" t="s">
        <v>292</v>
      </c>
      <c r="G48" s="33" t="s">
        <v>292</v>
      </c>
    </row>
    <row r="49" spans="1:7" ht="26.25" customHeight="1" x14ac:dyDescent="0.25">
      <c r="A49" s="32" t="s">
        <v>296</v>
      </c>
      <c r="B49" s="33">
        <v>39.01</v>
      </c>
      <c r="C49" s="33" t="s">
        <v>292</v>
      </c>
      <c r="D49" s="33" t="s">
        <v>292</v>
      </c>
      <c r="E49" s="33">
        <v>9.34</v>
      </c>
      <c r="F49" s="33">
        <v>22.84</v>
      </c>
      <c r="G49" s="33">
        <v>6.83</v>
      </c>
    </row>
    <row r="50" spans="1:7" x14ac:dyDescent="0.25">
      <c r="A50" s="30" t="s">
        <v>297</v>
      </c>
      <c r="B50" s="31"/>
      <c r="C50" s="31"/>
      <c r="D50" s="31"/>
      <c r="E50" s="31"/>
      <c r="F50" s="31"/>
      <c r="G50" s="31"/>
    </row>
    <row r="51" spans="1:7" ht="26.25" customHeight="1" x14ac:dyDescent="0.25">
      <c r="A51" s="32" t="s">
        <v>298</v>
      </c>
      <c r="B51" s="33">
        <v>45.44</v>
      </c>
      <c r="C51" s="33">
        <v>31.14</v>
      </c>
      <c r="D51" s="33">
        <v>2.83</v>
      </c>
      <c r="E51" s="33">
        <v>2.23</v>
      </c>
      <c r="F51" s="33">
        <v>3.79</v>
      </c>
      <c r="G51" s="33">
        <v>5.45</v>
      </c>
    </row>
    <row r="52" spans="1:7" x14ac:dyDescent="0.25">
      <c r="A52" s="32" t="s">
        <v>299</v>
      </c>
      <c r="B52" s="33">
        <v>33.369999999999997</v>
      </c>
      <c r="C52" s="33">
        <v>17.52</v>
      </c>
      <c r="D52" s="33">
        <v>2.0099999999999998</v>
      </c>
      <c r="E52" s="33">
        <v>3.79</v>
      </c>
      <c r="F52" s="33">
        <v>9.8000000000000007</v>
      </c>
      <c r="G52" s="33">
        <v>0.24</v>
      </c>
    </row>
    <row r="53" spans="1:7" ht="24" customHeight="1" x14ac:dyDescent="0.25">
      <c r="A53" s="32" t="s">
        <v>300</v>
      </c>
      <c r="B53" s="33">
        <v>18.8</v>
      </c>
      <c r="C53" s="33">
        <v>12.63</v>
      </c>
      <c r="D53" s="33">
        <v>0.92</v>
      </c>
      <c r="E53" s="33">
        <v>1.55</v>
      </c>
      <c r="F53" s="33">
        <v>2.86</v>
      </c>
      <c r="G53" s="33">
        <v>0.84</v>
      </c>
    </row>
    <row r="54" spans="1:7" ht="15" customHeight="1" x14ac:dyDescent="0.25">
      <c r="A54" s="32" t="s">
        <v>301</v>
      </c>
      <c r="B54" s="33">
        <v>15.65</v>
      </c>
      <c r="C54" s="33">
        <v>10.54</v>
      </c>
      <c r="D54" s="33">
        <v>1.07</v>
      </c>
      <c r="E54" s="33">
        <v>0.89</v>
      </c>
      <c r="F54" s="33">
        <v>3.08</v>
      </c>
      <c r="G54" s="33">
        <v>0.08</v>
      </c>
    </row>
    <row r="55" spans="1:7" x14ac:dyDescent="0.25">
      <c r="A55" s="32" t="s">
        <v>302</v>
      </c>
      <c r="B55" s="33">
        <v>6.42</v>
      </c>
      <c r="C55" s="33">
        <v>2.89</v>
      </c>
      <c r="D55" s="33">
        <v>0.41</v>
      </c>
      <c r="E55" s="33">
        <v>0.5</v>
      </c>
      <c r="F55" s="33">
        <v>2.56</v>
      </c>
      <c r="G55" s="33" t="s">
        <v>303</v>
      </c>
    </row>
    <row r="56" spans="1:7" x14ac:dyDescent="0.25">
      <c r="A56" s="32" t="s">
        <v>304</v>
      </c>
      <c r="B56" s="33">
        <v>1.89</v>
      </c>
      <c r="C56" s="33">
        <v>1.1599999999999999</v>
      </c>
      <c r="D56" s="33">
        <v>0.11</v>
      </c>
      <c r="E56" s="33">
        <v>0.21</v>
      </c>
      <c r="F56" s="33">
        <v>0.3</v>
      </c>
      <c r="G56" s="33">
        <v>0.11</v>
      </c>
    </row>
    <row r="57" spans="1:7" x14ac:dyDescent="0.25">
      <c r="A57" s="32" t="s">
        <v>305</v>
      </c>
      <c r="B57" s="33">
        <v>1.46</v>
      </c>
      <c r="C57" s="33">
        <v>0.94</v>
      </c>
      <c r="D57" s="33">
        <v>0.08</v>
      </c>
      <c r="E57" s="33">
        <v>0.14000000000000001</v>
      </c>
      <c r="F57" s="33">
        <v>0.31</v>
      </c>
      <c r="G57" s="33" t="s">
        <v>292</v>
      </c>
    </row>
    <row r="58" spans="1:7" x14ac:dyDescent="0.25">
      <c r="A58" s="32" t="s">
        <v>306</v>
      </c>
      <c r="B58" s="33">
        <v>0.5</v>
      </c>
      <c r="C58" s="33">
        <v>0.26</v>
      </c>
      <c r="D58" s="33" t="s">
        <v>303</v>
      </c>
      <c r="E58" s="33" t="s">
        <v>303</v>
      </c>
      <c r="F58" s="33">
        <v>0.14000000000000001</v>
      </c>
      <c r="G58" s="33" t="s">
        <v>303</v>
      </c>
    </row>
    <row r="59" spans="1:7" x14ac:dyDescent="0.25">
      <c r="A59" s="30" t="s">
        <v>307</v>
      </c>
      <c r="B59" s="31"/>
      <c r="C59" s="31"/>
      <c r="D59" s="31"/>
      <c r="E59" s="31"/>
      <c r="F59" s="31"/>
      <c r="G59" s="31"/>
    </row>
    <row r="60" spans="1:7" x14ac:dyDescent="0.25">
      <c r="A60" s="32" t="s">
        <v>308</v>
      </c>
      <c r="B60" s="33">
        <v>76.03</v>
      </c>
      <c r="C60" s="33">
        <v>61.56</v>
      </c>
      <c r="D60" s="33">
        <v>5.49</v>
      </c>
      <c r="E60" s="33">
        <v>5.89</v>
      </c>
      <c r="F60" s="33" t="s">
        <v>292</v>
      </c>
      <c r="G60" s="33">
        <v>3.09</v>
      </c>
    </row>
    <row r="61" spans="1:7" x14ac:dyDescent="0.25">
      <c r="A61" s="32" t="s">
        <v>309</v>
      </c>
      <c r="B61" s="33">
        <v>9.69</v>
      </c>
      <c r="C61" s="33">
        <v>5.87</v>
      </c>
      <c r="D61" s="33">
        <v>0.28000000000000003</v>
      </c>
      <c r="E61" s="33">
        <v>0.46</v>
      </c>
      <c r="F61" s="33" t="s">
        <v>292</v>
      </c>
      <c r="G61" s="33">
        <v>3.08</v>
      </c>
    </row>
    <row r="62" spans="1:7" ht="24" customHeight="1" x14ac:dyDescent="0.25">
      <c r="A62" s="32" t="s">
        <v>310</v>
      </c>
      <c r="B62" s="33">
        <v>5.19</v>
      </c>
      <c r="C62" s="33">
        <v>3.06</v>
      </c>
      <c r="D62" s="33">
        <v>0.55000000000000004</v>
      </c>
      <c r="E62" s="33">
        <v>1.23</v>
      </c>
      <c r="F62" s="33" t="s">
        <v>292</v>
      </c>
      <c r="G62" s="33">
        <v>0.35</v>
      </c>
    </row>
    <row r="63" spans="1:7" x14ac:dyDescent="0.25">
      <c r="A63" s="32" t="s">
        <v>311</v>
      </c>
      <c r="B63" s="33">
        <v>4.8899999999999997</v>
      </c>
      <c r="C63" s="33">
        <v>3.6</v>
      </c>
      <c r="D63" s="33">
        <v>0.59</v>
      </c>
      <c r="E63" s="33">
        <v>0.66</v>
      </c>
      <c r="F63" s="33" t="s">
        <v>292</v>
      </c>
      <c r="G63" s="33" t="s">
        <v>303</v>
      </c>
    </row>
    <row r="64" spans="1:7" x14ac:dyDescent="0.25">
      <c r="A64" s="32" t="s">
        <v>312</v>
      </c>
      <c r="B64" s="33">
        <v>2.14</v>
      </c>
      <c r="C64" s="33">
        <v>1.58</v>
      </c>
      <c r="D64" s="33">
        <v>0.11</v>
      </c>
      <c r="E64" s="33">
        <v>0.43</v>
      </c>
      <c r="F64" s="33" t="s">
        <v>292</v>
      </c>
      <c r="G64" s="33" t="s">
        <v>303</v>
      </c>
    </row>
    <row r="65" spans="1:7" x14ac:dyDescent="0.25">
      <c r="A65" s="32" t="s">
        <v>313</v>
      </c>
      <c r="B65" s="33">
        <v>1.49</v>
      </c>
      <c r="C65" s="33">
        <v>0.73</v>
      </c>
      <c r="D65" s="33">
        <v>0.18</v>
      </c>
      <c r="E65" s="33">
        <v>0.51</v>
      </c>
      <c r="F65" s="33" t="s">
        <v>292</v>
      </c>
      <c r="G65" s="33">
        <v>0.08</v>
      </c>
    </row>
    <row r="66" spans="1:7" x14ac:dyDescent="0.25">
      <c r="A66" s="32" t="s">
        <v>306</v>
      </c>
      <c r="B66" s="33">
        <v>1.26</v>
      </c>
      <c r="C66" s="33">
        <v>0.67</v>
      </c>
      <c r="D66" s="33">
        <v>0.27</v>
      </c>
      <c r="E66" s="33">
        <v>0.15</v>
      </c>
      <c r="F66" s="33" t="s">
        <v>292</v>
      </c>
      <c r="G66" s="33">
        <v>0.18</v>
      </c>
    </row>
    <row r="67" spans="1:7" ht="26.25" customHeight="1" x14ac:dyDescent="0.25">
      <c r="A67" s="32" t="s">
        <v>314</v>
      </c>
      <c r="B67" s="33">
        <v>22.84</v>
      </c>
      <c r="C67" s="33" t="s">
        <v>292</v>
      </c>
      <c r="D67" s="33" t="s">
        <v>292</v>
      </c>
      <c r="E67" s="33" t="s">
        <v>292</v>
      </c>
      <c r="F67" s="33">
        <v>22.84</v>
      </c>
      <c r="G67" s="33" t="s">
        <v>292</v>
      </c>
    </row>
    <row r="68" spans="1:7" ht="26.25" customHeight="1" x14ac:dyDescent="0.25">
      <c r="A68" s="30" t="s">
        <v>315</v>
      </c>
      <c r="B68" s="31"/>
      <c r="C68" s="31"/>
      <c r="D68" s="31"/>
      <c r="E68" s="31"/>
      <c r="F68" s="31"/>
      <c r="G68" s="31"/>
    </row>
    <row r="69" spans="1:7" x14ac:dyDescent="0.25">
      <c r="A69" s="37" t="s">
        <v>316</v>
      </c>
      <c r="B69" s="33">
        <v>4.59</v>
      </c>
      <c r="C69" s="33">
        <v>0.09</v>
      </c>
      <c r="D69" s="33">
        <v>0.05</v>
      </c>
      <c r="E69" s="33">
        <v>0.77</v>
      </c>
      <c r="F69" s="33">
        <v>3.56</v>
      </c>
      <c r="G69" s="33">
        <v>0.11</v>
      </c>
    </row>
    <row r="70" spans="1:7" x14ac:dyDescent="0.25">
      <c r="A70" s="37">
        <v>3</v>
      </c>
      <c r="B70" s="33">
        <v>8.73</v>
      </c>
      <c r="C70" s="33">
        <v>0.65</v>
      </c>
      <c r="D70" s="33">
        <v>0.3</v>
      </c>
      <c r="E70" s="33">
        <v>1.71</v>
      </c>
      <c r="F70" s="33">
        <v>5.86</v>
      </c>
      <c r="G70" s="33">
        <v>0.21</v>
      </c>
    </row>
    <row r="71" spans="1:7" ht="33.950000000000003" customHeight="1" x14ac:dyDescent="0.25">
      <c r="A71" s="37">
        <v>4</v>
      </c>
      <c r="B71" s="33">
        <v>15.95</v>
      </c>
      <c r="C71" s="33">
        <v>3.3</v>
      </c>
      <c r="D71" s="33">
        <v>1.46</v>
      </c>
      <c r="E71" s="33">
        <v>3.04</v>
      </c>
      <c r="F71" s="33">
        <v>6.98</v>
      </c>
      <c r="G71" s="33">
        <v>1.17</v>
      </c>
    </row>
    <row r="72" spans="1:7" x14ac:dyDescent="0.25">
      <c r="A72" s="37">
        <v>5</v>
      </c>
      <c r="B72" s="33">
        <v>19.54</v>
      </c>
      <c r="C72" s="33">
        <v>9.77</v>
      </c>
      <c r="D72" s="33">
        <v>1.81</v>
      </c>
      <c r="E72" s="33">
        <v>2.17</v>
      </c>
      <c r="F72" s="33">
        <v>4.13</v>
      </c>
      <c r="G72" s="33">
        <v>1.65</v>
      </c>
    </row>
    <row r="73" spans="1:7" x14ac:dyDescent="0.25">
      <c r="A73" s="37">
        <v>6</v>
      </c>
      <c r="B73" s="33">
        <v>22.1</v>
      </c>
      <c r="C73" s="33">
        <v>15.86</v>
      </c>
      <c r="D73" s="33">
        <v>1.66</v>
      </c>
      <c r="E73" s="33">
        <v>0.97</v>
      </c>
      <c r="F73" s="33">
        <v>1.68</v>
      </c>
      <c r="G73" s="33">
        <v>1.94</v>
      </c>
    </row>
    <row r="74" spans="1:7" x14ac:dyDescent="0.25">
      <c r="A74" s="37">
        <v>7</v>
      </c>
      <c r="B74" s="33">
        <v>18.86</v>
      </c>
      <c r="C74" s="33">
        <v>16.23</v>
      </c>
      <c r="D74" s="33">
        <v>1.1000000000000001</v>
      </c>
      <c r="E74" s="33">
        <v>0.27</v>
      </c>
      <c r="F74" s="33">
        <v>0.38</v>
      </c>
      <c r="G74" s="33">
        <v>0.87</v>
      </c>
    </row>
    <row r="75" spans="1:7" x14ac:dyDescent="0.25">
      <c r="A75" s="37">
        <v>8</v>
      </c>
      <c r="B75" s="33">
        <v>13.87</v>
      </c>
      <c r="C75" s="33">
        <v>12.42</v>
      </c>
      <c r="D75" s="33">
        <v>0.56000000000000005</v>
      </c>
      <c r="E75" s="33">
        <v>0.16</v>
      </c>
      <c r="F75" s="33">
        <v>0.15</v>
      </c>
      <c r="G75" s="33">
        <v>0.57999999999999996</v>
      </c>
    </row>
    <row r="76" spans="1:7" x14ac:dyDescent="0.25">
      <c r="A76" s="37" t="s">
        <v>317</v>
      </c>
      <c r="B76" s="33">
        <v>19.899999999999999</v>
      </c>
      <c r="C76" s="33">
        <v>18.73</v>
      </c>
      <c r="D76" s="33">
        <v>0.51</v>
      </c>
      <c r="E76" s="33">
        <v>0.25</v>
      </c>
      <c r="F76" s="33">
        <v>0.11</v>
      </c>
      <c r="G76" s="33">
        <v>0.3</v>
      </c>
    </row>
    <row r="77" spans="1:7" x14ac:dyDescent="0.25">
      <c r="A77" s="30" t="s">
        <v>318</v>
      </c>
      <c r="B77" s="33"/>
      <c r="C77" s="33"/>
      <c r="D77" s="33"/>
      <c r="E77" s="33"/>
      <c r="F77" s="33"/>
      <c r="G77" s="33"/>
    </row>
    <row r="78" spans="1:7" x14ac:dyDescent="0.25">
      <c r="A78" s="37">
        <v>0</v>
      </c>
      <c r="B78" s="33">
        <v>1.82</v>
      </c>
      <c r="C78" s="33">
        <v>0.1</v>
      </c>
      <c r="D78" s="33" t="s">
        <v>303</v>
      </c>
      <c r="E78" s="33">
        <v>0.32</v>
      </c>
      <c r="F78" s="33">
        <v>1.36</v>
      </c>
      <c r="G78" s="33" t="s">
        <v>303</v>
      </c>
    </row>
    <row r="79" spans="1:7" x14ac:dyDescent="0.25">
      <c r="A79" s="37">
        <v>1</v>
      </c>
      <c r="B79" s="33">
        <v>14.52</v>
      </c>
      <c r="C79" s="33">
        <v>1.25</v>
      </c>
      <c r="D79" s="33">
        <v>0.49</v>
      </c>
      <c r="E79" s="33">
        <v>2.61</v>
      </c>
      <c r="F79" s="33">
        <v>9.7799999999999994</v>
      </c>
      <c r="G79" s="33">
        <v>0.4</v>
      </c>
    </row>
    <row r="80" spans="1:7" ht="24" customHeight="1" x14ac:dyDescent="0.25">
      <c r="A80" s="37">
        <v>2</v>
      </c>
      <c r="B80" s="33">
        <v>30.67</v>
      </c>
      <c r="C80" s="33">
        <v>10.56</v>
      </c>
      <c r="D80" s="33">
        <v>3.19</v>
      </c>
      <c r="E80" s="33">
        <v>4.57</v>
      </c>
      <c r="F80" s="33">
        <v>9.99</v>
      </c>
      <c r="G80" s="33">
        <v>2.36</v>
      </c>
    </row>
    <row r="81" spans="1:7" x14ac:dyDescent="0.25">
      <c r="A81" s="37">
        <v>3</v>
      </c>
      <c r="B81" s="33">
        <v>48.27</v>
      </c>
      <c r="C81" s="33">
        <v>38.869999999999997</v>
      </c>
      <c r="D81" s="33">
        <v>2.94</v>
      </c>
      <c r="E81" s="33">
        <v>1.48</v>
      </c>
      <c r="F81" s="33">
        <v>1.51</v>
      </c>
      <c r="G81" s="33">
        <v>3.49</v>
      </c>
    </row>
    <row r="82" spans="1:7" x14ac:dyDescent="0.25">
      <c r="A82" s="37">
        <v>4</v>
      </c>
      <c r="B82" s="33">
        <v>22.08</v>
      </c>
      <c r="C82" s="33">
        <v>20.61</v>
      </c>
      <c r="D82" s="33">
        <v>0.57999999999999996</v>
      </c>
      <c r="E82" s="33">
        <v>0.23</v>
      </c>
      <c r="F82" s="33">
        <v>0.15</v>
      </c>
      <c r="G82" s="33">
        <v>0.51</v>
      </c>
    </row>
    <row r="83" spans="1:7" x14ac:dyDescent="0.25">
      <c r="A83" s="37" t="s">
        <v>319</v>
      </c>
      <c r="B83" s="33">
        <v>6.16</v>
      </c>
      <c r="C83" s="33">
        <v>5.69</v>
      </c>
      <c r="D83" s="33">
        <v>0.21</v>
      </c>
      <c r="E83" s="33">
        <v>0.13</v>
      </c>
      <c r="F83" s="33" t="s">
        <v>303</v>
      </c>
      <c r="G83" s="33">
        <v>7.0000000000000007E-2</v>
      </c>
    </row>
    <row r="84" spans="1:7" ht="26.25" customHeight="1" x14ac:dyDescent="0.25">
      <c r="A84" s="30" t="s">
        <v>320</v>
      </c>
      <c r="B84" s="31"/>
      <c r="C84" s="31"/>
      <c r="D84" s="31"/>
      <c r="E84" s="31"/>
      <c r="F84" s="31"/>
      <c r="G84" s="31"/>
    </row>
    <row r="85" spans="1:7" x14ac:dyDescent="0.25">
      <c r="A85" s="37">
        <v>1</v>
      </c>
      <c r="B85" s="33">
        <v>8.41</v>
      </c>
      <c r="C85" s="33">
        <v>1.43</v>
      </c>
      <c r="D85" s="33">
        <v>0.31</v>
      </c>
      <c r="E85" s="33">
        <v>1.55</v>
      </c>
      <c r="F85" s="33">
        <v>4.84</v>
      </c>
      <c r="G85" s="33">
        <v>0.28000000000000003</v>
      </c>
    </row>
    <row r="86" spans="1:7" x14ac:dyDescent="0.25">
      <c r="A86" s="37">
        <v>2</v>
      </c>
      <c r="B86" s="33">
        <v>27.88</v>
      </c>
      <c r="C86" s="33">
        <v>9.65</v>
      </c>
      <c r="D86" s="33">
        <v>2.13</v>
      </c>
      <c r="E86" s="33">
        <v>3.9</v>
      </c>
      <c r="F86" s="33">
        <v>10.07</v>
      </c>
      <c r="G86" s="33">
        <v>2.13</v>
      </c>
    </row>
    <row r="87" spans="1:7" ht="33.950000000000003" customHeight="1" x14ac:dyDescent="0.25">
      <c r="A87" s="37">
        <v>3</v>
      </c>
      <c r="B87" s="33">
        <v>32.82</v>
      </c>
      <c r="C87" s="33">
        <v>19.91</v>
      </c>
      <c r="D87" s="33">
        <v>2.39</v>
      </c>
      <c r="E87" s="33">
        <v>2.5499999999999998</v>
      </c>
      <c r="F87" s="33">
        <v>5.6</v>
      </c>
      <c r="G87" s="33">
        <v>2.36</v>
      </c>
    </row>
    <row r="88" spans="1:7" x14ac:dyDescent="0.25">
      <c r="A88" s="37">
        <v>4</v>
      </c>
      <c r="B88" s="33">
        <v>26.77</v>
      </c>
      <c r="C88" s="33">
        <v>21.33</v>
      </c>
      <c r="D88" s="33">
        <v>1.5</v>
      </c>
      <c r="E88" s="33">
        <v>0.82</v>
      </c>
      <c r="F88" s="33">
        <v>1.86</v>
      </c>
      <c r="G88" s="33">
        <v>1.26</v>
      </c>
    </row>
    <row r="89" spans="1:7" x14ac:dyDescent="0.25">
      <c r="A89" s="37" t="s">
        <v>319</v>
      </c>
      <c r="B89" s="33">
        <v>27.64</v>
      </c>
      <c r="C89" s="33">
        <v>24.75</v>
      </c>
      <c r="D89" s="33">
        <v>1.1100000000000001</v>
      </c>
      <c r="E89" s="33">
        <v>0.51</v>
      </c>
      <c r="F89" s="33">
        <v>0.47</v>
      </c>
      <c r="G89" s="33">
        <v>0.79</v>
      </c>
    </row>
    <row r="90" spans="1:7" x14ac:dyDescent="0.25">
      <c r="A90" s="30" t="s">
        <v>321</v>
      </c>
      <c r="B90" s="31"/>
      <c r="C90" s="31"/>
      <c r="D90" s="31"/>
      <c r="E90" s="31"/>
      <c r="F90" s="31"/>
      <c r="G90" s="31"/>
    </row>
    <row r="91" spans="1:7" x14ac:dyDescent="0.25">
      <c r="A91" s="37">
        <v>0</v>
      </c>
      <c r="B91" s="33">
        <v>0.15</v>
      </c>
      <c r="C91" s="33">
        <v>7.0000000000000007E-2</v>
      </c>
      <c r="D91" s="33" t="s">
        <v>303</v>
      </c>
      <c r="E91" s="33" t="s">
        <v>303</v>
      </c>
      <c r="F91" s="33" t="s">
        <v>303</v>
      </c>
      <c r="G91" s="33" t="s">
        <v>303</v>
      </c>
    </row>
    <row r="92" spans="1:7" x14ac:dyDescent="0.25">
      <c r="A92" s="37">
        <v>1</v>
      </c>
      <c r="B92" s="33">
        <v>50.32</v>
      </c>
      <c r="C92" s="33">
        <v>21.7</v>
      </c>
      <c r="D92" s="33">
        <v>3.03</v>
      </c>
      <c r="E92" s="33">
        <v>7.24</v>
      </c>
      <c r="F92" s="33">
        <v>16.260000000000002</v>
      </c>
      <c r="G92" s="33">
        <v>2.1</v>
      </c>
    </row>
    <row r="93" spans="1:7" ht="24" customHeight="1" x14ac:dyDescent="0.25">
      <c r="A93" s="37">
        <v>2</v>
      </c>
      <c r="B93" s="33">
        <v>56.85</v>
      </c>
      <c r="C93" s="33">
        <v>40.42</v>
      </c>
      <c r="D93" s="33">
        <v>3.7</v>
      </c>
      <c r="E93" s="33">
        <v>1.86</v>
      </c>
      <c r="F93" s="33">
        <v>6.36</v>
      </c>
      <c r="G93" s="33">
        <v>4.51</v>
      </c>
    </row>
    <row r="94" spans="1:7" x14ac:dyDescent="0.25">
      <c r="A94" s="37" t="s">
        <v>322</v>
      </c>
      <c r="B94" s="33">
        <v>16.21</v>
      </c>
      <c r="C94" s="33">
        <v>14.89</v>
      </c>
      <c r="D94" s="33">
        <v>0.72</v>
      </c>
      <c r="E94" s="33">
        <v>0.23</v>
      </c>
      <c r="F94" s="33">
        <v>0.15</v>
      </c>
      <c r="G94" s="33">
        <v>0.22</v>
      </c>
    </row>
    <row r="95" spans="1:7" x14ac:dyDescent="0.25">
      <c r="A95" s="30" t="s">
        <v>323</v>
      </c>
      <c r="B95" s="31"/>
      <c r="C95" s="31"/>
      <c r="D95" s="31"/>
      <c r="E95" s="31"/>
      <c r="F95" s="31"/>
      <c r="G95" s="31"/>
    </row>
    <row r="96" spans="1:7" x14ac:dyDescent="0.25">
      <c r="A96" s="37">
        <v>0</v>
      </c>
      <c r="B96" s="33">
        <v>86.83</v>
      </c>
      <c r="C96" s="33">
        <v>47.8</v>
      </c>
      <c r="D96" s="33">
        <v>4.0599999999999996</v>
      </c>
      <c r="E96" s="33">
        <v>8.2100000000000009</v>
      </c>
      <c r="F96" s="33">
        <v>20.77</v>
      </c>
      <c r="G96" s="33">
        <v>5.98</v>
      </c>
    </row>
    <row r="97" spans="1:7" x14ac:dyDescent="0.25">
      <c r="A97" s="37">
        <v>1</v>
      </c>
      <c r="B97" s="33">
        <v>33.79</v>
      </c>
      <c r="C97" s="33">
        <v>26.87</v>
      </c>
      <c r="D97" s="33">
        <v>3.21</v>
      </c>
      <c r="E97" s="33">
        <v>1.03</v>
      </c>
      <c r="F97" s="33">
        <v>1.94</v>
      </c>
      <c r="G97" s="33">
        <v>0.75</v>
      </c>
    </row>
    <row r="98" spans="1:7" ht="24" customHeight="1" x14ac:dyDescent="0.25">
      <c r="A98" s="37" t="s">
        <v>324</v>
      </c>
      <c r="B98" s="33">
        <v>2.91</v>
      </c>
      <c r="C98" s="33">
        <v>2.39</v>
      </c>
      <c r="D98" s="33">
        <v>0.18</v>
      </c>
      <c r="E98" s="33">
        <v>0.11</v>
      </c>
      <c r="F98" s="33">
        <v>0.13</v>
      </c>
      <c r="G98" s="33">
        <v>0.1</v>
      </c>
    </row>
    <row r="99" spans="1:7" x14ac:dyDescent="0.25">
      <c r="A99" s="30" t="s">
        <v>325</v>
      </c>
      <c r="B99" s="31"/>
      <c r="C99" s="31"/>
      <c r="D99" s="31"/>
      <c r="E99" s="31"/>
      <c r="F99" s="31"/>
      <c r="G99" s="31"/>
    </row>
    <row r="100" spans="1:7" x14ac:dyDescent="0.25">
      <c r="A100" s="32" t="s">
        <v>326</v>
      </c>
      <c r="B100" s="33">
        <v>36.83</v>
      </c>
      <c r="C100" s="33">
        <v>33.86</v>
      </c>
      <c r="D100" s="33">
        <v>2.98</v>
      </c>
      <c r="E100" s="33" t="s">
        <v>292</v>
      </c>
      <c r="F100" s="33" t="s">
        <v>292</v>
      </c>
      <c r="G100" s="33" t="s">
        <v>292</v>
      </c>
    </row>
    <row r="101" spans="1:7" x14ac:dyDescent="0.25">
      <c r="A101" s="34" t="s">
        <v>327</v>
      </c>
      <c r="B101" s="33">
        <v>21.71</v>
      </c>
      <c r="C101" s="33">
        <v>19.850000000000001</v>
      </c>
      <c r="D101" s="33">
        <v>1.87</v>
      </c>
      <c r="E101" s="33" t="s">
        <v>292</v>
      </c>
      <c r="F101" s="33" t="s">
        <v>292</v>
      </c>
      <c r="G101" s="33" t="s">
        <v>292</v>
      </c>
    </row>
    <row r="102" spans="1:7" ht="24" customHeight="1" x14ac:dyDescent="0.25">
      <c r="A102" s="34" t="s">
        <v>328</v>
      </c>
      <c r="B102" s="33">
        <v>15.12</v>
      </c>
      <c r="C102" s="33">
        <v>14.01</v>
      </c>
      <c r="D102" s="33">
        <v>1.1100000000000001</v>
      </c>
      <c r="E102" s="33" t="s">
        <v>292</v>
      </c>
      <c r="F102" s="33" t="s">
        <v>292</v>
      </c>
      <c r="G102" s="33" t="s">
        <v>292</v>
      </c>
    </row>
    <row r="103" spans="1:7" x14ac:dyDescent="0.25">
      <c r="A103" s="37" t="s">
        <v>329</v>
      </c>
      <c r="B103" s="33">
        <v>47.68</v>
      </c>
      <c r="C103" s="33">
        <v>43.21</v>
      </c>
      <c r="D103" s="33">
        <v>4.47</v>
      </c>
      <c r="E103" s="33" t="s">
        <v>292</v>
      </c>
      <c r="F103" s="33" t="s">
        <v>292</v>
      </c>
      <c r="G103" s="33" t="s">
        <v>292</v>
      </c>
    </row>
    <row r="104" spans="1:7" ht="26.25" customHeight="1" x14ac:dyDescent="0.25">
      <c r="A104" s="37" t="s">
        <v>296</v>
      </c>
      <c r="B104" s="33">
        <v>39.01</v>
      </c>
      <c r="C104" s="33" t="s">
        <v>292</v>
      </c>
      <c r="D104" s="33" t="s">
        <v>292</v>
      </c>
      <c r="E104" s="33">
        <v>9.34</v>
      </c>
      <c r="F104" s="33">
        <v>22.84</v>
      </c>
      <c r="G104" s="33">
        <v>6.83</v>
      </c>
    </row>
    <row r="105" spans="1:7" x14ac:dyDescent="0.25">
      <c r="A105" s="30" t="s">
        <v>330</v>
      </c>
      <c r="B105" s="31"/>
      <c r="C105" s="31"/>
      <c r="D105" s="31"/>
      <c r="E105" s="31"/>
      <c r="F105" s="31"/>
      <c r="G105" s="31"/>
    </row>
    <row r="106" spans="1:7" x14ac:dyDescent="0.25">
      <c r="A106" s="32" t="s">
        <v>326</v>
      </c>
      <c r="B106" s="33">
        <v>56.5</v>
      </c>
      <c r="C106" s="33">
        <v>52.99</v>
      </c>
      <c r="D106" s="33">
        <v>3.52</v>
      </c>
      <c r="E106" s="33" t="s">
        <v>292</v>
      </c>
      <c r="F106" s="33" t="s">
        <v>292</v>
      </c>
      <c r="G106" s="33" t="s">
        <v>292</v>
      </c>
    </row>
    <row r="107" spans="1:7" x14ac:dyDescent="0.25">
      <c r="A107" s="34" t="s">
        <v>331</v>
      </c>
      <c r="B107" s="33">
        <v>7.68</v>
      </c>
      <c r="C107" s="33">
        <v>7.1</v>
      </c>
      <c r="D107" s="33">
        <v>0.56999999999999995</v>
      </c>
      <c r="E107" s="33" t="s">
        <v>292</v>
      </c>
      <c r="F107" s="33" t="s">
        <v>292</v>
      </c>
      <c r="G107" s="33" t="s">
        <v>292</v>
      </c>
    </row>
    <row r="108" spans="1:7" ht="24" customHeight="1" x14ac:dyDescent="0.25">
      <c r="A108" s="34" t="s">
        <v>332</v>
      </c>
      <c r="B108" s="33">
        <v>48.83</v>
      </c>
      <c r="C108" s="33">
        <v>45.88</v>
      </c>
      <c r="D108" s="33">
        <v>2.94</v>
      </c>
      <c r="E108" s="33" t="s">
        <v>292</v>
      </c>
      <c r="F108" s="33" t="s">
        <v>292</v>
      </c>
      <c r="G108" s="33" t="s">
        <v>292</v>
      </c>
    </row>
    <row r="109" spans="1:7" x14ac:dyDescent="0.25">
      <c r="A109" s="32" t="s">
        <v>329</v>
      </c>
      <c r="B109" s="33">
        <v>28.01</v>
      </c>
      <c r="C109" s="33">
        <v>24.08</v>
      </c>
      <c r="D109" s="33">
        <v>3.94</v>
      </c>
      <c r="E109" s="33" t="s">
        <v>292</v>
      </c>
      <c r="F109" s="33" t="s">
        <v>292</v>
      </c>
      <c r="G109" s="33" t="s">
        <v>292</v>
      </c>
    </row>
    <row r="110" spans="1:7" ht="26.25" customHeight="1" x14ac:dyDescent="0.25">
      <c r="A110" s="37" t="s">
        <v>296</v>
      </c>
      <c r="B110" s="33">
        <v>39.01</v>
      </c>
      <c r="C110" s="33" t="s">
        <v>292</v>
      </c>
      <c r="D110" s="33" t="s">
        <v>292</v>
      </c>
      <c r="E110" s="33">
        <v>9.34</v>
      </c>
      <c r="F110" s="33">
        <v>22.84</v>
      </c>
      <c r="G110" s="33">
        <v>6.83</v>
      </c>
    </row>
    <row r="111" spans="1:7" x14ac:dyDescent="0.25">
      <c r="A111" s="30" t="s">
        <v>333</v>
      </c>
      <c r="B111" s="31"/>
      <c r="C111" s="31"/>
      <c r="D111" s="31"/>
      <c r="E111" s="31"/>
      <c r="F111" s="31"/>
      <c r="G111" s="31"/>
    </row>
    <row r="112" spans="1:7" x14ac:dyDescent="0.25">
      <c r="A112" s="32" t="s">
        <v>326</v>
      </c>
      <c r="B112" s="33">
        <v>51.79</v>
      </c>
      <c r="C112" s="33">
        <v>48.19</v>
      </c>
      <c r="D112" s="33">
        <v>3.6</v>
      </c>
      <c r="E112" s="33" t="s">
        <v>292</v>
      </c>
      <c r="F112" s="33" t="s">
        <v>292</v>
      </c>
      <c r="G112" s="33" t="s">
        <v>292</v>
      </c>
    </row>
    <row r="113" spans="1:7" x14ac:dyDescent="0.25">
      <c r="A113" s="34" t="s">
        <v>334</v>
      </c>
      <c r="B113" s="33">
        <v>11.27</v>
      </c>
      <c r="C113" s="33">
        <v>9.64</v>
      </c>
      <c r="D113" s="33">
        <v>1.64</v>
      </c>
      <c r="E113" s="33" t="s">
        <v>292</v>
      </c>
      <c r="F113" s="33" t="s">
        <v>292</v>
      </c>
      <c r="G113" s="33" t="s">
        <v>292</v>
      </c>
    </row>
    <row r="114" spans="1:7" ht="24" customHeight="1" x14ac:dyDescent="0.25">
      <c r="A114" s="34" t="s">
        <v>335</v>
      </c>
      <c r="B114" s="33">
        <v>34.18</v>
      </c>
      <c r="C114" s="33">
        <v>32.270000000000003</v>
      </c>
      <c r="D114" s="33">
        <v>1.91</v>
      </c>
      <c r="E114" s="33" t="s">
        <v>292</v>
      </c>
      <c r="F114" s="33" t="s">
        <v>292</v>
      </c>
      <c r="G114" s="33" t="s">
        <v>292</v>
      </c>
    </row>
    <row r="115" spans="1:7" ht="24" customHeight="1" x14ac:dyDescent="0.25">
      <c r="A115" s="34" t="s">
        <v>336</v>
      </c>
      <c r="B115" s="33">
        <v>6.34</v>
      </c>
      <c r="C115" s="33">
        <v>6.28</v>
      </c>
      <c r="D115" s="33">
        <v>0.06</v>
      </c>
      <c r="E115" s="33" t="s">
        <v>292</v>
      </c>
      <c r="F115" s="33" t="s">
        <v>292</v>
      </c>
      <c r="G115" s="33" t="s">
        <v>292</v>
      </c>
    </row>
    <row r="116" spans="1:7" x14ac:dyDescent="0.25">
      <c r="A116" s="32" t="s">
        <v>329</v>
      </c>
      <c r="B116" s="33">
        <v>32.72</v>
      </c>
      <c r="C116" s="33">
        <v>28.88</v>
      </c>
      <c r="D116" s="33">
        <v>3.85</v>
      </c>
      <c r="E116" s="33" t="s">
        <v>292</v>
      </c>
      <c r="F116" s="33" t="s">
        <v>292</v>
      </c>
      <c r="G116" s="33" t="s">
        <v>292</v>
      </c>
    </row>
    <row r="117" spans="1:7" ht="26.25" customHeight="1" x14ac:dyDescent="0.25">
      <c r="A117" s="37" t="s">
        <v>296</v>
      </c>
      <c r="B117" s="33">
        <v>39.01</v>
      </c>
      <c r="C117" s="33" t="s">
        <v>292</v>
      </c>
      <c r="D117" s="33" t="s">
        <v>292</v>
      </c>
      <c r="E117" s="33">
        <v>9.34</v>
      </c>
      <c r="F117" s="33">
        <v>22.84</v>
      </c>
      <c r="G117" s="33">
        <v>6.83</v>
      </c>
    </row>
    <row r="118" spans="1:7" x14ac:dyDescent="0.25">
      <c r="A118" s="30" t="s">
        <v>337</v>
      </c>
      <c r="B118" s="31"/>
      <c r="C118" s="31"/>
      <c r="D118" s="31"/>
      <c r="E118" s="31"/>
      <c r="F118" s="31"/>
      <c r="G118" s="31"/>
    </row>
    <row r="119" spans="1:7" x14ac:dyDescent="0.25">
      <c r="A119" s="32" t="s">
        <v>338</v>
      </c>
      <c r="B119" s="33">
        <v>34.340000000000003</v>
      </c>
      <c r="C119" s="33">
        <v>24.33</v>
      </c>
      <c r="D119" s="33">
        <v>1.8</v>
      </c>
      <c r="E119" s="33">
        <v>1.59</v>
      </c>
      <c r="F119" s="33">
        <v>5.22</v>
      </c>
      <c r="G119" s="33">
        <v>1.39</v>
      </c>
    </row>
    <row r="120" spans="1:7" x14ac:dyDescent="0.25">
      <c r="A120" s="32" t="s">
        <v>339</v>
      </c>
      <c r="B120" s="33">
        <v>64.27</v>
      </c>
      <c r="C120" s="33">
        <v>40.369999999999997</v>
      </c>
      <c r="D120" s="33">
        <v>3.98</v>
      </c>
      <c r="E120" s="33">
        <v>4.41</v>
      </c>
      <c r="F120" s="33">
        <v>12.22</v>
      </c>
      <c r="G120" s="33">
        <v>3.28</v>
      </c>
    </row>
    <row r="121" spans="1:7" ht="24" customHeight="1" x14ac:dyDescent="0.25">
      <c r="A121" s="32" t="s">
        <v>340</v>
      </c>
      <c r="B121" s="33">
        <v>21.29</v>
      </c>
      <c r="C121" s="33">
        <v>11.11</v>
      </c>
      <c r="D121" s="33">
        <v>1.45</v>
      </c>
      <c r="E121" s="33">
        <v>2.7</v>
      </c>
      <c r="F121" s="33">
        <v>4.1500000000000004</v>
      </c>
      <c r="G121" s="33">
        <v>1.87</v>
      </c>
    </row>
    <row r="122" spans="1:7" x14ac:dyDescent="0.25">
      <c r="A122" s="32" t="s">
        <v>341</v>
      </c>
      <c r="B122" s="33">
        <v>3.63</v>
      </c>
      <c r="C122" s="33">
        <v>1.25</v>
      </c>
      <c r="D122" s="33">
        <v>0.21</v>
      </c>
      <c r="E122" s="33">
        <v>0.64</v>
      </c>
      <c r="F122" s="33">
        <v>1.24</v>
      </c>
      <c r="G122" s="33">
        <v>0.28999999999999998</v>
      </c>
    </row>
    <row r="123" spans="1:7" x14ac:dyDescent="0.25">
      <c r="A123" s="30" t="s">
        <v>342</v>
      </c>
      <c r="B123" s="31"/>
      <c r="C123" s="31"/>
      <c r="D123" s="31"/>
      <c r="E123" s="31"/>
      <c r="F123" s="31"/>
      <c r="G123" s="31"/>
    </row>
    <row r="124" spans="1:7" x14ac:dyDescent="0.25">
      <c r="A124" s="32" t="s">
        <v>343</v>
      </c>
      <c r="B124" s="33">
        <v>55.37</v>
      </c>
      <c r="C124" s="33">
        <v>37.020000000000003</v>
      </c>
      <c r="D124" s="33">
        <v>2.91</v>
      </c>
      <c r="E124" s="33">
        <v>2.9</v>
      </c>
      <c r="F124" s="33">
        <v>10.130000000000001</v>
      </c>
      <c r="G124" s="33">
        <v>2.41</v>
      </c>
    </row>
    <row r="125" spans="1:7" x14ac:dyDescent="0.25">
      <c r="A125" s="32" t="s">
        <v>344</v>
      </c>
      <c r="B125" s="33">
        <v>52.63</v>
      </c>
      <c r="C125" s="33">
        <v>32.53</v>
      </c>
      <c r="D125" s="33">
        <v>3.35</v>
      </c>
      <c r="E125" s="33">
        <v>4.22</v>
      </c>
      <c r="F125" s="33">
        <v>9.35</v>
      </c>
      <c r="G125" s="33">
        <v>3.19</v>
      </c>
    </row>
    <row r="126" spans="1:7" s="36" customFormat="1" ht="24" customHeight="1" x14ac:dyDescent="0.25">
      <c r="A126" s="32" t="s">
        <v>345</v>
      </c>
      <c r="B126" s="33">
        <v>10.39</v>
      </c>
      <c r="C126" s="33">
        <v>5.3</v>
      </c>
      <c r="D126" s="33">
        <v>0.76</v>
      </c>
      <c r="E126" s="33">
        <v>1.43</v>
      </c>
      <c r="F126" s="33">
        <v>2.15</v>
      </c>
      <c r="G126" s="33">
        <v>0.75</v>
      </c>
    </row>
    <row r="127" spans="1:7" s="36" customFormat="1" x14ac:dyDescent="0.25">
      <c r="A127" s="32" t="s">
        <v>346</v>
      </c>
      <c r="B127" s="33">
        <v>5.14</v>
      </c>
      <c r="C127" s="33">
        <v>2.2200000000000002</v>
      </c>
      <c r="D127" s="33">
        <v>0.44</v>
      </c>
      <c r="E127" s="33">
        <v>0.8</v>
      </c>
      <c r="F127" s="33">
        <v>1.2</v>
      </c>
      <c r="G127" s="33">
        <v>0.48</v>
      </c>
    </row>
    <row r="128" spans="1:7" s="36" customFormat="1" x14ac:dyDescent="0.25">
      <c r="A128" s="30" t="s">
        <v>347</v>
      </c>
      <c r="B128" s="31"/>
      <c r="C128" s="31"/>
      <c r="D128" s="31"/>
      <c r="E128" s="31"/>
      <c r="F128" s="31"/>
      <c r="G128" s="31"/>
    </row>
    <row r="129" spans="1:7" x14ac:dyDescent="0.25">
      <c r="A129" s="32" t="s">
        <v>326</v>
      </c>
      <c r="B129" s="33">
        <v>55.18</v>
      </c>
      <c r="C129" s="33">
        <v>39.22</v>
      </c>
      <c r="D129" s="33">
        <v>3.72</v>
      </c>
      <c r="E129" s="33">
        <v>3.49</v>
      </c>
      <c r="F129" s="33">
        <v>8.75</v>
      </c>
      <c r="G129" s="33" t="s">
        <v>292</v>
      </c>
    </row>
    <row r="130" spans="1:7" x14ac:dyDescent="0.25">
      <c r="A130" s="32" t="s">
        <v>329</v>
      </c>
      <c r="B130" s="33">
        <v>61.52</v>
      </c>
      <c r="C130" s="33">
        <v>37.85</v>
      </c>
      <c r="D130" s="33">
        <v>3.73</v>
      </c>
      <c r="E130" s="33">
        <v>5.85</v>
      </c>
      <c r="F130" s="33">
        <v>14.08</v>
      </c>
      <c r="G130" s="33" t="s">
        <v>292</v>
      </c>
    </row>
    <row r="131" spans="1:7" ht="24" customHeight="1" x14ac:dyDescent="0.25">
      <c r="A131" s="37" t="s">
        <v>348</v>
      </c>
      <c r="B131" s="33">
        <v>6.83</v>
      </c>
      <c r="C131" s="33" t="s">
        <v>292</v>
      </c>
      <c r="D131" s="33" t="s">
        <v>292</v>
      </c>
      <c r="E131" s="33" t="s">
        <v>292</v>
      </c>
      <c r="F131" s="33" t="s">
        <v>292</v>
      </c>
      <c r="G131" s="33">
        <v>6.83</v>
      </c>
    </row>
    <row r="132" spans="1:7" x14ac:dyDescent="0.25">
      <c r="A132" s="30" t="s">
        <v>349</v>
      </c>
      <c r="B132" s="31"/>
      <c r="C132" s="31"/>
      <c r="D132" s="31"/>
      <c r="E132" s="31"/>
      <c r="F132" s="31"/>
      <c r="G132" s="31"/>
    </row>
    <row r="133" spans="1:7" x14ac:dyDescent="0.25">
      <c r="A133" s="32" t="s">
        <v>350</v>
      </c>
      <c r="B133" s="33">
        <v>6.95</v>
      </c>
      <c r="C133" s="33">
        <v>0.1</v>
      </c>
      <c r="D133" s="33">
        <v>0.22</v>
      </c>
      <c r="E133" s="33">
        <v>0.77</v>
      </c>
      <c r="F133" s="33">
        <v>5.85</v>
      </c>
      <c r="G133" s="33" t="s">
        <v>303</v>
      </c>
    </row>
    <row r="134" spans="1:7" x14ac:dyDescent="0.25">
      <c r="A134" s="32" t="s">
        <v>351</v>
      </c>
      <c r="B134" s="33">
        <v>18.149999999999999</v>
      </c>
      <c r="C134" s="33">
        <v>1.72</v>
      </c>
      <c r="D134" s="33">
        <v>1.79</v>
      </c>
      <c r="E134" s="33">
        <v>3.81</v>
      </c>
      <c r="F134" s="33">
        <v>10.54</v>
      </c>
      <c r="G134" s="33">
        <v>0.28999999999999998</v>
      </c>
    </row>
    <row r="135" spans="1:7" ht="24" customHeight="1" x14ac:dyDescent="0.25">
      <c r="A135" s="32" t="s">
        <v>352</v>
      </c>
      <c r="B135" s="33">
        <v>29.35</v>
      </c>
      <c r="C135" s="33">
        <v>16.16</v>
      </c>
      <c r="D135" s="33">
        <v>2.6</v>
      </c>
      <c r="E135" s="33">
        <v>2.86</v>
      </c>
      <c r="F135" s="33">
        <v>5.09</v>
      </c>
      <c r="G135" s="33">
        <v>2.66</v>
      </c>
    </row>
    <row r="136" spans="1:7" x14ac:dyDescent="0.25">
      <c r="A136" s="38" t="s">
        <v>353</v>
      </c>
      <c r="B136" s="33">
        <v>38.42</v>
      </c>
      <c r="C136" s="33">
        <v>30.76</v>
      </c>
      <c r="D136" s="33">
        <v>1.97</v>
      </c>
      <c r="E136" s="33">
        <v>1.42</v>
      </c>
      <c r="F136" s="33">
        <v>1.04</v>
      </c>
      <c r="G136" s="33">
        <v>3.23</v>
      </c>
    </row>
    <row r="137" spans="1:7" x14ac:dyDescent="0.25">
      <c r="A137" s="38" t="s">
        <v>354</v>
      </c>
      <c r="B137" s="33">
        <v>13.61</v>
      </c>
      <c r="C137" s="33">
        <v>12.28</v>
      </c>
      <c r="D137" s="33">
        <v>0.43</v>
      </c>
      <c r="E137" s="33">
        <v>0.25</v>
      </c>
      <c r="F137" s="33">
        <v>0.14000000000000001</v>
      </c>
      <c r="G137" s="33">
        <v>0.51</v>
      </c>
    </row>
    <row r="138" spans="1:7" x14ac:dyDescent="0.25">
      <c r="A138" s="38" t="s">
        <v>355</v>
      </c>
      <c r="B138" s="33">
        <v>12.43</v>
      </c>
      <c r="C138" s="33">
        <v>11.7</v>
      </c>
      <c r="D138" s="33">
        <v>0.35</v>
      </c>
      <c r="E138" s="33">
        <v>0.14000000000000001</v>
      </c>
      <c r="F138" s="33" t="s">
        <v>303</v>
      </c>
      <c r="G138" s="33">
        <v>0.13</v>
      </c>
    </row>
    <row r="139" spans="1:7" x14ac:dyDescent="0.25">
      <c r="A139" s="38" t="s">
        <v>356</v>
      </c>
      <c r="B139" s="33">
        <v>4.62</v>
      </c>
      <c r="C139" s="33">
        <v>4.3499999999999996</v>
      </c>
      <c r="D139" s="33">
        <v>0.1</v>
      </c>
      <c r="E139" s="33">
        <v>0.09</v>
      </c>
      <c r="F139" s="33" t="s">
        <v>303</v>
      </c>
      <c r="G139" s="33" t="s">
        <v>303</v>
      </c>
    </row>
    <row r="140" spans="1:7" x14ac:dyDescent="0.25">
      <c r="A140" s="30" t="s">
        <v>357</v>
      </c>
      <c r="B140" s="31"/>
      <c r="C140" s="31"/>
      <c r="D140" s="31"/>
      <c r="E140" s="31"/>
      <c r="F140" s="31"/>
      <c r="G140" s="31"/>
    </row>
    <row r="141" spans="1:7" x14ac:dyDescent="0.25">
      <c r="A141" s="32" t="s">
        <v>358</v>
      </c>
      <c r="B141" s="33">
        <v>43.51</v>
      </c>
      <c r="C141" s="33">
        <v>21.45</v>
      </c>
      <c r="D141" s="33">
        <v>2.81</v>
      </c>
      <c r="E141" s="33">
        <v>4.9400000000000004</v>
      </c>
      <c r="F141" s="33">
        <v>10.84</v>
      </c>
      <c r="G141" s="33">
        <v>3.46</v>
      </c>
    </row>
    <row r="142" spans="1:7" x14ac:dyDescent="0.25">
      <c r="A142" s="32" t="s">
        <v>359</v>
      </c>
      <c r="B142" s="33">
        <v>77.95</v>
      </c>
      <c r="C142" s="33">
        <v>54.09</v>
      </c>
      <c r="D142" s="33">
        <v>4.5199999999999996</v>
      </c>
      <c r="E142" s="33">
        <v>4.33</v>
      </c>
      <c r="F142" s="33">
        <v>11.72</v>
      </c>
      <c r="G142" s="33">
        <v>3.29</v>
      </c>
    </row>
    <row r="143" spans="1:7" ht="24" customHeight="1" x14ac:dyDescent="0.25">
      <c r="A143" s="32" t="s">
        <v>360</v>
      </c>
      <c r="B143" s="33">
        <v>2.0699999999999998</v>
      </c>
      <c r="C143" s="33">
        <v>1.53</v>
      </c>
      <c r="D143" s="33">
        <v>0.12</v>
      </c>
      <c r="E143" s="33">
        <v>7.0000000000000007E-2</v>
      </c>
      <c r="F143" s="33">
        <v>0.27</v>
      </c>
      <c r="G143" s="33" t="s">
        <v>303</v>
      </c>
    </row>
    <row r="144" spans="1:7" x14ac:dyDescent="0.25">
      <c r="A144" s="30" t="s">
        <v>361</v>
      </c>
      <c r="B144" s="31"/>
      <c r="C144" s="31"/>
      <c r="D144" s="31"/>
      <c r="E144" s="31"/>
      <c r="F144" s="31"/>
      <c r="G144" s="31"/>
    </row>
    <row r="145" spans="1:7" x14ac:dyDescent="0.25">
      <c r="A145" s="32" t="s">
        <v>362</v>
      </c>
      <c r="B145" s="33">
        <v>47.4</v>
      </c>
      <c r="C145" s="33">
        <v>23.3</v>
      </c>
      <c r="D145" s="33">
        <v>2.89</v>
      </c>
      <c r="E145" s="33">
        <v>4.2300000000000004</v>
      </c>
      <c r="F145" s="33">
        <v>13.02</v>
      </c>
      <c r="G145" s="33">
        <v>3.94</v>
      </c>
    </row>
    <row r="146" spans="1:7" x14ac:dyDescent="0.25">
      <c r="A146" s="32" t="s">
        <v>300</v>
      </c>
      <c r="B146" s="33">
        <v>40.31</v>
      </c>
      <c r="C146" s="33">
        <v>27.87</v>
      </c>
      <c r="D146" s="33">
        <v>2.2599999999999998</v>
      </c>
      <c r="E146" s="33">
        <v>3.23</v>
      </c>
      <c r="F146" s="33">
        <v>5.52</v>
      </c>
      <c r="G146" s="33">
        <v>1.43</v>
      </c>
    </row>
    <row r="147" spans="1:7" ht="24" customHeight="1" x14ac:dyDescent="0.25">
      <c r="A147" s="32" t="s">
        <v>363</v>
      </c>
      <c r="B147" s="33">
        <v>31.85</v>
      </c>
      <c r="C147" s="33">
        <v>23.39</v>
      </c>
      <c r="D147" s="33">
        <v>1.95</v>
      </c>
      <c r="E147" s="33">
        <v>1.54</v>
      </c>
      <c r="F147" s="33">
        <v>3.66</v>
      </c>
      <c r="G147" s="33">
        <v>1.3</v>
      </c>
    </row>
    <row r="148" spans="1:7" x14ac:dyDescent="0.25">
      <c r="A148" s="38" t="s">
        <v>364</v>
      </c>
      <c r="B148" s="33">
        <v>1.72</v>
      </c>
      <c r="C148" s="33">
        <v>0.94</v>
      </c>
      <c r="D148" s="33">
        <v>0.15</v>
      </c>
      <c r="E148" s="33">
        <v>0.19</v>
      </c>
      <c r="F148" s="33">
        <v>0.34</v>
      </c>
      <c r="G148" s="33">
        <v>0.1</v>
      </c>
    </row>
    <row r="149" spans="1:7" x14ac:dyDescent="0.25">
      <c r="A149" s="38" t="s">
        <v>365</v>
      </c>
      <c r="B149" s="33">
        <v>2.25</v>
      </c>
      <c r="C149" s="33">
        <v>1.56</v>
      </c>
      <c r="D149" s="33">
        <v>0.19</v>
      </c>
      <c r="E149" s="33">
        <v>0.15</v>
      </c>
      <c r="F149" s="33">
        <v>0.3</v>
      </c>
      <c r="G149" s="33" t="s">
        <v>303</v>
      </c>
    </row>
    <row r="150" spans="1:7" ht="26.25" customHeight="1" x14ac:dyDescent="0.25">
      <c r="A150" s="30" t="s">
        <v>366</v>
      </c>
      <c r="B150" s="31"/>
      <c r="C150" s="31"/>
      <c r="D150" s="31"/>
      <c r="E150" s="31"/>
      <c r="F150" s="31"/>
      <c r="G150" s="31"/>
    </row>
    <row r="151" spans="1:7" x14ac:dyDescent="0.25">
      <c r="A151" s="37">
        <v>0</v>
      </c>
      <c r="B151" s="33">
        <v>60.38</v>
      </c>
      <c r="C151" s="33">
        <v>33.83</v>
      </c>
      <c r="D151" s="33">
        <v>3.24</v>
      </c>
      <c r="E151" s="33">
        <v>6.19</v>
      </c>
      <c r="F151" s="33">
        <v>12.3</v>
      </c>
      <c r="G151" s="33">
        <v>4.8</v>
      </c>
    </row>
    <row r="152" spans="1:7" x14ac:dyDescent="0.25">
      <c r="A152" s="37">
        <v>1</v>
      </c>
      <c r="B152" s="33">
        <v>39.81</v>
      </c>
      <c r="C152" s="33">
        <v>25.64</v>
      </c>
      <c r="D152" s="33">
        <v>2.57</v>
      </c>
      <c r="E152" s="33">
        <v>2.27</v>
      </c>
      <c r="F152" s="33">
        <v>8.06</v>
      </c>
      <c r="G152" s="33">
        <v>1.27</v>
      </c>
    </row>
    <row r="153" spans="1:7" ht="24" customHeight="1" x14ac:dyDescent="0.25">
      <c r="A153" s="37">
        <v>2</v>
      </c>
      <c r="B153" s="33">
        <v>15.19</v>
      </c>
      <c r="C153" s="33">
        <v>10.85</v>
      </c>
      <c r="D153" s="33">
        <v>1.26</v>
      </c>
      <c r="E153" s="33">
        <v>0.67</v>
      </c>
      <c r="F153" s="33">
        <v>1.84</v>
      </c>
      <c r="G153" s="33">
        <v>0.56000000000000005</v>
      </c>
    </row>
    <row r="154" spans="1:7" x14ac:dyDescent="0.25">
      <c r="A154" s="37" t="s">
        <v>322</v>
      </c>
      <c r="B154" s="33">
        <v>8.16</v>
      </c>
      <c r="C154" s="33">
        <v>6.75</v>
      </c>
      <c r="D154" s="33">
        <v>0.38</v>
      </c>
      <c r="E154" s="33">
        <v>0.2</v>
      </c>
      <c r="F154" s="33">
        <v>0.64</v>
      </c>
      <c r="G154" s="33">
        <v>0.19</v>
      </c>
    </row>
    <row r="155" spans="1:7" x14ac:dyDescent="0.25">
      <c r="A155" s="30" t="s">
        <v>367</v>
      </c>
      <c r="B155" s="31"/>
      <c r="C155" s="31"/>
      <c r="D155" s="31"/>
      <c r="E155" s="31"/>
      <c r="F155" s="31"/>
      <c r="G155" s="31"/>
    </row>
    <row r="156" spans="1:7" x14ac:dyDescent="0.25">
      <c r="A156" s="32" t="s">
        <v>326</v>
      </c>
      <c r="B156" s="33">
        <v>34.299999999999997</v>
      </c>
      <c r="C156" s="33">
        <v>25.3</v>
      </c>
      <c r="D156" s="33">
        <v>1.83</v>
      </c>
      <c r="E156" s="33">
        <v>1.97</v>
      </c>
      <c r="F156" s="33">
        <v>3.38</v>
      </c>
      <c r="G156" s="33">
        <v>1.82</v>
      </c>
    </row>
    <row r="157" spans="1:7" x14ac:dyDescent="0.25">
      <c r="A157" s="32" t="s">
        <v>329</v>
      </c>
      <c r="B157" s="33">
        <v>36.81</v>
      </c>
      <c r="C157" s="33">
        <v>22.8</v>
      </c>
      <c r="D157" s="33">
        <v>2.2000000000000002</v>
      </c>
      <c r="E157" s="33">
        <v>2.74</v>
      </c>
      <c r="F157" s="33">
        <v>6.71</v>
      </c>
      <c r="G157" s="33">
        <v>2.35</v>
      </c>
    </row>
    <row r="158" spans="1:7" ht="24" customHeight="1" x14ac:dyDescent="0.25">
      <c r="A158" s="32" t="s">
        <v>368</v>
      </c>
      <c r="B158" s="33">
        <v>52.42</v>
      </c>
      <c r="C158" s="33">
        <v>28.96</v>
      </c>
      <c r="D158" s="33">
        <v>3.43</v>
      </c>
      <c r="E158" s="33">
        <v>4.62</v>
      </c>
      <c r="F158" s="33">
        <v>12.74</v>
      </c>
      <c r="G158" s="33">
        <v>2.66</v>
      </c>
    </row>
    <row r="159" spans="1:7" ht="26.25" customHeight="1" x14ac:dyDescent="0.25">
      <c r="A159" s="30" t="s">
        <v>369</v>
      </c>
      <c r="B159" s="31"/>
      <c r="C159" s="31"/>
      <c r="D159" s="31"/>
      <c r="E159" s="31"/>
      <c r="F159" s="31"/>
      <c r="G159" s="31"/>
    </row>
    <row r="160" spans="1:7" x14ac:dyDescent="0.25">
      <c r="A160" s="32" t="s">
        <v>326</v>
      </c>
      <c r="B160" s="33">
        <v>67.83</v>
      </c>
      <c r="C160" s="33">
        <v>58.09</v>
      </c>
      <c r="D160" s="33">
        <v>4.22</v>
      </c>
      <c r="E160" s="33">
        <v>2.11</v>
      </c>
      <c r="F160" s="33" t="s">
        <v>292</v>
      </c>
      <c r="G160" s="33">
        <v>3.41</v>
      </c>
    </row>
    <row r="161" spans="1:7" x14ac:dyDescent="0.25">
      <c r="A161" s="32" t="s">
        <v>329</v>
      </c>
      <c r="B161" s="33">
        <v>32.869999999999997</v>
      </c>
      <c r="C161" s="33">
        <v>18.97</v>
      </c>
      <c r="D161" s="33">
        <v>3.24</v>
      </c>
      <c r="E161" s="33">
        <v>7.23</v>
      </c>
      <c r="F161" s="33" t="s">
        <v>292</v>
      </c>
      <c r="G161" s="33">
        <v>3.42</v>
      </c>
    </row>
    <row r="162" spans="1:7" ht="24" customHeight="1" x14ac:dyDescent="0.25">
      <c r="A162" s="32" t="s">
        <v>314</v>
      </c>
      <c r="B162" s="33">
        <v>22.84</v>
      </c>
      <c r="C162" s="33" t="s">
        <v>292</v>
      </c>
      <c r="D162" s="33" t="s">
        <v>292</v>
      </c>
      <c r="E162" s="33" t="s">
        <v>292</v>
      </c>
      <c r="F162" s="33">
        <v>22.84</v>
      </c>
      <c r="G162" s="33" t="s">
        <v>292</v>
      </c>
    </row>
    <row r="163" spans="1:7" ht="26.25" customHeight="1" x14ac:dyDescent="0.25">
      <c r="A163" s="30" t="s">
        <v>370</v>
      </c>
      <c r="B163" s="39"/>
      <c r="C163" s="39"/>
      <c r="D163" s="39"/>
      <c r="E163" s="39"/>
      <c r="F163" s="39"/>
      <c r="G163" s="39"/>
    </row>
    <row r="164" spans="1:7" x14ac:dyDescent="0.25">
      <c r="A164" s="32" t="s">
        <v>326</v>
      </c>
      <c r="B164" s="39">
        <v>1.82</v>
      </c>
      <c r="C164" s="39">
        <v>1.46</v>
      </c>
      <c r="D164" s="39">
        <v>0.11</v>
      </c>
      <c r="E164" s="39" t="s">
        <v>303</v>
      </c>
      <c r="F164" s="39">
        <v>0.17</v>
      </c>
      <c r="G164" s="39" t="s">
        <v>303</v>
      </c>
    </row>
    <row r="165" spans="1:7" x14ac:dyDescent="0.25">
      <c r="A165" s="34" t="s">
        <v>371</v>
      </c>
      <c r="B165" s="39">
        <v>1.39</v>
      </c>
      <c r="C165" s="39">
        <v>1.22</v>
      </c>
      <c r="D165" s="39">
        <v>0.09</v>
      </c>
      <c r="E165" s="39" t="s">
        <v>303</v>
      </c>
      <c r="F165" s="39" t="s">
        <v>303</v>
      </c>
      <c r="G165" s="39" t="s">
        <v>303</v>
      </c>
    </row>
    <row r="166" spans="1:7" ht="33.75" customHeight="1" x14ac:dyDescent="0.25">
      <c r="A166" s="32" t="s">
        <v>329</v>
      </c>
      <c r="B166" s="39">
        <v>121.71</v>
      </c>
      <c r="C166" s="39">
        <v>75.61</v>
      </c>
      <c r="D166" s="39">
        <v>7.34</v>
      </c>
      <c r="E166" s="39">
        <v>9.2899999999999991</v>
      </c>
      <c r="F166" s="39">
        <v>22.67</v>
      </c>
      <c r="G166" s="39">
        <v>6.79</v>
      </c>
    </row>
    <row r="167" spans="1:7" x14ac:dyDescent="0.25">
      <c r="A167" s="30" t="s">
        <v>372</v>
      </c>
      <c r="B167" s="30"/>
      <c r="C167" s="30"/>
      <c r="D167" s="30"/>
      <c r="E167" s="30"/>
      <c r="F167" s="30"/>
      <c r="G167" s="30"/>
    </row>
    <row r="168" spans="1:7" x14ac:dyDescent="0.25">
      <c r="A168" s="32" t="s">
        <v>326</v>
      </c>
      <c r="B168" s="33">
        <v>84.52</v>
      </c>
      <c r="C168" s="33">
        <v>54.13</v>
      </c>
      <c r="D168" s="33">
        <v>5.63</v>
      </c>
      <c r="E168" s="33">
        <v>6.95</v>
      </c>
      <c r="F168" s="33">
        <v>14.94</v>
      </c>
      <c r="G168" s="33">
        <v>2.87</v>
      </c>
    </row>
    <row r="169" spans="1:7" x14ac:dyDescent="0.25">
      <c r="A169" s="34" t="s">
        <v>373</v>
      </c>
      <c r="B169" s="33">
        <v>69.489999999999995</v>
      </c>
      <c r="C169" s="33">
        <v>47.14</v>
      </c>
      <c r="D169" s="33">
        <v>4.9000000000000004</v>
      </c>
      <c r="E169" s="33">
        <v>5.27</v>
      </c>
      <c r="F169" s="33">
        <v>10.3</v>
      </c>
      <c r="G169" s="33">
        <v>1.89</v>
      </c>
    </row>
    <row r="170" spans="1:7" ht="33.75" customHeight="1" x14ac:dyDescent="0.25">
      <c r="A170" s="34" t="s">
        <v>374</v>
      </c>
      <c r="B170" s="33">
        <v>15.03</v>
      </c>
      <c r="C170" s="33">
        <v>6.99</v>
      </c>
      <c r="D170" s="33">
        <v>0.74</v>
      </c>
      <c r="E170" s="33">
        <v>1.68</v>
      </c>
      <c r="F170" s="33">
        <v>4.6399999999999997</v>
      </c>
      <c r="G170" s="33">
        <v>0.98</v>
      </c>
    </row>
    <row r="171" spans="1:7" x14ac:dyDescent="0.25">
      <c r="A171" s="32" t="s">
        <v>329</v>
      </c>
      <c r="B171" s="33">
        <v>39.01</v>
      </c>
      <c r="C171" s="33">
        <v>22.93</v>
      </c>
      <c r="D171" s="33">
        <v>1.82</v>
      </c>
      <c r="E171" s="33">
        <v>2.4</v>
      </c>
      <c r="F171" s="33">
        <v>7.9</v>
      </c>
      <c r="G171" s="33">
        <v>3.96</v>
      </c>
    </row>
    <row r="172" spans="1:7" x14ac:dyDescent="0.25">
      <c r="A172" s="30" t="s">
        <v>375</v>
      </c>
      <c r="B172" s="31"/>
      <c r="C172" s="31"/>
      <c r="D172" s="31"/>
      <c r="E172" s="31"/>
      <c r="F172" s="31"/>
      <c r="G172" s="31"/>
    </row>
    <row r="173" spans="1:7" x14ac:dyDescent="0.25">
      <c r="A173" s="32" t="s">
        <v>326</v>
      </c>
      <c r="B173" s="33">
        <v>3.37</v>
      </c>
      <c r="C173" s="33">
        <v>3.16</v>
      </c>
      <c r="D173" s="33">
        <v>0.11</v>
      </c>
      <c r="E173" s="33" t="s">
        <v>292</v>
      </c>
      <c r="F173" s="33" t="s">
        <v>292</v>
      </c>
      <c r="G173" s="33">
        <v>0.1</v>
      </c>
    </row>
    <row r="174" spans="1:7" x14ac:dyDescent="0.25">
      <c r="A174" s="32" t="s">
        <v>329</v>
      </c>
      <c r="B174" s="33">
        <v>87.98</v>
      </c>
      <c r="C174" s="33">
        <v>73.91</v>
      </c>
      <c r="D174" s="33">
        <v>7.34</v>
      </c>
      <c r="E174" s="33" t="s">
        <v>292</v>
      </c>
      <c r="F174" s="33" t="s">
        <v>292</v>
      </c>
      <c r="G174" s="33">
        <v>6.73</v>
      </c>
    </row>
    <row r="175" spans="1:7" ht="24" customHeight="1" x14ac:dyDescent="0.25">
      <c r="A175" s="32" t="s">
        <v>376</v>
      </c>
      <c r="B175" s="33">
        <v>32.18</v>
      </c>
      <c r="C175" s="33" t="s">
        <v>292</v>
      </c>
      <c r="D175" s="33" t="s">
        <v>292</v>
      </c>
      <c r="E175" s="33">
        <v>9.34</v>
      </c>
      <c r="F175" s="33">
        <v>22.84</v>
      </c>
      <c r="G175" s="33" t="s">
        <v>292</v>
      </c>
    </row>
    <row r="176" spans="1:7" ht="26.25" customHeight="1" x14ac:dyDescent="0.25">
      <c r="A176" s="30" t="s">
        <v>377</v>
      </c>
      <c r="B176" s="31"/>
      <c r="C176" s="31"/>
      <c r="D176" s="31"/>
      <c r="E176" s="31"/>
      <c r="F176" s="31"/>
      <c r="G176" s="31"/>
    </row>
    <row r="177" spans="1:7" x14ac:dyDescent="0.25">
      <c r="A177" s="32" t="s">
        <v>326</v>
      </c>
      <c r="B177" s="33">
        <v>22.72</v>
      </c>
      <c r="C177" s="33">
        <v>15.11</v>
      </c>
      <c r="D177" s="33">
        <v>1.05</v>
      </c>
      <c r="E177" s="33">
        <v>1.42</v>
      </c>
      <c r="F177" s="33">
        <v>3.64</v>
      </c>
      <c r="G177" s="33">
        <v>1.5</v>
      </c>
    </row>
    <row r="178" spans="1:7" x14ac:dyDescent="0.25">
      <c r="A178" s="34" t="s">
        <v>378</v>
      </c>
      <c r="B178" s="33">
        <v>19</v>
      </c>
      <c r="C178" s="33">
        <v>13.08</v>
      </c>
      <c r="D178" s="33">
        <v>0.83</v>
      </c>
      <c r="E178" s="33">
        <v>1.08</v>
      </c>
      <c r="F178" s="33">
        <v>2.68</v>
      </c>
      <c r="G178" s="33">
        <v>1.32</v>
      </c>
    </row>
    <row r="179" spans="1:7" ht="24" customHeight="1" x14ac:dyDescent="0.25">
      <c r="A179" s="34" t="s">
        <v>379</v>
      </c>
      <c r="B179" s="33">
        <v>0.25</v>
      </c>
      <c r="C179" s="33">
        <v>0.15</v>
      </c>
      <c r="D179" s="33" t="s">
        <v>303</v>
      </c>
      <c r="E179" s="33" t="s">
        <v>303</v>
      </c>
      <c r="F179" s="33" t="s">
        <v>303</v>
      </c>
      <c r="G179" s="33" t="s">
        <v>303</v>
      </c>
    </row>
    <row r="180" spans="1:7" ht="26.25" customHeight="1" x14ac:dyDescent="0.25">
      <c r="A180" s="34" t="s">
        <v>380</v>
      </c>
      <c r="B180" s="33">
        <v>3.08</v>
      </c>
      <c r="C180" s="33">
        <v>1.71</v>
      </c>
      <c r="D180" s="33">
        <v>0.18</v>
      </c>
      <c r="E180" s="33">
        <v>0.28999999999999998</v>
      </c>
      <c r="F180" s="33">
        <v>0.76</v>
      </c>
      <c r="G180" s="33">
        <v>0.14000000000000001</v>
      </c>
    </row>
    <row r="181" spans="1:7" x14ac:dyDescent="0.25">
      <c r="A181" s="34" t="s">
        <v>381</v>
      </c>
      <c r="B181" s="33">
        <v>0.39</v>
      </c>
      <c r="C181" s="33">
        <v>0.16</v>
      </c>
      <c r="D181" s="33" t="s">
        <v>303</v>
      </c>
      <c r="E181" s="33" t="s">
        <v>303</v>
      </c>
      <c r="F181" s="33">
        <v>0.18</v>
      </c>
      <c r="G181" s="33" t="s">
        <v>303</v>
      </c>
    </row>
    <row r="182" spans="1:7" x14ac:dyDescent="0.25">
      <c r="A182" s="32" t="s">
        <v>329</v>
      </c>
      <c r="B182" s="33">
        <v>100.81</v>
      </c>
      <c r="C182" s="33">
        <v>61.96</v>
      </c>
      <c r="D182" s="33">
        <v>6.4</v>
      </c>
      <c r="E182" s="33">
        <v>7.92</v>
      </c>
      <c r="F182" s="33">
        <v>19.190000000000001</v>
      </c>
      <c r="G182" s="33">
        <v>5.33</v>
      </c>
    </row>
    <row r="183" spans="1:7" ht="24" customHeight="1" x14ac:dyDescent="0.25">
      <c r="A183" s="30" t="s">
        <v>382</v>
      </c>
      <c r="B183" s="31"/>
      <c r="C183" s="31"/>
      <c r="D183" s="31"/>
      <c r="E183" s="31"/>
      <c r="F183" s="31"/>
      <c r="G183" s="31"/>
    </row>
    <row r="184" spans="1:7" x14ac:dyDescent="0.25">
      <c r="A184" s="32" t="s">
        <v>326</v>
      </c>
      <c r="B184" s="33">
        <v>17.66</v>
      </c>
      <c r="C184" s="33">
        <v>13.93</v>
      </c>
      <c r="D184" s="33">
        <v>0.34</v>
      </c>
      <c r="E184" s="33">
        <v>0.22</v>
      </c>
      <c r="F184" s="33">
        <v>2.15</v>
      </c>
      <c r="G184" s="33">
        <v>1.02</v>
      </c>
    </row>
    <row r="185" spans="1:7" x14ac:dyDescent="0.25">
      <c r="A185" s="32" t="s">
        <v>329</v>
      </c>
      <c r="B185" s="33">
        <v>105.87</v>
      </c>
      <c r="C185" s="33">
        <v>63.14</v>
      </c>
      <c r="D185" s="33">
        <v>7.11</v>
      </c>
      <c r="E185" s="33">
        <v>9.1199999999999992</v>
      </c>
      <c r="F185" s="33">
        <v>20.69</v>
      </c>
      <c r="G185" s="33">
        <v>5.82</v>
      </c>
    </row>
    <row r="186" spans="1:7" x14ac:dyDescent="0.25">
      <c r="A186" s="30" t="s">
        <v>383</v>
      </c>
      <c r="B186" s="31"/>
      <c r="C186" s="31"/>
      <c r="D186" s="31"/>
      <c r="E186" s="31"/>
      <c r="F186" s="31"/>
      <c r="G186" s="31"/>
    </row>
    <row r="187" spans="1:7" ht="24" customHeight="1" x14ac:dyDescent="0.25">
      <c r="A187" s="37" t="s">
        <v>326</v>
      </c>
      <c r="B187" s="33">
        <v>8.52</v>
      </c>
      <c r="C187" s="33">
        <v>8.09</v>
      </c>
      <c r="D187" s="33">
        <v>0.2</v>
      </c>
      <c r="E187" s="33" t="s">
        <v>292</v>
      </c>
      <c r="F187" s="33" t="s">
        <v>292</v>
      </c>
      <c r="G187" s="33">
        <v>0.23</v>
      </c>
    </row>
    <row r="188" spans="1:7" x14ac:dyDescent="0.25">
      <c r="A188" s="32" t="s">
        <v>329</v>
      </c>
      <c r="B188" s="33">
        <v>82.83</v>
      </c>
      <c r="C188" s="33">
        <v>68.98</v>
      </c>
      <c r="D188" s="33">
        <v>7.25</v>
      </c>
      <c r="E188" s="33" t="s">
        <v>292</v>
      </c>
      <c r="F188" s="33" t="s">
        <v>292</v>
      </c>
      <c r="G188" s="33">
        <v>6.6</v>
      </c>
    </row>
    <row r="189" spans="1:7" x14ac:dyDescent="0.25">
      <c r="A189" s="32" t="s">
        <v>376</v>
      </c>
      <c r="B189" s="33">
        <v>32.18</v>
      </c>
      <c r="C189" s="33" t="s">
        <v>292</v>
      </c>
      <c r="D189" s="33" t="s">
        <v>292</v>
      </c>
      <c r="E189" s="33">
        <v>9.34</v>
      </c>
      <c r="F189" s="33">
        <v>22.84</v>
      </c>
      <c r="G189" s="33" t="s">
        <v>292</v>
      </c>
    </row>
    <row r="190" spans="1:7" x14ac:dyDescent="0.25">
      <c r="A190" s="40" t="s">
        <v>384</v>
      </c>
      <c r="B190" s="31"/>
      <c r="C190" s="31"/>
      <c r="D190" s="31"/>
      <c r="E190" s="31"/>
      <c r="F190" s="31"/>
      <c r="G190" s="31"/>
    </row>
    <row r="191" spans="1:7" x14ac:dyDescent="0.25">
      <c r="A191" s="34" t="s">
        <v>385</v>
      </c>
      <c r="B191" s="33">
        <v>1.9</v>
      </c>
      <c r="C191" s="33">
        <v>1.77</v>
      </c>
      <c r="D191" s="33">
        <v>0.06</v>
      </c>
      <c r="E191" s="33" t="s">
        <v>292</v>
      </c>
      <c r="F191" s="33" t="s">
        <v>292</v>
      </c>
      <c r="G191" s="33" t="s">
        <v>303</v>
      </c>
    </row>
    <row r="192" spans="1:7" x14ac:dyDescent="0.25">
      <c r="A192" s="34" t="s">
        <v>386</v>
      </c>
      <c r="B192" s="33">
        <v>5.08</v>
      </c>
      <c r="C192" s="33">
        <v>4.84</v>
      </c>
      <c r="D192" s="33">
        <v>0.1</v>
      </c>
      <c r="E192" s="33" t="s">
        <v>292</v>
      </c>
      <c r="F192" s="33" t="s">
        <v>292</v>
      </c>
      <c r="G192" s="33">
        <v>0.14000000000000001</v>
      </c>
    </row>
    <row r="193" spans="1:7" ht="24" customHeight="1" x14ac:dyDescent="0.25">
      <c r="A193" s="34" t="s">
        <v>387</v>
      </c>
      <c r="B193" s="33">
        <v>1.54</v>
      </c>
      <c r="C193" s="33">
        <v>1.48</v>
      </c>
      <c r="D193" s="33" t="s">
        <v>303</v>
      </c>
      <c r="E193" s="33" t="s">
        <v>292</v>
      </c>
      <c r="F193" s="33" t="s">
        <v>292</v>
      </c>
      <c r="G193" s="33" t="s">
        <v>303</v>
      </c>
    </row>
    <row r="194" spans="1:7" x14ac:dyDescent="0.25">
      <c r="A194" s="34" t="s">
        <v>388</v>
      </c>
      <c r="B194" s="33">
        <v>82.83</v>
      </c>
      <c r="C194" s="33">
        <v>68.98</v>
      </c>
      <c r="D194" s="33">
        <v>7.25</v>
      </c>
      <c r="E194" s="33" t="s">
        <v>292</v>
      </c>
      <c r="F194" s="33" t="s">
        <v>292</v>
      </c>
      <c r="G194" s="33">
        <v>6.6</v>
      </c>
    </row>
    <row r="195" spans="1:7" x14ac:dyDescent="0.25">
      <c r="A195" s="34" t="s">
        <v>376</v>
      </c>
      <c r="B195" s="33">
        <v>32.18</v>
      </c>
      <c r="C195" s="33" t="s">
        <v>292</v>
      </c>
      <c r="D195" s="33" t="s">
        <v>292</v>
      </c>
      <c r="E195" s="33">
        <v>9.34</v>
      </c>
      <c r="F195" s="33">
        <v>22.84</v>
      </c>
      <c r="G195" s="33" t="s">
        <v>292</v>
      </c>
    </row>
    <row r="196" spans="1:7" x14ac:dyDescent="0.25">
      <c r="A196" s="40" t="s">
        <v>389</v>
      </c>
      <c r="B196" s="31"/>
      <c r="C196" s="31"/>
      <c r="D196" s="31"/>
      <c r="E196" s="31"/>
      <c r="F196" s="31"/>
      <c r="G196" s="31"/>
    </row>
    <row r="197" spans="1:7" x14ac:dyDescent="0.25">
      <c r="A197" s="34" t="s">
        <v>390</v>
      </c>
      <c r="B197" s="33">
        <v>2.89</v>
      </c>
      <c r="C197" s="33">
        <v>2.82</v>
      </c>
      <c r="D197" s="33">
        <v>0.05</v>
      </c>
      <c r="E197" s="33" t="s">
        <v>292</v>
      </c>
      <c r="F197" s="33" t="s">
        <v>292</v>
      </c>
      <c r="G197" s="33" t="s">
        <v>303</v>
      </c>
    </row>
    <row r="198" spans="1:7" x14ac:dyDescent="0.25">
      <c r="A198" s="35" t="s">
        <v>391</v>
      </c>
      <c r="B198" s="33">
        <v>0.85</v>
      </c>
      <c r="C198" s="33">
        <v>0.82</v>
      </c>
      <c r="D198" s="33" t="s">
        <v>303</v>
      </c>
      <c r="E198" s="33" t="s">
        <v>292</v>
      </c>
      <c r="F198" s="33" t="s">
        <v>292</v>
      </c>
      <c r="G198" s="33" t="s">
        <v>303</v>
      </c>
    </row>
    <row r="199" spans="1:7" x14ac:dyDescent="0.25">
      <c r="A199" s="35" t="s">
        <v>392</v>
      </c>
      <c r="B199" s="33">
        <v>1.32</v>
      </c>
      <c r="C199" s="33">
        <v>1.3</v>
      </c>
      <c r="D199" s="33" t="s">
        <v>303</v>
      </c>
      <c r="E199" s="33" t="s">
        <v>292</v>
      </c>
      <c r="F199" s="33" t="s">
        <v>292</v>
      </c>
      <c r="G199" s="33" t="s">
        <v>303</v>
      </c>
    </row>
    <row r="200" spans="1:7" x14ac:dyDescent="0.25">
      <c r="A200" s="35" t="s">
        <v>393</v>
      </c>
      <c r="B200" s="33">
        <v>0.28999999999999998</v>
      </c>
      <c r="C200" s="33">
        <v>0.28000000000000003</v>
      </c>
      <c r="D200" s="33" t="s">
        <v>303</v>
      </c>
      <c r="E200" s="33" t="s">
        <v>292</v>
      </c>
      <c r="F200" s="33" t="s">
        <v>292</v>
      </c>
      <c r="G200" s="33" t="s">
        <v>292</v>
      </c>
    </row>
    <row r="201" spans="1:7" x14ac:dyDescent="0.25">
      <c r="A201" s="35" t="s">
        <v>394</v>
      </c>
      <c r="B201" s="33">
        <v>0.42</v>
      </c>
      <c r="C201" s="33">
        <v>0.42</v>
      </c>
      <c r="D201" s="33" t="s">
        <v>303</v>
      </c>
      <c r="E201" s="33" t="s">
        <v>292</v>
      </c>
      <c r="F201" s="33" t="s">
        <v>292</v>
      </c>
      <c r="G201" s="33" t="s">
        <v>292</v>
      </c>
    </row>
    <row r="202" spans="1:7" x14ac:dyDescent="0.25">
      <c r="A202" s="34" t="s">
        <v>395</v>
      </c>
      <c r="B202" s="33">
        <v>5.63</v>
      </c>
      <c r="C202" s="33">
        <v>5.27</v>
      </c>
      <c r="D202" s="33">
        <v>0.15</v>
      </c>
      <c r="E202" s="33" t="s">
        <v>292</v>
      </c>
      <c r="F202" s="33" t="s">
        <v>292</v>
      </c>
      <c r="G202" s="33">
        <v>0.22</v>
      </c>
    </row>
    <row r="203" spans="1:7" ht="24" customHeight="1" x14ac:dyDescent="0.25">
      <c r="A203" s="34" t="s">
        <v>388</v>
      </c>
      <c r="B203" s="33">
        <v>82.83</v>
      </c>
      <c r="C203" s="33">
        <v>68.98</v>
      </c>
      <c r="D203" s="33">
        <v>7.25</v>
      </c>
      <c r="E203" s="33" t="s">
        <v>292</v>
      </c>
      <c r="F203" s="33" t="s">
        <v>292</v>
      </c>
      <c r="G203" s="33">
        <v>6.6</v>
      </c>
    </row>
    <row r="204" spans="1:7" s="36" customFormat="1" x14ac:dyDescent="0.25">
      <c r="A204" s="34" t="s">
        <v>376</v>
      </c>
      <c r="B204" s="33">
        <v>32.18</v>
      </c>
      <c r="C204" s="33" t="s">
        <v>292</v>
      </c>
      <c r="D204" s="33" t="s">
        <v>292</v>
      </c>
      <c r="E204" s="33">
        <v>9.34</v>
      </c>
      <c r="F204" s="33">
        <v>22.84</v>
      </c>
      <c r="G204" s="33" t="s">
        <v>292</v>
      </c>
    </row>
    <row r="205" spans="1:7" s="36" customFormat="1" x14ac:dyDescent="0.25">
      <c r="A205" s="30" t="s">
        <v>396</v>
      </c>
      <c r="B205" s="31"/>
      <c r="C205" s="31"/>
      <c r="D205" s="31"/>
      <c r="E205" s="31"/>
      <c r="F205" s="31"/>
      <c r="G205" s="31"/>
    </row>
    <row r="206" spans="1:7" s="36" customFormat="1" ht="24" customHeight="1" x14ac:dyDescent="0.25">
      <c r="A206" s="32" t="s">
        <v>326</v>
      </c>
      <c r="B206" s="33">
        <v>8.84</v>
      </c>
      <c r="C206" s="33">
        <v>7.33</v>
      </c>
      <c r="D206" s="33">
        <v>0.28000000000000003</v>
      </c>
      <c r="E206" s="33">
        <v>0.22</v>
      </c>
      <c r="F206" s="33">
        <v>0.73</v>
      </c>
      <c r="G206" s="33">
        <v>0.28999999999999998</v>
      </c>
    </row>
    <row r="207" spans="1:7" s="36" customFormat="1" x14ac:dyDescent="0.25">
      <c r="A207" s="32" t="s">
        <v>329</v>
      </c>
      <c r="B207" s="33">
        <v>114.69</v>
      </c>
      <c r="C207" s="33">
        <v>69.739999999999995</v>
      </c>
      <c r="D207" s="33">
        <v>7.18</v>
      </c>
      <c r="E207" s="33">
        <v>9.1199999999999992</v>
      </c>
      <c r="F207" s="33">
        <v>22.11</v>
      </c>
      <c r="G207" s="33">
        <v>6.55</v>
      </c>
    </row>
    <row r="208" spans="1:7" s="36" customFormat="1" x14ac:dyDescent="0.25">
      <c r="A208" s="40" t="s">
        <v>397</v>
      </c>
      <c r="B208" s="31"/>
      <c r="C208" s="31"/>
      <c r="D208" s="31"/>
      <c r="E208" s="31"/>
      <c r="F208" s="31"/>
      <c r="G208" s="31"/>
    </row>
    <row r="209" spans="1:7" s="36" customFormat="1" x14ac:dyDescent="0.25">
      <c r="A209" s="34" t="s">
        <v>385</v>
      </c>
      <c r="B209" s="33">
        <v>4.22</v>
      </c>
      <c r="C209" s="33">
        <v>3.3</v>
      </c>
      <c r="D209" s="33">
        <v>0.17</v>
      </c>
      <c r="E209" s="33">
        <v>0.14000000000000001</v>
      </c>
      <c r="F209" s="33">
        <v>0.44</v>
      </c>
      <c r="G209" s="33">
        <v>0.16</v>
      </c>
    </row>
    <row r="210" spans="1:7" s="36" customFormat="1" x14ac:dyDescent="0.25">
      <c r="A210" s="34" t="s">
        <v>386</v>
      </c>
      <c r="B210" s="33">
        <v>1.27</v>
      </c>
      <c r="C210" s="33">
        <v>1.1299999999999999</v>
      </c>
      <c r="D210" s="33" t="s">
        <v>303</v>
      </c>
      <c r="E210" s="33" t="s">
        <v>303</v>
      </c>
      <c r="F210" s="33" t="s">
        <v>303</v>
      </c>
      <c r="G210" s="33" t="s">
        <v>303</v>
      </c>
    </row>
    <row r="211" spans="1:7" ht="24" customHeight="1" x14ac:dyDescent="0.25">
      <c r="A211" s="34" t="s">
        <v>387</v>
      </c>
      <c r="B211" s="33">
        <v>3.35</v>
      </c>
      <c r="C211" s="33">
        <v>2.9</v>
      </c>
      <c r="D211" s="33">
        <v>0.08</v>
      </c>
      <c r="E211" s="33" t="s">
        <v>303</v>
      </c>
      <c r="F211" s="33">
        <v>0.21</v>
      </c>
      <c r="G211" s="33">
        <v>0.1</v>
      </c>
    </row>
    <row r="212" spans="1:7" x14ac:dyDescent="0.25">
      <c r="A212" s="34" t="s">
        <v>398</v>
      </c>
      <c r="B212" s="33">
        <v>114.69</v>
      </c>
      <c r="C212" s="33">
        <v>69.739999999999995</v>
      </c>
      <c r="D212" s="33">
        <v>7.18</v>
      </c>
      <c r="E212" s="33">
        <v>9.1199999999999992</v>
      </c>
      <c r="F212" s="33">
        <v>22.11</v>
      </c>
      <c r="G212" s="33">
        <v>6.55</v>
      </c>
    </row>
    <row r="213" spans="1:7" x14ac:dyDescent="0.25">
      <c r="A213" s="40" t="s">
        <v>399</v>
      </c>
      <c r="B213" s="31"/>
      <c r="C213" s="31"/>
      <c r="D213" s="31"/>
      <c r="E213" s="31"/>
      <c r="F213" s="31"/>
      <c r="G213" s="31"/>
    </row>
    <row r="214" spans="1:7" x14ac:dyDescent="0.25">
      <c r="A214" s="34" t="s">
        <v>391</v>
      </c>
      <c r="B214" s="33">
        <v>4.41</v>
      </c>
      <c r="C214" s="33">
        <v>3.8</v>
      </c>
      <c r="D214" s="33">
        <v>0.1</v>
      </c>
      <c r="E214" s="33" t="s">
        <v>303</v>
      </c>
      <c r="F214" s="33">
        <v>0.24</v>
      </c>
      <c r="G214" s="33">
        <v>0.17</v>
      </c>
    </row>
    <row r="215" spans="1:7" x14ac:dyDescent="0.25">
      <c r="A215" s="34" t="s">
        <v>392</v>
      </c>
      <c r="B215" s="33">
        <v>1.47</v>
      </c>
      <c r="C215" s="33">
        <v>1.23</v>
      </c>
      <c r="D215" s="33">
        <v>0.04</v>
      </c>
      <c r="E215" s="33" t="s">
        <v>303</v>
      </c>
      <c r="F215" s="33">
        <v>0.11</v>
      </c>
      <c r="G215" s="33" t="s">
        <v>303</v>
      </c>
    </row>
    <row r="216" spans="1:7" x14ac:dyDescent="0.25">
      <c r="A216" s="34" t="s">
        <v>394</v>
      </c>
      <c r="B216" s="33">
        <v>0.36</v>
      </c>
      <c r="C216" s="33">
        <v>0.32</v>
      </c>
      <c r="D216" s="33" t="s">
        <v>303</v>
      </c>
      <c r="E216" s="33" t="s">
        <v>292</v>
      </c>
      <c r="F216" s="33" t="s">
        <v>303</v>
      </c>
      <c r="G216" s="33" t="s">
        <v>292</v>
      </c>
    </row>
    <row r="217" spans="1:7" ht="43.5" customHeight="1" x14ac:dyDescent="0.25">
      <c r="A217" s="34" t="s">
        <v>400</v>
      </c>
      <c r="B217" s="33">
        <v>2.6</v>
      </c>
      <c r="C217" s="33">
        <v>1.98</v>
      </c>
      <c r="D217" s="33">
        <v>0.12</v>
      </c>
      <c r="E217" s="33" t="s">
        <v>303</v>
      </c>
      <c r="F217" s="33">
        <v>0.34</v>
      </c>
      <c r="G217" s="33">
        <v>0.09</v>
      </c>
    </row>
    <row r="218" spans="1:7" x14ac:dyDescent="0.25">
      <c r="A218" s="34" t="s">
        <v>398</v>
      </c>
      <c r="B218" s="33">
        <v>114.69</v>
      </c>
      <c r="C218" s="33">
        <v>69.739999999999995</v>
      </c>
      <c r="D218" s="33">
        <v>7.18</v>
      </c>
      <c r="E218" s="33">
        <v>9.1199999999999992</v>
      </c>
      <c r="F218" s="33">
        <v>22.11</v>
      </c>
      <c r="G218" s="33">
        <v>6.55</v>
      </c>
    </row>
    <row r="219" spans="1:7" x14ac:dyDescent="0.25">
      <c r="A219" s="32"/>
      <c r="B219" s="41"/>
      <c r="C219" s="41"/>
      <c r="D219" s="41"/>
      <c r="E219" s="41"/>
      <c r="F219" s="41"/>
      <c r="G219" s="41"/>
    </row>
    <row r="220" spans="1:7" s="36" customFormat="1" ht="15.75" customHeight="1" thickBot="1" x14ac:dyDescent="0.3">
      <c r="A220" s="34"/>
      <c r="B220" s="33"/>
      <c r="C220" s="33"/>
      <c r="D220" s="33"/>
      <c r="E220" s="33"/>
      <c r="F220" s="33"/>
      <c r="G220" s="33"/>
    </row>
    <row r="221" spans="1:7" s="36" customFormat="1" ht="206.25" customHeight="1" x14ac:dyDescent="0.25">
      <c r="A221" s="84" t="s">
        <v>401</v>
      </c>
      <c r="B221" s="85"/>
      <c r="C221" s="85"/>
      <c r="D221" s="85"/>
      <c r="E221" s="85"/>
      <c r="F221" s="85"/>
      <c r="G221" s="85"/>
    </row>
    <row r="222" spans="1:7" s="36" customFormat="1" x14ac:dyDescent="0.2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election activeCell="F8" sqref="F8:AG125"/>
    </sheetView>
  </sheetViews>
  <sheetFormatPr defaultRowHeight="15" x14ac:dyDescent="0.25"/>
  <cols>
    <col min="1" max="1" width="27.7109375" customWidth="1"/>
    <col min="2" max="2" width="67.5703125" customWidth="1"/>
    <col min="3" max="3" width="65" bestFit="1" customWidth="1"/>
  </cols>
  <sheetData>
    <row r="1" spans="1:33" x14ac:dyDescent="0.25">
      <c r="A1" t="s">
        <v>402</v>
      </c>
    </row>
    <row r="2" spans="1:33" x14ac:dyDescent="0.25">
      <c r="A2" t="s">
        <v>403</v>
      </c>
    </row>
    <row r="3" spans="1:33" x14ac:dyDescent="0.25">
      <c r="A3" t="s">
        <v>404</v>
      </c>
    </row>
    <row r="4" spans="1:33" x14ac:dyDescent="0.25">
      <c r="A4" t="s">
        <v>405</v>
      </c>
    </row>
    <row r="5" spans="1:33" x14ac:dyDescent="0.2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25">
      <c r="A6" t="s">
        <v>15</v>
      </c>
    </row>
    <row r="7" spans="1:33" x14ac:dyDescent="0.25">
      <c r="A7" t="s">
        <v>410</v>
      </c>
    </row>
    <row r="8" spans="1:33" x14ac:dyDescent="0.25">
      <c r="A8" t="s">
        <v>411</v>
      </c>
      <c r="B8" t="s">
        <v>412</v>
      </c>
      <c r="C8" t="s">
        <v>413</v>
      </c>
      <c r="D8" t="s">
        <v>414</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25">
      <c r="A9" t="s">
        <v>415</v>
      </c>
      <c r="B9" t="s">
        <v>416</v>
      </c>
      <c r="C9" t="s">
        <v>417</v>
      </c>
      <c r="D9" t="s">
        <v>414</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25">
      <c r="A10" t="s">
        <v>418</v>
      </c>
      <c r="B10" t="s">
        <v>419</v>
      </c>
      <c r="C10" t="s">
        <v>420</v>
      </c>
      <c r="D10" t="s">
        <v>414</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25">
      <c r="A11" t="s">
        <v>421</v>
      </c>
      <c r="B11" t="s">
        <v>422</v>
      </c>
      <c r="C11" t="s">
        <v>423</v>
      </c>
      <c r="D11" t="s">
        <v>414</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25">
      <c r="A12" t="s">
        <v>424</v>
      </c>
      <c r="B12" t="s">
        <v>425</v>
      </c>
      <c r="C12" t="s">
        <v>426</v>
      </c>
      <c r="D12" t="s">
        <v>427</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25">
      <c r="A13" t="s">
        <v>428</v>
      </c>
    </row>
    <row r="14" spans="1:33" x14ac:dyDescent="0.25">
      <c r="A14" t="s">
        <v>429</v>
      </c>
    </row>
    <row r="15" spans="1:33" x14ac:dyDescent="0.25">
      <c r="A15" t="s">
        <v>430</v>
      </c>
      <c r="B15" t="s">
        <v>431</v>
      </c>
      <c r="C15" t="s">
        <v>432</v>
      </c>
      <c r="D15" t="s">
        <v>433</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25">
      <c r="A16" t="s">
        <v>434</v>
      </c>
      <c r="B16" t="s">
        <v>435</v>
      </c>
      <c r="C16" t="s">
        <v>436</v>
      </c>
      <c r="D16" t="s">
        <v>433</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25">
      <c r="A17" t="s">
        <v>437</v>
      </c>
    </row>
    <row r="18" spans="1:33" x14ac:dyDescent="0.25">
      <c r="A18" t="s">
        <v>430</v>
      </c>
      <c r="B18" t="s">
        <v>438</v>
      </c>
      <c r="C18" t="s">
        <v>439</v>
      </c>
      <c r="D18" t="s">
        <v>440</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25">
      <c r="A19" t="s">
        <v>434</v>
      </c>
      <c r="B19" t="s">
        <v>441</v>
      </c>
      <c r="C19" t="s">
        <v>442</v>
      </c>
      <c r="D19" t="s">
        <v>440</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25">
      <c r="A20" t="s">
        <v>29</v>
      </c>
    </row>
    <row r="21" spans="1:33" x14ac:dyDescent="0.25">
      <c r="A21" t="s">
        <v>391</v>
      </c>
    </row>
    <row r="22" spans="1:33" x14ac:dyDescent="0.25">
      <c r="A22" t="s">
        <v>443</v>
      </c>
      <c r="B22" t="s">
        <v>444</v>
      </c>
      <c r="C22" t="s">
        <v>445</v>
      </c>
      <c r="D22" t="s">
        <v>446</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25">
      <c r="A23" t="s">
        <v>447</v>
      </c>
      <c r="B23" t="s">
        <v>448</v>
      </c>
      <c r="C23" t="s">
        <v>449</v>
      </c>
      <c r="D23" t="s">
        <v>446</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25">
      <c r="A24" t="s">
        <v>450</v>
      </c>
      <c r="B24" t="s">
        <v>451</v>
      </c>
      <c r="C24" t="s">
        <v>452</v>
      </c>
      <c r="D24" t="s">
        <v>446</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25">
      <c r="A25" t="s">
        <v>453</v>
      </c>
      <c r="B25" t="s">
        <v>454</v>
      </c>
      <c r="C25" t="s">
        <v>455</v>
      </c>
      <c r="D25" t="s">
        <v>446</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25">
      <c r="A26" t="s">
        <v>456</v>
      </c>
      <c r="B26" t="s">
        <v>457</v>
      </c>
      <c r="C26" t="s">
        <v>458</v>
      </c>
      <c r="D26" t="s">
        <v>446</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25">
      <c r="A27" t="s">
        <v>459</v>
      </c>
      <c r="B27" t="s">
        <v>460</v>
      </c>
      <c r="C27" t="s">
        <v>461</v>
      </c>
      <c r="D27" t="s">
        <v>446</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25">
      <c r="A28" t="s">
        <v>462</v>
      </c>
      <c r="B28" t="s">
        <v>463</v>
      </c>
      <c r="C28" t="s">
        <v>464</v>
      </c>
      <c r="D28" t="s">
        <v>446</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25">
      <c r="A29" t="s">
        <v>465</v>
      </c>
      <c r="B29" t="s">
        <v>466</v>
      </c>
      <c r="C29" t="s">
        <v>467</v>
      </c>
      <c r="D29" t="s">
        <v>446</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25">
      <c r="A30" t="s">
        <v>468</v>
      </c>
      <c r="B30" t="s">
        <v>469</v>
      </c>
      <c r="C30" t="s">
        <v>470</v>
      </c>
      <c r="D30" t="s">
        <v>446</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25">
      <c r="A31" t="s">
        <v>471</v>
      </c>
      <c r="B31" t="s">
        <v>472</v>
      </c>
      <c r="C31" t="s">
        <v>473</v>
      </c>
      <c r="D31" t="s">
        <v>446</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25">
      <c r="A32" t="s">
        <v>474</v>
      </c>
      <c r="B32" t="s">
        <v>475</v>
      </c>
      <c r="C32" t="s">
        <v>476</v>
      </c>
      <c r="D32" t="s">
        <v>446</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25">
      <c r="A33" t="s">
        <v>477</v>
      </c>
      <c r="B33" t="s">
        <v>478</v>
      </c>
      <c r="C33" t="s">
        <v>479</v>
      </c>
      <c r="D33" t="s">
        <v>446</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25">
      <c r="A34" t="s">
        <v>480</v>
      </c>
      <c r="B34" t="s">
        <v>481</v>
      </c>
      <c r="C34" t="s">
        <v>482</v>
      </c>
      <c r="D34" t="s">
        <v>446</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25">
      <c r="A35" t="s">
        <v>483</v>
      </c>
      <c r="B35" t="s">
        <v>484</v>
      </c>
      <c r="C35" t="s">
        <v>485</v>
      </c>
      <c r="D35" t="s">
        <v>446</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25">
      <c r="A36" t="s">
        <v>486</v>
      </c>
      <c r="B36" t="s">
        <v>487</v>
      </c>
      <c r="C36" t="s">
        <v>488</v>
      </c>
      <c r="D36" t="s">
        <v>446</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25">
      <c r="A37" t="s">
        <v>489</v>
      </c>
      <c r="B37" t="s">
        <v>490</v>
      </c>
      <c r="C37" t="s">
        <v>491</v>
      </c>
      <c r="D37" t="s">
        <v>446</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25">
      <c r="A38" t="s">
        <v>492</v>
      </c>
      <c r="B38" t="s">
        <v>493</v>
      </c>
      <c r="C38" t="s">
        <v>494</v>
      </c>
      <c r="D38" t="s">
        <v>446</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25">
      <c r="A39" t="s">
        <v>495</v>
      </c>
      <c r="B39" t="s">
        <v>496</v>
      </c>
      <c r="C39" t="s">
        <v>497</v>
      </c>
      <c r="D39" t="s">
        <v>446</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25">
      <c r="A40" t="s">
        <v>498</v>
      </c>
    </row>
    <row r="41" spans="1:33" x14ac:dyDescent="0.25">
      <c r="A41" t="s">
        <v>443</v>
      </c>
      <c r="B41" t="s">
        <v>499</v>
      </c>
      <c r="C41" t="s">
        <v>500</v>
      </c>
      <c r="D41" t="s">
        <v>446</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25">
      <c r="A42" t="s">
        <v>447</v>
      </c>
      <c r="B42" t="s">
        <v>501</v>
      </c>
      <c r="C42" t="s">
        <v>502</v>
      </c>
      <c r="D42" t="s">
        <v>446</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25">
      <c r="A43" t="s">
        <v>450</v>
      </c>
      <c r="B43" t="s">
        <v>503</v>
      </c>
      <c r="C43" t="s">
        <v>504</v>
      </c>
      <c r="D43" t="s">
        <v>446</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25">
      <c r="A44" t="s">
        <v>456</v>
      </c>
      <c r="B44" t="s">
        <v>505</v>
      </c>
      <c r="C44" t="s">
        <v>506</v>
      </c>
      <c r="D44" t="s">
        <v>446</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25">
      <c r="A45" t="s">
        <v>459</v>
      </c>
      <c r="B45" t="s">
        <v>507</v>
      </c>
      <c r="C45" t="s">
        <v>508</v>
      </c>
      <c r="D45" t="s">
        <v>446</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25">
      <c r="A46" t="s">
        <v>483</v>
      </c>
      <c r="B46" t="s">
        <v>509</v>
      </c>
      <c r="C46" t="s">
        <v>510</v>
      </c>
      <c r="D46" t="s">
        <v>446</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25">
      <c r="A47" t="s">
        <v>511</v>
      </c>
      <c r="B47" t="s">
        <v>512</v>
      </c>
      <c r="C47" t="s">
        <v>513</v>
      </c>
      <c r="D47" t="s">
        <v>446</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25">
      <c r="A48" t="s">
        <v>514</v>
      </c>
    </row>
    <row r="49" spans="1:33" x14ac:dyDescent="0.25">
      <c r="A49" t="s">
        <v>443</v>
      </c>
      <c r="B49" t="s">
        <v>515</v>
      </c>
      <c r="C49" t="s">
        <v>516</v>
      </c>
      <c r="D49" t="s">
        <v>446</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25">
      <c r="A50" t="s">
        <v>450</v>
      </c>
      <c r="B50" t="s">
        <v>517</v>
      </c>
      <c r="C50" t="s">
        <v>518</v>
      </c>
      <c r="D50" t="s">
        <v>446</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25">
      <c r="A51" t="s">
        <v>483</v>
      </c>
      <c r="B51" t="s">
        <v>519</v>
      </c>
      <c r="C51" t="s">
        <v>520</v>
      </c>
      <c r="D51" t="s">
        <v>446</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25">
      <c r="A52" t="s">
        <v>511</v>
      </c>
      <c r="B52" t="s">
        <v>521</v>
      </c>
      <c r="C52" t="s">
        <v>522</v>
      </c>
      <c r="D52" t="s">
        <v>446</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25">
      <c r="A53" t="s">
        <v>393</v>
      </c>
    </row>
    <row r="54" spans="1:33" x14ac:dyDescent="0.25">
      <c r="A54" t="s">
        <v>443</v>
      </c>
      <c r="B54" t="s">
        <v>523</v>
      </c>
      <c r="C54" t="s">
        <v>524</v>
      </c>
      <c r="D54" t="s">
        <v>446</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25">
      <c r="A55" t="s">
        <v>450</v>
      </c>
      <c r="B55" t="s">
        <v>525</v>
      </c>
      <c r="C55" t="s">
        <v>526</v>
      </c>
      <c r="D55" t="s">
        <v>446</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25">
      <c r="A56" t="s">
        <v>456</v>
      </c>
      <c r="B56" t="s">
        <v>527</v>
      </c>
      <c r="C56" t="s">
        <v>528</v>
      </c>
      <c r="D56" t="s">
        <v>446</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25">
      <c r="A57" t="s">
        <v>483</v>
      </c>
      <c r="B57" t="s">
        <v>529</v>
      </c>
      <c r="C57" t="s">
        <v>530</v>
      </c>
      <c r="D57" t="s">
        <v>446</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25">
      <c r="A58" t="s">
        <v>511</v>
      </c>
      <c r="B58" t="s">
        <v>531</v>
      </c>
      <c r="C58" t="s">
        <v>532</v>
      </c>
      <c r="D58" t="s">
        <v>446</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25">
      <c r="A59" t="s">
        <v>533</v>
      </c>
      <c r="B59" t="s">
        <v>534</v>
      </c>
      <c r="C59" t="s">
        <v>535</v>
      </c>
      <c r="D59" t="s">
        <v>446</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25">
      <c r="A60" t="s">
        <v>536</v>
      </c>
    </row>
    <row r="61" spans="1:33" x14ac:dyDescent="0.25">
      <c r="A61" t="s">
        <v>443</v>
      </c>
      <c r="B61" t="s">
        <v>537</v>
      </c>
      <c r="C61" t="s">
        <v>538</v>
      </c>
      <c r="D61" t="s">
        <v>446</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25">
      <c r="A62" t="s">
        <v>447</v>
      </c>
      <c r="B62" t="s">
        <v>539</v>
      </c>
      <c r="C62" t="s">
        <v>540</v>
      </c>
      <c r="D62" t="s">
        <v>446</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25">
      <c r="A63" t="s">
        <v>450</v>
      </c>
      <c r="B63" t="s">
        <v>541</v>
      </c>
      <c r="C63" t="s">
        <v>542</v>
      </c>
      <c r="D63" t="s">
        <v>446</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25">
      <c r="A64" t="s">
        <v>453</v>
      </c>
      <c r="B64" t="s">
        <v>543</v>
      </c>
      <c r="C64" t="s">
        <v>544</v>
      </c>
      <c r="D64" t="s">
        <v>446</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25">
      <c r="A65" t="s">
        <v>456</v>
      </c>
      <c r="B65" t="s">
        <v>545</v>
      </c>
      <c r="C65" t="s">
        <v>546</v>
      </c>
      <c r="D65" t="s">
        <v>446</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25">
      <c r="A66" t="s">
        <v>459</v>
      </c>
      <c r="B66" t="s">
        <v>547</v>
      </c>
      <c r="C66" t="s">
        <v>548</v>
      </c>
      <c r="D66" t="s">
        <v>446</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25">
      <c r="A67" t="s">
        <v>462</v>
      </c>
      <c r="B67" t="s">
        <v>549</v>
      </c>
      <c r="C67" t="s">
        <v>550</v>
      </c>
      <c r="D67" t="s">
        <v>446</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25">
      <c r="A68" t="s">
        <v>465</v>
      </c>
      <c r="B68" t="s">
        <v>551</v>
      </c>
      <c r="C68" t="s">
        <v>552</v>
      </c>
      <c r="D68" t="s">
        <v>446</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25">
      <c r="A69" t="s">
        <v>468</v>
      </c>
      <c r="B69" t="s">
        <v>553</v>
      </c>
      <c r="C69" t="s">
        <v>554</v>
      </c>
      <c r="D69" t="s">
        <v>446</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25">
      <c r="A70" t="s">
        <v>471</v>
      </c>
      <c r="B70" t="s">
        <v>555</v>
      </c>
      <c r="C70" t="s">
        <v>556</v>
      </c>
      <c r="D70" t="s">
        <v>446</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25">
      <c r="A71" t="s">
        <v>474</v>
      </c>
      <c r="B71" t="s">
        <v>557</v>
      </c>
      <c r="C71" t="s">
        <v>558</v>
      </c>
      <c r="D71" t="s">
        <v>446</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25">
      <c r="A72" t="s">
        <v>477</v>
      </c>
      <c r="B72" t="s">
        <v>559</v>
      </c>
      <c r="C72" t="s">
        <v>560</v>
      </c>
      <c r="D72" t="s">
        <v>446</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25">
      <c r="A73" t="s">
        <v>480</v>
      </c>
      <c r="B73" t="s">
        <v>561</v>
      </c>
      <c r="C73" t="s">
        <v>562</v>
      </c>
      <c r="D73" t="s">
        <v>446</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25">
      <c r="A74" t="s">
        <v>483</v>
      </c>
      <c r="B74" t="s">
        <v>563</v>
      </c>
      <c r="C74" t="s">
        <v>564</v>
      </c>
      <c r="D74" t="s">
        <v>446</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25">
      <c r="A75" t="s">
        <v>486</v>
      </c>
      <c r="B75" t="s">
        <v>565</v>
      </c>
      <c r="C75" t="s">
        <v>566</v>
      </c>
      <c r="D75" t="s">
        <v>446</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25">
      <c r="A76" t="s">
        <v>489</v>
      </c>
      <c r="B76" t="s">
        <v>567</v>
      </c>
      <c r="C76" t="s">
        <v>568</v>
      </c>
      <c r="D76" t="s">
        <v>446</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25">
      <c r="A77" t="s">
        <v>492</v>
      </c>
      <c r="B77" t="s">
        <v>569</v>
      </c>
      <c r="C77" t="s">
        <v>570</v>
      </c>
      <c r="D77" t="s">
        <v>446</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25">
      <c r="A78" t="s">
        <v>511</v>
      </c>
      <c r="B78" t="s">
        <v>571</v>
      </c>
      <c r="C78" t="s">
        <v>572</v>
      </c>
      <c r="D78" t="s">
        <v>446</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25">
      <c r="A79" t="s">
        <v>573</v>
      </c>
      <c r="B79" t="s">
        <v>574</v>
      </c>
      <c r="C79" t="s">
        <v>575</v>
      </c>
      <c r="D79" t="s">
        <v>446</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25">
      <c r="A80" t="s">
        <v>576</v>
      </c>
    </row>
    <row r="81" spans="1:33" x14ac:dyDescent="0.25">
      <c r="A81" t="s">
        <v>443</v>
      </c>
      <c r="B81" t="s">
        <v>577</v>
      </c>
      <c r="C81" t="s">
        <v>578</v>
      </c>
      <c r="D81" t="s">
        <v>446</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25">
      <c r="A82" t="s">
        <v>447</v>
      </c>
      <c r="B82" t="s">
        <v>579</v>
      </c>
      <c r="C82" t="s">
        <v>580</v>
      </c>
      <c r="D82" t="s">
        <v>446</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25">
      <c r="A83" t="s">
        <v>450</v>
      </c>
      <c r="B83" t="s">
        <v>581</v>
      </c>
      <c r="C83" t="s">
        <v>582</v>
      </c>
      <c r="D83" t="s">
        <v>446</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25">
      <c r="A84" t="s">
        <v>453</v>
      </c>
      <c r="B84" t="s">
        <v>583</v>
      </c>
      <c r="C84" t="s">
        <v>584</v>
      </c>
      <c r="D84" t="s">
        <v>446</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25">
      <c r="A85" t="s">
        <v>456</v>
      </c>
      <c r="B85" t="s">
        <v>585</v>
      </c>
      <c r="C85" t="s">
        <v>586</v>
      </c>
      <c r="D85" t="s">
        <v>446</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25">
      <c r="A86" t="s">
        <v>459</v>
      </c>
      <c r="B86" t="s">
        <v>587</v>
      </c>
      <c r="C86" t="s">
        <v>588</v>
      </c>
      <c r="D86" t="s">
        <v>446</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25">
      <c r="A87" t="s">
        <v>462</v>
      </c>
      <c r="B87" t="s">
        <v>589</v>
      </c>
      <c r="C87" t="s">
        <v>590</v>
      </c>
      <c r="D87" t="s">
        <v>446</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25">
      <c r="A88" t="s">
        <v>465</v>
      </c>
      <c r="B88" t="s">
        <v>591</v>
      </c>
      <c r="C88" t="s">
        <v>592</v>
      </c>
      <c r="D88" t="s">
        <v>446</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25">
      <c r="A89" t="s">
        <v>468</v>
      </c>
      <c r="B89" t="s">
        <v>593</v>
      </c>
      <c r="C89" t="s">
        <v>594</v>
      </c>
      <c r="D89" t="s">
        <v>446</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25">
      <c r="A90" t="s">
        <v>471</v>
      </c>
      <c r="B90" t="s">
        <v>595</v>
      </c>
      <c r="C90" t="s">
        <v>596</v>
      </c>
      <c r="D90" t="s">
        <v>446</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25">
      <c r="A91" t="s">
        <v>474</v>
      </c>
      <c r="B91" t="s">
        <v>597</v>
      </c>
      <c r="C91" t="s">
        <v>598</v>
      </c>
      <c r="D91" t="s">
        <v>446</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25">
      <c r="A92" t="s">
        <v>477</v>
      </c>
      <c r="B92" t="s">
        <v>599</v>
      </c>
      <c r="C92" t="s">
        <v>600</v>
      </c>
      <c r="D92" t="s">
        <v>446</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25">
      <c r="A93" t="s">
        <v>480</v>
      </c>
      <c r="B93" t="s">
        <v>601</v>
      </c>
      <c r="C93" t="s">
        <v>602</v>
      </c>
      <c r="D93" t="s">
        <v>446</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25">
      <c r="A94" t="s">
        <v>483</v>
      </c>
      <c r="B94" t="s">
        <v>603</v>
      </c>
      <c r="C94" t="s">
        <v>604</v>
      </c>
      <c r="D94" t="s">
        <v>446</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25">
      <c r="A95" t="s">
        <v>605</v>
      </c>
      <c r="B95" t="s">
        <v>606</v>
      </c>
      <c r="C95" t="s">
        <v>607</v>
      </c>
      <c r="D95" t="s">
        <v>446</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25">
      <c r="A96" t="s">
        <v>489</v>
      </c>
      <c r="B96" t="s">
        <v>608</v>
      </c>
      <c r="C96" t="s">
        <v>609</v>
      </c>
      <c r="D96" t="s">
        <v>446</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25">
      <c r="A97" t="s">
        <v>492</v>
      </c>
      <c r="B97" t="s">
        <v>610</v>
      </c>
      <c r="C97" t="s">
        <v>611</v>
      </c>
      <c r="D97" t="s">
        <v>446</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25">
      <c r="A98" t="s">
        <v>612</v>
      </c>
      <c r="B98" t="s">
        <v>613</v>
      </c>
      <c r="C98" t="s">
        <v>614</v>
      </c>
      <c r="D98" t="s">
        <v>446</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25">
      <c r="A99" t="s">
        <v>615</v>
      </c>
    </row>
    <row r="100" spans="1:33" x14ac:dyDescent="0.25">
      <c r="A100" t="s">
        <v>616</v>
      </c>
      <c r="B100" t="s">
        <v>617</v>
      </c>
      <c r="C100" t="s">
        <v>618</v>
      </c>
      <c r="D100" t="s">
        <v>446</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25">
      <c r="A101" t="s">
        <v>619</v>
      </c>
      <c r="B101" t="s">
        <v>620</v>
      </c>
      <c r="C101" t="s">
        <v>621</v>
      </c>
      <c r="D101" t="s">
        <v>446</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25">
      <c r="A102" t="s">
        <v>622</v>
      </c>
      <c r="B102" t="s">
        <v>623</v>
      </c>
      <c r="C102" t="s">
        <v>624</v>
      </c>
      <c r="D102" t="s">
        <v>446</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25">
      <c r="A103" t="s">
        <v>421</v>
      </c>
      <c r="B103" t="s">
        <v>625</v>
      </c>
      <c r="C103" t="s">
        <v>626</v>
      </c>
      <c r="D103" t="s">
        <v>446</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25">
      <c r="A104" t="s">
        <v>127</v>
      </c>
    </row>
    <row r="105" spans="1:33" x14ac:dyDescent="0.25">
      <c r="A105" t="s">
        <v>257</v>
      </c>
      <c r="B105" t="s">
        <v>627</v>
      </c>
      <c r="C105" t="s">
        <v>628</v>
      </c>
      <c r="D105" t="s">
        <v>629</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25">
      <c r="A106" t="s">
        <v>258</v>
      </c>
      <c r="B106" t="s">
        <v>630</v>
      </c>
      <c r="C106" t="s">
        <v>631</v>
      </c>
      <c r="D106" t="s">
        <v>629</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25">
      <c r="A107" t="s">
        <v>260</v>
      </c>
      <c r="B107" t="s">
        <v>632</v>
      </c>
      <c r="C107" t="s">
        <v>633</v>
      </c>
      <c r="D107" t="s">
        <v>629</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25">
      <c r="A108" t="s">
        <v>261</v>
      </c>
      <c r="B108" t="s">
        <v>634</v>
      </c>
      <c r="C108" t="s">
        <v>635</v>
      </c>
      <c r="D108" t="s">
        <v>629</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25">
      <c r="A109" t="s">
        <v>263</v>
      </c>
      <c r="B109" t="s">
        <v>636</v>
      </c>
      <c r="C109" t="s">
        <v>637</v>
      </c>
      <c r="D109" t="s">
        <v>629</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25">
      <c r="A110" t="s">
        <v>264</v>
      </c>
      <c r="B110" t="s">
        <v>638</v>
      </c>
      <c r="C110" t="s">
        <v>639</v>
      </c>
      <c r="D110" t="s">
        <v>629</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25">
      <c r="A111" t="s">
        <v>265</v>
      </c>
      <c r="B111" t="s">
        <v>640</v>
      </c>
      <c r="C111" t="s">
        <v>641</v>
      </c>
      <c r="D111" t="s">
        <v>629</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25">
      <c r="A112" t="s">
        <v>267</v>
      </c>
      <c r="B112" t="s">
        <v>642</v>
      </c>
      <c r="C112" t="s">
        <v>643</v>
      </c>
      <c r="D112" t="s">
        <v>629</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25">
      <c r="A113" t="s">
        <v>270</v>
      </c>
      <c r="B113" t="s">
        <v>644</v>
      </c>
      <c r="C113" t="s">
        <v>645</v>
      </c>
      <c r="D113" t="s">
        <v>629</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25">
      <c r="A114" t="s">
        <v>646</v>
      </c>
      <c r="B114" t="s">
        <v>647</v>
      </c>
      <c r="C114" t="s">
        <v>648</v>
      </c>
      <c r="D114" t="s">
        <v>629</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25">
      <c r="A115" t="s">
        <v>148</v>
      </c>
    </row>
    <row r="116" spans="1:33" x14ac:dyDescent="0.25">
      <c r="A116" t="s">
        <v>257</v>
      </c>
      <c r="B116" t="s">
        <v>649</v>
      </c>
      <c r="C116" t="s">
        <v>650</v>
      </c>
      <c r="D116" t="s">
        <v>651</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25">
      <c r="A117" t="s">
        <v>258</v>
      </c>
      <c r="B117" t="s">
        <v>652</v>
      </c>
      <c r="C117" t="s">
        <v>653</v>
      </c>
      <c r="D117" t="s">
        <v>651</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25">
      <c r="A118" t="s">
        <v>260</v>
      </c>
      <c r="B118" t="s">
        <v>654</v>
      </c>
      <c r="C118" t="s">
        <v>655</v>
      </c>
      <c r="D118" t="s">
        <v>651</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25">
      <c r="A119" t="s">
        <v>261</v>
      </c>
      <c r="B119" t="s">
        <v>656</v>
      </c>
      <c r="C119" t="s">
        <v>657</v>
      </c>
      <c r="D119" t="s">
        <v>651</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25">
      <c r="A120" t="s">
        <v>263</v>
      </c>
      <c r="B120" t="s">
        <v>658</v>
      </c>
      <c r="C120" t="s">
        <v>659</v>
      </c>
      <c r="D120" t="s">
        <v>651</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25">
      <c r="A121" t="s">
        <v>264</v>
      </c>
      <c r="B121" t="s">
        <v>660</v>
      </c>
      <c r="C121" t="s">
        <v>661</v>
      </c>
      <c r="D121" t="s">
        <v>651</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25">
      <c r="A122" t="s">
        <v>265</v>
      </c>
      <c r="B122" t="s">
        <v>662</v>
      </c>
      <c r="C122" t="s">
        <v>663</v>
      </c>
      <c r="D122" t="s">
        <v>651</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25">
      <c r="A123" t="s">
        <v>267</v>
      </c>
      <c r="B123" t="s">
        <v>664</v>
      </c>
      <c r="C123" t="s">
        <v>665</v>
      </c>
      <c r="D123" t="s">
        <v>651</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25">
      <c r="A124" t="s">
        <v>270</v>
      </c>
      <c r="B124" t="s">
        <v>666</v>
      </c>
      <c r="C124" t="s">
        <v>667</v>
      </c>
      <c r="D124" t="s">
        <v>651</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25">
      <c r="A125" t="s">
        <v>646</v>
      </c>
      <c r="B125" t="s">
        <v>668</v>
      </c>
      <c r="C125" t="s">
        <v>669</v>
      </c>
      <c r="D125" t="s">
        <v>651</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116"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workbookViewId="0">
      <selection activeCell="A16" sqref="A16:A30"/>
    </sheetView>
  </sheetViews>
  <sheetFormatPr defaultRowHeight="15" x14ac:dyDescent="0.25"/>
  <cols>
    <col min="1" max="1" width="55" customWidth="1"/>
    <col min="2" max="2" width="108.7109375" bestFit="1" customWidth="1"/>
  </cols>
  <sheetData>
    <row r="1" spans="1:33" x14ac:dyDescent="0.25">
      <c r="A1" t="s">
        <v>670</v>
      </c>
    </row>
    <row r="2" spans="1:33" x14ac:dyDescent="0.25">
      <c r="A2" t="s">
        <v>671</v>
      </c>
    </row>
    <row r="3" spans="1:33" x14ac:dyDescent="0.25">
      <c r="A3" t="s">
        <v>672</v>
      </c>
    </row>
    <row r="4" spans="1:33" x14ac:dyDescent="0.25">
      <c r="A4" t="s">
        <v>405</v>
      </c>
    </row>
    <row r="5" spans="1:33" x14ac:dyDescent="0.2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25">
      <c r="A6" t="s">
        <v>15</v>
      </c>
    </row>
    <row r="7" spans="1:33" x14ac:dyDescent="0.25">
      <c r="A7" t="s">
        <v>673</v>
      </c>
    </row>
    <row r="8" spans="1:33" x14ac:dyDescent="0.25">
      <c r="A8" t="s">
        <v>674</v>
      </c>
      <c r="B8" t="s">
        <v>675</v>
      </c>
      <c r="C8" t="s">
        <v>676</v>
      </c>
      <c r="D8" t="s">
        <v>677</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25">
      <c r="A9" t="s">
        <v>678</v>
      </c>
      <c r="B9" t="s">
        <v>679</v>
      </c>
      <c r="C9" t="s">
        <v>680</v>
      </c>
      <c r="D9" t="s">
        <v>677</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25">
      <c r="A10" t="s">
        <v>421</v>
      </c>
      <c r="B10" t="s">
        <v>681</v>
      </c>
      <c r="C10" t="s">
        <v>682</v>
      </c>
      <c r="D10" t="s">
        <v>677</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25">
      <c r="A11" t="s">
        <v>683</v>
      </c>
    </row>
    <row r="12" spans="1:33" x14ac:dyDescent="0.25">
      <c r="A12" t="s">
        <v>437</v>
      </c>
    </row>
    <row r="13" spans="1:33" x14ac:dyDescent="0.25">
      <c r="A13" t="s">
        <v>430</v>
      </c>
      <c r="B13" t="s">
        <v>684</v>
      </c>
      <c r="C13" t="s">
        <v>685</v>
      </c>
      <c r="D13" t="s">
        <v>440</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25">
      <c r="A14" t="s">
        <v>434</v>
      </c>
      <c r="B14" t="s">
        <v>686</v>
      </c>
      <c r="C14" t="s">
        <v>687</v>
      </c>
      <c r="D14" t="s">
        <v>440</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25">
      <c r="A15" t="s">
        <v>29</v>
      </c>
    </row>
    <row r="16" spans="1:33" x14ac:dyDescent="0.25">
      <c r="A16" t="s">
        <v>391</v>
      </c>
    </row>
    <row r="17" spans="1:33" x14ac:dyDescent="0.25">
      <c r="A17" t="s">
        <v>443</v>
      </c>
      <c r="B17" t="s">
        <v>688</v>
      </c>
      <c r="C17" t="s">
        <v>689</v>
      </c>
      <c r="D17" t="s">
        <v>446</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25">
      <c r="A18" t="s">
        <v>690</v>
      </c>
      <c r="B18" t="s">
        <v>691</v>
      </c>
      <c r="C18" t="s">
        <v>692</v>
      </c>
      <c r="D18" t="s">
        <v>446</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25">
      <c r="A19" t="s">
        <v>450</v>
      </c>
      <c r="B19" t="s">
        <v>693</v>
      </c>
      <c r="C19" t="s">
        <v>694</v>
      </c>
      <c r="D19" t="s">
        <v>446</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25">
      <c r="A20" t="s">
        <v>695</v>
      </c>
      <c r="B20" t="s">
        <v>696</v>
      </c>
      <c r="C20" t="s">
        <v>697</v>
      </c>
      <c r="D20" t="s">
        <v>446</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25">
      <c r="A21" t="s">
        <v>456</v>
      </c>
      <c r="B21" t="s">
        <v>698</v>
      </c>
      <c r="C21" t="s">
        <v>699</v>
      </c>
      <c r="D21" t="s">
        <v>446</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25">
      <c r="A22" t="s">
        <v>465</v>
      </c>
      <c r="B22" t="s">
        <v>700</v>
      </c>
      <c r="C22" t="s">
        <v>701</v>
      </c>
      <c r="D22" t="s">
        <v>446</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25">
      <c r="A23" t="s">
        <v>453</v>
      </c>
      <c r="B23" t="s">
        <v>702</v>
      </c>
      <c r="C23" t="s">
        <v>703</v>
      </c>
      <c r="D23" t="s">
        <v>446</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25">
      <c r="A24" t="s">
        <v>704</v>
      </c>
      <c r="B24" t="s">
        <v>705</v>
      </c>
      <c r="C24" t="s">
        <v>706</v>
      </c>
      <c r="D24" t="s">
        <v>446</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25">
      <c r="A25" t="s">
        <v>707</v>
      </c>
      <c r="B25" t="s">
        <v>708</v>
      </c>
      <c r="C25" t="s">
        <v>709</v>
      </c>
      <c r="D25" t="s">
        <v>446</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25">
      <c r="A26" t="s">
        <v>483</v>
      </c>
      <c r="B26" t="s">
        <v>710</v>
      </c>
      <c r="C26" t="s">
        <v>711</v>
      </c>
      <c r="D26" t="s">
        <v>446</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25">
      <c r="A27" t="s">
        <v>486</v>
      </c>
      <c r="B27" t="s">
        <v>712</v>
      </c>
      <c r="C27" t="s">
        <v>713</v>
      </c>
      <c r="D27" t="s">
        <v>446</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25">
      <c r="A28" t="s">
        <v>489</v>
      </c>
      <c r="B28" t="s">
        <v>714</v>
      </c>
      <c r="C28" t="s">
        <v>715</v>
      </c>
      <c r="D28" t="s">
        <v>446</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25">
      <c r="A29" t="s">
        <v>492</v>
      </c>
      <c r="B29" t="s">
        <v>716</v>
      </c>
      <c r="C29" t="s">
        <v>717</v>
      </c>
      <c r="D29" t="s">
        <v>446</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25">
      <c r="A30" t="s">
        <v>718</v>
      </c>
      <c r="B30" t="s">
        <v>719</v>
      </c>
      <c r="C30" t="s">
        <v>720</v>
      </c>
      <c r="D30" t="s">
        <v>446</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25">
      <c r="A31" t="s">
        <v>498</v>
      </c>
    </row>
    <row r="32" spans="1:33" x14ac:dyDescent="0.25">
      <c r="A32" t="s">
        <v>443</v>
      </c>
      <c r="B32" t="s">
        <v>721</v>
      </c>
      <c r="C32" t="s">
        <v>722</v>
      </c>
      <c r="D32" t="s">
        <v>446</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25">
      <c r="A33" t="s">
        <v>447</v>
      </c>
      <c r="B33" t="s">
        <v>723</v>
      </c>
      <c r="C33" t="s">
        <v>724</v>
      </c>
      <c r="D33" t="s">
        <v>446</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25">
      <c r="A34" t="s">
        <v>450</v>
      </c>
      <c r="B34" t="s">
        <v>725</v>
      </c>
      <c r="C34" t="s">
        <v>726</v>
      </c>
      <c r="D34" t="s">
        <v>446</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25">
      <c r="A35" t="s">
        <v>456</v>
      </c>
      <c r="B35" t="s">
        <v>727</v>
      </c>
      <c r="C35" t="s">
        <v>728</v>
      </c>
      <c r="D35" t="s">
        <v>446</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25">
      <c r="A36" t="s">
        <v>483</v>
      </c>
      <c r="B36" t="s">
        <v>729</v>
      </c>
      <c r="C36" t="s">
        <v>730</v>
      </c>
      <c r="D36" t="s">
        <v>446</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25">
      <c r="A37" t="s">
        <v>511</v>
      </c>
      <c r="B37" t="s">
        <v>731</v>
      </c>
      <c r="C37" t="s">
        <v>732</v>
      </c>
      <c r="D37" t="s">
        <v>446</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25">
      <c r="A38" t="s">
        <v>514</v>
      </c>
    </row>
    <row r="39" spans="1:33" x14ac:dyDescent="0.25">
      <c r="A39" t="s">
        <v>443</v>
      </c>
      <c r="B39" t="s">
        <v>733</v>
      </c>
      <c r="C39" t="s">
        <v>734</v>
      </c>
      <c r="D39" t="s">
        <v>446</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25">
      <c r="A40" t="s">
        <v>450</v>
      </c>
      <c r="B40" t="s">
        <v>735</v>
      </c>
      <c r="C40" t="s">
        <v>736</v>
      </c>
      <c r="D40" t="s">
        <v>446</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25">
      <c r="A41" t="s">
        <v>483</v>
      </c>
      <c r="B41" t="s">
        <v>737</v>
      </c>
      <c r="C41" t="s">
        <v>738</v>
      </c>
      <c r="D41" t="s">
        <v>446</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25">
      <c r="A42" t="s">
        <v>511</v>
      </c>
      <c r="B42" t="s">
        <v>739</v>
      </c>
      <c r="C42" t="s">
        <v>740</v>
      </c>
      <c r="D42" t="s">
        <v>446</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25">
      <c r="A43" t="s">
        <v>741</v>
      </c>
      <c r="B43" t="s">
        <v>742</v>
      </c>
      <c r="C43" t="s">
        <v>743</v>
      </c>
      <c r="D43" t="s">
        <v>446</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25">
      <c r="A44" t="s">
        <v>744</v>
      </c>
      <c r="B44" t="s">
        <v>745</v>
      </c>
      <c r="C44" t="s">
        <v>746</v>
      </c>
      <c r="D44" t="s">
        <v>446</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25">
      <c r="A45" t="s">
        <v>536</v>
      </c>
    </row>
    <row r="46" spans="1:33" x14ac:dyDescent="0.25">
      <c r="A46" t="s">
        <v>443</v>
      </c>
      <c r="B46" t="s">
        <v>747</v>
      </c>
      <c r="C46" t="s">
        <v>748</v>
      </c>
      <c r="D46" t="s">
        <v>446</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25">
      <c r="A47" t="s">
        <v>447</v>
      </c>
      <c r="B47" t="s">
        <v>749</v>
      </c>
      <c r="C47" t="s">
        <v>750</v>
      </c>
      <c r="D47" t="s">
        <v>446</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25">
      <c r="A48" t="s">
        <v>450</v>
      </c>
      <c r="B48" t="s">
        <v>751</v>
      </c>
      <c r="C48" t="s">
        <v>752</v>
      </c>
      <c r="D48" t="s">
        <v>446</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25">
      <c r="A49" t="s">
        <v>695</v>
      </c>
      <c r="B49" t="s">
        <v>753</v>
      </c>
      <c r="C49" t="s">
        <v>754</v>
      </c>
      <c r="D49" t="s">
        <v>446</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25">
      <c r="A50" t="s">
        <v>456</v>
      </c>
      <c r="B50" t="s">
        <v>755</v>
      </c>
      <c r="C50" t="s">
        <v>756</v>
      </c>
      <c r="D50" t="s">
        <v>446</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25">
      <c r="A51" t="s">
        <v>465</v>
      </c>
      <c r="B51" t="s">
        <v>757</v>
      </c>
      <c r="C51" t="s">
        <v>758</v>
      </c>
      <c r="D51" t="s">
        <v>446</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25">
      <c r="A52" t="s">
        <v>453</v>
      </c>
      <c r="B52" t="s">
        <v>759</v>
      </c>
      <c r="C52" t="s">
        <v>760</v>
      </c>
      <c r="D52" t="s">
        <v>446</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25">
      <c r="A53" t="s">
        <v>704</v>
      </c>
      <c r="B53" t="s">
        <v>761</v>
      </c>
      <c r="C53" t="s">
        <v>762</v>
      </c>
      <c r="D53" t="s">
        <v>446</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25">
      <c r="A54" t="s">
        <v>707</v>
      </c>
      <c r="B54" t="s">
        <v>763</v>
      </c>
      <c r="C54" t="s">
        <v>764</v>
      </c>
      <c r="D54" t="s">
        <v>446</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25">
      <c r="A55" t="s">
        <v>483</v>
      </c>
      <c r="B55" t="s">
        <v>765</v>
      </c>
      <c r="C55" t="s">
        <v>766</v>
      </c>
      <c r="D55" t="s">
        <v>446</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25">
      <c r="A56" t="s">
        <v>430</v>
      </c>
      <c r="B56" t="s">
        <v>767</v>
      </c>
      <c r="C56" t="s">
        <v>768</v>
      </c>
      <c r="D56" t="s">
        <v>446</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25">
      <c r="A57" t="s">
        <v>489</v>
      </c>
      <c r="B57" t="s">
        <v>769</v>
      </c>
      <c r="C57" t="s">
        <v>770</v>
      </c>
      <c r="D57" t="s">
        <v>446</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25">
      <c r="A58" t="s">
        <v>492</v>
      </c>
      <c r="B58" t="s">
        <v>771</v>
      </c>
      <c r="C58" t="s">
        <v>772</v>
      </c>
      <c r="D58" t="s">
        <v>446</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25">
      <c r="A59" t="s">
        <v>511</v>
      </c>
      <c r="B59" t="s">
        <v>773</v>
      </c>
      <c r="C59" t="s">
        <v>768</v>
      </c>
      <c r="D59" t="s">
        <v>446</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25">
      <c r="A60" t="s">
        <v>573</v>
      </c>
      <c r="B60" t="s">
        <v>774</v>
      </c>
      <c r="C60" t="s">
        <v>775</v>
      </c>
      <c r="D60" t="s">
        <v>446</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25">
      <c r="A61" t="s">
        <v>576</v>
      </c>
    </row>
    <row r="62" spans="1:33" x14ac:dyDescent="0.25">
      <c r="A62" t="s">
        <v>443</v>
      </c>
      <c r="B62" t="s">
        <v>776</v>
      </c>
      <c r="C62" t="s">
        <v>777</v>
      </c>
      <c r="D62" t="s">
        <v>446</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25">
      <c r="A63" t="s">
        <v>447</v>
      </c>
      <c r="B63" t="s">
        <v>778</v>
      </c>
      <c r="C63" t="s">
        <v>779</v>
      </c>
      <c r="D63" t="s">
        <v>446</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25">
      <c r="A64" t="s">
        <v>450</v>
      </c>
      <c r="B64" t="s">
        <v>780</v>
      </c>
      <c r="C64" t="s">
        <v>781</v>
      </c>
      <c r="D64" t="s">
        <v>446</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25">
      <c r="A65" t="s">
        <v>695</v>
      </c>
      <c r="B65" t="s">
        <v>782</v>
      </c>
      <c r="C65" t="s">
        <v>783</v>
      </c>
      <c r="D65" t="s">
        <v>446</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25">
      <c r="A66" t="s">
        <v>456</v>
      </c>
      <c r="B66" t="s">
        <v>784</v>
      </c>
      <c r="C66" t="s">
        <v>785</v>
      </c>
      <c r="D66" t="s">
        <v>446</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25">
      <c r="A67" t="s">
        <v>465</v>
      </c>
      <c r="B67" t="s">
        <v>786</v>
      </c>
      <c r="C67" t="s">
        <v>787</v>
      </c>
      <c r="D67" t="s">
        <v>446</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25">
      <c r="A68" t="s">
        <v>453</v>
      </c>
      <c r="B68" t="s">
        <v>788</v>
      </c>
      <c r="C68" t="s">
        <v>789</v>
      </c>
      <c r="D68" t="s">
        <v>446</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25">
      <c r="A69" t="s">
        <v>704</v>
      </c>
      <c r="B69" t="s">
        <v>790</v>
      </c>
      <c r="C69" t="s">
        <v>791</v>
      </c>
      <c r="D69" t="s">
        <v>446</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25">
      <c r="A70" t="s">
        <v>707</v>
      </c>
      <c r="B70" t="s">
        <v>792</v>
      </c>
      <c r="C70" t="s">
        <v>793</v>
      </c>
      <c r="D70" t="s">
        <v>446</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25">
      <c r="A71" t="s">
        <v>483</v>
      </c>
      <c r="B71" t="s">
        <v>794</v>
      </c>
      <c r="C71" t="s">
        <v>795</v>
      </c>
      <c r="D71" t="s">
        <v>446</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25">
      <c r="A72" t="s">
        <v>605</v>
      </c>
      <c r="B72" t="s">
        <v>796</v>
      </c>
      <c r="C72" t="s">
        <v>797</v>
      </c>
      <c r="D72" t="s">
        <v>446</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25">
      <c r="A73" t="s">
        <v>489</v>
      </c>
      <c r="B73" t="s">
        <v>798</v>
      </c>
      <c r="C73" t="s">
        <v>799</v>
      </c>
      <c r="D73" t="s">
        <v>446</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25">
      <c r="A74" t="s">
        <v>492</v>
      </c>
      <c r="B74" t="s">
        <v>800</v>
      </c>
      <c r="C74" t="s">
        <v>799</v>
      </c>
      <c r="D74" t="s">
        <v>446</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25">
      <c r="A75" t="s">
        <v>612</v>
      </c>
      <c r="B75" t="s">
        <v>801</v>
      </c>
      <c r="C75" t="s">
        <v>802</v>
      </c>
      <c r="D75" t="s">
        <v>446</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25">
      <c r="A76" t="s">
        <v>118</v>
      </c>
    </row>
    <row r="77" spans="1:33" x14ac:dyDescent="0.25">
      <c r="A77" t="s">
        <v>803</v>
      </c>
      <c r="B77" t="s">
        <v>804</v>
      </c>
      <c r="C77" t="s">
        <v>805</v>
      </c>
      <c r="D77" t="s">
        <v>446</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25">
      <c r="A78" t="s">
        <v>619</v>
      </c>
      <c r="B78" t="s">
        <v>806</v>
      </c>
      <c r="C78" t="s">
        <v>807</v>
      </c>
      <c r="D78" t="s">
        <v>446</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25">
      <c r="A79" t="s">
        <v>622</v>
      </c>
      <c r="B79" t="s">
        <v>808</v>
      </c>
      <c r="C79" t="s">
        <v>809</v>
      </c>
      <c r="D79" t="s">
        <v>446</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25">
      <c r="A80" t="s">
        <v>421</v>
      </c>
      <c r="B80" t="s">
        <v>810</v>
      </c>
      <c r="C80" t="s">
        <v>811</v>
      </c>
      <c r="D80" t="s">
        <v>446</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25">
      <c r="A81" t="s">
        <v>127</v>
      </c>
    </row>
    <row r="82" spans="1:33" x14ac:dyDescent="0.25">
      <c r="A82" t="s">
        <v>257</v>
      </c>
      <c r="B82" t="s">
        <v>812</v>
      </c>
      <c r="C82" t="s">
        <v>813</v>
      </c>
      <c r="D82" t="s">
        <v>629</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25">
      <c r="A83" t="s">
        <v>258</v>
      </c>
      <c r="B83" t="s">
        <v>814</v>
      </c>
      <c r="C83" t="s">
        <v>815</v>
      </c>
      <c r="D83" t="s">
        <v>629</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25">
      <c r="A84" t="s">
        <v>260</v>
      </c>
      <c r="B84" t="s">
        <v>816</v>
      </c>
      <c r="C84" t="s">
        <v>817</v>
      </c>
      <c r="D84" t="s">
        <v>629</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25">
      <c r="A85" t="s">
        <v>261</v>
      </c>
      <c r="B85" t="s">
        <v>818</v>
      </c>
      <c r="C85" t="s">
        <v>819</v>
      </c>
      <c r="D85" t="s">
        <v>629</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25">
      <c r="A86" t="s">
        <v>263</v>
      </c>
      <c r="B86" t="s">
        <v>820</v>
      </c>
      <c r="C86" t="s">
        <v>821</v>
      </c>
      <c r="D86" t="s">
        <v>629</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25">
      <c r="A87" t="s">
        <v>264</v>
      </c>
      <c r="B87" t="s">
        <v>822</v>
      </c>
      <c r="C87" t="s">
        <v>823</v>
      </c>
      <c r="D87" t="s">
        <v>629</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25">
      <c r="A88" t="s">
        <v>265</v>
      </c>
      <c r="B88" t="s">
        <v>824</v>
      </c>
      <c r="C88" t="s">
        <v>825</v>
      </c>
      <c r="D88" t="s">
        <v>629</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25">
      <c r="A89" t="s">
        <v>267</v>
      </c>
      <c r="B89" t="s">
        <v>826</v>
      </c>
      <c r="C89" t="s">
        <v>827</v>
      </c>
      <c r="D89" t="s">
        <v>629</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25">
      <c r="A90" t="s">
        <v>270</v>
      </c>
      <c r="B90" t="s">
        <v>828</v>
      </c>
      <c r="C90" t="s">
        <v>829</v>
      </c>
      <c r="D90" t="s">
        <v>629</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25">
      <c r="A91" t="s">
        <v>646</v>
      </c>
      <c r="B91" t="s">
        <v>830</v>
      </c>
      <c r="C91" t="s">
        <v>831</v>
      </c>
      <c r="D91" t="s">
        <v>629</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25">
      <c r="A92" t="s">
        <v>148</v>
      </c>
    </row>
    <row r="93" spans="1:33" x14ac:dyDescent="0.25">
      <c r="A93" t="s">
        <v>257</v>
      </c>
      <c r="B93" t="s">
        <v>832</v>
      </c>
      <c r="C93" t="s">
        <v>833</v>
      </c>
      <c r="D93" t="s">
        <v>651</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25">
      <c r="A94" t="s">
        <v>258</v>
      </c>
      <c r="B94" t="s">
        <v>834</v>
      </c>
      <c r="C94" t="s">
        <v>835</v>
      </c>
      <c r="D94" t="s">
        <v>651</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25">
      <c r="A95" t="s">
        <v>260</v>
      </c>
      <c r="B95" t="s">
        <v>836</v>
      </c>
      <c r="C95" t="s">
        <v>837</v>
      </c>
      <c r="D95" t="s">
        <v>651</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25">
      <c r="A96" t="s">
        <v>261</v>
      </c>
      <c r="B96" t="s">
        <v>838</v>
      </c>
      <c r="C96" t="s">
        <v>839</v>
      </c>
      <c r="D96" t="s">
        <v>651</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25">
      <c r="A97" t="s">
        <v>263</v>
      </c>
      <c r="B97" t="s">
        <v>840</v>
      </c>
      <c r="C97" t="s">
        <v>841</v>
      </c>
      <c r="D97" t="s">
        <v>651</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25">
      <c r="A98" t="s">
        <v>264</v>
      </c>
      <c r="B98" t="s">
        <v>842</v>
      </c>
      <c r="C98" t="s">
        <v>843</v>
      </c>
      <c r="D98" t="s">
        <v>651</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25">
      <c r="A99" t="s">
        <v>265</v>
      </c>
      <c r="B99" t="s">
        <v>844</v>
      </c>
      <c r="C99" t="s">
        <v>845</v>
      </c>
      <c r="D99" t="s">
        <v>651</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25">
      <c r="A100" t="s">
        <v>267</v>
      </c>
      <c r="B100" t="s">
        <v>846</v>
      </c>
      <c r="C100" t="s">
        <v>847</v>
      </c>
      <c r="D100" t="s">
        <v>651</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25">
      <c r="A101" t="s">
        <v>270</v>
      </c>
      <c r="B101" t="s">
        <v>848</v>
      </c>
      <c r="C101" t="s">
        <v>849</v>
      </c>
      <c r="D101" t="s">
        <v>651</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25">
      <c r="A102" t="s">
        <v>646</v>
      </c>
      <c r="B102" t="s">
        <v>850</v>
      </c>
      <c r="C102" t="s">
        <v>851</v>
      </c>
      <c r="D102" t="s">
        <v>651</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H17" sqref="H17"/>
    </sheetView>
  </sheetViews>
  <sheetFormatPr defaultRowHeight="15" x14ac:dyDescent="0.25"/>
  <cols>
    <col min="1" max="1" width="22.85546875" customWidth="1"/>
  </cols>
  <sheetData>
    <row r="1" spans="1:35" x14ac:dyDescent="0.25">
      <c r="A1" t="s">
        <v>670</v>
      </c>
    </row>
    <row r="2" spans="1:35" x14ac:dyDescent="0.25">
      <c r="A2" t="s">
        <v>852</v>
      </c>
    </row>
    <row r="3" spans="1:35" x14ac:dyDescent="0.25">
      <c r="A3" t="s">
        <v>853</v>
      </c>
    </row>
    <row r="4" spans="1:35" x14ac:dyDescent="0.25">
      <c r="A4" t="s">
        <v>405</v>
      </c>
    </row>
    <row r="5" spans="1:35" x14ac:dyDescent="0.25">
      <c r="B5" t="s">
        <v>406</v>
      </c>
      <c r="C5" t="s">
        <v>407</v>
      </c>
      <c r="D5" t="s">
        <v>408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854</v>
      </c>
    </row>
    <row r="6" spans="1:35" x14ac:dyDescent="0.25">
      <c r="A6" t="s">
        <v>15</v>
      </c>
    </row>
    <row r="7" spans="1:35" x14ac:dyDescent="0.25">
      <c r="A7" t="s">
        <v>673</v>
      </c>
    </row>
    <row r="8" spans="1:35" x14ac:dyDescent="0.25">
      <c r="A8" t="s">
        <v>674</v>
      </c>
      <c r="B8" t="s">
        <v>855</v>
      </c>
      <c r="C8" t="s">
        <v>856</v>
      </c>
      <c r="D8" t="s">
        <v>677</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25">
      <c r="A9" t="s">
        <v>678</v>
      </c>
      <c r="B9" t="s">
        <v>857</v>
      </c>
      <c r="C9" t="s">
        <v>858</v>
      </c>
      <c r="D9" t="s">
        <v>677</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25">
      <c r="A10" t="s">
        <v>421</v>
      </c>
      <c r="B10" t="s">
        <v>859</v>
      </c>
      <c r="C10" t="s">
        <v>860</v>
      </c>
      <c r="D10" t="s">
        <v>677</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25">
      <c r="A11" t="s">
        <v>683</v>
      </c>
    </row>
    <row r="12" spans="1:35" x14ac:dyDescent="0.25">
      <c r="A12" t="s">
        <v>437</v>
      </c>
    </row>
    <row r="13" spans="1:35" x14ac:dyDescent="0.25">
      <c r="A13" t="s">
        <v>430</v>
      </c>
      <c r="B13" t="s">
        <v>861</v>
      </c>
      <c r="C13" t="s">
        <v>862</v>
      </c>
      <c r="D13" t="s">
        <v>440</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25">
      <c r="A14" t="s">
        <v>434</v>
      </c>
      <c r="B14" t="s">
        <v>863</v>
      </c>
      <c r="C14" t="s">
        <v>864</v>
      </c>
      <c r="D14" t="s">
        <v>440</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25">
      <c r="A15" t="s">
        <v>29</v>
      </c>
    </row>
    <row r="16" spans="1:35" x14ac:dyDescent="0.25">
      <c r="A16" t="s">
        <v>391</v>
      </c>
    </row>
    <row r="17" spans="1:35" x14ac:dyDescent="0.25">
      <c r="A17" t="s">
        <v>443</v>
      </c>
      <c r="B17" t="s">
        <v>865</v>
      </c>
      <c r="C17" t="s">
        <v>866</v>
      </c>
      <c r="D17" t="s">
        <v>446</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25">
      <c r="A18" t="s">
        <v>447</v>
      </c>
      <c r="B18" t="s">
        <v>867</v>
      </c>
      <c r="C18" t="s">
        <v>868</v>
      </c>
      <c r="D18" t="s">
        <v>446</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25">
      <c r="A19" t="s">
        <v>450</v>
      </c>
      <c r="B19" t="s">
        <v>869</v>
      </c>
      <c r="C19" t="s">
        <v>870</v>
      </c>
      <c r="D19" t="s">
        <v>446</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25">
      <c r="A20" t="s">
        <v>695</v>
      </c>
      <c r="B20" t="s">
        <v>871</v>
      </c>
      <c r="C20" t="s">
        <v>872</v>
      </c>
      <c r="D20" t="s">
        <v>446</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25">
      <c r="A21" t="s">
        <v>456</v>
      </c>
      <c r="B21" t="s">
        <v>873</v>
      </c>
      <c r="C21" t="s">
        <v>874</v>
      </c>
      <c r="D21" t="s">
        <v>446</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25">
      <c r="A22" t="s">
        <v>465</v>
      </c>
      <c r="B22" t="s">
        <v>875</v>
      </c>
      <c r="C22" t="s">
        <v>876</v>
      </c>
      <c r="D22" t="s">
        <v>446</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25">
      <c r="A23" t="s">
        <v>453</v>
      </c>
      <c r="B23" t="s">
        <v>877</v>
      </c>
      <c r="C23" t="s">
        <v>878</v>
      </c>
      <c r="D23" t="s">
        <v>446</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25">
      <c r="A24" t="s">
        <v>704</v>
      </c>
      <c r="B24" t="s">
        <v>879</v>
      </c>
      <c r="C24" t="s">
        <v>880</v>
      </c>
      <c r="D24" t="s">
        <v>446</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25">
      <c r="A25" t="s">
        <v>707</v>
      </c>
      <c r="B25" t="s">
        <v>881</v>
      </c>
      <c r="C25" t="s">
        <v>882</v>
      </c>
      <c r="D25" t="s">
        <v>446</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25">
      <c r="A26" t="s">
        <v>483</v>
      </c>
      <c r="B26" t="s">
        <v>883</v>
      </c>
      <c r="C26" t="s">
        <v>884</v>
      </c>
      <c r="D26" t="s">
        <v>446</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25">
      <c r="A27" t="s">
        <v>885</v>
      </c>
      <c r="B27" t="s">
        <v>886</v>
      </c>
      <c r="C27" t="s">
        <v>887</v>
      </c>
      <c r="D27" t="s">
        <v>446</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25">
      <c r="A28" t="s">
        <v>492</v>
      </c>
      <c r="B28" t="s">
        <v>888</v>
      </c>
      <c r="C28" t="s">
        <v>889</v>
      </c>
      <c r="D28" t="s">
        <v>446</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25">
      <c r="A29" t="s">
        <v>890</v>
      </c>
      <c r="B29" t="s">
        <v>891</v>
      </c>
      <c r="C29" t="s">
        <v>892</v>
      </c>
      <c r="D29" t="s">
        <v>446</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25">
      <c r="A30" t="s">
        <v>498</v>
      </c>
    </row>
    <row r="31" spans="1:35" x14ac:dyDescent="0.25">
      <c r="A31" t="s">
        <v>443</v>
      </c>
      <c r="B31" t="s">
        <v>893</v>
      </c>
      <c r="C31" t="s">
        <v>894</v>
      </c>
      <c r="D31" t="s">
        <v>446</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25">
      <c r="A32" t="s">
        <v>447</v>
      </c>
      <c r="B32" t="s">
        <v>895</v>
      </c>
      <c r="C32" t="s">
        <v>896</v>
      </c>
      <c r="D32" t="s">
        <v>446</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25">
      <c r="A33" t="s">
        <v>450</v>
      </c>
      <c r="B33" t="s">
        <v>897</v>
      </c>
      <c r="C33" t="s">
        <v>898</v>
      </c>
      <c r="D33" t="s">
        <v>446</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25">
      <c r="A34" t="s">
        <v>456</v>
      </c>
      <c r="B34" t="s">
        <v>899</v>
      </c>
      <c r="C34" t="s">
        <v>900</v>
      </c>
      <c r="D34" t="s">
        <v>446</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25">
      <c r="A35" t="s">
        <v>483</v>
      </c>
      <c r="B35" t="s">
        <v>901</v>
      </c>
      <c r="C35" t="s">
        <v>902</v>
      </c>
      <c r="D35" t="s">
        <v>446</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25">
      <c r="A36" t="s">
        <v>511</v>
      </c>
      <c r="B36" t="s">
        <v>903</v>
      </c>
      <c r="C36" t="s">
        <v>904</v>
      </c>
      <c r="D36" t="s">
        <v>446</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25">
      <c r="A37" t="s">
        <v>514</v>
      </c>
    </row>
    <row r="38" spans="1:35" x14ac:dyDescent="0.25">
      <c r="A38" t="s">
        <v>443</v>
      </c>
      <c r="B38" t="s">
        <v>905</v>
      </c>
      <c r="C38" t="s">
        <v>906</v>
      </c>
      <c r="D38" t="s">
        <v>446</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25">
      <c r="A39" t="s">
        <v>450</v>
      </c>
      <c r="B39" t="s">
        <v>907</v>
      </c>
      <c r="C39" t="s">
        <v>908</v>
      </c>
      <c r="D39" t="s">
        <v>446</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25">
      <c r="A40" t="s">
        <v>483</v>
      </c>
      <c r="B40" t="s">
        <v>909</v>
      </c>
      <c r="C40" t="s">
        <v>910</v>
      </c>
      <c r="D40" t="s">
        <v>446</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25">
      <c r="A41" t="s">
        <v>511</v>
      </c>
      <c r="B41" t="s">
        <v>911</v>
      </c>
      <c r="C41" t="s">
        <v>912</v>
      </c>
      <c r="D41" t="s">
        <v>446</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25">
      <c r="A42" t="s">
        <v>741</v>
      </c>
      <c r="B42" t="s">
        <v>913</v>
      </c>
      <c r="C42" t="s">
        <v>914</v>
      </c>
      <c r="D42" t="s">
        <v>446</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25">
      <c r="A43" t="s">
        <v>744</v>
      </c>
      <c r="B43" t="s">
        <v>915</v>
      </c>
      <c r="C43" t="s">
        <v>916</v>
      </c>
      <c r="D43" t="s">
        <v>446</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25">
      <c r="A44" t="s">
        <v>536</v>
      </c>
    </row>
    <row r="45" spans="1:35" x14ac:dyDescent="0.25">
      <c r="A45" t="s">
        <v>443</v>
      </c>
      <c r="B45" t="s">
        <v>917</v>
      </c>
      <c r="C45" t="s">
        <v>918</v>
      </c>
      <c r="D45" t="s">
        <v>446</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25">
      <c r="A46" t="s">
        <v>447</v>
      </c>
      <c r="B46" t="s">
        <v>919</v>
      </c>
      <c r="C46" t="s">
        <v>920</v>
      </c>
      <c r="D46" t="s">
        <v>446</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25">
      <c r="A47" t="s">
        <v>450</v>
      </c>
      <c r="B47" t="s">
        <v>921</v>
      </c>
      <c r="C47" t="s">
        <v>922</v>
      </c>
      <c r="D47" t="s">
        <v>446</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25">
      <c r="A48" t="s">
        <v>695</v>
      </c>
      <c r="B48" t="s">
        <v>923</v>
      </c>
      <c r="C48" t="s">
        <v>924</v>
      </c>
      <c r="D48" t="s">
        <v>446</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25">
      <c r="A49" t="s">
        <v>456</v>
      </c>
      <c r="B49" t="s">
        <v>925</v>
      </c>
      <c r="C49" t="s">
        <v>926</v>
      </c>
      <c r="D49" t="s">
        <v>446</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25">
      <c r="A50" t="s">
        <v>465</v>
      </c>
      <c r="B50" t="s">
        <v>927</v>
      </c>
      <c r="C50" t="s">
        <v>928</v>
      </c>
      <c r="D50" t="s">
        <v>446</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25">
      <c r="A51" t="s">
        <v>453</v>
      </c>
      <c r="B51" t="s">
        <v>929</v>
      </c>
      <c r="C51" t="s">
        <v>930</v>
      </c>
      <c r="D51" t="s">
        <v>446</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25">
      <c r="A52" t="s">
        <v>704</v>
      </c>
      <c r="B52" t="s">
        <v>931</v>
      </c>
      <c r="C52" t="s">
        <v>932</v>
      </c>
      <c r="D52" t="s">
        <v>446</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25">
      <c r="A53" t="s">
        <v>707</v>
      </c>
      <c r="B53" t="s">
        <v>933</v>
      </c>
      <c r="C53" t="s">
        <v>934</v>
      </c>
      <c r="D53" t="s">
        <v>446</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25">
      <c r="A54" t="s">
        <v>483</v>
      </c>
      <c r="B54" t="s">
        <v>935</v>
      </c>
      <c r="C54" t="s">
        <v>936</v>
      </c>
      <c r="D54" t="s">
        <v>446</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25">
      <c r="A55" t="s">
        <v>430</v>
      </c>
      <c r="B55" t="s">
        <v>937</v>
      </c>
      <c r="C55" t="s">
        <v>938</v>
      </c>
      <c r="D55" t="s">
        <v>446</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25">
      <c r="A56" t="s">
        <v>492</v>
      </c>
      <c r="B56" t="s">
        <v>939</v>
      </c>
      <c r="C56" t="s">
        <v>940</v>
      </c>
      <c r="D56" t="s">
        <v>446</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25">
      <c r="A57" t="s">
        <v>511</v>
      </c>
      <c r="B57" t="s">
        <v>941</v>
      </c>
      <c r="C57" t="s">
        <v>938</v>
      </c>
      <c r="D57" t="s">
        <v>446</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25">
      <c r="A58" t="s">
        <v>573</v>
      </c>
      <c r="B58" t="s">
        <v>942</v>
      </c>
      <c r="C58" t="s">
        <v>943</v>
      </c>
      <c r="D58" t="s">
        <v>446</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25">
      <c r="A59" t="s">
        <v>576</v>
      </c>
    </row>
    <row r="60" spans="1:35" x14ac:dyDescent="0.25">
      <c r="A60" t="s">
        <v>443</v>
      </c>
      <c r="B60" t="s">
        <v>944</v>
      </c>
      <c r="C60" t="s">
        <v>945</v>
      </c>
      <c r="D60" t="s">
        <v>446</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25">
      <c r="A61" t="s">
        <v>447</v>
      </c>
      <c r="B61" t="s">
        <v>946</v>
      </c>
      <c r="C61" t="s">
        <v>947</v>
      </c>
      <c r="D61" t="s">
        <v>446</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25">
      <c r="A62" t="s">
        <v>450</v>
      </c>
      <c r="B62" t="s">
        <v>948</v>
      </c>
      <c r="C62" t="s">
        <v>949</v>
      </c>
      <c r="D62" t="s">
        <v>446</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25">
      <c r="A63" t="s">
        <v>695</v>
      </c>
      <c r="B63" t="s">
        <v>950</v>
      </c>
      <c r="C63" t="s">
        <v>951</v>
      </c>
      <c r="D63" t="s">
        <v>446</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25">
      <c r="A64" t="s">
        <v>456</v>
      </c>
      <c r="B64" t="s">
        <v>952</v>
      </c>
      <c r="C64" t="s">
        <v>953</v>
      </c>
      <c r="D64" t="s">
        <v>446</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25">
      <c r="A65" t="s">
        <v>465</v>
      </c>
      <c r="B65" t="s">
        <v>954</v>
      </c>
      <c r="C65" t="s">
        <v>955</v>
      </c>
      <c r="D65" t="s">
        <v>446</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25">
      <c r="A66" t="s">
        <v>453</v>
      </c>
      <c r="B66" t="s">
        <v>956</v>
      </c>
      <c r="C66" t="s">
        <v>957</v>
      </c>
      <c r="D66" t="s">
        <v>446</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25">
      <c r="A67" t="s">
        <v>704</v>
      </c>
      <c r="B67" t="s">
        <v>958</v>
      </c>
      <c r="C67" t="s">
        <v>959</v>
      </c>
      <c r="D67" t="s">
        <v>446</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25">
      <c r="A68" t="s">
        <v>707</v>
      </c>
      <c r="B68" t="s">
        <v>960</v>
      </c>
      <c r="C68" t="s">
        <v>961</v>
      </c>
      <c r="D68" t="s">
        <v>446</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25">
      <c r="A69" t="s">
        <v>483</v>
      </c>
      <c r="B69" t="s">
        <v>962</v>
      </c>
      <c r="C69" t="s">
        <v>963</v>
      </c>
      <c r="D69" t="s">
        <v>446</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25">
      <c r="A70" t="s">
        <v>605</v>
      </c>
      <c r="B70" t="s">
        <v>964</v>
      </c>
      <c r="C70" t="s">
        <v>965</v>
      </c>
      <c r="D70" t="s">
        <v>446</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25">
      <c r="A71" t="s">
        <v>492</v>
      </c>
      <c r="B71" t="s">
        <v>966</v>
      </c>
      <c r="C71" t="s">
        <v>967</v>
      </c>
      <c r="D71" t="s">
        <v>446</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25">
      <c r="A72" t="s">
        <v>968</v>
      </c>
      <c r="B72" t="s">
        <v>969</v>
      </c>
      <c r="C72" t="s">
        <v>970</v>
      </c>
      <c r="D72" t="s">
        <v>446</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25">
      <c r="A73" t="s">
        <v>118</v>
      </c>
    </row>
    <row r="74" spans="1:35" x14ac:dyDescent="0.25">
      <c r="A74" t="s">
        <v>803</v>
      </c>
      <c r="B74" t="s">
        <v>971</v>
      </c>
      <c r="C74" t="s">
        <v>972</v>
      </c>
      <c r="D74" t="s">
        <v>446</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25">
      <c r="A75" t="s">
        <v>619</v>
      </c>
      <c r="B75" t="s">
        <v>973</v>
      </c>
      <c r="C75" t="s">
        <v>974</v>
      </c>
      <c r="D75" t="s">
        <v>446</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25">
      <c r="A76" t="s">
        <v>622</v>
      </c>
      <c r="B76" t="s">
        <v>975</v>
      </c>
      <c r="C76" t="s">
        <v>976</v>
      </c>
      <c r="D76" t="s">
        <v>446</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25">
      <c r="A77" t="s">
        <v>421</v>
      </c>
      <c r="B77" t="s">
        <v>977</v>
      </c>
      <c r="C77" t="s">
        <v>978</v>
      </c>
      <c r="D77" t="s">
        <v>446</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25">
      <c r="A78" t="s">
        <v>127</v>
      </c>
    </row>
    <row r="79" spans="1:35" x14ac:dyDescent="0.25">
      <c r="A79" t="s">
        <v>257</v>
      </c>
      <c r="B79" t="s">
        <v>979</v>
      </c>
      <c r="C79" t="s">
        <v>980</v>
      </c>
      <c r="D79" t="s">
        <v>629</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25">
      <c r="A80" t="s">
        <v>258</v>
      </c>
      <c r="B80" t="s">
        <v>981</v>
      </c>
      <c r="C80" t="s">
        <v>982</v>
      </c>
      <c r="D80" t="s">
        <v>629</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25">
      <c r="A81" t="s">
        <v>260</v>
      </c>
      <c r="B81" t="s">
        <v>983</v>
      </c>
      <c r="C81" t="s">
        <v>984</v>
      </c>
      <c r="D81" t="s">
        <v>629</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25">
      <c r="A82" t="s">
        <v>261</v>
      </c>
      <c r="B82" t="s">
        <v>985</v>
      </c>
      <c r="C82" t="s">
        <v>986</v>
      </c>
      <c r="D82" t="s">
        <v>629</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25">
      <c r="A83" t="s">
        <v>263</v>
      </c>
      <c r="B83" t="s">
        <v>987</v>
      </c>
      <c r="C83" t="s">
        <v>988</v>
      </c>
      <c r="D83" t="s">
        <v>629</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25">
      <c r="A84" t="s">
        <v>264</v>
      </c>
      <c r="B84" t="s">
        <v>989</v>
      </c>
      <c r="C84" t="s">
        <v>990</v>
      </c>
      <c r="D84" t="s">
        <v>629</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25">
      <c r="A85" t="s">
        <v>265</v>
      </c>
      <c r="B85" t="s">
        <v>991</v>
      </c>
      <c r="C85" t="s">
        <v>992</v>
      </c>
      <c r="D85" t="s">
        <v>629</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25">
      <c r="A86" t="s">
        <v>267</v>
      </c>
      <c r="B86" t="s">
        <v>993</v>
      </c>
      <c r="C86" t="s">
        <v>994</v>
      </c>
      <c r="D86" t="s">
        <v>629</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25">
      <c r="A87" t="s">
        <v>270</v>
      </c>
      <c r="B87" t="s">
        <v>995</v>
      </c>
      <c r="C87" t="s">
        <v>996</v>
      </c>
      <c r="D87" t="s">
        <v>629</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25">
      <c r="A88" t="s">
        <v>646</v>
      </c>
      <c r="B88" t="s">
        <v>997</v>
      </c>
      <c r="C88" t="s">
        <v>998</v>
      </c>
      <c r="D88" t="s">
        <v>629</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25">
      <c r="A89" t="s">
        <v>148</v>
      </c>
    </row>
    <row r="90" spans="1:35" x14ac:dyDescent="0.25">
      <c r="A90" t="s">
        <v>257</v>
      </c>
      <c r="B90" t="s">
        <v>999</v>
      </c>
      <c r="C90" t="s">
        <v>1000</v>
      </c>
      <c r="D90" t="s">
        <v>651</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25">
      <c r="A91" t="s">
        <v>258</v>
      </c>
      <c r="B91" t="s">
        <v>1001</v>
      </c>
      <c r="C91" t="s">
        <v>1002</v>
      </c>
      <c r="D91" t="s">
        <v>651</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25">
      <c r="A92" t="s">
        <v>260</v>
      </c>
      <c r="B92" t="s">
        <v>1003</v>
      </c>
      <c r="C92" t="s">
        <v>1004</v>
      </c>
      <c r="D92" t="s">
        <v>651</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25">
      <c r="A93" t="s">
        <v>261</v>
      </c>
      <c r="B93" t="s">
        <v>1005</v>
      </c>
      <c r="C93" t="s">
        <v>1006</v>
      </c>
      <c r="D93" t="s">
        <v>651</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25">
      <c r="A94" t="s">
        <v>263</v>
      </c>
      <c r="B94" t="s">
        <v>1007</v>
      </c>
      <c r="C94" t="s">
        <v>1008</v>
      </c>
      <c r="D94" t="s">
        <v>651</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25">
      <c r="A95" t="s">
        <v>264</v>
      </c>
      <c r="B95" t="s">
        <v>1009</v>
      </c>
      <c r="C95" t="s">
        <v>1010</v>
      </c>
      <c r="D95" t="s">
        <v>651</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25">
      <c r="A96" t="s">
        <v>265</v>
      </c>
      <c r="B96" t="s">
        <v>1011</v>
      </c>
      <c r="C96" t="s">
        <v>1012</v>
      </c>
      <c r="D96" t="s">
        <v>651</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25">
      <c r="A97" t="s">
        <v>267</v>
      </c>
      <c r="B97" t="s">
        <v>1013</v>
      </c>
      <c r="C97" t="s">
        <v>1014</v>
      </c>
      <c r="D97" t="s">
        <v>651</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25">
      <c r="A98" t="s">
        <v>270</v>
      </c>
      <c r="B98" t="s">
        <v>1015</v>
      </c>
      <c r="C98" t="s">
        <v>1016</v>
      </c>
      <c r="D98" t="s">
        <v>651</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25">
      <c r="A99" t="s">
        <v>646</v>
      </c>
      <c r="B99" t="s">
        <v>1017</v>
      </c>
      <c r="C99" t="s">
        <v>1018</v>
      </c>
      <c r="D99" t="s">
        <v>651</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
  <sheetViews>
    <sheetView workbookViewId="0">
      <selection activeCell="B13" sqref="B13"/>
    </sheetView>
  </sheetViews>
  <sheetFormatPr defaultRowHeight="15" x14ac:dyDescent="0.25"/>
  <cols>
    <col min="1" max="1" width="42.42578125" customWidth="1"/>
    <col min="2" max="2" width="11.85546875" bestFit="1" customWidth="1"/>
    <col min="4" max="4" width="9.85546875" bestFit="1" customWidth="1"/>
  </cols>
  <sheetData>
    <row r="1" spans="1:28" x14ac:dyDescent="0.25">
      <c r="A1" s="1" t="s">
        <v>1019</v>
      </c>
    </row>
    <row r="2" spans="1:28" x14ac:dyDescent="0.25">
      <c r="A2" s="1"/>
    </row>
    <row r="3" spans="1:28" x14ac:dyDescent="0.25">
      <c r="A3" t="s">
        <v>391</v>
      </c>
    </row>
    <row r="4" spans="1:28" x14ac:dyDescent="0.2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25">
      <c r="A6" t="s">
        <v>695</v>
      </c>
      <c r="B6">
        <f>'AEO 2025 Table 5'!F20-'AEO 2023 Table 5'!H20</f>
        <v>0.344642</v>
      </c>
      <c r="C6">
        <f>INDEX('AEO 2026 Table 5'!$D$15:$AC$120,15,MATCH(C$4,'AEO 2026 Table 5'!$D$10:$AC$10,0))-'AEO 2023 Table 5'!G20</f>
        <v>0.36468765667343139</v>
      </c>
      <c r="D6">
        <f>INDEX('AEO 2026 Table 5'!$D$15:$AC$120,15,MATCH(D$4,'AEO 2026 Table 5'!$D$10:$AC$10,0))-'AEO 2023 Table 5'!H20</f>
        <v>0.37806170182800292</v>
      </c>
      <c r="E6">
        <f>INDEX('AEO 2026 Table 5'!$D$15:$AC$120,15,MATCH(E$4,'AEO 2026 Table 5'!$D$10:$AC$10,0))-'AEO 2023 Table 5'!I20</f>
        <v>0.39293136533737183</v>
      </c>
      <c r="F6">
        <f>INDEX('AEO 2026 Table 5'!$D$15:$AC$120,15,MATCH(F$4,'AEO 2026 Table 5'!$D$10:$AC$10,0))-'AEO 2023 Table 5'!J20</f>
        <v>0.41080798994064333</v>
      </c>
      <c r="G6">
        <f>INDEX('AEO 2026 Table 5'!$D$15:$AC$120,15,MATCH(G$4,'AEO 2026 Table 5'!$D$10:$AC$10,0))-'AEO 2023 Table 5'!K20</f>
        <v>0.42742229383468627</v>
      </c>
      <c r="H6">
        <f>INDEX('AEO 2026 Table 5'!$D$15:$AC$120,15,MATCH(H$4,'AEO 2026 Table 5'!$D$10:$AC$10,0))-'AEO 2023 Table 5'!L20</f>
        <v>0.4388986142883301</v>
      </c>
      <c r="I6">
        <f>INDEX('AEO 2026 Table 5'!$D$15:$AC$120,15,MATCH(I$4,'AEO 2026 Table 5'!$D$10:$AC$10,0))-'AEO 2023 Table 5'!M20</f>
        <v>0.45090854163742067</v>
      </c>
      <c r="J6">
        <f>INDEX('AEO 2026 Table 5'!$D$15:$AC$120,15,MATCH(J$4,'AEO 2026 Table 5'!$D$10:$AC$10,0))-'AEO 2023 Table 5'!N20</f>
        <v>0.46407766558074953</v>
      </c>
      <c r="K6">
        <f>INDEX('AEO 2026 Table 5'!$D$15:$AC$120,15,MATCH(K$4,'AEO 2026 Table 5'!$D$10:$AC$10,0))-'AEO 2023 Table 5'!O20</f>
        <v>0.47775559271240237</v>
      </c>
      <c r="L6">
        <f>INDEX('AEO 2026 Table 5'!$D$15:$AC$120,15,MATCH(L$4,'AEO 2026 Table 5'!$D$10:$AC$10,0))-'AEO 2023 Table 5'!P20</f>
        <v>0.4917760226173401</v>
      </c>
      <c r="M6">
        <f>INDEX('AEO 2026 Table 5'!$D$15:$AC$120,15,MATCH(M$4,'AEO 2026 Table 5'!$D$10:$AC$10,0))-'AEO 2023 Table 5'!Q20</f>
        <v>0.5065351931114197</v>
      </c>
      <c r="N6">
        <f>INDEX('AEO 2026 Table 5'!$D$15:$AC$120,15,MATCH(N$4,'AEO 2026 Table 5'!$D$10:$AC$10,0))-'AEO 2023 Table 5'!R20</f>
        <v>0.52216719365310671</v>
      </c>
      <c r="O6">
        <f>INDEX('AEO 2026 Table 5'!$D$15:$AC$120,15,MATCH(O$4,'AEO 2026 Table 5'!$D$10:$AC$10,0))-'AEO 2023 Table 5'!S20</f>
        <v>0.53734827447128297</v>
      </c>
      <c r="P6">
        <f>INDEX('AEO 2026 Table 5'!$D$15:$AC$120,15,MATCH(P$4,'AEO 2026 Table 5'!$D$10:$AC$10,0))-'AEO 2023 Table 5'!T20</f>
        <v>0.55239477764511102</v>
      </c>
      <c r="Q6">
        <f>INDEX('AEO 2026 Table 5'!$D$15:$AC$120,15,MATCH(Q$4,'AEO 2026 Table 5'!$D$10:$AC$10,0))-'AEO 2023 Table 5'!U20</f>
        <v>0.56729335159301764</v>
      </c>
      <c r="R6">
        <f>INDEX('AEO 2026 Table 5'!$D$15:$AC$120,15,MATCH(R$4,'AEO 2026 Table 5'!$D$10:$AC$10,0))-'AEO 2023 Table 5'!V20</f>
        <v>0.58241649215698243</v>
      </c>
      <c r="S6">
        <f>INDEX('AEO 2026 Table 5'!$D$15:$AC$120,15,MATCH(S$4,'AEO 2026 Table 5'!$D$10:$AC$10,0))-'AEO 2023 Table 5'!W20</f>
        <v>0.5979167688064575</v>
      </c>
      <c r="T6">
        <f>INDEX('AEO 2026 Table 5'!$D$15:$AC$120,15,MATCH(T$4,'AEO 2026 Table 5'!$D$10:$AC$10,0))-'AEO 2023 Table 5'!X20</f>
        <v>0.61322550644302365</v>
      </c>
      <c r="U6">
        <f>INDEX('AEO 2026 Table 5'!$D$15:$AC$120,15,MATCH(U$4,'AEO 2026 Table 5'!$D$10:$AC$10,0))-'AEO 2023 Table 5'!Y20</f>
        <v>0.62847044445037836</v>
      </c>
      <c r="V6">
        <f>INDEX('AEO 2026 Table 5'!$D$15:$AC$120,15,MATCH(V$4,'AEO 2026 Table 5'!$D$10:$AC$10,0))-'AEO 2023 Table 5'!Z20</f>
        <v>0.6435948278961181</v>
      </c>
      <c r="W6">
        <f>INDEX('AEO 2026 Table 5'!$D$15:$AC$120,15,MATCH(W$4,'AEO 2026 Table 5'!$D$10:$AC$10,0))-'AEO 2023 Table 5'!AA20</f>
        <v>0.65855868590927125</v>
      </c>
      <c r="X6">
        <f>INDEX('AEO 2026 Table 5'!$D$15:$AC$120,15,MATCH(X$4,'AEO 2026 Table 5'!$D$10:$AC$10,0))-'AEO 2023 Table 5'!AB20</f>
        <v>0.67287702017593376</v>
      </c>
      <c r="Y6">
        <f>INDEX('AEO 2026 Table 5'!$D$15:$AC$120,15,MATCH(Y$4,'AEO 2026 Table 5'!$D$10:$AC$10,0))-'AEO 2023 Table 5'!AC20</f>
        <v>0.68628270833206173</v>
      </c>
      <c r="Z6">
        <f>INDEX('AEO 2026 Table 5'!$D$15:$AC$120,15,MATCH(Z$4,'AEO 2026 Table 5'!$D$10:$AC$10,0))-'AEO 2023 Table 5'!AD20</f>
        <v>0.69922954211425781</v>
      </c>
      <c r="AA6">
        <f>INDEX('AEO 2026 Table 5'!$D$15:$AC$120,15,MATCH(AA$4,'AEO 2026 Table 5'!$D$10:$AC$10,0))-'AEO 2023 Table 5'!AE20</f>
        <v>0.71224153432083126</v>
      </c>
      <c r="AB6">
        <f>INDEX('AEO 2026 Table 5'!$D$15:$AC$120,15,MATCH(AB$4,'AEO 2026 Table 5'!$D$10:$AC$10,0))-'AEO 2023 Table 5'!AF20</f>
        <v>0.72492542784881597</v>
      </c>
    </row>
    <row r="7" spans="1:28" x14ac:dyDescent="0.25">
      <c r="A7" t="s">
        <v>704</v>
      </c>
      <c r="B7">
        <f>'AEO 2025 Table 5'!F24-'AEO 2023 Table 5'!H24</f>
        <v>-9.8907000000000023E-2</v>
      </c>
      <c r="C7">
        <f>INDEX('AEO 2026 Table 5'!$D$15:$AC$120,20,MATCH(C$4,'AEO 2026 Table 5'!$D$10:$AC$10,0))-'AEO 2023 Table 5'!I24</f>
        <v>-0.23042540786552429</v>
      </c>
      <c r="D7">
        <f>INDEX('AEO 2026 Table 5'!$D$15:$AC$120,20,MATCH(D$4,'AEO 2026 Table 5'!$D$10:$AC$10,0))-'AEO 2023 Table 5'!J24</f>
        <v>-0.24262422959232333</v>
      </c>
      <c r="E7">
        <f>INDEX('AEO 2026 Table 5'!$D$15:$AC$120,20,MATCH(E$4,'AEO 2026 Table 5'!$D$10:$AC$10,0))-'AEO 2023 Table 5'!K24</f>
        <v>-0.25386362939929963</v>
      </c>
      <c r="F7">
        <f>INDEX('AEO 2026 Table 5'!$D$15:$AC$120,20,MATCH(F$4,'AEO 2026 Table 5'!$D$10:$AC$10,0))-'AEO 2023 Table 5'!L24</f>
        <v>-0.26618782105159761</v>
      </c>
      <c r="G7">
        <f>INDEX('AEO 2026 Table 5'!$D$15:$AC$120,20,MATCH(G$4,'AEO 2026 Table 5'!$D$10:$AC$10,0))-'AEO 2023 Table 5'!M24</f>
        <v>-0.27889663632774353</v>
      </c>
      <c r="H7">
        <f>INDEX('AEO 2026 Table 5'!$D$15:$AC$120,20,MATCH(H$4,'AEO 2026 Table 5'!$D$10:$AC$10,0))-'AEO 2023 Table 5'!N24</f>
        <v>-0.2922840617628098</v>
      </c>
      <c r="I7">
        <f>INDEX('AEO 2026 Table 5'!$D$15:$AC$120,20,MATCH(I$4,'AEO 2026 Table 5'!$D$10:$AC$10,0))-'AEO 2023 Table 5'!O24</f>
        <v>-0.30560372498798372</v>
      </c>
      <c r="J7">
        <f>INDEX('AEO 2026 Table 5'!$D$15:$AC$120,20,MATCH(J$4,'AEO 2026 Table 5'!$D$10:$AC$10,0))-'AEO 2023 Table 5'!P24</f>
        <v>-0.31936224172782901</v>
      </c>
      <c r="K7">
        <f>INDEX('AEO 2026 Table 5'!$D$15:$AC$120,20,MATCH(K$4,'AEO 2026 Table 5'!$D$10:$AC$10,0))-'AEO 2023 Table 5'!Q24</f>
        <v>-0.33184677454185485</v>
      </c>
      <c r="L7">
        <f>INDEX('AEO 2026 Table 5'!$D$15:$AC$120,20,MATCH(L$4,'AEO 2026 Table 5'!$D$10:$AC$10,0))-'AEO 2023 Table 5'!R24</f>
        <v>-0.34400210193252567</v>
      </c>
      <c r="M7">
        <f>INDEX('AEO 2026 Table 5'!$D$15:$AC$120,20,MATCH(M$4,'AEO 2026 Table 5'!$D$10:$AC$10,0))-'AEO 2023 Table 5'!S24</f>
        <v>-0.35584785429477694</v>
      </c>
      <c r="N7">
        <f>INDEX('AEO 2026 Table 5'!$D$15:$AC$120,20,MATCH(N$4,'AEO 2026 Table 5'!$D$10:$AC$10,0))-'AEO 2023 Table 5'!T24</f>
        <v>-0.36786309929275518</v>
      </c>
      <c r="O7">
        <f>INDEX('AEO 2026 Table 5'!$D$15:$AC$120,20,MATCH(O$4,'AEO 2026 Table 5'!$D$10:$AC$10,0))-'AEO 2023 Table 5'!U24</f>
        <v>-0.37898760870933534</v>
      </c>
      <c r="P7">
        <f>INDEX('AEO 2026 Table 5'!$D$15:$AC$120,20,MATCH(P$4,'AEO 2026 Table 5'!$D$10:$AC$10,0))-'AEO 2023 Table 5'!V24</f>
        <v>-0.39072751431465147</v>
      </c>
      <c r="Q7">
        <f>INDEX('AEO 2026 Table 5'!$D$15:$AC$120,20,MATCH(Q$4,'AEO 2026 Table 5'!$D$10:$AC$10,0))-'AEO 2023 Table 5'!W24</f>
        <v>-0.40162587121200566</v>
      </c>
      <c r="R7">
        <f>INDEX('AEO 2026 Table 5'!$D$15:$AC$120,20,MATCH(R$4,'AEO 2026 Table 5'!$D$10:$AC$10,0))-'AEO 2023 Table 5'!X24</f>
        <v>-0.4127117573699951</v>
      </c>
      <c r="S7">
        <f>INDEX('AEO 2026 Table 5'!$D$15:$AC$120,20,MATCH(S$4,'AEO 2026 Table 5'!$D$10:$AC$10,0))-'AEO 2023 Table 5'!Y24</f>
        <v>-0.4240867204704285</v>
      </c>
      <c r="T7">
        <f>INDEX('AEO 2026 Table 5'!$D$15:$AC$120,20,MATCH(T$4,'AEO 2026 Table 5'!$D$10:$AC$10,0))-'AEO 2023 Table 5'!Z24</f>
        <v>-0.43525653327655789</v>
      </c>
      <c r="U7">
        <f>INDEX('AEO 2026 Table 5'!$D$15:$AC$120,20,MATCH(U$4,'AEO 2026 Table 5'!$D$10:$AC$10,0))-'AEO 2023 Table 5'!AA24</f>
        <v>-0.44783902632999417</v>
      </c>
      <c r="V7">
        <f>INDEX('AEO 2026 Table 5'!$D$15:$AC$120,20,MATCH(V$4,'AEO 2026 Table 5'!$D$10:$AC$10,0))-'AEO 2023 Table 5'!AB24</f>
        <v>-0.45971934330081943</v>
      </c>
      <c r="W7">
        <f>INDEX('AEO 2026 Table 5'!$D$15:$AC$120,20,MATCH(W$4,'AEO 2026 Table 5'!$D$10:$AC$10,0))-'AEO 2023 Table 5'!AC24</f>
        <v>-0.47254191301441195</v>
      </c>
      <c r="X7">
        <f>INDEX('AEO 2026 Table 5'!$D$15:$AC$120,20,MATCH(X$4,'AEO 2026 Table 5'!$D$10:$AC$10,0))-'AEO 2023 Table 5'!AD24</f>
        <v>-0.48580538481235502</v>
      </c>
      <c r="Y7">
        <f>INDEX('AEO 2026 Table 5'!$D$15:$AC$120,20,MATCH(Y$4,'AEO 2026 Table 5'!$D$10:$AC$10,0))-'AEO 2023 Table 5'!AE24</f>
        <v>-0.49967632548427576</v>
      </c>
      <c r="Z7">
        <f>INDEX('AEO 2026 Table 5'!$D$15:$AC$120,20,MATCH(Z$4,'AEO 2026 Table 5'!$D$10:$AC$10,0))-'AEO 2023 Table 5'!AF24</f>
        <v>-0.51452714372825625</v>
      </c>
      <c r="AA7">
        <f>INDEX('AEO 2026 Table 5'!$D$15:$AC$120,20,MATCH(AA$4,'AEO 2026 Table 5'!$D$10:$AC$10,0))-'AEO 2023 Table 5'!AG24</f>
        <v>-0.52986015865612035</v>
      </c>
      <c r="AB7">
        <f>INDEX('AEO 2026 Table 5'!$D$15:$AC$120,20,MATCH(AB$4,'AEO 2026 Table 5'!$D$10:$AC$10,0))-'AEO 2023 Table 5'!AH24</f>
        <v>-0.54573330477714543</v>
      </c>
    </row>
    <row r="8" spans="1:28" x14ac:dyDescent="0.25">
      <c r="A8" t="s">
        <v>483</v>
      </c>
      <c r="B8">
        <f>'AEO 2025 Table 5'!F26-'AEO 2023 Table 5'!H26</f>
        <v>6.5502000000000171E-2</v>
      </c>
      <c r="C8">
        <f>INDEX('AEO 2026 Table 5'!$D$15:$AC$120,21,MATCH(C$4,'AEO 2026 Table 5'!$D$10:$AC$10,0))-'AEO 2023 Table 5'!G26</f>
        <v>9.5625840843200915E-2</v>
      </c>
      <c r="D8">
        <f>INDEX('AEO 2026 Table 5'!$D$15:$AC$120,21,MATCH(D$4,'AEO 2026 Table 5'!$D$10:$AC$10,0))-'AEO 2023 Table 5'!H26</f>
        <v>0.29827259683227503</v>
      </c>
      <c r="E8">
        <f>INDEX('AEO 2026 Table 5'!$D$15:$AC$120,21,MATCH(E$4,'AEO 2026 Table 5'!$D$10:$AC$10,0))-'AEO 2023 Table 5'!I26</f>
        <v>0.31804449182128902</v>
      </c>
      <c r="F8">
        <f>INDEX('AEO 2026 Table 5'!$D$15:$AC$120,21,MATCH(F$4,'AEO 2026 Table 5'!$D$10:$AC$10,0))-'AEO 2023 Table 5'!J26</f>
        <v>0.31897590425109912</v>
      </c>
      <c r="G8">
        <f>INDEX('AEO 2026 Table 5'!$D$15:$AC$120,21,MATCH(G$4,'AEO 2026 Table 5'!$D$10:$AC$10,0))-'AEO 2023 Table 5'!K26</f>
        <v>0.32082090565490673</v>
      </c>
      <c r="H8">
        <f>INDEX('AEO 2026 Table 5'!$D$15:$AC$120,21,MATCH(H$4,'AEO 2026 Table 5'!$D$10:$AC$10,0))-'AEO 2023 Table 5'!L26</f>
        <v>0.29827443556213384</v>
      </c>
      <c r="I8">
        <f>INDEX('AEO 2026 Table 5'!$D$15:$AC$120,21,MATCH(I$4,'AEO 2026 Table 5'!$D$10:$AC$10,0))-'AEO 2023 Table 5'!M26</f>
        <v>0.27467862170410196</v>
      </c>
      <c r="J8">
        <f>INDEX('AEO 2026 Table 5'!$D$15:$AC$120,21,MATCH(J$4,'AEO 2026 Table 5'!$D$10:$AC$10,0))-'AEO 2023 Table 5'!N26</f>
        <v>0.25130685397338914</v>
      </c>
      <c r="K8">
        <f>INDEX('AEO 2026 Table 5'!$D$15:$AC$120,21,MATCH(K$4,'AEO 2026 Table 5'!$D$10:$AC$10,0))-'AEO 2023 Table 5'!O26</f>
        <v>0.228422296218872</v>
      </c>
      <c r="L8">
        <f>INDEX('AEO 2026 Table 5'!$D$15:$AC$120,21,MATCH(L$4,'AEO 2026 Table 5'!$D$10:$AC$10,0))-'AEO 2023 Table 5'!P26</f>
        <v>0.2067897151641851</v>
      </c>
      <c r="M8">
        <f>INDEX('AEO 2026 Table 5'!$D$15:$AC$120,21,MATCH(M$4,'AEO 2026 Table 5'!$D$10:$AC$10,0))-'AEO 2023 Table 5'!Q26</f>
        <v>0.1876727741546631</v>
      </c>
      <c r="N8">
        <f>INDEX('AEO 2026 Table 5'!$D$15:$AC$120,21,MATCH(N$4,'AEO 2026 Table 5'!$D$10:$AC$10,0))-'AEO 2023 Table 5'!R26</f>
        <v>0.17157848930358877</v>
      </c>
      <c r="O8">
        <f>INDEX('AEO 2026 Table 5'!$D$15:$AC$120,21,MATCH(O$4,'AEO 2026 Table 5'!$D$10:$AC$10,0))-'AEO 2023 Table 5'!S26</f>
        <v>0.15647400175476123</v>
      </c>
      <c r="P8">
        <f>INDEX('AEO 2026 Table 5'!$D$15:$AC$120,21,MATCH(P$4,'AEO 2026 Table 5'!$D$10:$AC$10,0))-'AEO 2023 Table 5'!T26</f>
        <v>0.14192968363952607</v>
      </c>
      <c r="Q8">
        <f>INDEX('AEO 2026 Table 5'!$D$15:$AC$120,21,MATCH(Q$4,'AEO 2026 Table 5'!$D$10:$AC$10,0))-'AEO 2023 Table 5'!U26</f>
        <v>0.12842063954162608</v>
      </c>
      <c r="R8">
        <f>INDEX('AEO 2026 Table 5'!$D$15:$AC$120,21,MATCH(R$4,'AEO 2026 Table 5'!$D$10:$AC$10,0))-'AEO 2023 Table 5'!V26</f>
        <v>0.11556823568725605</v>
      </c>
      <c r="S8">
        <f>INDEX('AEO 2026 Table 5'!$D$15:$AC$120,21,MATCH(S$4,'AEO 2026 Table 5'!$D$10:$AC$10,0))-'AEO 2023 Table 5'!W26</f>
        <v>0.10260052310180701</v>
      </c>
      <c r="T8">
        <f>INDEX('AEO 2026 Table 5'!$D$15:$AC$120,21,MATCH(T$4,'AEO 2026 Table 5'!$D$10:$AC$10,0))-'AEO 2023 Table 5'!X26</f>
        <v>8.9986434768677181E-2</v>
      </c>
      <c r="U8">
        <f>INDEX('AEO 2026 Table 5'!$D$15:$AC$120,21,MATCH(U$4,'AEO 2026 Table 5'!$D$10:$AC$10,0))-'AEO 2023 Table 5'!Y26</f>
        <v>7.7103828979492306E-2</v>
      </c>
      <c r="V8">
        <f>INDEX('AEO 2026 Table 5'!$D$15:$AC$120,21,MATCH(V$4,'AEO 2026 Table 5'!$D$10:$AC$10,0))-'AEO 2023 Table 5'!Z26</f>
        <v>6.3777977218627768E-2</v>
      </c>
      <c r="W8">
        <f>INDEX('AEO 2026 Table 5'!$D$15:$AC$120,21,MATCH(W$4,'AEO 2026 Table 5'!$D$10:$AC$10,0))-'AEO 2023 Table 5'!AA26</f>
        <v>5.0208810943603854E-2</v>
      </c>
      <c r="X8">
        <f>INDEX('AEO 2026 Table 5'!$D$15:$AC$120,21,MATCH(X$4,'AEO 2026 Table 5'!$D$10:$AC$10,0))-'AEO 2023 Table 5'!AB26</f>
        <v>3.5505468124390038E-2</v>
      </c>
      <c r="Y8">
        <f>INDEX('AEO 2026 Table 5'!$D$15:$AC$120,21,MATCH(Y$4,'AEO 2026 Table 5'!$D$10:$AC$10,0))-'AEO 2023 Table 5'!AC26</f>
        <v>1.9442102966308994E-2</v>
      </c>
      <c r="Z8">
        <f>INDEX('AEO 2026 Table 5'!$D$15:$AC$120,21,MATCH(Z$4,'AEO 2026 Table 5'!$D$10:$AC$10,0))-'AEO 2023 Table 5'!AD26</f>
        <v>2.8284088287349185E-3</v>
      </c>
      <c r="AA8">
        <f>INDEX('AEO 2026 Table 5'!$D$15:$AC$120,21,MATCH(AA$4,'AEO 2026 Table 5'!$D$10:$AC$10,0))-'AEO 2023 Table 5'!AE26</f>
        <v>-1.5043215316771885E-2</v>
      </c>
      <c r="AB8">
        <f>INDEX('AEO 2026 Table 5'!$D$15:$AC$120,21,MATCH(AB$4,'AEO 2026 Table 5'!$D$10:$AC$10,0))-'AEO 2023 Table 5'!AF26</f>
        <v>-3.3596109298706267E-2</v>
      </c>
    </row>
    <row r="10" spans="1:28" x14ac:dyDescent="0.25">
      <c r="A10" t="s">
        <v>1020</v>
      </c>
      <c r="B10" s="57">
        <f>SUM(B6,B7,B8)*About!$B$78</f>
        <v>91.192441000000045</v>
      </c>
      <c r="C10" s="57">
        <f>SUM(C6,C7,C8)*About!$B$78</f>
        <v>67.357210267774647</v>
      </c>
      <c r="D10" s="57">
        <f>SUM(D6,D7,D8)*About!$B$78</f>
        <v>127.07705023691071</v>
      </c>
      <c r="E10" s="57">
        <f>SUM(E6,E7,E8)*About!$B$78</f>
        <v>133.93388273349285</v>
      </c>
      <c r="F10" s="57">
        <f>SUM(F6,F7,F8)*About!$B$78</f>
        <v>135.83364943006245</v>
      </c>
      <c r="G10" s="57">
        <f>SUM(G6,G7,G8)*About!$B$78</f>
        <v>137.51854300642191</v>
      </c>
      <c r="H10" s="57">
        <f>SUM(H6,H7,H8)*About!$B$78</f>
        <v>130.35247350968265</v>
      </c>
      <c r="I10" s="57">
        <f>SUM(I6,I7,I8)*About!$B$78</f>
        <v>123.0551474375869</v>
      </c>
      <c r="J10" s="57">
        <f>SUM(J6,J7,J8)*About!$B$78</f>
        <v>116.03452740310873</v>
      </c>
      <c r="K10" s="57">
        <f>SUM(K6,K7,K8)*About!$B$78</f>
        <v>109.67901651609992</v>
      </c>
      <c r="L10" s="57">
        <f>SUM(L6,L7,L8)*About!$B$78</f>
        <v>103.88714530375687</v>
      </c>
      <c r="M10" s="57">
        <f>SUM(M6,M7,M8)*About!$B$78</f>
        <v>99.139513100592623</v>
      </c>
      <c r="N10" s="57">
        <f>SUM(N6,N7,N8)*About!$B$78</f>
        <v>95.483597013534506</v>
      </c>
      <c r="O10" s="57">
        <f>SUM(O6,O7,O8)*About!$B$78</f>
        <v>92.246557582395695</v>
      </c>
      <c r="P10" s="57">
        <f>SUM(P6,P7,P8)*About!$B$78</f>
        <v>88.953905462205782</v>
      </c>
      <c r="Q10" s="57">
        <f>SUM(Q6,Q7,Q8)*About!$B$78</f>
        <v>86.167819137332955</v>
      </c>
      <c r="R10" s="57">
        <f>SUM(R6,R7,R8)*About!$B$78</f>
        <v>83.584980348953309</v>
      </c>
      <c r="S10" s="57">
        <f>SUM(S6,S7,S8)*About!$B$78</f>
        <v>80.994157431285956</v>
      </c>
      <c r="T10" s="57">
        <f>SUM(T6,T7,T8)*About!$B$78</f>
        <v>78.510934524996884</v>
      </c>
      <c r="U10" s="57">
        <f>SUM(U6,U7,U8)*About!$B$78</f>
        <v>75.516427400263808</v>
      </c>
      <c r="V10" s="57">
        <f>SUM(V6,V7,V8)*About!$B$78</f>
        <v>72.562464311480454</v>
      </c>
      <c r="W10" s="57">
        <f>SUM(W6,W7,W8)*About!$B$78</f>
        <v>69.214096064669704</v>
      </c>
      <c r="X10" s="57">
        <f>SUM(X6,X7,X8)*About!$B$78</f>
        <v>65.215091321974853</v>
      </c>
      <c r="Y10" s="57">
        <f>SUM(Y6,Y7,Y8)*About!$B$78</f>
        <v>60.372206343529825</v>
      </c>
      <c r="Z10" s="57">
        <f>SUM(Z6,Z7,Z8)*About!$B$78</f>
        <v>54.946526513917789</v>
      </c>
      <c r="AA10" s="57">
        <f>SUM(AA6,AA7,AA8)*About!$B$78</f>
        <v>49.030080981946135</v>
      </c>
      <c r="AB10" s="57">
        <f>SUM(AB6,AB7,AB8)*About!$B$78</f>
        <v>42.659632035478531</v>
      </c>
    </row>
    <row r="11" spans="1:28" x14ac:dyDescent="0.25">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row>
    <row r="12" spans="1:28" ht="30" customHeight="1" x14ac:dyDescent="0.25">
      <c r="A12" s="59" t="s">
        <v>1021</v>
      </c>
      <c r="B12" s="57">
        <f>EPRI!F5-B10</f>
        <v>92.807558999999955</v>
      </c>
    </row>
    <row r="14" spans="1:28" x14ac:dyDescent="0.25">
      <c r="A14" t="s">
        <v>1022</v>
      </c>
      <c r="B14" s="57">
        <f t="shared" ref="B14:AB14" si="0">$B$12+B10</f>
        <v>184</v>
      </c>
      <c r="C14" s="57">
        <f t="shared" si="0"/>
        <v>160.1647692677746</v>
      </c>
      <c r="D14" s="57">
        <f t="shared" si="0"/>
        <v>219.88460923691065</v>
      </c>
      <c r="E14" s="57">
        <f t="shared" si="0"/>
        <v>226.74144173349282</v>
      </c>
      <c r="F14" s="57">
        <f t="shared" si="0"/>
        <v>228.64120843006242</v>
      </c>
      <c r="G14" s="57">
        <f t="shared" si="0"/>
        <v>230.32610200642188</v>
      </c>
      <c r="H14" s="57">
        <f t="shared" si="0"/>
        <v>223.16003250968259</v>
      </c>
      <c r="I14" s="57">
        <f t="shared" si="0"/>
        <v>215.86270643758684</v>
      </c>
      <c r="J14" s="57">
        <f t="shared" si="0"/>
        <v>208.84208640310868</v>
      </c>
      <c r="K14" s="57">
        <f t="shared" si="0"/>
        <v>202.48657551609989</v>
      </c>
      <c r="L14" s="57">
        <f t="shared" si="0"/>
        <v>196.69470430375682</v>
      </c>
      <c r="M14" s="57">
        <f t="shared" si="0"/>
        <v>191.94707210059258</v>
      </c>
      <c r="N14" s="57">
        <f t="shared" si="0"/>
        <v>188.29115601353448</v>
      </c>
      <c r="O14" s="57">
        <f t="shared" si="0"/>
        <v>185.05411658239564</v>
      </c>
      <c r="P14" s="57">
        <f t="shared" si="0"/>
        <v>181.76146446220574</v>
      </c>
      <c r="Q14" s="57">
        <f t="shared" si="0"/>
        <v>178.97537813733291</v>
      </c>
      <c r="R14" s="57">
        <f t="shared" si="0"/>
        <v>176.39253934895328</v>
      </c>
      <c r="S14" s="57">
        <f t="shared" si="0"/>
        <v>173.80171643128591</v>
      </c>
      <c r="T14" s="57">
        <f t="shared" si="0"/>
        <v>171.31849352499682</v>
      </c>
      <c r="U14" s="57">
        <f t="shared" si="0"/>
        <v>168.32398640026378</v>
      </c>
      <c r="V14" s="57">
        <f t="shared" si="0"/>
        <v>165.3700233114804</v>
      </c>
      <c r="W14" s="57">
        <f t="shared" si="0"/>
        <v>162.02165506466966</v>
      </c>
      <c r="X14" s="57">
        <f t="shared" si="0"/>
        <v>158.02265032197482</v>
      </c>
      <c r="Y14" s="57">
        <f t="shared" si="0"/>
        <v>153.17976534352977</v>
      </c>
      <c r="Z14" s="57">
        <f t="shared" si="0"/>
        <v>147.75408551391774</v>
      </c>
      <c r="AA14" s="57">
        <f t="shared" si="0"/>
        <v>141.8376399819461</v>
      </c>
      <c r="AB14" s="57">
        <f t="shared" si="0"/>
        <v>135.46719103547849</v>
      </c>
    </row>
    <row r="16" spans="1:28" x14ac:dyDescent="0.25">
      <c r="A16" t="s">
        <v>1023</v>
      </c>
      <c r="B16">
        <f t="shared" ref="B16:AB16" si="1">B6*10^15</f>
        <v>344642000000000</v>
      </c>
      <c r="C16">
        <f t="shared" si="1"/>
        <v>364687656673431.38</v>
      </c>
      <c r="D16">
        <f t="shared" si="1"/>
        <v>378061701828002.94</v>
      </c>
      <c r="E16">
        <f t="shared" si="1"/>
        <v>392931365337371.81</v>
      </c>
      <c r="F16">
        <f t="shared" si="1"/>
        <v>410807989940643.31</v>
      </c>
      <c r="G16">
        <f t="shared" si="1"/>
        <v>427422293834686.25</v>
      </c>
      <c r="H16">
        <f t="shared" si="1"/>
        <v>438898614288330.13</v>
      </c>
      <c r="I16">
        <f t="shared" si="1"/>
        <v>450908541637420.69</v>
      </c>
      <c r="J16">
        <f t="shared" si="1"/>
        <v>464077665580749.56</v>
      </c>
      <c r="K16">
        <f t="shared" si="1"/>
        <v>477755592712402.38</v>
      </c>
      <c r="L16">
        <f t="shared" si="1"/>
        <v>491776022617340.13</v>
      </c>
      <c r="M16">
        <f t="shared" si="1"/>
        <v>506535193111419.69</v>
      </c>
      <c r="N16">
        <f t="shared" si="1"/>
        <v>522167193653106.69</v>
      </c>
      <c r="O16">
        <f t="shared" si="1"/>
        <v>537348274471283</v>
      </c>
      <c r="P16">
        <f t="shared" si="1"/>
        <v>552394777645111</v>
      </c>
      <c r="Q16">
        <f t="shared" si="1"/>
        <v>567293351593017.63</v>
      </c>
      <c r="R16">
        <f t="shared" si="1"/>
        <v>582416492156982.38</v>
      </c>
      <c r="S16">
        <f t="shared" si="1"/>
        <v>597916768806457.5</v>
      </c>
      <c r="T16">
        <f t="shared" si="1"/>
        <v>613225506443023.63</v>
      </c>
      <c r="U16">
        <f t="shared" si="1"/>
        <v>628470444450378.38</v>
      </c>
      <c r="V16">
        <f t="shared" si="1"/>
        <v>643594827896118.13</v>
      </c>
      <c r="W16">
        <f t="shared" si="1"/>
        <v>658558685909271.25</v>
      </c>
      <c r="X16">
        <f t="shared" si="1"/>
        <v>672877020175933.75</v>
      </c>
      <c r="Y16">
        <f t="shared" si="1"/>
        <v>686282708332061.75</v>
      </c>
      <c r="Z16">
        <f t="shared" si="1"/>
        <v>699229542114257.75</v>
      </c>
      <c r="AA16">
        <f t="shared" si="1"/>
        <v>712241534320831.25</v>
      </c>
      <c r="AB16">
        <f t="shared" si="1"/>
        <v>724925427848816</v>
      </c>
    </row>
    <row r="17" spans="1:28" x14ac:dyDescent="0.25">
      <c r="A17" t="s">
        <v>1024</v>
      </c>
      <c r="B17">
        <f>(SUM(B7:B8)+$B$12/About!$B$78)*10^15</f>
        <v>283344348122866.94</v>
      </c>
      <c r="C17">
        <f>(SUM(C7:C8)+$B$12/About!$B$78)*10^15</f>
        <v>181949781100543.38</v>
      </c>
      <c r="D17">
        <f>(SUM(D7:D8)+$B$12/About!$B$78)*10^15</f>
        <v>372397715362818.44</v>
      </c>
      <c r="E17">
        <f>(SUM(E7:E8)+$B$12/About!$B$78)*10^15</f>
        <v>380930210544856.13</v>
      </c>
      <c r="F17">
        <f>(SUM(F7:F8)+$B$12/About!$B$78)*10^15</f>
        <v>369537431322368.25</v>
      </c>
      <c r="G17">
        <f>(SUM(G7:G8)+$B$12/About!$B$78)*10^15</f>
        <v>358673617450029.94</v>
      </c>
      <c r="H17">
        <f>(SUM(H7:H8)+$B$12/About!$B$78)*10^15</f>
        <v>322739721922190.81</v>
      </c>
      <c r="I17">
        <f>(SUM(I7:I8)+$B$12/About!$B$78)*10^15</f>
        <v>285824244838985</v>
      </c>
      <c r="J17">
        <f>(SUM(J7:J8)+$B$12/About!$B$78)*10^15</f>
        <v>248693960368426.91</v>
      </c>
      <c r="K17">
        <f>(SUM(K7:K8)+$B$12/About!$B$78)*10^15</f>
        <v>213324869799883.91</v>
      </c>
      <c r="L17">
        <f>(SUM(L7:L8)+$B$12/About!$B$78)*10^15</f>
        <v>179536961354526.19</v>
      </c>
      <c r="M17">
        <f>(SUM(M7:M8)+$B$12/About!$B$78)*10^15</f>
        <v>148574267982752.91</v>
      </c>
      <c r="N17">
        <f>(SUM(N7:N8)+$B$12/About!$B$78)*10^15</f>
        <v>120464738133700.34</v>
      </c>
      <c r="O17">
        <f>(SUM(O7:O8)+$B$12/About!$B$78)*10^15</f>
        <v>94235741168292.641</v>
      </c>
      <c r="P17">
        <f>(SUM(P7:P8)+$B$12/About!$B$78)*10^15</f>
        <v>67951517447741.359</v>
      </c>
      <c r="Q17">
        <f>(SUM(Q7:Q8)+$B$12/About!$B$78)*10^15</f>
        <v>43544116452487.18</v>
      </c>
      <c r="R17">
        <f>(SUM(R7:R8)+$B$12/About!$B$78)*10^15</f>
        <v>19605826440127.703</v>
      </c>
      <c r="S17">
        <f>(SUM(S7:S8)+$B$12/About!$B$78)*10^15</f>
        <v>-4736849245754.7373</v>
      </c>
      <c r="T17">
        <f>(SUM(T7:T8)+$B$12/About!$B$78)*10^15</f>
        <v>-28520750385013.949</v>
      </c>
      <c r="U17">
        <f>(SUM(U7:U8)+$B$12/About!$B$78)*10^15</f>
        <v>-53985849227635.109</v>
      </c>
      <c r="V17">
        <f>(SUM(V7:V8)+$B$12/About!$B$78)*10^15</f>
        <v>-79192017959324.906</v>
      </c>
      <c r="W17">
        <f>(SUM(W7:W8)+$B$12/About!$B$78)*10^15</f>
        <v>-105583753947941.34</v>
      </c>
      <c r="X17">
        <f>(SUM(X7:X8)+$B$12/About!$B$78)*10^15</f>
        <v>-133550568565098.23</v>
      </c>
      <c r="Y17">
        <f>(SUM(Y7:Y8)+$B$12/About!$B$78)*10^15</f>
        <v>-163484874395100</v>
      </c>
      <c r="Z17">
        <f>(SUM(Z7:Z8)+$B$12/About!$B$78)*10^15</f>
        <v>-194949386776654.56</v>
      </c>
      <c r="AA17">
        <f>(SUM(AA7:AA8)+$B$12/About!$B$78)*10^15</f>
        <v>-228154025850025.47</v>
      </c>
      <c r="AB17">
        <f>(SUM(AB7:AB8)+$B$12/About!$B$78)*10^15</f>
        <v>-262580065952984.94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5" x14ac:dyDescent="0.25"/>
  <sheetData>
    <row r="1" spans="1:6" x14ac:dyDescent="0.25">
      <c r="A1" s="60" t="s">
        <v>3</v>
      </c>
      <c r="B1" s="60" t="s">
        <v>1025</v>
      </c>
      <c r="C1" s="60" t="s">
        <v>1026</v>
      </c>
      <c r="D1" s="60" t="s">
        <v>1027</v>
      </c>
      <c r="E1" s="60" t="s">
        <v>1028</v>
      </c>
      <c r="F1" s="60" t="s">
        <v>1029</v>
      </c>
    </row>
    <row r="2" spans="1:6" x14ac:dyDescent="0.25">
      <c r="A2" s="61" t="s">
        <v>1030</v>
      </c>
      <c r="B2" s="61" t="s">
        <v>1031</v>
      </c>
      <c r="C2" s="61">
        <v>2021</v>
      </c>
      <c r="D2" s="61">
        <v>10.5</v>
      </c>
      <c r="E2" s="61">
        <v>10.3</v>
      </c>
      <c r="F2" s="61">
        <v>91.4</v>
      </c>
    </row>
    <row r="3" spans="1:6" x14ac:dyDescent="0.25">
      <c r="A3" s="61" t="s">
        <v>1030</v>
      </c>
      <c r="B3" s="61" t="s">
        <v>1031</v>
      </c>
      <c r="C3" s="61">
        <v>2022</v>
      </c>
      <c r="D3" s="61">
        <v>16</v>
      </c>
      <c r="E3" s="61">
        <v>13.9</v>
      </c>
      <c r="F3" s="61">
        <v>116</v>
      </c>
    </row>
    <row r="4" spans="1:6" x14ac:dyDescent="0.25">
      <c r="A4" s="61" t="s">
        <v>1030</v>
      </c>
      <c r="B4" s="61" t="s">
        <v>1031</v>
      </c>
      <c r="C4" s="61">
        <v>2023</v>
      </c>
      <c r="D4" s="61">
        <v>25.5</v>
      </c>
      <c r="E4" s="61">
        <v>16.7</v>
      </c>
      <c r="F4" s="61">
        <v>141</v>
      </c>
    </row>
    <row r="5" spans="1:6" x14ac:dyDescent="0.25">
      <c r="A5" s="61" t="s">
        <v>1030</v>
      </c>
      <c r="B5" s="61" t="s">
        <v>1031</v>
      </c>
      <c r="C5" s="61">
        <v>2024</v>
      </c>
      <c r="D5" s="61">
        <v>39.799999999999997</v>
      </c>
      <c r="E5" s="61">
        <v>21.5</v>
      </c>
      <c r="F5" s="61">
        <v>184</v>
      </c>
    </row>
    <row r="6" spans="1:6" x14ac:dyDescent="0.25">
      <c r="A6" s="61" t="s">
        <v>1032</v>
      </c>
      <c r="B6" s="61" t="s">
        <v>1031</v>
      </c>
      <c r="C6" s="61">
        <v>2024</v>
      </c>
      <c r="D6" s="61">
        <v>35.1</v>
      </c>
      <c r="E6" s="61">
        <v>20.7</v>
      </c>
      <c r="F6" s="61">
        <v>177</v>
      </c>
    </row>
    <row r="7" spans="1:6" x14ac:dyDescent="0.25">
      <c r="A7" s="61" t="s">
        <v>1032</v>
      </c>
      <c r="B7" s="61" t="s">
        <v>1031</v>
      </c>
      <c r="C7" s="61">
        <v>2025</v>
      </c>
      <c r="D7" s="61">
        <v>38.700000000000003</v>
      </c>
      <c r="E7" s="61">
        <v>24.8</v>
      </c>
      <c r="F7" s="61">
        <v>212</v>
      </c>
    </row>
    <row r="8" spans="1:6" x14ac:dyDescent="0.25">
      <c r="A8" s="61" t="s">
        <v>1032</v>
      </c>
      <c r="B8" s="61" t="s">
        <v>1031</v>
      </c>
      <c r="C8" s="61">
        <v>2026</v>
      </c>
      <c r="D8" s="61">
        <v>42.2</v>
      </c>
      <c r="E8" s="61">
        <v>29.7</v>
      </c>
      <c r="F8" s="61">
        <v>251</v>
      </c>
    </row>
    <row r="9" spans="1:6" x14ac:dyDescent="0.25">
      <c r="A9" s="61" t="s">
        <v>1032</v>
      </c>
      <c r="B9" s="61" t="s">
        <v>1031</v>
      </c>
      <c r="C9" s="61">
        <v>2027</v>
      </c>
      <c r="D9" s="61">
        <v>45.6</v>
      </c>
      <c r="E9" s="61">
        <v>35.1</v>
      </c>
      <c r="F9" s="61">
        <v>296</v>
      </c>
    </row>
    <row r="10" spans="1:6" x14ac:dyDescent="0.25">
      <c r="A10" s="61" t="s">
        <v>1032</v>
      </c>
      <c r="B10" s="61" t="s">
        <v>1031</v>
      </c>
      <c r="C10" s="61">
        <v>2028</v>
      </c>
      <c r="D10" s="61">
        <v>49.1</v>
      </c>
      <c r="E10" s="61">
        <v>39.4</v>
      </c>
      <c r="F10" s="61">
        <v>333</v>
      </c>
    </row>
    <row r="11" spans="1:6" x14ac:dyDescent="0.25">
      <c r="A11" s="61" t="s">
        <v>1032</v>
      </c>
      <c r="B11" s="61" t="s">
        <v>1031</v>
      </c>
      <c r="C11" s="61">
        <v>2029</v>
      </c>
      <c r="D11" s="61">
        <v>52.6</v>
      </c>
      <c r="E11" s="61">
        <v>42.5</v>
      </c>
      <c r="F11" s="61">
        <v>359</v>
      </c>
    </row>
    <row r="12" spans="1:6" x14ac:dyDescent="0.25">
      <c r="A12" s="61" t="s">
        <v>1032</v>
      </c>
      <c r="B12" s="61" t="s">
        <v>1031</v>
      </c>
      <c r="C12" s="61">
        <v>2030</v>
      </c>
      <c r="D12" s="61">
        <v>56.1</v>
      </c>
      <c r="E12" s="61">
        <v>45.4</v>
      </c>
      <c r="F12" s="61">
        <v>384</v>
      </c>
    </row>
    <row r="13" spans="1:6" x14ac:dyDescent="0.25">
      <c r="A13" s="61" t="s">
        <v>1033</v>
      </c>
      <c r="B13" s="61" t="s">
        <v>1031</v>
      </c>
      <c r="C13" s="61">
        <v>2024</v>
      </c>
      <c r="D13" s="61">
        <v>39.799999999999997</v>
      </c>
      <c r="E13" s="61">
        <v>21.5</v>
      </c>
      <c r="F13" s="61">
        <v>184</v>
      </c>
    </row>
    <row r="14" spans="1:6" x14ac:dyDescent="0.25">
      <c r="A14" s="61" t="s">
        <v>1033</v>
      </c>
      <c r="B14" s="61" t="s">
        <v>1031</v>
      </c>
      <c r="C14" s="61">
        <v>2025</v>
      </c>
      <c r="D14" s="61">
        <v>49.1</v>
      </c>
      <c r="E14" s="61">
        <v>27.7</v>
      </c>
      <c r="F14" s="61">
        <v>235</v>
      </c>
    </row>
    <row r="15" spans="1:6" x14ac:dyDescent="0.25">
      <c r="A15" s="61" t="s">
        <v>1033</v>
      </c>
      <c r="B15" s="61" t="s">
        <v>1031</v>
      </c>
      <c r="C15" s="61">
        <v>2026</v>
      </c>
      <c r="D15" s="61">
        <v>58.5</v>
      </c>
      <c r="E15" s="61">
        <v>35.5</v>
      </c>
      <c r="F15" s="61">
        <v>301</v>
      </c>
    </row>
    <row r="16" spans="1:6" x14ac:dyDescent="0.25">
      <c r="A16" s="61" t="s">
        <v>1033</v>
      </c>
      <c r="B16" s="61" t="s">
        <v>1031</v>
      </c>
      <c r="C16" s="61">
        <v>2027</v>
      </c>
      <c r="D16" s="61">
        <v>67.8</v>
      </c>
      <c r="E16" s="61">
        <v>45</v>
      </c>
      <c r="F16" s="61">
        <v>380</v>
      </c>
    </row>
    <row r="17" spans="1:6" x14ac:dyDescent="0.25">
      <c r="A17" s="61" t="s">
        <v>1033</v>
      </c>
      <c r="B17" s="61" t="s">
        <v>1031</v>
      </c>
      <c r="C17" s="61">
        <v>2028</v>
      </c>
      <c r="D17" s="61">
        <v>77.2</v>
      </c>
      <c r="E17" s="61">
        <v>54.4</v>
      </c>
      <c r="F17" s="61">
        <v>459</v>
      </c>
    </row>
    <row r="18" spans="1:6" x14ac:dyDescent="0.25">
      <c r="A18" s="61" t="s">
        <v>1033</v>
      </c>
      <c r="B18" s="61" t="s">
        <v>1031</v>
      </c>
      <c r="C18" s="61">
        <v>2029</v>
      </c>
      <c r="D18" s="61">
        <v>86.5</v>
      </c>
      <c r="E18" s="61">
        <v>62.6</v>
      </c>
      <c r="F18" s="61">
        <v>529</v>
      </c>
    </row>
    <row r="19" spans="1:6" x14ac:dyDescent="0.25">
      <c r="A19" s="61" t="s">
        <v>1033</v>
      </c>
      <c r="B19" s="61" t="s">
        <v>1031</v>
      </c>
      <c r="C19" s="61">
        <v>2030</v>
      </c>
      <c r="D19" s="61">
        <v>95.9</v>
      </c>
      <c r="E19" s="61">
        <v>70.7</v>
      </c>
      <c r="F19" s="61">
        <v>596</v>
      </c>
    </row>
    <row r="20" spans="1:6" x14ac:dyDescent="0.25">
      <c r="A20" s="61" t="s">
        <v>1034</v>
      </c>
      <c r="B20" s="61" t="s">
        <v>1031</v>
      </c>
      <c r="C20" s="61">
        <v>2024</v>
      </c>
      <c r="D20" s="61">
        <v>44.5</v>
      </c>
      <c r="E20" s="61">
        <v>22.4</v>
      </c>
      <c r="F20" s="61">
        <v>192</v>
      </c>
    </row>
    <row r="21" spans="1:6" x14ac:dyDescent="0.25">
      <c r="A21" s="61" t="s">
        <v>1034</v>
      </c>
      <c r="B21" s="61" t="s">
        <v>1031</v>
      </c>
      <c r="C21" s="61">
        <v>2025</v>
      </c>
      <c r="D21" s="61">
        <v>59.1</v>
      </c>
      <c r="E21" s="61">
        <v>30.4</v>
      </c>
      <c r="F21" s="61">
        <v>258</v>
      </c>
    </row>
    <row r="22" spans="1:6" x14ac:dyDescent="0.25">
      <c r="A22" s="61" t="s">
        <v>1034</v>
      </c>
      <c r="B22" s="61" t="s">
        <v>1031</v>
      </c>
      <c r="C22" s="61">
        <v>2026</v>
      </c>
      <c r="D22" s="61">
        <v>73.8</v>
      </c>
      <c r="E22" s="61">
        <v>41.1</v>
      </c>
      <c r="F22" s="61">
        <v>348</v>
      </c>
    </row>
    <row r="23" spans="1:6" x14ac:dyDescent="0.25">
      <c r="A23" s="61" t="s">
        <v>1034</v>
      </c>
      <c r="B23" s="61" t="s">
        <v>1031</v>
      </c>
      <c r="C23" s="61">
        <v>2027</v>
      </c>
      <c r="D23" s="61">
        <v>88.5</v>
      </c>
      <c r="E23" s="61">
        <v>54.4</v>
      </c>
      <c r="F23" s="61">
        <v>459</v>
      </c>
    </row>
    <row r="24" spans="1:6" x14ac:dyDescent="0.25">
      <c r="A24" s="61" t="s">
        <v>1034</v>
      </c>
      <c r="B24" s="61" t="s">
        <v>1031</v>
      </c>
      <c r="C24" s="61">
        <v>2028</v>
      </c>
      <c r="D24" s="61">
        <v>103</v>
      </c>
      <c r="E24" s="61">
        <v>68.5</v>
      </c>
      <c r="F24" s="61">
        <v>578</v>
      </c>
    </row>
    <row r="25" spans="1:6" x14ac:dyDescent="0.25">
      <c r="A25" s="61" t="s">
        <v>1034</v>
      </c>
      <c r="B25" s="61" t="s">
        <v>1031</v>
      </c>
      <c r="C25" s="61">
        <v>2029</v>
      </c>
      <c r="D25" s="61">
        <v>118</v>
      </c>
      <c r="E25" s="61">
        <v>81.5</v>
      </c>
      <c r="F25" s="61">
        <v>687</v>
      </c>
    </row>
    <row r="26" spans="1:6" x14ac:dyDescent="0.25">
      <c r="A26" s="61" t="s">
        <v>1034</v>
      </c>
      <c r="B26" s="61" t="s">
        <v>1031</v>
      </c>
      <c r="C26" s="61">
        <v>2030</v>
      </c>
      <c r="D26" s="61">
        <v>132</v>
      </c>
      <c r="E26" s="61">
        <v>94</v>
      </c>
      <c r="F26" s="61">
        <v>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D153"/>
  <sheetViews>
    <sheetView workbookViewId="0">
      <pane xSplit="3" ySplit="1" topLeftCell="D2" activePane="bottomRight" state="frozen"/>
      <selection pane="topRight" activeCell="C1" sqref="C1"/>
      <selection pane="bottomLeft" activeCell="A2" sqref="A2"/>
      <selection pane="bottomRight"/>
    </sheetView>
  </sheetViews>
  <sheetFormatPr defaultRowHeight="15" x14ac:dyDescent="0.25"/>
  <cols>
    <col min="2" max="2" width="14.85546875" hidden="1" customWidth="1"/>
    <col min="3" max="3" width="40.7109375" customWidth="1"/>
  </cols>
  <sheetData>
    <row r="1" spans="1:30" s="62" customFormat="1" ht="15.75" customHeight="1" x14ac:dyDescent="0.25">
      <c r="A1" s="72"/>
      <c r="C1" s="62" t="s">
        <v>0</v>
      </c>
    </row>
    <row r="2" spans="1:30" s="63" customFormat="1" ht="12" customHeight="1" x14ac:dyDescent="0.2">
      <c r="A2" s="73"/>
    </row>
    <row r="3" spans="1:30" s="63" customFormat="1" ht="12" customHeight="1" x14ac:dyDescent="0.2">
      <c r="A3" s="73"/>
      <c r="D3" s="63" t="s">
        <v>1</v>
      </c>
      <c r="E3" s="63" t="s">
        <v>2</v>
      </c>
    </row>
    <row r="4" spans="1:30" s="63" customFormat="1" ht="12" customHeight="1" x14ac:dyDescent="0.2">
      <c r="A4" s="73"/>
      <c r="D4" s="63" t="s">
        <v>3</v>
      </c>
      <c r="E4" s="63" t="s">
        <v>4</v>
      </c>
      <c r="G4" s="63" t="s">
        <v>5</v>
      </c>
    </row>
    <row r="5" spans="1:30" s="63" customFormat="1" ht="12" customHeight="1" x14ac:dyDescent="0.2">
      <c r="A5" s="73"/>
      <c r="D5" s="63" t="s">
        <v>6</v>
      </c>
      <c r="E5" s="63" t="s">
        <v>7</v>
      </c>
    </row>
    <row r="6" spans="1:30" s="63" customFormat="1" ht="12" customHeight="1" x14ac:dyDescent="0.2">
      <c r="A6" s="73"/>
      <c r="D6" s="63" t="s">
        <v>8</v>
      </c>
      <c r="F6" s="63" t="s">
        <v>9</v>
      </c>
    </row>
    <row r="7" spans="1:30" s="64" customFormat="1" ht="15.75" customHeight="1" x14ac:dyDescent="0.25">
      <c r="A7" s="72"/>
      <c r="C7" s="64" t="s">
        <v>10</v>
      </c>
    </row>
    <row r="8" spans="1:30" s="65" customFormat="1" ht="12" customHeight="1" x14ac:dyDescent="0.2">
      <c r="A8" s="73"/>
      <c r="C8" s="65" t="s">
        <v>11</v>
      </c>
    </row>
    <row r="9" spans="1:30" s="63" customFormat="1" ht="12" customHeight="1" x14ac:dyDescent="0.2">
      <c r="A9" s="73"/>
      <c r="AD9" s="63" t="s">
        <v>12</v>
      </c>
    </row>
    <row r="10" spans="1:30" s="66" customFormat="1" ht="12" customHeight="1" x14ac:dyDescent="0.2">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2">
      <c r="A11" s="73"/>
    </row>
    <row r="12" spans="1:30" s="67" customFormat="1" ht="12" customHeight="1" x14ac:dyDescent="0.2">
      <c r="A12" s="74"/>
      <c r="C12" s="67" t="s">
        <v>15</v>
      </c>
    </row>
    <row r="13" spans="1:30" s="65" customFormat="1" ht="12" customHeight="1" x14ac:dyDescent="0.2">
      <c r="A13" s="73"/>
    </row>
    <row r="14" spans="1:30" s="67" customFormat="1" ht="12" customHeight="1" x14ac:dyDescent="0.2">
      <c r="A14" s="74"/>
      <c r="C14" s="67" t="s">
        <v>16</v>
      </c>
    </row>
    <row r="15" spans="1:30" s="69" customFormat="1" ht="12" customHeight="1" x14ac:dyDescent="0.2">
      <c r="A15" s="73">
        <v>1</v>
      </c>
      <c r="B15" s="69" t="s">
        <v>17</v>
      </c>
      <c r="C15" s="69" t="s">
        <v>18</v>
      </c>
      <c r="D15" s="69">
        <v>101.8455047607422</v>
      </c>
      <c r="E15" s="69">
        <v>103.1044235229492</v>
      </c>
      <c r="F15" s="69">
        <v>104.3142471313477</v>
      </c>
      <c r="G15" s="69">
        <v>105.48232269287109</v>
      </c>
      <c r="H15" s="69">
        <v>106.62843322753911</v>
      </c>
      <c r="I15" s="69">
        <v>107.7598419189453</v>
      </c>
      <c r="J15" s="69">
        <v>108.9023132324219</v>
      </c>
      <c r="K15" s="69">
        <v>110.0705871582031</v>
      </c>
      <c r="L15" s="69">
        <v>111.2677459716797</v>
      </c>
      <c r="M15" s="69">
        <v>112.5000076293945</v>
      </c>
      <c r="N15" s="69">
        <v>113.7686767578125</v>
      </c>
      <c r="O15" s="69">
        <v>115.07391357421881</v>
      </c>
      <c r="P15" s="69">
        <v>116.4143600463867</v>
      </c>
      <c r="Q15" s="69">
        <v>117.7805099487305</v>
      </c>
      <c r="R15" s="69">
        <v>119.1147384643555</v>
      </c>
      <c r="S15" s="69">
        <v>120.41529846191411</v>
      </c>
      <c r="T15" s="69">
        <v>121.68447113037109</v>
      </c>
      <c r="U15" s="69">
        <v>122.8978652954102</v>
      </c>
      <c r="V15" s="69">
        <v>124.0641784667969</v>
      </c>
      <c r="W15" s="69">
        <v>125.19847106933589</v>
      </c>
      <c r="X15" s="69">
        <v>126.3077087402344</v>
      </c>
      <c r="Y15" s="69">
        <v>127.40098571777339</v>
      </c>
      <c r="Z15" s="69">
        <v>128.4819641113281</v>
      </c>
      <c r="AA15" s="69">
        <v>129.55204772949219</v>
      </c>
      <c r="AB15" s="69">
        <v>130.61297607421881</v>
      </c>
      <c r="AC15" s="69">
        <v>131.6655578613281</v>
      </c>
      <c r="AD15" s="69">
        <v>1.03252633839257E-2</v>
      </c>
    </row>
    <row r="16" spans="1:30" s="69" customFormat="1" ht="12" customHeight="1" x14ac:dyDescent="0.2">
      <c r="A16" s="73">
        <v>2</v>
      </c>
      <c r="B16" s="69" t="s">
        <v>19</v>
      </c>
      <c r="C16" s="69" t="s">
        <v>20</v>
      </c>
      <c r="D16" s="69">
        <v>2.7983536720275879</v>
      </c>
      <c r="E16" s="69">
        <v>2.7631325721740718</v>
      </c>
      <c r="F16" s="69">
        <v>2.735620498657227</v>
      </c>
      <c r="G16" s="69">
        <v>2.7281327247619629</v>
      </c>
      <c r="H16" s="69">
        <v>2.728127002716064</v>
      </c>
      <c r="I16" s="69">
        <v>2.7541439533233638</v>
      </c>
      <c r="J16" s="69">
        <v>2.795398473739624</v>
      </c>
      <c r="K16" s="69">
        <v>2.840164422988892</v>
      </c>
      <c r="L16" s="69">
        <v>2.891743659973145</v>
      </c>
      <c r="M16" s="69">
        <v>2.9451780319213872</v>
      </c>
      <c r="N16" s="69">
        <v>2.9993841648101811</v>
      </c>
      <c r="O16" s="69">
        <v>3.0528368949890141</v>
      </c>
      <c r="P16" s="69">
        <v>3.0973126888275151</v>
      </c>
      <c r="Q16" s="69">
        <v>3.0842866897583008</v>
      </c>
      <c r="R16" s="69">
        <v>3.069424152374268</v>
      </c>
      <c r="S16" s="69">
        <v>3.0566568374633789</v>
      </c>
      <c r="T16" s="69">
        <v>3.0191318988800049</v>
      </c>
      <c r="U16" s="69">
        <v>2.989726066589355</v>
      </c>
      <c r="V16" s="69">
        <v>2.974995613098145</v>
      </c>
      <c r="W16" s="69">
        <v>2.9668219089508061</v>
      </c>
      <c r="X16" s="69">
        <v>2.967410564422607</v>
      </c>
      <c r="Y16" s="69">
        <v>2.9713459014892578</v>
      </c>
      <c r="Z16" s="69">
        <v>2.9764959812164311</v>
      </c>
      <c r="AA16" s="69">
        <v>2.983036994934082</v>
      </c>
      <c r="AB16" s="69">
        <v>2.990272045135498</v>
      </c>
      <c r="AC16" s="69">
        <v>2.9985415935516362</v>
      </c>
      <c r="AD16" s="69">
        <v>2.7676133903273841E-3</v>
      </c>
    </row>
    <row r="17" spans="1:30" s="71" customFormat="1" ht="12" customHeight="1" x14ac:dyDescent="0.2">
      <c r="A17" s="73">
        <v>3</v>
      </c>
      <c r="B17" s="71" t="s">
        <v>21</v>
      </c>
      <c r="C17" s="71" t="s">
        <v>22</v>
      </c>
      <c r="D17" s="71">
        <v>104.64385986328119</v>
      </c>
      <c r="E17" s="71">
        <v>105.8675537109375</v>
      </c>
      <c r="F17" s="71">
        <v>107.04986572265619</v>
      </c>
      <c r="G17" s="71">
        <v>108.2104568481445</v>
      </c>
      <c r="H17" s="71">
        <v>109.356559753418</v>
      </c>
      <c r="I17" s="71">
        <v>110.5139846801758</v>
      </c>
      <c r="J17" s="71">
        <v>111.6977081298828</v>
      </c>
      <c r="K17" s="71">
        <v>112.91075134277339</v>
      </c>
      <c r="L17" s="71">
        <v>114.1594924926758</v>
      </c>
      <c r="M17" s="71">
        <v>115.445182800293</v>
      </c>
      <c r="N17" s="71">
        <v>116.7680587768555</v>
      </c>
      <c r="O17" s="71">
        <v>118.1267471313477</v>
      </c>
      <c r="P17" s="71">
        <v>119.5116729736328</v>
      </c>
      <c r="Q17" s="71">
        <v>120.8647994995117</v>
      </c>
      <c r="R17" s="71">
        <v>122.1841659545898</v>
      </c>
      <c r="S17" s="71">
        <v>123.4719543457031</v>
      </c>
      <c r="T17" s="71">
        <v>124.7036056518555</v>
      </c>
      <c r="U17" s="71">
        <v>125.88758850097661</v>
      </c>
      <c r="V17" s="71">
        <v>127.039176940918</v>
      </c>
      <c r="W17" s="71">
        <v>128.16529846191409</v>
      </c>
      <c r="X17" s="71">
        <v>129.2751159667969</v>
      </c>
      <c r="Y17" s="71">
        <v>130.37232971191409</v>
      </c>
      <c r="Z17" s="71">
        <v>131.4584655761719</v>
      </c>
      <c r="AA17" s="71">
        <v>132.53507995605469</v>
      </c>
      <c r="AB17" s="71">
        <v>133.6032409667969</v>
      </c>
      <c r="AC17" s="71">
        <v>134.6640930175781</v>
      </c>
      <c r="AD17" s="71">
        <v>1.013989195705056E-2</v>
      </c>
    </row>
    <row r="18" spans="1:30" s="65" customFormat="1" ht="12" customHeight="1" x14ac:dyDescent="0.2">
      <c r="A18" s="73">
        <v>4</v>
      </c>
    </row>
    <row r="19" spans="1:30" s="67" customFormat="1" ht="12" customHeight="1" x14ac:dyDescent="0.2">
      <c r="A19" s="73">
        <v>5</v>
      </c>
      <c r="C19" s="67" t="s">
        <v>23</v>
      </c>
    </row>
    <row r="20" spans="1:30" s="67" customFormat="1" ht="12" customHeight="1" x14ac:dyDescent="0.2">
      <c r="A20" s="73">
        <v>6</v>
      </c>
      <c r="C20" s="67" t="s">
        <v>24</v>
      </c>
    </row>
    <row r="21" spans="1:30" s="69" customFormat="1" ht="12" customHeight="1" x14ac:dyDescent="0.2">
      <c r="A21" s="73">
        <v>7</v>
      </c>
      <c r="B21" s="69" t="s">
        <v>25</v>
      </c>
      <c r="C21" s="69" t="s">
        <v>26</v>
      </c>
      <c r="D21" s="69">
        <v>94.608612060546875</v>
      </c>
      <c r="E21" s="69">
        <v>95.200950622558594</v>
      </c>
      <c r="F21" s="69">
        <v>94.894546508789063</v>
      </c>
      <c r="G21" s="69">
        <v>94.391609191894531</v>
      </c>
      <c r="H21" s="69">
        <v>93.678153991699219</v>
      </c>
      <c r="I21" s="69">
        <v>92.733329772949219</v>
      </c>
      <c r="J21" s="69">
        <v>91.840522766113281</v>
      </c>
      <c r="K21" s="69">
        <v>91.140853881835938</v>
      </c>
      <c r="L21" s="69">
        <v>90.533226013183594</v>
      </c>
      <c r="M21" s="69">
        <v>90.025192260742188</v>
      </c>
      <c r="N21" s="69">
        <v>89.52703857421875</v>
      </c>
      <c r="O21" s="69">
        <v>89.104965209960938</v>
      </c>
      <c r="P21" s="69">
        <v>88.683937072753906</v>
      </c>
      <c r="Q21" s="69">
        <v>88.304733276367188</v>
      </c>
      <c r="R21" s="69">
        <v>87.952102661132813</v>
      </c>
      <c r="S21" s="69">
        <v>87.609710693359375</v>
      </c>
      <c r="T21" s="69">
        <v>87.320465087890625</v>
      </c>
      <c r="U21" s="69">
        <v>87.099517822265625</v>
      </c>
      <c r="V21" s="69">
        <v>86.907028198242188</v>
      </c>
      <c r="W21" s="69">
        <v>86.735260009765625</v>
      </c>
      <c r="X21" s="69">
        <v>86.553421020507813</v>
      </c>
      <c r="Y21" s="69">
        <v>86.303924560546875</v>
      </c>
      <c r="Z21" s="69">
        <v>85.985275268554688</v>
      </c>
      <c r="AA21" s="69">
        <v>85.633079528808594</v>
      </c>
      <c r="AB21" s="69">
        <v>85.264457702636719</v>
      </c>
      <c r="AC21" s="69">
        <v>84.897254943847656</v>
      </c>
      <c r="AD21" s="69">
        <v>-4.3228991963574206E-3</v>
      </c>
    </row>
    <row r="22" spans="1:30" s="69" customFormat="1" ht="12" customHeight="1" x14ac:dyDescent="0.2">
      <c r="A22" s="73">
        <v>8</v>
      </c>
      <c r="B22" s="69" t="s">
        <v>27</v>
      </c>
      <c r="C22" s="69" t="s">
        <v>28</v>
      </c>
      <c r="D22" s="69">
        <v>93.084304809570313</v>
      </c>
      <c r="E22" s="69">
        <v>93.513206481933594</v>
      </c>
      <c r="F22" s="69">
        <v>93.074775695800781</v>
      </c>
      <c r="G22" s="69">
        <v>92.519630432128906</v>
      </c>
      <c r="H22" s="69">
        <v>91.78271484375</v>
      </c>
      <c r="I22" s="69">
        <v>90.809181213378906</v>
      </c>
      <c r="J22" s="69">
        <v>89.899635314941406</v>
      </c>
      <c r="K22" s="69">
        <v>89.191780090332031</v>
      </c>
      <c r="L22" s="69">
        <v>88.573188781738281</v>
      </c>
      <c r="M22" s="69">
        <v>88.0384521484375</v>
      </c>
      <c r="N22" s="69">
        <v>87.524017333984375</v>
      </c>
      <c r="O22" s="69">
        <v>87.092613220214844</v>
      </c>
      <c r="P22" s="69">
        <v>86.638893127441406</v>
      </c>
      <c r="Q22" s="69">
        <v>86.2286376953125</v>
      </c>
      <c r="R22" s="69">
        <v>85.833717346191406</v>
      </c>
      <c r="S22" s="69">
        <v>85.458236694335938</v>
      </c>
      <c r="T22" s="69">
        <v>85.16070556640625</v>
      </c>
      <c r="U22" s="69">
        <v>84.916267395019531</v>
      </c>
      <c r="V22" s="69">
        <v>84.720146179199219</v>
      </c>
      <c r="W22" s="69">
        <v>84.54144287109375</v>
      </c>
      <c r="X22" s="69">
        <v>84.357269287109375</v>
      </c>
      <c r="Y22" s="69">
        <v>84.093650817871094</v>
      </c>
      <c r="Z22" s="69">
        <v>83.753242492675781</v>
      </c>
      <c r="AA22" s="69">
        <v>83.378761291503906</v>
      </c>
      <c r="AB22" s="69">
        <v>82.997833251953125</v>
      </c>
      <c r="AC22" s="69">
        <v>82.609664916992188</v>
      </c>
      <c r="AD22" s="69">
        <v>-4.7637732073034789E-3</v>
      </c>
    </row>
    <row r="23" spans="1:30" s="65" customFormat="1" ht="12" customHeight="1" x14ac:dyDescent="0.2">
      <c r="A23" s="73">
        <v>9</v>
      </c>
    </row>
    <row r="24" spans="1:30" s="67" customFormat="1" ht="12" customHeight="1" x14ac:dyDescent="0.2">
      <c r="A24" s="73">
        <v>10</v>
      </c>
      <c r="C24" s="67" t="s">
        <v>29</v>
      </c>
    </row>
    <row r="25" spans="1:30" s="67" customFormat="1" ht="12" customHeight="1" x14ac:dyDescent="0.2">
      <c r="A25" s="73">
        <v>11</v>
      </c>
      <c r="C25" s="67" t="s">
        <v>30</v>
      </c>
    </row>
    <row r="26" spans="1:30" s="65" customFormat="1" ht="12" customHeight="1" x14ac:dyDescent="0.2">
      <c r="A26" s="73">
        <v>12</v>
      </c>
      <c r="B26" s="65" t="s">
        <v>31</v>
      </c>
      <c r="C26" s="65" t="s">
        <v>32</v>
      </c>
      <c r="D26" s="65">
        <v>0.20085975527763369</v>
      </c>
      <c r="E26" s="65">
        <v>0.19399107992649081</v>
      </c>
      <c r="F26" s="65">
        <v>0.19232957065105441</v>
      </c>
      <c r="G26" s="65">
        <v>0.19123730063438421</v>
      </c>
      <c r="H26" s="65">
        <v>0.18969020247459409</v>
      </c>
      <c r="I26" s="65">
        <v>0.187901645898819</v>
      </c>
      <c r="J26" s="65">
        <v>0.18603099882602689</v>
      </c>
      <c r="K26" s="65">
        <v>0.18410614132881159</v>
      </c>
      <c r="L26" s="65">
        <v>0.18222986161708829</v>
      </c>
      <c r="M26" s="65">
        <v>0.18024235963821411</v>
      </c>
      <c r="N26" s="65">
        <v>0.178200364112854</v>
      </c>
      <c r="O26" s="65">
        <v>0.17622686922550199</v>
      </c>
      <c r="P26" s="65">
        <v>0.1741006672382355</v>
      </c>
      <c r="Q26" s="65">
        <v>0.17193321883678439</v>
      </c>
      <c r="R26" s="65">
        <v>0.16966257989406591</v>
      </c>
      <c r="S26" s="65">
        <v>0.16736641526222229</v>
      </c>
      <c r="T26" s="65">
        <v>0.16509945690631869</v>
      </c>
      <c r="U26" s="65">
        <v>0.16280846297740939</v>
      </c>
      <c r="V26" s="65">
        <v>0.16050852835178381</v>
      </c>
      <c r="W26" s="65">
        <v>0.15815579891204831</v>
      </c>
      <c r="X26" s="65">
        <v>0.15582430362701419</v>
      </c>
      <c r="Y26" s="65">
        <v>0.1533553749322891</v>
      </c>
      <c r="Z26" s="65">
        <v>0.15071453154087069</v>
      </c>
      <c r="AA26" s="65">
        <v>0.14803248643875119</v>
      </c>
      <c r="AB26" s="65">
        <v>0.1453853249549866</v>
      </c>
      <c r="AC26" s="65">
        <v>0.14267079532146451</v>
      </c>
      <c r="AD26" s="65">
        <v>-1.358950092456224E-2</v>
      </c>
    </row>
    <row r="27" spans="1:30" s="65" customFormat="1" ht="12" customHeight="1" x14ac:dyDescent="0.2">
      <c r="A27" s="73">
        <v>13</v>
      </c>
      <c r="B27" s="65" t="s">
        <v>33</v>
      </c>
      <c r="C27" s="65" t="s">
        <v>34</v>
      </c>
      <c r="D27" s="65">
        <v>0.56683909893035889</v>
      </c>
      <c r="E27" s="65">
        <v>0.59447222948074341</v>
      </c>
      <c r="F27" s="65">
        <v>0.60086137056350708</v>
      </c>
      <c r="G27" s="65">
        <v>0.60903185606002808</v>
      </c>
      <c r="H27" s="65">
        <v>0.61581021547317505</v>
      </c>
      <c r="I27" s="65">
        <v>0.62006598711013794</v>
      </c>
      <c r="J27" s="65">
        <v>0.62495642900466919</v>
      </c>
      <c r="K27" s="65">
        <v>0.63044631481170654</v>
      </c>
      <c r="L27" s="65">
        <v>0.63640803098678589</v>
      </c>
      <c r="M27" s="65">
        <v>0.64294540882110596</v>
      </c>
      <c r="N27" s="65">
        <v>0.6497994065284729</v>
      </c>
      <c r="O27" s="65">
        <v>0.65744853019714355</v>
      </c>
      <c r="P27" s="65">
        <v>0.66526556015014648</v>
      </c>
      <c r="Q27" s="65">
        <v>0.67322629690170288</v>
      </c>
      <c r="R27" s="65">
        <v>0.68110114336013794</v>
      </c>
      <c r="S27" s="65">
        <v>0.68931227922439575</v>
      </c>
      <c r="T27" s="65">
        <v>0.69798088073730469</v>
      </c>
      <c r="U27" s="65">
        <v>0.70710176229476929</v>
      </c>
      <c r="V27" s="65">
        <v>0.71693152189254761</v>
      </c>
      <c r="W27" s="65">
        <v>0.72700560092926025</v>
      </c>
      <c r="X27" s="65">
        <v>0.73754805326461792</v>
      </c>
      <c r="Y27" s="65">
        <v>0.74766790866851807</v>
      </c>
      <c r="Z27" s="65">
        <v>0.75733828544616699</v>
      </c>
      <c r="AA27" s="65">
        <v>0.76694387197494507</v>
      </c>
      <c r="AB27" s="65">
        <v>0.77708876132965088</v>
      </c>
      <c r="AC27" s="65">
        <v>0.78723692893981934</v>
      </c>
      <c r="AD27" s="65">
        <v>1.3224835475628799E-2</v>
      </c>
    </row>
    <row r="28" spans="1:30" s="65" customFormat="1" ht="12" customHeight="1" x14ac:dyDescent="0.2">
      <c r="A28" s="73">
        <v>14</v>
      </c>
      <c r="B28" s="65" t="s">
        <v>35</v>
      </c>
      <c r="C28" s="65" t="s">
        <v>36</v>
      </c>
      <c r="D28" s="65">
        <v>7.3797442018985748E-2</v>
      </c>
      <c r="E28" s="65">
        <v>7.2725929319858551E-2</v>
      </c>
      <c r="F28" s="65">
        <v>7.2052367031574249E-2</v>
      </c>
      <c r="G28" s="65">
        <v>7.1639999747276306E-2</v>
      </c>
      <c r="H28" s="65">
        <v>7.1071445941925049E-2</v>
      </c>
      <c r="I28" s="65">
        <v>7.0186875760555267E-2</v>
      </c>
      <c r="J28" s="65">
        <v>6.9283425807952881E-2</v>
      </c>
      <c r="K28" s="65">
        <v>6.8399414420127869E-2</v>
      </c>
      <c r="L28" s="65">
        <v>6.7566446959972382E-2</v>
      </c>
      <c r="M28" s="65">
        <v>6.674639880657196E-2</v>
      </c>
      <c r="N28" s="65">
        <v>6.5931566059589386E-2</v>
      </c>
      <c r="O28" s="65">
        <v>6.5183967351913452E-2</v>
      </c>
      <c r="P28" s="65">
        <v>6.442539393901825E-2</v>
      </c>
      <c r="Q28" s="65">
        <v>6.3673168420791626E-2</v>
      </c>
      <c r="R28" s="65">
        <v>6.291624903678894E-2</v>
      </c>
      <c r="S28" s="65">
        <v>6.2152568250894553E-2</v>
      </c>
      <c r="T28" s="65">
        <v>6.1431121081113822E-2</v>
      </c>
      <c r="U28" s="65">
        <v>6.0715850442647927E-2</v>
      </c>
      <c r="V28" s="65">
        <v>6.0034144669771188E-2</v>
      </c>
      <c r="W28" s="65">
        <v>5.9363886713981628E-2</v>
      </c>
      <c r="X28" s="65">
        <v>5.8695036917924881E-2</v>
      </c>
      <c r="Y28" s="65">
        <v>5.800233781337738E-2</v>
      </c>
      <c r="Z28" s="65">
        <v>5.7258345186710358E-2</v>
      </c>
      <c r="AA28" s="65">
        <v>5.6503459811210632E-2</v>
      </c>
      <c r="AB28" s="65">
        <v>5.5764075368642807E-2</v>
      </c>
      <c r="AC28" s="65">
        <v>5.5011309683322913E-2</v>
      </c>
      <c r="AD28" s="65">
        <v>-1.1682632859364441E-2</v>
      </c>
    </row>
    <row r="29" spans="1:30" s="65" customFormat="1" ht="12" customHeight="1" x14ac:dyDescent="0.2">
      <c r="A29" s="73">
        <v>15</v>
      </c>
      <c r="B29" s="65" t="s">
        <v>37</v>
      </c>
      <c r="C29" s="65" t="s">
        <v>38</v>
      </c>
      <c r="D29" s="65">
        <v>0.7725786566734314</v>
      </c>
      <c r="E29" s="65">
        <v>0.77808070182800293</v>
      </c>
      <c r="F29" s="65">
        <v>0.78721636533737183</v>
      </c>
      <c r="G29" s="65">
        <v>0.79894798994064331</v>
      </c>
      <c r="H29" s="65">
        <v>0.80861729383468628</v>
      </c>
      <c r="I29" s="65">
        <v>0.81284761428833008</v>
      </c>
      <c r="J29" s="65">
        <v>0.81740254163742065</v>
      </c>
      <c r="K29" s="65">
        <v>0.82248866558074951</v>
      </c>
      <c r="L29" s="65">
        <v>0.82842159271240234</v>
      </c>
      <c r="M29" s="65">
        <v>0.83473402261734009</v>
      </c>
      <c r="N29" s="65">
        <v>0.84140819311141968</v>
      </c>
      <c r="O29" s="65">
        <v>0.84894019365310669</v>
      </c>
      <c r="P29" s="65">
        <v>0.85649627447128296</v>
      </c>
      <c r="Q29" s="65">
        <v>0.86420577764511108</v>
      </c>
      <c r="R29" s="65">
        <v>0.87185335159301758</v>
      </c>
      <c r="S29" s="65">
        <v>0.87961149215698242</v>
      </c>
      <c r="T29" s="65">
        <v>0.88787376880645752</v>
      </c>
      <c r="U29" s="65">
        <v>0.89625650644302368</v>
      </c>
      <c r="V29" s="65">
        <v>0.90508544445037842</v>
      </c>
      <c r="W29" s="65">
        <v>0.91416382789611816</v>
      </c>
      <c r="X29" s="65">
        <v>0.92337268590927124</v>
      </c>
      <c r="Y29" s="65">
        <v>0.93216902017593384</v>
      </c>
      <c r="Z29" s="65">
        <v>0.94026070833206177</v>
      </c>
      <c r="AA29" s="65">
        <v>0.94815254211425781</v>
      </c>
      <c r="AB29" s="65">
        <v>0.9564245343208313</v>
      </c>
      <c r="AC29" s="65">
        <v>0.96451842784881592</v>
      </c>
      <c r="AD29" s="65">
        <v>8.9153113016047225E-3</v>
      </c>
    </row>
    <row r="30" spans="1:30" s="65" customFormat="1" ht="12" customHeight="1" x14ac:dyDescent="0.2">
      <c r="A30" s="73">
        <v>16</v>
      </c>
      <c r="B30" s="65" t="s">
        <v>39</v>
      </c>
      <c r="C30" s="65" t="s">
        <v>40</v>
      </c>
      <c r="D30" s="65">
        <v>8.3990909159183502E-2</v>
      </c>
      <c r="E30" s="65">
        <v>8.3245344460010529E-2</v>
      </c>
      <c r="F30" s="65">
        <v>8.2882039248943329E-2</v>
      </c>
      <c r="G30" s="65">
        <v>8.2750335335731506E-2</v>
      </c>
      <c r="H30" s="65">
        <v>8.2395762205123901E-2</v>
      </c>
      <c r="I30" s="65">
        <v>8.1707864999771118E-2</v>
      </c>
      <c r="J30" s="65">
        <v>8.0997481942176819E-2</v>
      </c>
      <c r="K30" s="65">
        <v>8.0317422747612E-2</v>
      </c>
      <c r="L30" s="65">
        <v>7.9704485833644867E-2</v>
      </c>
      <c r="M30" s="65">
        <v>7.9115942120552063E-2</v>
      </c>
      <c r="N30" s="65">
        <v>7.8533269464969635E-2</v>
      </c>
      <c r="O30" s="65">
        <v>7.7997617423534393E-2</v>
      </c>
      <c r="P30" s="65">
        <v>7.7441923320293427E-2</v>
      </c>
      <c r="Q30" s="65">
        <v>7.6880864799022675E-2</v>
      </c>
      <c r="R30" s="65">
        <v>7.629849761724472E-2</v>
      </c>
      <c r="S30" s="65">
        <v>7.570222020149231E-2</v>
      </c>
      <c r="T30" s="65">
        <v>7.5151115655899048E-2</v>
      </c>
      <c r="U30" s="65">
        <v>7.4597328901290894E-2</v>
      </c>
      <c r="V30" s="65">
        <v>7.4064627289772034E-2</v>
      </c>
      <c r="W30" s="65">
        <v>7.3537647724151611E-2</v>
      </c>
      <c r="X30" s="65">
        <v>7.3002226650714874E-2</v>
      </c>
      <c r="Y30" s="65">
        <v>7.241734117269516E-2</v>
      </c>
      <c r="Z30" s="65">
        <v>7.1763046085834503E-2</v>
      </c>
      <c r="AA30" s="65">
        <v>7.1081988513469696E-2</v>
      </c>
      <c r="AB30" s="65">
        <v>7.0414647459983826E-2</v>
      </c>
      <c r="AC30" s="65">
        <v>6.9721437990665436E-2</v>
      </c>
      <c r="AD30" s="65">
        <v>-7.4203610865809511E-3</v>
      </c>
    </row>
    <row r="31" spans="1:30" s="65" customFormat="1" ht="12" customHeight="1" x14ac:dyDescent="0.2">
      <c r="A31" s="73">
        <v>17</v>
      </c>
      <c r="B31" s="65" t="s">
        <v>41</v>
      </c>
      <c r="C31" s="65" t="s">
        <v>42</v>
      </c>
      <c r="D31" s="65">
        <v>0.56464868783950806</v>
      </c>
      <c r="E31" s="65">
        <v>0.55332779884338379</v>
      </c>
      <c r="F31" s="65">
        <v>0.5473293662071228</v>
      </c>
      <c r="G31" s="65">
        <v>0.54542988538742065</v>
      </c>
      <c r="H31" s="65">
        <v>0.54358804225921631</v>
      </c>
      <c r="I31" s="65">
        <v>0.53231817483901978</v>
      </c>
      <c r="J31" s="65">
        <v>0.52262163162231445</v>
      </c>
      <c r="K31" s="65">
        <v>0.51420021057128906</v>
      </c>
      <c r="L31" s="65">
        <v>0.50677865743637085</v>
      </c>
      <c r="M31" s="65">
        <v>0.49977785348892212</v>
      </c>
      <c r="N31" s="65">
        <v>0.49295160174369812</v>
      </c>
      <c r="O31" s="65">
        <v>0.48728850483894348</v>
      </c>
      <c r="P31" s="65">
        <v>0.48248586058616638</v>
      </c>
      <c r="Q31" s="65">
        <v>0.47849792242050171</v>
      </c>
      <c r="R31" s="65">
        <v>0.47511857748031622</v>
      </c>
      <c r="S31" s="65">
        <v>0.47012150287628168</v>
      </c>
      <c r="T31" s="65">
        <v>0.46640691161155701</v>
      </c>
      <c r="U31" s="65">
        <v>0.4634820818901062</v>
      </c>
      <c r="V31" s="65">
        <v>0.46129697561264038</v>
      </c>
      <c r="W31" s="65">
        <v>0.45964255928993231</v>
      </c>
      <c r="X31" s="65">
        <v>0.45840096473693848</v>
      </c>
      <c r="Y31" s="65">
        <v>0.45725777745246893</v>
      </c>
      <c r="Z31" s="65">
        <v>0.45599430799484247</v>
      </c>
      <c r="AA31" s="65">
        <v>0.45470628142356873</v>
      </c>
      <c r="AB31" s="65">
        <v>0.45369204878807068</v>
      </c>
      <c r="AC31" s="65">
        <v>0.45269542932510382</v>
      </c>
      <c r="AD31" s="65">
        <v>-8.8004151828615651E-3</v>
      </c>
    </row>
    <row r="32" spans="1:30" s="65" customFormat="1" ht="12" customHeight="1" x14ac:dyDescent="0.2">
      <c r="A32" s="73">
        <v>18</v>
      </c>
      <c r="B32" s="65" t="s">
        <v>43</v>
      </c>
      <c r="C32" s="65" t="s">
        <v>44</v>
      </c>
      <c r="D32" s="65">
        <v>0.36673378944396973</v>
      </c>
      <c r="E32" s="65">
        <v>0.36595341563224792</v>
      </c>
      <c r="F32" s="65">
        <v>0.36617350578308111</v>
      </c>
      <c r="G32" s="65">
        <v>0.36700010299682623</v>
      </c>
      <c r="H32" s="65">
        <v>0.36756345629692078</v>
      </c>
      <c r="I32" s="65">
        <v>0.36664438247680659</v>
      </c>
      <c r="J32" s="65">
        <v>0.36620622873306269</v>
      </c>
      <c r="K32" s="65">
        <v>0.36610907316207891</v>
      </c>
      <c r="L32" s="65">
        <v>0.36639034748077393</v>
      </c>
      <c r="M32" s="65">
        <v>0.36694955825805659</v>
      </c>
      <c r="N32" s="65">
        <v>0.36775559186935419</v>
      </c>
      <c r="O32" s="65">
        <v>0.36884811520576483</v>
      </c>
      <c r="P32" s="65">
        <v>0.37004610896110529</v>
      </c>
      <c r="Q32" s="65">
        <v>0.37123894691467291</v>
      </c>
      <c r="R32" s="65">
        <v>0.3723832368850708</v>
      </c>
      <c r="S32" s="65">
        <v>0.37348532676696777</v>
      </c>
      <c r="T32" s="65">
        <v>0.37482777237892151</v>
      </c>
      <c r="U32" s="65">
        <v>0.37610214948654169</v>
      </c>
      <c r="V32" s="65">
        <v>0.37739026546478271</v>
      </c>
      <c r="W32" s="65">
        <v>0.37866276502609247</v>
      </c>
      <c r="X32" s="65">
        <v>0.37990128993988043</v>
      </c>
      <c r="Y32" s="65">
        <v>0.3810141384601593</v>
      </c>
      <c r="Z32" s="65">
        <v>0.38195547461509699</v>
      </c>
      <c r="AA32" s="65">
        <v>0.38280674815177917</v>
      </c>
      <c r="AB32" s="65">
        <v>0.38365435600280762</v>
      </c>
      <c r="AC32" s="65">
        <v>0.38441506028175348</v>
      </c>
      <c r="AD32" s="65">
        <v>1.885240416076073E-3</v>
      </c>
    </row>
    <row r="33" spans="1:30" s="65" customFormat="1" ht="12" customHeight="1" x14ac:dyDescent="0.2">
      <c r="A33" s="73">
        <v>19</v>
      </c>
      <c r="B33" s="65" t="s">
        <v>45</v>
      </c>
      <c r="C33" s="65" t="s">
        <v>46</v>
      </c>
      <c r="D33" s="65">
        <v>0.35769146680831909</v>
      </c>
      <c r="E33" s="65">
        <v>0.40369805693626398</v>
      </c>
      <c r="F33" s="65">
        <v>0.45296800136566162</v>
      </c>
      <c r="G33" s="65">
        <v>0.50386369228363037</v>
      </c>
      <c r="H33" s="65">
        <v>0.55580109357833862</v>
      </c>
      <c r="I33" s="65">
        <v>0.60810637474060059</v>
      </c>
      <c r="J33" s="65">
        <v>0.66097623109817505</v>
      </c>
      <c r="K33" s="65">
        <v>0.71486109495162964</v>
      </c>
      <c r="L33" s="65">
        <v>0.76973402500152588</v>
      </c>
      <c r="M33" s="65">
        <v>0.82540673017501831</v>
      </c>
      <c r="N33" s="65">
        <v>0.8817182183265686</v>
      </c>
      <c r="O33" s="65">
        <v>0.93838644027709961</v>
      </c>
      <c r="P33" s="65">
        <v>0.99514853954315186</v>
      </c>
      <c r="Q33" s="65">
        <v>1.051304817199707</v>
      </c>
      <c r="R33" s="65">
        <v>1.106358528137207</v>
      </c>
      <c r="S33" s="65">
        <v>1.159801244735718</v>
      </c>
      <c r="T33" s="65">
        <v>1.211428165435791</v>
      </c>
      <c r="U33" s="65">
        <v>1.260422468185425</v>
      </c>
      <c r="V33" s="65">
        <v>1.3068299293518071</v>
      </c>
      <c r="W33" s="65">
        <v>1.3498513698577881</v>
      </c>
      <c r="X33" s="65">
        <v>1.389499306678772</v>
      </c>
      <c r="Y33" s="65">
        <v>1.424822926521301</v>
      </c>
      <c r="Z33" s="65">
        <v>1.4555174112319951</v>
      </c>
      <c r="AA33" s="65">
        <v>1.4812450408935549</v>
      </c>
      <c r="AB33" s="65">
        <v>1.5018157958984379</v>
      </c>
      <c r="AC33" s="65">
        <v>1.5200847387313841</v>
      </c>
      <c r="AD33" s="65">
        <v>5.9581504241519527E-2</v>
      </c>
    </row>
    <row r="34" spans="1:30" s="65" customFormat="1" ht="12" customHeight="1" x14ac:dyDescent="0.2">
      <c r="A34" s="73">
        <v>20</v>
      </c>
      <c r="B34" s="65" t="s">
        <v>47</v>
      </c>
      <c r="C34" s="65" t="s">
        <v>48</v>
      </c>
      <c r="D34" s="65">
        <v>0.21695259213447571</v>
      </c>
      <c r="E34" s="65">
        <v>0.2117447704076767</v>
      </c>
      <c r="F34" s="65">
        <v>0.20712237060070041</v>
      </c>
      <c r="G34" s="65">
        <v>0.2026841789484024</v>
      </c>
      <c r="H34" s="65">
        <v>0.1982623636722565</v>
      </c>
      <c r="I34" s="65">
        <v>0.19391293823719019</v>
      </c>
      <c r="J34" s="65">
        <v>0.1898292750120163</v>
      </c>
      <c r="K34" s="65">
        <v>0.18571975827217099</v>
      </c>
      <c r="L34" s="65">
        <v>0.18246522545814511</v>
      </c>
      <c r="M34" s="65">
        <v>0.17970889806747439</v>
      </c>
      <c r="N34" s="65">
        <v>0.17706714570522311</v>
      </c>
      <c r="O34" s="65">
        <v>0.1750409007072449</v>
      </c>
      <c r="P34" s="65">
        <v>0.1731773912906647</v>
      </c>
      <c r="Q34" s="65">
        <v>0.17144748568534851</v>
      </c>
      <c r="R34" s="65">
        <v>0.17038112878799441</v>
      </c>
      <c r="S34" s="65">
        <v>0.16903424263000491</v>
      </c>
      <c r="T34" s="65">
        <v>0.16736727952957151</v>
      </c>
      <c r="U34" s="65">
        <v>0.16648046672344211</v>
      </c>
      <c r="V34" s="65">
        <v>0.1648089736700058</v>
      </c>
      <c r="W34" s="65">
        <v>0.1634516566991806</v>
      </c>
      <c r="X34" s="65">
        <v>0.1618640869855881</v>
      </c>
      <c r="Y34" s="65">
        <v>0.16062961518764499</v>
      </c>
      <c r="Z34" s="65">
        <v>0.15854467451572421</v>
      </c>
      <c r="AA34" s="65">
        <v>0.1562098562717438</v>
      </c>
      <c r="AB34" s="65">
        <v>0.1536378413438797</v>
      </c>
      <c r="AC34" s="65">
        <v>0.15080669522285459</v>
      </c>
      <c r="AD34" s="65">
        <v>-1.4441901008480749E-2</v>
      </c>
    </row>
    <row r="35" spans="1:30" s="65" customFormat="1" ht="12" customHeight="1" x14ac:dyDescent="0.2">
      <c r="A35" s="73">
        <v>21</v>
      </c>
      <c r="B35" s="65" t="s">
        <v>49</v>
      </c>
      <c r="C35" s="65" t="s">
        <v>50</v>
      </c>
      <c r="D35" s="65">
        <v>1.9491628408432009</v>
      </c>
      <c r="E35" s="65">
        <v>2.1337265968322749</v>
      </c>
      <c r="F35" s="65">
        <v>2.1396884918212891</v>
      </c>
      <c r="G35" s="65">
        <v>2.1391499042510991</v>
      </c>
      <c r="H35" s="65">
        <v>2.1382029056549068</v>
      </c>
      <c r="I35" s="65">
        <v>2.1360304355621338</v>
      </c>
      <c r="J35" s="65">
        <v>2.134271621704102</v>
      </c>
      <c r="K35" s="65">
        <v>2.1334948539733891</v>
      </c>
      <c r="L35" s="65">
        <v>2.1342422962188721</v>
      </c>
      <c r="M35" s="65">
        <v>2.136271715164185</v>
      </c>
      <c r="N35" s="65">
        <v>2.1396157741546631</v>
      </c>
      <c r="O35" s="65">
        <v>2.1449534893035889</v>
      </c>
      <c r="P35" s="65">
        <v>2.1511600017547612</v>
      </c>
      <c r="Q35" s="65">
        <v>2.1578776836395259</v>
      </c>
      <c r="R35" s="65">
        <v>2.164867639541626</v>
      </c>
      <c r="S35" s="65">
        <v>2.1721892356872559</v>
      </c>
      <c r="T35" s="65">
        <v>2.1793885231018071</v>
      </c>
      <c r="U35" s="65">
        <v>2.1868374347686772</v>
      </c>
      <c r="V35" s="65">
        <v>2.1948528289794922</v>
      </c>
      <c r="W35" s="65">
        <v>2.2030379772186279</v>
      </c>
      <c r="X35" s="65">
        <v>2.212114810943604</v>
      </c>
      <c r="Y35" s="65">
        <v>2.2210614681243901</v>
      </c>
      <c r="Z35" s="65">
        <v>2.230132102966309</v>
      </c>
      <c r="AA35" s="65">
        <v>2.2396624088287349</v>
      </c>
      <c r="AB35" s="65">
        <v>2.249700784683228</v>
      </c>
      <c r="AC35" s="65">
        <v>2.2603828907012939</v>
      </c>
      <c r="AD35" s="65">
        <v>5.9429597935931611E-3</v>
      </c>
    </row>
    <row r="36" spans="1:30" s="67" customFormat="1" ht="12" customHeight="1" x14ac:dyDescent="0.2">
      <c r="A36" s="73">
        <v>22</v>
      </c>
      <c r="B36" s="67" t="s">
        <v>51</v>
      </c>
      <c r="C36" s="67" t="s">
        <v>52</v>
      </c>
      <c r="D36" s="67">
        <v>5.1532554626464844</v>
      </c>
      <c r="E36" s="67">
        <v>5.3909659385681152</v>
      </c>
      <c r="F36" s="67">
        <v>5.4486231803894043</v>
      </c>
      <c r="G36" s="67">
        <v>5.5117354393005371</v>
      </c>
      <c r="H36" s="67">
        <v>5.5710029602050781</v>
      </c>
      <c r="I36" s="67">
        <v>5.6097221374511719</v>
      </c>
      <c r="J36" s="67">
        <v>5.6525759696960449</v>
      </c>
      <c r="K36" s="67">
        <v>5.7001433372497559</v>
      </c>
      <c r="L36" s="67">
        <v>5.7539410591125488</v>
      </c>
      <c r="M36" s="67">
        <v>5.8118991851806641</v>
      </c>
      <c r="N36" s="67">
        <v>5.872981071472168</v>
      </c>
      <c r="O36" s="67">
        <v>5.940314769744873</v>
      </c>
      <c r="P36" s="67">
        <v>6.0097479820251456</v>
      </c>
      <c r="Q36" s="67">
        <v>6.0802860260009766</v>
      </c>
      <c r="R36" s="67">
        <v>6.1509408950805664</v>
      </c>
      <c r="S36" s="67">
        <v>6.2187762260437012</v>
      </c>
      <c r="T36" s="67">
        <v>6.2869548797607422</v>
      </c>
      <c r="U36" s="67">
        <v>6.3548049926757813</v>
      </c>
      <c r="V36" s="67">
        <v>6.4218029975891113</v>
      </c>
      <c r="W36" s="67">
        <v>6.486872673034668</v>
      </c>
      <c r="X36" s="67">
        <v>6.5502228736877441</v>
      </c>
      <c r="Y36" s="67">
        <v>6.6083984375</v>
      </c>
      <c r="Z36" s="67">
        <v>6.6594786643981934</v>
      </c>
      <c r="AA36" s="67">
        <v>6.7053451538085938</v>
      </c>
      <c r="AB36" s="67">
        <v>6.7475776672363281</v>
      </c>
      <c r="AC36" s="67">
        <v>6.7875442504882813</v>
      </c>
      <c r="AD36" s="67">
        <v>1.1079348822274239E-2</v>
      </c>
    </row>
    <row r="37" spans="1:30" s="65" customFormat="1" ht="12" customHeight="1" x14ac:dyDescent="0.2">
      <c r="A37" s="73">
        <v>23</v>
      </c>
      <c r="B37" s="65" t="s">
        <v>53</v>
      </c>
      <c r="C37" s="65" t="s">
        <v>54</v>
      </c>
      <c r="D37" s="65">
        <v>3.1625282019376748E-2</v>
      </c>
      <c r="E37" s="65">
        <v>4.134933277964592E-2</v>
      </c>
      <c r="F37" s="65">
        <v>5.3095277398824692E-2</v>
      </c>
      <c r="G37" s="65">
        <v>6.6244311630725861E-2</v>
      </c>
      <c r="H37" s="65">
        <v>7.9602524638175964E-2</v>
      </c>
      <c r="I37" s="65">
        <v>9.2542998492717743E-2</v>
      </c>
      <c r="J37" s="65">
        <v>0.1044155731797218</v>
      </c>
      <c r="K37" s="65">
        <v>0.11564316600561141</v>
      </c>
      <c r="L37" s="65">
        <v>0.126972422003746</v>
      </c>
      <c r="M37" s="65">
        <v>0.13850162923336029</v>
      </c>
      <c r="N37" s="65">
        <v>0.1503918915987015</v>
      </c>
      <c r="O37" s="65">
        <v>0.1624611169099808</v>
      </c>
      <c r="P37" s="65">
        <v>0.17480400204658511</v>
      </c>
      <c r="Q37" s="65">
        <v>0.18723900616168981</v>
      </c>
      <c r="R37" s="65">
        <v>0.19958958029747009</v>
      </c>
      <c r="S37" s="65">
        <v>0.21228790283203119</v>
      </c>
      <c r="T37" s="65">
        <v>0.22536417841911319</v>
      </c>
      <c r="U37" s="65">
        <v>0.2392434626817703</v>
      </c>
      <c r="V37" s="65">
        <v>0.25397318601608282</v>
      </c>
      <c r="W37" s="65">
        <v>0.26994425058364868</v>
      </c>
      <c r="X37" s="65">
        <v>0.28712135553359991</v>
      </c>
      <c r="Y37" s="65">
        <v>0.30473798513412481</v>
      </c>
      <c r="Z37" s="65">
        <v>0.32270422577857971</v>
      </c>
      <c r="AA37" s="65">
        <v>0.34103548526763922</v>
      </c>
      <c r="AB37" s="65">
        <v>0.35960790514945978</v>
      </c>
      <c r="AC37" s="65">
        <v>0.37826317548751831</v>
      </c>
      <c r="AD37" s="65">
        <v>0.10435928343752671</v>
      </c>
    </row>
    <row r="38" spans="1:30" s="65" customFormat="1" ht="12" customHeight="1" x14ac:dyDescent="0.2">
      <c r="A38" s="73">
        <v>24</v>
      </c>
      <c r="B38" s="65" t="s">
        <v>55</v>
      </c>
      <c r="C38" s="65" t="s">
        <v>56</v>
      </c>
      <c r="D38" s="65">
        <v>0.15950858592987061</v>
      </c>
      <c r="E38" s="65">
        <v>0.1786766201257706</v>
      </c>
      <c r="F38" s="65">
        <v>0.1948061287403107</v>
      </c>
      <c r="G38" s="65">
        <v>0.20256760716438291</v>
      </c>
      <c r="H38" s="65">
        <v>0.20727863907814029</v>
      </c>
      <c r="I38" s="65">
        <v>0.21264529228210449</v>
      </c>
      <c r="J38" s="65">
        <v>0.2167929410934448</v>
      </c>
      <c r="K38" s="65">
        <v>0.22007113695144651</v>
      </c>
      <c r="L38" s="65">
        <v>0.22375722229480741</v>
      </c>
      <c r="M38" s="65">
        <v>0.22935956716537481</v>
      </c>
      <c r="N38" s="65">
        <v>0.23388862609863281</v>
      </c>
      <c r="O38" s="65">
        <v>0.23771291971206671</v>
      </c>
      <c r="P38" s="65">
        <v>0.24440619349479681</v>
      </c>
      <c r="Q38" s="65">
        <v>0.25092688202857971</v>
      </c>
      <c r="R38" s="65">
        <v>0.25883272290229797</v>
      </c>
      <c r="S38" s="65">
        <v>0.26564681529998779</v>
      </c>
      <c r="T38" s="65">
        <v>0.26932963728904719</v>
      </c>
      <c r="U38" s="65">
        <v>0.27484393119812012</v>
      </c>
      <c r="V38" s="65">
        <v>0.27782019972801208</v>
      </c>
      <c r="W38" s="65">
        <v>0.28117102384567261</v>
      </c>
      <c r="X38" s="65">
        <v>0.28390690684318542</v>
      </c>
      <c r="Y38" s="65">
        <v>0.28815773129463201</v>
      </c>
      <c r="Z38" s="65">
        <v>0.29341936111450201</v>
      </c>
      <c r="AA38" s="65">
        <v>0.29877597093582148</v>
      </c>
      <c r="AB38" s="65">
        <v>0.30282855033874512</v>
      </c>
      <c r="AC38" s="65">
        <v>0.30805617570877081</v>
      </c>
      <c r="AD38" s="65">
        <v>2.667700303508402E-2</v>
      </c>
    </row>
    <row r="39" spans="1:30" s="67" customFormat="1" ht="12" customHeight="1" x14ac:dyDescent="0.2">
      <c r="A39" s="73">
        <v>25</v>
      </c>
      <c r="B39" s="67" t="s">
        <v>57</v>
      </c>
      <c r="C39" s="67" t="s">
        <v>58</v>
      </c>
      <c r="D39" s="67">
        <v>5.0253725051879883</v>
      </c>
      <c r="E39" s="67">
        <v>5.2536382675170898</v>
      </c>
      <c r="F39" s="67">
        <v>5.3069119453430176</v>
      </c>
      <c r="G39" s="67">
        <v>5.3754119873046884</v>
      </c>
      <c r="H39" s="67">
        <v>5.4433269500732422</v>
      </c>
      <c r="I39" s="67">
        <v>5.4896197319030762</v>
      </c>
      <c r="J39" s="67">
        <v>5.540198802947998</v>
      </c>
      <c r="K39" s="67">
        <v>5.5957150459289551</v>
      </c>
      <c r="L39" s="67">
        <v>5.6571564674377441</v>
      </c>
      <c r="M39" s="67">
        <v>5.7210402488708496</v>
      </c>
      <c r="N39" s="67">
        <v>5.7894845008850098</v>
      </c>
      <c r="O39" s="67">
        <v>5.8650627136230469</v>
      </c>
      <c r="P39" s="67">
        <v>5.9401464462280273</v>
      </c>
      <c r="Q39" s="67">
        <v>6.0165977478027344</v>
      </c>
      <c r="R39" s="67">
        <v>6.0916976928710938</v>
      </c>
      <c r="S39" s="67">
        <v>6.1654171943664551</v>
      </c>
      <c r="T39" s="67">
        <v>6.2429895401000977</v>
      </c>
      <c r="U39" s="67">
        <v>6.3192043304443359</v>
      </c>
      <c r="V39" s="67">
        <v>6.3979558944702148</v>
      </c>
      <c r="W39" s="67">
        <v>6.4756464958190918</v>
      </c>
      <c r="X39" s="67">
        <v>6.5534367561340332</v>
      </c>
      <c r="Y39" s="67">
        <v>6.6249785423278809</v>
      </c>
      <c r="Z39" s="67">
        <v>6.6887631416320801</v>
      </c>
      <c r="AA39" s="67">
        <v>6.7476053237915039</v>
      </c>
      <c r="AB39" s="67">
        <v>6.8043575286865234</v>
      </c>
      <c r="AC39" s="67">
        <v>6.8577513694763184</v>
      </c>
      <c r="AD39" s="67">
        <v>1.251283930028224E-2</v>
      </c>
    </row>
    <row r="40" spans="1:30" s="65" customFormat="1" ht="12" customHeight="1" x14ac:dyDescent="0.2">
      <c r="A40" s="73">
        <v>26</v>
      </c>
    </row>
    <row r="41" spans="1:30" s="67" customFormat="1" ht="12" customHeight="1" x14ac:dyDescent="0.2">
      <c r="A41" s="73">
        <v>27</v>
      </c>
      <c r="C41" s="67" t="s">
        <v>59</v>
      </c>
    </row>
    <row r="42" spans="1:30" s="65" customFormat="1" ht="12" customHeight="1" x14ac:dyDescent="0.2">
      <c r="A42" s="73">
        <v>28</v>
      </c>
      <c r="B42" s="65" t="s">
        <v>60</v>
      </c>
      <c r="C42" s="65" t="s">
        <v>32</v>
      </c>
      <c r="D42" s="65">
        <v>1.6773954629898069</v>
      </c>
      <c r="E42" s="65">
        <v>1.6589773893356321</v>
      </c>
      <c r="F42" s="65">
        <v>1.655333399772644</v>
      </c>
      <c r="G42" s="65">
        <v>1.6402128934860229</v>
      </c>
      <c r="H42" s="65">
        <v>1.6146227121353149</v>
      </c>
      <c r="I42" s="65">
        <v>1.585396289825439</v>
      </c>
      <c r="J42" s="65">
        <v>1.558152914047241</v>
      </c>
      <c r="K42" s="65">
        <v>1.5396790504455571</v>
      </c>
      <c r="L42" s="65">
        <v>1.525580048561096</v>
      </c>
      <c r="M42" s="65">
        <v>1.514997720718384</v>
      </c>
      <c r="N42" s="65">
        <v>1.504150867462158</v>
      </c>
      <c r="O42" s="65">
        <v>1.4947488307952881</v>
      </c>
      <c r="P42" s="65">
        <v>1.48476254940033</v>
      </c>
      <c r="Q42" s="65">
        <v>1.4748086929321289</v>
      </c>
      <c r="R42" s="65">
        <v>1.4642318487167361</v>
      </c>
      <c r="S42" s="65">
        <v>1.4538170099258421</v>
      </c>
      <c r="T42" s="65">
        <v>1.443761348724365</v>
      </c>
      <c r="U42" s="65">
        <v>1.435541152954102</v>
      </c>
      <c r="V42" s="65">
        <v>1.4277917146682739</v>
      </c>
      <c r="W42" s="65">
        <v>1.4207719564437871</v>
      </c>
      <c r="X42" s="65">
        <v>1.4132452011108401</v>
      </c>
      <c r="Y42" s="65">
        <v>1.403234720230103</v>
      </c>
      <c r="Z42" s="65">
        <v>1.391638040542603</v>
      </c>
      <c r="AA42" s="65">
        <v>1.379733562469482</v>
      </c>
      <c r="AB42" s="65">
        <v>1.3678485155105591</v>
      </c>
      <c r="AC42" s="65">
        <v>1.356255054473877</v>
      </c>
      <c r="AD42" s="65">
        <v>-8.4645722836076409E-3</v>
      </c>
    </row>
    <row r="43" spans="1:30" s="65" customFormat="1" ht="12" customHeight="1" x14ac:dyDescent="0.2">
      <c r="A43" s="73">
        <v>29</v>
      </c>
      <c r="B43" s="65" t="s">
        <v>61</v>
      </c>
      <c r="C43" s="65" t="s">
        <v>62</v>
      </c>
      <c r="D43" s="65">
        <v>1.5692310407757759E-2</v>
      </c>
      <c r="E43" s="65">
        <v>1.7611738294363018E-2</v>
      </c>
      <c r="F43" s="65">
        <v>1.7944717779755589E-2</v>
      </c>
      <c r="G43" s="65">
        <v>1.8168630078434941E-2</v>
      </c>
      <c r="H43" s="65">
        <v>1.8287289887666699E-2</v>
      </c>
      <c r="I43" s="65">
        <v>1.839173398911953E-2</v>
      </c>
      <c r="J43" s="65">
        <v>1.8555257469415661E-2</v>
      </c>
      <c r="K43" s="65">
        <v>1.8871057778596882E-2</v>
      </c>
      <c r="L43" s="65">
        <v>1.9279817119240761E-2</v>
      </c>
      <c r="M43" s="65">
        <v>1.978542655706406E-2</v>
      </c>
      <c r="N43" s="65">
        <v>2.0337725058197979E-2</v>
      </c>
      <c r="O43" s="65">
        <v>2.0947156473994259E-2</v>
      </c>
      <c r="P43" s="65">
        <v>2.16028206050396E-2</v>
      </c>
      <c r="Q43" s="65">
        <v>2.2291727364063259E-2</v>
      </c>
      <c r="R43" s="65">
        <v>2.3007044568657879E-2</v>
      </c>
      <c r="S43" s="65">
        <v>2.3771090433001522E-2</v>
      </c>
      <c r="T43" s="65">
        <v>2.4567574262619019E-2</v>
      </c>
      <c r="U43" s="65">
        <v>2.5421241298317909E-2</v>
      </c>
      <c r="V43" s="65">
        <v>2.632622979581356E-2</v>
      </c>
      <c r="W43" s="65">
        <v>2.7284827083349231E-2</v>
      </c>
      <c r="X43" s="65">
        <v>2.829787693917751E-2</v>
      </c>
      <c r="Y43" s="65">
        <v>2.9311478137969971E-2</v>
      </c>
      <c r="Z43" s="65">
        <v>3.0355546623468399E-2</v>
      </c>
      <c r="AA43" s="65">
        <v>3.1434997916221619E-2</v>
      </c>
      <c r="AB43" s="65">
        <v>3.2569676637649543E-2</v>
      </c>
      <c r="AC43" s="65">
        <v>3.3763069659471512E-2</v>
      </c>
      <c r="AD43" s="65">
        <v>3.1122352162310959E-2</v>
      </c>
    </row>
    <row r="44" spans="1:30" s="65" customFormat="1" ht="12" customHeight="1" x14ac:dyDescent="0.2">
      <c r="A44" s="73">
        <v>30</v>
      </c>
      <c r="B44" s="65" t="s">
        <v>63</v>
      </c>
      <c r="C44" s="65" t="s">
        <v>36</v>
      </c>
      <c r="D44" s="65">
        <v>0.27396970987319952</v>
      </c>
      <c r="E44" s="65">
        <v>0.28034082055091858</v>
      </c>
      <c r="F44" s="65">
        <v>0.28301820158958441</v>
      </c>
      <c r="G44" s="65">
        <v>0.28370055556297302</v>
      </c>
      <c r="H44" s="65">
        <v>0.28280740976333618</v>
      </c>
      <c r="I44" s="65">
        <v>0.28132256865501398</v>
      </c>
      <c r="J44" s="65">
        <v>0.28013831377029419</v>
      </c>
      <c r="K44" s="65">
        <v>0.28065657615661621</v>
      </c>
      <c r="L44" s="65">
        <v>0.28179177641868591</v>
      </c>
      <c r="M44" s="65">
        <v>0.28385654091835022</v>
      </c>
      <c r="N44" s="65">
        <v>0.28609967231750488</v>
      </c>
      <c r="O44" s="65">
        <v>0.28878262639045721</v>
      </c>
      <c r="P44" s="65">
        <v>0.29144948720932012</v>
      </c>
      <c r="Q44" s="65">
        <v>0.29413104057312012</v>
      </c>
      <c r="R44" s="65">
        <v>0.29673013091087341</v>
      </c>
      <c r="S44" s="65">
        <v>0.299366295337677</v>
      </c>
      <c r="T44" s="65">
        <v>0.30216354131698608</v>
      </c>
      <c r="U44" s="65">
        <v>0.30531713366508478</v>
      </c>
      <c r="V44" s="65">
        <v>0.30862829089164728</v>
      </c>
      <c r="W44" s="65">
        <v>0.31213518977165222</v>
      </c>
      <c r="X44" s="65">
        <v>0.31552162766456598</v>
      </c>
      <c r="Y44" s="65">
        <v>0.31842884421348572</v>
      </c>
      <c r="Z44" s="65">
        <v>0.32100528478622442</v>
      </c>
      <c r="AA44" s="65">
        <v>0.3234659731388092</v>
      </c>
      <c r="AB44" s="65">
        <v>0.32592290639877319</v>
      </c>
      <c r="AC44" s="65">
        <v>0.32842874526977539</v>
      </c>
      <c r="AD44" s="65">
        <v>7.2784542239763272E-3</v>
      </c>
    </row>
    <row r="45" spans="1:30" s="65" customFormat="1" ht="12" customHeight="1" x14ac:dyDescent="0.2">
      <c r="A45" s="73">
        <v>31</v>
      </c>
      <c r="B45" s="65" t="s">
        <v>64</v>
      </c>
      <c r="C45" s="65" t="s">
        <v>40</v>
      </c>
      <c r="D45" s="65">
        <v>0.40539014339447021</v>
      </c>
      <c r="E45" s="65">
        <v>0.41269847750663757</v>
      </c>
      <c r="F45" s="65">
        <v>0.41620051860809332</v>
      </c>
      <c r="G45" s="65">
        <v>0.4167693555355072</v>
      </c>
      <c r="H45" s="65">
        <v>0.41515323519706732</v>
      </c>
      <c r="I45" s="65">
        <v>0.41260257363319403</v>
      </c>
      <c r="J45" s="65">
        <v>0.4105217456817627</v>
      </c>
      <c r="K45" s="65">
        <v>0.41081517934799189</v>
      </c>
      <c r="L45" s="65">
        <v>0.41202756762504578</v>
      </c>
      <c r="M45" s="65">
        <v>0.41451823711395258</v>
      </c>
      <c r="N45" s="65">
        <v>0.41720250248909002</v>
      </c>
      <c r="O45" s="65">
        <v>0.42046648263931269</v>
      </c>
      <c r="P45" s="65">
        <v>0.42367342114448547</v>
      </c>
      <c r="Q45" s="65">
        <v>0.42686823010444641</v>
      </c>
      <c r="R45" s="65">
        <v>0.42989811301231379</v>
      </c>
      <c r="S45" s="65">
        <v>0.43293362855911249</v>
      </c>
      <c r="T45" s="65">
        <v>0.43624541163444519</v>
      </c>
      <c r="U45" s="65">
        <v>0.4400576651096344</v>
      </c>
      <c r="V45" s="65">
        <v>0.44407555460929871</v>
      </c>
      <c r="W45" s="65">
        <v>0.44835063815116882</v>
      </c>
      <c r="X45" s="65">
        <v>0.4524155855178833</v>
      </c>
      <c r="Y45" s="65">
        <v>0.45573797821998602</v>
      </c>
      <c r="Z45" s="65">
        <v>0.45854222774505621</v>
      </c>
      <c r="AA45" s="65">
        <v>0.46114656329154968</v>
      </c>
      <c r="AB45" s="65">
        <v>0.46372115612030029</v>
      </c>
      <c r="AC45" s="65">
        <v>0.46634387969970698</v>
      </c>
      <c r="AD45" s="65">
        <v>5.6186610306712126E-3</v>
      </c>
    </row>
    <row r="46" spans="1:30" s="65" customFormat="1" ht="12" customHeight="1" x14ac:dyDescent="0.2">
      <c r="A46" s="73">
        <v>32</v>
      </c>
      <c r="B46" s="65" t="s">
        <v>65</v>
      </c>
      <c r="C46" s="65" t="s">
        <v>66</v>
      </c>
      <c r="D46" s="65">
        <v>1.267356395721436</v>
      </c>
      <c r="E46" s="65">
        <v>1.194332599639893</v>
      </c>
      <c r="F46" s="65">
        <v>1.199043273925781</v>
      </c>
      <c r="G46" s="65">
        <v>1.1970863342285161</v>
      </c>
      <c r="H46" s="65">
        <v>1.188332796096802</v>
      </c>
      <c r="I46" s="65">
        <v>1.177144050598145</v>
      </c>
      <c r="J46" s="65">
        <v>1.1660845279693599</v>
      </c>
      <c r="K46" s="65">
        <v>1.1606681346893311</v>
      </c>
      <c r="L46" s="65">
        <v>1.157207250595093</v>
      </c>
      <c r="M46" s="65">
        <v>1.156333923339844</v>
      </c>
      <c r="N46" s="65">
        <v>1.155312299728394</v>
      </c>
      <c r="O46" s="65">
        <v>1.1553342342376709</v>
      </c>
      <c r="P46" s="65">
        <v>1.1551671028137209</v>
      </c>
      <c r="Q46" s="65">
        <v>1.1551246643066411</v>
      </c>
      <c r="R46" s="65">
        <v>1.154979467391968</v>
      </c>
      <c r="S46" s="65">
        <v>1.155163049697876</v>
      </c>
      <c r="T46" s="65">
        <v>1.1555249691009519</v>
      </c>
      <c r="U46" s="65">
        <v>1.157366037368774</v>
      </c>
      <c r="V46" s="65">
        <v>1.1597251892089839</v>
      </c>
      <c r="W46" s="65">
        <v>1.1629612445831301</v>
      </c>
      <c r="X46" s="65">
        <v>1.165869474411011</v>
      </c>
      <c r="Y46" s="65">
        <v>1.1673815250396731</v>
      </c>
      <c r="Z46" s="65">
        <v>1.1680183410644529</v>
      </c>
      <c r="AA46" s="65">
        <v>1.1684195995330811</v>
      </c>
      <c r="AB46" s="65">
        <v>1.1688694953918459</v>
      </c>
      <c r="AC46" s="65">
        <v>1.1696515083312991</v>
      </c>
      <c r="AD46" s="65">
        <v>-3.203948546843693E-3</v>
      </c>
    </row>
    <row r="47" spans="1:30" s="67" customFormat="1" ht="12" customHeight="1" x14ac:dyDescent="0.2">
      <c r="A47" s="73">
        <v>33</v>
      </c>
      <c r="B47" s="67" t="s">
        <v>67</v>
      </c>
      <c r="C47" s="67" t="s">
        <v>68</v>
      </c>
      <c r="D47" s="67">
        <v>3.6398038864135742</v>
      </c>
      <c r="E47" s="67">
        <v>3.5639610290527339</v>
      </c>
      <c r="F47" s="67">
        <v>3.5715401172637939</v>
      </c>
      <c r="G47" s="67">
        <v>3.555937767028809</v>
      </c>
      <c r="H47" s="67">
        <v>3.5192034244537349</v>
      </c>
      <c r="I47" s="67">
        <v>3.4748573303222661</v>
      </c>
      <c r="J47" s="67">
        <v>3.433452844619751</v>
      </c>
      <c r="K47" s="67">
        <v>3.410690069198608</v>
      </c>
      <c r="L47" s="67">
        <v>3.3958864212036128</v>
      </c>
      <c r="M47" s="67">
        <v>3.3894917964935298</v>
      </c>
      <c r="N47" s="67">
        <v>3.3831031322479248</v>
      </c>
      <c r="O47" s="67">
        <v>3.3802793025970459</v>
      </c>
      <c r="P47" s="67">
        <v>3.3766553401947021</v>
      </c>
      <c r="Q47" s="67">
        <v>3.3732244968414311</v>
      </c>
      <c r="R47" s="67">
        <v>3.3688466548919682</v>
      </c>
      <c r="S47" s="67">
        <v>3.3650510311126709</v>
      </c>
      <c r="T47" s="67">
        <v>3.3622629642486568</v>
      </c>
      <c r="U47" s="67">
        <v>3.3637032508850102</v>
      </c>
      <c r="V47" s="67">
        <v>3.3665468692779541</v>
      </c>
      <c r="W47" s="67">
        <v>3.3715038299560551</v>
      </c>
      <c r="X47" s="67">
        <v>3.375349760055542</v>
      </c>
      <c r="Y47" s="67">
        <v>3.3740944862365718</v>
      </c>
      <c r="Z47" s="67">
        <v>3.3695592880249019</v>
      </c>
      <c r="AA47" s="67">
        <v>3.3642005920410161</v>
      </c>
      <c r="AB47" s="67">
        <v>3.3589315414428711</v>
      </c>
      <c r="AC47" s="67">
        <v>3.3544421195983891</v>
      </c>
      <c r="AD47" s="67">
        <v>-3.2604463439075419E-3</v>
      </c>
    </row>
    <row r="48" spans="1:30" s="65" customFormat="1" ht="12" customHeight="1" x14ac:dyDescent="0.2">
      <c r="A48" s="73">
        <v>34</v>
      </c>
    </row>
    <row r="49" spans="1:30" s="67" customFormat="1" ht="12" customHeight="1" x14ac:dyDescent="0.2">
      <c r="A49" s="73">
        <v>35</v>
      </c>
      <c r="C49" s="67" t="s">
        <v>69</v>
      </c>
    </row>
    <row r="50" spans="1:30" s="65" customFormat="1" ht="12" customHeight="1" x14ac:dyDescent="0.2">
      <c r="A50" s="73">
        <v>36</v>
      </c>
      <c r="B50" s="65" t="s">
        <v>70</v>
      </c>
      <c r="C50" s="65" t="s">
        <v>32</v>
      </c>
      <c r="D50" s="65">
        <v>7.4527919292449951E-2</v>
      </c>
      <c r="E50" s="65">
        <v>7.281358540058136E-2</v>
      </c>
      <c r="F50" s="65">
        <v>7.2147302329540253E-2</v>
      </c>
      <c r="G50" s="65">
        <v>7.1328140795230865E-2</v>
      </c>
      <c r="H50" s="65">
        <v>7.0239558815956116E-2</v>
      </c>
      <c r="I50" s="65">
        <v>6.9390051066875458E-2</v>
      </c>
      <c r="J50" s="65">
        <v>6.8551786243915558E-2</v>
      </c>
      <c r="K50" s="65">
        <v>6.7389041185379028E-2</v>
      </c>
      <c r="L50" s="65">
        <v>6.5911509096622467E-2</v>
      </c>
      <c r="M50" s="65">
        <v>6.4452938735485077E-2</v>
      </c>
      <c r="N50" s="65">
        <v>6.3008643686771393E-2</v>
      </c>
      <c r="O50" s="65">
        <v>6.1669744551181793E-2</v>
      </c>
      <c r="P50" s="65">
        <v>6.0346193611621857E-2</v>
      </c>
      <c r="Q50" s="65">
        <v>5.9038575738668442E-2</v>
      </c>
      <c r="R50" s="65">
        <v>5.7779919356107712E-2</v>
      </c>
      <c r="S50" s="65">
        <v>5.6541707366704941E-2</v>
      </c>
      <c r="T50" s="65">
        <v>5.5331457406282418E-2</v>
      </c>
      <c r="U50" s="65">
        <v>5.4154399782419198E-2</v>
      </c>
      <c r="V50" s="65">
        <v>5.2974898368120187E-2</v>
      </c>
      <c r="W50" s="65">
        <v>5.1813665777444839E-2</v>
      </c>
      <c r="X50" s="65">
        <v>5.0656583160161972E-2</v>
      </c>
      <c r="Y50" s="65">
        <v>4.9515556544065482E-2</v>
      </c>
      <c r="Z50" s="65">
        <v>4.8376400023698807E-2</v>
      </c>
      <c r="AA50" s="65">
        <v>4.7275986522436142E-2</v>
      </c>
      <c r="AB50" s="65">
        <v>4.6178881078958511E-2</v>
      </c>
      <c r="AC50" s="65">
        <v>4.5136269181966782E-2</v>
      </c>
      <c r="AD50" s="65">
        <v>-1.9859654335996121E-2</v>
      </c>
    </row>
    <row r="51" spans="1:30" s="65" customFormat="1" ht="12" customHeight="1" x14ac:dyDescent="0.2">
      <c r="A51" s="73">
        <v>37</v>
      </c>
      <c r="B51" s="65" t="s">
        <v>71</v>
      </c>
      <c r="C51" s="65" t="s">
        <v>36</v>
      </c>
      <c r="D51" s="65">
        <v>3.7680559325963259E-3</v>
      </c>
      <c r="E51" s="65">
        <v>3.7832744419574742E-3</v>
      </c>
      <c r="F51" s="65">
        <v>3.7724871654063459E-3</v>
      </c>
      <c r="G51" s="65">
        <v>3.7564183585345749E-3</v>
      </c>
      <c r="H51" s="65">
        <v>3.7375132087618108E-3</v>
      </c>
      <c r="I51" s="65">
        <v>3.7337860558182001E-3</v>
      </c>
      <c r="J51" s="65">
        <v>3.7297364324331279E-3</v>
      </c>
      <c r="K51" s="65">
        <v>3.7097297608852391E-3</v>
      </c>
      <c r="L51" s="65">
        <v>3.6715194582939148E-3</v>
      </c>
      <c r="M51" s="65">
        <v>3.635622793808579E-3</v>
      </c>
      <c r="N51" s="65">
        <v>3.6015734076499939E-3</v>
      </c>
      <c r="O51" s="65">
        <v>3.5739874001592402E-3</v>
      </c>
      <c r="P51" s="65">
        <v>3.547454252839088E-3</v>
      </c>
      <c r="Q51" s="65">
        <v>3.5207115579396491E-3</v>
      </c>
      <c r="R51" s="65">
        <v>3.496143501251936E-3</v>
      </c>
      <c r="S51" s="65">
        <v>3.471773816272616E-3</v>
      </c>
      <c r="T51" s="65">
        <v>3.4477852750569582E-3</v>
      </c>
      <c r="U51" s="65">
        <v>3.4243902191519742E-3</v>
      </c>
      <c r="V51" s="65">
        <v>3.400481771677732E-3</v>
      </c>
      <c r="W51" s="65">
        <v>3.375726286321878E-3</v>
      </c>
      <c r="X51" s="65">
        <v>3.3500534482300282E-3</v>
      </c>
      <c r="Y51" s="65">
        <v>3.3243908546864991E-3</v>
      </c>
      <c r="Z51" s="65">
        <v>3.2979131210595369E-3</v>
      </c>
      <c r="AA51" s="65">
        <v>3.2726200297474861E-3</v>
      </c>
      <c r="AB51" s="65">
        <v>3.2461252994835381E-3</v>
      </c>
      <c r="AC51" s="65">
        <v>3.2221607398241758E-3</v>
      </c>
      <c r="AD51" s="65">
        <v>-6.2407264267132501E-3</v>
      </c>
    </row>
    <row r="52" spans="1:30" s="65" customFormat="1" ht="12" customHeight="1" x14ac:dyDescent="0.2">
      <c r="A52" s="73">
        <v>38</v>
      </c>
      <c r="B52" s="65" t="s">
        <v>72</v>
      </c>
      <c r="C52" s="65" t="s">
        <v>73</v>
      </c>
      <c r="D52" s="65">
        <v>0.23712390661239621</v>
      </c>
      <c r="E52" s="65">
        <v>0.24239152669906619</v>
      </c>
      <c r="F52" s="65">
        <v>0.25052589178085333</v>
      </c>
      <c r="G52" s="65">
        <v>0.25241014361381531</v>
      </c>
      <c r="H52" s="65">
        <v>0.25394093990325928</v>
      </c>
      <c r="I52" s="65">
        <v>0.25635850429534912</v>
      </c>
      <c r="J52" s="65">
        <v>0.25846773386001592</v>
      </c>
      <c r="K52" s="65">
        <v>0.25921866297721857</v>
      </c>
      <c r="L52" s="65">
        <v>0.25816449522972112</v>
      </c>
      <c r="M52" s="65">
        <v>0.25715771317481989</v>
      </c>
      <c r="N52" s="65">
        <v>0.25619250535964971</v>
      </c>
      <c r="O52" s="65">
        <v>0.255626380443573</v>
      </c>
      <c r="P52" s="65">
        <v>0.25496232509613043</v>
      </c>
      <c r="Q52" s="65">
        <v>0.25428009033203119</v>
      </c>
      <c r="R52" s="65">
        <v>0.25374829769134521</v>
      </c>
      <c r="S52" s="65">
        <v>0.25328880548477167</v>
      </c>
      <c r="T52" s="65">
        <v>0.25278040766715998</v>
      </c>
      <c r="U52" s="65">
        <v>0.25230595469474792</v>
      </c>
      <c r="V52" s="65">
        <v>0.25179854035377502</v>
      </c>
      <c r="W52" s="65">
        <v>0.25126516819000239</v>
      </c>
      <c r="X52" s="65">
        <v>0.25062987208366388</v>
      </c>
      <c r="Y52" s="65">
        <v>0.24996206164360049</v>
      </c>
      <c r="Z52" s="65">
        <v>0.24919475615024569</v>
      </c>
      <c r="AA52" s="65">
        <v>0.24849805235862729</v>
      </c>
      <c r="AB52" s="65">
        <v>0.24769699573516851</v>
      </c>
      <c r="AC52" s="65">
        <v>0.24707627296447751</v>
      </c>
      <c r="AD52" s="65">
        <v>1.6459238145363211E-3</v>
      </c>
    </row>
    <row r="53" spans="1:30" s="67" customFormat="1" ht="12" customHeight="1" x14ac:dyDescent="0.2">
      <c r="A53" s="73">
        <v>39</v>
      </c>
      <c r="B53" s="67" t="s">
        <v>74</v>
      </c>
      <c r="C53" s="67" t="s">
        <v>68</v>
      </c>
      <c r="D53" s="67">
        <v>0.31541988253593439</v>
      </c>
      <c r="E53" s="67">
        <v>0.3189883828163147</v>
      </c>
      <c r="F53" s="67">
        <v>0.32644569873809809</v>
      </c>
      <c r="G53" s="67">
        <v>0.32749468088150019</v>
      </c>
      <c r="H53" s="67">
        <v>0.32791799306869512</v>
      </c>
      <c r="I53" s="67">
        <v>0.32948234677314758</v>
      </c>
      <c r="J53" s="67">
        <v>0.33074924349784851</v>
      </c>
      <c r="K53" s="67">
        <v>0.33031743764877319</v>
      </c>
      <c r="L53" s="67">
        <v>0.32774752378463751</v>
      </c>
      <c r="M53" s="67">
        <v>0.32524627447128301</v>
      </c>
      <c r="N53" s="67">
        <v>0.32280272245407099</v>
      </c>
      <c r="O53" s="67">
        <v>0.32087010145187378</v>
      </c>
      <c r="P53" s="67">
        <v>0.31885597109794622</v>
      </c>
      <c r="Q53" s="67">
        <v>0.31683936715126038</v>
      </c>
      <c r="R53" s="67">
        <v>0.31502434611320501</v>
      </c>
      <c r="S53" s="67">
        <v>0.31330227851867681</v>
      </c>
      <c r="T53" s="67">
        <v>0.31155964732170099</v>
      </c>
      <c r="U53" s="67">
        <v>0.30988472700119019</v>
      </c>
      <c r="V53" s="67">
        <v>0.30817392468452448</v>
      </c>
      <c r="W53" s="67">
        <v>0.30645456910133362</v>
      </c>
      <c r="X53" s="67">
        <v>0.30463650822639471</v>
      </c>
      <c r="Y53" s="67">
        <v>0.30280199646949768</v>
      </c>
      <c r="Z53" s="67">
        <v>0.30086907744407648</v>
      </c>
      <c r="AA53" s="67">
        <v>0.29904666543006903</v>
      </c>
      <c r="AB53" s="67">
        <v>0.29712200164794922</v>
      </c>
      <c r="AC53" s="67">
        <v>0.29543471336364752</v>
      </c>
      <c r="AD53" s="67">
        <v>-2.6148487269990191E-3</v>
      </c>
    </row>
    <row r="54" spans="1:30" s="65" customFormat="1" ht="12" customHeight="1" x14ac:dyDescent="0.2">
      <c r="A54" s="73">
        <v>40</v>
      </c>
    </row>
    <row r="55" spans="1:30" s="65" customFormat="1" ht="12" customHeight="1" x14ac:dyDescent="0.2">
      <c r="A55" s="73">
        <v>41</v>
      </c>
      <c r="B55" s="65" t="s">
        <v>75</v>
      </c>
      <c r="C55" s="65" t="s">
        <v>76</v>
      </c>
      <c r="D55" s="65">
        <v>0.14368182420730591</v>
      </c>
      <c r="E55" s="65">
        <v>0.14368182420730591</v>
      </c>
      <c r="F55" s="65">
        <v>0.14368182420730591</v>
      </c>
      <c r="G55" s="65">
        <v>0.14368182420730591</v>
      </c>
      <c r="H55" s="65">
        <v>0.14368182420730591</v>
      </c>
      <c r="I55" s="65">
        <v>0.14368182420730591</v>
      </c>
      <c r="J55" s="65">
        <v>0.14368182420730591</v>
      </c>
      <c r="K55" s="65">
        <v>0.14368182420730591</v>
      </c>
      <c r="L55" s="65">
        <v>0.14368182420730591</v>
      </c>
      <c r="M55" s="65">
        <v>0.14368182420730591</v>
      </c>
      <c r="N55" s="65">
        <v>0.14368182420730591</v>
      </c>
      <c r="O55" s="65">
        <v>0.14368182420730591</v>
      </c>
      <c r="P55" s="65">
        <v>0.14368182420730591</v>
      </c>
      <c r="Q55" s="65">
        <v>0.14368182420730591</v>
      </c>
      <c r="R55" s="65">
        <v>0.14368182420730591</v>
      </c>
      <c r="S55" s="65">
        <v>0.14368182420730591</v>
      </c>
      <c r="T55" s="65">
        <v>0.14368182420730591</v>
      </c>
      <c r="U55" s="65">
        <v>0.14368182420730591</v>
      </c>
      <c r="V55" s="65">
        <v>0.14368182420730591</v>
      </c>
      <c r="W55" s="65">
        <v>0.14368182420730591</v>
      </c>
      <c r="X55" s="65">
        <v>0.14368182420730591</v>
      </c>
      <c r="Y55" s="65">
        <v>0.14368182420730591</v>
      </c>
      <c r="Z55" s="65">
        <v>0.14368182420730591</v>
      </c>
      <c r="AA55" s="65">
        <v>0.14368182420730591</v>
      </c>
      <c r="AB55" s="65">
        <v>0.14368182420730591</v>
      </c>
      <c r="AC55" s="65">
        <v>0.14368182420730591</v>
      </c>
      <c r="AD55" s="65">
        <v>0</v>
      </c>
    </row>
    <row r="56" spans="1:30" s="65" customFormat="1" ht="12" customHeight="1" x14ac:dyDescent="0.2">
      <c r="A56" s="73">
        <v>42</v>
      </c>
      <c r="B56" s="65" t="s">
        <v>77</v>
      </c>
      <c r="C56" s="65" t="s">
        <v>78</v>
      </c>
      <c r="D56" s="65">
        <v>0.64804857969284058</v>
      </c>
      <c r="E56" s="65">
        <v>0.66109436750411987</v>
      </c>
      <c r="F56" s="65">
        <v>0.66815906763076782</v>
      </c>
      <c r="G56" s="65">
        <v>0.67530959844589233</v>
      </c>
      <c r="H56" s="65">
        <v>0.68251526355743408</v>
      </c>
      <c r="I56" s="65">
        <v>0.6905861496925354</v>
      </c>
      <c r="J56" s="65">
        <v>0.69791728258132935</v>
      </c>
      <c r="K56" s="65">
        <v>0.70595133304595947</v>
      </c>
      <c r="L56" s="65">
        <v>0.71397119760513306</v>
      </c>
      <c r="M56" s="65">
        <v>0.72265666723251343</v>
      </c>
      <c r="N56" s="65">
        <v>0.73132973909378052</v>
      </c>
      <c r="O56" s="65">
        <v>0.74053525924682617</v>
      </c>
      <c r="P56" s="65">
        <v>0.74982339143753052</v>
      </c>
      <c r="Q56" s="65">
        <v>0.75890272855758667</v>
      </c>
      <c r="R56" s="65">
        <v>0.76786136627197266</v>
      </c>
      <c r="S56" s="65">
        <v>0.77653080224990845</v>
      </c>
      <c r="T56" s="65">
        <v>0.78471815586090088</v>
      </c>
      <c r="U56" s="65">
        <v>0.79267412424087524</v>
      </c>
      <c r="V56" s="65">
        <v>0.80039334297180176</v>
      </c>
      <c r="W56" s="65">
        <v>0.80793756246566772</v>
      </c>
      <c r="X56" s="65">
        <v>0.81531292200088501</v>
      </c>
      <c r="Y56" s="65">
        <v>0.82266759872436523</v>
      </c>
      <c r="Z56" s="65">
        <v>0.82990443706512451</v>
      </c>
      <c r="AA56" s="65">
        <v>0.83711159229278564</v>
      </c>
      <c r="AB56" s="65">
        <v>0.84429466724395752</v>
      </c>
      <c r="AC56" s="65">
        <v>0.8515092134475708</v>
      </c>
      <c r="AD56" s="65">
        <v>1.0981646761222709E-2</v>
      </c>
    </row>
    <row r="57" spans="1:30" s="65" customFormat="1" ht="12" customHeight="1" x14ac:dyDescent="0.2">
      <c r="A57" s="73">
        <v>43</v>
      </c>
    </row>
    <row r="58" spans="1:30" s="67" customFormat="1" ht="12" customHeight="1" x14ac:dyDescent="0.2">
      <c r="A58" s="73">
        <v>44</v>
      </c>
      <c r="C58" s="67" t="s">
        <v>79</v>
      </c>
    </row>
    <row r="59" spans="1:30" s="65" customFormat="1" ht="12" customHeight="1" x14ac:dyDescent="0.2">
      <c r="A59" s="73">
        <v>45</v>
      </c>
      <c r="B59" s="65" t="s">
        <v>80</v>
      </c>
      <c r="C59" s="65" t="s">
        <v>32</v>
      </c>
      <c r="D59" s="65">
        <v>1.9527831077575679</v>
      </c>
      <c r="E59" s="65">
        <v>1.9257820844650271</v>
      </c>
      <c r="F59" s="65">
        <v>1.9198101758956909</v>
      </c>
      <c r="G59" s="65">
        <v>1.9027783870697019</v>
      </c>
      <c r="H59" s="65">
        <v>1.8745524883270259</v>
      </c>
      <c r="I59" s="65">
        <v>1.8426879644393921</v>
      </c>
      <c r="J59" s="65">
        <v>1.8127356767654419</v>
      </c>
      <c r="K59" s="65">
        <v>1.791174173355103</v>
      </c>
      <c r="L59" s="65">
        <v>1.77372145652771</v>
      </c>
      <c r="M59" s="65">
        <v>1.759692907333374</v>
      </c>
      <c r="N59" s="65">
        <v>1.7453598976135249</v>
      </c>
      <c r="O59" s="65">
        <v>1.7326453924179079</v>
      </c>
      <c r="P59" s="65">
        <v>1.7192094326019289</v>
      </c>
      <c r="Q59" s="65">
        <v>1.7057803869247441</v>
      </c>
      <c r="R59" s="65">
        <v>1.6916743516921999</v>
      </c>
      <c r="S59" s="65">
        <v>1.677725076675415</v>
      </c>
      <c r="T59" s="65">
        <v>1.664192318916321</v>
      </c>
      <c r="U59" s="65">
        <v>1.652503967285156</v>
      </c>
      <c r="V59" s="65">
        <v>1.64127516746521</v>
      </c>
      <c r="W59" s="65">
        <v>1.6307414770126341</v>
      </c>
      <c r="X59" s="65">
        <v>1.6197260618209841</v>
      </c>
      <c r="Y59" s="65">
        <v>1.60610568523407</v>
      </c>
      <c r="Z59" s="65">
        <v>1.5907289981842041</v>
      </c>
      <c r="AA59" s="65">
        <v>1.5750420093536379</v>
      </c>
      <c r="AB59" s="65">
        <v>1.559412837028503</v>
      </c>
      <c r="AC59" s="65">
        <v>1.54406201839447</v>
      </c>
      <c r="AD59" s="65">
        <v>-9.3495772140717026E-3</v>
      </c>
    </row>
    <row r="60" spans="1:30" s="65" customFormat="1" ht="12" customHeight="1" x14ac:dyDescent="0.2">
      <c r="A60" s="73">
        <v>46</v>
      </c>
      <c r="B60" s="65" t="s">
        <v>81</v>
      </c>
      <c r="C60" s="65" t="s">
        <v>34</v>
      </c>
      <c r="D60" s="65">
        <v>0.5825313925743103</v>
      </c>
      <c r="E60" s="65">
        <v>0.61208397150039673</v>
      </c>
      <c r="F60" s="65">
        <v>0.61880606412887573</v>
      </c>
      <c r="G60" s="65">
        <v>0.62720048427581787</v>
      </c>
      <c r="H60" s="65">
        <v>0.63409751653671265</v>
      </c>
      <c r="I60" s="65">
        <v>0.63845771551132202</v>
      </c>
      <c r="J60" s="65">
        <v>0.64351171255111694</v>
      </c>
      <c r="K60" s="65">
        <v>0.64931738376617432</v>
      </c>
      <c r="L60" s="65">
        <v>0.65568786859512329</v>
      </c>
      <c r="M60" s="65">
        <v>0.66273081302642822</v>
      </c>
      <c r="N60" s="65">
        <v>0.67013710737228394</v>
      </c>
      <c r="O60" s="65">
        <v>0.67839568853378296</v>
      </c>
      <c r="P60" s="65">
        <v>0.68686836957931519</v>
      </c>
      <c r="Q60" s="65">
        <v>0.69551801681518555</v>
      </c>
      <c r="R60" s="65">
        <v>0.70410817861557007</v>
      </c>
      <c r="S60" s="65">
        <v>0.71308338642120361</v>
      </c>
      <c r="T60" s="65">
        <v>0.72254848480224609</v>
      </c>
      <c r="U60" s="65">
        <v>0.73252302408218384</v>
      </c>
      <c r="V60" s="65">
        <v>0.74325776100158691</v>
      </c>
      <c r="W60" s="65">
        <v>0.75429040193557739</v>
      </c>
      <c r="X60" s="65">
        <v>0.76584595441818237</v>
      </c>
      <c r="Y60" s="65">
        <v>0.77697938680648804</v>
      </c>
      <c r="Z60" s="65">
        <v>0.78769385814666748</v>
      </c>
      <c r="AA60" s="65">
        <v>0.79837888479232788</v>
      </c>
      <c r="AB60" s="65">
        <v>0.80965840816497803</v>
      </c>
      <c r="AC60" s="65">
        <v>0.82099997997283936</v>
      </c>
      <c r="AD60" s="65">
        <v>1.382022883046452E-2</v>
      </c>
    </row>
    <row r="61" spans="1:30" s="65" customFormat="1" ht="12" customHeight="1" x14ac:dyDescent="0.2">
      <c r="A61" s="73">
        <v>47</v>
      </c>
      <c r="B61" s="65" t="s">
        <v>82</v>
      </c>
      <c r="C61" s="65" t="s">
        <v>36</v>
      </c>
      <c r="D61" s="65">
        <v>0.35153520107269293</v>
      </c>
      <c r="E61" s="65">
        <v>0.3568500280380249</v>
      </c>
      <c r="F61" s="65">
        <v>0.35884305834770203</v>
      </c>
      <c r="G61" s="65">
        <v>0.3590969443321228</v>
      </c>
      <c r="H61" s="65">
        <v>0.3576163649559021</v>
      </c>
      <c r="I61" s="65">
        <v>0.35524323582649231</v>
      </c>
      <c r="J61" s="65">
        <v>0.35315147042274481</v>
      </c>
      <c r="K61" s="65">
        <v>0.35276573896408081</v>
      </c>
      <c r="L61" s="65">
        <v>0.3530297577381134</v>
      </c>
      <c r="M61" s="65">
        <v>0.35423853993415833</v>
      </c>
      <c r="N61" s="65">
        <v>0.35563281178474432</v>
      </c>
      <c r="O61" s="65">
        <v>0.35754057765007019</v>
      </c>
      <c r="P61" s="65">
        <v>0.35942235589027399</v>
      </c>
      <c r="Q61" s="65">
        <v>0.36132490634918207</v>
      </c>
      <c r="R61" s="65">
        <v>0.36314252018928528</v>
      </c>
      <c r="S61" s="65">
        <v>0.36499062180519098</v>
      </c>
      <c r="T61" s="65">
        <v>0.3670424222946167</v>
      </c>
      <c r="U61" s="65">
        <v>0.36945736408233643</v>
      </c>
      <c r="V61" s="65">
        <v>0.37206292152404791</v>
      </c>
      <c r="W61" s="65">
        <v>0.37487480044364929</v>
      </c>
      <c r="X61" s="65">
        <v>0.37756672501564031</v>
      </c>
      <c r="Y61" s="65">
        <v>0.37975555658340449</v>
      </c>
      <c r="Z61" s="65">
        <v>0.38156154751777649</v>
      </c>
      <c r="AA61" s="65">
        <v>0.38324204087257391</v>
      </c>
      <c r="AB61" s="65">
        <v>0.38493311405181879</v>
      </c>
      <c r="AC61" s="65">
        <v>0.38666221499443049</v>
      </c>
      <c r="AD61" s="65">
        <v>3.816931234072563E-3</v>
      </c>
    </row>
    <row r="62" spans="1:30" s="65" customFormat="1" ht="12" customHeight="1" x14ac:dyDescent="0.2">
      <c r="A62" s="73">
        <v>48</v>
      </c>
      <c r="B62" s="65" t="s">
        <v>83</v>
      </c>
      <c r="C62" s="65" t="s">
        <v>38</v>
      </c>
      <c r="D62" s="65">
        <v>0.7725786566734314</v>
      </c>
      <c r="E62" s="65">
        <v>0.77808070182800293</v>
      </c>
      <c r="F62" s="65">
        <v>0.78721636533737183</v>
      </c>
      <c r="G62" s="65">
        <v>0.79894798994064331</v>
      </c>
      <c r="H62" s="65">
        <v>0.80861729383468628</v>
      </c>
      <c r="I62" s="65">
        <v>0.81284761428833008</v>
      </c>
      <c r="J62" s="65">
        <v>0.81740254163742065</v>
      </c>
      <c r="K62" s="65">
        <v>0.82248866558074951</v>
      </c>
      <c r="L62" s="65">
        <v>0.82842159271240234</v>
      </c>
      <c r="M62" s="65">
        <v>0.83473402261734009</v>
      </c>
      <c r="N62" s="65">
        <v>0.84140819311141968</v>
      </c>
      <c r="O62" s="65">
        <v>0.84894019365310669</v>
      </c>
      <c r="P62" s="65">
        <v>0.85649627447128296</v>
      </c>
      <c r="Q62" s="65">
        <v>0.86420577764511108</v>
      </c>
      <c r="R62" s="65">
        <v>0.87185335159301758</v>
      </c>
      <c r="S62" s="65">
        <v>0.87961149215698242</v>
      </c>
      <c r="T62" s="65">
        <v>0.88787376880645752</v>
      </c>
      <c r="U62" s="65">
        <v>0.89625650644302368</v>
      </c>
      <c r="V62" s="65">
        <v>0.90508544445037842</v>
      </c>
      <c r="W62" s="65">
        <v>0.91416382789611816</v>
      </c>
      <c r="X62" s="65">
        <v>0.92337268590927124</v>
      </c>
      <c r="Y62" s="65">
        <v>0.93216902017593384</v>
      </c>
      <c r="Z62" s="65">
        <v>0.94026070833206177</v>
      </c>
      <c r="AA62" s="65">
        <v>0.94815254211425781</v>
      </c>
      <c r="AB62" s="65">
        <v>0.9564245343208313</v>
      </c>
      <c r="AC62" s="65">
        <v>0.96451842784881592</v>
      </c>
      <c r="AD62" s="65">
        <v>8.9153113016047225E-3</v>
      </c>
    </row>
    <row r="63" spans="1:30" s="65" customFormat="1" ht="12" customHeight="1" x14ac:dyDescent="0.2">
      <c r="A63" s="73">
        <v>49</v>
      </c>
      <c r="B63" s="65" t="s">
        <v>84</v>
      </c>
      <c r="C63" s="65" t="s">
        <v>40</v>
      </c>
      <c r="D63" s="65">
        <v>0.48938104510307312</v>
      </c>
      <c r="E63" s="65">
        <v>0.4959438145160675</v>
      </c>
      <c r="F63" s="65">
        <v>0.49908256530761719</v>
      </c>
      <c r="G63" s="65">
        <v>0.4995197057723999</v>
      </c>
      <c r="H63" s="65">
        <v>0.49754899740219122</v>
      </c>
      <c r="I63" s="65">
        <v>0.49431043863296509</v>
      </c>
      <c r="J63" s="65">
        <v>0.49151921272277832</v>
      </c>
      <c r="K63" s="65">
        <v>0.49113261699676508</v>
      </c>
      <c r="L63" s="65">
        <v>0.49173206090927118</v>
      </c>
      <c r="M63" s="65">
        <v>0.49363416433334351</v>
      </c>
      <c r="N63" s="65">
        <v>0.495735764503479</v>
      </c>
      <c r="O63" s="65">
        <v>0.49846410751342768</v>
      </c>
      <c r="P63" s="65">
        <v>0.50111532211303711</v>
      </c>
      <c r="Q63" s="65">
        <v>0.50374907255172729</v>
      </c>
      <c r="R63" s="65">
        <v>0.50619661808013916</v>
      </c>
      <c r="S63" s="65">
        <v>0.50863587856292725</v>
      </c>
      <c r="T63" s="65">
        <v>0.51139652729034424</v>
      </c>
      <c r="U63" s="65">
        <v>0.51465499401092529</v>
      </c>
      <c r="V63" s="65">
        <v>0.51814019680023193</v>
      </c>
      <c r="W63" s="65">
        <v>0.52188825607299805</v>
      </c>
      <c r="X63" s="65">
        <v>0.52541780471801758</v>
      </c>
      <c r="Y63" s="65">
        <v>0.52815532684326172</v>
      </c>
      <c r="Z63" s="65">
        <v>0.53030526638031006</v>
      </c>
      <c r="AA63" s="65">
        <v>0.53222852945327759</v>
      </c>
      <c r="AB63" s="65">
        <v>0.53413581848144531</v>
      </c>
      <c r="AC63" s="65">
        <v>0.53606534004211426</v>
      </c>
      <c r="AD63" s="65">
        <v>3.6512350709754231E-3</v>
      </c>
    </row>
    <row r="64" spans="1:30" s="65" customFormat="1" ht="12" customHeight="1" x14ac:dyDescent="0.2">
      <c r="A64" s="73">
        <v>50</v>
      </c>
      <c r="B64" s="65" t="s">
        <v>85</v>
      </c>
      <c r="C64" s="65" t="s">
        <v>42</v>
      </c>
      <c r="D64" s="65">
        <v>0.56464868783950806</v>
      </c>
      <c r="E64" s="65">
        <v>0.55332779884338379</v>
      </c>
      <c r="F64" s="65">
        <v>0.5473293662071228</v>
      </c>
      <c r="G64" s="65">
        <v>0.54542988538742065</v>
      </c>
      <c r="H64" s="65">
        <v>0.54358804225921631</v>
      </c>
      <c r="I64" s="65">
        <v>0.53231817483901978</v>
      </c>
      <c r="J64" s="65">
        <v>0.52262163162231445</v>
      </c>
      <c r="K64" s="65">
        <v>0.51420021057128906</v>
      </c>
      <c r="L64" s="65">
        <v>0.50677865743637085</v>
      </c>
      <c r="M64" s="65">
        <v>0.49977785348892212</v>
      </c>
      <c r="N64" s="65">
        <v>0.49295160174369812</v>
      </c>
      <c r="O64" s="65">
        <v>0.48728850483894348</v>
      </c>
      <c r="P64" s="65">
        <v>0.48248586058616638</v>
      </c>
      <c r="Q64" s="65">
        <v>0.47849792242050171</v>
      </c>
      <c r="R64" s="65">
        <v>0.47511857748031622</v>
      </c>
      <c r="S64" s="65">
        <v>0.47012150287628168</v>
      </c>
      <c r="T64" s="65">
        <v>0.46640691161155701</v>
      </c>
      <c r="U64" s="65">
        <v>0.4634820818901062</v>
      </c>
      <c r="V64" s="65">
        <v>0.46129697561264038</v>
      </c>
      <c r="W64" s="65">
        <v>0.45964255928993231</v>
      </c>
      <c r="X64" s="65">
        <v>0.45840096473693848</v>
      </c>
      <c r="Y64" s="65">
        <v>0.45725777745246893</v>
      </c>
      <c r="Z64" s="65">
        <v>0.45599430799484247</v>
      </c>
      <c r="AA64" s="65">
        <v>0.45470628142356873</v>
      </c>
      <c r="AB64" s="65">
        <v>0.45369204878807068</v>
      </c>
      <c r="AC64" s="65">
        <v>0.45269542932510382</v>
      </c>
      <c r="AD64" s="65">
        <v>-8.8004151828615651E-3</v>
      </c>
    </row>
    <row r="65" spans="1:30" s="65" customFormat="1" ht="12" customHeight="1" x14ac:dyDescent="0.2">
      <c r="A65" s="73">
        <v>51</v>
      </c>
      <c r="B65" s="65" t="s">
        <v>86</v>
      </c>
      <c r="C65" s="65" t="s">
        <v>44</v>
      </c>
      <c r="D65" s="65">
        <v>0.36673378944396973</v>
      </c>
      <c r="E65" s="65">
        <v>0.36595341563224792</v>
      </c>
      <c r="F65" s="65">
        <v>0.36617350578308111</v>
      </c>
      <c r="G65" s="65">
        <v>0.36700010299682623</v>
      </c>
      <c r="H65" s="65">
        <v>0.36756345629692078</v>
      </c>
      <c r="I65" s="65">
        <v>0.36664438247680659</v>
      </c>
      <c r="J65" s="65">
        <v>0.36620622873306269</v>
      </c>
      <c r="K65" s="65">
        <v>0.36610907316207891</v>
      </c>
      <c r="L65" s="65">
        <v>0.36639034748077393</v>
      </c>
      <c r="M65" s="65">
        <v>0.36694955825805659</v>
      </c>
      <c r="N65" s="65">
        <v>0.36775559186935419</v>
      </c>
      <c r="O65" s="65">
        <v>0.36884811520576483</v>
      </c>
      <c r="P65" s="65">
        <v>0.37004610896110529</v>
      </c>
      <c r="Q65" s="65">
        <v>0.37123894691467291</v>
      </c>
      <c r="R65" s="65">
        <v>0.3723832368850708</v>
      </c>
      <c r="S65" s="65">
        <v>0.37348532676696777</v>
      </c>
      <c r="T65" s="65">
        <v>0.37482777237892151</v>
      </c>
      <c r="U65" s="65">
        <v>0.37610214948654169</v>
      </c>
      <c r="V65" s="65">
        <v>0.37739026546478271</v>
      </c>
      <c r="W65" s="65">
        <v>0.37866276502609247</v>
      </c>
      <c r="X65" s="65">
        <v>0.37990128993988043</v>
      </c>
      <c r="Y65" s="65">
        <v>0.3810141384601593</v>
      </c>
      <c r="Z65" s="65">
        <v>0.38195547461509699</v>
      </c>
      <c r="AA65" s="65">
        <v>0.38280674815177917</v>
      </c>
      <c r="AB65" s="65">
        <v>0.38365435600280762</v>
      </c>
      <c r="AC65" s="65">
        <v>0.38441506028175348</v>
      </c>
      <c r="AD65" s="65">
        <v>1.885240416076073E-3</v>
      </c>
    </row>
    <row r="66" spans="1:30" s="65" customFormat="1" ht="12" customHeight="1" x14ac:dyDescent="0.2">
      <c r="A66" s="73">
        <v>52</v>
      </c>
      <c r="B66" s="65" t="s">
        <v>87</v>
      </c>
      <c r="C66" s="65" t="s">
        <v>46</v>
      </c>
      <c r="D66" s="65">
        <v>0.35769146680831909</v>
      </c>
      <c r="E66" s="65">
        <v>0.40369805693626398</v>
      </c>
      <c r="F66" s="65">
        <v>0.45296800136566162</v>
      </c>
      <c r="G66" s="65">
        <v>0.50386369228363037</v>
      </c>
      <c r="H66" s="65">
        <v>0.55580109357833862</v>
      </c>
      <c r="I66" s="65">
        <v>0.60810637474060059</v>
      </c>
      <c r="J66" s="65">
        <v>0.66097623109817505</v>
      </c>
      <c r="K66" s="65">
        <v>0.71486109495162964</v>
      </c>
      <c r="L66" s="65">
        <v>0.76973402500152588</v>
      </c>
      <c r="M66" s="65">
        <v>0.82540673017501831</v>
      </c>
      <c r="N66" s="65">
        <v>0.8817182183265686</v>
      </c>
      <c r="O66" s="65">
        <v>0.93838644027709961</v>
      </c>
      <c r="P66" s="65">
        <v>0.99514853954315186</v>
      </c>
      <c r="Q66" s="65">
        <v>1.051304817199707</v>
      </c>
      <c r="R66" s="65">
        <v>1.106358528137207</v>
      </c>
      <c r="S66" s="65">
        <v>1.159801244735718</v>
      </c>
      <c r="T66" s="65">
        <v>1.211428165435791</v>
      </c>
      <c r="U66" s="65">
        <v>1.260422468185425</v>
      </c>
      <c r="V66" s="65">
        <v>1.3068299293518071</v>
      </c>
      <c r="W66" s="65">
        <v>1.3498513698577881</v>
      </c>
      <c r="X66" s="65">
        <v>1.389499306678772</v>
      </c>
      <c r="Y66" s="65">
        <v>1.424822926521301</v>
      </c>
      <c r="Z66" s="65">
        <v>1.4555174112319951</v>
      </c>
      <c r="AA66" s="65">
        <v>1.4812450408935549</v>
      </c>
      <c r="AB66" s="65">
        <v>1.5018157958984379</v>
      </c>
      <c r="AC66" s="65">
        <v>1.5200847387313841</v>
      </c>
      <c r="AD66" s="65">
        <v>5.9581504241519527E-2</v>
      </c>
    </row>
    <row r="67" spans="1:30" s="65" customFormat="1" ht="12" customHeight="1" x14ac:dyDescent="0.2">
      <c r="A67" s="73">
        <v>53</v>
      </c>
      <c r="B67" s="65" t="s">
        <v>88</v>
      </c>
      <c r="C67" s="65" t="s">
        <v>48</v>
      </c>
      <c r="D67" s="65">
        <v>0.21695259213447571</v>
      </c>
      <c r="E67" s="65">
        <v>0.2117447704076767</v>
      </c>
      <c r="F67" s="65">
        <v>0.20712237060070041</v>
      </c>
      <c r="G67" s="65">
        <v>0.2026841789484024</v>
      </c>
      <c r="H67" s="65">
        <v>0.1982623636722565</v>
      </c>
      <c r="I67" s="65">
        <v>0.19391293823719019</v>
      </c>
      <c r="J67" s="65">
        <v>0.1898292750120163</v>
      </c>
      <c r="K67" s="65">
        <v>0.18571975827217099</v>
      </c>
      <c r="L67" s="65">
        <v>0.18246522545814511</v>
      </c>
      <c r="M67" s="65">
        <v>0.17970889806747439</v>
      </c>
      <c r="N67" s="65">
        <v>0.17706714570522311</v>
      </c>
      <c r="O67" s="65">
        <v>0.1750409007072449</v>
      </c>
      <c r="P67" s="65">
        <v>0.1731773912906647</v>
      </c>
      <c r="Q67" s="65">
        <v>0.17144748568534851</v>
      </c>
      <c r="R67" s="65">
        <v>0.17038112878799441</v>
      </c>
      <c r="S67" s="65">
        <v>0.16903424263000491</v>
      </c>
      <c r="T67" s="65">
        <v>0.16736727952957151</v>
      </c>
      <c r="U67" s="65">
        <v>0.16648046672344211</v>
      </c>
      <c r="V67" s="65">
        <v>0.1648089736700058</v>
      </c>
      <c r="W67" s="65">
        <v>0.1634516566991806</v>
      </c>
      <c r="X67" s="65">
        <v>0.1618640869855881</v>
      </c>
      <c r="Y67" s="65">
        <v>0.16062961518764499</v>
      </c>
      <c r="Z67" s="65">
        <v>0.15854467451572421</v>
      </c>
      <c r="AA67" s="65">
        <v>0.1562098562717438</v>
      </c>
      <c r="AB67" s="65">
        <v>0.1536378413438797</v>
      </c>
      <c r="AC67" s="65">
        <v>0.15080669522285459</v>
      </c>
      <c r="AD67" s="65">
        <v>-1.4441901008480749E-2</v>
      </c>
    </row>
    <row r="68" spans="1:30" s="65" customFormat="1" ht="12" customHeight="1" x14ac:dyDescent="0.2">
      <c r="A68" s="73">
        <v>54</v>
      </c>
      <c r="B68" s="65" t="s">
        <v>89</v>
      </c>
      <c r="C68" s="65" t="s">
        <v>90</v>
      </c>
      <c r="D68" s="65">
        <v>4.2453742027282706</v>
      </c>
      <c r="E68" s="65">
        <v>4.3752255439758301</v>
      </c>
      <c r="F68" s="65">
        <v>4.401097297668457</v>
      </c>
      <c r="G68" s="65">
        <v>4.4076380729675293</v>
      </c>
      <c r="H68" s="65">
        <v>4.4066743850708008</v>
      </c>
      <c r="I68" s="65">
        <v>4.4038009643554688</v>
      </c>
      <c r="J68" s="65">
        <v>4.4004230499267578</v>
      </c>
      <c r="K68" s="65">
        <v>4.4030141830444336</v>
      </c>
      <c r="L68" s="65">
        <v>4.4072675704956046</v>
      </c>
      <c r="M68" s="65">
        <v>4.4161014556884766</v>
      </c>
      <c r="N68" s="65">
        <v>4.4261331558227539</v>
      </c>
      <c r="O68" s="65">
        <v>4.4401311874389648</v>
      </c>
      <c r="P68" s="65">
        <v>4.4547953605651864</v>
      </c>
      <c r="Q68" s="65">
        <v>4.4698667526245117</v>
      </c>
      <c r="R68" s="65">
        <v>4.4851388931274414</v>
      </c>
      <c r="S68" s="65">
        <v>4.5008525848388672</v>
      </c>
      <c r="T68" s="65">
        <v>4.5160937309265137</v>
      </c>
      <c r="U68" s="65">
        <v>4.532867431640625</v>
      </c>
      <c r="V68" s="65">
        <v>4.5504508018493652</v>
      </c>
      <c r="W68" s="65">
        <v>4.5688838958740234</v>
      </c>
      <c r="X68" s="65">
        <v>4.587608814239502</v>
      </c>
      <c r="Y68" s="65">
        <v>4.6047549247741699</v>
      </c>
      <c r="Z68" s="65">
        <v>4.6209311485290527</v>
      </c>
      <c r="AA68" s="65">
        <v>4.6373744010925293</v>
      </c>
      <c r="AB68" s="65">
        <v>4.6542434692382813</v>
      </c>
      <c r="AC68" s="65">
        <v>4.67230224609375</v>
      </c>
      <c r="AD68" s="65">
        <v>3.840233642889102E-3</v>
      </c>
    </row>
    <row r="69" spans="1:30" s="67" customFormat="1" ht="12" customHeight="1" x14ac:dyDescent="0.2">
      <c r="A69" s="73">
        <v>55</v>
      </c>
      <c r="B69" s="67" t="s">
        <v>91</v>
      </c>
      <c r="C69" s="67" t="s">
        <v>92</v>
      </c>
      <c r="D69" s="67">
        <v>9.9002103805541992</v>
      </c>
      <c r="E69" s="67">
        <v>10.078691482543951</v>
      </c>
      <c r="F69" s="67">
        <v>10.158449172973629</v>
      </c>
      <c r="G69" s="67">
        <v>10.21415996551514</v>
      </c>
      <c r="H69" s="67">
        <v>10.244320869445801</v>
      </c>
      <c r="I69" s="67">
        <v>10.248330116271971</v>
      </c>
      <c r="J69" s="67">
        <v>10.258376121521</v>
      </c>
      <c r="K69" s="67">
        <v>10.29078197479248</v>
      </c>
      <c r="L69" s="67">
        <v>10.33522796630859</v>
      </c>
      <c r="M69" s="67">
        <v>10.39297580718994</v>
      </c>
      <c r="N69" s="67">
        <v>10.453898429870611</v>
      </c>
      <c r="O69" s="67">
        <v>10.525680541992189</v>
      </c>
      <c r="P69" s="67">
        <v>10.59876537322998</v>
      </c>
      <c r="Q69" s="67">
        <v>10.672934532165529</v>
      </c>
      <c r="R69" s="67">
        <v>10.746355056762701</v>
      </c>
      <c r="S69" s="67">
        <v>10.817342758178709</v>
      </c>
      <c r="T69" s="67">
        <v>10.889177322387701</v>
      </c>
      <c r="U69" s="67">
        <v>10.964749336242679</v>
      </c>
      <c r="V69" s="67">
        <v>11.04059886932373</v>
      </c>
      <c r="W69" s="67">
        <v>11.11645030975342</v>
      </c>
      <c r="X69" s="67">
        <v>11.1892032623291</v>
      </c>
      <c r="Y69" s="67">
        <v>11.25164318084717</v>
      </c>
      <c r="Z69" s="67">
        <v>11.303493499755859</v>
      </c>
      <c r="AA69" s="67">
        <v>11.349386215209959</v>
      </c>
      <c r="AB69" s="67">
        <v>11.39160823822021</v>
      </c>
      <c r="AC69" s="67">
        <v>11.43261241912842</v>
      </c>
      <c r="AD69" s="67">
        <v>5.7731609241042916E-3</v>
      </c>
    </row>
    <row r="70" spans="1:30" s="65" customFormat="1" ht="12" customHeight="1" x14ac:dyDescent="0.2">
      <c r="A70" s="73">
        <v>56</v>
      </c>
      <c r="B70" s="65" t="s">
        <v>93</v>
      </c>
      <c r="C70" s="65" t="s">
        <v>94</v>
      </c>
      <c r="D70" s="65">
        <v>3.1625282019376748E-2</v>
      </c>
      <c r="E70" s="65">
        <v>4.134933277964592E-2</v>
      </c>
      <c r="F70" s="65">
        <v>5.3095277398824692E-2</v>
      </c>
      <c r="G70" s="65">
        <v>6.6244311630725861E-2</v>
      </c>
      <c r="H70" s="65">
        <v>7.9602524638175964E-2</v>
      </c>
      <c r="I70" s="65">
        <v>9.2542998492717743E-2</v>
      </c>
      <c r="J70" s="65">
        <v>0.1044155731797218</v>
      </c>
      <c r="K70" s="65">
        <v>0.11564316600561141</v>
      </c>
      <c r="L70" s="65">
        <v>0.126972422003746</v>
      </c>
      <c r="M70" s="65">
        <v>0.13850162923336029</v>
      </c>
      <c r="N70" s="65">
        <v>0.1503918915987015</v>
      </c>
      <c r="O70" s="65">
        <v>0.1624611169099808</v>
      </c>
      <c r="P70" s="65">
        <v>0.17480400204658511</v>
      </c>
      <c r="Q70" s="65">
        <v>0.18723900616168981</v>
      </c>
      <c r="R70" s="65">
        <v>0.19958958029747009</v>
      </c>
      <c r="S70" s="65">
        <v>0.21228790283203119</v>
      </c>
      <c r="T70" s="65">
        <v>0.22536417841911319</v>
      </c>
      <c r="U70" s="65">
        <v>0.2392434626817703</v>
      </c>
      <c r="V70" s="65">
        <v>0.25397318601608282</v>
      </c>
      <c r="W70" s="65">
        <v>0.26994425058364868</v>
      </c>
      <c r="X70" s="65">
        <v>0.28712135553359991</v>
      </c>
      <c r="Y70" s="65">
        <v>0.30473798513412481</v>
      </c>
      <c r="Z70" s="65">
        <v>0.32270422577857971</v>
      </c>
      <c r="AA70" s="65">
        <v>0.34103548526763922</v>
      </c>
      <c r="AB70" s="65">
        <v>0.35960790514945978</v>
      </c>
      <c r="AC70" s="65">
        <v>0.37826317548751831</v>
      </c>
      <c r="AD70" s="65">
        <v>0.10435928343752671</v>
      </c>
    </row>
    <row r="71" spans="1:30" s="65" customFormat="1" ht="12" customHeight="1" x14ac:dyDescent="0.2">
      <c r="A71" s="73">
        <v>57</v>
      </c>
      <c r="B71" s="65" t="s">
        <v>95</v>
      </c>
      <c r="C71" s="65" t="s">
        <v>96</v>
      </c>
      <c r="D71" s="65">
        <v>0.15950858592987061</v>
      </c>
      <c r="E71" s="65">
        <v>0.1786766201257706</v>
      </c>
      <c r="F71" s="65">
        <v>0.1948061287403107</v>
      </c>
      <c r="G71" s="65">
        <v>0.20256760716438291</v>
      </c>
      <c r="H71" s="65">
        <v>0.20727863907814029</v>
      </c>
      <c r="I71" s="65">
        <v>0.21264529228210449</v>
      </c>
      <c r="J71" s="65">
        <v>0.2167929410934448</v>
      </c>
      <c r="K71" s="65">
        <v>0.22007113695144651</v>
      </c>
      <c r="L71" s="65">
        <v>0.22375722229480741</v>
      </c>
      <c r="M71" s="65">
        <v>0.22935956716537481</v>
      </c>
      <c r="N71" s="65">
        <v>0.23388862609863281</v>
      </c>
      <c r="O71" s="65">
        <v>0.23771291971206671</v>
      </c>
      <c r="P71" s="65">
        <v>0.24440619349479681</v>
      </c>
      <c r="Q71" s="65">
        <v>0.25092688202857971</v>
      </c>
      <c r="R71" s="65">
        <v>0.25883272290229797</v>
      </c>
      <c r="S71" s="65">
        <v>0.26564681529998779</v>
      </c>
      <c r="T71" s="65">
        <v>0.26932963728904719</v>
      </c>
      <c r="U71" s="65">
        <v>0.27484393119812012</v>
      </c>
      <c r="V71" s="65">
        <v>0.27782019972801208</v>
      </c>
      <c r="W71" s="65">
        <v>0.28117102384567261</v>
      </c>
      <c r="X71" s="65">
        <v>0.28390690684318542</v>
      </c>
      <c r="Y71" s="65">
        <v>0.28815773129463201</v>
      </c>
      <c r="Z71" s="65">
        <v>0.29341936111450201</v>
      </c>
      <c r="AA71" s="65">
        <v>0.29877597093582148</v>
      </c>
      <c r="AB71" s="65">
        <v>0.30282855033874512</v>
      </c>
      <c r="AC71" s="65">
        <v>0.30805617570877081</v>
      </c>
      <c r="AD71" s="65">
        <v>2.667700303508402E-2</v>
      </c>
    </row>
    <row r="72" spans="1:30" s="67" customFormat="1" ht="12" customHeight="1" x14ac:dyDescent="0.2">
      <c r="A72" s="73">
        <v>58</v>
      </c>
      <c r="B72" s="67" t="s">
        <v>97</v>
      </c>
      <c r="C72" s="67" t="s">
        <v>98</v>
      </c>
      <c r="D72" s="67">
        <v>9.7723274230957031</v>
      </c>
      <c r="E72" s="67">
        <v>9.9413642883300781</v>
      </c>
      <c r="F72" s="67">
        <v>10.01673793792725</v>
      </c>
      <c r="G72" s="67">
        <v>10.077836036682131</v>
      </c>
      <c r="H72" s="67">
        <v>10.11664485931396</v>
      </c>
      <c r="I72" s="67">
        <v>10.128227233886721</v>
      </c>
      <c r="J72" s="67">
        <v>10.145998954772949</v>
      </c>
      <c r="K72" s="67">
        <v>10.186354637146</v>
      </c>
      <c r="L72" s="67">
        <v>10.238443374633791</v>
      </c>
      <c r="M72" s="67">
        <v>10.30211734771729</v>
      </c>
      <c r="N72" s="67">
        <v>10.370401382446291</v>
      </c>
      <c r="O72" s="67">
        <v>10.45042896270752</v>
      </c>
      <c r="P72" s="67">
        <v>10.5291633605957</v>
      </c>
      <c r="Q72" s="67">
        <v>10.60924625396729</v>
      </c>
      <c r="R72" s="67">
        <v>10.687111854553221</v>
      </c>
      <c r="S72" s="67">
        <v>10.76398372650146</v>
      </c>
      <c r="T72" s="67">
        <v>10.845211029052731</v>
      </c>
      <c r="U72" s="67">
        <v>10.92914867401123</v>
      </c>
      <c r="V72" s="67">
        <v>11.016751289367679</v>
      </c>
      <c r="W72" s="67">
        <v>11.10522365570068</v>
      </c>
      <c r="X72" s="67">
        <v>11.192418098449711</v>
      </c>
      <c r="Y72" s="67">
        <v>11.268223762512211</v>
      </c>
      <c r="Z72" s="67">
        <v>11.332778930664061</v>
      </c>
      <c r="AA72" s="67">
        <v>11.391646385192869</v>
      </c>
      <c r="AB72" s="67">
        <v>11.44838714599609</v>
      </c>
      <c r="AC72" s="67">
        <v>11.50282001495361</v>
      </c>
      <c r="AD72" s="67">
        <v>6.5428138966372451E-3</v>
      </c>
    </row>
    <row r="73" spans="1:30" s="65" customFormat="1" ht="12" customHeight="1" x14ac:dyDescent="0.2">
      <c r="A73" s="73">
        <v>59</v>
      </c>
    </row>
    <row r="74" spans="1:30" s="67" customFormat="1" ht="12" customHeight="1" x14ac:dyDescent="0.2">
      <c r="A74" s="73">
        <v>60</v>
      </c>
      <c r="B74" s="67" t="s">
        <v>99</v>
      </c>
      <c r="C74" s="67" t="s">
        <v>100</v>
      </c>
      <c r="D74" s="67">
        <v>6.9051451683044434</v>
      </c>
      <c r="E74" s="67">
        <v>7.1494035720825204</v>
      </c>
      <c r="F74" s="67">
        <v>6.6704459190368652</v>
      </c>
      <c r="G74" s="67">
        <v>6.4662551879882813</v>
      </c>
      <c r="H74" s="67">
        <v>6.3998751640319824</v>
      </c>
      <c r="I74" s="67">
        <v>6.3392543792724609</v>
      </c>
      <c r="J74" s="67">
        <v>6.1938114166259766</v>
      </c>
      <c r="K74" s="67">
        <v>6.133887767791748</v>
      </c>
      <c r="L74" s="67">
        <v>6.1266307830810547</v>
      </c>
      <c r="M74" s="67">
        <v>6.074709415435791</v>
      </c>
      <c r="N74" s="67">
        <v>6.0557756423950204</v>
      </c>
      <c r="O74" s="67">
        <v>6.0407123565673828</v>
      </c>
      <c r="P74" s="67">
        <v>6.0576672554016113</v>
      </c>
      <c r="Q74" s="67">
        <v>6.0900907516479492</v>
      </c>
      <c r="R74" s="67">
        <v>6.1077170372009277</v>
      </c>
      <c r="S74" s="67">
        <v>6.1082992553710938</v>
      </c>
      <c r="T74" s="67">
        <v>6.1123967170715332</v>
      </c>
      <c r="U74" s="67">
        <v>6.1441268920898438</v>
      </c>
      <c r="V74" s="67">
        <v>6.1853756904602051</v>
      </c>
      <c r="W74" s="67">
        <v>6.2277836799621582</v>
      </c>
      <c r="X74" s="67">
        <v>6.2705936431884766</v>
      </c>
      <c r="Y74" s="67">
        <v>6.3097653388977051</v>
      </c>
      <c r="Z74" s="67">
        <v>6.3475842475891113</v>
      </c>
      <c r="AA74" s="67">
        <v>6.3792777061462402</v>
      </c>
      <c r="AB74" s="67">
        <v>6.385493278503418</v>
      </c>
      <c r="AC74" s="67">
        <v>6.408177375793457</v>
      </c>
      <c r="AD74" s="67">
        <v>-2.983218156668133E-3</v>
      </c>
    </row>
    <row r="75" spans="1:30" s="65" customFormat="1" ht="12" customHeight="1" x14ac:dyDescent="0.2">
      <c r="A75" s="73">
        <v>61</v>
      </c>
    </row>
    <row r="76" spans="1:30" s="67" customFormat="1" ht="12" customHeight="1" x14ac:dyDescent="0.2">
      <c r="A76" s="73">
        <v>62</v>
      </c>
      <c r="C76" s="67" t="s">
        <v>101</v>
      </c>
    </row>
    <row r="77" spans="1:30" s="65" customFormat="1" ht="12" customHeight="1" x14ac:dyDescent="0.2">
      <c r="A77" s="73">
        <v>63</v>
      </c>
      <c r="B77" s="65" t="s">
        <v>102</v>
      </c>
      <c r="C77" s="65" t="s">
        <v>32</v>
      </c>
      <c r="D77" s="65">
        <v>2.2202329635620122</v>
      </c>
      <c r="E77" s="65">
        <v>2.1810247898101811</v>
      </c>
      <c r="F77" s="65">
        <v>2.152912855148315</v>
      </c>
      <c r="G77" s="65">
        <v>2.1243691444396968</v>
      </c>
      <c r="H77" s="65">
        <v>2.0892786979675289</v>
      </c>
      <c r="I77" s="65">
        <v>2.0514461994171138</v>
      </c>
      <c r="J77" s="65">
        <v>2.0127372741699219</v>
      </c>
      <c r="K77" s="65">
        <v>1.9851952791213989</v>
      </c>
      <c r="L77" s="65">
        <v>1.9633995294570921</v>
      </c>
      <c r="M77" s="65">
        <v>1.943524837493896</v>
      </c>
      <c r="N77" s="65">
        <v>1.9243335723876951</v>
      </c>
      <c r="O77" s="65">
        <v>1.9068866968154909</v>
      </c>
      <c r="P77" s="65">
        <v>1.889534115791321</v>
      </c>
      <c r="Q77" s="65">
        <v>1.8726315498352051</v>
      </c>
      <c r="R77" s="65">
        <v>1.85462486743927</v>
      </c>
      <c r="S77" s="65">
        <v>1.8364578485488889</v>
      </c>
      <c r="T77" s="65">
        <v>1.818913340568542</v>
      </c>
      <c r="U77" s="65">
        <v>1.8039553165435791</v>
      </c>
      <c r="V77" s="65">
        <v>1.789737462997437</v>
      </c>
      <c r="W77" s="65">
        <v>1.776250839233398</v>
      </c>
      <c r="X77" s="65">
        <v>1.7623627185821531</v>
      </c>
      <c r="Y77" s="65">
        <v>1.7457956075668331</v>
      </c>
      <c r="Z77" s="65">
        <v>1.7274540662765501</v>
      </c>
      <c r="AA77" s="65">
        <v>1.7087579965591431</v>
      </c>
      <c r="AB77" s="65">
        <v>1.689725279808044</v>
      </c>
      <c r="AC77" s="65">
        <v>1.671329021453857</v>
      </c>
      <c r="AD77" s="65">
        <v>-1.129544191571996E-2</v>
      </c>
    </row>
    <row r="78" spans="1:30" s="65" customFormat="1" ht="12" customHeight="1" x14ac:dyDescent="0.2">
      <c r="A78" s="73">
        <v>64</v>
      </c>
      <c r="B78" s="65" t="s">
        <v>103</v>
      </c>
      <c r="C78" s="65" t="s">
        <v>34</v>
      </c>
      <c r="D78" s="65">
        <v>1.337291955947876</v>
      </c>
      <c r="E78" s="65">
        <v>1.394257545471191</v>
      </c>
      <c r="F78" s="65">
        <v>1.3470475673675539</v>
      </c>
      <c r="G78" s="65">
        <v>1.3328989744186399</v>
      </c>
      <c r="H78" s="65">
        <v>1.3311846256256099</v>
      </c>
      <c r="I78" s="65">
        <v>1.3273496627807619</v>
      </c>
      <c r="J78" s="65">
        <v>1.315401554107666</v>
      </c>
      <c r="K78" s="65">
        <v>1.3137161731719971</v>
      </c>
      <c r="L78" s="65">
        <v>1.3181077241897581</v>
      </c>
      <c r="M78" s="65">
        <v>1.318480968475342</v>
      </c>
      <c r="N78" s="65">
        <v>1.322756290435791</v>
      </c>
      <c r="O78" s="65">
        <v>1.3284368515014651</v>
      </c>
      <c r="P78" s="65">
        <v>1.337705135345459</v>
      </c>
      <c r="Q78" s="65">
        <v>1.3488450050353999</v>
      </c>
      <c r="R78" s="65">
        <v>1.358264207839966</v>
      </c>
      <c r="S78" s="65">
        <v>1.3668372631073</v>
      </c>
      <c r="T78" s="65">
        <v>1.37665319442749</v>
      </c>
      <c r="U78" s="65">
        <v>1.390299320220947</v>
      </c>
      <c r="V78" s="65">
        <v>1.4063829183578489</v>
      </c>
      <c r="W78" s="65">
        <v>1.4231634140014651</v>
      </c>
      <c r="X78" s="65">
        <v>1.4409738779067991</v>
      </c>
      <c r="Y78" s="65">
        <v>1.458022832870483</v>
      </c>
      <c r="Z78" s="65">
        <v>1.4747354984283449</v>
      </c>
      <c r="AA78" s="65">
        <v>1.49115002155304</v>
      </c>
      <c r="AB78" s="65">
        <v>1.5061824321746831</v>
      </c>
      <c r="AC78" s="65">
        <v>1.5232410430908201</v>
      </c>
      <c r="AD78" s="65">
        <v>5.2213314581857073E-3</v>
      </c>
    </row>
    <row r="79" spans="1:30" s="65" customFormat="1" ht="12" customHeight="1" x14ac:dyDescent="0.2">
      <c r="A79" s="73">
        <v>65</v>
      </c>
      <c r="B79" s="65" t="s">
        <v>104</v>
      </c>
      <c r="C79" s="65" t="s">
        <v>36</v>
      </c>
      <c r="D79" s="65">
        <v>0.4497983455657959</v>
      </c>
      <c r="E79" s="65">
        <v>0.45253875851631159</v>
      </c>
      <c r="F79" s="65">
        <v>0.44617024064064031</v>
      </c>
      <c r="G79" s="65">
        <v>0.44210776686668402</v>
      </c>
      <c r="H79" s="65">
        <v>0.43806809186935419</v>
      </c>
      <c r="I79" s="65">
        <v>0.43322068452835077</v>
      </c>
      <c r="J79" s="65">
        <v>0.42763799428939819</v>
      </c>
      <c r="K79" s="65">
        <v>0.42484879493713379</v>
      </c>
      <c r="L79" s="65">
        <v>0.42335784435272222</v>
      </c>
      <c r="M79" s="65">
        <v>0.42231422662734991</v>
      </c>
      <c r="N79" s="65">
        <v>0.42185047268867493</v>
      </c>
      <c r="O79" s="65">
        <v>0.42199012637138372</v>
      </c>
      <c r="P79" s="65">
        <v>0.42245045304298401</v>
      </c>
      <c r="Q79" s="65">
        <v>0.42311602830886841</v>
      </c>
      <c r="R79" s="65">
        <v>0.42356973886489868</v>
      </c>
      <c r="S79" s="65">
        <v>0.42393702268600458</v>
      </c>
      <c r="T79" s="65">
        <v>0.42461186647415161</v>
      </c>
      <c r="U79" s="65">
        <v>0.42593783140182501</v>
      </c>
      <c r="V79" s="65">
        <v>0.42759144306182861</v>
      </c>
      <c r="W79" s="65">
        <v>0.42949184775352478</v>
      </c>
      <c r="X79" s="65">
        <v>0.43129429221153259</v>
      </c>
      <c r="Y79" s="65">
        <v>0.4325893223285675</v>
      </c>
      <c r="Z79" s="65">
        <v>0.43350511789321899</v>
      </c>
      <c r="AA79" s="65">
        <v>0.43428093194961548</v>
      </c>
      <c r="AB79" s="65">
        <v>0.43491584062576288</v>
      </c>
      <c r="AC79" s="65">
        <v>0.4357340931892395</v>
      </c>
      <c r="AD79" s="65">
        <v>-1.2698803016296669E-3</v>
      </c>
    </row>
    <row r="80" spans="1:30" s="65" customFormat="1" ht="12" customHeight="1" x14ac:dyDescent="0.2">
      <c r="A80" s="73">
        <v>66</v>
      </c>
      <c r="B80" s="65" t="s">
        <v>105</v>
      </c>
      <c r="C80" s="65" t="s">
        <v>38</v>
      </c>
      <c r="D80" s="65">
        <v>1.8012866973876951</v>
      </c>
      <c r="E80" s="65">
        <v>1.8018361330032351</v>
      </c>
      <c r="F80" s="65">
        <v>1.741319417953491</v>
      </c>
      <c r="G80" s="65">
        <v>1.7247064113616939</v>
      </c>
      <c r="H80" s="65">
        <v>1.7239587306976321</v>
      </c>
      <c r="I80" s="65">
        <v>1.715919494628906</v>
      </c>
      <c r="J80" s="65">
        <v>1.6961908340454099</v>
      </c>
      <c r="K80" s="65">
        <v>1.6892721652984619</v>
      </c>
      <c r="L80" s="65">
        <v>1.690703153610229</v>
      </c>
      <c r="M80" s="65">
        <v>1.686092257499695</v>
      </c>
      <c r="N80" s="65">
        <v>1.68646764755249</v>
      </c>
      <c r="O80" s="65">
        <v>1.6883155107498169</v>
      </c>
      <c r="P80" s="65">
        <v>1.694416284561157</v>
      </c>
      <c r="Q80" s="65">
        <v>1.702867388725281</v>
      </c>
      <c r="R80" s="65">
        <v>1.7092151641845701</v>
      </c>
      <c r="S80" s="65">
        <v>1.713847875595093</v>
      </c>
      <c r="T80" s="65">
        <v>1.719934344291687</v>
      </c>
      <c r="U80" s="65">
        <v>1.729992628097534</v>
      </c>
      <c r="V80" s="65">
        <v>1.7422435283660891</v>
      </c>
      <c r="W80" s="65">
        <v>1.7552294731140139</v>
      </c>
      <c r="X80" s="65">
        <v>1.7685985565185549</v>
      </c>
      <c r="Y80" s="65">
        <v>1.781272768974304</v>
      </c>
      <c r="Z80" s="65">
        <v>1.793245673179626</v>
      </c>
      <c r="AA80" s="65">
        <v>1.8046072721481321</v>
      </c>
      <c r="AB80" s="65">
        <v>1.8136916160583501</v>
      </c>
      <c r="AC80" s="65">
        <v>1.8249003887176509</v>
      </c>
      <c r="AD80" s="65">
        <v>5.2110223088597252E-4</v>
      </c>
    </row>
    <row r="81" spans="1:30" s="65" customFormat="1" ht="12" customHeight="1" x14ac:dyDescent="0.2">
      <c r="A81" s="73">
        <v>67</v>
      </c>
      <c r="B81" s="65" t="s">
        <v>106</v>
      </c>
      <c r="C81" s="65" t="s">
        <v>40</v>
      </c>
      <c r="D81" s="65">
        <v>0.60121703147888184</v>
      </c>
      <c r="E81" s="65">
        <v>0.60547339916229248</v>
      </c>
      <c r="F81" s="65">
        <v>0.59953522682189941</v>
      </c>
      <c r="G81" s="65">
        <v>0.59540432691574097</v>
      </c>
      <c r="H81" s="65">
        <v>0.59081965684890747</v>
      </c>
      <c r="I81" s="65">
        <v>0.58508771657943726</v>
      </c>
      <c r="J81" s="65">
        <v>0.57859951257705688</v>
      </c>
      <c r="K81" s="65">
        <v>0.57577550411224365</v>
      </c>
      <c r="L81" s="65">
        <v>0.57469427585601807</v>
      </c>
      <c r="M81" s="65">
        <v>0.57432574033737183</v>
      </c>
      <c r="N81" s="65">
        <v>0.57460981607437134</v>
      </c>
      <c r="O81" s="65">
        <v>0.57558292150497437</v>
      </c>
      <c r="P81" s="65">
        <v>0.57687759399414063</v>
      </c>
      <c r="Q81" s="65">
        <v>0.57835745811462402</v>
      </c>
      <c r="R81" s="65">
        <v>0.57947665452957153</v>
      </c>
      <c r="S81" s="65">
        <v>0.5804329514503479</v>
      </c>
      <c r="T81" s="65">
        <v>0.58182352781295776</v>
      </c>
      <c r="U81" s="65">
        <v>0.58404862880706787</v>
      </c>
      <c r="V81" s="65">
        <v>0.58664619922637939</v>
      </c>
      <c r="W81" s="65">
        <v>0.58954572677612305</v>
      </c>
      <c r="X81" s="65">
        <v>0.59224170446395874</v>
      </c>
      <c r="Y81" s="65">
        <v>0.5941196084022522</v>
      </c>
      <c r="Z81" s="65">
        <v>0.59540724754333496</v>
      </c>
      <c r="AA81" s="65">
        <v>0.5964360237121582</v>
      </c>
      <c r="AB81" s="65">
        <v>0.59725022315979004</v>
      </c>
      <c r="AC81" s="65">
        <v>0.59825915098190308</v>
      </c>
      <c r="AD81" s="65">
        <v>-1.9725908968082351E-4</v>
      </c>
    </row>
    <row r="82" spans="1:30" s="65" customFormat="1" ht="12" customHeight="1" x14ac:dyDescent="0.2">
      <c r="A82" s="73">
        <v>68</v>
      </c>
      <c r="B82" s="65" t="s">
        <v>107</v>
      </c>
      <c r="C82" s="65" t="s">
        <v>42</v>
      </c>
      <c r="D82" s="65">
        <v>1.316492557525635</v>
      </c>
      <c r="E82" s="65">
        <v>1.2813658714294429</v>
      </c>
      <c r="F82" s="65">
        <v>1.2106902599334719</v>
      </c>
      <c r="G82" s="65">
        <v>1.1774313449859619</v>
      </c>
      <c r="H82" s="65">
        <v>1.1589207649230959</v>
      </c>
      <c r="I82" s="65">
        <v>1.1237224340438841</v>
      </c>
      <c r="J82" s="65">
        <v>1.084491491317749</v>
      </c>
      <c r="K82" s="65">
        <v>1.056092500686646</v>
      </c>
      <c r="L82" s="65">
        <v>1.034270763397217</v>
      </c>
      <c r="M82" s="65">
        <v>1.0095090866088869</v>
      </c>
      <c r="N82" s="65">
        <v>0.98804235458374023</v>
      </c>
      <c r="O82" s="65">
        <v>0.96908682584762573</v>
      </c>
      <c r="P82" s="65">
        <v>0.95450723171234131</v>
      </c>
      <c r="Q82" s="65">
        <v>0.94285237789154053</v>
      </c>
      <c r="R82" s="65">
        <v>0.93144088983535767</v>
      </c>
      <c r="S82" s="65">
        <v>0.91599160432815552</v>
      </c>
      <c r="T82" s="65">
        <v>0.90349471569061279</v>
      </c>
      <c r="U82" s="65">
        <v>0.89463293552398682</v>
      </c>
      <c r="V82" s="65">
        <v>0.88797324895858765</v>
      </c>
      <c r="W82" s="65">
        <v>0.88253134489059448</v>
      </c>
      <c r="X82" s="65">
        <v>0.87800657749176025</v>
      </c>
      <c r="Y82" s="65">
        <v>0.87376952171325684</v>
      </c>
      <c r="Z82" s="65">
        <v>0.86966288089752197</v>
      </c>
      <c r="AA82" s="65">
        <v>0.86543691158294678</v>
      </c>
      <c r="AB82" s="65">
        <v>0.86034750938415527</v>
      </c>
      <c r="AC82" s="65">
        <v>0.856514573097229</v>
      </c>
      <c r="AD82" s="65">
        <v>-1.7047223070022492E-2</v>
      </c>
    </row>
    <row r="83" spans="1:30" s="65" customFormat="1" ht="12" customHeight="1" x14ac:dyDescent="0.2">
      <c r="A83" s="73">
        <v>69</v>
      </c>
      <c r="B83" s="65" t="s">
        <v>108</v>
      </c>
      <c r="C83" s="65" t="s">
        <v>44</v>
      </c>
      <c r="D83" s="65">
        <v>0.85504913330078125</v>
      </c>
      <c r="E83" s="65">
        <v>0.84745460748672485</v>
      </c>
      <c r="F83" s="65">
        <v>0.8099743127822876</v>
      </c>
      <c r="G83" s="65">
        <v>0.7922511100769043</v>
      </c>
      <c r="H83" s="65">
        <v>0.78363925218582153</v>
      </c>
      <c r="I83" s="65">
        <v>0.77398544549942017</v>
      </c>
      <c r="J83" s="65">
        <v>0.75991404056549072</v>
      </c>
      <c r="K83" s="65">
        <v>0.75193488597869873</v>
      </c>
      <c r="L83" s="65">
        <v>0.74775612354278564</v>
      </c>
      <c r="M83" s="65">
        <v>0.74120712280273438</v>
      </c>
      <c r="N83" s="65">
        <v>0.7371070384979248</v>
      </c>
      <c r="O83" s="65">
        <v>0.73354047536849976</v>
      </c>
      <c r="P83" s="65">
        <v>0.73206639289855957</v>
      </c>
      <c r="Q83" s="65">
        <v>0.73150479793548584</v>
      </c>
      <c r="R83" s="65">
        <v>0.73003458976745605</v>
      </c>
      <c r="S83" s="65">
        <v>0.72770428657531738</v>
      </c>
      <c r="T83" s="65">
        <v>0.72609329223632813</v>
      </c>
      <c r="U83" s="65">
        <v>0.72596848011016846</v>
      </c>
      <c r="V83" s="65">
        <v>0.72645711898803711</v>
      </c>
      <c r="W83" s="65">
        <v>0.72704702615737915</v>
      </c>
      <c r="X83" s="65">
        <v>0.72765076160430908</v>
      </c>
      <c r="Y83" s="65">
        <v>0.7280762791633606</v>
      </c>
      <c r="Z83" s="65">
        <v>0.72845757007598877</v>
      </c>
      <c r="AA83" s="65">
        <v>0.7285914421081543</v>
      </c>
      <c r="AB83" s="65">
        <v>0.72753334045410156</v>
      </c>
      <c r="AC83" s="65">
        <v>0.7273259162902832</v>
      </c>
      <c r="AD83" s="65">
        <v>-6.4504759019193836E-3</v>
      </c>
    </row>
    <row r="84" spans="1:30" s="65" customFormat="1" ht="12" customHeight="1" x14ac:dyDescent="0.2">
      <c r="A84" s="73">
        <v>70</v>
      </c>
      <c r="B84" s="65" t="s">
        <v>109</v>
      </c>
      <c r="C84" s="65" t="s">
        <v>46</v>
      </c>
      <c r="D84" s="65">
        <v>0.83396661281585693</v>
      </c>
      <c r="E84" s="65">
        <v>0.93486154079437256</v>
      </c>
      <c r="F84" s="65">
        <v>1.0019633769989009</v>
      </c>
      <c r="G84" s="65">
        <v>1.087701559066772</v>
      </c>
      <c r="H84" s="65">
        <v>1.184958934783936</v>
      </c>
      <c r="I84" s="65">
        <v>1.283711194992065</v>
      </c>
      <c r="J84" s="65">
        <v>1.371590852737427</v>
      </c>
      <c r="K84" s="65">
        <v>1.468220710754395</v>
      </c>
      <c r="L84" s="65">
        <v>1.570929288864136</v>
      </c>
      <c r="M84" s="65">
        <v>1.667251825332642</v>
      </c>
      <c r="N84" s="65">
        <v>1.7672625780105591</v>
      </c>
      <c r="O84" s="65">
        <v>1.86620020866394</v>
      </c>
      <c r="P84" s="65">
        <v>1.968713641166687</v>
      </c>
      <c r="Q84" s="65">
        <v>2.0715351104736328</v>
      </c>
      <c r="R84" s="65">
        <v>2.1689481735229492</v>
      </c>
      <c r="S84" s="65">
        <v>2.259773731231689</v>
      </c>
      <c r="T84" s="65">
        <v>2.3467040061950679</v>
      </c>
      <c r="U84" s="65">
        <v>2.432921409606934</v>
      </c>
      <c r="V84" s="65">
        <v>2.5155811309814449</v>
      </c>
      <c r="W84" s="65">
        <v>2.591766357421875</v>
      </c>
      <c r="X84" s="65">
        <v>2.661402702331543</v>
      </c>
      <c r="Y84" s="65">
        <v>2.7226805686950679</v>
      </c>
      <c r="Z84" s="65">
        <v>2.7759325504302979</v>
      </c>
      <c r="AA84" s="65">
        <v>2.8192358016967769</v>
      </c>
      <c r="AB84" s="65">
        <v>2.8479306697845459</v>
      </c>
      <c r="AC84" s="65">
        <v>2.8760499954223628</v>
      </c>
      <c r="AD84" s="65">
        <v>5.0765755518207278E-2</v>
      </c>
    </row>
    <row r="85" spans="1:30" s="65" customFormat="1" ht="12" customHeight="1" x14ac:dyDescent="0.2">
      <c r="A85" s="73">
        <v>71</v>
      </c>
      <c r="B85" s="65" t="s">
        <v>110</v>
      </c>
      <c r="C85" s="65" t="s">
        <v>48</v>
      </c>
      <c r="D85" s="65">
        <v>0.50583040714263916</v>
      </c>
      <c r="E85" s="65">
        <v>0.49034678936004639</v>
      </c>
      <c r="F85" s="65">
        <v>0.45815384387969971</v>
      </c>
      <c r="G85" s="65">
        <v>0.437538743019104</v>
      </c>
      <c r="H85" s="65">
        <v>0.42269212007522577</v>
      </c>
      <c r="I85" s="65">
        <v>0.40934976935386658</v>
      </c>
      <c r="J85" s="65">
        <v>0.39391446113586431</v>
      </c>
      <c r="K85" s="65">
        <v>0.38144141435623169</v>
      </c>
      <c r="L85" s="65">
        <v>0.37238830327987671</v>
      </c>
      <c r="M85" s="65">
        <v>0.36299681663513178</v>
      </c>
      <c r="N85" s="65">
        <v>0.35490265488624573</v>
      </c>
      <c r="O85" s="65">
        <v>0.3481096625328064</v>
      </c>
      <c r="P85" s="65">
        <v>0.34259879589080811</v>
      </c>
      <c r="Q85" s="65">
        <v>0.33782732486724848</v>
      </c>
      <c r="R85" s="65">
        <v>0.33402177691459661</v>
      </c>
      <c r="S85" s="65">
        <v>0.32934880256652832</v>
      </c>
      <c r="T85" s="65">
        <v>0.32421356439590449</v>
      </c>
      <c r="U85" s="65">
        <v>0.32134771347045898</v>
      </c>
      <c r="V85" s="65">
        <v>0.3172488808631897</v>
      </c>
      <c r="W85" s="65">
        <v>0.31383344531059271</v>
      </c>
      <c r="X85" s="65">
        <v>0.3100292980670929</v>
      </c>
      <c r="Y85" s="65">
        <v>0.3069455623626709</v>
      </c>
      <c r="Z85" s="65">
        <v>0.30237311124801641</v>
      </c>
      <c r="AA85" s="65">
        <v>0.29731231927871699</v>
      </c>
      <c r="AB85" s="65">
        <v>0.29134726524353027</v>
      </c>
      <c r="AC85" s="65">
        <v>0.28533118963241583</v>
      </c>
      <c r="AD85" s="65">
        <v>-2.264177401330647E-2</v>
      </c>
    </row>
    <row r="86" spans="1:30" s="65" customFormat="1" ht="12" customHeight="1" x14ac:dyDescent="0.2">
      <c r="A86" s="73">
        <v>72</v>
      </c>
      <c r="B86" s="65" t="s">
        <v>111</v>
      </c>
      <c r="C86" s="65" t="s">
        <v>90</v>
      </c>
      <c r="D86" s="65">
        <v>6.840733528137207</v>
      </c>
      <c r="E86" s="65">
        <v>7.1826648712158203</v>
      </c>
      <c r="F86" s="65">
        <v>6.9943914413452148</v>
      </c>
      <c r="G86" s="65">
        <v>6.8863177299499512</v>
      </c>
      <c r="H86" s="65">
        <v>6.827085018157959</v>
      </c>
      <c r="I86" s="65">
        <v>6.7769260406494141</v>
      </c>
      <c r="J86" s="65">
        <v>6.6949758529663086</v>
      </c>
      <c r="K86" s="65">
        <v>6.6514077186584473</v>
      </c>
      <c r="L86" s="65">
        <v>6.6287422180175781</v>
      </c>
      <c r="M86" s="65">
        <v>6.5949182510375977</v>
      </c>
      <c r="N86" s="65">
        <v>6.5750336647033691</v>
      </c>
      <c r="O86" s="65">
        <v>6.560917854309082</v>
      </c>
      <c r="P86" s="65">
        <v>6.5592994689941406</v>
      </c>
      <c r="Q86" s="65">
        <v>6.5639619827270508</v>
      </c>
      <c r="R86" s="65">
        <v>6.564361572265625</v>
      </c>
      <c r="S86" s="65">
        <v>6.5609884262084961</v>
      </c>
      <c r="T86" s="65">
        <v>6.5584821701049796</v>
      </c>
      <c r="U86" s="65">
        <v>6.5671572685241699</v>
      </c>
      <c r="V86" s="65">
        <v>6.5805778503417969</v>
      </c>
      <c r="W86" s="65">
        <v>6.5957632064819336</v>
      </c>
      <c r="X86" s="65">
        <v>6.6125078201293954</v>
      </c>
      <c r="Y86" s="65">
        <v>6.6278986930847168</v>
      </c>
      <c r="Z86" s="65">
        <v>6.6440610885620117</v>
      </c>
      <c r="AA86" s="65">
        <v>6.6604342460632324</v>
      </c>
      <c r="AB86" s="65">
        <v>6.6707062721252441</v>
      </c>
      <c r="AC86" s="65">
        <v>6.6886377334594727</v>
      </c>
      <c r="AD86" s="65">
        <v>-8.9898529919685277E-4</v>
      </c>
    </row>
    <row r="87" spans="1:30" s="67" customFormat="1" ht="12" customHeight="1" x14ac:dyDescent="0.2">
      <c r="A87" s="73">
        <v>73</v>
      </c>
      <c r="B87" s="67" t="s">
        <v>112</v>
      </c>
      <c r="C87" s="67" t="s">
        <v>113</v>
      </c>
      <c r="D87" s="67">
        <v>16.761899948120121</v>
      </c>
      <c r="E87" s="67">
        <v>17.17182540893555</v>
      </c>
      <c r="F87" s="67">
        <v>16.76215934753418</v>
      </c>
      <c r="G87" s="67">
        <v>16.600727081298832</v>
      </c>
      <c r="H87" s="67">
        <v>16.550605773925781</v>
      </c>
      <c r="I87" s="67">
        <v>16.480718612670898</v>
      </c>
      <c r="J87" s="67">
        <v>16.335453033447269</v>
      </c>
      <c r="K87" s="67">
        <v>16.297904968261719</v>
      </c>
      <c r="L87" s="67">
        <v>16.324348449707031</v>
      </c>
      <c r="M87" s="67">
        <v>16.320621490478519</v>
      </c>
      <c r="N87" s="67">
        <v>16.352365493774411</v>
      </c>
      <c r="O87" s="67">
        <v>16.399066925048832</v>
      </c>
      <c r="P87" s="67">
        <v>16.478168487548832</v>
      </c>
      <c r="Q87" s="67">
        <v>16.57349967956543</v>
      </c>
      <c r="R87" s="67">
        <v>16.653957366943359</v>
      </c>
      <c r="S87" s="67">
        <v>16.7153205871582</v>
      </c>
      <c r="T87" s="67">
        <v>16.780923843383789</v>
      </c>
      <c r="U87" s="67">
        <v>16.876262664794918</v>
      </c>
      <c r="V87" s="67">
        <v>16.980440139770511</v>
      </c>
      <c r="W87" s="67">
        <v>17.084621429443359</v>
      </c>
      <c r="X87" s="67">
        <v>17.185068130493161</v>
      </c>
      <c r="Y87" s="67">
        <v>17.271171569824219</v>
      </c>
      <c r="Z87" s="67">
        <v>17.344833374023441</v>
      </c>
      <c r="AA87" s="67">
        <v>17.406242370605469</v>
      </c>
      <c r="AB87" s="67">
        <v>17.439630508422852</v>
      </c>
      <c r="AC87" s="67">
        <v>17.487321853637699</v>
      </c>
      <c r="AD87" s="67">
        <v>1.6961449166039699E-3</v>
      </c>
    </row>
    <row r="88" spans="1:30" s="65" customFormat="1" ht="12" customHeight="1" x14ac:dyDescent="0.2">
      <c r="A88" s="73">
        <v>74</v>
      </c>
      <c r="B88" s="65" t="s">
        <v>114</v>
      </c>
      <c r="C88" s="65" t="s">
        <v>94</v>
      </c>
      <c r="D88" s="65">
        <v>7.5080201029777527E-2</v>
      </c>
      <c r="E88" s="65">
        <v>9.7619488835334778E-2</v>
      </c>
      <c r="F88" s="65">
        <v>0.11983262002468111</v>
      </c>
      <c r="G88" s="65">
        <v>0.14593172073364261</v>
      </c>
      <c r="H88" s="65">
        <v>0.173193484544754</v>
      </c>
      <c r="I88" s="65">
        <v>0.19940897822380069</v>
      </c>
      <c r="J88" s="65">
        <v>0.22114971280097959</v>
      </c>
      <c r="K88" s="65">
        <v>0.2424083948135376</v>
      </c>
      <c r="L88" s="65">
        <v>0.26448199152946472</v>
      </c>
      <c r="M88" s="65">
        <v>0.28556531667709351</v>
      </c>
      <c r="N88" s="65">
        <v>0.30770117044448853</v>
      </c>
      <c r="O88" s="65">
        <v>0.32978767156600952</v>
      </c>
      <c r="P88" s="65">
        <v>0.35306635499000549</v>
      </c>
      <c r="Q88" s="65">
        <v>0.37676513195037842</v>
      </c>
      <c r="R88" s="65">
        <v>0.39970400929450989</v>
      </c>
      <c r="S88" s="65">
        <v>0.42260909080505371</v>
      </c>
      <c r="T88" s="65">
        <v>0.44601410627365112</v>
      </c>
      <c r="U88" s="65">
        <v>0.47185853123664862</v>
      </c>
      <c r="V88" s="65">
        <v>0.49950778484344482</v>
      </c>
      <c r="W88" s="65">
        <v>0.52955609560012817</v>
      </c>
      <c r="X88" s="65">
        <v>0.56185066699981689</v>
      </c>
      <c r="Y88" s="65">
        <v>0.59497666358947754</v>
      </c>
      <c r="Z88" s="65">
        <v>0.62894797325134277</v>
      </c>
      <c r="AA88" s="65">
        <v>0.66345506906509399</v>
      </c>
      <c r="AB88" s="65">
        <v>0.69707900285720825</v>
      </c>
      <c r="AC88" s="65">
        <v>0.73172849416732788</v>
      </c>
      <c r="AD88" s="65">
        <v>9.5350174108518759E-2</v>
      </c>
    </row>
    <row r="89" spans="1:30" s="65" customFormat="1" ht="12" customHeight="1" x14ac:dyDescent="0.2">
      <c r="A89" s="73">
        <v>75</v>
      </c>
      <c r="B89" s="65" t="s">
        <v>115</v>
      </c>
      <c r="C89" s="65" t="s">
        <v>96</v>
      </c>
      <c r="D89" s="65">
        <v>0.15950858592987061</v>
      </c>
      <c r="E89" s="65">
        <v>0.1786766201257706</v>
      </c>
      <c r="F89" s="65">
        <v>0.1948061287403107</v>
      </c>
      <c r="G89" s="65">
        <v>0.20256760716438291</v>
      </c>
      <c r="H89" s="65">
        <v>0.20727863907814029</v>
      </c>
      <c r="I89" s="65">
        <v>0.21264529228210449</v>
      </c>
      <c r="J89" s="65">
        <v>0.2167929410934448</v>
      </c>
      <c r="K89" s="65">
        <v>0.22007113695144651</v>
      </c>
      <c r="L89" s="65">
        <v>0.22375722229480741</v>
      </c>
      <c r="M89" s="65">
        <v>0.22935956716537481</v>
      </c>
      <c r="N89" s="65">
        <v>0.23388862609863281</v>
      </c>
      <c r="O89" s="65">
        <v>0.23771291971206671</v>
      </c>
      <c r="P89" s="65">
        <v>0.24440619349479681</v>
      </c>
      <c r="Q89" s="65">
        <v>0.25092688202857971</v>
      </c>
      <c r="R89" s="65">
        <v>0.25883272290229797</v>
      </c>
      <c r="S89" s="65">
        <v>0.26564681529998779</v>
      </c>
      <c r="T89" s="65">
        <v>0.26932963728904719</v>
      </c>
      <c r="U89" s="65">
        <v>0.27484393119812012</v>
      </c>
      <c r="V89" s="65">
        <v>0.27782019972801208</v>
      </c>
      <c r="W89" s="65">
        <v>0.28117102384567261</v>
      </c>
      <c r="X89" s="65">
        <v>0.28390690684318542</v>
      </c>
      <c r="Y89" s="65">
        <v>0.28815773129463201</v>
      </c>
      <c r="Z89" s="65">
        <v>0.29341936111450201</v>
      </c>
      <c r="AA89" s="65">
        <v>0.29877597093582148</v>
      </c>
      <c r="AB89" s="65">
        <v>0.30282855033874512</v>
      </c>
      <c r="AC89" s="65">
        <v>0.30805617570877081</v>
      </c>
      <c r="AD89" s="65">
        <v>2.667700303508402E-2</v>
      </c>
    </row>
    <row r="90" spans="1:30" s="67" customFormat="1" ht="12" customHeight="1" x14ac:dyDescent="0.2">
      <c r="A90" s="73">
        <v>76</v>
      </c>
      <c r="B90" s="67" t="s">
        <v>116</v>
      </c>
      <c r="C90" s="67" t="s">
        <v>117</v>
      </c>
      <c r="D90" s="67">
        <v>16.677473068237301</v>
      </c>
      <c r="E90" s="67">
        <v>17.090768814086911</v>
      </c>
      <c r="F90" s="67">
        <v>16.687185287475589</v>
      </c>
      <c r="G90" s="67">
        <v>16.54409027099609</v>
      </c>
      <c r="H90" s="67">
        <v>16.516519546508789</v>
      </c>
      <c r="I90" s="67">
        <v>16.467483520507809</v>
      </c>
      <c r="J90" s="67">
        <v>16.339809417724609</v>
      </c>
      <c r="K90" s="67">
        <v>16.320241928100589</v>
      </c>
      <c r="L90" s="67">
        <v>16.36507415771484</v>
      </c>
      <c r="M90" s="67">
        <v>16.376827239990231</v>
      </c>
      <c r="N90" s="67">
        <v>16.426177978515621</v>
      </c>
      <c r="O90" s="67">
        <v>16.491142272949219</v>
      </c>
      <c r="P90" s="67">
        <v>16.58682823181152</v>
      </c>
      <c r="Q90" s="67">
        <v>16.699337005615231</v>
      </c>
      <c r="R90" s="67">
        <v>16.794828414916989</v>
      </c>
      <c r="S90" s="67">
        <v>16.872283935546879</v>
      </c>
      <c r="T90" s="67">
        <v>16.957609176635739</v>
      </c>
      <c r="U90" s="67">
        <v>17.07327842712402</v>
      </c>
      <c r="V90" s="67">
        <v>17.202127456665039</v>
      </c>
      <c r="W90" s="67">
        <v>17.333005905151371</v>
      </c>
      <c r="X90" s="67">
        <v>17.4630126953125</v>
      </c>
      <c r="Y90" s="67">
        <v>17.57798957824707</v>
      </c>
      <c r="Z90" s="67">
        <v>17.680362701416019</v>
      </c>
      <c r="AA90" s="67">
        <v>17.77092170715332</v>
      </c>
      <c r="AB90" s="67">
        <v>17.833881378173832</v>
      </c>
      <c r="AC90" s="67">
        <v>17.910993576049801</v>
      </c>
      <c r="AD90" s="67">
        <v>2.858309191881236E-3</v>
      </c>
    </row>
    <row r="91" spans="1:30" s="65" customFormat="1" ht="12" customHeight="1" x14ac:dyDescent="0.2">
      <c r="A91" s="73">
        <v>77</v>
      </c>
    </row>
    <row r="92" spans="1:30" s="67" customFormat="1" ht="12" customHeight="1" x14ac:dyDescent="0.2">
      <c r="A92" s="73">
        <v>78</v>
      </c>
      <c r="C92" s="67" t="s">
        <v>118</v>
      </c>
    </row>
    <row r="93" spans="1:30" s="65" customFormat="1" ht="12" customHeight="1" x14ac:dyDescent="0.2">
      <c r="A93" s="73">
        <v>79</v>
      </c>
      <c r="B93" s="65" t="s">
        <v>119</v>
      </c>
      <c r="C93" s="65" t="s">
        <v>120</v>
      </c>
      <c r="D93" s="65">
        <v>6.5495342016220093E-2</v>
      </c>
      <c r="E93" s="65">
        <v>6.3335344195365906E-2</v>
      </c>
      <c r="F93" s="65">
        <v>6.3611052930355072E-2</v>
      </c>
      <c r="G93" s="65">
        <v>6.2601976096630096E-2</v>
      </c>
      <c r="H93" s="65">
        <v>6.1895396560430527E-2</v>
      </c>
      <c r="I93" s="65">
        <v>6.1555970460176468E-2</v>
      </c>
      <c r="J93" s="65">
        <v>6.1000552028417587E-2</v>
      </c>
      <c r="K93" s="65">
        <v>5.9719327837228782E-2</v>
      </c>
      <c r="L93" s="65">
        <v>5.9399869292974472E-2</v>
      </c>
      <c r="M93" s="65">
        <v>5.9208467602729797E-2</v>
      </c>
      <c r="N93" s="65">
        <v>5.8635268360376358E-2</v>
      </c>
      <c r="O93" s="65">
        <v>5.8118700981140137E-2</v>
      </c>
      <c r="P93" s="65">
        <v>5.7820618152618408E-2</v>
      </c>
      <c r="Q93" s="65">
        <v>5.7596802711486823E-2</v>
      </c>
      <c r="R93" s="65">
        <v>5.7361405342817313E-2</v>
      </c>
      <c r="S93" s="65">
        <v>5.7212363928556442E-2</v>
      </c>
      <c r="T93" s="65">
        <v>5.6903231889009483E-2</v>
      </c>
      <c r="U93" s="65">
        <v>5.6644070893526077E-2</v>
      </c>
      <c r="V93" s="65">
        <v>5.6243952363729477E-2</v>
      </c>
      <c r="W93" s="65">
        <v>5.5781196802854538E-2</v>
      </c>
      <c r="X93" s="65">
        <v>5.5393330752849579E-2</v>
      </c>
      <c r="Y93" s="65">
        <v>5.4973375052213669E-2</v>
      </c>
      <c r="Z93" s="65">
        <v>5.4612774401903152E-2</v>
      </c>
      <c r="AA93" s="65">
        <v>5.4244145750999451E-2</v>
      </c>
      <c r="AB93" s="65">
        <v>5.3924702107906342E-2</v>
      </c>
      <c r="AC93" s="65">
        <v>5.3518615663051612E-2</v>
      </c>
      <c r="AD93" s="65">
        <v>-8.0454398495303225E-3</v>
      </c>
    </row>
    <row r="94" spans="1:30" s="65" customFormat="1" ht="12" customHeight="1" x14ac:dyDescent="0.2">
      <c r="A94" s="73">
        <v>80</v>
      </c>
      <c r="B94" s="65" t="s">
        <v>121</v>
      </c>
      <c r="C94" s="65" t="s">
        <v>122</v>
      </c>
      <c r="D94" s="65">
        <v>0.15757319331169131</v>
      </c>
      <c r="E94" s="65">
        <v>0.17653824388980871</v>
      </c>
      <c r="F94" s="65">
        <v>0.1926458477973938</v>
      </c>
      <c r="G94" s="65">
        <v>0.2003890722990036</v>
      </c>
      <c r="H94" s="65">
        <v>0.2050669938325882</v>
      </c>
      <c r="I94" s="65">
        <v>0.21039468050003049</v>
      </c>
      <c r="J94" s="65">
        <v>0.21450857818126681</v>
      </c>
      <c r="K94" s="65">
        <v>0.21774961054325101</v>
      </c>
      <c r="L94" s="65">
        <v>0.22139823436737061</v>
      </c>
      <c r="M94" s="65">
        <v>0.2269328981637955</v>
      </c>
      <c r="N94" s="65">
        <v>0.2314201295375824</v>
      </c>
      <c r="O94" s="65">
        <v>0.2351967841386795</v>
      </c>
      <c r="P94" s="65">
        <v>0.24181878566741941</v>
      </c>
      <c r="Q94" s="65">
        <v>0.24828812479972839</v>
      </c>
      <c r="R94" s="65">
        <v>0.25614160299301147</v>
      </c>
      <c r="S94" s="65">
        <v>0.26291728019714361</v>
      </c>
      <c r="T94" s="65">
        <v>0.26657092571258539</v>
      </c>
      <c r="U94" s="65">
        <v>0.27200782299041748</v>
      </c>
      <c r="V94" s="65">
        <v>0.27494531869888311</v>
      </c>
      <c r="W94" s="65">
        <v>0.27825099229812622</v>
      </c>
      <c r="X94" s="65">
        <v>0.28095689415931702</v>
      </c>
      <c r="Y94" s="65">
        <v>0.28517109155654907</v>
      </c>
      <c r="Z94" s="65">
        <v>0.29038175940513611</v>
      </c>
      <c r="AA94" s="65">
        <v>0.29569143056869512</v>
      </c>
      <c r="AB94" s="65">
        <v>0.29971441626548773</v>
      </c>
      <c r="AC94" s="65">
        <v>0.30489730834960938</v>
      </c>
      <c r="AD94" s="65">
        <v>2.675505613431484E-2</v>
      </c>
    </row>
    <row r="95" spans="1:30" s="65" customFormat="1" ht="12" customHeight="1" x14ac:dyDescent="0.2">
      <c r="A95" s="73">
        <v>81</v>
      </c>
      <c r="B95" s="65" t="s">
        <v>123</v>
      </c>
      <c r="C95" s="65" t="s">
        <v>124</v>
      </c>
      <c r="D95" s="65">
        <v>2.5242581032216549E-3</v>
      </c>
      <c r="E95" s="65">
        <v>2.5274485815316439E-3</v>
      </c>
      <c r="F95" s="65">
        <v>2.5326085742563009E-3</v>
      </c>
      <c r="G95" s="65">
        <v>2.533233724534512E-3</v>
      </c>
      <c r="H95" s="65">
        <v>2.535882405936718E-3</v>
      </c>
      <c r="I95" s="65">
        <v>2.540368121117353E-3</v>
      </c>
      <c r="J95" s="65">
        <v>2.5422528851777319E-3</v>
      </c>
      <c r="K95" s="65">
        <v>2.5453937705606222E-3</v>
      </c>
      <c r="L95" s="65">
        <v>2.5490603875368829E-3</v>
      </c>
      <c r="M95" s="65">
        <v>2.551554469391704E-3</v>
      </c>
      <c r="N95" s="65">
        <v>2.5528869591653351E-3</v>
      </c>
      <c r="O95" s="65">
        <v>2.5536359753459692E-3</v>
      </c>
      <c r="P95" s="65">
        <v>2.5551239959895611E-3</v>
      </c>
      <c r="Q95" s="65">
        <v>2.556521445512772E-3</v>
      </c>
      <c r="R95" s="65">
        <v>2.5584092363715172E-3</v>
      </c>
      <c r="S95" s="65">
        <v>2.5603929534554482E-3</v>
      </c>
      <c r="T95" s="65">
        <v>2.5611117016524081E-3</v>
      </c>
      <c r="U95" s="65">
        <v>2.5649594608694311E-3</v>
      </c>
      <c r="V95" s="65">
        <v>2.566458890214562E-3</v>
      </c>
      <c r="W95" s="65">
        <v>2.567789051681757E-3</v>
      </c>
      <c r="X95" s="65">
        <v>2.5683694984763861E-3</v>
      </c>
      <c r="Y95" s="65">
        <v>2.5692624039947991E-3</v>
      </c>
      <c r="Z95" s="65">
        <v>2.5717106182128191E-3</v>
      </c>
      <c r="AA95" s="65">
        <v>2.5733232032507658E-3</v>
      </c>
      <c r="AB95" s="65">
        <v>2.5739751290529971E-3</v>
      </c>
      <c r="AC95" s="65">
        <v>2.5747127365320921E-3</v>
      </c>
      <c r="AD95" s="65">
        <v>7.9194423104467226E-4</v>
      </c>
    </row>
    <row r="96" spans="1:30" s="67" customFormat="1" ht="12" customHeight="1" x14ac:dyDescent="0.2">
      <c r="A96" s="73">
        <v>82</v>
      </c>
      <c r="B96" s="67" t="s">
        <v>125</v>
      </c>
      <c r="C96" s="67" t="s">
        <v>126</v>
      </c>
      <c r="D96" s="67">
        <v>0.2255927920341492</v>
      </c>
      <c r="E96" s="67">
        <v>0.24240103363990781</v>
      </c>
      <c r="F96" s="67">
        <v>0.25878950953483582</v>
      </c>
      <c r="G96" s="67">
        <v>0.26552426815032959</v>
      </c>
      <c r="H96" s="67">
        <v>0.26949825882911682</v>
      </c>
      <c r="I96" s="67">
        <v>0.27449104189872742</v>
      </c>
      <c r="J96" s="67">
        <v>0.27805137634277338</v>
      </c>
      <c r="K96" s="67">
        <v>0.28001433610916138</v>
      </c>
      <c r="L96" s="67">
        <v>0.28334715962409968</v>
      </c>
      <c r="M96" s="67">
        <v>0.28869292140007019</v>
      </c>
      <c r="N96" s="67">
        <v>0.29260829091072083</v>
      </c>
      <c r="O96" s="67">
        <v>0.29586911201477051</v>
      </c>
      <c r="P96" s="67">
        <v>0.30219453573226929</v>
      </c>
      <c r="Q96" s="67">
        <v>0.30844146013259888</v>
      </c>
      <c r="R96" s="67">
        <v>0.31606140732765198</v>
      </c>
      <c r="S96" s="67">
        <v>0.32269003987312322</v>
      </c>
      <c r="T96" s="67">
        <v>0.32603529095649719</v>
      </c>
      <c r="U96" s="67">
        <v>0.33121687173843378</v>
      </c>
      <c r="V96" s="67">
        <v>0.3337557315826416</v>
      </c>
      <c r="W96" s="67">
        <v>0.33659997582435608</v>
      </c>
      <c r="X96" s="67">
        <v>0.33891859650611877</v>
      </c>
      <c r="Y96" s="67">
        <v>0.34271371364593511</v>
      </c>
      <c r="Z96" s="67">
        <v>0.34756624698638922</v>
      </c>
      <c r="AA96" s="67">
        <v>0.35250890254974371</v>
      </c>
      <c r="AB96" s="67">
        <v>0.35621309280395508</v>
      </c>
      <c r="AC96" s="67">
        <v>0.36099064350128168</v>
      </c>
      <c r="AD96" s="67">
        <v>1.8982742965093061E-2</v>
      </c>
    </row>
    <row r="97" spans="1:30" s="65" customFormat="1" ht="12" customHeight="1" x14ac:dyDescent="0.2">
      <c r="A97" s="73">
        <v>83</v>
      </c>
    </row>
    <row r="98" spans="1:30" s="67" customFormat="1" ht="12" customHeight="1" x14ac:dyDescent="0.2">
      <c r="A98" s="73">
        <v>84</v>
      </c>
      <c r="C98" s="67" t="s">
        <v>127</v>
      </c>
    </row>
    <row r="99" spans="1:30" s="63" customFormat="1" ht="12" customHeight="1" x14ac:dyDescent="0.2">
      <c r="A99" s="73">
        <v>85</v>
      </c>
      <c r="B99" s="63" t="s">
        <v>128</v>
      </c>
      <c r="C99" s="63" t="s">
        <v>129</v>
      </c>
      <c r="D99" s="63">
        <v>6045</v>
      </c>
      <c r="E99" s="63">
        <v>5873</v>
      </c>
      <c r="F99" s="63">
        <v>5850</v>
      </c>
      <c r="G99" s="63">
        <v>5826</v>
      </c>
      <c r="H99" s="63">
        <v>5803</v>
      </c>
      <c r="I99" s="63">
        <v>5779</v>
      </c>
      <c r="J99" s="63">
        <v>5755</v>
      </c>
      <c r="K99" s="63">
        <v>5732</v>
      </c>
      <c r="L99" s="63">
        <v>5708</v>
      </c>
      <c r="M99" s="63">
        <v>5684</v>
      </c>
      <c r="N99" s="63">
        <v>5661</v>
      </c>
      <c r="O99" s="63">
        <v>5637</v>
      </c>
      <c r="P99" s="63">
        <v>5613</v>
      </c>
      <c r="Q99" s="63">
        <v>5589</v>
      </c>
      <c r="R99" s="63">
        <v>5566</v>
      </c>
      <c r="S99" s="63">
        <v>5542</v>
      </c>
      <c r="T99" s="63">
        <v>5518</v>
      </c>
      <c r="U99" s="63">
        <v>5495</v>
      </c>
      <c r="V99" s="63">
        <v>5471</v>
      </c>
      <c r="W99" s="63">
        <v>5447</v>
      </c>
      <c r="X99" s="63">
        <v>5423</v>
      </c>
      <c r="Y99" s="63">
        <v>5400</v>
      </c>
      <c r="Z99" s="63">
        <v>5376</v>
      </c>
      <c r="AA99" s="63">
        <v>5352</v>
      </c>
      <c r="AB99" s="63">
        <v>5328</v>
      </c>
      <c r="AC99" s="63">
        <v>5305</v>
      </c>
      <c r="AD99" s="63">
        <v>-5.2096509329098151E-3</v>
      </c>
    </row>
    <row r="100" spans="1:30" s="63" customFormat="1" ht="12" customHeight="1" x14ac:dyDescent="0.2">
      <c r="A100" s="73">
        <v>86</v>
      </c>
      <c r="B100" s="63" t="s">
        <v>130</v>
      </c>
      <c r="C100" s="63" t="s">
        <v>131</v>
      </c>
      <c r="D100" s="63">
        <v>5404</v>
      </c>
      <c r="E100" s="63">
        <v>5271</v>
      </c>
      <c r="F100" s="63">
        <v>5249</v>
      </c>
      <c r="G100" s="63">
        <v>5228</v>
      </c>
      <c r="H100" s="63">
        <v>5207</v>
      </c>
      <c r="I100" s="63">
        <v>5185</v>
      </c>
      <c r="J100" s="63">
        <v>5164</v>
      </c>
      <c r="K100" s="63">
        <v>5142</v>
      </c>
      <c r="L100" s="63">
        <v>5121</v>
      </c>
      <c r="M100" s="63">
        <v>5100</v>
      </c>
      <c r="N100" s="63">
        <v>5078</v>
      </c>
      <c r="O100" s="63">
        <v>5057</v>
      </c>
      <c r="P100" s="63">
        <v>5035</v>
      </c>
      <c r="Q100" s="63">
        <v>5014</v>
      </c>
      <c r="R100" s="63">
        <v>4993</v>
      </c>
      <c r="S100" s="63">
        <v>4971</v>
      </c>
      <c r="T100" s="63">
        <v>4950</v>
      </c>
      <c r="U100" s="63">
        <v>4929</v>
      </c>
      <c r="V100" s="63">
        <v>4907</v>
      </c>
      <c r="W100" s="63">
        <v>4886</v>
      </c>
      <c r="X100" s="63">
        <v>4865</v>
      </c>
      <c r="Y100" s="63">
        <v>4843</v>
      </c>
      <c r="Z100" s="63">
        <v>4822</v>
      </c>
      <c r="AA100" s="63">
        <v>4801</v>
      </c>
      <c r="AB100" s="63">
        <v>4780</v>
      </c>
      <c r="AC100" s="63">
        <v>4758</v>
      </c>
      <c r="AD100" s="63">
        <v>-5.0795356335953112E-3</v>
      </c>
    </row>
    <row r="101" spans="1:30" s="63" customFormat="1" ht="12" customHeight="1" x14ac:dyDescent="0.2">
      <c r="A101" s="73">
        <v>87</v>
      </c>
      <c r="B101" s="63" t="s">
        <v>132</v>
      </c>
      <c r="C101" s="63" t="s">
        <v>133</v>
      </c>
      <c r="D101" s="63">
        <v>5984</v>
      </c>
      <c r="E101" s="63">
        <v>5836</v>
      </c>
      <c r="F101" s="63">
        <v>5817</v>
      </c>
      <c r="G101" s="63">
        <v>5798</v>
      </c>
      <c r="H101" s="63">
        <v>5779</v>
      </c>
      <c r="I101" s="63">
        <v>5760</v>
      </c>
      <c r="J101" s="63">
        <v>5741</v>
      </c>
      <c r="K101" s="63">
        <v>5722</v>
      </c>
      <c r="L101" s="63">
        <v>5703</v>
      </c>
      <c r="M101" s="63">
        <v>5683</v>
      </c>
      <c r="N101" s="63">
        <v>5664</v>
      </c>
      <c r="O101" s="63">
        <v>5645</v>
      </c>
      <c r="P101" s="63">
        <v>5626</v>
      </c>
      <c r="Q101" s="63">
        <v>5607</v>
      </c>
      <c r="R101" s="63">
        <v>5588</v>
      </c>
      <c r="S101" s="63">
        <v>5569</v>
      </c>
      <c r="T101" s="63">
        <v>5549</v>
      </c>
      <c r="U101" s="63">
        <v>5530</v>
      </c>
      <c r="V101" s="63">
        <v>5511</v>
      </c>
      <c r="W101" s="63">
        <v>5492</v>
      </c>
      <c r="X101" s="63">
        <v>5473</v>
      </c>
      <c r="Y101" s="63">
        <v>5453</v>
      </c>
      <c r="Z101" s="63">
        <v>5434</v>
      </c>
      <c r="AA101" s="63">
        <v>5415</v>
      </c>
      <c r="AB101" s="63">
        <v>5396</v>
      </c>
      <c r="AC101" s="63">
        <v>5377</v>
      </c>
      <c r="AD101" s="63">
        <v>-4.2692066307929988E-3</v>
      </c>
    </row>
    <row r="102" spans="1:30" s="63" customFormat="1" ht="12" customHeight="1" x14ac:dyDescent="0.2">
      <c r="A102" s="73">
        <v>88</v>
      </c>
      <c r="B102" s="63" t="s">
        <v>134</v>
      </c>
      <c r="C102" s="63" t="s">
        <v>135</v>
      </c>
      <c r="D102" s="63">
        <v>6267</v>
      </c>
      <c r="E102" s="63">
        <v>6263</v>
      </c>
      <c r="F102" s="63">
        <v>6251</v>
      </c>
      <c r="G102" s="63">
        <v>6239</v>
      </c>
      <c r="H102" s="63">
        <v>6227</v>
      </c>
      <c r="I102" s="63">
        <v>6215</v>
      </c>
      <c r="J102" s="63">
        <v>6203</v>
      </c>
      <c r="K102" s="63">
        <v>6191</v>
      </c>
      <c r="L102" s="63">
        <v>6178</v>
      </c>
      <c r="M102" s="63">
        <v>6166</v>
      </c>
      <c r="N102" s="63">
        <v>6153</v>
      </c>
      <c r="O102" s="63">
        <v>6141</v>
      </c>
      <c r="P102" s="63">
        <v>6128</v>
      </c>
      <c r="Q102" s="63">
        <v>6116</v>
      </c>
      <c r="R102" s="63">
        <v>6103</v>
      </c>
      <c r="S102" s="63">
        <v>6091</v>
      </c>
      <c r="T102" s="63">
        <v>6078</v>
      </c>
      <c r="U102" s="63">
        <v>6066</v>
      </c>
      <c r="V102" s="63">
        <v>6053</v>
      </c>
      <c r="W102" s="63">
        <v>6040</v>
      </c>
      <c r="X102" s="63">
        <v>6028</v>
      </c>
      <c r="Y102" s="63">
        <v>6015</v>
      </c>
      <c r="Z102" s="63">
        <v>6002</v>
      </c>
      <c r="AA102" s="63">
        <v>5990</v>
      </c>
      <c r="AB102" s="63">
        <v>5977</v>
      </c>
      <c r="AC102" s="63">
        <v>5964</v>
      </c>
      <c r="AD102" s="63">
        <v>-1.980291603725814E-3</v>
      </c>
    </row>
    <row r="103" spans="1:30" s="63" customFormat="1" ht="12" customHeight="1" x14ac:dyDescent="0.2">
      <c r="A103" s="73">
        <v>89</v>
      </c>
      <c r="B103" s="63" t="s">
        <v>136</v>
      </c>
      <c r="C103" s="63" t="s">
        <v>137</v>
      </c>
      <c r="D103" s="63">
        <v>2431</v>
      </c>
      <c r="E103" s="63">
        <v>2296</v>
      </c>
      <c r="F103" s="63">
        <v>2280</v>
      </c>
      <c r="G103" s="63">
        <v>2263</v>
      </c>
      <c r="H103" s="63">
        <v>2245</v>
      </c>
      <c r="I103" s="63">
        <v>2228</v>
      </c>
      <c r="J103" s="63">
        <v>2210</v>
      </c>
      <c r="K103" s="63">
        <v>2192</v>
      </c>
      <c r="L103" s="63">
        <v>2175</v>
      </c>
      <c r="M103" s="63">
        <v>2157</v>
      </c>
      <c r="N103" s="63">
        <v>2139</v>
      </c>
      <c r="O103" s="63">
        <v>2122</v>
      </c>
      <c r="P103" s="63">
        <v>2104</v>
      </c>
      <c r="Q103" s="63">
        <v>2087</v>
      </c>
      <c r="R103" s="63">
        <v>2069</v>
      </c>
      <c r="S103" s="63">
        <v>2052</v>
      </c>
      <c r="T103" s="63">
        <v>2034</v>
      </c>
      <c r="U103" s="63">
        <v>2017</v>
      </c>
      <c r="V103" s="63">
        <v>2000</v>
      </c>
      <c r="W103" s="63">
        <v>1982</v>
      </c>
      <c r="X103" s="63">
        <v>1965</v>
      </c>
      <c r="Y103" s="63">
        <v>1948</v>
      </c>
      <c r="Z103" s="63">
        <v>1930</v>
      </c>
      <c r="AA103" s="63">
        <v>1913</v>
      </c>
      <c r="AB103" s="63">
        <v>1896</v>
      </c>
      <c r="AC103" s="63">
        <v>1879</v>
      </c>
      <c r="AD103" s="63">
        <v>-1.024962983363786E-2</v>
      </c>
    </row>
    <row r="104" spans="1:30" s="63" customFormat="1" ht="12" customHeight="1" x14ac:dyDescent="0.2">
      <c r="A104" s="73">
        <v>90</v>
      </c>
      <c r="B104" s="63" t="s">
        <v>138</v>
      </c>
      <c r="C104" s="63" t="s">
        <v>139</v>
      </c>
      <c r="D104" s="63">
        <v>3231</v>
      </c>
      <c r="E104" s="63">
        <v>3099</v>
      </c>
      <c r="F104" s="63">
        <v>3084</v>
      </c>
      <c r="G104" s="63">
        <v>3069</v>
      </c>
      <c r="H104" s="63">
        <v>3053</v>
      </c>
      <c r="I104" s="63">
        <v>3038</v>
      </c>
      <c r="J104" s="63">
        <v>3023</v>
      </c>
      <c r="K104" s="63">
        <v>3008</v>
      </c>
      <c r="L104" s="63">
        <v>2992</v>
      </c>
      <c r="M104" s="63">
        <v>2977</v>
      </c>
      <c r="N104" s="63">
        <v>2961</v>
      </c>
      <c r="O104" s="63">
        <v>2946</v>
      </c>
      <c r="P104" s="63">
        <v>2930</v>
      </c>
      <c r="Q104" s="63">
        <v>2915</v>
      </c>
      <c r="R104" s="63">
        <v>2900</v>
      </c>
      <c r="S104" s="63">
        <v>2884</v>
      </c>
      <c r="T104" s="63">
        <v>2869</v>
      </c>
      <c r="U104" s="63">
        <v>2853</v>
      </c>
      <c r="V104" s="63">
        <v>2838</v>
      </c>
      <c r="W104" s="63">
        <v>2822</v>
      </c>
      <c r="X104" s="63">
        <v>2807</v>
      </c>
      <c r="Y104" s="63">
        <v>2791</v>
      </c>
      <c r="Z104" s="63">
        <v>2776</v>
      </c>
      <c r="AA104" s="63">
        <v>2760</v>
      </c>
      <c r="AB104" s="63">
        <v>2745</v>
      </c>
      <c r="AC104" s="63">
        <v>2730</v>
      </c>
      <c r="AD104" s="63">
        <v>-6.7169429162804439E-3</v>
      </c>
    </row>
    <row r="105" spans="1:30" s="63" customFormat="1" ht="12" customHeight="1" x14ac:dyDescent="0.2">
      <c r="A105" s="73">
        <v>91</v>
      </c>
      <c r="B105" s="63" t="s">
        <v>140</v>
      </c>
      <c r="C105" s="63" t="s">
        <v>141</v>
      </c>
      <c r="D105" s="63">
        <v>1966</v>
      </c>
      <c r="E105" s="63">
        <v>1889</v>
      </c>
      <c r="F105" s="63">
        <v>1880</v>
      </c>
      <c r="G105" s="63">
        <v>1870</v>
      </c>
      <c r="H105" s="63">
        <v>1860</v>
      </c>
      <c r="I105" s="63">
        <v>1851</v>
      </c>
      <c r="J105" s="63">
        <v>1841</v>
      </c>
      <c r="K105" s="63">
        <v>1831</v>
      </c>
      <c r="L105" s="63">
        <v>1822</v>
      </c>
      <c r="M105" s="63">
        <v>1812</v>
      </c>
      <c r="N105" s="63">
        <v>1803</v>
      </c>
      <c r="O105" s="63">
        <v>1793</v>
      </c>
      <c r="P105" s="63">
        <v>1784</v>
      </c>
      <c r="Q105" s="63">
        <v>1774</v>
      </c>
      <c r="R105" s="63">
        <v>1765</v>
      </c>
      <c r="S105" s="63">
        <v>1756</v>
      </c>
      <c r="T105" s="63">
        <v>1746</v>
      </c>
      <c r="U105" s="63">
        <v>1737</v>
      </c>
      <c r="V105" s="63">
        <v>1728</v>
      </c>
      <c r="W105" s="63">
        <v>1718</v>
      </c>
      <c r="X105" s="63">
        <v>1709</v>
      </c>
      <c r="Y105" s="63">
        <v>1700</v>
      </c>
      <c r="Z105" s="63">
        <v>1690</v>
      </c>
      <c r="AA105" s="63">
        <v>1681</v>
      </c>
      <c r="AB105" s="63">
        <v>1672</v>
      </c>
      <c r="AC105" s="63">
        <v>1663</v>
      </c>
      <c r="AD105" s="63">
        <v>-6.6727505264080333E-3</v>
      </c>
    </row>
    <row r="106" spans="1:30" s="63" customFormat="1" ht="12" customHeight="1" x14ac:dyDescent="0.2">
      <c r="A106" s="73">
        <v>92</v>
      </c>
      <c r="B106" s="63" t="s">
        <v>142</v>
      </c>
      <c r="C106" s="63" t="s">
        <v>143</v>
      </c>
      <c r="D106" s="63">
        <v>4734</v>
      </c>
      <c r="E106" s="63">
        <v>4833</v>
      </c>
      <c r="F106" s="63">
        <v>4825</v>
      </c>
      <c r="G106" s="63">
        <v>4816</v>
      </c>
      <c r="H106" s="63">
        <v>4807</v>
      </c>
      <c r="I106" s="63">
        <v>4799</v>
      </c>
      <c r="J106" s="63">
        <v>4790</v>
      </c>
      <c r="K106" s="63">
        <v>4782</v>
      </c>
      <c r="L106" s="63">
        <v>4774</v>
      </c>
      <c r="M106" s="63">
        <v>4766</v>
      </c>
      <c r="N106" s="63">
        <v>4758</v>
      </c>
      <c r="O106" s="63">
        <v>4750</v>
      </c>
      <c r="P106" s="63">
        <v>4742</v>
      </c>
      <c r="Q106" s="63">
        <v>4734</v>
      </c>
      <c r="R106" s="63">
        <v>4726</v>
      </c>
      <c r="S106" s="63">
        <v>4718</v>
      </c>
      <c r="T106" s="63">
        <v>4710</v>
      </c>
      <c r="U106" s="63">
        <v>4702</v>
      </c>
      <c r="V106" s="63">
        <v>4694</v>
      </c>
      <c r="W106" s="63">
        <v>4687</v>
      </c>
      <c r="X106" s="63">
        <v>4679</v>
      </c>
      <c r="Y106" s="63">
        <v>4671</v>
      </c>
      <c r="Z106" s="63">
        <v>4664</v>
      </c>
      <c r="AA106" s="63">
        <v>4656</v>
      </c>
      <c r="AB106" s="63">
        <v>4648</v>
      </c>
      <c r="AC106" s="63">
        <v>4641</v>
      </c>
      <c r="AD106" s="63">
        <v>-7.9331119546310891E-4</v>
      </c>
    </row>
    <row r="107" spans="1:30" s="63" customFormat="1" ht="12" customHeight="1" x14ac:dyDescent="0.2">
      <c r="A107" s="73">
        <v>93</v>
      </c>
      <c r="B107" s="63" t="s">
        <v>144</v>
      </c>
      <c r="C107" s="63" t="s">
        <v>145</v>
      </c>
      <c r="D107" s="63">
        <v>3251</v>
      </c>
      <c r="E107" s="63">
        <v>3291</v>
      </c>
      <c r="F107" s="63">
        <v>3285</v>
      </c>
      <c r="G107" s="63">
        <v>3279</v>
      </c>
      <c r="H107" s="63">
        <v>3272</v>
      </c>
      <c r="I107" s="63">
        <v>3266</v>
      </c>
      <c r="J107" s="63">
        <v>3259</v>
      </c>
      <c r="K107" s="63">
        <v>3252</v>
      </c>
      <c r="L107" s="63">
        <v>3245</v>
      </c>
      <c r="M107" s="63">
        <v>3238</v>
      </c>
      <c r="N107" s="63">
        <v>3231</v>
      </c>
      <c r="O107" s="63">
        <v>3224</v>
      </c>
      <c r="P107" s="63">
        <v>3216</v>
      </c>
      <c r="Q107" s="63">
        <v>3209</v>
      </c>
      <c r="R107" s="63">
        <v>3202</v>
      </c>
      <c r="S107" s="63">
        <v>3195</v>
      </c>
      <c r="T107" s="63">
        <v>3187</v>
      </c>
      <c r="U107" s="63">
        <v>3180</v>
      </c>
      <c r="V107" s="63">
        <v>3173</v>
      </c>
      <c r="W107" s="63">
        <v>3165</v>
      </c>
      <c r="X107" s="63">
        <v>3158</v>
      </c>
      <c r="Y107" s="63">
        <v>3151</v>
      </c>
      <c r="Z107" s="63">
        <v>3143</v>
      </c>
      <c r="AA107" s="63">
        <v>3136</v>
      </c>
      <c r="AB107" s="63">
        <v>3129</v>
      </c>
      <c r="AC107" s="63">
        <v>3122</v>
      </c>
      <c r="AD107" s="63">
        <v>-1.61824200126981E-3</v>
      </c>
    </row>
    <row r="108" spans="1:30" s="68" customFormat="1" ht="12" customHeight="1" x14ac:dyDescent="0.2">
      <c r="A108" s="73">
        <v>94</v>
      </c>
      <c r="B108" s="68" t="s">
        <v>146</v>
      </c>
      <c r="C108" s="68" t="s">
        <v>147</v>
      </c>
      <c r="D108" s="68">
        <v>3989.572265625</v>
      </c>
      <c r="E108" s="68">
        <v>3910.10595703125</v>
      </c>
      <c r="F108" s="68">
        <v>3891.6015625</v>
      </c>
      <c r="G108" s="68">
        <v>3872.8251953125</v>
      </c>
      <c r="H108" s="68">
        <v>3853.715576171875</v>
      </c>
      <c r="I108" s="68">
        <v>3835.1279296875</v>
      </c>
      <c r="J108" s="68">
        <v>3816.111328125</v>
      </c>
      <c r="K108" s="68">
        <v>3797.1376953125</v>
      </c>
      <c r="L108" s="68">
        <v>3778.5009765625</v>
      </c>
      <c r="M108" s="68">
        <v>3759.552734375</v>
      </c>
      <c r="N108" s="68">
        <v>3740.7109375</v>
      </c>
      <c r="O108" s="68">
        <v>3722.160888671875</v>
      </c>
      <c r="P108" s="68">
        <v>3703.157470703125</v>
      </c>
      <c r="Q108" s="68">
        <v>3684.65234375</v>
      </c>
      <c r="R108" s="68">
        <v>3666.06494140625</v>
      </c>
      <c r="S108" s="68">
        <v>3647.55615234375</v>
      </c>
      <c r="T108" s="68">
        <v>3628.5244140625</v>
      </c>
      <c r="U108" s="68">
        <v>3610.19921875</v>
      </c>
      <c r="V108" s="68">
        <v>3591.732177734375</v>
      </c>
      <c r="W108" s="68">
        <v>3572.9052734375</v>
      </c>
      <c r="X108" s="68">
        <v>3554.652587890625</v>
      </c>
      <c r="Y108" s="68">
        <v>3536.15771484375</v>
      </c>
      <c r="Z108" s="68">
        <v>3517.5849609375</v>
      </c>
      <c r="AA108" s="68">
        <v>3499.5966796875</v>
      </c>
      <c r="AB108" s="68">
        <v>3481.78857421875</v>
      </c>
      <c r="AC108" s="68">
        <v>3464.1162109375</v>
      </c>
      <c r="AD108" s="68">
        <v>-5.6331334759734952E-3</v>
      </c>
    </row>
    <row r="109" spans="1:30" s="65" customFormat="1" ht="12" customHeight="1" x14ac:dyDescent="0.2">
      <c r="A109" s="73">
        <v>95</v>
      </c>
    </row>
    <row r="110" spans="1:30" s="67" customFormat="1" ht="12" customHeight="1" x14ac:dyDescent="0.2">
      <c r="A110" s="73">
        <v>96</v>
      </c>
      <c r="C110" s="67" t="s">
        <v>148</v>
      </c>
    </row>
    <row r="111" spans="1:30" s="63" customFormat="1" ht="12" customHeight="1" x14ac:dyDescent="0.2">
      <c r="A111" s="73">
        <v>97</v>
      </c>
      <c r="B111" s="63" t="s">
        <v>149</v>
      </c>
      <c r="C111" s="63" t="s">
        <v>129</v>
      </c>
      <c r="D111" s="63">
        <v>530</v>
      </c>
      <c r="E111" s="63">
        <v>626</v>
      </c>
      <c r="F111" s="63">
        <v>633</v>
      </c>
      <c r="G111" s="63">
        <v>640</v>
      </c>
      <c r="H111" s="63">
        <v>647</v>
      </c>
      <c r="I111" s="63">
        <v>654</v>
      </c>
      <c r="J111" s="63">
        <v>662</v>
      </c>
      <c r="K111" s="63">
        <v>669</v>
      </c>
      <c r="L111" s="63">
        <v>676</v>
      </c>
      <c r="M111" s="63">
        <v>683</v>
      </c>
      <c r="N111" s="63">
        <v>690</v>
      </c>
      <c r="O111" s="63">
        <v>697</v>
      </c>
      <c r="P111" s="63">
        <v>704</v>
      </c>
      <c r="Q111" s="63">
        <v>712</v>
      </c>
      <c r="R111" s="63">
        <v>719</v>
      </c>
      <c r="S111" s="63">
        <v>726</v>
      </c>
      <c r="T111" s="63">
        <v>733</v>
      </c>
      <c r="U111" s="63">
        <v>740</v>
      </c>
      <c r="V111" s="63">
        <v>747</v>
      </c>
      <c r="W111" s="63">
        <v>754</v>
      </c>
      <c r="X111" s="63">
        <v>761</v>
      </c>
      <c r="Y111" s="63">
        <v>769</v>
      </c>
      <c r="Z111" s="63">
        <v>776</v>
      </c>
      <c r="AA111" s="63">
        <v>783</v>
      </c>
      <c r="AB111" s="63">
        <v>790</v>
      </c>
      <c r="AC111" s="63">
        <v>797</v>
      </c>
      <c r="AD111" s="63">
        <v>1.6452990811785199E-2</v>
      </c>
    </row>
    <row r="112" spans="1:30" s="63" customFormat="1" ht="12" customHeight="1" x14ac:dyDescent="0.2">
      <c r="A112" s="73">
        <v>98</v>
      </c>
      <c r="B112" s="63" t="s">
        <v>150</v>
      </c>
      <c r="C112" s="63" t="s">
        <v>131</v>
      </c>
      <c r="D112" s="63">
        <v>766</v>
      </c>
      <c r="E112" s="63">
        <v>858</v>
      </c>
      <c r="F112" s="63">
        <v>866</v>
      </c>
      <c r="G112" s="63">
        <v>874</v>
      </c>
      <c r="H112" s="63">
        <v>883</v>
      </c>
      <c r="I112" s="63">
        <v>891</v>
      </c>
      <c r="J112" s="63">
        <v>899</v>
      </c>
      <c r="K112" s="63">
        <v>907</v>
      </c>
      <c r="L112" s="63">
        <v>915</v>
      </c>
      <c r="M112" s="63">
        <v>923</v>
      </c>
      <c r="N112" s="63">
        <v>932</v>
      </c>
      <c r="O112" s="63">
        <v>940</v>
      </c>
      <c r="P112" s="63">
        <v>948</v>
      </c>
      <c r="Q112" s="63">
        <v>956</v>
      </c>
      <c r="R112" s="63">
        <v>964</v>
      </c>
      <c r="S112" s="63">
        <v>973</v>
      </c>
      <c r="T112" s="63">
        <v>981</v>
      </c>
      <c r="U112" s="63">
        <v>989</v>
      </c>
      <c r="V112" s="63">
        <v>997</v>
      </c>
      <c r="W112" s="63">
        <v>1005</v>
      </c>
      <c r="X112" s="63">
        <v>1014</v>
      </c>
      <c r="Y112" s="63">
        <v>1022</v>
      </c>
      <c r="Z112" s="63">
        <v>1030</v>
      </c>
      <c r="AA112" s="63">
        <v>1038</v>
      </c>
      <c r="AB112" s="63">
        <v>1046</v>
      </c>
      <c r="AC112" s="63">
        <v>1055</v>
      </c>
      <c r="AD112" s="63">
        <v>1.2886884383320311E-2</v>
      </c>
    </row>
    <row r="113" spans="1:30" s="63" customFormat="1" ht="12" customHeight="1" x14ac:dyDescent="0.2">
      <c r="A113" s="73">
        <v>99</v>
      </c>
      <c r="B113" s="63" t="s">
        <v>151</v>
      </c>
      <c r="C113" s="63" t="s">
        <v>133</v>
      </c>
      <c r="D113" s="63">
        <v>873</v>
      </c>
      <c r="E113" s="63">
        <v>857</v>
      </c>
      <c r="F113" s="63">
        <v>862</v>
      </c>
      <c r="G113" s="63">
        <v>867</v>
      </c>
      <c r="H113" s="63">
        <v>871</v>
      </c>
      <c r="I113" s="63">
        <v>876</v>
      </c>
      <c r="J113" s="63">
        <v>881</v>
      </c>
      <c r="K113" s="63">
        <v>886</v>
      </c>
      <c r="L113" s="63">
        <v>890</v>
      </c>
      <c r="M113" s="63">
        <v>895</v>
      </c>
      <c r="N113" s="63">
        <v>900</v>
      </c>
      <c r="O113" s="63">
        <v>905</v>
      </c>
      <c r="P113" s="63">
        <v>909</v>
      </c>
      <c r="Q113" s="63">
        <v>914</v>
      </c>
      <c r="R113" s="63">
        <v>919</v>
      </c>
      <c r="S113" s="63">
        <v>924</v>
      </c>
      <c r="T113" s="63">
        <v>928</v>
      </c>
      <c r="U113" s="63">
        <v>933</v>
      </c>
      <c r="V113" s="63">
        <v>938</v>
      </c>
      <c r="W113" s="63">
        <v>943</v>
      </c>
      <c r="X113" s="63">
        <v>948</v>
      </c>
      <c r="Y113" s="63">
        <v>952</v>
      </c>
      <c r="Z113" s="63">
        <v>957</v>
      </c>
      <c r="AA113" s="63">
        <v>962</v>
      </c>
      <c r="AB113" s="63">
        <v>967</v>
      </c>
      <c r="AC113" s="63">
        <v>972</v>
      </c>
      <c r="AD113" s="63">
        <v>4.3060544685959989E-3</v>
      </c>
    </row>
    <row r="114" spans="1:30" s="63" customFormat="1" ht="12" customHeight="1" x14ac:dyDescent="0.2">
      <c r="A114" s="73">
        <v>100</v>
      </c>
      <c r="B114" s="63" t="s">
        <v>152</v>
      </c>
      <c r="C114" s="63" t="s">
        <v>135</v>
      </c>
      <c r="D114" s="63">
        <v>1052</v>
      </c>
      <c r="E114" s="63">
        <v>1048</v>
      </c>
      <c r="F114" s="63">
        <v>1053</v>
      </c>
      <c r="G114" s="63">
        <v>1057</v>
      </c>
      <c r="H114" s="63">
        <v>1062</v>
      </c>
      <c r="I114" s="63">
        <v>1067</v>
      </c>
      <c r="J114" s="63">
        <v>1071</v>
      </c>
      <c r="K114" s="63">
        <v>1076</v>
      </c>
      <c r="L114" s="63">
        <v>1081</v>
      </c>
      <c r="M114" s="63">
        <v>1086</v>
      </c>
      <c r="N114" s="63">
        <v>1090</v>
      </c>
      <c r="O114" s="63">
        <v>1095</v>
      </c>
      <c r="P114" s="63">
        <v>1100</v>
      </c>
      <c r="Q114" s="63">
        <v>1105</v>
      </c>
      <c r="R114" s="63">
        <v>1109</v>
      </c>
      <c r="S114" s="63">
        <v>1114</v>
      </c>
      <c r="T114" s="63">
        <v>1119</v>
      </c>
      <c r="U114" s="63">
        <v>1124</v>
      </c>
      <c r="V114" s="63">
        <v>1129</v>
      </c>
      <c r="W114" s="63">
        <v>1133</v>
      </c>
      <c r="X114" s="63">
        <v>1138</v>
      </c>
      <c r="Y114" s="63">
        <v>1143</v>
      </c>
      <c r="Z114" s="63">
        <v>1148</v>
      </c>
      <c r="AA114" s="63">
        <v>1153</v>
      </c>
      <c r="AB114" s="63">
        <v>1158</v>
      </c>
      <c r="AC114" s="63">
        <v>1162</v>
      </c>
      <c r="AD114" s="63">
        <v>3.9859044359582541E-3</v>
      </c>
    </row>
    <row r="115" spans="1:30" s="63" customFormat="1" ht="12" customHeight="1" x14ac:dyDescent="0.2">
      <c r="A115" s="73">
        <v>101</v>
      </c>
      <c r="B115" s="63" t="s">
        <v>153</v>
      </c>
      <c r="C115" s="63" t="s">
        <v>137</v>
      </c>
      <c r="D115" s="63">
        <v>2319</v>
      </c>
      <c r="E115" s="63">
        <v>2427</v>
      </c>
      <c r="F115" s="63">
        <v>2442</v>
      </c>
      <c r="G115" s="63">
        <v>2458</v>
      </c>
      <c r="H115" s="63">
        <v>2473</v>
      </c>
      <c r="I115" s="63">
        <v>2489</v>
      </c>
      <c r="J115" s="63">
        <v>2505</v>
      </c>
      <c r="K115" s="63">
        <v>2522</v>
      </c>
      <c r="L115" s="63">
        <v>2538</v>
      </c>
      <c r="M115" s="63">
        <v>2554</v>
      </c>
      <c r="N115" s="63">
        <v>2570</v>
      </c>
      <c r="O115" s="63">
        <v>2586</v>
      </c>
      <c r="P115" s="63">
        <v>2603</v>
      </c>
      <c r="Q115" s="63">
        <v>2619</v>
      </c>
      <c r="R115" s="63">
        <v>2635</v>
      </c>
      <c r="S115" s="63">
        <v>2652</v>
      </c>
      <c r="T115" s="63">
        <v>2668</v>
      </c>
      <c r="U115" s="63">
        <v>2684</v>
      </c>
      <c r="V115" s="63">
        <v>2701</v>
      </c>
      <c r="W115" s="63">
        <v>2717</v>
      </c>
      <c r="X115" s="63">
        <v>2734</v>
      </c>
      <c r="Y115" s="63">
        <v>2750</v>
      </c>
      <c r="Z115" s="63">
        <v>2767</v>
      </c>
      <c r="AA115" s="63">
        <v>2783</v>
      </c>
      <c r="AB115" s="63">
        <v>2800</v>
      </c>
      <c r="AC115" s="63">
        <v>2816</v>
      </c>
      <c r="AD115" s="63">
        <v>7.7974985795448148E-3</v>
      </c>
    </row>
    <row r="116" spans="1:30" s="63" customFormat="1" ht="12" customHeight="1" x14ac:dyDescent="0.2">
      <c r="A116" s="73">
        <v>102</v>
      </c>
      <c r="B116" s="63" t="s">
        <v>154</v>
      </c>
      <c r="C116" s="63" t="s">
        <v>139</v>
      </c>
      <c r="D116" s="63">
        <v>1790</v>
      </c>
      <c r="E116" s="63">
        <v>1783</v>
      </c>
      <c r="F116" s="63">
        <v>1790</v>
      </c>
      <c r="G116" s="63">
        <v>1797</v>
      </c>
      <c r="H116" s="63">
        <v>1804</v>
      </c>
      <c r="I116" s="63">
        <v>1811</v>
      </c>
      <c r="J116" s="63">
        <v>1819</v>
      </c>
      <c r="K116" s="63">
        <v>1826</v>
      </c>
      <c r="L116" s="63">
        <v>1833</v>
      </c>
      <c r="M116" s="63">
        <v>1840</v>
      </c>
      <c r="N116" s="63">
        <v>1847</v>
      </c>
      <c r="O116" s="63">
        <v>1854</v>
      </c>
      <c r="P116" s="63">
        <v>1862</v>
      </c>
      <c r="Q116" s="63">
        <v>1869</v>
      </c>
      <c r="R116" s="63">
        <v>1876</v>
      </c>
      <c r="S116" s="63">
        <v>1883</v>
      </c>
      <c r="T116" s="63">
        <v>1890</v>
      </c>
      <c r="U116" s="63">
        <v>1898</v>
      </c>
      <c r="V116" s="63">
        <v>1905</v>
      </c>
      <c r="W116" s="63">
        <v>1912</v>
      </c>
      <c r="X116" s="63">
        <v>1919</v>
      </c>
      <c r="Y116" s="63">
        <v>1926</v>
      </c>
      <c r="Z116" s="63">
        <v>1934</v>
      </c>
      <c r="AA116" s="63">
        <v>1941</v>
      </c>
      <c r="AB116" s="63">
        <v>1948</v>
      </c>
      <c r="AC116" s="63">
        <v>1955</v>
      </c>
      <c r="AD116" s="63">
        <v>3.533210066561487E-3</v>
      </c>
    </row>
    <row r="117" spans="1:30" s="63" customFormat="1" ht="12" customHeight="1" x14ac:dyDescent="0.2">
      <c r="A117" s="73">
        <v>103</v>
      </c>
      <c r="B117" s="63" t="s">
        <v>155</v>
      </c>
      <c r="C117" s="63" t="s">
        <v>141</v>
      </c>
      <c r="D117" s="63">
        <v>2916</v>
      </c>
      <c r="E117" s="63">
        <v>2946</v>
      </c>
      <c r="F117" s="63">
        <v>2961</v>
      </c>
      <c r="G117" s="63">
        <v>2976</v>
      </c>
      <c r="H117" s="63">
        <v>2990</v>
      </c>
      <c r="I117" s="63">
        <v>3005</v>
      </c>
      <c r="J117" s="63">
        <v>3020</v>
      </c>
      <c r="K117" s="63">
        <v>3035</v>
      </c>
      <c r="L117" s="63">
        <v>3049</v>
      </c>
      <c r="M117" s="63">
        <v>3064</v>
      </c>
      <c r="N117" s="63">
        <v>3079</v>
      </c>
      <c r="O117" s="63">
        <v>3093</v>
      </c>
      <c r="P117" s="63">
        <v>3108</v>
      </c>
      <c r="Q117" s="63">
        <v>3123</v>
      </c>
      <c r="R117" s="63">
        <v>3138</v>
      </c>
      <c r="S117" s="63">
        <v>3152</v>
      </c>
      <c r="T117" s="63">
        <v>3167</v>
      </c>
      <c r="U117" s="63">
        <v>3182</v>
      </c>
      <c r="V117" s="63">
        <v>3197</v>
      </c>
      <c r="W117" s="63">
        <v>3211</v>
      </c>
      <c r="X117" s="63">
        <v>3226</v>
      </c>
      <c r="Y117" s="63">
        <v>3241</v>
      </c>
      <c r="Z117" s="63">
        <v>3255</v>
      </c>
      <c r="AA117" s="63">
        <v>3270</v>
      </c>
      <c r="AB117" s="63">
        <v>3285</v>
      </c>
      <c r="AC117" s="63">
        <v>3299</v>
      </c>
      <c r="AD117" s="63">
        <v>4.9484665423147334E-3</v>
      </c>
    </row>
    <row r="118" spans="1:30" s="63" customFormat="1" ht="12" customHeight="1" x14ac:dyDescent="0.2">
      <c r="A118" s="73">
        <v>104</v>
      </c>
      <c r="B118" s="63" t="s">
        <v>156</v>
      </c>
      <c r="C118" s="63" t="s">
        <v>143</v>
      </c>
      <c r="D118" s="63">
        <v>1515</v>
      </c>
      <c r="E118" s="63">
        <v>1608</v>
      </c>
      <c r="F118" s="63">
        <v>1617</v>
      </c>
      <c r="G118" s="63">
        <v>1627</v>
      </c>
      <c r="H118" s="63">
        <v>1636</v>
      </c>
      <c r="I118" s="63">
        <v>1645</v>
      </c>
      <c r="J118" s="63">
        <v>1655</v>
      </c>
      <c r="K118" s="63">
        <v>1664</v>
      </c>
      <c r="L118" s="63">
        <v>1673</v>
      </c>
      <c r="M118" s="63">
        <v>1682</v>
      </c>
      <c r="N118" s="63">
        <v>1691</v>
      </c>
      <c r="O118" s="63">
        <v>1701</v>
      </c>
      <c r="P118" s="63">
        <v>1710</v>
      </c>
      <c r="Q118" s="63">
        <v>1719</v>
      </c>
      <c r="R118" s="63">
        <v>1728</v>
      </c>
      <c r="S118" s="63">
        <v>1737</v>
      </c>
      <c r="T118" s="63">
        <v>1746</v>
      </c>
      <c r="U118" s="63">
        <v>1755</v>
      </c>
      <c r="V118" s="63">
        <v>1764</v>
      </c>
      <c r="W118" s="63">
        <v>1773</v>
      </c>
      <c r="X118" s="63">
        <v>1782</v>
      </c>
      <c r="Y118" s="63">
        <v>1791</v>
      </c>
      <c r="Z118" s="63">
        <v>1800</v>
      </c>
      <c r="AA118" s="63">
        <v>1809</v>
      </c>
      <c r="AB118" s="63">
        <v>1818</v>
      </c>
      <c r="AC118" s="63">
        <v>1827</v>
      </c>
      <c r="AD118" s="63">
        <v>7.5185167090765503E-3</v>
      </c>
    </row>
    <row r="119" spans="1:30" s="63" customFormat="1" ht="12" customHeight="1" x14ac:dyDescent="0.2">
      <c r="A119" s="73">
        <v>105</v>
      </c>
      <c r="B119" s="63" t="s">
        <v>157</v>
      </c>
      <c r="C119" s="63" t="s">
        <v>145</v>
      </c>
      <c r="D119" s="63">
        <v>887</v>
      </c>
      <c r="E119" s="63">
        <v>1040</v>
      </c>
      <c r="F119" s="63">
        <v>1049</v>
      </c>
      <c r="G119" s="63">
        <v>1058</v>
      </c>
      <c r="H119" s="63">
        <v>1067</v>
      </c>
      <c r="I119" s="63">
        <v>1076</v>
      </c>
      <c r="J119" s="63">
        <v>1085</v>
      </c>
      <c r="K119" s="63">
        <v>1094</v>
      </c>
      <c r="L119" s="63">
        <v>1103</v>
      </c>
      <c r="M119" s="63">
        <v>1112</v>
      </c>
      <c r="N119" s="63">
        <v>1121</v>
      </c>
      <c r="O119" s="63">
        <v>1131</v>
      </c>
      <c r="P119" s="63">
        <v>1140</v>
      </c>
      <c r="Q119" s="63">
        <v>1149</v>
      </c>
      <c r="R119" s="63">
        <v>1158</v>
      </c>
      <c r="S119" s="63">
        <v>1167</v>
      </c>
      <c r="T119" s="63">
        <v>1177</v>
      </c>
      <c r="U119" s="63">
        <v>1186</v>
      </c>
      <c r="V119" s="63">
        <v>1195</v>
      </c>
      <c r="W119" s="63">
        <v>1204</v>
      </c>
      <c r="X119" s="63">
        <v>1213</v>
      </c>
      <c r="Y119" s="63">
        <v>1223</v>
      </c>
      <c r="Z119" s="63">
        <v>1232</v>
      </c>
      <c r="AA119" s="63">
        <v>1241</v>
      </c>
      <c r="AB119" s="63">
        <v>1250</v>
      </c>
      <c r="AC119" s="63">
        <v>1259</v>
      </c>
      <c r="AD119" s="63">
        <v>1.4107709657196651E-2</v>
      </c>
    </row>
    <row r="120" spans="1:30" s="68" customFormat="1" ht="12" customHeight="1" x14ac:dyDescent="0.2">
      <c r="A120" s="73">
        <v>106</v>
      </c>
      <c r="B120" s="68" t="s">
        <v>158</v>
      </c>
      <c r="C120" s="68" t="s">
        <v>147</v>
      </c>
      <c r="D120" s="68">
        <v>1516.423583984375</v>
      </c>
      <c r="E120" s="68">
        <v>1589.852905273438</v>
      </c>
      <c r="F120" s="68">
        <v>1602.154052734375</v>
      </c>
      <c r="G120" s="68">
        <v>1614.68994140625</v>
      </c>
      <c r="H120" s="68">
        <v>1626.874267578125</v>
      </c>
      <c r="I120" s="68">
        <v>1639.42919921875</v>
      </c>
      <c r="J120" s="68">
        <v>1652.126586914062</v>
      </c>
      <c r="K120" s="68">
        <v>1664.94091796875</v>
      </c>
      <c r="L120" s="68">
        <v>1677.306884765625</v>
      </c>
      <c r="M120" s="68">
        <v>1689.963012695312</v>
      </c>
      <c r="N120" s="68">
        <v>1702.697631835938</v>
      </c>
      <c r="O120" s="68">
        <v>1715.52587890625</v>
      </c>
      <c r="P120" s="68">
        <v>1728.397705078125</v>
      </c>
      <c r="Q120" s="68">
        <v>1741.199096679688</v>
      </c>
      <c r="R120" s="68">
        <v>1753.922607421875</v>
      </c>
      <c r="S120" s="68">
        <v>1766.92138671875</v>
      </c>
      <c r="T120" s="68">
        <v>1779.796142578125</v>
      </c>
      <c r="U120" s="68">
        <v>1792.711669921875</v>
      </c>
      <c r="V120" s="68">
        <v>1805.81201171875</v>
      </c>
      <c r="W120" s="68">
        <v>1818.522705078125</v>
      </c>
      <c r="X120" s="68">
        <v>1831.7783203125</v>
      </c>
      <c r="Y120" s="68">
        <v>1844.803100585938</v>
      </c>
      <c r="Z120" s="68">
        <v>1857.8740234375</v>
      </c>
      <c r="AA120" s="68">
        <v>1870.785278320312</v>
      </c>
      <c r="AB120" s="68">
        <v>1883.8203125</v>
      </c>
      <c r="AC120" s="68">
        <v>1896.469848632812</v>
      </c>
      <c r="AD120" s="68">
        <v>8.9857123444541109E-3</v>
      </c>
    </row>
    <row r="121" spans="1:30" s="65" customFormat="1" ht="15.75" customHeight="1" thickBot="1" x14ac:dyDescent="0.3">
      <c r="A121" s="73"/>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0"/>
      <c r="AC121" s="70"/>
      <c r="AD121" s="70"/>
    </row>
    <row r="122" spans="1:30" s="65" customFormat="1" ht="12.75" customHeight="1" thickTop="1" x14ac:dyDescent="0.2">
      <c r="A122" s="73"/>
      <c r="C122" s="65" t="s">
        <v>159</v>
      </c>
    </row>
    <row r="123" spans="1:30" s="65" customFormat="1" ht="12" customHeight="1" x14ac:dyDescent="0.2">
      <c r="A123" s="73"/>
      <c r="C123" s="65" t="s">
        <v>160</v>
      </c>
    </row>
    <row r="124" spans="1:30" s="65" customFormat="1" ht="12" customHeight="1" x14ac:dyDescent="0.2">
      <c r="A124" s="73"/>
      <c r="C124" s="65" t="s">
        <v>161</v>
      </c>
    </row>
    <row r="125" spans="1:30" s="65" customFormat="1" ht="12" customHeight="1" x14ac:dyDescent="0.2">
      <c r="A125" s="73"/>
      <c r="C125" s="65" t="s">
        <v>162</v>
      </c>
    </row>
    <row r="126" spans="1:30" s="65" customFormat="1" ht="12" customHeight="1" x14ac:dyDescent="0.2">
      <c r="A126" s="73"/>
      <c r="C126" s="65" t="s">
        <v>163</v>
      </c>
    </row>
    <row r="127" spans="1:30" s="65" customFormat="1" ht="12" customHeight="1" x14ac:dyDescent="0.2">
      <c r="A127" s="73"/>
      <c r="C127" s="65" t="s">
        <v>164</v>
      </c>
    </row>
    <row r="128" spans="1:30" s="65" customFormat="1" ht="12" customHeight="1" x14ac:dyDescent="0.2">
      <c r="A128" s="73"/>
      <c r="C128" s="65" t="s">
        <v>165</v>
      </c>
    </row>
    <row r="129" spans="1:3" s="65" customFormat="1" ht="12" customHeight="1" x14ac:dyDescent="0.2">
      <c r="A129" s="73"/>
      <c r="C129" s="65" t="s">
        <v>166</v>
      </c>
    </row>
    <row r="130" spans="1:3" s="65" customFormat="1" ht="12" customHeight="1" x14ac:dyDescent="0.2">
      <c r="A130" s="73"/>
      <c r="C130" s="65" t="s">
        <v>167</v>
      </c>
    </row>
    <row r="131" spans="1:3" s="65" customFormat="1" ht="12" customHeight="1" x14ac:dyDescent="0.2">
      <c r="A131" s="73"/>
      <c r="C131" s="65" t="s">
        <v>168</v>
      </c>
    </row>
    <row r="132" spans="1:3" s="65" customFormat="1" ht="12" customHeight="1" x14ac:dyDescent="0.2">
      <c r="A132" s="73"/>
      <c r="C132" s="65" t="s">
        <v>169</v>
      </c>
    </row>
    <row r="133" spans="1:3" s="65" customFormat="1" ht="12" customHeight="1" x14ac:dyDescent="0.2">
      <c r="A133" s="73"/>
      <c r="C133" s="65" t="s">
        <v>170</v>
      </c>
    </row>
    <row r="134" spans="1:3" s="65" customFormat="1" ht="12" customHeight="1" x14ac:dyDescent="0.2">
      <c r="A134" s="73"/>
      <c r="C134" s="65" t="s">
        <v>171</v>
      </c>
    </row>
    <row r="135" spans="1:3" s="65" customFormat="1" ht="12" customHeight="1" x14ac:dyDescent="0.2">
      <c r="A135" s="73"/>
      <c r="C135" s="65" t="s">
        <v>172</v>
      </c>
    </row>
    <row r="136" spans="1:3" s="65" customFormat="1" ht="12" customHeight="1" x14ac:dyDescent="0.2">
      <c r="A136" s="73"/>
      <c r="C136" s="65" t="s">
        <v>173</v>
      </c>
    </row>
    <row r="137" spans="1:3" s="65" customFormat="1" ht="12" customHeight="1" x14ac:dyDescent="0.2">
      <c r="A137" s="73"/>
      <c r="C137" s="65" t="s">
        <v>174</v>
      </c>
    </row>
    <row r="138" spans="1:3" s="65" customFormat="1" ht="12" customHeight="1" x14ac:dyDescent="0.2">
      <c r="A138" s="73"/>
      <c r="C138" s="65" t="s">
        <v>175</v>
      </c>
    </row>
    <row r="139" spans="1:3" s="65" customFormat="1" ht="12" customHeight="1" x14ac:dyDescent="0.2">
      <c r="A139" s="73"/>
      <c r="C139" s="65" t="s">
        <v>176</v>
      </c>
    </row>
    <row r="140" spans="1:3" s="65" customFormat="1" ht="12" customHeight="1" x14ac:dyDescent="0.2">
      <c r="A140" s="73"/>
      <c r="C140" s="65" t="s">
        <v>177</v>
      </c>
    </row>
    <row r="141" spans="1:3" s="65" customFormat="1" ht="12" customHeight="1" x14ac:dyDescent="0.2">
      <c r="A141" s="73"/>
      <c r="C141" s="65" t="s">
        <v>178</v>
      </c>
    </row>
    <row r="142" spans="1:3" s="65" customFormat="1" ht="12" customHeight="1" x14ac:dyDescent="0.2">
      <c r="A142" s="73"/>
      <c r="C142" s="65" t="s">
        <v>179</v>
      </c>
    </row>
    <row r="143" spans="1:3" s="65" customFormat="1" ht="12" customHeight="1" x14ac:dyDescent="0.2">
      <c r="A143" s="73"/>
      <c r="C143" s="65" t="s">
        <v>180</v>
      </c>
    </row>
    <row r="144" spans="1:3" s="65" customFormat="1" ht="12" customHeight="1" x14ac:dyDescent="0.2">
      <c r="A144" s="73"/>
      <c r="C144" s="65" t="s">
        <v>181</v>
      </c>
    </row>
    <row r="145" spans="1:3" s="65" customFormat="1" ht="12" customHeight="1" x14ac:dyDescent="0.2">
      <c r="A145" s="73"/>
      <c r="C145" s="65" t="s">
        <v>182</v>
      </c>
    </row>
    <row r="146" spans="1:3" s="65" customFormat="1" ht="12" customHeight="1" x14ac:dyDescent="0.2">
      <c r="A146" s="73"/>
      <c r="C146" s="65" t="s">
        <v>183</v>
      </c>
    </row>
    <row r="147" spans="1:3" s="65" customFormat="1" ht="12" customHeight="1" x14ac:dyDescent="0.2">
      <c r="A147" s="73"/>
      <c r="C147" s="65" t="s">
        <v>184</v>
      </c>
    </row>
    <row r="148" spans="1:3" s="65" customFormat="1" ht="12" customHeight="1" x14ac:dyDescent="0.2">
      <c r="A148" s="73"/>
      <c r="C148" s="65" t="s">
        <v>185</v>
      </c>
    </row>
    <row r="149" spans="1:3" s="65" customFormat="1" ht="12" customHeight="1" x14ac:dyDescent="0.2">
      <c r="A149" s="73"/>
      <c r="C149" s="65" t="s">
        <v>186</v>
      </c>
    </row>
    <row r="150" spans="1:3" s="65" customFormat="1" ht="12" customHeight="1" x14ac:dyDescent="0.2">
      <c r="A150" s="73"/>
      <c r="C150" s="65" t="s">
        <v>187</v>
      </c>
    </row>
    <row r="151" spans="1:3" s="65" customFormat="1" ht="12" customHeight="1" x14ac:dyDescent="0.2">
      <c r="A151" s="73"/>
      <c r="C151" s="65" t="s">
        <v>188</v>
      </c>
    </row>
    <row r="152" spans="1:3" s="65" customFormat="1" ht="12" customHeight="1" x14ac:dyDescent="0.2">
      <c r="A152" s="73"/>
      <c r="C152" s="65" t="s">
        <v>189</v>
      </c>
    </row>
    <row r="153" spans="1:3" s="65" customFormat="1" ht="12" customHeight="1" x14ac:dyDescent="0.2">
      <c r="A153" s="73"/>
      <c r="C153" s="65" t="s">
        <v>190</v>
      </c>
    </row>
  </sheetData>
  <conditionalFormatting sqref="B10:AD10">
    <cfRule type="notContainsBlanks" dxfId="115" priority="5">
      <formula>LEN(TRIM(B10))&gt;0</formula>
    </cfRule>
  </conditionalFormatting>
  <conditionalFormatting sqref="AD1">
    <cfRule type="notContainsBlanks" dxfId="114" priority="1">
      <formula>LEN(TRIM(AD1))&gt;0</formula>
    </cfRule>
  </conditionalFormatting>
  <conditionalFormatting sqref="AD2:AD6">
    <cfRule type="notContainsBlanks" dxfId="113" priority="2">
      <formula>LEN(TRIM(AD2))&gt;0</formula>
    </cfRule>
  </conditionalFormatting>
  <conditionalFormatting sqref="AD7">
    <cfRule type="notContainsBlanks" dxfId="112" priority="3">
      <formula>LEN(TRIM(AD7))&gt;0</formula>
    </cfRule>
  </conditionalFormatting>
  <conditionalFormatting sqref="AD8:AD9">
    <cfRule type="notContainsBlanks" dxfId="111" priority="4">
      <formula>LEN(TRIM(AD8))&gt;0</formula>
    </cfRule>
  </conditionalFormatting>
  <conditionalFormatting sqref="AD10">
    <cfRule type="notContainsBlanks" dxfId="110" priority="6">
      <formula>LEN(TRIM(AD10))&gt;0</formula>
    </cfRule>
  </conditionalFormatting>
  <conditionalFormatting sqref="AD11">
    <cfRule type="notContainsBlanks" dxfId="109" priority="7">
      <formula>LEN(TRIM(AD11))&gt;0</formula>
    </cfRule>
  </conditionalFormatting>
  <conditionalFormatting sqref="AD12">
    <cfRule type="notContainsBlanks" dxfId="108" priority="8">
      <formula>LEN(TRIM(AD12))&gt;0</formula>
    </cfRule>
  </conditionalFormatting>
  <conditionalFormatting sqref="AD13">
    <cfRule type="notContainsBlanks" dxfId="107" priority="9">
      <formula>LEN(TRIM(AD13))&gt;0</formula>
    </cfRule>
  </conditionalFormatting>
  <conditionalFormatting sqref="AD14">
    <cfRule type="notContainsBlanks" dxfId="106" priority="10">
      <formula>LEN(TRIM(AD14))&gt;0</formula>
    </cfRule>
  </conditionalFormatting>
  <conditionalFormatting sqref="AD15:AD16">
    <cfRule type="notContainsBlanks" dxfId="105" priority="11">
      <formula>LEN(TRIM(AD15))&gt;0</formula>
    </cfRule>
  </conditionalFormatting>
  <conditionalFormatting sqref="AD17">
    <cfRule type="notContainsBlanks" dxfId="104" priority="12">
      <formula>LEN(TRIM(AD17))&gt;0</formula>
    </cfRule>
  </conditionalFormatting>
  <conditionalFormatting sqref="AD18">
    <cfRule type="notContainsBlanks" dxfId="103" priority="13">
      <formula>LEN(TRIM(AD18))&gt;0</formula>
    </cfRule>
  </conditionalFormatting>
  <conditionalFormatting sqref="AD19:AD20">
    <cfRule type="notContainsBlanks" dxfId="102" priority="14">
      <formula>LEN(TRIM(AD19))&gt;0</formula>
    </cfRule>
  </conditionalFormatting>
  <conditionalFormatting sqref="AD21:AD23">
    <cfRule type="notContainsBlanks" dxfId="101" priority="15">
      <formula>LEN(TRIM(AD21))&gt;0</formula>
    </cfRule>
  </conditionalFormatting>
  <conditionalFormatting sqref="AD24:AD25">
    <cfRule type="notContainsBlanks" dxfId="100" priority="16">
      <formula>LEN(TRIM(AD24))&gt;0</formula>
    </cfRule>
  </conditionalFormatting>
  <conditionalFormatting sqref="AD26:AD35">
    <cfRule type="notContainsBlanks" dxfId="99" priority="17">
      <formula>LEN(TRIM(AD26))&gt;0</formula>
    </cfRule>
  </conditionalFormatting>
  <conditionalFormatting sqref="AD36">
    <cfRule type="notContainsBlanks" dxfId="98" priority="18">
      <formula>LEN(TRIM(AD36))&gt;0</formula>
    </cfRule>
  </conditionalFormatting>
  <conditionalFormatting sqref="AD37:AD38">
    <cfRule type="notContainsBlanks" dxfId="97" priority="19">
      <formula>LEN(TRIM(AD37))&gt;0</formula>
    </cfRule>
  </conditionalFormatting>
  <conditionalFormatting sqref="AD39">
    <cfRule type="notContainsBlanks" dxfId="96" priority="20">
      <formula>LEN(TRIM(AD39))&gt;0</formula>
    </cfRule>
  </conditionalFormatting>
  <conditionalFormatting sqref="AD40">
    <cfRule type="notContainsBlanks" dxfId="95" priority="21">
      <formula>LEN(TRIM(AD40))&gt;0</formula>
    </cfRule>
  </conditionalFormatting>
  <conditionalFormatting sqref="AD41">
    <cfRule type="notContainsBlanks" dxfId="94" priority="22">
      <formula>LEN(TRIM(AD41))&gt;0</formula>
    </cfRule>
  </conditionalFormatting>
  <conditionalFormatting sqref="AD42:AD46">
    <cfRule type="notContainsBlanks" dxfId="93" priority="23">
      <formula>LEN(TRIM(AD42))&gt;0</formula>
    </cfRule>
  </conditionalFormatting>
  <conditionalFormatting sqref="AD47">
    <cfRule type="notContainsBlanks" dxfId="92" priority="24">
      <formula>LEN(TRIM(AD47))&gt;0</formula>
    </cfRule>
  </conditionalFormatting>
  <conditionalFormatting sqref="AD48">
    <cfRule type="notContainsBlanks" dxfId="91" priority="25">
      <formula>LEN(TRIM(AD48))&gt;0</formula>
    </cfRule>
  </conditionalFormatting>
  <conditionalFormatting sqref="AD49">
    <cfRule type="notContainsBlanks" dxfId="90" priority="26">
      <formula>LEN(TRIM(AD49))&gt;0</formula>
    </cfRule>
  </conditionalFormatting>
  <conditionalFormatting sqref="AD50:AD52">
    <cfRule type="notContainsBlanks" dxfId="89" priority="27">
      <formula>LEN(TRIM(AD50))&gt;0</formula>
    </cfRule>
  </conditionalFormatting>
  <conditionalFormatting sqref="AD53">
    <cfRule type="notContainsBlanks" dxfId="88" priority="28">
      <formula>LEN(TRIM(AD53))&gt;0</formula>
    </cfRule>
  </conditionalFormatting>
  <conditionalFormatting sqref="AD54:AD57">
    <cfRule type="notContainsBlanks" dxfId="87" priority="29">
      <formula>LEN(TRIM(AD54))&gt;0</formula>
    </cfRule>
  </conditionalFormatting>
  <conditionalFormatting sqref="AD58">
    <cfRule type="notContainsBlanks" dxfId="86" priority="30">
      <formula>LEN(TRIM(AD58))&gt;0</formula>
    </cfRule>
  </conditionalFormatting>
  <conditionalFormatting sqref="AD59:AD68">
    <cfRule type="notContainsBlanks" dxfId="85" priority="31">
      <formula>LEN(TRIM(AD59))&gt;0</formula>
    </cfRule>
  </conditionalFormatting>
  <conditionalFormatting sqref="AD69">
    <cfRule type="notContainsBlanks" dxfId="84" priority="32">
      <formula>LEN(TRIM(AD69))&gt;0</formula>
    </cfRule>
  </conditionalFormatting>
  <conditionalFormatting sqref="AD70:AD71">
    <cfRule type="notContainsBlanks" dxfId="83" priority="33">
      <formula>LEN(TRIM(AD70))&gt;0</formula>
    </cfRule>
  </conditionalFormatting>
  <conditionalFormatting sqref="AD72">
    <cfRule type="notContainsBlanks" dxfId="82" priority="34">
      <formula>LEN(TRIM(AD72))&gt;0</formula>
    </cfRule>
  </conditionalFormatting>
  <conditionalFormatting sqref="AD73">
    <cfRule type="notContainsBlanks" dxfId="81" priority="35">
      <formula>LEN(TRIM(AD73))&gt;0</formula>
    </cfRule>
  </conditionalFormatting>
  <conditionalFormatting sqref="AD74">
    <cfRule type="notContainsBlanks" dxfId="80" priority="36">
      <formula>LEN(TRIM(AD74))&gt;0</formula>
    </cfRule>
  </conditionalFormatting>
  <conditionalFormatting sqref="AD75">
    <cfRule type="notContainsBlanks" dxfId="79" priority="37">
      <formula>LEN(TRIM(AD75))&gt;0</formula>
    </cfRule>
  </conditionalFormatting>
  <conditionalFormatting sqref="AD76">
    <cfRule type="notContainsBlanks" dxfId="78" priority="38">
      <formula>LEN(TRIM(AD76))&gt;0</formula>
    </cfRule>
  </conditionalFormatting>
  <conditionalFormatting sqref="AD77:AD86">
    <cfRule type="notContainsBlanks" dxfId="77" priority="39">
      <formula>LEN(TRIM(AD77))&gt;0</formula>
    </cfRule>
  </conditionalFormatting>
  <conditionalFormatting sqref="AD87">
    <cfRule type="notContainsBlanks" dxfId="76" priority="40">
      <formula>LEN(TRIM(AD87))&gt;0</formula>
    </cfRule>
  </conditionalFormatting>
  <conditionalFormatting sqref="AD88:AD89">
    <cfRule type="notContainsBlanks" dxfId="75" priority="41">
      <formula>LEN(TRIM(AD88))&gt;0</formula>
    </cfRule>
  </conditionalFormatting>
  <conditionalFormatting sqref="AD90">
    <cfRule type="notContainsBlanks" dxfId="74" priority="42">
      <formula>LEN(TRIM(AD90))&gt;0</formula>
    </cfRule>
  </conditionalFormatting>
  <conditionalFormatting sqref="AD91">
    <cfRule type="notContainsBlanks" dxfId="73" priority="43">
      <formula>LEN(TRIM(AD91))&gt;0</formula>
    </cfRule>
  </conditionalFormatting>
  <conditionalFormatting sqref="AD92">
    <cfRule type="notContainsBlanks" dxfId="72" priority="44">
      <formula>LEN(TRIM(AD92))&gt;0</formula>
    </cfRule>
  </conditionalFormatting>
  <conditionalFormatting sqref="AD93:AD95">
    <cfRule type="notContainsBlanks" dxfId="71" priority="45">
      <formula>LEN(TRIM(AD93))&gt;0</formula>
    </cfRule>
  </conditionalFormatting>
  <conditionalFormatting sqref="AD96">
    <cfRule type="notContainsBlanks" dxfId="70" priority="46">
      <formula>LEN(TRIM(AD96))&gt;0</formula>
    </cfRule>
  </conditionalFormatting>
  <conditionalFormatting sqref="AD97">
    <cfRule type="notContainsBlanks" dxfId="69" priority="47">
      <formula>LEN(TRIM(AD97))&gt;0</formula>
    </cfRule>
  </conditionalFormatting>
  <conditionalFormatting sqref="AD98">
    <cfRule type="notContainsBlanks" dxfId="68" priority="48">
      <formula>LEN(TRIM(AD98))&gt;0</formula>
    </cfRule>
  </conditionalFormatting>
  <conditionalFormatting sqref="AD99:AD107">
    <cfRule type="notContainsBlanks" dxfId="67" priority="49">
      <formula>LEN(TRIM(AD99))&gt;0</formula>
    </cfRule>
  </conditionalFormatting>
  <conditionalFormatting sqref="AD108">
    <cfRule type="notContainsBlanks" dxfId="66" priority="50">
      <formula>LEN(TRIM(AD108))&gt;0</formula>
    </cfRule>
  </conditionalFormatting>
  <conditionalFormatting sqref="AD109">
    <cfRule type="notContainsBlanks" dxfId="65" priority="51">
      <formula>LEN(TRIM(AD109))&gt;0</formula>
    </cfRule>
  </conditionalFormatting>
  <conditionalFormatting sqref="AD110">
    <cfRule type="notContainsBlanks" dxfId="64" priority="52">
      <formula>LEN(TRIM(AD110))&gt;0</formula>
    </cfRule>
  </conditionalFormatting>
  <conditionalFormatting sqref="AD111:AD119">
    <cfRule type="notContainsBlanks" dxfId="63" priority="53">
      <formula>LEN(TRIM(AD111))&gt;0</formula>
    </cfRule>
  </conditionalFormatting>
  <conditionalFormatting sqref="AD120">
    <cfRule type="notContainsBlanks" dxfId="62" priority="54">
      <formula>LEN(TRIM(AD120))&gt;0</formula>
    </cfRule>
  </conditionalFormatting>
  <conditionalFormatting sqref="AD121:AD153">
    <cfRule type="notContainsBlanks" dxfId="61" priority="55">
      <formula>LEN(TRIM(AD121))&gt;0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D174"/>
  <sheetViews>
    <sheetView workbookViewId="0">
      <pane xSplit="3" ySplit="1" topLeftCell="D129" activePane="bottomRight" state="frozen"/>
      <selection pane="topRight" activeCell="C1" sqref="C1"/>
      <selection pane="bottomLeft" activeCell="A2" sqref="A2"/>
      <selection pane="bottomRight" activeCell="A147" sqref="A147"/>
    </sheetView>
  </sheetViews>
  <sheetFormatPr defaultRowHeight="15" x14ac:dyDescent="0.25"/>
  <cols>
    <col min="2" max="2" width="14.7109375" customWidth="1"/>
    <col min="3" max="3" width="15.140625" customWidth="1"/>
  </cols>
  <sheetData>
    <row r="1" spans="1:30" s="62" customFormat="1" ht="15.75" customHeight="1" x14ac:dyDescent="0.25">
      <c r="A1" s="72"/>
      <c r="C1" s="62" t="s">
        <v>0</v>
      </c>
    </row>
    <row r="2" spans="1:30" s="63" customFormat="1" ht="12" customHeight="1" x14ac:dyDescent="0.2">
      <c r="A2" s="73"/>
    </row>
    <row r="3" spans="1:30" s="63" customFormat="1" ht="12" customHeight="1" x14ac:dyDescent="0.2">
      <c r="A3" s="73"/>
      <c r="D3" s="63" t="s">
        <v>1</v>
      </c>
      <c r="E3" s="63" t="s">
        <v>2</v>
      </c>
    </row>
    <row r="4" spans="1:30" s="63" customFormat="1" ht="12" customHeight="1" x14ac:dyDescent="0.2">
      <c r="A4" s="73"/>
      <c r="D4" s="63" t="s">
        <v>3</v>
      </c>
      <c r="E4" s="63" t="s">
        <v>4</v>
      </c>
      <c r="G4" s="63" t="s">
        <v>5</v>
      </c>
    </row>
    <row r="5" spans="1:30" s="63" customFormat="1" ht="12" customHeight="1" x14ac:dyDescent="0.2">
      <c r="A5" s="73"/>
      <c r="D5" s="63" t="s">
        <v>6</v>
      </c>
      <c r="E5" s="63" t="s">
        <v>7</v>
      </c>
    </row>
    <row r="6" spans="1:30" s="63" customFormat="1" ht="12" customHeight="1" x14ac:dyDescent="0.2">
      <c r="A6" s="73"/>
      <c r="D6" s="63" t="s">
        <v>8</v>
      </c>
      <c r="F6" s="63" t="s">
        <v>9</v>
      </c>
    </row>
    <row r="7" spans="1:30" s="64" customFormat="1" ht="15.75" customHeight="1" x14ac:dyDescent="0.25">
      <c r="A7" s="72"/>
      <c r="C7" s="64" t="s">
        <v>1090</v>
      </c>
    </row>
    <row r="8" spans="1:30" s="65" customFormat="1" ht="12" customHeight="1" x14ac:dyDescent="0.2">
      <c r="A8" s="73"/>
      <c r="C8" s="65" t="s">
        <v>11</v>
      </c>
    </row>
    <row r="9" spans="1:30" s="63" customFormat="1" ht="12" customHeight="1" x14ac:dyDescent="0.2">
      <c r="A9" s="73"/>
      <c r="AD9" s="63" t="s">
        <v>12</v>
      </c>
    </row>
    <row r="10" spans="1:30" s="66" customFormat="1" ht="12" customHeight="1" x14ac:dyDescent="0.2">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2">
      <c r="A11" s="73"/>
    </row>
    <row r="12" spans="1:30" s="67" customFormat="1" ht="12" customHeight="1" x14ac:dyDescent="0.2">
      <c r="A12" s="74"/>
      <c r="C12" s="67" t="s">
        <v>15</v>
      </c>
    </row>
    <row r="13" spans="1:30" s="67" customFormat="1" ht="12" customHeight="1" x14ac:dyDescent="0.2">
      <c r="A13" s="74"/>
      <c r="C13" s="67" t="s">
        <v>1091</v>
      </c>
    </row>
    <row r="14" spans="1:30" s="65" customFormat="1" ht="12" customHeight="1" x14ac:dyDescent="0.2">
      <c r="A14" s="73">
        <v>1</v>
      </c>
      <c r="B14" s="65" t="s">
        <v>1092</v>
      </c>
      <c r="C14" s="65" t="s">
        <v>1093</v>
      </c>
      <c r="D14" s="65">
        <v>89.551807999999994</v>
      </c>
      <c r="E14" s="65">
        <v>90.499319999999997</v>
      </c>
      <c r="F14" s="65">
        <v>91.445952000000005</v>
      </c>
      <c r="G14" s="65">
        <v>92.375528000000003</v>
      </c>
      <c r="H14" s="65">
        <v>93.308328000000003</v>
      </c>
      <c r="I14" s="65">
        <v>94.243120000000005</v>
      </c>
      <c r="J14" s="65">
        <v>95.158208000000002</v>
      </c>
      <c r="K14" s="65">
        <v>96.071575999999993</v>
      </c>
      <c r="L14" s="65">
        <v>96.973696000000004</v>
      </c>
      <c r="M14" s="65">
        <v>97.853279999999998</v>
      </c>
      <c r="N14" s="65">
        <v>98.716440000000006</v>
      </c>
      <c r="O14" s="65">
        <v>99.555663999999993</v>
      </c>
      <c r="P14" s="65">
        <v>100.3796</v>
      </c>
      <c r="Q14" s="65">
        <v>101.179768</v>
      </c>
      <c r="R14" s="65">
        <v>101.948536</v>
      </c>
      <c r="S14" s="65">
        <v>102.68970400000001</v>
      </c>
      <c r="T14" s="65">
        <v>103.400256</v>
      </c>
      <c r="U14" s="65">
        <v>104.09390399999999</v>
      </c>
      <c r="V14" s="65">
        <v>104.76102400000001</v>
      </c>
      <c r="W14" s="65">
        <v>105.404848</v>
      </c>
      <c r="X14" s="65">
        <v>106.04945600000001</v>
      </c>
      <c r="Y14" s="65">
        <v>106.69841599999999</v>
      </c>
      <c r="Z14" s="65">
        <v>107.34532</v>
      </c>
      <c r="AA14" s="65">
        <v>107.99104</v>
      </c>
      <c r="AB14" s="65">
        <v>108.635976</v>
      </c>
      <c r="AC14" s="65">
        <v>109.283816</v>
      </c>
      <c r="AD14" s="65">
        <v>7.9970467786396604E-3</v>
      </c>
    </row>
    <row r="15" spans="1:30" s="65" customFormat="1" ht="12" customHeight="1" x14ac:dyDescent="0.2">
      <c r="A15" s="73">
        <v>2</v>
      </c>
      <c r="B15" s="65" t="s">
        <v>1094</v>
      </c>
      <c r="C15" s="65" t="s">
        <v>1095</v>
      </c>
      <c r="D15" s="65">
        <v>34.432312000000003</v>
      </c>
      <c r="E15" s="65">
        <v>34.836668000000003</v>
      </c>
      <c r="F15" s="65">
        <v>35.242792000000001</v>
      </c>
      <c r="G15" s="65">
        <v>35.639104000000003</v>
      </c>
      <c r="H15" s="65">
        <v>36.037196000000002</v>
      </c>
      <c r="I15" s="65">
        <v>36.453671999999997</v>
      </c>
      <c r="J15" s="65">
        <v>36.903640000000003</v>
      </c>
      <c r="K15" s="65">
        <v>37.355531999999997</v>
      </c>
      <c r="L15" s="65">
        <v>37.797055999999998</v>
      </c>
      <c r="M15" s="65">
        <v>38.222763999999998</v>
      </c>
      <c r="N15" s="65">
        <v>38.636755999999998</v>
      </c>
      <c r="O15" s="65">
        <v>39.039476000000001</v>
      </c>
      <c r="P15" s="65">
        <v>39.397843999999999</v>
      </c>
      <c r="Q15" s="65">
        <v>39.730519999999999</v>
      </c>
      <c r="R15" s="65">
        <v>40.040472000000001</v>
      </c>
      <c r="S15" s="65">
        <v>40.33182</v>
      </c>
      <c r="T15" s="65">
        <v>40.601424000000002</v>
      </c>
      <c r="U15" s="65">
        <v>40.853960000000001</v>
      </c>
      <c r="V15" s="65">
        <v>41.099856000000003</v>
      </c>
      <c r="W15" s="65">
        <v>41.347656000000001</v>
      </c>
      <c r="X15" s="65">
        <v>41.597008000000002</v>
      </c>
      <c r="Y15" s="65">
        <v>41.846876000000002</v>
      </c>
      <c r="Z15" s="65">
        <v>42.095095999999998</v>
      </c>
      <c r="AA15" s="65">
        <v>42.342736000000002</v>
      </c>
      <c r="AB15" s="65">
        <v>42.590232</v>
      </c>
      <c r="AC15" s="65">
        <v>42.838628</v>
      </c>
      <c r="AD15" s="65">
        <v>8.7760776558121201E-3</v>
      </c>
    </row>
    <row r="16" spans="1:30" s="65" customFormat="1" ht="12" customHeight="1" x14ac:dyDescent="0.2">
      <c r="A16" s="73">
        <v>3</v>
      </c>
      <c r="B16" s="65" t="s">
        <v>1096</v>
      </c>
      <c r="C16" s="65" t="s">
        <v>1097</v>
      </c>
      <c r="D16" s="65">
        <v>6.7450950000000001</v>
      </c>
      <c r="E16" s="65">
        <v>6.7594225000000003</v>
      </c>
      <c r="F16" s="65">
        <v>6.806991</v>
      </c>
      <c r="G16" s="65">
        <v>6.8581649999999996</v>
      </c>
      <c r="H16" s="65">
        <v>6.9037110000000004</v>
      </c>
      <c r="I16" s="65">
        <v>6.9130140000000004</v>
      </c>
      <c r="J16" s="65">
        <v>6.915089</v>
      </c>
      <c r="K16" s="65">
        <v>6.9182519999999998</v>
      </c>
      <c r="L16" s="65">
        <v>6.921087</v>
      </c>
      <c r="M16" s="65">
        <v>6.9234134999999997</v>
      </c>
      <c r="N16" s="65">
        <v>6.9269959999999999</v>
      </c>
      <c r="O16" s="65">
        <v>6.9313560000000001</v>
      </c>
      <c r="P16" s="65">
        <v>6.9329989999999997</v>
      </c>
      <c r="Q16" s="65">
        <v>6.9327449999999997</v>
      </c>
      <c r="R16" s="65">
        <v>6.9276109999999997</v>
      </c>
      <c r="S16" s="65">
        <v>6.924169</v>
      </c>
      <c r="T16" s="65">
        <v>6.9226830000000001</v>
      </c>
      <c r="U16" s="65">
        <v>6.9217560000000002</v>
      </c>
      <c r="V16" s="65">
        <v>6.9220889999999997</v>
      </c>
      <c r="W16" s="65">
        <v>6.9248770000000004</v>
      </c>
      <c r="X16" s="65">
        <v>6.9295859999999996</v>
      </c>
      <c r="Y16" s="65">
        <v>6.9344039999999998</v>
      </c>
      <c r="Z16" s="65">
        <v>6.9393295000000004</v>
      </c>
      <c r="AA16" s="65">
        <v>6.9430185</v>
      </c>
      <c r="AB16" s="65">
        <v>6.9465225000000004</v>
      </c>
      <c r="AC16" s="65">
        <v>6.950291</v>
      </c>
      <c r="AD16" s="65">
        <v>1.199436955279243E-3</v>
      </c>
    </row>
    <row r="17" spans="1:30" s="67" customFormat="1" ht="12" customHeight="1" x14ac:dyDescent="0.2">
      <c r="A17" s="73">
        <v>4</v>
      </c>
      <c r="B17" s="67" t="s">
        <v>1098</v>
      </c>
      <c r="C17" s="67" t="s">
        <v>22</v>
      </c>
      <c r="D17" s="67">
        <v>130.72921500000001</v>
      </c>
      <c r="E17" s="67">
        <v>132.09541050000001</v>
      </c>
      <c r="F17" s="67">
        <v>133.495735</v>
      </c>
      <c r="G17" s="67">
        <v>134.87279699999999</v>
      </c>
      <c r="H17" s="67">
        <v>136.249235</v>
      </c>
      <c r="I17" s="67">
        <v>137.60980599999999</v>
      </c>
      <c r="J17" s="67">
        <v>138.97693699999999</v>
      </c>
      <c r="K17" s="67">
        <v>140.34536</v>
      </c>
      <c r="L17" s="67">
        <v>141.69183899999999</v>
      </c>
      <c r="M17" s="67">
        <v>142.99945750000001</v>
      </c>
      <c r="N17" s="67">
        <v>144.280192</v>
      </c>
      <c r="O17" s="67">
        <v>145.52649600000001</v>
      </c>
      <c r="P17" s="67">
        <v>146.710443</v>
      </c>
      <c r="Q17" s="67">
        <v>147.84303299999999</v>
      </c>
      <c r="R17" s="67">
        <v>148.916619</v>
      </c>
      <c r="S17" s="67">
        <v>149.94569300000001</v>
      </c>
      <c r="T17" s="67">
        <v>150.924363</v>
      </c>
      <c r="U17" s="67">
        <v>151.86962</v>
      </c>
      <c r="V17" s="67">
        <v>152.78296900000001</v>
      </c>
      <c r="W17" s="67">
        <v>153.677381</v>
      </c>
      <c r="X17" s="67">
        <v>154.57605000000001</v>
      </c>
      <c r="Y17" s="67">
        <v>155.47969599999999</v>
      </c>
      <c r="Z17" s="67">
        <v>156.37974550000001</v>
      </c>
      <c r="AA17" s="67">
        <v>157.27679449999999</v>
      </c>
      <c r="AB17" s="67">
        <v>158.1727305</v>
      </c>
      <c r="AC17" s="67">
        <v>159.07273499999999</v>
      </c>
      <c r="AD17" s="67">
        <v>7.8802239127684359E-3</v>
      </c>
    </row>
    <row r="18" spans="1:30" s="65" customFormat="1" ht="12" customHeight="1" x14ac:dyDescent="0.2">
      <c r="A18" s="73">
        <v>5</v>
      </c>
    </row>
    <row r="19" spans="1:30" s="68" customFormat="1" ht="12" customHeight="1" x14ac:dyDescent="0.2">
      <c r="A19" s="73">
        <v>6</v>
      </c>
      <c r="B19" s="68" t="s">
        <v>1099</v>
      </c>
      <c r="C19" s="68" t="s">
        <v>1100</v>
      </c>
      <c r="D19" s="68">
        <v>1648.580932617188</v>
      </c>
      <c r="E19" s="68">
        <v>1653.800903320312</v>
      </c>
      <c r="F19" s="68">
        <v>1658.75341796875</v>
      </c>
      <c r="G19" s="68">
        <v>1663.61962890625</v>
      </c>
      <c r="H19" s="68">
        <v>1668.383911132812</v>
      </c>
      <c r="I19" s="68">
        <v>1673.056884765625</v>
      </c>
      <c r="J19" s="68">
        <v>1677.398559570312</v>
      </c>
      <c r="K19" s="68">
        <v>1681.615356445312</v>
      </c>
      <c r="L19" s="68">
        <v>1685.791870117188</v>
      </c>
      <c r="M19" s="68">
        <v>1689.955688476562</v>
      </c>
      <c r="N19" s="68">
        <v>1694.082885742188</v>
      </c>
      <c r="O19" s="68">
        <v>1698.1728515625</v>
      </c>
      <c r="P19" s="68">
        <v>1702.468627929688</v>
      </c>
      <c r="Q19" s="68">
        <v>1706.83984375</v>
      </c>
      <c r="R19" s="68">
        <v>1711.274047851562</v>
      </c>
      <c r="S19" s="68">
        <v>1715.727783203125</v>
      </c>
      <c r="T19" s="68">
        <v>1720.223876953125</v>
      </c>
      <c r="U19" s="68">
        <v>1724.752197265625</v>
      </c>
      <c r="V19" s="68">
        <v>1729.234130859375</v>
      </c>
      <c r="W19" s="68">
        <v>1733.615600585938</v>
      </c>
      <c r="X19" s="68">
        <v>1737.918823242188</v>
      </c>
      <c r="Y19" s="68">
        <v>1742.162353515625</v>
      </c>
      <c r="Z19" s="68">
        <v>1746.357177734375</v>
      </c>
      <c r="AA19" s="68">
        <v>1750.502319335938</v>
      </c>
      <c r="AB19" s="68">
        <v>1754.593017578125</v>
      </c>
      <c r="AC19" s="68">
        <v>1758.6240234375</v>
      </c>
      <c r="AD19" s="68">
        <v>2.5880160021416469E-3</v>
      </c>
    </row>
    <row r="20" spans="1:30" s="65" customFormat="1" ht="12" customHeight="1" x14ac:dyDescent="0.2">
      <c r="A20" s="73">
        <v>7</v>
      </c>
    </row>
    <row r="21" spans="1:30" s="67" customFormat="1" ht="12" customHeight="1" x14ac:dyDescent="0.2">
      <c r="A21" s="73">
        <v>8</v>
      </c>
      <c r="C21" s="67" t="s">
        <v>1101</v>
      </c>
    </row>
    <row r="22" spans="1:30" s="67" customFormat="1" ht="12" customHeight="1" x14ac:dyDescent="0.2">
      <c r="A22" s="73">
        <v>9</v>
      </c>
      <c r="C22" s="67" t="s">
        <v>1102</v>
      </c>
    </row>
    <row r="23" spans="1:30" s="69" customFormat="1" ht="12" customHeight="1" x14ac:dyDescent="0.2">
      <c r="A23" s="73">
        <v>10</v>
      </c>
      <c r="B23" s="69" t="s">
        <v>1103</v>
      </c>
      <c r="C23" s="69" t="s">
        <v>1104</v>
      </c>
      <c r="D23" s="69">
        <v>89.060958164554123</v>
      </c>
      <c r="E23" s="69">
        <v>86.654178526512851</v>
      </c>
      <c r="F23" s="69">
        <v>85.803575732213446</v>
      </c>
      <c r="G23" s="69">
        <v>85.129928164832222</v>
      </c>
      <c r="H23" s="69">
        <v>84.07061112673405</v>
      </c>
      <c r="I23" s="69">
        <v>82.772625084581534</v>
      </c>
      <c r="J23" s="69">
        <v>81.43821978174698</v>
      </c>
      <c r="K23" s="69">
        <v>80.199732217723508</v>
      </c>
      <c r="L23" s="69">
        <v>79.037514969369553</v>
      </c>
      <c r="M23" s="69">
        <v>78.012083605282228</v>
      </c>
      <c r="N23" s="69">
        <v>77.086948276309485</v>
      </c>
      <c r="O23" s="69">
        <v>76.247253324920322</v>
      </c>
      <c r="P23" s="69">
        <v>75.471804362283876</v>
      </c>
      <c r="Q23" s="69">
        <v>74.779412365004717</v>
      </c>
      <c r="R23" s="69">
        <v>74.147297058899781</v>
      </c>
      <c r="S23" s="69">
        <v>73.529512541583998</v>
      </c>
      <c r="T23" s="69">
        <v>72.987660183134267</v>
      </c>
      <c r="U23" s="69">
        <v>72.550300988439972</v>
      </c>
      <c r="V23" s="69">
        <v>72.191370453077127</v>
      </c>
      <c r="W23" s="69">
        <v>71.873313848314496</v>
      </c>
      <c r="X23" s="69">
        <v>71.554366294131583</v>
      </c>
      <c r="Y23" s="69">
        <v>71.242594184130652</v>
      </c>
      <c r="Z23" s="69">
        <v>70.912942418108727</v>
      </c>
      <c r="AA23" s="69">
        <v>70.590441350837679</v>
      </c>
      <c r="AB23" s="69">
        <v>70.298458886375485</v>
      </c>
      <c r="AC23" s="69">
        <v>70.025752911081852</v>
      </c>
      <c r="AD23" s="69">
        <v>-9.5722113258980279E-3</v>
      </c>
    </row>
    <row r="24" spans="1:30" s="69" customFormat="1" ht="12" customHeight="1" x14ac:dyDescent="0.2">
      <c r="A24" s="73">
        <v>11</v>
      </c>
      <c r="B24" s="69" t="s">
        <v>1105</v>
      </c>
      <c r="C24" s="69" t="s">
        <v>28</v>
      </c>
      <c r="D24" s="69">
        <v>87.644801447021621</v>
      </c>
      <c r="E24" s="69">
        <v>85.169031273800385</v>
      </c>
      <c r="F24" s="69">
        <v>84.244949638278683</v>
      </c>
      <c r="G24" s="69">
        <v>83.496612471082656</v>
      </c>
      <c r="H24" s="69">
        <v>82.368483052400279</v>
      </c>
      <c r="I24" s="69">
        <v>80.999154028311025</v>
      </c>
      <c r="J24" s="69">
        <v>79.589085576119757</v>
      </c>
      <c r="K24" s="69">
        <v>78.275952193930777</v>
      </c>
      <c r="L24" s="69">
        <v>77.0362922454553</v>
      </c>
      <c r="M24" s="69">
        <v>75.928767841654249</v>
      </c>
      <c r="N24" s="69">
        <v>74.916512794770895</v>
      </c>
      <c r="O24" s="69">
        <v>73.985585401575278</v>
      </c>
      <c r="P24" s="69">
        <v>73.112307594899704</v>
      </c>
      <c r="Q24" s="69">
        <v>72.317409627276788</v>
      </c>
      <c r="R24" s="69">
        <v>71.577848231969327</v>
      </c>
      <c r="S24" s="69">
        <v>70.849099760404613</v>
      </c>
      <c r="T24" s="69">
        <v>70.192104001128058</v>
      </c>
      <c r="U24" s="69">
        <v>69.636396495889059</v>
      </c>
      <c r="V24" s="69">
        <v>69.156582144964062</v>
      </c>
      <c r="W24" s="69">
        <v>68.71355505466353</v>
      </c>
      <c r="X24" s="69">
        <v>68.267576962925361</v>
      </c>
      <c r="Y24" s="69">
        <v>67.825554727094413</v>
      </c>
      <c r="Z24" s="69">
        <v>67.362432074043738</v>
      </c>
      <c r="AA24" s="69">
        <v>66.902168825675048</v>
      </c>
      <c r="AB24" s="69">
        <v>66.470930853659382</v>
      </c>
      <c r="AC24" s="69">
        <v>66.055663027356644</v>
      </c>
      <c r="AD24" s="69">
        <v>-1.1248043695201489E-2</v>
      </c>
    </row>
    <row r="25" spans="1:30" s="67" customFormat="1" ht="12" customHeight="1" x14ac:dyDescent="0.2">
      <c r="A25" s="73">
        <v>12</v>
      </c>
      <c r="C25" s="67" t="s">
        <v>24</v>
      </c>
    </row>
    <row r="26" spans="1:30" s="69" customFormat="1" ht="12" customHeight="1" x14ac:dyDescent="0.2">
      <c r="A26" s="73">
        <v>13</v>
      </c>
      <c r="B26" s="69" t="s">
        <v>1106</v>
      </c>
      <c r="C26" s="69" t="s">
        <v>1104</v>
      </c>
      <c r="D26" s="69">
        <v>54.022800095817153</v>
      </c>
      <c r="E26" s="69">
        <v>52.396983429225664</v>
      </c>
      <c r="F26" s="69">
        <v>51.727746151254621</v>
      </c>
      <c r="G26" s="69">
        <v>51.171509812493049</v>
      </c>
      <c r="H26" s="69">
        <v>50.390447046238371</v>
      </c>
      <c r="I26" s="69">
        <v>49.473885698857742</v>
      </c>
      <c r="J26" s="69">
        <v>48.550309833703707</v>
      </c>
      <c r="K26" s="69">
        <v>47.692078875429601</v>
      </c>
      <c r="L26" s="69">
        <v>46.884503579837087</v>
      </c>
      <c r="M26" s="69">
        <v>46.16220658164562</v>
      </c>
      <c r="N26" s="69">
        <v>45.503646205915857</v>
      </c>
      <c r="O26" s="69">
        <v>44.899583251943241</v>
      </c>
      <c r="P26" s="69">
        <v>44.330804764409962</v>
      </c>
      <c r="Q26" s="69">
        <v>43.811616326410068</v>
      </c>
      <c r="R26" s="69">
        <v>43.328710063703006</v>
      </c>
      <c r="S26" s="69">
        <v>42.856164749113262</v>
      </c>
      <c r="T26" s="69">
        <v>42.429163529813707</v>
      </c>
      <c r="U26" s="69">
        <v>42.06418817929859</v>
      </c>
      <c r="V26" s="69">
        <v>41.747597485367862</v>
      </c>
      <c r="W26" s="69">
        <v>41.458621982879208</v>
      </c>
      <c r="X26" s="69">
        <v>41.172444499244683</v>
      </c>
      <c r="Y26" s="69">
        <v>40.893200361243878</v>
      </c>
      <c r="Z26" s="69">
        <v>40.606207780533857</v>
      </c>
      <c r="AA26" s="69">
        <v>40.325819949565421</v>
      </c>
      <c r="AB26" s="69">
        <v>40.065393046764108</v>
      </c>
      <c r="AC26" s="69">
        <v>39.818489897690462</v>
      </c>
      <c r="AD26" s="69">
        <v>-1.212883770197948E-2</v>
      </c>
    </row>
    <row r="27" spans="1:30" s="69" customFormat="1" ht="12" customHeight="1" x14ac:dyDescent="0.2">
      <c r="A27" s="73">
        <v>14</v>
      </c>
      <c r="B27" s="69" t="s">
        <v>1107</v>
      </c>
      <c r="C27" s="69" t="s">
        <v>28</v>
      </c>
      <c r="D27" s="69">
        <v>53.163784508827263</v>
      </c>
      <c r="E27" s="69">
        <v>51.498962845411278</v>
      </c>
      <c r="F27" s="69">
        <v>50.788109146109271</v>
      </c>
      <c r="G27" s="69">
        <v>50.189725475875562</v>
      </c>
      <c r="H27" s="69">
        <v>49.370221387757852</v>
      </c>
      <c r="I27" s="69">
        <v>48.413867314295189</v>
      </c>
      <c r="J27" s="69">
        <v>47.447927698535487</v>
      </c>
      <c r="K27" s="69">
        <v>46.548071706121092</v>
      </c>
      <c r="L27" s="69">
        <v>45.697392193557157</v>
      </c>
      <c r="M27" s="69">
        <v>44.929443037705589</v>
      </c>
      <c r="N27" s="69">
        <v>44.222460084619499</v>
      </c>
      <c r="O27" s="69">
        <v>43.567758920124447</v>
      </c>
      <c r="P27" s="69">
        <v>42.944878040900541</v>
      </c>
      <c r="Q27" s="69">
        <v>42.369182962352433</v>
      </c>
      <c r="R27" s="69">
        <v>41.827227101253897</v>
      </c>
      <c r="S27" s="69">
        <v>41.2939048105493</v>
      </c>
      <c r="T27" s="69">
        <v>40.804051694395092</v>
      </c>
      <c r="U27" s="69">
        <v>40.374725485950208</v>
      </c>
      <c r="V27" s="69">
        <v>39.992607658394647</v>
      </c>
      <c r="W27" s="69">
        <v>39.63598102799682</v>
      </c>
      <c r="X27" s="69">
        <v>39.281223064014164</v>
      </c>
      <c r="Y27" s="69">
        <v>38.931822048745772</v>
      </c>
      <c r="Z27" s="69">
        <v>38.573112610007961</v>
      </c>
      <c r="AA27" s="69">
        <v>38.218840436072519</v>
      </c>
      <c r="AB27" s="69">
        <v>37.883959520943257</v>
      </c>
      <c r="AC27" s="69">
        <v>37.560992086438539</v>
      </c>
      <c r="AD27" s="69">
        <v>-1.3800344185755259E-2</v>
      </c>
    </row>
    <row r="28" spans="1:30" s="65" customFormat="1" ht="12" customHeight="1" x14ac:dyDescent="0.2">
      <c r="A28" s="73">
        <v>15</v>
      </c>
    </row>
    <row r="29" spans="1:30" s="67" customFormat="1" ht="12" customHeight="1" x14ac:dyDescent="0.2">
      <c r="A29" s="73">
        <v>16</v>
      </c>
      <c r="C29" s="67" t="s">
        <v>29</v>
      </c>
    </row>
    <row r="30" spans="1:30" s="67" customFormat="1" ht="12" customHeight="1" x14ac:dyDescent="0.2">
      <c r="A30" s="73">
        <v>17</v>
      </c>
      <c r="C30" s="67" t="s">
        <v>1108</v>
      </c>
    </row>
    <row r="31" spans="1:30" s="65" customFormat="1" ht="12" customHeight="1" x14ac:dyDescent="0.2">
      <c r="A31" s="73">
        <v>18</v>
      </c>
      <c r="B31" s="65" t="s">
        <v>1109</v>
      </c>
      <c r="C31" s="65" t="s">
        <v>1110</v>
      </c>
      <c r="D31" s="65">
        <v>0.59498688</v>
      </c>
      <c r="E31" s="65">
        <v>0.56559097599999997</v>
      </c>
      <c r="F31" s="65">
        <v>0.56616966400000002</v>
      </c>
      <c r="G31" s="65">
        <v>0.56694950399999999</v>
      </c>
      <c r="H31" s="65">
        <v>0.56581657600000002</v>
      </c>
      <c r="I31" s="65">
        <v>0.56227513600000001</v>
      </c>
      <c r="J31" s="65">
        <v>0.55764070399999999</v>
      </c>
      <c r="K31" s="65">
        <v>0.55301900800000003</v>
      </c>
      <c r="L31" s="65">
        <v>0.54866521599999996</v>
      </c>
      <c r="M31" s="65">
        <v>0.54410111999999999</v>
      </c>
      <c r="N31" s="65">
        <v>0.53962681599999995</v>
      </c>
      <c r="O31" s="65">
        <v>0.53538271999999998</v>
      </c>
      <c r="P31" s="65">
        <v>0.53084921600000001</v>
      </c>
      <c r="Q31" s="65">
        <v>0.52652697599999998</v>
      </c>
      <c r="R31" s="65">
        <v>0.52204547199999995</v>
      </c>
      <c r="S31" s="65">
        <v>0.51751654400000002</v>
      </c>
      <c r="T31" s="65">
        <v>0.51278175999999998</v>
      </c>
      <c r="U31" s="65">
        <v>0.50850748800000001</v>
      </c>
      <c r="V31" s="65">
        <v>0.50438809600000001</v>
      </c>
      <c r="W31" s="65">
        <v>0.50002620799999997</v>
      </c>
      <c r="X31" s="65">
        <v>0.49595881600000002</v>
      </c>
      <c r="Y31" s="65">
        <v>0.49153852799999997</v>
      </c>
      <c r="Z31" s="65">
        <v>0.486659552</v>
      </c>
      <c r="AA31" s="65">
        <v>0.481831232</v>
      </c>
      <c r="AB31" s="65">
        <v>0.47719270400000002</v>
      </c>
      <c r="AC31" s="65">
        <v>0.47245900800000001</v>
      </c>
      <c r="AD31" s="65">
        <v>-9.1811283734718474E-3</v>
      </c>
    </row>
    <row r="32" spans="1:30" s="65" customFormat="1" ht="12" customHeight="1" x14ac:dyDescent="0.2">
      <c r="A32" s="73">
        <v>19</v>
      </c>
      <c r="B32" s="65" t="s">
        <v>1111</v>
      </c>
      <c r="C32" s="65" t="s">
        <v>1112</v>
      </c>
      <c r="D32" s="65">
        <v>0.92457420800000001</v>
      </c>
      <c r="E32" s="65">
        <v>0.98388595199999995</v>
      </c>
      <c r="F32" s="65">
        <v>0.99778188800000001</v>
      </c>
      <c r="G32" s="65">
        <v>1.011565056</v>
      </c>
      <c r="H32" s="65">
        <v>1.022745472</v>
      </c>
      <c r="I32" s="65">
        <v>1.0299940480000001</v>
      </c>
      <c r="J32" s="65">
        <v>1.0365953919999999</v>
      </c>
      <c r="K32" s="65">
        <v>1.0441312</v>
      </c>
      <c r="L32" s="65">
        <v>1.0523892480000001</v>
      </c>
      <c r="M32" s="65">
        <v>1.0619888639999999</v>
      </c>
      <c r="N32" s="65">
        <v>1.07257216</v>
      </c>
      <c r="O32" s="65">
        <v>1.084401792</v>
      </c>
      <c r="P32" s="65">
        <v>1.097000448</v>
      </c>
      <c r="Q32" s="65">
        <v>1.1101196799999999</v>
      </c>
      <c r="R32" s="65">
        <v>1.1235953919999999</v>
      </c>
      <c r="S32" s="65">
        <v>1.1379557119999999</v>
      </c>
      <c r="T32" s="65">
        <v>1.1531386880000001</v>
      </c>
      <c r="U32" s="65">
        <v>1.17016448</v>
      </c>
      <c r="V32" s="65">
        <v>1.188274432</v>
      </c>
      <c r="W32" s="65">
        <v>1.206452096</v>
      </c>
      <c r="X32" s="65">
        <v>1.2252771840000001</v>
      </c>
      <c r="Y32" s="65">
        <v>1.243111168</v>
      </c>
      <c r="Z32" s="65">
        <v>1.260267392</v>
      </c>
      <c r="AA32" s="65">
        <v>1.2769024</v>
      </c>
      <c r="AB32" s="65">
        <v>1.2942576640000001</v>
      </c>
      <c r="AC32" s="65">
        <v>1.3113802240000001</v>
      </c>
      <c r="AD32" s="65">
        <v>1.4078264455456461E-2</v>
      </c>
    </row>
    <row r="33" spans="1:30" s="65" customFormat="1" ht="12" customHeight="1" x14ac:dyDescent="0.2">
      <c r="A33" s="73">
        <v>20</v>
      </c>
      <c r="B33" s="65" t="s">
        <v>1113</v>
      </c>
      <c r="C33" s="65" t="s">
        <v>1114</v>
      </c>
      <c r="D33" s="65">
        <v>0.45252947199999999</v>
      </c>
      <c r="E33" s="65">
        <v>0.44482867199999998</v>
      </c>
      <c r="F33" s="65">
        <v>0.43924083200000003</v>
      </c>
      <c r="G33" s="65">
        <v>0.43466864</v>
      </c>
      <c r="H33" s="65">
        <v>0.41793100799999999</v>
      </c>
      <c r="I33" s="65">
        <v>0.39681289600000003</v>
      </c>
      <c r="J33" s="65">
        <v>0.37454972800000003</v>
      </c>
      <c r="K33" s="65">
        <v>0.35388873599999998</v>
      </c>
      <c r="L33" s="65">
        <v>0.334859456</v>
      </c>
      <c r="M33" s="65">
        <v>0.31755040000000001</v>
      </c>
      <c r="N33" s="65">
        <v>0.30188588799999999</v>
      </c>
      <c r="O33" s="65">
        <v>0.28806668800000002</v>
      </c>
      <c r="P33" s="65">
        <v>0.27600831999999997</v>
      </c>
      <c r="Q33" s="65">
        <v>0.26572577600000002</v>
      </c>
      <c r="R33" s="65">
        <v>0.25716776000000002</v>
      </c>
      <c r="S33" s="65">
        <v>0.25033508799999998</v>
      </c>
      <c r="T33" s="65">
        <v>0.24518048000000001</v>
      </c>
      <c r="U33" s="65">
        <v>0.241830352</v>
      </c>
      <c r="V33" s="65">
        <v>0.24026312</v>
      </c>
      <c r="W33" s="65">
        <v>0.23862364799999999</v>
      </c>
      <c r="X33" s="65">
        <v>0.23698448</v>
      </c>
      <c r="Y33" s="65">
        <v>0.23524223999999999</v>
      </c>
      <c r="Z33" s="65">
        <v>0.23340683200000001</v>
      </c>
      <c r="AA33" s="65">
        <v>0.23158044799999999</v>
      </c>
      <c r="AB33" s="65">
        <v>0.22998131199999999</v>
      </c>
      <c r="AC33" s="65">
        <v>0.22855848000000001</v>
      </c>
      <c r="AD33" s="65">
        <v>-2.6952550110391989E-2</v>
      </c>
    </row>
    <row r="34" spans="1:30" s="65" customFormat="1" ht="12" customHeight="1" x14ac:dyDescent="0.2">
      <c r="A34" s="73">
        <v>21</v>
      </c>
      <c r="B34" s="65" t="s">
        <v>1115</v>
      </c>
      <c r="C34" s="65" t="s">
        <v>44</v>
      </c>
      <c r="D34" s="65">
        <v>0.34956310400000001</v>
      </c>
      <c r="E34" s="65">
        <v>0.34852729599999999</v>
      </c>
      <c r="F34" s="65">
        <v>0.34743289599999999</v>
      </c>
      <c r="G34" s="65">
        <v>0.34620860799999997</v>
      </c>
      <c r="H34" s="65">
        <v>0.34525900799999998</v>
      </c>
      <c r="I34" s="65">
        <v>0.34202352000000003</v>
      </c>
      <c r="J34" s="65">
        <v>0.33902982399999998</v>
      </c>
      <c r="K34" s="65">
        <v>0.33630428800000001</v>
      </c>
      <c r="L34" s="65">
        <v>0.33379897600000002</v>
      </c>
      <c r="M34" s="65">
        <v>0.33146774400000001</v>
      </c>
      <c r="N34" s="65">
        <v>0.32936582399999997</v>
      </c>
      <c r="O34" s="65">
        <v>0.327653056</v>
      </c>
      <c r="P34" s="65">
        <v>0.32634323199999998</v>
      </c>
      <c r="Q34" s="65">
        <v>0.32546067200000001</v>
      </c>
      <c r="R34" s="65">
        <v>0.32498998400000001</v>
      </c>
      <c r="S34" s="65">
        <v>0.32493840000000002</v>
      </c>
      <c r="T34" s="65">
        <v>0.32529401600000002</v>
      </c>
      <c r="U34" s="65">
        <v>0.32607193600000001</v>
      </c>
      <c r="V34" s="65">
        <v>0.32728083200000002</v>
      </c>
      <c r="W34" s="65">
        <v>0.32891251199999999</v>
      </c>
      <c r="X34" s="65">
        <v>0.33105030400000002</v>
      </c>
      <c r="Y34" s="65">
        <v>0.33371427199999998</v>
      </c>
      <c r="Z34" s="65">
        <v>0.33686508799999998</v>
      </c>
      <c r="AA34" s="65">
        <v>0.34000607999999999</v>
      </c>
      <c r="AB34" s="65">
        <v>0.34312889600000002</v>
      </c>
      <c r="AC34" s="65">
        <v>0.34622892799999999</v>
      </c>
      <c r="AD34" s="65">
        <v>-3.832826310995463E-4</v>
      </c>
    </row>
    <row r="35" spans="1:30" s="65" customFormat="1" ht="12" customHeight="1" x14ac:dyDescent="0.2">
      <c r="A35" s="73">
        <v>22</v>
      </c>
      <c r="B35" s="65" t="s">
        <v>1116</v>
      </c>
      <c r="C35" s="65" t="s">
        <v>40</v>
      </c>
      <c r="D35" s="65">
        <v>6.8362144E-2</v>
      </c>
      <c r="E35" s="65">
        <v>6.9241520000000001E-2</v>
      </c>
      <c r="F35" s="65">
        <v>7.0149848000000001E-2</v>
      </c>
      <c r="G35" s="65">
        <v>7.1052935999999997E-2</v>
      </c>
      <c r="H35" s="65">
        <v>7.1960287999999997E-2</v>
      </c>
      <c r="I35" s="65">
        <v>7.2859967999999997E-2</v>
      </c>
      <c r="J35" s="65">
        <v>7.3769767999999999E-2</v>
      </c>
      <c r="K35" s="65">
        <v>7.4686208000000004E-2</v>
      </c>
      <c r="L35" s="65">
        <v>7.5595159999999995E-2</v>
      </c>
      <c r="M35" s="65">
        <v>7.6502487999999993E-2</v>
      </c>
      <c r="N35" s="65">
        <v>7.7414912000000002E-2</v>
      </c>
      <c r="O35" s="65">
        <v>7.8332048000000001E-2</v>
      </c>
      <c r="P35" s="65">
        <v>7.9236280000000006E-2</v>
      </c>
      <c r="Q35" s="65">
        <v>8.0074199999999998E-2</v>
      </c>
      <c r="R35" s="65">
        <v>8.0822688000000004E-2</v>
      </c>
      <c r="S35" s="65">
        <v>8.1485935999999995E-2</v>
      </c>
      <c r="T35" s="65">
        <v>8.2051832000000005E-2</v>
      </c>
      <c r="U35" s="65">
        <v>8.2524719999999996E-2</v>
      </c>
      <c r="V35" s="65">
        <v>8.2964759999999999E-2</v>
      </c>
      <c r="W35" s="65">
        <v>8.3381144000000004E-2</v>
      </c>
      <c r="X35" s="65">
        <v>8.3789119999999995E-2</v>
      </c>
      <c r="Y35" s="65">
        <v>8.4191208000000003E-2</v>
      </c>
      <c r="Z35" s="65">
        <v>8.4583848000000003E-2</v>
      </c>
      <c r="AA35" s="65">
        <v>8.4967135999999999E-2</v>
      </c>
      <c r="AB35" s="65">
        <v>8.5341799999999995E-2</v>
      </c>
      <c r="AC35" s="65">
        <v>8.5708984000000002E-2</v>
      </c>
      <c r="AD35" s="65">
        <v>9.0865716961421317E-3</v>
      </c>
    </row>
    <row r="36" spans="1:30" s="65" customFormat="1" ht="12" customHeight="1" x14ac:dyDescent="0.2">
      <c r="A36" s="73">
        <v>23</v>
      </c>
      <c r="B36" s="65" t="s">
        <v>1117</v>
      </c>
      <c r="C36" s="65" t="s">
        <v>1118</v>
      </c>
      <c r="D36" s="65">
        <v>0.19033324800000001</v>
      </c>
      <c r="E36" s="65">
        <v>0.19084062399999999</v>
      </c>
      <c r="F36" s="65">
        <v>0.19180299200000001</v>
      </c>
      <c r="G36" s="65">
        <v>0.193075936</v>
      </c>
      <c r="H36" s="65">
        <v>0.193740784</v>
      </c>
      <c r="I36" s="65">
        <v>0.193360848</v>
      </c>
      <c r="J36" s="65">
        <v>0.19236134399999999</v>
      </c>
      <c r="K36" s="65">
        <v>0.191028752</v>
      </c>
      <c r="L36" s="65">
        <v>0.19012039999999999</v>
      </c>
      <c r="M36" s="65">
        <v>0.18960015999999999</v>
      </c>
      <c r="N36" s="65">
        <v>0.18948328</v>
      </c>
      <c r="O36" s="65">
        <v>0.189817232</v>
      </c>
      <c r="P36" s="65">
        <v>0.19051815999999999</v>
      </c>
      <c r="Q36" s="65">
        <v>0.19170820799999999</v>
      </c>
      <c r="R36" s="65">
        <v>0.19336033599999999</v>
      </c>
      <c r="S36" s="65">
        <v>0.19552905600000001</v>
      </c>
      <c r="T36" s="65">
        <v>0.19830171199999999</v>
      </c>
      <c r="U36" s="65">
        <v>0.20107030400000001</v>
      </c>
      <c r="V36" s="65">
        <v>0.20391007999999999</v>
      </c>
      <c r="W36" s="65">
        <v>0.206757632</v>
      </c>
      <c r="X36" s="65">
        <v>0.209611248</v>
      </c>
      <c r="Y36" s="65">
        <v>0.21232783999999999</v>
      </c>
      <c r="Z36" s="65">
        <v>0.214859312</v>
      </c>
      <c r="AA36" s="65">
        <v>0.217260656</v>
      </c>
      <c r="AB36" s="65">
        <v>0.21971025599999999</v>
      </c>
      <c r="AC36" s="65">
        <v>0.22207265600000001</v>
      </c>
      <c r="AD36" s="65">
        <v>6.1881936436216636E-3</v>
      </c>
    </row>
    <row r="37" spans="1:30" s="65" customFormat="1" ht="12" customHeight="1" x14ac:dyDescent="0.2">
      <c r="A37" s="73">
        <v>24</v>
      </c>
      <c r="B37" s="65" t="s">
        <v>1119</v>
      </c>
      <c r="C37" s="65" t="s">
        <v>1120</v>
      </c>
      <c r="D37" s="65">
        <v>7.9277760000000003E-2</v>
      </c>
      <c r="E37" s="65">
        <v>7.9241023999999993E-2</v>
      </c>
      <c r="F37" s="65">
        <v>7.9217047999999998E-2</v>
      </c>
      <c r="G37" s="65">
        <v>7.9159960000000001E-2</v>
      </c>
      <c r="H37" s="65">
        <v>7.9073071999999994E-2</v>
      </c>
      <c r="I37" s="65">
        <v>7.8570111999999998E-2</v>
      </c>
      <c r="J37" s="65">
        <v>7.8006560000000003E-2</v>
      </c>
      <c r="K37" s="65">
        <v>7.7403968000000004E-2</v>
      </c>
      <c r="L37" s="65">
        <v>7.6822632000000002E-2</v>
      </c>
      <c r="M37" s="65">
        <v>7.6256599999999994E-2</v>
      </c>
      <c r="N37" s="65">
        <v>7.5716071999999995E-2</v>
      </c>
      <c r="O37" s="65">
        <v>7.5195239999999997E-2</v>
      </c>
      <c r="P37" s="65">
        <v>7.4692744000000005E-2</v>
      </c>
      <c r="Q37" s="65">
        <v>7.4213528000000001E-2</v>
      </c>
      <c r="R37" s="65">
        <v>7.3757199999999995E-2</v>
      </c>
      <c r="S37" s="65">
        <v>7.3328264000000004E-2</v>
      </c>
      <c r="T37" s="65">
        <v>7.2936855999999994E-2</v>
      </c>
      <c r="U37" s="65">
        <v>7.2586367999999998E-2</v>
      </c>
      <c r="V37" s="65">
        <v>7.2277752000000001E-2</v>
      </c>
      <c r="W37" s="65">
        <v>7.2012376000000003E-2</v>
      </c>
      <c r="X37" s="65">
        <v>7.1801504000000002E-2</v>
      </c>
      <c r="Y37" s="65">
        <v>7.1659855999999994E-2</v>
      </c>
      <c r="Z37" s="65">
        <v>7.1579335999999993E-2</v>
      </c>
      <c r="AA37" s="65">
        <v>7.1571248000000004E-2</v>
      </c>
      <c r="AB37" s="65">
        <v>7.1643271999999994E-2</v>
      </c>
      <c r="AC37" s="65">
        <v>7.1800048000000005E-2</v>
      </c>
      <c r="AD37" s="65">
        <v>-3.9550577058538039E-3</v>
      </c>
    </row>
    <row r="38" spans="1:30" s="65" customFormat="1" ht="12" customHeight="1" x14ac:dyDescent="0.2">
      <c r="A38" s="73">
        <v>25</v>
      </c>
      <c r="B38" s="65" t="s">
        <v>1121</v>
      </c>
      <c r="C38" s="65" t="s">
        <v>1122</v>
      </c>
      <c r="D38" s="65">
        <v>0.18284710400000001</v>
      </c>
      <c r="E38" s="65">
        <v>0.182215504</v>
      </c>
      <c r="F38" s="65">
        <v>0.183569232</v>
      </c>
      <c r="G38" s="65">
        <v>0.185640272</v>
      </c>
      <c r="H38" s="65">
        <v>0.18743944000000001</v>
      </c>
      <c r="I38" s="65">
        <v>0.18699436799999999</v>
      </c>
      <c r="J38" s="65">
        <v>0.186424016</v>
      </c>
      <c r="K38" s="65">
        <v>0.18626144</v>
      </c>
      <c r="L38" s="65">
        <v>0.186404352</v>
      </c>
      <c r="M38" s="65">
        <v>0.18674231999999999</v>
      </c>
      <c r="N38" s="65">
        <v>0.18721537599999999</v>
      </c>
      <c r="O38" s="65">
        <v>0.187754368</v>
      </c>
      <c r="P38" s="65">
        <v>0.188226384</v>
      </c>
      <c r="Q38" s="65">
        <v>0.188723216</v>
      </c>
      <c r="R38" s="65">
        <v>0.18940014399999999</v>
      </c>
      <c r="S38" s="65">
        <v>0.18703504000000001</v>
      </c>
      <c r="T38" s="65">
        <v>0.18508912</v>
      </c>
      <c r="U38" s="65">
        <v>0.18369095999999999</v>
      </c>
      <c r="V38" s="65">
        <v>0.182845696</v>
      </c>
      <c r="W38" s="65">
        <v>0.18247695999999999</v>
      </c>
      <c r="X38" s="65">
        <v>0.182383504</v>
      </c>
      <c r="Y38" s="65">
        <v>0.182309728</v>
      </c>
      <c r="Z38" s="65">
        <v>0.182201904</v>
      </c>
      <c r="AA38" s="65">
        <v>0.182192464</v>
      </c>
      <c r="AB38" s="65">
        <v>0.182375024</v>
      </c>
      <c r="AC38" s="65">
        <v>0.18258764799999999</v>
      </c>
      <c r="AD38" s="65">
        <v>-5.6797811119779773E-5</v>
      </c>
    </row>
    <row r="39" spans="1:30" s="65" customFormat="1" ht="12" customHeight="1" x14ac:dyDescent="0.2">
      <c r="A39" s="73">
        <v>26</v>
      </c>
      <c r="B39" s="65" t="s">
        <v>1123</v>
      </c>
      <c r="C39" s="65" t="s">
        <v>1124</v>
      </c>
      <c r="D39" s="65">
        <v>4.0723188E-2</v>
      </c>
      <c r="E39" s="65">
        <v>3.9741315999999999E-2</v>
      </c>
      <c r="F39" s="65">
        <v>3.8750288000000001E-2</v>
      </c>
      <c r="G39" s="65">
        <v>3.7582836000000001E-2</v>
      </c>
      <c r="H39" s="65">
        <v>3.638516E-2</v>
      </c>
      <c r="I39" s="65">
        <v>3.4992292000000001E-2</v>
      </c>
      <c r="J39" s="65">
        <v>3.3539880000000001E-2</v>
      </c>
      <c r="K39" s="65">
        <v>3.2000177999999997E-2</v>
      </c>
      <c r="L39" s="65">
        <v>3.0664894000000002E-2</v>
      </c>
      <c r="M39" s="65">
        <v>2.9534002E-2</v>
      </c>
      <c r="N39" s="65">
        <v>2.8609286000000001E-2</v>
      </c>
      <c r="O39" s="65">
        <v>2.7903582E-2</v>
      </c>
      <c r="P39" s="65">
        <v>2.7428560000000001E-2</v>
      </c>
      <c r="Q39" s="65">
        <v>2.7209850000000001E-2</v>
      </c>
      <c r="R39" s="65">
        <v>2.7260937999999998E-2</v>
      </c>
      <c r="S39" s="65">
        <v>2.7310738000000001E-2</v>
      </c>
      <c r="T39" s="65">
        <v>2.7361704000000001E-2</v>
      </c>
      <c r="U39" s="65">
        <v>2.7419786000000002E-2</v>
      </c>
      <c r="V39" s="65">
        <v>2.7486282000000001E-2</v>
      </c>
      <c r="W39" s="65">
        <v>2.7564120000000001E-2</v>
      </c>
      <c r="X39" s="65">
        <v>2.7658222E-2</v>
      </c>
      <c r="Y39" s="65">
        <v>2.7768014000000001E-2</v>
      </c>
      <c r="Z39" s="65">
        <v>2.7890496000000001E-2</v>
      </c>
      <c r="AA39" s="65">
        <v>2.8023998000000001E-2</v>
      </c>
      <c r="AB39" s="65">
        <v>2.8167032000000002E-2</v>
      </c>
      <c r="AC39" s="65">
        <v>2.8318728000000001E-2</v>
      </c>
      <c r="AD39" s="65">
        <v>-1.442590723214077E-2</v>
      </c>
    </row>
    <row r="40" spans="1:30" s="65" customFormat="1" ht="12" customHeight="1" x14ac:dyDescent="0.2">
      <c r="A40" s="73">
        <v>27</v>
      </c>
      <c r="B40" s="65" t="s">
        <v>1125</v>
      </c>
      <c r="C40" s="65" t="s">
        <v>1126</v>
      </c>
      <c r="D40" s="65">
        <v>3.7161696000000001E-2</v>
      </c>
      <c r="E40" s="65">
        <v>3.8075504000000003E-2</v>
      </c>
      <c r="F40" s="65">
        <v>3.8360159999999997E-2</v>
      </c>
      <c r="G40" s="65">
        <v>3.8522852000000003E-2</v>
      </c>
      <c r="H40" s="65">
        <v>3.8637291999999997E-2</v>
      </c>
      <c r="I40" s="65">
        <v>3.870258E-2</v>
      </c>
      <c r="J40" s="65">
        <v>3.8719692E-2</v>
      </c>
      <c r="K40" s="65">
        <v>3.8688536000000003E-2</v>
      </c>
      <c r="L40" s="65">
        <v>3.8734320000000003E-2</v>
      </c>
      <c r="M40" s="65">
        <v>3.8861E-2</v>
      </c>
      <c r="N40" s="65">
        <v>3.9070651999999997E-2</v>
      </c>
      <c r="O40" s="65">
        <v>3.9370936000000002E-2</v>
      </c>
      <c r="P40" s="65">
        <v>3.9763699999999999E-2</v>
      </c>
      <c r="Q40" s="65">
        <v>4.0262112000000003E-2</v>
      </c>
      <c r="R40" s="65">
        <v>4.0871616E-2</v>
      </c>
      <c r="S40" s="65">
        <v>4.1476607999999998E-2</v>
      </c>
      <c r="T40" s="65">
        <v>4.2075632000000002E-2</v>
      </c>
      <c r="U40" s="65">
        <v>4.2674256000000001E-2</v>
      </c>
      <c r="V40" s="65">
        <v>4.3273180000000001E-2</v>
      </c>
      <c r="W40" s="65">
        <v>4.3875648000000003E-2</v>
      </c>
      <c r="X40" s="65">
        <v>4.4488423999999999E-2</v>
      </c>
      <c r="Y40" s="65">
        <v>4.5111343999999998E-2</v>
      </c>
      <c r="Z40" s="65">
        <v>4.5741499999999997E-2</v>
      </c>
      <c r="AA40" s="65">
        <v>4.6378655999999997E-2</v>
      </c>
      <c r="AB40" s="65">
        <v>4.7023391999999997E-2</v>
      </c>
      <c r="AC40" s="65">
        <v>4.7675936000000002E-2</v>
      </c>
      <c r="AD40" s="65">
        <v>1.001575448740288E-2</v>
      </c>
    </row>
    <row r="41" spans="1:30" s="65" customFormat="1" ht="12" customHeight="1" x14ac:dyDescent="0.2">
      <c r="A41" s="73">
        <v>28</v>
      </c>
      <c r="B41" s="65" t="s">
        <v>1127</v>
      </c>
      <c r="C41" s="65" t="s">
        <v>1128</v>
      </c>
      <c r="D41" s="65">
        <v>0.12483857600000001</v>
      </c>
      <c r="E41" s="65">
        <v>0.122177168</v>
      </c>
      <c r="F41" s="65">
        <v>0.119963032</v>
      </c>
      <c r="G41" s="65">
        <v>0.11808790399999999</v>
      </c>
      <c r="H41" s="65">
        <v>0.11609736800000001</v>
      </c>
      <c r="I41" s="65">
        <v>0.11380596</v>
      </c>
      <c r="J41" s="65">
        <v>0.111515896</v>
      </c>
      <c r="K41" s="65">
        <v>0.109399336</v>
      </c>
      <c r="L41" s="65">
        <v>0.107488504</v>
      </c>
      <c r="M41" s="65">
        <v>0.105734648</v>
      </c>
      <c r="N41" s="65">
        <v>0.10414446400000001</v>
      </c>
      <c r="O41" s="65">
        <v>0.102719456</v>
      </c>
      <c r="P41" s="65">
        <v>0.10141056</v>
      </c>
      <c r="Q41" s="65">
        <v>0.10027256</v>
      </c>
      <c r="R41" s="65">
        <v>9.9267408000000001E-2</v>
      </c>
      <c r="S41" s="65">
        <v>9.8397992000000004E-2</v>
      </c>
      <c r="T41" s="65">
        <v>9.7693543999999993E-2</v>
      </c>
      <c r="U41" s="65">
        <v>9.7154119999999997E-2</v>
      </c>
      <c r="V41" s="65">
        <v>9.6815248000000007E-2</v>
      </c>
      <c r="W41" s="65">
        <v>9.6643400000000004E-2</v>
      </c>
      <c r="X41" s="65">
        <v>9.6637704000000005E-2</v>
      </c>
      <c r="Y41" s="65">
        <v>9.6759144000000005E-2</v>
      </c>
      <c r="Z41" s="65">
        <v>9.6902584E-2</v>
      </c>
      <c r="AA41" s="65">
        <v>9.7108184E-2</v>
      </c>
      <c r="AB41" s="65">
        <v>9.7404288000000006E-2</v>
      </c>
      <c r="AC41" s="65">
        <v>9.7757631999999997E-2</v>
      </c>
      <c r="AD41" s="65">
        <v>-9.7335290819186016E-3</v>
      </c>
    </row>
    <row r="42" spans="1:30" s="65" customFormat="1" ht="12" customHeight="1" x14ac:dyDescent="0.2">
      <c r="A42" s="73">
        <v>29</v>
      </c>
      <c r="B42" s="65" t="s">
        <v>1129</v>
      </c>
      <c r="C42" s="65" t="s">
        <v>1130</v>
      </c>
      <c r="D42" s="65">
        <v>9.7011752000000007E-2</v>
      </c>
      <c r="E42" s="65">
        <v>9.5323727999999996E-2</v>
      </c>
      <c r="F42" s="65">
        <v>9.3864928E-2</v>
      </c>
      <c r="G42" s="65">
        <v>9.2523648E-2</v>
      </c>
      <c r="H42" s="65">
        <v>9.0934360000000006E-2</v>
      </c>
      <c r="I42" s="65">
        <v>8.8982368000000006E-2</v>
      </c>
      <c r="J42" s="65">
        <v>8.6906232E-2</v>
      </c>
      <c r="K42" s="65">
        <v>8.4864703999999999E-2</v>
      </c>
      <c r="L42" s="65">
        <v>8.2885327999999994E-2</v>
      </c>
      <c r="M42" s="65">
        <v>8.0946472000000005E-2</v>
      </c>
      <c r="N42" s="65">
        <v>7.9061928000000004E-2</v>
      </c>
      <c r="O42" s="65">
        <v>7.7250440000000004E-2</v>
      </c>
      <c r="P42" s="65">
        <v>7.5483776000000002E-2</v>
      </c>
      <c r="Q42" s="65">
        <v>7.3799192E-2</v>
      </c>
      <c r="R42" s="65">
        <v>7.2188823999999999E-2</v>
      </c>
      <c r="S42" s="65">
        <v>7.0666976000000006E-2</v>
      </c>
      <c r="T42" s="65">
        <v>6.9257791999999999E-2</v>
      </c>
      <c r="U42" s="65">
        <v>6.7990159999999994E-2</v>
      </c>
      <c r="V42" s="65">
        <v>6.6878571999999997E-2</v>
      </c>
      <c r="W42" s="65">
        <v>6.5919443999999994E-2</v>
      </c>
      <c r="X42" s="65">
        <v>6.5113632000000005E-2</v>
      </c>
      <c r="Y42" s="65">
        <v>6.4456327999999993E-2</v>
      </c>
      <c r="Z42" s="65">
        <v>6.3892571999999995E-2</v>
      </c>
      <c r="AA42" s="65">
        <v>6.3458587999999996E-2</v>
      </c>
      <c r="AB42" s="65">
        <v>6.3206232000000001E-2</v>
      </c>
      <c r="AC42" s="65">
        <v>6.3082444000000001E-2</v>
      </c>
      <c r="AD42" s="65">
        <v>-1.7068243354986471E-2</v>
      </c>
    </row>
    <row r="43" spans="1:30" s="65" customFormat="1" ht="12" customHeight="1" x14ac:dyDescent="0.2">
      <c r="A43" s="73">
        <v>30</v>
      </c>
      <c r="B43" s="65" t="s">
        <v>1131</v>
      </c>
      <c r="C43" s="65" t="s">
        <v>1132</v>
      </c>
      <c r="D43" s="65">
        <v>0.15743579199999999</v>
      </c>
      <c r="E43" s="65">
        <v>0.15289734399999999</v>
      </c>
      <c r="F43" s="65">
        <v>0.15377766400000001</v>
      </c>
      <c r="G43" s="65">
        <v>0.154119168</v>
      </c>
      <c r="H43" s="65">
        <v>0.15401436800000001</v>
      </c>
      <c r="I43" s="65">
        <v>0.15365110400000001</v>
      </c>
      <c r="J43" s="65">
        <v>0.15306988799999999</v>
      </c>
      <c r="K43" s="65">
        <v>0.15265783999999999</v>
      </c>
      <c r="L43" s="65">
        <v>0.152172368</v>
      </c>
      <c r="M43" s="65">
        <v>0.15165830399999999</v>
      </c>
      <c r="N43" s="65">
        <v>0.15102332800000001</v>
      </c>
      <c r="O43" s="65">
        <v>0.15022961600000001</v>
      </c>
      <c r="P43" s="65">
        <v>0.14910772799999999</v>
      </c>
      <c r="Q43" s="65">
        <v>0.147685712</v>
      </c>
      <c r="R43" s="65">
        <v>0.145907232</v>
      </c>
      <c r="S43" s="65">
        <v>0.14382793599999999</v>
      </c>
      <c r="T43" s="65">
        <v>0.14144376</v>
      </c>
      <c r="U43" s="65">
        <v>0.13901844799999999</v>
      </c>
      <c r="V43" s="65">
        <v>0.13644356799999999</v>
      </c>
      <c r="W43" s="65">
        <v>0.133819296</v>
      </c>
      <c r="X43" s="65">
        <v>0.13125719199999999</v>
      </c>
      <c r="Y43" s="65">
        <v>0.12870858399999999</v>
      </c>
      <c r="Z43" s="65">
        <v>0.12613221599999999</v>
      </c>
      <c r="AA43" s="65">
        <v>0.12373096</v>
      </c>
      <c r="AB43" s="65">
        <v>0.12151582399999999</v>
      </c>
      <c r="AC43" s="65">
        <v>0.119520032</v>
      </c>
      <c r="AD43" s="65">
        <v>-1.096083609828913E-2</v>
      </c>
    </row>
    <row r="44" spans="1:30" s="65" customFormat="1" ht="12" customHeight="1" x14ac:dyDescent="0.2">
      <c r="A44" s="73">
        <v>31</v>
      </c>
      <c r="B44" s="65" t="s">
        <v>1133</v>
      </c>
      <c r="C44" s="65" t="s">
        <v>1134</v>
      </c>
      <c r="D44" s="65">
        <v>2.031976448</v>
      </c>
      <c r="E44" s="65">
        <v>2.049780352</v>
      </c>
      <c r="F44" s="65">
        <v>1.951656448</v>
      </c>
      <c r="G44" s="65">
        <v>1.9885809919999999</v>
      </c>
      <c r="H44" s="65">
        <v>2.0226928640000001</v>
      </c>
      <c r="I44" s="65">
        <v>2.05212416</v>
      </c>
      <c r="J44" s="65">
        <v>2.0794380800000001</v>
      </c>
      <c r="K44" s="65">
        <v>2.1075018239999999</v>
      </c>
      <c r="L44" s="65">
        <v>2.136621184</v>
      </c>
      <c r="M44" s="65">
        <v>2.16900352</v>
      </c>
      <c r="N44" s="65">
        <v>2.2028142079999999</v>
      </c>
      <c r="O44" s="65">
        <v>2.2369771520000001</v>
      </c>
      <c r="P44" s="65">
        <v>2.2721592319999999</v>
      </c>
      <c r="Q44" s="65">
        <v>2.3081410560000002</v>
      </c>
      <c r="R44" s="65">
        <v>2.3438041599999999</v>
      </c>
      <c r="S44" s="65">
        <v>2.375345152</v>
      </c>
      <c r="T44" s="65">
        <v>2.4092917759999999</v>
      </c>
      <c r="U44" s="65">
        <v>2.4448616959999998</v>
      </c>
      <c r="V44" s="65">
        <v>2.4824565760000001</v>
      </c>
      <c r="W44" s="65">
        <v>2.5210204159999998</v>
      </c>
      <c r="X44" s="65">
        <v>2.5556628479999999</v>
      </c>
      <c r="Y44" s="65">
        <v>2.5940464639999998</v>
      </c>
      <c r="Z44" s="65">
        <v>2.6318520319999998</v>
      </c>
      <c r="AA44" s="65">
        <v>2.6698111999999998</v>
      </c>
      <c r="AB44" s="65">
        <v>2.7089420799999999</v>
      </c>
      <c r="AC44" s="65">
        <v>2.7488279040000001</v>
      </c>
      <c r="AD44" s="65">
        <v>1.2159965044791219E-2</v>
      </c>
    </row>
    <row r="45" spans="1:30" s="67" customFormat="1" ht="12" customHeight="1" x14ac:dyDescent="0.2">
      <c r="A45" s="73">
        <v>32</v>
      </c>
      <c r="B45" s="67" t="s">
        <v>1135</v>
      </c>
      <c r="C45" s="67" t="s">
        <v>52</v>
      </c>
      <c r="D45" s="67">
        <v>5.3316213720000007</v>
      </c>
      <c r="E45" s="67">
        <v>5.3623669799999991</v>
      </c>
      <c r="F45" s="67">
        <v>5.2717369199999986</v>
      </c>
      <c r="G45" s="67">
        <v>5.3177383119999986</v>
      </c>
      <c r="H45" s="67">
        <v>5.3427270600000014</v>
      </c>
      <c r="I45" s="67">
        <v>5.3451493600000006</v>
      </c>
      <c r="J45" s="67">
        <v>5.3415670039999998</v>
      </c>
      <c r="K45" s="67">
        <v>5.3418360180000004</v>
      </c>
      <c r="L45" s="67">
        <v>5.347222038</v>
      </c>
      <c r="M45" s="67">
        <v>5.3599476419999998</v>
      </c>
      <c r="N45" s="67">
        <v>5.3780041940000007</v>
      </c>
      <c r="O45" s="67">
        <v>5.4010543260000006</v>
      </c>
      <c r="P45" s="67">
        <v>5.4282283400000004</v>
      </c>
      <c r="Q45" s="67">
        <v>5.4599227380000013</v>
      </c>
      <c r="R45" s="67">
        <v>5.4944391539999993</v>
      </c>
      <c r="S45" s="67">
        <v>5.525149442</v>
      </c>
      <c r="T45" s="67">
        <v>5.5618986719999999</v>
      </c>
      <c r="U45" s="67">
        <v>5.6055650739999994</v>
      </c>
      <c r="V45" s="67">
        <v>5.6555581939999993</v>
      </c>
      <c r="W45" s="67">
        <v>5.7074848999999999</v>
      </c>
      <c r="X45" s="67">
        <v>5.7576741820000006</v>
      </c>
      <c r="Y45" s="67">
        <v>5.810944718</v>
      </c>
      <c r="Z45" s="67">
        <v>5.8628346639999993</v>
      </c>
      <c r="AA45" s="67">
        <v>5.9148232500000004</v>
      </c>
      <c r="AB45" s="67">
        <v>5.9698897759999996</v>
      </c>
      <c r="AC45" s="67">
        <v>6.0259786520000009</v>
      </c>
      <c r="AD45" s="67">
        <v>4.9089901546321979E-3</v>
      </c>
    </row>
    <row r="46" spans="1:30" s="65" customFormat="1" ht="12" customHeight="1" x14ac:dyDescent="0.2">
      <c r="A46" s="73">
        <v>33</v>
      </c>
      <c r="B46" s="65" t="s">
        <v>1136</v>
      </c>
      <c r="C46" s="65" t="s">
        <v>54</v>
      </c>
      <c r="D46" s="65">
        <v>7.0134922862052917E-2</v>
      </c>
      <c r="E46" s="65">
        <v>9.1486945748329163E-2</v>
      </c>
      <c r="F46" s="65">
        <v>0.1193008199334145</v>
      </c>
      <c r="G46" s="65">
        <v>0.15019077062606809</v>
      </c>
      <c r="H46" s="65">
        <v>0.18050052225589749</v>
      </c>
      <c r="I46" s="65">
        <v>0.20873008668422699</v>
      </c>
      <c r="J46" s="65">
        <v>0.23311989009380341</v>
      </c>
      <c r="K46" s="65">
        <v>0.25518804788589478</v>
      </c>
      <c r="L46" s="65">
        <v>0.2769947350025177</v>
      </c>
      <c r="M46" s="65">
        <v>0.29923674464225769</v>
      </c>
      <c r="N46" s="65">
        <v>0.32176563143730158</v>
      </c>
      <c r="O46" s="65">
        <v>0.3443218469619751</v>
      </c>
      <c r="P46" s="65">
        <v>0.36690127849578857</v>
      </c>
      <c r="Q46" s="65">
        <v>0.38932192325592041</v>
      </c>
      <c r="R46" s="65">
        <v>0.41114059090614319</v>
      </c>
      <c r="S46" s="65">
        <v>0.43246880173683172</v>
      </c>
      <c r="T46" s="65">
        <v>0.4527735710144043</v>
      </c>
      <c r="U46" s="65">
        <v>0.47238817811012268</v>
      </c>
      <c r="V46" s="65">
        <v>0.49130412936210632</v>
      </c>
      <c r="W46" s="65">
        <v>0.50966900587081909</v>
      </c>
      <c r="X46" s="65">
        <v>0.52751326560974121</v>
      </c>
      <c r="Y46" s="65">
        <v>0.54464465379714966</v>
      </c>
      <c r="Z46" s="65">
        <v>0.56095385551452637</v>
      </c>
      <c r="AA46" s="65">
        <v>0.57689332962036133</v>
      </c>
      <c r="AB46" s="65">
        <v>0.59221106767654419</v>
      </c>
      <c r="AC46" s="65">
        <v>0.60719448328018188</v>
      </c>
      <c r="AD46" s="65">
        <v>9.0173798143279749E-2</v>
      </c>
    </row>
    <row r="47" spans="1:30" s="65" customFormat="1" ht="12" customHeight="1" x14ac:dyDescent="0.2">
      <c r="A47" s="73">
        <v>34</v>
      </c>
      <c r="B47" s="65" t="s">
        <v>1137</v>
      </c>
      <c r="C47" s="65" t="s">
        <v>56</v>
      </c>
      <c r="D47" s="65">
        <v>0.18513305485248571</v>
      </c>
      <c r="E47" s="65">
        <v>0.19618113338947299</v>
      </c>
      <c r="F47" s="65">
        <v>0.20806993544101721</v>
      </c>
      <c r="G47" s="65">
        <v>0.2202898561954498</v>
      </c>
      <c r="H47" s="65">
        <v>0.23191364109516141</v>
      </c>
      <c r="I47" s="65">
        <v>0.24404700100421911</v>
      </c>
      <c r="J47" s="65">
        <v>0.25698700547218323</v>
      </c>
      <c r="K47" s="65">
        <v>0.26999360322952271</v>
      </c>
      <c r="L47" s="65">
        <v>0.28355693817138672</v>
      </c>
      <c r="M47" s="65">
        <v>0.29791304469108582</v>
      </c>
      <c r="N47" s="65">
        <v>0.31315085291862488</v>
      </c>
      <c r="O47" s="65">
        <v>0.32913258671760559</v>
      </c>
      <c r="P47" s="65">
        <v>0.3461628258228302</v>
      </c>
      <c r="Q47" s="65">
        <v>0.36398994922637939</v>
      </c>
      <c r="R47" s="65">
        <v>0.38263362646102911</v>
      </c>
      <c r="S47" s="65">
        <v>0.40191635489463812</v>
      </c>
      <c r="T47" s="65">
        <v>0.42191752791404719</v>
      </c>
      <c r="U47" s="65">
        <v>0.44253355264663702</v>
      </c>
      <c r="V47" s="65">
        <v>0.46366396546363831</v>
      </c>
      <c r="W47" s="65">
        <v>0.48558345437049871</v>
      </c>
      <c r="X47" s="65">
        <v>0.50805890560150146</v>
      </c>
      <c r="Y47" s="65">
        <v>0.53128021955490112</v>
      </c>
      <c r="Z47" s="65">
        <v>0.55522787570953369</v>
      </c>
      <c r="AA47" s="65">
        <v>0.58007967472076416</v>
      </c>
      <c r="AB47" s="65">
        <v>0.60541057586669922</v>
      </c>
      <c r="AC47" s="65">
        <v>0.63153308629989624</v>
      </c>
      <c r="AD47" s="65">
        <v>5.0307545821676403E-2</v>
      </c>
    </row>
    <row r="48" spans="1:30" s="67" customFormat="1" ht="12" customHeight="1" x14ac:dyDescent="0.2">
      <c r="A48" s="73">
        <v>35</v>
      </c>
      <c r="B48" s="67" t="s">
        <v>1138</v>
      </c>
      <c r="C48" s="67" t="s">
        <v>1139</v>
      </c>
      <c r="D48" s="67">
        <v>5.216623240009568</v>
      </c>
      <c r="E48" s="67">
        <v>5.2576727923588553</v>
      </c>
      <c r="F48" s="67">
        <v>5.1829678044923968</v>
      </c>
      <c r="G48" s="67">
        <v>5.2476392264306178</v>
      </c>
      <c r="H48" s="67">
        <v>5.2913139411607366</v>
      </c>
      <c r="I48" s="67">
        <v>5.3098324456800086</v>
      </c>
      <c r="J48" s="67">
        <v>5.31769988862162</v>
      </c>
      <c r="K48" s="67">
        <v>5.3270304626563716</v>
      </c>
      <c r="L48" s="67">
        <v>5.3406598348311309</v>
      </c>
      <c r="M48" s="67">
        <v>5.3612713419511717</v>
      </c>
      <c r="N48" s="67">
        <v>5.3866189725186766</v>
      </c>
      <c r="O48" s="67">
        <v>5.4162435862443701</v>
      </c>
      <c r="P48" s="67">
        <v>5.4489667926729588</v>
      </c>
      <c r="Q48" s="67">
        <v>5.4852547120295423</v>
      </c>
      <c r="R48" s="67">
        <v>5.5229461184451134</v>
      </c>
      <c r="S48" s="67">
        <v>5.5557018888421936</v>
      </c>
      <c r="T48" s="67">
        <v>5.5927547151003569</v>
      </c>
      <c r="U48" s="67">
        <v>5.6354196994634851</v>
      </c>
      <c r="V48" s="67">
        <v>5.6831983578984673</v>
      </c>
      <c r="W48" s="67">
        <v>5.7315704515003203</v>
      </c>
      <c r="X48" s="67">
        <v>5.7771285420082403</v>
      </c>
      <c r="Y48" s="67">
        <v>5.8243091522422494</v>
      </c>
      <c r="Z48" s="67">
        <v>5.868560643804992</v>
      </c>
      <c r="AA48" s="67">
        <v>5.9116369048995976</v>
      </c>
      <c r="AB48" s="67">
        <v>5.9566902678098446</v>
      </c>
      <c r="AC48" s="67">
        <v>6.0016400489802866</v>
      </c>
      <c r="AD48" s="67">
        <v>5.6230491125790483E-3</v>
      </c>
    </row>
    <row r="49" spans="1:30" s="65" customFormat="1" ht="12" customHeight="1" x14ac:dyDescent="0.2">
      <c r="A49" s="73">
        <v>36</v>
      </c>
    </row>
    <row r="50" spans="1:30" s="67" customFormat="1" ht="12" customHeight="1" x14ac:dyDescent="0.2">
      <c r="A50" s="73">
        <v>37</v>
      </c>
      <c r="C50" s="67" t="s">
        <v>59</v>
      </c>
    </row>
    <row r="51" spans="1:30" s="65" customFormat="1" ht="12" customHeight="1" x14ac:dyDescent="0.2">
      <c r="A51" s="73">
        <v>38</v>
      </c>
      <c r="B51" s="65" t="s">
        <v>1140</v>
      </c>
      <c r="C51" s="65" t="s">
        <v>1110</v>
      </c>
      <c r="D51" s="65">
        <v>3.118029312</v>
      </c>
      <c r="E51" s="65">
        <v>2.929732096</v>
      </c>
      <c r="F51" s="65">
        <v>3.0470679039999999</v>
      </c>
      <c r="G51" s="65">
        <v>3.0283389440000001</v>
      </c>
      <c r="H51" s="65">
        <v>2.9919605759999999</v>
      </c>
      <c r="I51" s="65">
        <v>2.9475128320000001</v>
      </c>
      <c r="J51" s="65">
        <v>2.900389632</v>
      </c>
      <c r="K51" s="65">
        <v>2.8565015040000001</v>
      </c>
      <c r="L51" s="65">
        <v>2.8131284480000001</v>
      </c>
      <c r="M51" s="65">
        <v>2.772394496</v>
      </c>
      <c r="N51" s="65">
        <v>2.7328186880000001</v>
      </c>
      <c r="O51" s="65">
        <v>2.6957132800000001</v>
      </c>
      <c r="P51" s="65">
        <v>2.6580510720000001</v>
      </c>
      <c r="Q51" s="65">
        <v>2.622240256</v>
      </c>
      <c r="R51" s="65">
        <v>2.5871393280000001</v>
      </c>
      <c r="S51" s="65">
        <v>2.5533125120000002</v>
      </c>
      <c r="T51" s="65">
        <v>2.519939328</v>
      </c>
      <c r="U51" s="65">
        <v>2.4903383039999998</v>
      </c>
      <c r="V51" s="65">
        <v>2.4626063359999999</v>
      </c>
      <c r="W51" s="65">
        <v>2.4366440960000002</v>
      </c>
      <c r="X51" s="65">
        <v>2.412092672</v>
      </c>
      <c r="Y51" s="65">
        <v>2.3866539520000001</v>
      </c>
      <c r="Z51" s="65">
        <v>2.3599639039999998</v>
      </c>
      <c r="AA51" s="65">
        <v>2.3336017920000001</v>
      </c>
      <c r="AB51" s="65">
        <v>2.30767744</v>
      </c>
      <c r="AC51" s="65">
        <v>2.2826296319999999</v>
      </c>
      <c r="AD51" s="65">
        <v>-1.2397432551546791E-2</v>
      </c>
    </row>
    <row r="52" spans="1:30" s="65" customFormat="1" ht="12" customHeight="1" x14ac:dyDescent="0.2">
      <c r="A52" s="73">
        <v>39</v>
      </c>
      <c r="B52" s="65" t="s">
        <v>1141</v>
      </c>
      <c r="C52" s="65" t="s">
        <v>1112</v>
      </c>
      <c r="D52" s="65">
        <v>5.8598367999999998E-2</v>
      </c>
      <c r="E52" s="65">
        <v>6.2154656000000003E-2</v>
      </c>
      <c r="F52" s="65">
        <v>6.2590276E-2</v>
      </c>
      <c r="G52" s="65">
        <v>6.2752188E-2</v>
      </c>
      <c r="H52" s="65">
        <v>6.271148E-2</v>
      </c>
      <c r="I52" s="65">
        <v>6.2575855999999999E-2</v>
      </c>
      <c r="J52" s="65">
        <v>6.2453203999999998E-2</v>
      </c>
      <c r="K52" s="65">
        <v>6.2430064E-2</v>
      </c>
      <c r="L52" s="65">
        <v>6.2446396000000001E-2</v>
      </c>
      <c r="M52" s="65">
        <v>6.2544996000000005E-2</v>
      </c>
      <c r="N52" s="65">
        <v>6.2666996000000003E-2</v>
      </c>
      <c r="O52" s="65">
        <v>6.2853296000000003E-2</v>
      </c>
      <c r="P52" s="65">
        <v>6.3069548000000003E-2</v>
      </c>
      <c r="Q52" s="65">
        <v>6.3308059999999999E-2</v>
      </c>
      <c r="R52" s="65">
        <v>6.3571704000000007E-2</v>
      </c>
      <c r="S52" s="65">
        <v>6.3894231999999995E-2</v>
      </c>
      <c r="T52" s="65">
        <v>6.4258975999999995E-2</v>
      </c>
      <c r="U52" s="65">
        <v>6.4725168E-2</v>
      </c>
      <c r="V52" s="65">
        <v>6.5211411999999996E-2</v>
      </c>
      <c r="W52" s="65">
        <v>6.5680888000000007E-2</v>
      </c>
      <c r="X52" s="65">
        <v>6.6162064000000007E-2</v>
      </c>
      <c r="Y52" s="65">
        <v>6.6587255999999997E-2</v>
      </c>
      <c r="Z52" s="65">
        <v>6.6993116000000005E-2</v>
      </c>
      <c r="AA52" s="65">
        <v>6.7365248000000003E-2</v>
      </c>
      <c r="AB52" s="65">
        <v>6.7758520000000003E-2</v>
      </c>
      <c r="AC52" s="65">
        <v>6.8145159999999996E-2</v>
      </c>
      <c r="AD52" s="65">
        <v>6.055592995690473E-3</v>
      </c>
    </row>
    <row r="53" spans="1:30" s="65" customFormat="1" ht="12" customHeight="1" x14ac:dyDescent="0.2">
      <c r="A53" s="73">
        <v>40</v>
      </c>
      <c r="B53" s="65" t="s">
        <v>1142</v>
      </c>
      <c r="C53" s="65" t="s">
        <v>1114</v>
      </c>
      <c r="D53" s="65">
        <v>1.0242655359999999</v>
      </c>
      <c r="E53" s="65">
        <v>1.0351788799999999</v>
      </c>
      <c r="F53" s="65">
        <v>1.0454208</v>
      </c>
      <c r="G53" s="65">
        <v>1.05518592</v>
      </c>
      <c r="H53" s="65">
        <v>1.053344128</v>
      </c>
      <c r="I53" s="65">
        <v>1.049760896</v>
      </c>
      <c r="J53" s="65">
        <v>1.0468996479999999</v>
      </c>
      <c r="K53" s="65">
        <v>1.045200192</v>
      </c>
      <c r="L53" s="65">
        <v>1.042567424</v>
      </c>
      <c r="M53" s="65">
        <v>1.041999296</v>
      </c>
      <c r="N53" s="65">
        <v>1.04300736</v>
      </c>
      <c r="O53" s="65">
        <v>1.0435045119999999</v>
      </c>
      <c r="P53" s="65">
        <v>1.043020928</v>
      </c>
      <c r="Q53" s="65">
        <v>1.0422154239999999</v>
      </c>
      <c r="R53" s="65">
        <v>1.0409104</v>
      </c>
      <c r="S53" s="65">
        <v>1.039288896</v>
      </c>
      <c r="T53" s="65">
        <v>1.037015552</v>
      </c>
      <c r="U53" s="65">
        <v>1.034723072</v>
      </c>
      <c r="V53" s="65">
        <v>1.032110976</v>
      </c>
      <c r="W53" s="65">
        <v>1.029129344</v>
      </c>
      <c r="X53" s="65">
        <v>1.0254291200000001</v>
      </c>
      <c r="Y53" s="65">
        <v>1.0206722560000001</v>
      </c>
      <c r="Z53" s="65">
        <v>1.015128832</v>
      </c>
      <c r="AA53" s="65">
        <v>1.009384064</v>
      </c>
      <c r="AB53" s="65">
        <v>1.0039144959999999</v>
      </c>
      <c r="AC53" s="65">
        <v>0.99913017599999998</v>
      </c>
      <c r="AD53" s="65">
        <v>-9.9334662499550586E-4</v>
      </c>
    </row>
    <row r="54" spans="1:30" s="65" customFormat="1" ht="12" customHeight="1" x14ac:dyDescent="0.2">
      <c r="A54" s="73">
        <v>41</v>
      </c>
      <c r="B54" s="65" t="s">
        <v>1143</v>
      </c>
      <c r="C54" s="65" t="s">
        <v>40</v>
      </c>
      <c r="D54" s="65">
        <v>7.7267743999999999E-2</v>
      </c>
      <c r="E54" s="65">
        <v>7.7256063999999999E-2</v>
      </c>
      <c r="F54" s="65">
        <v>7.7246512000000003E-2</v>
      </c>
      <c r="G54" s="65">
        <v>7.7222351999999994E-2</v>
      </c>
      <c r="H54" s="65">
        <v>7.7195215999999997E-2</v>
      </c>
      <c r="I54" s="65">
        <v>7.7166808000000003E-2</v>
      </c>
      <c r="J54" s="65">
        <v>7.7124479999999995E-2</v>
      </c>
      <c r="K54" s="65">
        <v>7.7065343999999994E-2</v>
      </c>
      <c r="L54" s="65">
        <v>7.7005928000000001E-2</v>
      </c>
      <c r="M54" s="65">
        <v>7.6969895999999996E-2</v>
      </c>
      <c r="N54" s="65">
        <v>7.6962048000000005E-2</v>
      </c>
      <c r="O54" s="65">
        <v>7.6990775999999997E-2</v>
      </c>
      <c r="P54" s="65">
        <v>7.7060383999999996E-2</v>
      </c>
      <c r="Q54" s="65">
        <v>7.7216536000000002E-2</v>
      </c>
      <c r="R54" s="65">
        <v>7.7432303999999993E-2</v>
      </c>
      <c r="S54" s="65">
        <v>7.7711552000000003E-2</v>
      </c>
      <c r="T54" s="65">
        <v>7.8045175999999994E-2</v>
      </c>
      <c r="U54" s="65">
        <v>7.8430440000000004E-2</v>
      </c>
      <c r="V54" s="65">
        <v>7.8815583999999994E-2</v>
      </c>
      <c r="W54" s="65">
        <v>7.9202544E-2</v>
      </c>
      <c r="X54" s="65">
        <v>7.9598823999999999E-2</v>
      </c>
      <c r="Y54" s="65">
        <v>8.0006376000000004E-2</v>
      </c>
      <c r="Z54" s="65">
        <v>8.0424376000000006E-2</v>
      </c>
      <c r="AA54" s="65">
        <v>8.0854527999999995E-2</v>
      </c>
      <c r="AB54" s="65">
        <v>8.1298848000000007E-2</v>
      </c>
      <c r="AC54" s="65">
        <v>8.1760856000000007E-2</v>
      </c>
      <c r="AD54" s="65">
        <v>2.263438152300123E-3</v>
      </c>
    </row>
    <row r="55" spans="1:30" s="65" customFormat="1" ht="12" customHeight="1" x14ac:dyDescent="0.2">
      <c r="A55" s="73">
        <v>42</v>
      </c>
      <c r="B55" s="65" t="s">
        <v>1144</v>
      </c>
      <c r="C55" s="65" t="s">
        <v>1118</v>
      </c>
      <c r="D55" s="65">
        <v>3.9573959999999998E-2</v>
      </c>
      <c r="E55" s="65">
        <v>4.0283911999999998E-2</v>
      </c>
      <c r="F55" s="65">
        <v>4.0920216000000002E-2</v>
      </c>
      <c r="G55" s="65">
        <v>4.1544143999999998E-2</v>
      </c>
      <c r="H55" s="65">
        <v>4.2108663999999997E-2</v>
      </c>
      <c r="I55" s="65">
        <v>4.2643227999999998E-2</v>
      </c>
      <c r="J55" s="65">
        <v>4.3186955999999999E-2</v>
      </c>
      <c r="K55" s="65">
        <v>4.3759324000000002E-2</v>
      </c>
      <c r="L55" s="65">
        <v>4.420806E-2</v>
      </c>
      <c r="M55" s="65">
        <v>4.4701355999999998E-2</v>
      </c>
      <c r="N55" s="65">
        <v>4.5237623999999997E-2</v>
      </c>
      <c r="O55" s="65">
        <v>4.5825655999999999E-2</v>
      </c>
      <c r="P55" s="65">
        <v>4.6395935999999999E-2</v>
      </c>
      <c r="Q55" s="65">
        <v>4.6977848000000003E-2</v>
      </c>
      <c r="R55" s="65">
        <v>4.7561140000000002E-2</v>
      </c>
      <c r="S55" s="65">
        <v>4.8145871999999999E-2</v>
      </c>
      <c r="T55" s="65">
        <v>4.8723816000000003E-2</v>
      </c>
      <c r="U55" s="65">
        <v>4.9351908E-2</v>
      </c>
      <c r="V55" s="65">
        <v>5.0014775999999997E-2</v>
      </c>
      <c r="W55" s="65">
        <v>5.0706528000000001E-2</v>
      </c>
      <c r="X55" s="65">
        <v>5.1405520000000003E-2</v>
      </c>
      <c r="Y55" s="65">
        <v>5.2087891999999997E-2</v>
      </c>
      <c r="Z55" s="65">
        <v>5.2755844000000003E-2</v>
      </c>
      <c r="AA55" s="65">
        <v>5.3424048000000002E-2</v>
      </c>
      <c r="AB55" s="65">
        <v>5.4099875999999998E-2</v>
      </c>
      <c r="AC55" s="65">
        <v>5.4789400000000002E-2</v>
      </c>
      <c r="AD55" s="65">
        <v>1.3098054503162929E-2</v>
      </c>
    </row>
    <row r="56" spans="1:30" s="65" customFormat="1" ht="12" customHeight="1" x14ac:dyDescent="0.2">
      <c r="A56" s="73">
        <v>43</v>
      </c>
      <c r="B56" s="65" t="s">
        <v>1145</v>
      </c>
      <c r="C56" s="65" t="s">
        <v>66</v>
      </c>
      <c r="D56" s="65">
        <v>0.60834560000000004</v>
      </c>
      <c r="E56" s="65">
        <v>0.61166591999999997</v>
      </c>
      <c r="F56" s="65">
        <v>0.61394630400000005</v>
      </c>
      <c r="G56" s="65">
        <v>0.61501363200000003</v>
      </c>
      <c r="H56" s="65">
        <v>0.61462041599999995</v>
      </c>
      <c r="I56" s="65">
        <v>0.61321504000000004</v>
      </c>
      <c r="J56" s="65">
        <v>0.61157491200000003</v>
      </c>
      <c r="K56" s="65">
        <v>0.61024972799999999</v>
      </c>
      <c r="L56" s="65">
        <v>0.60843251200000004</v>
      </c>
      <c r="M56" s="65">
        <v>0.60708844799999995</v>
      </c>
      <c r="N56" s="65">
        <v>0.60590003199999998</v>
      </c>
      <c r="O56" s="65">
        <v>0.60509100800000004</v>
      </c>
      <c r="P56" s="65">
        <v>0.60413382400000004</v>
      </c>
      <c r="Q56" s="65">
        <v>0.603321408</v>
      </c>
      <c r="R56" s="65">
        <v>0.60255628800000005</v>
      </c>
      <c r="S56" s="65">
        <v>0.60190777600000001</v>
      </c>
      <c r="T56" s="65">
        <v>0.60136454399999995</v>
      </c>
      <c r="U56" s="65">
        <v>0.60120902399999998</v>
      </c>
      <c r="V56" s="65">
        <v>0.60129600000000005</v>
      </c>
      <c r="W56" s="65">
        <v>0.60158265600000005</v>
      </c>
      <c r="X56" s="65">
        <v>0.60179142399999996</v>
      </c>
      <c r="Y56" s="65">
        <v>0.60165894399999997</v>
      </c>
      <c r="Z56" s="65">
        <v>0.60125036799999998</v>
      </c>
      <c r="AA56" s="65">
        <v>0.60075871999999997</v>
      </c>
      <c r="AB56" s="65">
        <v>0.60029504</v>
      </c>
      <c r="AC56" s="65">
        <v>0.59991673599999995</v>
      </c>
      <c r="AD56" s="65">
        <v>-5.5793506734624909E-4</v>
      </c>
    </row>
    <row r="57" spans="1:30" s="67" customFormat="1" ht="12" customHeight="1" x14ac:dyDescent="0.2">
      <c r="A57" s="73">
        <v>44</v>
      </c>
      <c r="B57" s="67" t="s">
        <v>1146</v>
      </c>
      <c r="C57" s="67" t="s">
        <v>68</v>
      </c>
      <c r="D57" s="67">
        <v>4.9260802268981934</v>
      </c>
      <c r="E57" s="67">
        <v>4.7562723159790039</v>
      </c>
      <c r="F57" s="67">
        <v>4.8871927261352539</v>
      </c>
      <c r="G57" s="67">
        <v>4.8800573348999023</v>
      </c>
      <c r="H57" s="67">
        <v>4.8419408798217773</v>
      </c>
      <c r="I57" s="67">
        <v>4.792874813079834</v>
      </c>
      <c r="J57" s="67">
        <v>4.7416291236877441</v>
      </c>
      <c r="K57" s="67">
        <v>4.6952061653137207</v>
      </c>
      <c r="L57" s="67">
        <v>4.6477890014648438</v>
      </c>
      <c r="M57" s="67">
        <v>4.6056985855102539</v>
      </c>
      <c r="N57" s="67">
        <v>4.5665931701660156</v>
      </c>
      <c r="O57" s="67">
        <v>4.5299792289733887</v>
      </c>
      <c r="P57" s="67">
        <v>4.491732120513916</v>
      </c>
      <c r="Q57" s="67">
        <v>4.4552803039550781</v>
      </c>
      <c r="R57" s="67">
        <v>4.4191713333129883</v>
      </c>
      <c r="S57" s="67">
        <v>4.3842606544494629</v>
      </c>
      <c r="T57" s="67">
        <v>4.3493475914001456</v>
      </c>
      <c r="U57" s="67">
        <v>4.3187780380249023</v>
      </c>
      <c r="V57" s="67">
        <v>4.2900552749633789</v>
      </c>
      <c r="W57" s="67">
        <v>4.2629461288452148</v>
      </c>
      <c r="X57" s="67">
        <v>4.2364802360534668</v>
      </c>
      <c r="Y57" s="67">
        <v>4.2076668739318848</v>
      </c>
      <c r="Z57" s="67">
        <v>4.1765165328979492</v>
      </c>
      <c r="AA57" s="67">
        <v>4.1453886032104492</v>
      </c>
      <c r="AB57" s="67">
        <v>4.1150445938110352</v>
      </c>
      <c r="AC57" s="67">
        <v>4.086371898651123</v>
      </c>
      <c r="AD57" s="67">
        <v>-7.4475714078754418E-3</v>
      </c>
    </row>
    <row r="58" spans="1:30" s="65" customFormat="1" ht="12" customHeight="1" x14ac:dyDescent="0.2">
      <c r="A58" s="73">
        <v>45</v>
      </c>
    </row>
    <row r="59" spans="1:30" s="67" customFormat="1" ht="12" customHeight="1" x14ac:dyDescent="0.2">
      <c r="A59" s="73">
        <v>46</v>
      </c>
      <c r="C59" s="67" t="s">
        <v>1147</v>
      </c>
    </row>
    <row r="60" spans="1:30" s="65" customFormat="1" ht="12" customHeight="1" x14ac:dyDescent="0.2">
      <c r="A60" s="73">
        <v>47</v>
      </c>
      <c r="B60" s="65" t="s">
        <v>1148</v>
      </c>
      <c r="C60" s="65" t="s">
        <v>1110</v>
      </c>
      <c r="D60" s="65">
        <v>0.42536784</v>
      </c>
      <c r="E60" s="65">
        <v>0.409160896</v>
      </c>
      <c r="F60" s="65">
        <v>0.40481756800000002</v>
      </c>
      <c r="G60" s="65">
        <v>0.39842924800000001</v>
      </c>
      <c r="H60" s="65">
        <v>0.39159583999999997</v>
      </c>
      <c r="I60" s="65">
        <v>0.38541782400000002</v>
      </c>
      <c r="J60" s="65">
        <v>0.37914031999999998</v>
      </c>
      <c r="K60" s="65">
        <v>0.37317808000000002</v>
      </c>
      <c r="L60" s="65">
        <v>0.367289792</v>
      </c>
      <c r="M60" s="65">
        <v>0.36187728000000002</v>
      </c>
      <c r="N60" s="65">
        <v>0.35654764799999999</v>
      </c>
      <c r="O60" s="65">
        <v>0.35143584</v>
      </c>
      <c r="P60" s="65">
        <v>0.34647817600000003</v>
      </c>
      <c r="Q60" s="65">
        <v>0.34170550399999999</v>
      </c>
      <c r="R60" s="65">
        <v>0.33711088</v>
      </c>
      <c r="S60" s="65">
        <v>0.33257625600000001</v>
      </c>
      <c r="T60" s="65">
        <v>0.32808076800000002</v>
      </c>
      <c r="U60" s="65">
        <v>0.32377766400000002</v>
      </c>
      <c r="V60" s="65">
        <v>0.31953401599999998</v>
      </c>
      <c r="W60" s="65">
        <v>0.31542748799999998</v>
      </c>
      <c r="X60" s="65">
        <v>0.31137142400000001</v>
      </c>
      <c r="Y60" s="65">
        <v>0.30740188800000001</v>
      </c>
      <c r="Z60" s="65">
        <v>0.30341849599999998</v>
      </c>
      <c r="AA60" s="65">
        <v>0.299458528</v>
      </c>
      <c r="AB60" s="65">
        <v>0.29552342399999998</v>
      </c>
      <c r="AC60" s="65">
        <v>0.29172918399999997</v>
      </c>
      <c r="AD60" s="65">
        <v>-1.497192455298002E-2</v>
      </c>
    </row>
    <row r="61" spans="1:30" s="65" customFormat="1" ht="12" customHeight="1" x14ac:dyDescent="0.2">
      <c r="A61" s="73">
        <v>48</v>
      </c>
      <c r="B61" s="65" t="s">
        <v>1149</v>
      </c>
      <c r="C61" s="65" t="s">
        <v>1114</v>
      </c>
      <c r="D61" s="65">
        <v>3.7856924E-2</v>
      </c>
      <c r="E61" s="65">
        <v>3.5875452000000002E-2</v>
      </c>
      <c r="F61" s="65">
        <v>3.3764559999999999E-2</v>
      </c>
      <c r="G61" s="65">
        <v>3.1760318000000003E-2</v>
      </c>
      <c r="H61" s="65">
        <v>2.9821963999999999E-2</v>
      </c>
      <c r="I61" s="65">
        <v>2.8182556000000001E-2</v>
      </c>
      <c r="J61" s="65">
        <v>2.6771066E-2</v>
      </c>
      <c r="K61" s="65">
        <v>2.5623322E-2</v>
      </c>
      <c r="L61" s="65">
        <v>2.4712479999999998E-2</v>
      </c>
      <c r="M61" s="65">
        <v>2.4074603999999999E-2</v>
      </c>
      <c r="N61" s="65">
        <v>2.3676277999999999E-2</v>
      </c>
      <c r="O61" s="65">
        <v>2.3233988000000001E-2</v>
      </c>
      <c r="P61" s="65">
        <v>2.2777892000000001E-2</v>
      </c>
      <c r="Q61" s="65">
        <v>2.2309217999999999E-2</v>
      </c>
      <c r="R61" s="65">
        <v>2.1833941999999999E-2</v>
      </c>
      <c r="S61" s="65">
        <v>2.1354017999999999E-2</v>
      </c>
      <c r="T61" s="65">
        <v>2.0862208E-2</v>
      </c>
      <c r="U61" s="65">
        <v>2.0367122000000001E-2</v>
      </c>
      <c r="V61" s="65">
        <v>1.9869511999999999E-2</v>
      </c>
      <c r="W61" s="65">
        <v>1.9371581999999998E-2</v>
      </c>
      <c r="X61" s="65">
        <v>1.8869574E-2</v>
      </c>
      <c r="Y61" s="65">
        <v>1.8372125999999999E-2</v>
      </c>
      <c r="Z61" s="65">
        <v>1.7880828000000001E-2</v>
      </c>
      <c r="AA61" s="65">
        <v>1.7401414E-2</v>
      </c>
      <c r="AB61" s="65">
        <v>1.6940015999999999E-2</v>
      </c>
      <c r="AC61" s="65">
        <v>1.6508926E-2</v>
      </c>
      <c r="AD61" s="65">
        <v>-3.2651550467683747E-2</v>
      </c>
    </row>
    <row r="62" spans="1:30" s="65" customFormat="1" ht="12" customHeight="1" x14ac:dyDescent="0.2">
      <c r="A62" s="73">
        <v>49</v>
      </c>
      <c r="B62" s="65" t="s">
        <v>1150</v>
      </c>
      <c r="C62" s="65" t="s">
        <v>1151</v>
      </c>
      <c r="D62" s="65">
        <v>2.605526E-2</v>
      </c>
      <c r="E62" s="65">
        <v>2.6323658E-2</v>
      </c>
      <c r="F62" s="65">
        <v>2.6369386000000002E-2</v>
      </c>
      <c r="G62" s="65">
        <v>2.6309869999999999E-2</v>
      </c>
      <c r="H62" s="65">
        <v>2.6205866000000001E-2</v>
      </c>
      <c r="I62" s="65">
        <v>2.6145310000000001E-2</v>
      </c>
      <c r="J62" s="65">
        <v>2.6071268000000002E-2</v>
      </c>
      <c r="K62" s="65">
        <v>2.6010390000000001E-2</v>
      </c>
      <c r="L62" s="65">
        <v>2.5942750000000001E-2</v>
      </c>
      <c r="M62" s="65">
        <v>2.5899246000000001E-2</v>
      </c>
      <c r="N62" s="65">
        <v>2.5848791999999999E-2</v>
      </c>
      <c r="O62" s="65">
        <v>2.5802875999999999E-2</v>
      </c>
      <c r="P62" s="65">
        <v>2.5762488E-2</v>
      </c>
      <c r="Q62" s="65">
        <v>2.5723826000000002E-2</v>
      </c>
      <c r="R62" s="65">
        <v>2.5689788000000002E-2</v>
      </c>
      <c r="S62" s="65">
        <v>2.5656688E-2</v>
      </c>
      <c r="T62" s="65">
        <v>2.5618281999999999E-2</v>
      </c>
      <c r="U62" s="65">
        <v>2.5582908000000001E-2</v>
      </c>
      <c r="V62" s="65">
        <v>2.5548856000000002E-2</v>
      </c>
      <c r="W62" s="65">
        <v>2.5516258E-2</v>
      </c>
      <c r="X62" s="65">
        <v>2.5476874E-2</v>
      </c>
      <c r="Y62" s="65">
        <v>2.5437815999999999E-2</v>
      </c>
      <c r="Z62" s="65">
        <v>2.5395692000000001E-2</v>
      </c>
      <c r="AA62" s="65">
        <v>2.5351438E-2</v>
      </c>
      <c r="AB62" s="65">
        <v>2.5306002000000001E-2</v>
      </c>
      <c r="AC62" s="65">
        <v>2.5270761999999999E-2</v>
      </c>
      <c r="AD62" s="65">
        <v>-1.2221162838391699E-3</v>
      </c>
    </row>
    <row r="63" spans="1:30" s="67" customFormat="1" ht="12" customHeight="1" x14ac:dyDescent="0.2">
      <c r="A63" s="73">
        <v>50</v>
      </c>
      <c r="B63" s="67" t="s">
        <v>1152</v>
      </c>
      <c r="C63" s="67" t="s">
        <v>68</v>
      </c>
      <c r="D63" s="67">
        <v>0.48928001523017878</v>
      </c>
      <c r="E63" s="67">
        <v>0.47136002779006958</v>
      </c>
      <c r="F63" s="67">
        <v>0.46495157480239868</v>
      </c>
      <c r="G63" s="67">
        <v>0.45649954676628107</v>
      </c>
      <c r="H63" s="67">
        <v>0.44762369990348821</v>
      </c>
      <c r="I63" s="67">
        <v>0.43974563479423517</v>
      </c>
      <c r="J63" s="67">
        <v>0.43198266625404358</v>
      </c>
      <c r="K63" s="67">
        <v>0.42481181025505071</v>
      </c>
      <c r="L63" s="67">
        <v>0.41794514656066889</v>
      </c>
      <c r="M63" s="67">
        <v>0.41185116767883301</v>
      </c>
      <c r="N63" s="67">
        <v>0.4060727059841156</v>
      </c>
      <c r="O63" s="67">
        <v>0.40047276020050049</v>
      </c>
      <c r="P63" s="67">
        <v>0.39501944184303278</v>
      </c>
      <c r="Q63" s="67">
        <v>0.3897416889667511</v>
      </c>
      <c r="R63" s="67">
        <v>0.38464006781578058</v>
      </c>
      <c r="S63" s="67">
        <v>0.37959465384483337</v>
      </c>
      <c r="T63" s="67">
        <v>0.37457168102264399</v>
      </c>
      <c r="U63" s="67">
        <v>0.36974090337753301</v>
      </c>
      <c r="V63" s="67">
        <v>0.36496850848197943</v>
      </c>
      <c r="W63" s="67">
        <v>0.36033466458320618</v>
      </c>
      <c r="X63" s="67">
        <v>0.35574036836624151</v>
      </c>
      <c r="Y63" s="67">
        <v>0.35123756527900701</v>
      </c>
      <c r="Z63" s="67">
        <v>0.34672409296035772</v>
      </c>
      <c r="AA63" s="67">
        <v>0.34224361181259161</v>
      </c>
      <c r="AB63" s="67">
        <v>0.33780473470687872</v>
      </c>
      <c r="AC63" s="67">
        <v>0.33354681730270391</v>
      </c>
      <c r="AD63" s="67">
        <v>-1.5209222169628391E-2</v>
      </c>
    </row>
    <row r="64" spans="1:30" s="65" customFormat="1" ht="12" customHeight="1" x14ac:dyDescent="0.2">
      <c r="A64" s="73">
        <v>51</v>
      </c>
    </row>
    <row r="65" spans="1:30" s="67" customFormat="1" ht="12" customHeight="1" x14ac:dyDescent="0.2">
      <c r="A65" s="73">
        <v>52</v>
      </c>
      <c r="C65" s="67" t="s">
        <v>1153</v>
      </c>
    </row>
    <row r="66" spans="1:30" s="65" customFormat="1" ht="12" customHeight="1" x14ac:dyDescent="0.2">
      <c r="A66" s="73">
        <v>53</v>
      </c>
      <c r="B66" s="65" t="s">
        <v>1154</v>
      </c>
      <c r="C66" s="65" t="s">
        <v>1110</v>
      </c>
      <c r="D66" s="65">
        <v>0.37752092799999998</v>
      </c>
      <c r="E66" s="65">
        <v>0.36312345600000001</v>
      </c>
      <c r="F66" s="65">
        <v>0.34120233599999999</v>
      </c>
      <c r="G66" s="65">
        <v>0.33858147199999999</v>
      </c>
      <c r="H66" s="65">
        <v>0.33409823999999999</v>
      </c>
      <c r="I66" s="65">
        <v>0.328570048</v>
      </c>
      <c r="J66" s="65">
        <v>0.32222105600000001</v>
      </c>
      <c r="K66" s="65">
        <v>0.31594832</v>
      </c>
      <c r="L66" s="65">
        <v>0.3099808</v>
      </c>
      <c r="M66" s="65">
        <v>0.30452153599999998</v>
      </c>
      <c r="N66" s="65">
        <v>0.29947724799999997</v>
      </c>
      <c r="O66" s="65">
        <v>0.29476940800000001</v>
      </c>
      <c r="P66" s="65">
        <v>0.29023353600000001</v>
      </c>
      <c r="Q66" s="65">
        <v>0.285863808</v>
      </c>
      <c r="R66" s="65">
        <v>0.28161328000000002</v>
      </c>
      <c r="S66" s="65">
        <v>0.27760268799999999</v>
      </c>
      <c r="T66" s="65">
        <v>0.273847648</v>
      </c>
      <c r="U66" s="65">
        <v>0.27051984000000001</v>
      </c>
      <c r="V66" s="65">
        <v>0.26754745600000002</v>
      </c>
      <c r="W66" s="65">
        <v>0.26485846400000002</v>
      </c>
      <c r="X66" s="65">
        <v>0.26235745599999999</v>
      </c>
      <c r="Y66" s="65">
        <v>0.25987972799999998</v>
      </c>
      <c r="Z66" s="65">
        <v>0.257270416</v>
      </c>
      <c r="AA66" s="65">
        <v>0.25461995199999998</v>
      </c>
      <c r="AB66" s="65">
        <v>0.251971216</v>
      </c>
      <c r="AC66" s="65">
        <v>0.24937891200000001</v>
      </c>
      <c r="AD66" s="65">
        <v>-1.644930918232446E-2</v>
      </c>
    </row>
    <row r="67" spans="1:30" s="65" customFormat="1" ht="12" customHeight="1" x14ac:dyDescent="0.2">
      <c r="A67" s="73">
        <v>54</v>
      </c>
      <c r="B67" s="65" t="s">
        <v>1155</v>
      </c>
      <c r="C67" s="65" t="s">
        <v>1114</v>
      </c>
      <c r="D67" s="65">
        <v>5.8524816E-2</v>
      </c>
      <c r="E67" s="65">
        <v>5.9045232000000003E-2</v>
      </c>
      <c r="F67" s="65">
        <v>5.9788363999999997E-2</v>
      </c>
      <c r="G67" s="65">
        <v>6.0390256000000003E-2</v>
      </c>
      <c r="H67" s="65">
        <v>5.9602552000000003E-2</v>
      </c>
      <c r="I67" s="65">
        <v>5.8604436000000003E-2</v>
      </c>
      <c r="J67" s="65">
        <v>5.7557207999999999E-2</v>
      </c>
      <c r="K67" s="65">
        <v>5.6583512000000002E-2</v>
      </c>
      <c r="L67" s="65">
        <v>5.5702179999999997E-2</v>
      </c>
      <c r="M67" s="65">
        <v>5.5020607999999999E-2</v>
      </c>
      <c r="N67" s="65">
        <v>5.4533824000000002E-2</v>
      </c>
      <c r="O67" s="65">
        <v>5.3958739999999998E-2</v>
      </c>
      <c r="P67" s="65">
        <v>5.3306795999999997E-2</v>
      </c>
      <c r="Q67" s="65">
        <v>5.2582360000000002E-2</v>
      </c>
      <c r="R67" s="65">
        <v>5.1788816000000001E-2</v>
      </c>
      <c r="S67" s="65">
        <v>5.0961772000000002E-2</v>
      </c>
      <c r="T67" s="65">
        <v>5.0117759999999997E-2</v>
      </c>
      <c r="U67" s="65">
        <v>4.9286348000000001E-2</v>
      </c>
      <c r="V67" s="65">
        <v>4.8475836000000001E-2</v>
      </c>
      <c r="W67" s="65">
        <v>4.7684471999999999E-2</v>
      </c>
      <c r="X67" s="65">
        <v>4.6888052E-2</v>
      </c>
      <c r="Y67" s="65">
        <v>4.6069628000000001E-2</v>
      </c>
      <c r="Z67" s="65">
        <v>4.5236156E-2</v>
      </c>
      <c r="AA67" s="65">
        <v>4.4409216000000001E-2</v>
      </c>
      <c r="AB67" s="65">
        <v>4.36164E-2</v>
      </c>
      <c r="AC67" s="65">
        <v>4.2877907999999999E-2</v>
      </c>
      <c r="AD67" s="65">
        <v>-1.2366662145239521E-2</v>
      </c>
    </row>
    <row r="68" spans="1:30" s="65" customFormat="1" ht="12" customHeight="1" x14ac:dyDescent="0.2">
      <c r="A68" s="73">
        <v>55</v>
      </c>
      <c r="B68" s="65" t="s">
        <v>1156</v>
      </c>
      <c r="C68" s="65" t="s">
        <v>40</v>
      </c>
      <c r="D68" s="65">
        <v>1.0416893E-2</v>
      </c>
      <c r="E68" s="65">
        <v>1.0382659000000001E-2</v>
      </c>
      <c r="F68" s="65">
        <v>1.0352623E-2</v>
      </c>
      <c r="G68" s="65">
        <v>1.0320664E-2</v>
      </c>
      <c r="H68" s="65">
        <v>1.0288456E-2</v>
      </c>
      <c r="I68" s="65">
        <v>1.0251335E-2</v>
      </c>
      <c r="J68" s="65">
        <v>1.0208539000000001E-2</v>
      </c>
      <c r="K68" s="65">
        <v>1.0160659000000001E-2</v>
      </c>
      <c r="L68" s="65">
        <v>1.0109655E-2</v>
      </c>
      <c r="M68" s="65">
        <v>1.0054894999999999E-2</v>
      </c>
      <c r="N68" s="65">
        <v>9.9962169999999999E-3</v>
      </c>
      <c r="O68" s="65">
        <v>9.9327949999999995E-3</v>
      </c>
      <c r="P68" s="65">
        <v>9.8648179999999992E-3</v>
      </c>
      <c r="Q68" s="65">
        <v>9.8131069999999997E-3</v>
      </c>
      <c r="R68" s="65">
        <v>9.7768479999999994E-3</v>
      </c>
      <c r="S68" s="65">
        <v>9.7585469999999994E-3</v>
      </c>
      <c r="T68" s="65">
        <v>9.7593279999999994E-3</v>
      </c>
      <c r="U68" s="65">
        <v>9.7802050000000001E-3</v>
      </c>
      <c r="V68" s="65">
        <v>9.7986549999999999E-3</v>
      </c>
      <c r="W68" s="65">
        <v>9.8149589999999998E-3</v>
      </c>
      <c r="X68" s="65">
        <v>9.8302839999999999E-3</v>
      </c>
      <c r="Y68" s="65">
        <v>9.8444940000000005E-3</v>
      </c>
      <c r="Z68" s="65">
        <v>9.8571200000000005E-3</v>
      </c>
      <c r="AA68" s="65">
        <v>9.8679949999999992E-3</v>
      </c>
      <c r="AB68" s="65">
        <v>9.8773070000000001E-3</v>
      </c>
      <c r="AC68" s="65">
        <v>9.8855120000000008E-3</v>
      </c>
      <c r="AD68" s="65">
        <v>-2.0921509687310551E-3</v>
      </c>
    </row>
    <row r="69" spans="1:30" s="65" customFormat="1" ht="12" customHeight="1" x14ac:dyDescent="0.2">
      <c r="A69" s="73">
        <v>56</v>
      </c>
      <c r="B69" s="65" t="s">
        <v>1157</v>
      </c>
      <c r="C69" s="65" t="s">
        <v>1158</v>
      </c>
      <c r="D69" s="65">
        <v>7.8037311999999998E-2</v>
      </c>
      <c r="E69" s="65">
        <v>8.1168695999999999E-2</v>
      </c>
      <c r="F69" s="65">
        <v>8.4197159999999993E-2</v>
      </c>
      <c r="G69" s="65">
        <v>8.6919023999999998E-2</v>
      </c>
      <c r="H69" s="65">
        <v>8.9321968000000002E-2</v>
      </c>
      <c r="I69" s="65">
        <v>9.1502511999999994E-2</v>
      </c>
      <c r="J69" s="65">
        <v>9.3499600000000002E-2</v>
      </c>
      <c r="K69" s="65">
        <v>9.5470912000000005E-2</v>
      </c>
      <c r="L69" s="65">
        <v>9.7410464000000002E-2</v>
      </c>
      <c r="M69" s="65">
        <v>9.9465440000000002E-2</v>
      </c>
      <c r="N69" s="65">
        <v>0.101613936</v>
      </c>
      <c r="O69" s="65">
        <v>0.10382166399999999</v>
      </c>
      <c r="P69" s="65">
        <v>0.10602426399999999</v>
      </c>
      <c r="Q69" s="65">
        <v>0.108215704</v>
      </c>
      <c r="R69" s="65">
        <v>0.110387264</v>
      </c>
      <c r="S69" s="65">
        <v>0.112575104</v>
      </c>
      <c r="T69" s="65">
        <v>0.114813912</v>
      </c>
      <c r="U69" s="65">
        <v>0.117151528</v>
      </c>
      <c r="V69" s="65">
        <v>0.119593984</v>
      </c>
      <c r="W69" s="65">
        <v>0.122121088</v>
      </c>
      <c r="X69" s="65">
        <v>0.124669688</v>
      </c>
      <c r="Y69" s="65">
        <v>0.12718207200000001</v>
      </c>
      <c r="Z69" s="65">
        <v>0.12964841599999999</v>
      </c>
      <c r="AA69" s="65">
        <v>0.13209407200000001</v>
      </c>
      <c r="AB69" s="65">
        <v>0.13455473600000001</v>
      </c>
      <c r="AC69" s="65">
        <v>0.13704892799999999</v>
      </c>
      <c r="AD69" s="65">
        <v>2.2781664166767301E-2</v>
      </c>
    </row>
    <row r="70" spans="1:30" s="67" customFormat="1" ht="12" customHeight="1" x14ac:dyDescent="0.2">
      <c r="A70" s="73">
        <v>57</v>
      </c>
      <c r="B70" s="67" t="s">
        <v>1159</v>
      </c>
      <c r="C70" s="67" t="s">
        <v>68</v>
      </c>
      <c r="D70" s="67">
        <v>0.52450001239776611</v>
      </c>
      <c r="E70" s="67">
        <v>0.51372003555297852</v>
      </c>
      <c r="F70" s="67">
        <v>0.4955405592918396</v>
      </c>
      <c r="G70" s="67">
        <v>0.49621137976646418</v>
      </c>
      <c r="H70" s="67">
        <v>0.49331116676330572</v>
      </c>
      <c r="I70" s="67">
        <v>0.48892834782600397</v>
      </c>
      <c r="J70" s="67">
        <v>0.48348644375801092</v>
      </c>
      <c r="K70" s="67">
        <v>0.4781634509563446</v>
      </c>
      <c r="L70" s="67">
        <v>0.47320321202278143</v>
      </c>
      <c r="M70" s="67">
        <v>0.4690624475479126</v>
      </c>
      <c r="N70" s="67">
        <v>0.46562120318412781</v>
      </c>
      <c r="O70" s="67">
        <v>0.46248260140419012</v>
      </c>
      <c r="P70" s="67">
        <v>0.45942938327789312</v>
      </c>
      <c r="Q70" s="67">
        <v>0.45647501945495611</v>
      </c>
      <c r="R70" s="67">
        <v>0.45356625318527222</v>
      </c>
      <c r="S70" s="67">
        <v>0.45089817047119141</v>
      </c>
      <c r="T70" s="67">
        <v>0.44853869080543518</v>
      </c>
      <c r="U70" s="67">
        <v>0.44673797488212591</v>
      </c>
      <c r="V70" s="67">
        <v>0.44541597366333008</v>
      </c>
      <c r="W70" s="67">
        <v>0.44447898864746088</v>
      </c>
      <c r="X70" s="67">
        <v>0.44374552369117742</v>
      </c>
      <c r="Y70" s="67">
        <v>0.44297593832015991</v>
      </c>
      <c r="Z70" s="67">
        <v>0.44201213121414179</v>
      </c>
      <c r="AA70" s="67">
        <v>0.44099125266075129</v>
      </c>
      <c r="AB70" s="67">
        <v>0.44001969695091248</v>
      </c>
      <c r="AC70" s="67">
        <v>0.43919128179550171</v>
      </c>
      <c r="AD70" s="67">
        <v>-7.0752680662837797E-3</v>
      </c>
    </row>
    <row r="71" spans="1:30" s="65" customFormat="1" ht="12" customHeight="1" x14ac:dyDescent="0.2">
      <c r="A71" s="73">
        <v>58</v>
      </c>
    </row>
    <row r="72" spans="1:30" s="65" customFormat="1" ht="12" customHeight="1" x14ac:dyDescent="0.2">
      <c r="A72" s="73">
        <v>59</v>
      </c>
      <c r="B72" s="65" t="s">
        <v>1160</v>
      </c>
      <c r="C72" s="65" t="s">
        <v>1161</v>
      </c>
      <c r="D72" s="65">
        <v>0.37138739199999998</v>
      </c>
      <c r="E72" s="65">
        <v>0.34290067200000002</v>
      </c>
      <c r="F72" s="65">
        <v>0.33499011200000001</v>
      </c>
      <c r="G72" s="65">
        <v>0.33120499199999998</v>
      </c>
      <c r="H72" s="65">
        <v>0.32895392000000001</v>
      </c>
      <c r="I72" s="65">
        <v>0.32362681599999998</v>
      </c>
      <c r="J72" s="65">
        <v>0.31936905599999998</v>
      </c>
      <c r="K72" s="65">
        <v>0.31564275200000003</v>
      </c>
      <c r="L72" s="65">
        <v>0.312811968</v>
      </c>
      <c r="M72" s="65">
        <v>0.30912588800000002</v>
      </c>
      <c r="N72" s="65">
        <v>0.30582918399999998</v>
      </c>
      <c r="O72" s="65">
        <v>0.30200764800000002</v>
      </c>
      <c r="P72" s="65">
        <v>0.298093728</v>
      </c>
      <c r="Q72" s="65">
        <v>0.29419919999999999</v>
      </c>
      <c r="R72" s="65">
        <v>0.28995385600000001</v>
      </c>
      <c r="S72" s="65">
        <v>0.28553836799999999</v>
      </c>
      <c r="T72" s="65">
        <v>0.281270464</v>
      </c>
      <c r="U72" s="65">
        <v>0.27737811200000001</v>
      </c>
      <c r="V72" s="65">
        <v>0.27363056000000002</v>
      </c>
      <c r="W72" s="65">
        <v>0.27007763200000001</v>
      </c>
      <c r="X72" s="65">
        <v>0.26697406400000001</v>
      </c>
      <c r="Y72" s="65">
        <v>0.263977984</v>
      </c>
      <c r="Z72" s="65">
        <v>0.26128950400000001</v>
      </c>
      <c r="AA72" s="65">
        <v>0.25882419200000001</v>
      </c>
      <c r="AB72" s="65">
        <v>0.25657587199999998</v>
      </c>
      <c r="AC72" s="65">
        <v>0.254137424</v>
      </c>
      <c r="AD72" s="65">
        <v>-1.506026423030749E-2</v>
      </c>
    </row>
    <row r="73" spans="1:30" s="65" customFormat="1" ht="12" customHeight="1" x14ac:dyDescent="0.2">
      <c r="A73" s="73">
        <v>60</v>
      </c>
    </row>
    <row r="74" spans="1:30" s="67" customFormat="1" ht="12" customHeight="1" x14ac:dyDescent="0.2">
      <c r="A74" s="73">
        <v>61</v>
      </c>
      <c r="C74" s="67" t="s">
        <v>1162</v>
      </c>
    </row>
    <row r="75" spans="1:30" s="65" customFormat="1" ht="12" customHeight="1" x14ac:dyDescent="0.2">
      <c r="A75" s="73">
        <v>62</v>
      </c>
      <c r="B75" s="65" t="s">
        <v>1163</v>
      </c>
      <c r="C75" s="65" t="s">
        <v>1164</v>
      </c>
      <c r="D75" s="65">
        <v>4.8872924160000002</v>
      </c>
      <c r="E75" s="65">
        <v>4.6105082880000001</v>
      </c>
      <c r="F75" s="65">
        <v>4.694247936</v>
      </c>
      <c r="G75" s="65">
        <v>4.6635043840000003</v>
      </c>
      <c r="H75" s="65">
        <v>4.6124252160000001</v>
      </c>
      <c r="I75" s="65">
        <v>4.547402752</v>
      </c>
      <c r="J75" s="65">
        <v>4.4787609599999998</v>
      </c>
      <c r="K75" s="65">
        <v>4.4142899199999999</v>
      </c>
      <c r="L75" s="65">
        <v>4.3518760959999998</v>
      </c>
      <c r="M75" s="65">
        <v>4.2920202239999998</v>
      </c>
      <c r="N75" s="65">
        <v>4.2342993919999996</v>
      </c>
      <c r="O75" s="65">
        <v>4.1793088000000003</v>
      </c>
      <c r="P75" s="65">
        <v>4.1237058559999999</v>
      </c>
      <c r="Q75" s="65">
        <v>4.0705356799999999</v>
      </c>
      <c r="R75" s="65">
        <v>4.0178626560000001</v>
      </c>
      <c r="S75" s="65">
        <v>3.9665464319999999</v>
      </c>
      <c r="T75" s="65">
        <v>3.9159198719999999</v>
      </c>
      <c r="U75" s="65">
        <v>3.8705213440000001</v>
      </c>
      <c r="V75" s="65">
        <v>3.8277063679999999</v>
      </c>
      <c r="W75" s="65">
        <v>3.7870338559999999</v>
      </c>
      <c r="X75" s="65">
        <v>3.7487544320000001</v>
      </c>
      <c r="Y75" s="65">
        <v>3.7094520320000002</v>
      </c>
      <c r="Z75" s="65">
        <v>3.6686021119999999</v>
      </c>
      <c r="AA75" s="65">
        <v>3.6283356160000002</v>
      </c>
      <c r="AB75" s="65">
        <v>3.5889408</v>
      </c>
      <c r="AC75" s="65">
        <v>3.5503339519999999</v>
      </c>
      <c r="AD75" s="65">
        <v>-1.2702504690540789E-2</v>
      </c>
    </row>
    <row r="76" spans="1:30" s="65" customFormat="1" ht="12" customHeight="1" x14ac:dyDescent="0.2">
      <c r="A76" s="73">
        <v>63</v>
      </c>
      <c r="B76" s="65" t="s">
        <v>1165</v>
      </c>
      <c r="C76" s="65" t="s">
        <v>1166</v>
      </c>
      <c r="D76" s="65">
        <v>0.98317260799999995</v>
      </c>
      <c r="E76" s="65">
        <v>1.046040576</v>
      </c>
      <c r="F76" s="65">
        <v>1.06037216</v>
      </c>
      <c r="G76" s="65">
        <v>1.0743171840000001</v>
      </c>
      <c r="H76" s="65">
        <v>1.0854568959999999</v>
      </c>
      <c r="I76" s="65">
        <v>1.0925698559999999</v>
      </c>
      <c r="J76" s="65">
        <v>1.0990485759999999</v>
      </c>
      <c r="K76" s="65">
        <v>1.10656128</v>
      </c>
      <c r="L76" s="65">
        <v>1.1148355839999999</v>
      </c>
      <c r="M76" s="65">
        <v>1.124533888</v>
      </c>
      <c r="N76" s="65">
        <v>1.135239168</v>
      </c>
      <c r="O76" s="65">
        <v>1.1472550399999999</v>
      </c>
      <c r="P76" s="65">
        <v>1.1600700159999999</v>
      </c>
      <c r="Q76" s="65">
        <v>1.1734277120000001</v>
      </c>
      <c r="R76" s="65">
        <v>1.187167104</v>
      </c>
      <c r="S76" s="65">
        <v>1.2018499840000001</v>
      </c>
      <c r="T76" s="65">
        <v>1.217397632</v>
      </c>
      <c r="U76" s="65">
        <v>1.2348896</v>
      </c>
      <c r="V76" s="65">
        <v>1.253485824</v>
      </c>
      <c r="W76" s="65">
        <v>1.272132992</v>
      </c>
      <c r="X76" s="65">
        <v>1.2914392320000001</v>
      </c>
      <c r="Y76" s="65">
        <v>1.309698432</v>
      </c>
      <c r="Z76" s="65">
        <v>1.327260544</v>
      </c>
      <c r="AA76" s="65">
        <v>1.344267648</v>
      </c>
      <c r="AB76" s="65">
        <v>1.362016128</v>
      </c>
      <c r="AC76" s="65">
        <v>1.3795253759999999</v>
      </c>
      <c r="AD76" s="65">
        <v>1.364059914705784E-2</v>
      </c>
    </row>
    <row r="77" spans="1:30" s="65" customFormat="1" ht="12" customHeight="1" x14ac:dyDescent="0.2">
      <c r="A77" s="73">
        <v>64</v>
      </c>
      <c r="B77" s="65" t="s">
        <v>1167</v>
      </c>
      <c r="C77" s="65" t="s">
        <v>1168</v>
      </c>
      <c r="D77" s="65">
        <v>1.573176704</v>
      </c>
      <c r="E77" s="65">
        <v>1.574928256</v>
      </c>
      <c r="F77" s="65">
        <v>1.5782146560000001</v>
      </c>
      <c r="G77" s="65">
        <v>1.58200512</v>
      </c>
      <c r="H77" s="65">
        <v>1.5606996479999999</v>
      </c>
      <c r="I77" s="65">
        <v>1.5333607680000001</v>
      </c>
      <c r="J77" s="65">
        <v>1.505777664</v>
      </c>
      <c r="K77" s="65">
        <v>1.4812957440000001</v>
      </c>
      <c r="L77" s="65">
        <v>1.4578415360000001</v>
      </c>
      <c r="M77" s="65">
        <v>1.438644992</v>
      </c>
      <c r="N77" s="65">
        <v>1.4231032320000001</v>
      </c>
      <c r="O77" s="65">
        <v>1.4087640320000001</v>
      </c>
      <c r="P77" s="65">
        <v>1.395113856</v>
      </c>
      <c r="Q77" s="65">
        <v>1.382832896</v>
      </c>
      <c r="R77" s="65">
        <v>1.3717009920000001</v>
      </c>
      <c r="S77" s="65">
        <v>1.3619397120000001</v>
      </c>
      <c r="T77" s="65">
        <v>1.353175936</v>
      </c>
      <c r="U77" s="65">
        <v>1.3462069759999999</v>
      </c>
      <c r="V77" s="65">
        <v>1.340719488</v>
      </c>
      <c r="W77" s="65">
        <v>1.3348089599999999</v>
      </c>
      <c r="X77" s="65">
        <v>1.3281712640000001</v>
      </c>
      <c r="Y77" s="65">
        <v>1.320356224</v>
      </c>
      <c r="Z77" s="65">
        <v>1.3116526079999999</v>
      </c>
      <c r="AA77" s="65">
        <v>1.3027751679999999</v>
      </c>
      <c r="AB77" s="65">
        <v>1.294452224</v>
      </c>
      <c r="AC77" s="65">
        <v>1.2870755840000001</v>
      </c>
      <c r="AD77" s="65">
        <v>-7.9968258045686191E-3</v>
      </c>
    </row>
    <row r="78" spans="1:30" s="65" customFormat="1" ht="12" customHeight="1" x14ac:dyDescent="0.2">
      <c r="A78" s="73">
        <v>65</v>
      </c>
      <c r="B78" s="65" t="s">
        <v>1169</v>
      </c>
      <c r="C78" s="65" t="s">
        <v>1170</v>
      </c>
      <c r="D78" s="65">
        <v>0.34956310400000001</v>
      </c>
      <c r="E78" s="65">
        <v>0.34852729599999999</v>
      </c>
      <c r="F78" s="65">
        <v>0.34743289599999999</v>
      </c>
      <c r="G78" s="65">
        <v>0.34620860799999997</v>
      </c>
      <c r="H78" s="65">
        <v>0.34525900799999998</v>
      </c>
      <c r="I78" s="65">
        <v>0.34202352000000003</v>
      </c>
      <c r="J78" s="65">
        <v>0.33902982399999998</v>
      </c>
      <c r="K78" s="65">
        <v>0.33630428800000001</v>
      </c>
      <c r="L78" s="65">
        <v>0.33379897600000002</v>
      </c>
      <c r="M78" s="65">
        <v>0.33146774400000001</v>
      </c>
      <c r="N78" s="65">
        <v>0.32936582399999997</v>
      </c>
      <c r="O78" s="65">
        <v>0.327653056</v>
      </c>
      <c r="P78" s="65">
        <v>0.32634323199999998</v>
      </c>
      <c r="Q78" s="65">
        <v>0.32546067200000001</v>
      </c>
      <c r="R78" s="65">
        <v>0.32498998400000001</v>
      </c>
      <c r="S78" s="65">
        <v>0.32493840000000002</v>
      </c>
      <c r="T78" s="65">
        <v>0.32529401600000002</v>
      </c>
      <c r="U78" s="65">
        <v>0.32607193600000001</v>
      </c>
      <c r="V78" s="65">
        <v>0.32728083200000002</v>
      </c>
      <c r="W78" s="65">
        <v>0.32891251199999999</v>
      </c>
      <c r="X78" s="65">
        <v>0.33105030400000002</v>
      </c>
      <c r="Y78" s="65">
        <v>0.33371427199999998</v>
      </c>
      <c r="Z78" s="65">
        <v>0.33686508799999998</v>
      </c>
      <c r="AA78" s="65">
        <v>0.34000607999999999</v>
      </c>
      <c r="AB78" s="65">
        <v>0.34312889600000002</v>
      </c>
      <c r="AC78" s="65">
        <v>0.34622892799999999</v>
      </c>
      <c r="AD78" s="65">
        <v>-3.832826310995463E-4</v>
      </c>
    </row>
    <row r="79" spans="1:30" s="65" customFormat="1" ht="12" customHeight="1" x14ac:dyDescent="0.2">
      <c r="A79" s="73">
        <v>66</v>
      </c>
      <c r="B79" s="65" t="s">
        <v>1171</v>
      </c>
      <c r="C79" s="65" t="s">
        <v>1172</v>
      </c>
      <c r="D79" s="65">
        <v>0.15604678399999999</v>
      </c>
      <c r="E79" s="65">
        <v>0.15688024</v>
      </c>
      <c r="F79" s="65">
        <v>0.157748992</v>
      </c>
      <c r="G79" s="65">
        <v>0.15859595200000001</v>
      </c>
      <c r="H79" s="65">
        <v>0.15944396799999999</v>
      </c>
      <c r="I79" s="65">
        <v>0.160278112</v>
      </c>
      <c r="J79" s="65">
        <v>0.161102784</v>
      </c>
      <c r="K79" s="65">
        <v>0.161912208</v>
      </c>
      <c r="L79" s="65">
        <v>0.16271075199999999</v>
      </c>
      <c r="M79" s="65">
        <v>0.16352728</v>
      </c>
      <c r="N79" s="65">
        <v>0.16437318400000001</v>
      </c>
      <c r="O79" s="65">
        <v>0.16525561599999999</v>
      </c>
      <c r="P79" s="65">
        <v>0.166161472</v>
      </c>
      <c r="Q79" s="65">
        <v>0.16710384</v>
      </c>
      <c r="R79" s="65">
        <v>0.16803183999999999</v>
      </c>
      <c r="S79" s="65">
        <v>0.16895603200000001</v>
      </c>
      <c r="T79" s="65">
        <v>0.169856336</v>
      </c>
      <c r="U79" s="65">
        <v>0.17073536</v>
      </c>
      <c r="V79" s="65">
        <v>0.17157900800000001</v>
      </c>
      <c r="W79" s="65">
        <v>0.17239865600000001</v>
      </c>
      <c r="X79" s="65">
        <v>0.173218224</v>
      </c>
      <c r="Y79" s="65">
        <v>0.17404207999999999</v>
      </c>
      <c r="Z79" s="65">
        <v>0.17486534400000001</v>
      </c>
      <c r="AA79" s="65">
        <v>0.175689664</v>
      </c>
      <c r="AB79" s="65">
        <v>0.17651795200000001</v>
      </c>
      <c r="AC79" s="65">
        <v>0.17735535999999999</v>
      </c>
      <c r="AD79" s="65">
        <v>5.1331112550536684E-3</v>
      </c>
    </row>
    <row r="80" spans="1:30" s="65" customFormat="1" ht="12" customHeight="1" x14ac:dyDescent="0.2">
      <c r="A80" s="73">
        <v>67</v>
      </c>
      <c r="B80" s="65" t="s">
        <v>1173</v>
      </c>
      <c r="C80" s="65" t="s">
        <v>1174</v>
      </c>
      <c r="D80" s="65">
        <v>0.22990720000000001</v>
      </c>
      <c r="E80" s="65">
        <v>0.23112454399999999</v>
      </c>
      <c r="F80" s="65">
        <v>0.23272319999999999</v>
      </c>
      <c r="G80" s="65">
        <v>0.23462008000000001</v>
      </c>
      <c r="H80" s="65">
        <v>0.23584943999999999</v>
      </c>
      <c r="I80" s="65">
        <v>0.23600408</v>
      </c>
      <c r="J80" s="65">
        <v>0.23554830399999999</v>
      </c>
      <c r="K80" s="65">
        <v>0.23478808000000001</v>
      </c>
      <c r="L80" s="65">
        <v>0.23432846399999999</v>
      </c>
      <c r="M80" s="65">
        <v>0.23430152000000001</v>
      </c>
      <c r="N80" s="65">
        <v>0.23472089600000001</v>
      </c>
      <c r="O80" s="65">
        <v>0.23564288</v>
      </c>
      <c r="P80" s="65">
        <v>0.23691409599999999</v>
      </c>
      <c r="Q80" s="65">
        <v>0.23868604800000001</v>
      </c>
      <c r="R80" s="65">
        <v>0.240921472</v>
      </c>
      <c r="S80" s="65">
        <v>0.24367492800000001</v>
      </c>
      <c r="T80" s="65">
        <v>0.24702553599999999</v>
      </c>
      <c r="U80" s="65">
        <v>0.25042220799999998</v>
      </c>
      <c r="V80" s="65">
        <v>0.25392486399999997</v>
      </c>
      <c r="W80" s="65">
        <v>0.25746416</v>
      </c>
      <c r="X80" s="65">
        <v>0.26101676800000001</v>
      </c>
      <c r="Y80" s="65">
        <v>0.26441572800000002</v>
      </c>
      <c r="Z80" s="65">
        <v>0.26761515200000002</v>
      </c>
      <c r="AA80" s="65">
        <v>0.270684704</v>
      </c>
      <c r="AB80" s="65">
        <v>0.27381014399999998</v>
      </c>
      <c r="AC80" s="65">
        <v>0.27686204800000003</v>
      </c>
      <c r="AD80" s="65">
        <v>7.4614433203574748E-3</v>
      </c>
    </row>
    <row r="81" spans="1:30" s="65" customFormat="1" ht="12" customHeight="1" x14ac:dyDescent="0.2">
      <c r="A81" s="73">
        <v>68</v>
      </c>
      <c r="B81" s="65" t="s">
        <v>1175</v>
      </c>
      <c r="C81" s="65" t="s">
        <v>1176</v>
      </c>
      <c r="D81" s="65">
        <v>7.9277760000000003E-2</v>
      </c>
      <c r="E81" s="65">
        <v>7.9241023999999993E-2</v>
      </c>
      <c r="F81" s="65">
        <v>7.9217047999999998E-2</v>
      </c>
      <c r="G81" s="65">
        <v>7.9159960000000001E-2</v>
      </c>
      <c r="H81" s="65">
        <v>7.9073071999999994E-2</v>
      </c>
      <c r="I81" s="65">
        <v>7.8570111999999998E-2</v>
      </c>
      <c r="J81" s="65">
        <v>7.8006560000000003E-2</v>
      </c>
      <c r="K81" s="65">
        <v>7.7403968000000004E-2</v>
      </c>
      <c r="L81" s="65">
        <v>7.6822632000000002E-2</v>
      </c>
      <c r="M81" s="65">
        <v>7.6256599999999994E-2</v>
      </c>
      <c r="N81" s="65">
        <v>7.5716071999999995E-2</v>
      </c>
      <c r="O81" s="65">
        <v>7.5195239999999997E-2</v>
      </c>
      <c r="P81" s="65">
        <v>7.4692744000000005E-2</v>
      </c>
      <c r="Q81" s="65">
        <v>7.4213528000000001E-2</v>
      </c>
      <c r="R81" s="65">
        <v>7.3757199999999995E-2</v>
      </c>
      <c r="S81" s="65">
        <v>7.3328264000000004E-2</v>
      </c>
      <c r="T81" s="65">
        <v>7.2936855999999994E-2</v>
      </c>
      <c r="U81" s="65">
        <v>7.2586367999999998E-2</v>
      </c>
      <c r="V81" s="65">
        <v>7.2277752000000001E-2</v>
      </c>
      <c r="W81" s="65">
        <v>7.2012376000000003E-2</v>
      </c>
      <c r="X81" s="65">
        <v>7.1801504000000002E-2</v>
      </c>
      <c r="Y81" s="65">
        <v>7.1659855999999994E-2</v>
      </c>
      <c r="Z81" s="65">
        <v>7.1579335999999993E-2</v>
      </c>
      <c r="AA81" s="65">
        <v>7.1571248000000004E-2</v>
      </c>
      <c r="AB81" s="65">
        <v>7.1643271999999994E-2</v>
      </c>
      <c r="AC81" s="65">
        <v>7.1800048000000005E-2</v>
      </c>
      <c r="AD81" s="65">
        <v>-3.9550577058538039E-3</v>
      </c>
    </row>
    <row r="82" spans="1:30" s="65" customFormat="1" ht="12" customHeight="1" x14ac:dyDescent="0.2">
      <c r="A82" s="73">
        <v>69</v>
      </c>
      <c r="B82" s="65" t="s">
        <v>1177</v>
      </c>
      <c r="C82" s="65" t="s">
        <v>1178</v>
      </c>
      <c r="D82" s="65">
        <v>0.18284710400000001</v>
      </c>
      <c r="E82" s="65">
        <v>0.182215504</v>
      </c>
      <c r="F82" s="65">
        <v>0.183569232</v>
      </c>
      <c r="G82" s="65">
        <v>0.185640272</v>
      </c>
      <c r="H82" s="65">
        <v>0.18743944000000001</v>
      </c>
      <c r="I82" s="65">
        <v>0.18699436799999999</v>
      </c>
      <c r="J82" s="65">
        <v>0.186424016</v>
      </c>
      <c r="K82" s="65">
        <v>0.18626144</v>
      </c>
      <c r="L82" s="65">
        <v>0.186404352</v>
      </c>
      <c r="M82" s="65">
        <v>0.18674231999999999</v>
      </c>
      <c r="N82" s="65">
        <v>0.18721537599999999</v>
      </c>
      <c r="O82" s="65">
        <v>0.187754368</v>
      </c>
      <c r="P82" s="65">
        <v>0.188226384</v>
      </c>
      <c r="Q82" s="65">
        <v>0.188723216</v>
      </c>
      <c r="R82" s="65">
        <v>0.18940014399999999</v>
      </c>
      <c r="S82" s="65">
        <v>0.18703504000000001</v>
      </c>
      <c r="T82" s="65">
        <v>0.18508912</v>
      </c>
      <c r="U82" s="65">
        <v>0.18369095999999999</v>
      </c>
      <c r="V82" s="65">
        <v>0.182845696</v>
      </c>
      <c r="W82" s="65">
        <v>0.18247695999999999</v>
      </c>
      <c r="X82" s="65">
        <v>0.182383504</v>
      </c>
      <c r="Y82" s="65">
        <v>0.182309728</v>
      </c>
      <c r="Z82" s="65">
        <v>0.182201904</v>
      </c>
      <c r="AA82" s="65">
        <v>0.182192464</v>
      </c>
      <c r="AB82" s="65">
        <v>0.182375024</v>
      </c>
      <c r="AC82" s="65">
        <v>0.18258764799999999</v>
      </c>
      <c r="AD82" s="65">
        <v>-5.6797811119779773E-5</v>
      </c>
    </row>
    <row r="83" spans="1:30" s="65" customFormat="1" ht="12" customHeight="1" x14ac:dyDescent="0.2">
      <c r="A83" s="73">
        <v>70</v>
      </c>
      <c r="B83" s="65" t="s">
        <v>1179</v>
      </c>
      <c r="C83" s="65" t="s">
        <v>1180</v>
      </c>
      <c r="D83" s="65">
        <v>4.0723188E-2</v>
      </c>
      <c r="E83" s="65">
        <v>3.9741315999999999E-2</v>
      </c>
      <c r="F83" s="65">
        <v>3.8750288000000001E-2</v>
      </c>
      <c r="G83" s="65">
        <v>3.7582836000000001E-2</v>
      </c>
      <c r="H83" s="65">
        <v>3.638516E-2</v>
      </c>
      <c r="I83" s="65">
        <v>3.4992292000000001E-2</v>
      </c>
      <c r="J83" s="65">
        <v>3.3539880000000001E-2</v>
      </c>
      <c r="K83" s="65">
        <v>3.2000177999999997E-2</v>
      </c>
      <c r="L83" s="65">
        <v>3.0664894000000002E-2</v>
      </c>
      <c r="M83" s="65">
        <v>2.9534002E-2</v>
      </c>
      <c r="N83" s="65">
        <v>2.8609286000000001E-2</v>
      </c>
      <c r="O83" s="65">
        <v>2.7903582E-2</v>
      </c>
      <c r="P83" s="65">
        <v>2.7428560000000001E-2</v>
      </c>
      <c r="Q83" s="65">
        <v>2.7209850000000001E-2</v>
      </c>
      <c r="R83" s="65">
        <v>2.7260937999999998E-2</v>
      </c>
      <c r="S83" s="65">
        <v>2.7310738000000001E-2</v>
      </c>
      <c r="T83" s="65">
        <v>2.7361704000000001E-2</v>
      </c>
      <c r="U83" s="65">
        <v>2.7419786000000002E-2</v>
      </c>
      <c r="V83" s="65">
        <v>2.7486282000000001E-2</v>
      </c>
      <c r="W83" s="65">
        <v>2.7564120000000001E-2</v>
      </c>
      <c r="X83" s="65">
        <v>2.7658222E-2</v>
      </c>
      <c r="Y83" s="65">
        <v>2.7768014000000001E-2</v>
      </c>
      <c r="Z83" s="65">
        <v>2.7890496000000001E-2</v>
      </c>
      <c r="AA83" s="65">
        <v>2.8023998000000001E-2</v>
      </c>
      <c r="AB83" s="65">
        <v>2.8167032000000002E-2</v>
      </c>
      <c r="AC83" s="65">
        <v>2.8318728000000001E-2</v>
      </c>
      <c r="AD83" s="65">
        <v>-1.442590723214077E-2</v>
      </c>
    </row>
    <row r="84" spans="1:30" s="65" customFormat="1" ht="12" customHeight="1" x14ac:dyDescent="0.2">
      <c r="A84" s="73">
        <v>71</v>
      </c>
      <c r="B84" s="65" t="s">
        <v>1181</v>
      </c>
      <c r="C84" s="65" t="s">
        <v>1182</v>
      </c>
      <c r="D84" s="65">
        <v>3.7161696000000001E-2</v>
      </c>
      <c r="E84" s="65">
        <v>3.8075504000000003E-2</v>
      </c>
      <c r="F84" s="65">
        <v>3.8360159999999997E-2</v>
      </c>
      <c r="G84" s="65">
        <v>3.8522852000000003E-2</v>
      </c>
      <c r="H84" s="65">
        <v>3.8637291999999997E-2</v>
      </c>
      <c r="I84" s="65">
        <v>3.870258E-2</v>
      </c>
      <c r="J84" s="65">
        <v>3.8719692E-2</v>
      </c>
      <c r="K84" s="65">
        <v>3.8688536000000003E-2</v>
      </c>
      <c r="L84" s="65">
        <v>3.8734320000000003E-2</v>
      </c>
      <c r="M84" s="65">
        <v>3.8861E-2</v>
      </c>
      <c r="N84" s="65">
        <v>3.9070651999999997E-2</v>
      </c>
      <c r="O84" s="65">
        <v>3.9370936000000002E-2</v>
      </c>
      <c r="P84" s="65">
        <v>3.9763699999999999E-2</v>
      </c>
      <c r="Q84" s="65">
        <v>4.0262112000000003E-2</v>
      </c>
      <c r="R84" s="65">
        <v>4.0871616E-2</v>
      </c>
      <c r="S84" s="65">
        <v>4.1476607999999998E-2</v>
      </c>
      <c r="T84" s="65">
        <v>4.2075632000000002E-2</v>
      </c>
      <c r="U84" s="65">
        <v>4.2674256000000001E-2</v>
      </c>
      <c r="V84" s="65">
        <v>4.3273180000000001E-2</v>
      </c>
      <c r="W84" s="65">
        <v>4.3875648000000003E-2</v>
      </c>
      <c r="X84" s="65">
        <v>4.4488423999999999E-2</v>
      </c>
      <c r="Y84" s="65">
        <v>4.5111343999999998E-2</v>
      </c>
      <c r="Z84" s="65">
        <v>4.5741499999999997E-2</v>
      </c>
      <c r="AA84" s="65">
        <v>4.6378655999999997E-2</v>
      </c>
      <c r="AB84" s="65">
        <v>4.7023391999999997E-2</v>
      </c>
      <c r="AC84" s="65">
        <v>4.7675936000000002E-2</v>
      </c>
      <c r="AD84" s="65">
        <v>1.001575448740288E-2</v>
      </c>
    </row>
    <row r="85" spans="1:30" s="65" customFormat="1" ht="12" customHeight="1" x14ac:dyDescent="0.2">
      <c r="A85" s="73">
        <v>72</v>
      </c>
      <c r="B85" s="65" t="s">
        <v>1183</v>
      </c>
      <c r="C85" s="65" t="s">
        <v>1184</v>
      </c>
      <c r="D85" s="65">
        <v>0.12483857600000001</v>
      </c>
      <c r="E85" s="65">
        <v>0.122177168</v>
      </c>
      <c r="F85" s="65">
        <v>0.119963032</v>
      </c>
      <c r="G85" s="65">
        <v>0.11808790399999999</v>
      </c>
      <c r="H85" s="65">
        <v>0.11609736800000001</v>
      </c>
      <c r="I85" s="65">
        <v>0.11380596</v>
      </c>
      <c r="J85" s="65">
        <v>0.111515896</v>
      </c>
      <c r="K85" s="65">
        <v>0.109399336</v>
      </c>
      <c r="L85" s="65">
        <v>0.107488504</v>
      </c>
      <c r="M85" s="65">
        <v>0.105734648</v>
      </c>
      <c r="N85" s="65">
        <v>0.10414446400000001</v>
      </c>
      <c r="O85" s="65">
        <v>0.102719456</v>
      </c>
      <c r="P85" s="65">
        <v>0.10141056</v>
      </c>
      <c r="Q85" s="65">
        <v>0.10027256</v>
      </c>
      <c r="R85" s="65">
        <v>9.9267408000000001E-2</v>
      </c>
      <c r="S85" s="65">
        <v>9.8397992000000004E-2</v>
      </c>
      <c r="T85" s="65">
        <v>9.7693543999999993E-2</v>
      </c>
      <c r="U85" s="65">
        <v>9.7154119999999997E-2</v>
      </c>
      <c r="V85" s="65">
        <v>9.6815248000000007E-2</v>
      </c>
      <c r="W85" s="65">
        <v>9.6643400000000004E-2</v>
      </c>
      <c r="X85" s="65">
        <v>9.6637704000000005E-2</v>
      </c>
      <c r="Y85" s="65">
        <v>9.6759144000000005E-2</v>
      </c>
      <c r="Z85" s="65">
        <v>9.6902584E-2</v>
      </c>
      <c r="AA85" s="65">
        <v>9.7108184E-2</v>
      </c>
      <c r="AB85" s="65">
        <v>9.7404288000000006E-2</v>
      </c>
      <c r="AC85" s="65">
        <v>9.7757631999999997E-2</v>
      </c>
      <c r="AD85" s="65">
        <v>-9.7335290819186016E-3</v>
      </c>
    </row>
    <row r="86" spans="1:30" s="65" customFormat="1" ht="12" customHeight="1" x14ac:dyDescent="0.2">
      <c r="A86" s="73">
        <v>73</v>
      </c>
      <c r="B86" s="65" t="s">
        <v>1185</v>
      </c>
      <c r="C86" s="65" t="s">
        <v>1186</v>
      </c>
      <c r="D86" s="65">
        <v>9.7011752000000007E-2</v>
      </c>
      <c r="E86" s="65">
        <v>9.5323727999999996E-2</v>
      </c>
      <c r="F86" s="65">
        <v>9.3864928E-2</v>
      </c>
      <c r="G86" s="65">
        <v>9.2523648E-2</v>
      </c>
      <c r="H86" s="65">
        <v>9.0934360000000006E-2</v>
      </c>
      <c r="I86" s="65">
        <v>8.8982368000000006E-2</v>
      </c>
      <c r="J86" s="65">
        <v>8.6906232E-2</v>
      </c>
      <c r="K86" s="65">
        <v>8.4864703999999999E-2</v>
      </c>
      <c r="L86" s="65">
        <v>8.2885327999999994E-2</v>
      </c>
      <c r="M86" s="65">
        <v>8.0946472000000005E-2</v>
      </c>
      <c r="N86" s="65">
        <v>7.9061928000000004E-2</v>
      </c>
      <c r="O86" s="65">
        <v>7.7250440000000004E-2</v>
      </c>
      <c r="P86" s="65">
        <v>7.5483776000000002E-2</v>
      </c>
      <c r="Q86" s="65">
        <v>7.3799192E-2</v>
      </c>
      <c r="R86" s="65">
        <v>7.2188823999999999E-2</v>
      </c>
      <c r="S86" s="65">
        <v>7.0666976000000006E-2</v>
      </c>
      <c r="T86" s="65">
        <v>6.9257791999999999E-2</v>
      </c>
      <c r="U86" s="65">
        <v>6.7990159999999994E-2</v>
      </c>
      <c r="V86" s="65">
        <v>6.6878571999999997E-2</v>
      </c>
      <c r="W86" s="65">
        <v>6.5919443999999994E-2</v>
      </c>
      <c r="X86" s="65">
        <v>6.5113632000000005E-2</v>
      </c>
      <c r="Y86" s="65">
        <v>6.4456327999999993E-2</v>
      </c>
      <c r="Z86" s="65">
        <v>6.3892571999999995E-2</v>
      </c>
      <c r="AA86" s="65">
        <v>6.3458587999999996E-2</v>
      </c>
      <c r="AB86" s="65">
        <v>6.3206232000000001E-2</v>
      </c>
      <c r="AC86" s="65">
        <v>6.3082444000000001E-2</v>
      </c>
      <c r="AD86" s="65">
        <v>-1.7068243354986471E-2</v>
      </c>
    </row>
    <row r="87" spans="1:30" s="65" customFormat="1" ht="12" customHeight="1" x14ac:dyDescent="0.2">
      <c r="A87" s="73">
        <v>74</v>
      </c>
      <c r="B87" s="65" t="s">
        <v>1187</v>
      </c>
      <c r="C87" s="65" t="s">
        <v>1188</v>
      </c>
      <c r="D87" s="65">
        <v>0.15743579199999999</v>
      </c>
      <c r="E87" s="65">
        <v>0.15289734399999999</v>
      </c>
      <c r="F87" s="65">
        <v>0.15377766400000001</v>
      </c>
      <c r="G87" s="65">
        <v>0.154119168</v>
      </c>
      <c r="H87" s="65">
        <v>0.15401436800000001</v>
      </c>
      <c r="I87" s="65">
        <v>0.15365110400000001</v>
      </c>
      <c r="J87" s="65">
        <v>0.15306988799999999</v>
      </c>
      <c r="K87" s="65">
        <v>0.15265783999999999</v>
      </c>
      <c r="L87" s="65">
        <v>0.152172368</v>
      </c>
      <c r="M87" s="65">
        <v>0.15165830399999999</v>
      </c>
      <c r="N87" s="65">
        <v>0.15102332800000001</v>
      </c>
      <c r="O87" s="65">
        <v>0.15022961600000001</v>
      </c>
      <c r="P87" s="65">
        <v>0.14910772799999999</v>
      </c>
      <c r="Q87" s="65">
        <v>0.147685712</v>
      </c>
      <c r="R87" s="65">
        <v>0.145907232</v>
      </c>
      <c r="S87" s="65">
        <v>0.14382793599999999</v>
      </c>
      <c r="T87" s="65">
        <v>0.14144376</v>
      </c>
      <c r="U87" s="65">
        <v>0.13901844799999999</v>
      </c>
      <c r="V87" s="65">
        <v>0.13644356799999999</v>
      </c>
      <c r="W87" s="65">
        <v>0.133819296</v>
      </c>
      <c r="X87" s="65">
        <v>0.13125719199999999</v>
      </c>
      <c r="Y87" s="65">
        <v>0.12870858399999999</v>
      </c>
      <c r="Z87" s="65">
        <v>0.12613221599999999</v>
      </c>
      <c r="AA87" s="65">
        <v>0.12373096</v>
      </c>
      <c r="AB87" s="65">
        <v>0.12151582399999999</v>
      </c>
      <c r="AC87" s="65">
        <v>0.119520032</v>
      </c>
      <c r="AD87" s="65">
        <v>-1.096083609828913E-2</v>
      </c>
    </row>
    <row r="88" spans="1:30" s="65" customFormat="1" ht="12" customHeight="1" x14ac:dyDescent="0.2">
      <c r="A88" s="73">
        <v>75</v>
      </c>
      <c r="B88" s="65" t="s">
        <v>1189</v>
      </c>
      <c r="C88" s="65" t="s">
        <v>1190</v>
      </c>
      <c r="D88" s="65">
        <v>2.7444144640000001</v>
      </c>
      <c r="E88" s="65">
        <v>2.7689384960000001</v>
      </c>
      <c r="F88" s="65">
        <v>2.6761692159999999</v>
      </c>
      <c r="G88" s="65">
        <v>2.7168235520000001</v>
      </c>
      <c r="H88" s="65">
        <v>2.7528412160000002</v>
      </c>
      <c r="I88" s="65">
        <v>2.7829870080000001</v>
      </c>
      <c r="J88" s="65">
        <v>2.8105840639999999</v>
      </c>
      <c r="K88" s="65">
        <v>2.839232768</v>
      </c>
      <c r="L88" s="65">
        <v>2.8684070400000001</v>
      </c>
      <c r="M88" s="65">
        <v>2.9014566400000001</v>
      </c>
      <c r="N88" s="65">
        <v>2.9361768960000001</v>
      </c>
      <c r="O88" s="65">
        <v>2.9716925440000002</v>
      </c>
      <c r="P88" s="65">
        <v>3.0080798720000002</v>
      </c>
      <c r="Q88" s="65">
        <v>3.0454021120000001</v>
      </c>
      <c r="R88" s="65">
        <v>3.0824373760000001</v>
      </c>
      <c r="S88" s="65">
        <v>3.115484672</v>
      </c>
      <c r="T88" s="65">
        <v>3.1510883839999999</v>
      </c>
      <c r="U88" s="65">
        <v>3.18880512</v>
      </c>
      <c r="V88" s="65">
        <v>3.2288952320000002</v>
      </c>
      <c r="W88" s="65">
        <v>3.2702402560000001</v>
      </c>
      <c r="X88" s="65">
        <v>3.3076008959999998</v>
      </c>
      <c r="Y88" s="65">
        <v>3.3483251200000002</v>
      </c>
      <c r="Z88" s="65">
        <v>3.3881464320000001</v>
      </c>
      <c r="AA88" s="65">
        <v>3.4280153599999998</v>
      </c>
      <c r="AB88" s="65">
        <v>3.4690979839999998</v>
      </c>
      <c r="AC88" s="65">
        <v>3.51106432</v>
      </c>
      <c r="AD88" s="65">
        <v>9.9027700842313493E-3</v>
      </c>
    </row>
    <row r="89" spans="1:30" s="67" customFormat="1" ht="12" customHeight="1" x14ac:dyDescent="0.2">
      <c r="A89" s="73">
        <v>76</v>
      </c>
      <c r="B89" s="67" t="s">
        <v>1191</v>
      </c>
      <c r="C89" s="67" t="s">
        <v>1192</v>
      </c>
      <c r="D89" s="67">
        <v>11.642869148000001</v>
      </c>
      <c r="E89" s="67">
        <v>11.446619284000001</v>
      </c>
      <c r="F89" s="67">
        <v>11.454411408</v>
      </c>
      <c r="G89" s="67">
        <v>11.481711519999999</v>
      </c>
      <c r="H89" s="67">
        <v>11.454556452</v>
      </c>
      <c r="I89" s="67">
        <v>11.39032488</v>
      </c>
      <c r="J89" s="67">
        <v>11.318034340000001</v>
      </c>
      <c r="K89" s="67">
        <v>11.25566029</v>
      </c>
      <c r="L89" s="67">
        <v>11.198970846</v>
      </c>
      <c r="M89" s="67">
        <v>11.155685633999999</v>
      </c>
      <c r="N89" s="67">
        <v>11.122119698000001</v>
      </c>
      <c r="O89" s="67">
        <v>11.095995606000001</v>
      </c>
      <c r="P89" s="67">
        <v>11.072501852</v>
      </c>
      <c r="Q89" s="67">
        <v>11.05561513</v>
      </c>
      <c r="R89" s="67">
        <v>11.041764786</v>
      </c>
      <c r="S89" s="67">
        <v>11.025433714</v>
      </c>
      <c r="T89" s="67">
        <v>11.015616120000001</v>
      </c>
      <c r="U89" s="67">
        <v>11.018186642</v>
      </c>
      <c r="V89" s="67">
        <v>11.029611914</v>
      </c>
      <c r="W89" s="67">
        <v>11.045302636000001</v>
      </c>
      <c r="X89" s="67">
        <v>11.060591302000001</v>
      </c>
      <c r="Y89" s="67">
        <v>11.076776885999999</v>
      </c>
      <c r="Z89" s="67">
        <v>11.089347888000001</v>
      </c>
      <c r="AA89" s="67">
        <v>11.102238337999999</v>
      </c>
      <c r="AB89" s="67">
        <v>11.119299192</v>
      </c>
      <c r="AC89" s="67">
        <v>11.139188036</v>
      </c>
      <c r="AD89" s="67">
        <v>-1.7674185817179171E-3</v>
      </c>
    </row>
    <row r="90" spans="1:30" s="65" customFormat="1" ht="12" customHeight="1" x14ac:dyDescent="0.2">
      <c r="A90" s="73">
        <v>77</v>
      </c>
      <c r="B90" s="65" t="s">
        <v>1193</v>
      </c>
      <c r="C90" s="65" t="s">
        <v>94</v>
      </c>
      <c r="D90" s="65">
        <v>7.0134922862052917E-2</v>
      </c>
      <c r="E90" s="65">
        <v>9.1486945748329163E-2</v>
      </c>
      <c r="F90" s="65">
        <v>0.1193008199334145</v>
      </c>
      <c r="G90" s="65">
        <v>0.15019077062606809</v>
      </c>
      <c r="H90" s="65">
        <v>0.18050052225589749</v>
      </c>
      <c r="I90" s="65">
        <v>0.20873008668422699</v>
      </c>
      <c r="J90" s="65">
        <v>0.23311989009380341</v>
      </c>
      <c r="K90" s="65">
        <v>0.25518804788589478</v>
      </c>
      <c r="L90" s="65">
        <v>0.2769947350025177</v>
      </c>
      <c r="M90" s="65">
        <v>0.29923674464225769</v>
      </c>
      <c r="N90" s="65">
        <v>0.32176563143730158</v>
      </c>
      <c r="O90" s="65">
        <v>0.3443218469619751</v>
      </c>
      <c r="P90" s="65">
        <v>0.36690127849578857</v>
      </c>
      <c r="Q90" s="65">
        <v>0.38932192325592041</v>
      </c>
      <c r="R90" s="65">
        <v>0.41114059090614319</v>
      </c>
      <c r="S90" s="65">
        <v>0.43246880173683172</v>
      </c>
      <c r="T90" s="65">
        <v>0.4527735710144043</v>
      </c>
      <c r="U90" s="65">
        <v>0.47238817811012268</v>
      </c>
      <c r="V90" s="65">
        <v>0.49130412936210632</v>
      </c>
      <c r="W90" s="65">
        <v>0.50966900587081909</v>
      </c>
      <c r="X90" s="65">
        <v>0.52751326560974121</v>
      </c>
      <c r="Y90" s="65">
        <v>0.54464465379714966</v>
      </c>
      <c r="Z90" s="65">
        <v>0.56095385551452637</v>
      </c>
      <c r="AA90" s="65">
        <v>0.57689332962036133</v>
      </c>
      <c r="AB90" s="65">
        <v>0.59221106767654419</v>
      </c>
      <c r="AC90" s="65">
        <v>0.60719448328018188</v>
      </c>
      <c r="AD90" s="65">
        <v>9.0173798143279749E-2</v>
      </c>
    </row>
    <row r="91" spans="1:30" s="65" customFormat="1" ht="12" customHeight="1" x14ac:dyDescent="0.2">
      <c r="A91" s="73">
        <v>78</v>
      </c>
      <c r="B91" s="65" t="s">
        <v>1194</v>
      </c>
      <c r="C91" s="65" t="s">
        <v>96</v>
      </c>
      <c r="D91" s="65">
        <v>0.18513305485248571</v>
      </c>
      <c r="E91" s="65">
        <v>0.19618113338947299</v>
      </c>
      <c r="F91" s="65">
        <v>0.20806993544101721</v>
      </c>
      <c r="G91" s="65">
        <v>0.2202898561954498</v>
      </c>
      <c r="H91" s="65">
        <v>0.23191364109516141</v>
      </c>
      <c r="I91" s="65">
        <v>0.24404700100421911</v>
      </c>
      <c r="J91" s="65">
        <v>0.25698700547218323</v>
      </c>
      <c r="K91" s="65">
        <v>0.26999360322952271</v>
      </c>
      <c r="L91" s="65">
        <v>0.28355693817138672</v>
      </c>
      <c r="M91" s="65">
        <v>0.29791304469108582</v>
      </c>
      <c r="N91" s="65">
        <v>0.31315085291862488</v>
      </c>
      <c r="O91" s="65">
        <v>0.32913258671760559</v>
      </c>
      <c r="P91" s="65">
        <v>0.3461628258228302</v>
      </c>
      <c r="Q91" s="65">
        <v>0.36398994922637939</v>
      </c>
      <c r="R91" s="65">
        <v>0.38263362646102911</v>
      </c>
      <c r="S91" s="65">
        <v>0.40191635489463812</v>
      </c>
      <c r="T91" s="65">
        <v>0.42191752791404719</v>
      </c>
      <c r="U91" s="65">
        <v>0.44253355264663702</v>
      </c>
      <c r="V91" s="65">
        <v>0.46366396546363831</v>
      </c>
      <c r="W91" s="65">
        <v>0.48558345437049871</v>
      </c>
      <c r="X91" s="65">
        <v>0.50805890560150146</v>
      </c>
      <c r="Y91" s="65">
        <v>0.53128021955490112</v>
      </c>
      <c r="Z91" s="65">
        <v>0.55522787570953369</v>
      </c>
      <c r="AA91" s="65">
        <v>0.58007967472076416</v>
      </c>
      <c r="AB91" s="65">
        <v>0.60541057586669922</v>
      </c>
      <c r="AC91" s="65">
        <v>0.63153308629989624</v>
      </c>
      <c r="AD91" s="65">
        <v>5.0307545821676403E-2</v>
      </c>
    </row>
    <row r="92" spans="1:30" s="67" customFormat="1" ht="12" customHeight="1" x14ac:dyDescent="0.2">
      <c r="A92" s="73">
        <v>79</v>
      </c>
      <c r="B92" s="67" t="s">
        <v>1195</v>
      </c>
      <c r="C92" s="67" t="s">
        <v>1196</v>
      </c>
      <c r="D92" s="67">
        <v>11.52787101600957</v>
      </c>
      <c r="E92" s="67">
        <v>11.34192509635886</v>
      </c>
      <c r="F92" s="67">
        <v>11.365642292492399</v>
      </c>
      <c r="G92" s="67">
        <v>11.411612434430619</v>
      </c>
      <c r="H92" s="67">
        <v>11.40314333316074</v>
      </c>
      <c r="I92" s="67">
        <v>11.355007965680009</v>
      </c>
      <c r="J92" s="67">
        <v>11.294167224621621</v>
      </c>
      <c r="K92" s="67">
        <v>11.24085473465637</v>
      </c>
      <c r="L92" s="67">
        <v>11.192408642831129</v>
      </c>
      <c r="M92" s="67">
        <v>11.157009333951169</v>
      </c>
      <c r="N92" s="67">
        <v>11.130734476518681</v>
      </c>
      <c r="O92" s="67">
        <v>11.11118486624437</v>
      </c>
      <c r="P92" s="67">
        <v>11.09324030467296</v>
      </c>
      <c r="Q92" s="67">
        <v>11.080947104029541</v>
      </c>
      <c r="R92" s="67">
        <v>11.070271750445119</v>
      </c>
      <c r="S92" s="67">
        <v>11.05598616084219</v>
      </c>
      <c r="T92" s="67">
        <v>11.04647216310036</v>
      </c>
      <c r="U92" s="67">
        <v>11.048041267463489</v>
      </c>
      <c r="V92" s="67">
        <v>11.05725207789847</v>
      </c>
      <c r="W92" s="67">
        <v>11.069388187500319</v>
      </c>
      <c r="X92" s="67">
        <v>11.08004566200824</v>
      </c>
      <c r="Y92" s="67">
        <v>11.09014132024225</v>
      </c>
      <c r="Z92" s="67">
        <v>11.095073867805</v>
      </c>
      <c r="AA92" s="67">
        <v>11.0990519928996</v>
      </c>
      <c r="AB92" s="67">
        <v>11.106099683809839</v>
      </c>
      <c r="AC92" s="67">
        <v>11.114849432980289</v>
      </c>
      <c r="AD92" s="67">
        <v>-1.4583623084174491E-3</v>
      </c>
    </row>
    <row r="93" spans="1:30" s="65" customFormat="1" ht="12" customHeight="1" x14ac:dyDescent="0.2">
      <c r="A93" s="73">
        <v>80</v>
      </c>
    </row>
    <row r="94" spans="1:30" s="67" customFormat="1" ht="12" customHeight="1" x14ac:dyDescent="0.2">
      <c r="A94" s="73">
        <v>81</v>
      </c>
      <c r="B94" s="67" t="s">
        <v>1197</v>
      </c>
      <c r="C94" s="67" t="s">
        <v>1198</v>
      </c>
      <c r="D94" s="67">
        <v>7.1676516532897949</v>
      </c>
      <c r="E94" s="67">
        <v>7.1545977592468262</v>
      </c>
      <c r="F94" s="67">
        <v>6.514531135559082</v>
      </c>
      <c r="G94" s="67">
        <v>6.3125262260437012</v>
      </c>
      <c r="H94" s="67">
        <v>6.2211818695068359</v>
      </c>
      <c r="I94" s="67">
        <v>6.1316671371459961</v>
      </c>
      <c r="J94" s="67">
        <v>5.9451780319213867</v>
      </c>
      <c r="K94" s="67">
        <v>5.8393311500549316</v>
      </c>
      <c r="L94" s="67">
        <v>5.7834558486938477</v>
      </c>
      <c r="M94" s="67">
        <v>5.6923151016235352</v>
      </c>
      <c r="N94" s="67">
        <v>5.6339974403381348</v>
      </c>
      <c r="O94" s="67">
        <v>5.5780782699584961</v>
      </c>
      <c r="P94" s="67">
        <v>5.5564055442810059</v>
      </c>
      <c r="Q94" s="67">
        <v>5.5518922805786133</v>
      </c>
      <c r="R94" s="67">
        <v>5.5371222496032706</v>
      </c>
      <c r="S94" s="67">
        <v>5.5038857460021973</v>
      </c>
      <c r="T94" s="67">
        <v>5.4754343032836914</v>
      </c>
      <c r="U94" s="67">
        <v>5.4789481163024902</v>
      </c>
      <c r="V94" s="67">
        <v>5.4940376281738281</v>
      </c>
      <c r="W94" s="67">
        <v>5.5118722915649414</v>
      </c>
      <c r="X94" s="67">
        <v>5.5274820327758789</v>
      </c>
      <c r="Y94" s="67">
        <v>5.5468564033508301</v>
      </c>
      <c r="Z94" s="67">
        <v>5.5688819885253906</v>
      </c>
      <c r="AA94" s="67">
        <v>5.5885734558105469</v>
      </c>
      <c r="AB94" s="67">
        <v>5.5896444320678711</v>
      </c>
      <c r="AC94" s="67">
        <v>5.6078219413757324</v>
      </c>
      <c r="AD94" s="67">
        <v>-9.7686013391723447E-3</v>
      </c>
    </row>
    <row r="95" spans="1:30" s="65" customFormat="1" ht="12" customHeight="1" x14ac:dyDescent="0.2">
      <c r="A95" s="73">
        <v>82</v>
      </c>
    </row>
    <row r="96" spans="1:30" s="67" customFormat="1" ht="12" customHeight="1" x14ac:dyDescent="0.2">
      <c r="A96" s="73">
        <v>83</v>
      </c>
      <c r="C96" s="67" t="s">
        <v>1199</v>
      </c>
    </row>
    <row r="97" spans="1:30" s="65" customFormat="1" ht="12" customHeight="1" x14ac:dyDescent="0.2">
      <c r="A97" s="73">
        <v>84</v>
      </c>
      <c r="B97" s="65" t="s">
        <v>1200</v>
      </c>
      <c r="C97" s="65" t="s">
        <v>1164</v>
      </c>
      <c r="D97" s="65">
        <v>5.6764186818814144</v>
      </c>
      <c r="E97" s="65">
        <v>5.3520022730703909</v>
      </c>
      <c r="F97" s="65">
        <v>5.3777859240864672</v>
      </c>
      <c r="G97" s="65">
        <v>5.3172510493583598</v>
      </c>
      <c r="H97" s="65">
        <v>5.2487986956268049</v>
      </c>
      <c r="I97" s="65">
        <v>5.167058990051431</v>
      </c>
      <c r="J97" s="65">
        <v>5.0722079230264336</v>
      </c>
      <c r="K97" s="65">
        <v>4.9898533375754912</v>
      </c>
      <c r="L97" s="65">
        <v>4.9145239824052087</v>
      </c>
      <c r="M97" s="65">
        <v>4.8376088730320381</v>
      </c>
      <c r="N97" s="65">
        <v>4.7658439178703942</v>
      </c>
      <c r="O97" s="65">
        <v>4.6970881952929124</v>
      </c>
      <c r="P97" s="65">
        <v>4.6305017718172357</v>
      </c>
      <c r="Q97" s="65">
        <v>4.5679314103099307</v>
      </c>
      <c r="R97" s="65">
        <v>4.5047994521334784</v>
      </c>
      <c r="S97" s="65">
        <v>4.4419416399117067</v>
      </c>
      <c r="T97" s="65">
        <v>4.3798620123739953</v>
      </c>
      <c r="U97" s="65">
        <v>4.3258800585984778</v>
      </c>
      <c r="V97" s="65">
        <v>4.2753310281595223</v>
      </c>
      <c r="W97" s="65">
        <v>4.2269826981237903</v>
      </c>
      <c r="X97" s="65">
        <v>4.1814090215363464</v>
      </c>
      <c r="Y97" s="65">
        <v>4.1347757977555712</v>
      </c>
      <c r="Z97" s="65">
        <v>4.0866757310010184</v>
      </c>
      <c r="AA97" s="65">
        <v>4.0391635229969838</v>
      </c>
      <c r="AB97" s="65">
        <v>3.991318785419872</v>
      </c>
      <c r="AC97" s="65">
        <v>3.945525484524627</v>
      </c>
      <c r="AD97" s="65">
        <v>-1.444420186604334E-2</v>
      </c>
    </row>
    <row r="98" spans="1:30" s="65" customFormat="1" ht="12" customHeight="1" x14ac:dyDescent="0.2">
      <c r="A98" s="73">
        <v>85</v>
      </c>
      <c r="B98" s="65" t="s">
        <v>1201</v>
      </c>
      <c r="C98" s="65" t="s">
        <v>1166</v>
      </c>
      <c r="D98" s="65">
        <v>2.2094278697787231</v>
      </c>
      <c r="E98" s="65">
        <v>2.335922392295553</v>
      </c>
      <c r="F98" s="65">
        <v>2.2649966173651981</v>
      </c>
      <c r="G98" s="65">
        <v>2.2407478404999521</v>
      </c>
      <c r="H98" s="65">
        <v>2.235737963038233</v>
      </c>
      <c r="I98" s="65">
        <v>2.227676489986115</v>
      </c>
      <c r="J98" s="65">
        <v>2.202204035881199</v>
      </c>
      <c r="K98" s="65">
        <v>2.1932576017821241</v>
      </c>
      <c r="L98" s="65">
        <v>2.194044851865756</v>
      </c>
      <c r="M98" s="65">
        <v>2.1894261447864389</v>
      </c>
      <c r="N98" s="65">
        <v>2.1917468198528418</v>
      </c>
      <c r="O98" s="65">
        <v>2.1960018208380321</v>
      </c>
      <c r="P98" s="65">
        <v>2.207364294562292</v>
      </c>
      <c r="Q98" s="65">
        <v>2.2221276155829579</v>
      </c>
      <c r="R98" s="65">
        <v>2.2351982998932569</v>
      </c>
      <c r="S98" s="65">
        <v>2.2471860192873159</v>
      </c>
      <c r="T98" s="65">
        <v>2.2607062533105182</v>
      </c>
      <c r="U98" s="65">
        <v>2.2827494763163059</v>
      </c>
      <c r="V98" s="65">
        <v>2.308032794910766</v>
      </c>
      <c r="W98" s="65">
        <v>2.3336317579067258</v>
      </c>
      <c r="X98" s="65">
        <v>2.3603219295338409</v>
      </c>
      <c r="Y98" s="65">
        <v>2.3853510881160358</v>
      </c>
      <c r="Z98" s="65">
        <v>2.4099158567686572</v>
      </c>
      <c r="AA98" s="65">
        <v>2.4330039224294362</v>
      </c>
      <c r="AB98" s="65">
        <v>2.4533588645698998</v>
      </c>
      <c r="AC98" s="65">
        <v>2.4764382333479311</v>
      </c>
      <c r="AD98" s="65">
        <v>4.5739379489091458E-3</v>
      </c>
    </row>
    <row r="99" spans="1:30" s="65" customFormat="1" ht="12" customHeight="1" x14ac:dyDescent="0.2">
      <c r="A99" s="73">
        <v>86</v>
      </c>
      <c r="B99" s="65" t="s">
        <v>1202</v>
      </c>
      <c r="C99" s="65" t="s">
        <v>1168</v>
      </c>
      <c r="D99" s="65">
        <v>2.1733628668287461</v>
      </c>
      <c r="E99" s="65">
        <v>2.158101960445471</v>
      </c>
      <c r="F99" s="65">
        <v>2.1085111619440311</v>
      </c>
      <c r="G99" s="65">
        <v>2.083219376174485</v>
      </c>
      <c r="H99" s="65">
        <v>2.0307463399599368</v>
      </c>
      <c r="I99" s="65">
        <v>1.970669072427059</v>
      </c>
      <c r="J99" s="65">
        <v>1.9043773303973379</v>
      </c>
      <c r="K99" s="65">
        <v>1.849611131693927</v>
      </c>
      <c r="L99" s="65">
        <v>1.801234847015361</v>
      </c>
      <c r="M99" s="65">
        <v>1.757063549446791</v>
      </c>
      <c r="N99" s="65">
        <v>1.720467607613096</v>
      </c>
      <c r="O99" s="65">
        <v>1.687359119112023</v>
      </c>
      <c r="P99" s="65">
        <v>1.658615967506512</v>
      </c>
      <c r="Q99" s="65">
        <v>1.633856817736715</v>
      </c>
      <c r="R99" s="65">
        <v>1.611573669457536</v>
      </c>
      <c r="S99" s="65">
        <v>1.591899705718298</v>
      </c>
      <c r="T99" s="65">
        <v>1.575004334633219</v>
      </c>
      <c r="U99" s="65">
        <v>1.562761423744174</v>
      </c>
      <c r="V99" s="65">
        <v>1.553943587243743</v>
      </c>
      <c r="W99" s="65">
        <v>1.544762350365001</v>
      </c>
      <c r="X99" s="65">
        <v>1.53490702433556</v>
      </c>
      <c r="Y99" s="65">
        <v>1.5239091698670959</v>
      </c>
      <c r="Z99" s="65">
        <v>1.5121649344359609</v>
      </c>
      <c r="AA99" s="65">
        <v>1.5002295969259849</v>
      </c>
      <c r="AB99" s="65">
        <v>1.4883768507411059</v>
      </c>
      <c r="AC99" s="65">
        <v>1.4782548703576841</v>
      </c>
      <c r="AD99" s="65">
        <v>-1.529831055305042E-2</v>
      </c>
    </row>
    <row r="100" spans="1:30" s="65" customFormat="1" ht="12" customHeight="1" x14ac:dyDescent="0.2">
      <c r="A100" s="73">
        <v>87</v>
      </c>
      <c r="B100" s="65" t="s">
        <v>1203</v>
      </c>
      <c r="C100" s="65" t="s">
        <v>1170</v>
      </c>
      <c r="D100" s="65">
        <v>0.81318580934341234</v>
      </c>
      <c r="E100" s="65">
        <v>0.8054491787438427</v>
      </c>
      <c r="F100" s="65">
        <v>0.76688946145613635</v>
      </c>
      <c r="G100" s="65">
        <v>0.7454200393559034</v>
      </c>
      <c r="H100" s="65">
        <v>0.73357155594037526</v>
      </c>
      <c r="I100" s="65">
        <v>0.718951102528402</v>
      </c>
      <c r="J100" s="65">
        <v>0.69982884384376354</v>
      </c>
      <c r="K100" s="65">
        <v>0.68631837891994962</v>
      </c>
      <c r="L100" s="65">
        <v>0.67610478080360381</v>
      </c>
      <c r="M100" s="65">
        <v>0.66384169435440743</v>
      </c>
      <c r="N100" s="65">
        <v>0.65379855336975745</v>
      </c>
      <c r="O100" s="65">
        <v>0.64453291570401583</v>
      </c>
      <c r="P100" s="65">
        <v>0.63789953112844533</v>
      </c>
      <c r="Q100" s="65">
        <v>0.63291452719734675</v>
      </c>
      <c r="R100" s="65">
        <v>0.62812369566339799</v>
      </c>
      <c r="S100" s="65">
        <v>0.62342964635230458</v>
      </c>
      <c r="T100" s="65">
        <v>0.619605580502397</v>
      </c>
      <c r="U100" s="65">
        <v>0.61806310849497992</v>
      </c>
      <c r="V100" s="65">
        <v>0.61772973902719053</v>
      </c>
      <c r="W100" s="65">
        <v>0.61830670074305749</v>
      </c>
      <c r="X100" s="65">
        <v>0.61984531836869805</v>
      </c>
      <c r="Y100" s="65">
        <v>0.62247416114020382</v>
      </c>
      <c r="Z100" s="65">
        <v>0.62625508533278895</v>
      </c>
      <c r="AA100" s="65">
        <v>0.62990838797792903</v>
      </c>
      <c r="AB100" s="65">
        <v>0.63246172266414136</v>
      </c>
      <c r="AC100" s="65">
        <v>0.63583445640317271</v>
      </c>
      <c r="AD100" s="65">
        <v>-9.7925928428800324E-3</v>
      </c>
    </row>
    <row r="101" spans="1:30" s="65" customFormat="1" ht="12" customHeight="1" x14ac:dyDescent="0.2">
      <c r="A101" s="73">
        <v>88</v>
      </c>
      <c r="B101" s="65" t="s">
        <v>1204</v>
      </c>
      <c r="C101" s="65" t="s">
        <v>1172</v>
      </c>
      <c r="D101" s="65">
        <v>0.24671494028332419</v>
      </c>
      <c r="E101" s="65">
        <v>0.24765638879967811</v>
      </c>
      <c r="F101" s="65">
        <v>0.24244107109820379</v>
      </c>
      <c r="G101" s="65">
        <v>0.2405267406261436</v>
      </c>
      <c r="H101" s="65">
        <v>0.24037765006573539</v>
      </c>
      <c r="I101" s="65">
        <v>0.24057355952166959</v>
      </c>
      <c r="J101" s="65">
        <v>0.23960932857025541</v>
      </c>
      <c r="K101" s="65">
        <v>0.23964307891110259</v>
      </c>
      <c r="L101" s="65">
        <v>0.24023244602418181</v>
      </c>
      <c r="M101" s="65">
        <v>0.24023891969577879</v>
      </c>
      <c r="N101" s="65">
        <v>0.24062860992445659</v>
      </c>
      <c r="O101" s="65">
        <v>0.2410121149125822</v>
      </c>
      <c r="P101" s="65">
        <v>0.2418074782070638</v>
      </c>
      <c r="Q101" s="65">
        <v>0.2427477614008732</v>
      </c>
      <c r="R101" s="65">
        <v>0.24341902916350591</v>
      </c>
      <c r="S101" s="65">
        <v>0.24380972302828141</v>
      </c>
      <c r="T101" s="65">
        <v>0.24409318592166551</v>
      </c>
      <c r="U101" s="65">
        <v>0.24463466592683669</v>
      </c>
      <c r="V101" s="65">
        <v>0.2452069797834901</v>
      </c>
      <c r="W101" s="65">
        <v>0.2457616861189274</v>
      </c>
      <c r="X101" s="65">
        <v>0.24631249342662029</v>
      </c>
      <c r="Y101" s="65">
        <v>0.24689195766019151</v>
      </c>
      <c r="Z101" s="65">
        <v>0.24752861609044899</v>
      </c>
      <c r="AA101" s="65">
        <v>0.2481359238688664</v>
      </c>
      <c r="AB101" s="65">
        <v>0.24847978475280261</v>
      </c>
      <c r="AC101" s="65">
        <v>0.2490472193244152</v>
      </c>
      <c r="AD101" s="65">
        <v>3.7642811501648049E-4</v>
      </c>
    </row>
    <row r="102" spans="1:30" s="65" customFormat="1" ht="12" customHeight="1" x14ac:dyDescent="0.2">
      <c r="A102" s="73">
        <v>89</v>
      </c>
      <c r="B102" s="65" t="s">
        <v>1205</v>
      </c>
      <c r="C102" s="65" t="s">
        <v>1174</v>
      </c>
      <c r="D102" s="65">
        <v>0.48234464075049349</v>
      </c>
      <c r="E102" s="65">
        <v>0.48131802446154109</v>
      </c>
      <c r="F102" s="65">
        <v>0.46428741051313122</v>
      </c>
      <c r="G102" s="65">
        <v>0.45725498563163808</v>
      </c>
      <c r="H102" s="65">
        <v>0.45374955478862228</v>
      </c>
      <c r="I102" s="65">
        <v>0.44909772043818319</v>
      </c>
      <c r="J102" s="65">
        <v>0.44026122144241658</v>
      </c>
      <c r="K102" s="65">
        <v>0.43360432277967131</v>
      </c>
      <c r="L102" s="65">
        <v>0.42929406069369103</v>
      </c>
      <c r="M102" s="65">
        <v>0.42442003170359338</v>
      </c>
      <c r="N102" s="65">
        <v>0.42136617981771018</v>
      </c>
      <c r="O102" s="65">
        <v>0.41921894237484508</v>
      </c>
      <c r="P102" s="65">
        <v>0.41879969075430162</v>
      </c>
      <c r="Q102" s="65">
        <v>0.41978758404849331</v>
      </c>
      <c r="R102" s="65">
        <v>0.42127791135464099</v>
      </c>
      <c r="S102" s="65">
        <v>0.42328962304228968</v>
      </c>
      <c r="T102" s="65">
        <v>0.42644010937544058</v>
      </c>
      <c r="U102" s="65">
        <v>0.43047681355453032</v>
      </c>
      <c r="V102" s="65">
        <v>0.43488706550108558</v>
      </c>
      <c r="W102" s="65">
        <v>0.43938018628687969</v>
      </c>
      <c r="X102" s="65">
        <v>0.44387321805177438</v>
      </c>
      <c r="Y102" s="65">
        <v>0.44814105437674828</v>
      </c>
      <c r="Z102" s="65">
        <v>0.45219389863047571</v>
      </c>
      <c r="AA102" s="65">
        <v>0.45592952552554122</v>
      </c>
      <c r="AB102" s="65">
        <v>0.45907402051007418</v>
      </c>
      <c r="AC102" s="65">
        <v>0.46261622300866939</v>
      </c>
      <c r="AD102" s="65">
        <v>-1.669048086364366E-3</v>
      </c>
    </row>
    <row r="103" spans="1:30" s="65" customFormat="1" ht="12" customHeight="1" x14ac:dyDescent="0.2">
      <c r="A103" s="73">
        <v>90</v>
      </c>
      <c r="B103" s="65" t="s">
        <v>1206</v>
      </c>
      <c r="C103" s="65" t="s">
        <v>1176</v>
      </c>
      <c r="D103" s="65">
        <v>0.18442320911686599</v>
      </c>
      <c r="E103" s="65">
        <v>0.18312659707324941</v>
      </c>
      <c r="F103" s="65">
        <v>0.17485597932230601</v>
      </c>
      <c r="G103" s="65">
        <v>0.17043891785212839</v>
      </c>
      <c r="H103" s="65">
        <v>0.16800649690804101</v>
      </c>
      <c r="I103" s="65">
        <v>0.16515843310477599</v>
      </c>
      <c r="J103" s="65">
        <v>0.1610219421198448</v>
      </c>
      <c r="K103" s="65">
        <v>0.1579633912955985</v>
      </c>
      <c r="L103" s="65">
        <v>0.1556030800079983</v>
      </c>
      <c r="M103" s="65">
        <v>0.1527216794576135</v>
      </c>
      <c r="N103" s="65">
        <v>0.1502981023934056</v>
      </c>
      <c r="O103" s="65">
        <v>0.14791806881319991</v>
      </c>
      <c r="P103" s="65">
        <v>0.14600108629278091</v>
      </c>
      <c r="Q103" s="65">
        <v>0.14432103177666589</v>
      </c>
      <c r="R103" s="65">
        <v>0.1425540703610865</v>
      </c>
      <c r="S103" s="65">
        <v>0.14068824642808739</v>
      </c>
      <c r="T103" s="65">
        <v>0.13892688084953811</v>
      </c>
      <c r="U103" s="65">
        <v>0.13758607008865839</v>
      </c>
      <c r="V103" s="65">
        <v>0.13642142317834241</v>
      </c>
      <c r="W103" s="65">
        <v>0.13537257779122899</v>
      </c>
      <c r="X103" s="65">
        <v>0.13443825777677379</v>
      </c>
      <c r="Y103" s="65">
        <v>0.13366647007242111</v>
      </c>
      <c r="Z103" s="65">
        <v>0.13307084875101211</v>
      </c>
      <c r="AA103" s="65">
        <v>0.13259565668134099</v>
      </c>
      <c r="AB103" s="65">
        <v>0.13205424478856961</v>
      </c>
      <c r="AC103" s="65">
        <v>0.13185768373982229</v>
      </c>
      <c r="AD103" s="65">
        <v>-1.333074709167059E-2</v>
      </c>
    </row>
    <row r="104" spans="1:30" s="65" customFormat="1" ht="12" customHeight="1" x14ac:dyDescent="0.2">
      <c r="A104" s="73">
        <v>91</v>
      </c>
      <c r="B104" s="65" t="s">
        <v>1207</v>
      </c>
      <c r="C104" s="65" t="s">
        <v>1178</v>
      </c>
      <c r="D104" s="65">
        <v>0.42535573277304201</v>
      </c>
      <c r="E104" s="65">
        <v>0.42110138785570289</v>
      </c>
      <c r="F104" s="65">
        <v>0.4051928043923525</v>
      </c>
      <c r="G104" s="65">
        <v>0.39970115029687708</v>
      </c>
      <c r="H104" s="65">
        <v>0.39825243790711651</v>
      </c>
      <c r="I104" s="65">
        <v>0.39307181868721108</v>
      </c>
      <c r="J104" s="65">
        <v>0.3848183680206001</v>
      </c>
      <c r="K104" s="65">
        <v>0.38011602622234619</v>
      </c>
      <c r="L104" s="65">
        <v>0.37755919763456008</v>
      </c>
      <c r="M104" s="65">
        <v>0.37399517859714559</v>
      </c>
      <c r="N104" s="65">
        <v>0.37162672347382109</v>
      </c>
      <c r="O104" s="65">
        <v>0.36933539311534691</v>
      </c>
      <c r="P104" s="65">
        <v>0.36792404537932227</v>
      </c>
      <c r="Q104" s="65">
        <v>0.36700491119800399</v>
      </c>
      <c r="R104" s="65">
        <v>0.3660627227467409</v>
      </c>
      <c r="S104" s="65">
        <v>0.35884705791217397</v>
      </c>
      <c r="T104" s="65">
        <v>0.35254952750891622</v>
      </c>
      <c r="U104" s="65">
        <v>0.34818269591905948</v>
      </c>
      <c r="V104" s="65">
        <v>0.34511408255135761</v>
      </c>
      <c r="W104" s="65">
        <v>0.3430295990054123</v>
      </c>
      <c r="X104" s="65">
        <v>0.34148756166699878</v>
      </c>
      <c r="Y104" s="65">
        <v>0.34006065825227499</v>
      </c>
      <c r="Z104" s="65">
        <v>0.33872571840189208</v>
      </c>
      <c r="AA104" s="65">
        <v>0.33753679140080928</v>
      </c>
      <c r="AB104" s="65">
        <v>0.33615712111274387</v>
      </c>
      <c r="AC104" s="65">
        <v>0.33531432102638697</v>
      </c>
      <c r="AD104" s="65">
        <v>-9.4691811977454243E-3</v>
      </c>
    </row>
    <row r="105" spans="1:30" s="65" customFormat="1" ht="12" customHeight="1" x14ac:dyDescent="0.2">
      <c r="A105" s="73">
        <v>92</v>
      </c>
      <c r="B105" s="65" t="s">
        <v>1208</v>
      </c>
      <c r="C105" s="65" t="s">
        <v>1180</v>
      </c>
      <c r="D105" s="65">
        <v>9.4734021451028008E-2</v>
      </c>
      <c r="E105" s="65">
        <v>9.1842477481016399E-2</v>
      </c>
      <c r="F105" s="65">
        <v>8.5533603287784768E-2</v>
      </c>
      <c r="G105" s="65">
        <v>8.0919418070120513E-2</v>
      </c>
      <c r="H105" s="65">
        <v>7.7307522224994346E-2</v>
      </c>
      <c r="I105" s="65">
        <v>7.3555604928560989E-2</v>
      </c>
      <c r="J105" s="65">
        <v>6.9233364681977272E-2</v>
      </c>
      <c r="K105" s="65">
        <v>6.5304877379707485E-2</v>
      </c>
      <c r="L105" s="65">
        <v>6.2111279323504409E-2</v>
      </c>
      <c r="M105" s="65">
        <v>5.9148747604069907E-2</v>
      </c>
      <c r="N105" s="65">
        <v>5.6790074855312428E-2</v>
      </c>
      <c r="O105" s="65">
        <v>5.4889697305451332E-2</v>
      </c>
      <c r="P105" s="65">
        <v>5.3614304964438281E-2</v>
      </c>
      <c r="Q105" s="65">
        <v>5.2914256097463988E-2</v>
      </c>
      <c r="R105" s="65">
        <v>5.2688519544684682E-2</v>
      </c>
      <c r="S105" s="65">
        <v>5.2398619962923568E-2</v>
      </c>
      <c r="T105" s="65">
        <v>5.2117357395393221E-2</v>
      </c>
      <c r="U105" s="65">
        <v>5.1973679113025952E-2</v>
      </c>
      <c r="V105" s="65">
        <v>5.1879279647785062E-2</v>
      </c>
      <c r="W105" s="65">
        <v>5.1816454145975827E-2</v>
      </c>
      <c r="X105" s="65">
        <v>5.1786146135368381E-2</v>
      </c>
      <c r="Y105" s="65">
        <v>5.1795421027661173E-2</v>
      </c>
      <c r="Z105" s="65">
        <v>5.1850326954789118E-2</v>
      </c>
      <c r="AA105" s="65">
        <v>5.1918340415785233E-2</v>
      </c>
      <c r="AB105" s="65">
        <v>5.1918010370819931E-2</v>
      </c>
      <c r="AC105" s="65">
        <v>5.2006119557720228E-2</v>
      </c>
      <c r="AD105" s="65">
        <v>-2.3703035369769251E-2</v>
      </c>
    </row>
    <row r="106" spans="1:30" s="65" customFormat="1" ht="12" customHeight="1" x14ac:dyDescent="0.2">
      <c r="A106" s="73">
        <v>93</v>
      </c>
      <c r="B106" s="65" t="s">
        <v>1209</v>
      </c>
      <c r="C106" s="65" t="s">
        <v>1182</v>
      </c>
      <c r="D106" s="65">
        <v>8.6448951541332725E-2</v>
      </c>
      <c r="E106" s="65">
        <v>8.7992773533175139E-2</v>
      </c>
      <c r="F106" s="65">
        <v>8.4672472821258754E-2</v>
      </c>
      <c r="G106" s="65">
        <v>8.2943361864479259E-2</v>
      </c>
      <c r="H106" s="65">
        <v>8.2092625400124575E-2</v>
      </c>
      <c r="I106" s="65">
        <v>8.1354821918953629E-2</v>
      </c>
      <c r="J106" s="65">
        <v>7.9925585798453602E-2</v>
      </c>
      <c r="K106" s="65">
        <v>7.8954251425738919E-2</v>
      </c>
      <c r="L106" s="65">
        <v>7.8455779724071542E-2</v>
      </c>
      <c r="M106" s="65">
        <v>7.782824287212281E-2</v>
      </c>
      <c r="N106" s="65">
        <v>7.755612117428802E-2</v>
      </c>
      <c r="O106" s="65">
        <v>7.7447359972361143E-2</v>
      </c>
      <c r="P106" s="65">
        <v>7.7725667636741935E-2</v>
      </c>
      <c r="Q106" s="65">
        <v>7.8296635424038641E-2</v>
      </c>
      <c r="R106" s="65">
        <v>7.8994528304156195E-2</v>
      </c>
      <c r="S106" s="65">
        <v>7.9577381612432274E-2</v>
      </c>
      <c r="T106" s="65">
        <v>8.0143793331769242E-2</v>
      </c>
      <c r="U106" s="65">
        <v>8.0888234785316052E-2</v>
      </c>
      <c r="V106" s="65">
        <v>8.1676430681637463E-2</v>
      </c>
      <c r="W106" s="65">
        <v>8.2479705599778852E-2</v>
      </c>
      <c r="X106" s="65">
        <v>8.3298341686469574E-2</v>
      </c>
      <c r="Y106" s="65">
        <v>8.4145774905027643E-2</v>
      </c>
      <c r="Z106" s="65">
        <v>8.5036556194715451E-2</v>
      </c>
      <c r="AA106" s="65">
        <v>8.5922888312888135E-2</v>
      </c>
      <c r="AB106" s="65">
        <v>8.6674412608581941E-2</v>
      </c>
      <c r="AC106" s="65">
        <v>8.7554795103869709E-2</v>
      </c>
      <c r="AD106" s="65">
        <v>5.0855899174151453E-4</v>
      </c>
    </row>
    <row r="107" spans="1:30" s="65" customFormat="1" ht="12" customHeight="1" x14ac:dyDescent="0.2">
      <c r="A107" s="73">
        <v>94</v>
      </c>
      <c r="B107" s="65" t="s">
        <v>1210</v>
      </c>
      <c r="C107" s="65" t="s">
        <v>1184</v>
      </c>
      <c r="D107" s="65">
        <v>0.29041096528837063</v>
      </c>
      <c r="E107" s="65">
        <v>0.28235234587436298</v>
      </c>
      <c r="F107" s="65">
        <v>0.26479468715917232</v>
      </c>
      <c r="G107" s="65">
        <v>0.25425448129567058</v>
      </c>
      <c r="H107" s="65">
        <v>0.2466719909139701</v>
      </c>
      <c r="I107" s="65">
        <v>0.23922600532356139</v>
      </c>
      <c r="J107" s="65">
        <v>0.2301922575633977</v>
      </c>
      <c r="K107" s="65">
        <v>0.22325845259052679</v>
      </c>
      <c r="L107" s="65">
        <v>0.21771634025572109</v>
      </c>
      <c r="M107" s="65">
        <v>0.21175836608791371</v>
      </c>
      <c r="N107" s="65">
        <v>0.2067290985984897</v>
      </c>
      <c r="O107" s="65">
        <v>0.20206150763083491</v>
      </c>
      <c r="P107" s="65">
        <v>0.19822610776703059</v>
      </c>
      <c r="Q107" s="65">
        <v>0.19499732337327561</v>
      </c>
      <c r="R107" s="65">
        <v>0.1918588702471716</v>
      </c>
      <c r="S107" s="65">
        <v>0.18878724507271799</v>
      </c>
      <c r="T107" s="65">
        <v>0.18608231957595081</v>
      </c>
      <c r="U107" s="65">
        <v>0.18415377338788921</v>
      </c>
      <c r="V107" s="65">
        <v>0.18273498486123599</v>
      </c>
      <c r="W107" s="65">
        <v>0.18167524682852931</v>
      </c>
      <c r="X107" s="65">
        <v>0.18094056304597139</v>
      </c>
      <c r="Y107" s="65">
        <v>0.18048394104656151</v>
      </c>
      <c r="Z107" s="65">
        <v>0.1801484872540064</v>
      </c>
      <c r="AA107" s="65">
        <v>0.17990637003580681</v>
      </c>
      <c r="AB107" s="65">
        <v>0.17953744059886509</v>
      </c>
      <c r="AC107" s="65">
        <v>0.17952766443011201</v>
      </c>
      <c r="AD107" s="65">
        <v>-1.9054826190392889E-2</v>
      </c>
    </row>
    <row r="108" spans="1:30" s="65" customFormat="1" ht="12" customHeight="1" x14ac:dyDescent="0.2">
      <c r="A108" s="73">
        <v>95</v>
      </c>
      <c r="B108" s="65" t="s">
        <v>1211</v>
      </c>
      <c r="C108" s="65" t="s">
        <v>1186</v>
      </c>
      <c r="D108" s="65">
        <v>0.2256776506537212</v>
      </c>
      <c r="E108" s="65">
        <v>0.22029384588689849</v>
      </c>
      <c r="F108" s="65">
        <v>0.2071882798442293</v>
      </c>
      <c r="G108" s="65">
        <v>0.1992122083039361</v>
      </c>
      <c r="H108" s="65">
        <v>0.19320816664584239</v>
      </c>
      <c r="I108" s="65">
        <v>0.1870455329481083</v>
      </c>
      <c r="J108" s="65">
        <v>0.17939273644367609</v>
      </c>
      <c r="K108" s="65">
        <v>0.17318900815442881</v>
      </c>
      <c r="L108" s="65">
        <v>0.16788297912356329</v>
      </c>
      <c r="M108" s="65">
        <v>0.16211424519331691</v>
      </c>
      <c r="N108" s="65">
        <v>0.1569397016522999</v>
      </c>
      <c r="O108" s="65">
        <v>0.15196089406417171</v>
      </c>
      <c r="P108" s="65">
        <v>0.1475473078547086</v>
      </c>
      <c r="Q108" s="65">
        <v>0.14351528381354231</v>
      </c>
      <c r="R108" s="65">
        <v>0.1395227950055058</v>
      </c>
      <c r="S108" s="65">
        <v>0.13558227607591719</v>
      </c>
      <c r="T108" s="65">
        <v>0.1319191632977173</v>
      </c>
      <c r="U108" s="65">
        <v>0.12887404586904111</v>
      </c>
      <c r="V108" s="65">
        <v>0.1262306826086019</v>
      </c>
      <c r="W108" s="65">
        <v>0.1239187700298149</v>
      </c>
      <c r="X108" s="65">
        <v>0.1219161543412516</v>
      </c>
      <c r="Y108" s="65">
        <v>0.1202297955718772</v>
      </c>
      <c r="Z108" s="65">
        <v>0.11878063223337459</v>
      </c>
      <c r="AA108" s="65">
        <v>0.1175658296182102</v>
      </c>
      <c r="AB108" s="65">
        <v>0.1165029318132081</v>
      </c>
      <c r="AC108" s="65">
        <v>0.1158481809160775</v>
      </c>
      <c r="AD108" s="65">
        <v>-2.632049939931003E-2</v>
      </c>
    </row>
    <row r="109" spans="1:30" s="65" customFormat="1" ht="12" customHeight="1" x14ac:dyDescent="0.2">
      <c r="A109" s="73">
        <v>96</v>
      </c>
      <c r="B109" s="65" t="s">
        <v>1212</v>
      </c>
      <c r="C109" s="65" t="s">
        <v>1188</v>
      </c>
      <c r="D109" s="65">
        <v>0.36624160408285278</v>
      </c>
      <c r="E109" s="65">
        <v>0.35334690157787468</v>
      </c>
      <c r="F109" s="65">
        <v>0.33943380516548061</v>
      </c>
      <c r="G109" s="65">
        <v>0.33183321737644111</v>
      </c>
      <c r="H109" s="65">
        <v>0.32723421244068901</v>
      </c>
      <c r="I109" s="65">
        <v>0.32298255577717627</v>
      </c>
      <c r="J109" s="65">
        <v>0.315968434524316</v>
      </c>
      <c r="K109" s="65">
        <v>0.31153893963499218</v>
      </c>
      <c r="L109" s="65">
        <v>0.30822283142955281</v>
      </c>
      <c r="M109" s="65">
        <v>0.3037312296978007</v>
      </c>
      <c r="N109" s="65">
        <v>0.29978469585079481</v>
      </c>
      <c r="O109" s="65">
        <v>0.29551969881695428</v>
      </c>
      <c r="P109" s="65">
        <v>0.29145923816439911</v>
      </c>
      <c r="Q109" s="65">
        <v>0.28720039201628489</v>
      </c>
      <c r="R109" s="65">
        <v>0.282001890211659</v>
      </c>
      <c r="S109" s="65">
        <v>0.27594953159140889</v>
      </c>
      <c r="T109" s="65">
        <v>0.26941578606610989</v>
      </c>
      <c r="U109" s="65">
        <v>0.2635068051640842</v>
      </c>
      <c r="V109" s="65">
        <v>0.25753188519326031</v>
      </c>
      <c r="W109" s="65">
        <v>0.25156041313964561</v>
      </c>
      <c r="X109" s="65">
        <v>0.2457607045828942</v>
      </c>
      <c r="Y109" s="65">
        <v>0.2400789375197698</v>
      </c>
      <c r="Z109" s="65">
        <v>0.23448835901419909</v>
      </c>
      <c r="AA109" s="65">
        <v>0.2292287524874897</v>
      </c>
      <c r="AB109" s="65">
        <v>0.2239802834267639</v>
      </c>
      <c r="AC109" s="65">
        <v>0.2194933710911926</v>
      </c>
      <c r="AD109" s="65">
        <v>-2.027058066643328E-2</v>
      </c>
    </row>
    <row r="110" spans="1:30" s="65" customFormat="1" ht="12" customHeight="1" x14ac:dyDescent="0.2">
      <c r="A110" s="73">
        <v>97</v>
      </c>
      <c r="B110" s="65" t="s">
        <v>1213</v>
      </c>
      <c r="C110" s="65" t="s">
        <v>1190</v>
      </c>
      <c r="D110" s="65">
        <v>5.4394083212918076</v>
      </c>
      <c r="E110" s="65">
        <v>5.4562158151548719</v>
      </c>
      <c r="F110" s="65">
        <v>5.0324087087289859</v>
      </c>
      <c r="G110" s="65">
        <v>5.0098464458255121</v>
      </c>
      <c r="H110" s="65">
        <v>5.0277623665602631</v>
      </c>
      <c r="I110" s="65">
        <v>5.044533812374528</v>
      </c>
      <c r="J110" s="65">
        <v>5.023543420312552</v>
      </c>
      <c r="K110" s="65">
        <v>5.0326491511996574</v>
      </c>
      <c r="L110" s="65">
        <v>5.0594797710006736</v>
      </c>
      <c r="M110" s="65">
        <v>5.0763900424942552</v>
      </c>
      <c r="N110" s="65">
        <v>5.1059983338062516</v>
      </c>
      <c r="O110" s="65">
        <v>5.135118134289165</v>
      </c>
      <c r="P110" s="65">
        <v>5.1772853340346803</v>
      </c>
      <c r="Q110" s="65">
        <v>5.2258402633919907</v>
      </c>
      <c r="R110" s="65">
        <v>5.2686156873688601</v>
      </c>
      <c r="S110" s="65">
        <v>5.2974974317642634</v>
      </c>
      <c r="T110" s="65">
        <v>5.3309084761633887</v>
      </c>
      <c r="U110" s="65">
        <v>5.378131935304661</v>
      </c>
      <c r="V110" s="65">
        <v>5.431978116003612</v>
      </c>
      <c r="W110" s="65">
        <v>5.4883640168042263</v>
      </c>
      <c r="X110" s="65">
        <v>5.5370587155273547</v>
      </c>
      <c r="Y110" s="65">
        <v>5.5929296581276891</v>
      </c>
      <c r="Z110" s="65">
        <v>5.6490861365050131</v>
      </c>
      <c r="AA110" s="65">
        <v>5.7043994433238163</v>
      </c>
      <c r="AB110" s="65">
        <v>5.7533295902936246</v>
      </c>
      <c r="AC110" s="65">
        <v>5.8103400108726753</v>
      </c>
      <c r="AD110" s="65">
        <v>2.6422365836791251E-3</v>
      </c>
    </row>
    <row r="111" spans="1:30" s="67" customFormat="1" ht="12" customHeight="1" x14ac:dyDescent="0.2">
      <c r="A111" s="73">
        <v>98</v>
      </c>
      <c r="B111" s="67" t="s">
        <v>1214</v>
      </c>
      <c r="C111" s="67" t="s">
        <v>1215</v>
      </c>
      <c r="D111" s="67">
        <v>18.714155265065131</v>
      </c>
      <c r="E111" s="67">
        <v>18.476722362253629</v>
      </c>
      <c r="F111" s="67">
        <v>17.818991987184742</v>
      </c>
      <c r="G111" s="67">
        <v>17.613569232531649</v>
      </c>
      <c r="H111" s="67">
        <v>17.463517578420749</v>
      </c>
      <c r="I111" s="67">
        <v>17.280955520015741</v>
      </c>
      <c r="J111" s="67">
        <v>17.002584792626219</v>
      </c>
      <c r="K111" s="67">
        <v>16.815261949565262</v>
      </c>
      <c r="L111" s="67">
        <v>16.682466227307451</v>
      </c>
      <c r="M111" s="67">
        <v>16.530286945023281</v>
      </c>
      <c r="N111" s="67">
        <v>16.419574540252921</v>
      </c>
      <c r="O111" s="67">
        <v>16.319463862241889</v>
      </c>
      <c r="P111" s="67">
        <v>16.254771826069948</v>
      </c>
      <c r="Q111" s="67">
        <v>16.213455813367581</v>
      </c>
      <c r="R111" s="67">
        <v>16.166691141455679</v>
      </c>
      <c r="S111" s="67">
        <v>16.100884147760119</v>
      </c>
      <c r="T111" s="67">
        <v>16.047774780306021</v>
      </c>
      <c r="U111" s="67">
        <v>16.037862786267041</v>
      </c>
      <c r="V111" s="67">
        <v>16.048698079351631</v>
      </c>
      <c r="W111" s="67">
        <v>16.067042162888988</v>
      </c>
      <c r="X111" s="67">
        <v>16.083355450015919</v>
      </c>
      <c r="Y111" s="67">
        <v>16.104933885439131</v>
      </c>
      <c r="Z111" s="67">
        <v>16.125921187568348</v>
      </c>
      <c r="AA111" s="67">
        <v>16.14544495200089</v>
      </c>
      <c r="AB111" s="67">
        <v>16.153224063671079</v>
      </c>
      <c r="AC111" s="67">
        <v>16.17965863370436</v>
      </c>
      <c r="AD111" s="67">
        <v>-5.8041063217070246E-3</v>
      </c>
    </row>
    <row r="112" spans="1:30" s="65" customFormat="1" ht="12" customHeight="1" x14ac:dyDescent="0.2">
      <c r="A112" s="73">
        <v>99</v>
      </c>
      <c r="B112" s="65" t="s">
        <v>1216</v>
      </c>
      <c r="C112" s="65" t="s">
        <v>94</v>
      </c>
      <c r="D112" s="65">
        <v>0.16650426387786871</v>
      </c>
      <c r="E112" s="65">
        <v>0.21598678827285769</v>
      </c>
      <c r="F112" s="65">
        <v>0.26925423741340643</v>
      </c>
      <c r="G112" s="65">
        <v>0.33086007833480829</v>
      </c>
      <c r="H112" s="65">
        <v>0.39272016286849981</v>
      </c>
      <c r="I112" s="65">
        <v>0.44976556301116938</v>
      </c>
      <c r="J112" s="65">
        <v>0.49374240636825562</v>
      </c>
      <c r="K112" s="65">
        <v>0.53491902351379395</v>
      </c>
      <c r="L112" s="65">
        <v>0.57697665691375732</v>
      </c>
      <c r="M112" s="65">
        <v>0.61697202920913696</v>
      </c>
      <c r="N112" s="65">
        <v>0.65833103656768799</v>
      </c>
      <c r="O112" s="65">
        <v>0.69895559549331665</v>
      </c>
      <c r="P112" s="65">
        <v>0.74106138944625854</v>
      </c>
      <c r="Q112" s="65">
        <v>0.78339946269989014</v>
      </c>
      <c r="R112" s="65">
        <v>0.82336235046386719</v>
      </c>
      <c r="S112" s="65">
        <v>0.86093109846115112</v>
      </c>
      <c r="T112" s="65">
        <v>0.89607590436935425</v>
      </c>
      <c r="U112" s="65">
        <v>0.93168854713439941</v>
      </c>
      <c r="V112" s="65">
        <v>0.96628403663635254</v>
      </c>
      <c r="W112" s="65">
        <v>0.99982988834381104</v>
      </c>
      <c r="X112" s="65">
        <v>1.0322592258453369</v>
      </c>
      <c r="Y112" s="65">
        <v>1.0633754730224609</v>
      </c>
      <c r="Z112" s="65">
        <v>1.093294620513916</v>
      </c>
      <c r="AA112" s="65">
        <v>1.122296094894409</v>
      </c>
      <c r="AB112" s="65">
        <v>1.147966623306274</v>
      </c>
      <c r="AC112" s="65">
        <v>1.174582958221436</v>
      </c>
      <c r="AD112" s="65">
        <v>8.1280406684162143E-2</v>
      </c>
    </row>
    <row r="113" spans="1:30" s="65" customFormat="1" ht="12" customHeight="1" x14ac:dyDescent="0.2">
      <c r="A113" s="73">
        <v>100</v>
      </c>
      <c r="B113" s="65" t="s">
        <v>1217</v>
      </c>
      <c r="C113" s="65" t="s">
        <v>96</v>
      </c>
      <c r="D113" s="65">
        <v>0.18513305485248571</v>
      </c>
      <c r="E113" s="65">
        <v>0.19618113338947299</v>
      </c>
      <c r="F113" s="65">
        <v>0.20806993544101721</v>
      </c>
      <c r="G113" s="65">
        <v>0.2202898561954498</v>
      </c>
      <c r="H113" s="65">
        <v>0.23191364109516141</v>
      </c>
      <c r="I113" s="65">
        <v>0.24404700100421911</v>
      </c>
      <c r="J113" s="65">
        <v>0.25698700547218323</v>
      </c>
      <c r="K113" s="65">
        <v>0.26999360322952271</v>
      </c>
      <c r="L113" s="65">
        <v>0.28355693817138672</v>
      </c>
      <c r="M113" s="65">
        <v>0.29791304469108582</v>
      </c>
      <c r="N113" s="65">
        <v>0.31315085291862488</v>
      </c>
      <c r="O113" s="65">
        <v>0.32913258671760559</v>
      </c>
      <c r="P113" s="65">
        <v>0.3461628258228302</v>
      </c>
      <c r="Q113" s="65">
        <v>0.36398994922637939</v>
      </c>
      <c r="R113" s="65">
        <v>0.38263362646102911</v>
      </c>
      <c r="S113" s="65">
        <v>0.40191635489463812</v>
      </c>
      <c r="T113" s="65">
        <v>0.42191752791404719</v>
      </c>
      <c r="U113" s="65">
        <v>0.44253355264663702</v>
      </c>
      <c r="V113" s="65">
        <v>0.46366396546363831</v>
      </c>
      <c r="W113" s="65">
        <v>0.48558345437049871</v>
      </c>
      <c r="X113" s="65">
        <v>0.50805890560150146</v>
      </c>
      <c r="Y113" s="65">
        <v>0.53128021955490112</v>
      </c>
      <c r="Z113" s="65">
        <v>0.55522787570953369</v>
      </c>
      <c r="AA113" s="65">
        <v>0.58007967472076416</v>
      </c>
      <c r="AB113" s="65">
        <v>0.60541057586669922</v>
      </c>
      <c r="AC113" s="65">
        <v>0.63153308629989624</v>
      </c>
      <c r="AD113" s="65">
        <v>5.0307545821676403E-2</v>
      </c>
    </row>
    <row r="114" spans="1:30" s="67" customFormat="1" ht="12" customHeight="1" x14ac:dyDescent="0.2">
      <c r="A114" s="73">
        <v>101</v>
      </c>
      <c r="B114" s="67" t="s">
        <v>1218</v>
      </c>
      <c r="C114" s="67" t="s">
        <v>117</v>
      </c>
      <c r="D114" s="67">
        <v>18.695526474090521</v>
      </c>
      <c r="E114" s="67">
        <v>18.49652801713701</v>
      </c>
      <c r="F114" s="67">
        <v>17.880176289157131</v>
      </c>
      <c r="G114" s="67">
        <v>17.724139454671011</v>
      </c>
      <c r="H114" s="67">
        <v>17.624324100194091</v>
      </c>
      <c r="I114" s="67">
        <v>17.486674082022692</v>
      </c>
      <c r="J114" s="67">
        <v>17.239340193522299</v>
      </c>
      <c r="K114" s="67">
        <v>17.080187369849529</v>
      </c>
      <c r="L114" s="67">
        <v>16.975885946049821</v>
      </c>
      <c r="M114" s="67">
        <v>16.849345929541339</v>
      </c>
      <c r="N114" s="67">
        <v>16.76475472390198</v>
      </c>
      <c r="O114" s="67">
        <v>16.6892868710176</v>
      </c>
      <c r="P114" s="67">
        <v>16.64967038969338</v>
      </c>
      <c r="Q114" s="67">
        <v>16.632865326841092</v>
      </c>
      <c r="R114" s="67">
        <v>16.607419865458521</v>
      </c>
      <c r="S114" s="67">
        <v>16.55989889132664</v>
      </c>
      <c r="T114" s="67">
        <v>16.521933156761321</v>
      </c>
      <c r="U114" s="67">
        <v>16.5270177807548</v>
      </c>
      <c r="V114" s="67">
        <v>16.551318150524349</v>
      </c>
      <c r="W114" s="67">
        <v>16.581288596862301</v>
      </c>
      <c r="X114" s="67">
        <v>16.607555770259761</v>
      </c>
      <c r="Y114" s="67">
        <v>16.637029138906691</v>
      </c>
      <c r="Z114" s="67">
        <v>16.663987932372731</v>
      </c>
      <c r="AA114" s="67">
        <v>16.687661372174539</v>
      </c>
      <c r="AB114" s="67">
        <v>16.695780111110651</v>
      </c>
      <c r="AC114" s="67">
        <v>16.722708505625899</v>
      </c>
      <c r="AD114" s="67">
        <v>-4.4507333100763944E-3</v>
      </c>
    </row>
    <row r="115" spans="1:30" s="65" customFormat="1" ht="12" customHeight="1" x14ac:dyDescent="0.2">
      <c r="A115" s="73">
        <v>102</v>
      </c>
    </row>
    <row r="116" spans="1:30" s="67" customFormat="1" ht="12" customHeight="1" x14ac:dyDescent="0.2">
      <c r="A116" s="73">
        <v>103</v>
      </c>
      <c r="C116" s="67" t="s">
        <v>1219</v>
      </c>
    </row>
    <row r="117" spans="1:30" s="65" customFormat="1" ht="12" customHeight="1" x14ac:dyDescent="0.2">
      <c r="A117" s="73">
        <v>104</v>
      </c>
      <c r="B117" s="65" t="s">
        <v>1220</v>
      </c>
      <c r="C117" s="65" t="s">
        <v>1221</v>
      </c>
      <c r="D117" s="65">
        <v>4.9685503999999998E-2</v>
      </c>
      <c r="E117" s="65">
        <v>4.8801575999999999E-2</v>
      </c>
      <c r="F117" s="65">
        <v>4.9416995999999998E-2</v>
      </c>
      <c r="G117" s="65">
        <v>4.8901359999999998E-2</v>
      </c>
      <c r="H117" s="65">
        <v>4.8594643999999999E-2</v>
      </c>
      <c r="I117" s="65">
        <v>4.8425808000000001E-2</v>
      </c>
      <c r="J117" s="65">
        <v>4.8258632000000003E-2</v>
      </c>
      <c r="K117" s="65">
        <v>4.7826232000000003E-2</v>
      </c>
      <c r="L117" s="65">
        <v>4.7666991999999998E-2</v>
      </c>
      <c r="M117" s="65">
        <v>4.7592375999999999E-2</v>
      </c>
      <c r="N117" s="65">
        <v>4.7389559999999997E-2</v>
      </c>
      <c r="O117" s="65">
        <v>4.7232855999999997E-2</v>
      </c>
      <c r="P117" s="65">
        <v>4.7174232000000003E-2</v>
      </c>
      <c r="Q117" s="65">
        <v>4.7139920000000002E-2</v>
      </c>
      <c r="R117" s="65">
        <v>4.7047671999999999E-2</v>
      </c>
      <c r="S117" s="65">
        <v>4.7018655999999999E-2</v>
      </c>
      <c r="T117" s="65">
        <v>4.6748188000000003E-2</v>
      </c>
      <c r="U117" s="65">
        <v>4.6572684000000003E-2</v>
      </c>
      <c r="V117" s="65">
        <v>4.6285883999999999E-2</v>
      </c>
      <c r="W117" s="65">
        <v>4.6040240000000003E-2</v>
      </c>
      <c r="X117" s="65">
        <v>4.5849444000000003E-2</v>
      </c>
      <c r="Y117" s="65">
        <v>4.5748400000000002E-2</v>
      </c>
      <c r="Z117" s="65">
        <v>4.5539695999999998E-2</v>
      </c>
      <c r="AA117" s="65">
        <v>4.5423287999999999E-2</v>
      </c>
      <c r="AB117" s="65">
        <v>4.5241115999999998E-2</v>
      </c>
      <c r="AC117" s="65">
        <v>4.4973751999999999E-2</v>
      </c>
      <c r="AD117" s="65">
        <v>-3.9774365555526048E-3</v>
      </c>
    </row>
    <row r="118" spans="1:30" s="65" customFormat="1" ht="12" customHeight="1" x14ac:dyDescent="0.2">
      <c r="A118" s="73">
        <v>105</v>
      </c>
      <c r="B118" s="65" t="s">
        <v>1222</v>
      </c>
      <c r="C118" s="65" t="s">
        <v>1223</v>
      </c>
      <c r="D118" s="65">
        <v>0.22438438236713409</v>
      </c>
      <c r="E118" s="65">
        <v>0.23718477785587311</v>
      </c>
      <c r="F118" s="65">
        <v>0.25163364410400391</v>
      </c>
      <c r="G118" s="65">
        <v>0.26653721928596502</v>
      </c>
      <c r="H118" s="65">
        <v>0.28042688965797419</v>
      </c>
      <c r="I118" s="65">
        <v>0.29501697421073908</v>
      </c>
      <c r="J118" s="65">
        <v>0.31080970168113708</v>
      </c>
      <c r="K118" s="65">
        <v>0.32653322815895081</v>
      </c>
      <c r="L118" s="65">
        <v>0.34300875663757319</v>
      </c>
      <c r="M118" s="65">
        <v>0.36046761274337769</v>
      </c>
      <c r="N118" s="65">
        <v>0.37908229231834412</v>
      </c>
      <c r="O118" s="65">
        <v>0.39858260750770569</v>
      </c>
      <c r="P118" s="65">
        <v>0.41947066783905029</v>
      </c>
      <c r="Q118" s="65">
        <v>0.4413415789604187</v>
      </c>
      <c r="R118" s="65">
        <v>0.46438413858413702</v>
      </c>
      <c r="S118" s="65">
        <v>0.48823532462120062</v>
      </c>
      <c r="T118" s="65">
        <v>0.51302868127822876</v>
      </c>
      <c r="U118" s="65">
        <v>0.53851747512817383</v>
      </c>
      <c r="V118" s="65">
        <v>0.56479382514953613</v>
      </c>
      <c r="W118" s="65">
        <v>0.5920870304107666</v>
      </c>
      <c r="X118" s="65">
        <v>0.61999595165252686</v>
      </c>
      <c r="Y118" s="65">
        <v>0.64872235059738159</v>
      </c>
      <c r="Z118" s="65">
        <v>0.67828959226608276</v>
      </c>
      <c r="AA118" s="65">
        <v>0.70909136533737183</v>
      </c>
      <c r="AB118" s="65">
        <v>0.74038064479827881</v>
      </c>
      <c r="AC118" s="65">
        <v>0.7727934718132019</v>
      </c>
      <c r="AD118" s="65">
        <v>5.0709920490154207E-2</v>
      </c>
    </row>
    <row r="119" spans="1:30" s="65" customFormat="1" ht="12" customHeight="1" x14ac:dyDescent="0.2">
      <c r="A119" s="73">
        <v>106</v>
      </c>
      <c r="B119" s="65" t="s">
        <v>1224</v>
      </c>
      <c r="C119" s="65" t="s">
        <v>1225</v>
      </c>
      <c r="D119" s="65">
        <v>5.8779853861778975E-4</v>
      </c>
      <c r="E119" s="65">
        <v>5.883243284188211E-4</v>
      </c>
      <c r="F119" s="65">
        <v>5.8896513655781746E-4</v>
      </c>
      <c r="G119" s="65">
        <v>5.8960117166861892E-4</v>
      </c>
      <c r="H119" s="65">
        <v>5.9062830405309796E-4</v>
      </c>
      <c r="I119" s="65">
        <v>5.9240957489237189E-4</v>
      </c>
      <c r="J119" s="65">
        <v>5.9563992545008659E-4</v>
      </c>
      <c r="K119" s="65">
        <v>6.006661569699645E-4</v>
      </c>
      <c r="L119" s="65">
        <v>6.0838687932118773E-4</v>
      </c>
      <c r="M119" s="65">
        <v>6.1899487627670169E-4</v>
      </c>
      <c r="N119" s="65">
        <v>6.3164823222905397E-4</v>
      </c>
      <c r="O119" s="65">
        <v>6.4583314815536141E-4</v>
      </c>
      <c r="P119" s="65">
        <v>6.6153763327747583E-4</v>
      </c>
      <c r="Q119" s="65">
        <v>6.7802233388647437E-4</v>
      </c>
      <c r="R119" s="65">
        <v>6.9491489557549357E-4</v>
      </c>
      <c r="S119" s="65">
        <v>7.1281311102211475E-4</v>
      </c>
      <c r="T119" s="65">
        <v>7.3276489274576306E-4</v>
      </c>
      <c r="U119" s="65">
        <v>7.5405789539217949E-4</v>
      </c>
      <c r="V119" s="65">
        <v>7.7602959936484694E-4</v>
      </c>
      <c r="W119" s="65">
        <v>7.985290139913559E-4</v>
      </c>
      <c r="X119" s="65">
        <v>8.2174333510920405E-4</v>
      </c>
      <c r="Y119" s="65">
        <v>8.4689923096448183E-4</v>
      </c>
      <c r="Z119" s="65">
        <v>8.7301706662401557E-4</v>
      </c>
      <c r="AA119" s="65">
        <v>9.0274040121585131E-4</v>
      </c>
      <c r="AB119" s="65">
        <v>9.3279540305957198E-4</v>
      </c>
      <c r="AC119" s="65">
        <v>9.6316100098192692E-4</v>
      </c>
      <c r="AD119" s="65">
        <v>1.99498431218279E-2</v>
      </c>
    </row>
    <row r="120" spans="1:30" s="67" customFormat="1" ht="12" customHeight="1" x14ac:dyDescent="0.2">
      <c r="A120" s="73">
        <v>107</v>
      </c>
      <c r="B120" s="67" t="s">
        <v>1226</v>
      </c>
      <c r="C120" s="67" t="s">
        <v>126</v>
      </c>
      <c r="D120" s="67">
        <v>0.27465768490575188</v>
      </c>
      <c r="E120" s="67">
        <v>0.28657467818429189</v>
      </c>
      <c r="F120" s="67">
        <v>0.30163960524056171</v>
      </c>
      <c r="G120" s="67">
        <v>0.31602818045763359</v>
      </c>
      <c r="H120" s="67">
        <v>0.32961216196202742</v>
      </c>
      <c r="I120" s="67">
        <v>0.34403519178563152</v>
      </c>
      <c r="J120" s="67">
        <v>0.3596639736065872</v>
      </c>
      <c r="K120" s="67">
        <v>0.37496012631592079</v>
      </c>
      <c r="L120" s="67">
        <v>0.39128413551689439</v>
      </c>
      <c r="M120" s="67">
        <v>0.40867898361965438</v>
      </c>
      <c r="N120" s="67">
        <v>0.42710350055057322</v>
      </c>
      <c r="O120" s="67">
        <v>0.44646129665586098</v>
      </c>
      <c r="P120" s="67">
        <v>0.46730643747232781</v>
      </c>
      <c r="Q120" s="67">
        <v>0.48915952129430518</v>
      </c>
      <c r="R120" s="67">
        <v>0.5121267254797125</v>
      </c>
      <c r="S120" s="67">
        <v>0.53596679373222267</v>
      </c>
      <c r="T120" s="67">
        <v>0.56050963417097455</v>
      </c>
      <c r="U120" s="67">
        <v>0.58584421702356604</v>
      </c>
      <c r="V120" s="67">
        <v>0.61185573874890098</v>
      </c>
      <c r="W120" s="67">
        <v>0.63892579942475791</v>
      </c>
      <c r="X120" s="67">
        <v>0.66666713898763608</v>
      </c>
      <c r="Y120" s="67">
        <v>0.6953176498283461</v>
      </c>
      <c r="Z120" s="67">
        <v>0.72470230533270674</v>
      </c>
      <c r="AA120" s="67">
        <v>0.75541739373858763</v>
      </c>
      <c r="AB120" s="67">
        <v>0.78655455620133841</v>
      </c>
      <c r="AC120" s="67">
        <v>0.81873038481418381</v>
      </c>
      <c r="AD120" s="67">
        <v>4.4657595130769501E-2</v>
      </c>
    </row>
    <row r="121" spans="1:30" s="65" customFormat="1" ht="12" customHeight="1" x14ac:dyDescent="0.2">
      <c r="A121" s="73">
        <v>108</v>
      </c>
    </row>
    <row r="122" spans="1:30" s="67" customFormat="1" ht="12" customHeight="1" x14ac:dyDescent="0.2">
      <c r="A122" s="73">
        <v>109</v>
      </c>
      <c r="C122" s="67" t="s">
        <v>127</v>
      </c>
    </row>
    <row r="123" spans="1:30" s="63" customFormat="1" ht="12" customHeight="1" x14ac:dyDescent="0.2">
      <c r="A123" s="73">
        <v>110</v>
      </c>
      <c r="B123" s="63" t="s">
        <v>1227</v>
      </c>
      <c r="C123" s="63" t="s">
        <v>129</v>
      </c>
      <c r="D123" s="63">
        <v>6045</v>
      </c>
      <c r="E123" s="63">
        <v>5873</v>
      </c>
      <c r="F123" s="63">
        <v>5850</v>
      </c>
      <c r="G123" s="63">
        <v>5826</v>
      </c>
      <c r="H123" s="63">
        <v>5803</v>
      </c>
      <c r="I123" s="63">
        <v>5779</v>
      </c>
      <c r="J123" s="63">
        <v>5755</v>
      </c>
      <c r="K123" s="63">
        <v>5732</v>
      </c>
      <c r="L123" s="63">
        <v>5708</v>
      </c>
      <c r="M123" s="63">
        <v>5684</v>
      </c>
      <c r="N123" s="63">
        <v>5661</v>
      </c>
      <c r="O123" s="63">
        <v>5637</v>
      </c>
      <c r="P123" s="63">
        <v>5613</v>
      </c>
      <c r="Q123" s="63">
        <v>5589</v>
      </c>
      <c r="R123" s="63">
        <v>5566</v>
      </c>
      <c r="S123" s="63">
        <v>5542</v>
      </c>
      <c r="T123" s="63">
        <v>5518</v>
      </c>
      <c r="U123" s="63">
        <v>5495</v>
      </c>
      <c r="V123" s="63">
        <v>5471</v>
      </c>
      <c r="W123" s="63">
        <v>5447</v>
      </c>
      <c r="X123" s="63">
        <v>5423</v>
      </c>
      <c r="Y123" s="63">
        <v>5400</v>
      </c>
      <c r="Z123" s="63">
        <v>5376</v>
      </c>
      <c r="AA123" s="63">
        <v>5352</v>
      </c>
      <c r="AB123" s="63">
        <v>5328</v>
      </c>
      <c r="AC123" s="63">
        <v>5305</v>
      </c>
      <c r="AD123" s="63">
        <v>-5.2096509329098151E-3</v>
      </c>
    </row>
    <row r="124" spans="1:30" s="63" customFormat="1" ht="12" customHeight="1" x14ac:dyDescent="0.2">
      <c r="A124" s="73">
        <v>111</v>
      </c>
      <c r="B124" s="63" t="s">
        <v>1228</v>
      </c>
      <c r="C124" s="63" t="s">
        <v>131</v>
      </c>
      <c r="D124" s="63">
        <v>5404</v>
      </c>
      <c r="E124" s="63">
        <v>5271</v>
      </c>
      <c r="F124" s="63">
        <v>5249</v>
      </c>
      <c r="G124" s="63">
        <v>5228</v>
      </c>
      <c r="H124" s="63">
        <v>5207</v>
      </c>
      <c r="I124" s="63">
        <v>5185</v>
      </c>
      <c r="J124" s="63">
        <v>5164</v>
      </c>
      <c r="K124" s="63">
        <v>5142</v>
      </c>
      <c r="L124" s="63">
        <v>5121</v>
      </c>
      <c r="M124" s="63">
        <v>5100</v>
      </c>
      <c r="N124" s="63">
        <v>5078</v>
      </c>
      <c r="O124" s="63">
        <v>5057</v>
      </c>
      <c r="P124" s="63">
        <v>5035</v>
      </c>
      <c r="Q124" s="63">
        <v>5014</v>
      </c>
      <c r="R124" s="63">
        <v>4993</v>
      </c>
      <c r="S124" s="63">
        <v>4971</v>
      </c>
      <c r="T124" s="63">
        <v>4950</v>
      </c>
      <c r="U124" s="63">
        <v>4929</v>
      </c>
      <c r="V124" s="63">
        <v>4907</v>
      </c>
      <c r="W124" s="63">
        <v>4886</v>
      </c>
      <c r="X124" s="63">
        <v>4865</v>
      </c>
      <c r="Y124" s="63">
        <v>4843</v>
      </c>
      <c r="Z124" s="63">
        <v>4822</v>
      </c>
      <c r="AA124" s="63">
        <v>4801</v>
      </c>
      <c r="AB124" s="63">
        <v>4780</v>
      </c>
      <c r="AC124" s="63">
        <v>4758</v>
      </c>
      <c r="AD124" s="63">
        <v>-5.0795356335953112E-3</v>
      </c>
    </row>
    <row r="125" spans="1:30" s="63" customFormat="1" ht="12" customHeight="1" x14ac:dyDescent="0.2">
      <c r="A125" s="73">
        <v>112</v>
      </c>
      <c r="B125" s="63" t="s">
        <v>1229</v>
      </c>
      <c r="C125" s="63" t="s">
        <v>133</v>
      </c>
      <c r="D125" s="63">
        <v>5984</v>
      </c>
      <c r="E125" s="63">
        <v>5836</v>
      </c>
      <c r="F125" s="63">
        <v>5817</v>
      </c>
      <c r="G125" s="63">
        <v>5798</v>
      </c>
      <c r="H125" s="63">
        <v>5779</v>
      </c>
      <c r="I125" s="63">
        <v>5760</v>
      </c>
      <c r="J125" s="63">
        <v>5741</v>
      </c>
      <c r="K125" s="63">
        <v>5722</v>
      </c>
      <c r="L125" s="63">
        <v>5703</v>
      </c>
      <c r="M125" s="63">
        <v>5683</v>
      </c>
      <c r="N125" s="63">
        <v>5664</v>
      </c>
      <c r="O125" s="63">
        <v>5645</v>
      </c>
      <c r="P125" s="63">
        <v>5626</v>
      </c>
      <c r="Q125" s="63">
        <v>5607</v>
      </c>
      <c r="R125" s="63">
        <v>5588</v>
      </c>
      <c r="S125" s="63">
        <v>5569</v>
      </c>
      <c r="T125" s="63">
        <v>5549</v>
      </c>
      <c r="U125" s="63">
        <v>5530</v>
      </c>
      <c r="V125" s="63">
        <v>5511</v>
      </c>
      <c r="W125" s="63">
        <v>5492</v>
      </c>
      <c r="X125" s="63">
        <v>5473</v>
      </c>
      <c r="Y125" s="63">
        <v>5453</v>
      </c>
      <c r="Z125" s="63">
        <v>5434</v>
      </c>
      <c r="AA125" s="63">
        <v>5415</v>
      </c>
      <c r="AB125" s="63">
        <v>5396</v>
      </c>
      <c r="AC125" s="63">
        <v>5377</v>
      </c>
      <c r="AD125" s="63">
        <v>-4.2692066307929988E-3</v>
      </c>
    </row>
    <row r="126" spans="1:30" s="63" customFormat="1" ht="12" customHeight="1" x14ac:dyDescent="0.2">
      <c r="A126" s="73">
        <v>113</v>
      </c>
      <c r="B126" s="63" t="s">
        <v>1230</v>
      </c>
      <c r="C126" s="63" t="s">
        <v>135</v>
      </c>
      <c r="D126" s="63">
        <v>6267</v>
      </c>
      <c r="E126" s="63">
        <v>6263</v>
      </c>
      <c r="F126" s="63">
        <v>6251</v>
      </c>
      <c r="G126" s="63">
        <v>6239</v>
      </c>
      <c r="H126" s="63">
        <v>6227</v>
      </c>
      <c r="I126" s="63">
        <v>6215</v>
      </c>
      <c r="J126" s="63">
        <v>6203</v>
      </c>
      <c r="K126" s="63">
        <v>6191</v>
      </c>
      <c r="L126" s="63">
        <v>6178</v>
      </c>
      <c r="M126" s="63">
        <v>6166</v>
      </c>
      <c r="N126" s="63">
        <v>6153</v>
      </c>
      <c r="O126" s="63">
        <v>6141</v>
      </c>
      <c r="P126" s="63">
        <v>6128</v>
      </c>
      <c r="Q126" s="63">
        <v>6116</v>
      </c>
      <c r="R126" s="63">
        <v>6103</v>
      </c>
      <c r="S126" s="63">
        <v>6091</v>
      </c>
      <c r="T126" s="63">
        <v>6078</v>
      </c>
      <c r="U126" s="63">
        <v>6066</v>
      </c>
      <c r="V126" s="63">
        <v>6053</v>
      </c>
      <c r="W126" s="63">
        <v>6040</v>
      </c>
      <c r="X126" s="63">
        <v>6028</v>
      </c>
      <c r="Y126" s="63">
        <v>6015</v>
      </c>
      <c r="Z126" s="63">
        <v>6002</v>
      </c>
      <c r="AA126" s="63">
        <v>5990</v>
      </c>
      <c r="AB126" s="63">
        <v>5977</v>
      </c>
      <c r="AC126" s="63">
        <v>5964</v>
      </c>
      <c r="AD126" s="63">
        <v>-1.980291603725814E-3</v>
      </c>
    </row>
    <row r="127" spans="1:30" s="63" customFormat="1" ht="12" customHeight="1" x14ac:dyDescent="0.2">
      <c r="A127" s="73">
        <v>114</v>
      </c>
      <c r="B127" s="63" t="s">
        <v>1231</v>
      </c>
      <c r="C127" s="63" t="s">
        <v>137</v>
      </c>
      <c r="D127" s="63">
        <v>2431</v>
      </c>
      <c r="E127" s="63">
        <v>2296</v>
      </c>
      <c r="F127" s="63">
        <v>2280</v>
      </c>
      <c r="G127" s="63">
        <v>2263</v>
      </c>
      <c r="H127" s="63">
        <v>2245</v>
      </c>
      <c r="I127" s="63">
        <v>2228</v>
      </c>
      <c r="J127" s="63">
        <v>2210</v>
      </c>
      <c r="K127" s="63">
        <v>2192</v>
      </c>
      <c r="L127" s="63">
        <v>2175</v>
      </c>
      <c r="M127" s="63">
        <v>2157</v>
      </c>
      <c r="N127" s="63">
        <v>2139</v>
      </c>
      <c r="O127" s="63">
        <v>2122</v>
      </c>
      <c r="P127" s="63">
        <v>2104</v>
      </c>
      <c r="Q127" s="63">
        <v>2087</v>
      </c>
      <c r="R127" s="63">
        <v>2069</v>
      </c>
      <c r="S127" s="63">
        <v>2052</v>
      </c>
      <c r="T127" s="63">
        <v>2034</v>
      </c>
      <c r="U127" s="63">
        <v>2017</v>
      </c>
      <c r="V127" s="63">
        <v>2000</v>
      </c>
      <c r="W127" s="63">
        <v>1982</v>
      </c>
      <c r="X127" s="63">
        <v>1965</v>
      </c>
      <c r="Y127" s="63">
        <v>1948</v>
      </c>
      <c r="Z127" s="63">
        <v>1930</v>
      </c>
      <c r="AA127" s="63">
        <v>1913</v>
      </c>
      <c r="AB127" s="63">
        <v>1896</v>
      </c>
      <c r="AC127" s="63">
        <v>1879</v>
      </c>
      <c r="AD127" s="63">
        <v>-1.024962983363786E-2</v>
      </c>
    </row>
    <row r="128" spans="1:30" s="63" customFormat="1" ht="12" customHeight="1" x14ac:dyDescent="0.2">
      <c r="A128" s="73">
        <v>115</v>
      </c>
      <c r="B128" s="63" t="s">
        <v>1232</v>
      </c>
      <c r="C128" s="63" t="s">
        <v>139</v>
      </c>
      <c r="D128" s="63">
        <v>3231</v>
      </c>
      <c r="E128" s="63">
        <v>3099</v>
      </c>
      <c r="F128" s="63">
        <v>3084</v>
      </c>
      <c r="G128" s="63">
        <v>3069</v>
      </c>
      <c r="H128" s="63">
        <v>3053</v>
      </c>
      <c r="I128" s="63">
        <v>3038</v>
      </c>
      <c r="J128" s="63">
        <v>3023</v>
      </c>
      <c r="K128" s="63">
        <v>3008</v>
      </c>
      <c r="L128" s="63">
        <v>2992</v>
      </c>
      <c r="M128" s="63">
        <v>2977</v>
      </c>
      <c r="N128" s="63">
        <v>2961</v>
      </c>
      <c r="O128" s="63">
        <v>2946</v>
      </c>
      <c r="P128" s="63">
        <v>2930</v>
      </c>
      <c r="Q128" s="63">
        <v>2915</v>
      </c>
      <c r="R128" s="63">
        <v>2900</v>
      </c>
      <c r="S128" s="63">
        <v>2884</v>
      </c>
      <c r="T128" s="63">
        <v>2869</v>
      </c>
      <c r="U128" s="63">
        <v>2853</v>
      </c>
      <c r="V128" s="63">
        <v>2838</v>
      </c>
      <c r="W128" s="63">
        <v>2822</v>
      </c>
      <c r="X128" s="63">
        <v>2807</v>
      </c>
      <c r="Y128" s="63">
        <v>2791</v>
      </c>
      <c r="Z128" s="63">
        <v>2776</v>
      </c>
      <c r="AA128" s="63">
        <v>2760</v>
      </c>
      <c r="AB128" s="63">
        <v>2745</v>
      </c>
      <c r="AC128" s="63">
        <v>2730</v>
      </c>
      <c r="AD128" s="63">
        <v>-6.7169429162804439E-3</v>
      </c>
    </row>
    <row r="129" spans="1:30" s="63" customFormat="1" ht="12" customHeight="1" x14ac:dyDescent="0.2">
      <c r="A129" s="73">
        <v>116</v>
      </c>
      <c r="B129" s="63" t="s">
        <v>1233</v>
      </c>
      <c r="C129" s="63" t="s">
        <v>141</v>
      </c>
      <c r="D129" s="63">
        <v>1966</v>
      </c>
      <c r="E129" s="63">
        <v>1889</v>
      </c>
      <c r="F129" s="63">
        <v>1880</v>
      </c>
      <c r="G129" s="63">
        <v>1870</v>
      </c>
      <c r="H129" s="63">
        <v>1860</v>
      </c>
      <c r="I129" s="63">
        <v>1851</v>
      </c>
      <c r="J129" s="63">
        <v>1841</v>
      </c>
      <c r="K129" s="63">
        <v>1831</v>
      </c>
      <c r="L129" s="63">
        <v>1822</v>
      </c>
      <c r="M129" s="63">
        <v>1812</v>
      </c>
      <c r="N129" s="63">
        <v>1803</v>
      </c>
      <c r="O129" s="63">
        <v>1793</v>
      </c>
      <c r="P129" s="63">
        <v>1784</v>
      </c>
      <c r="Q129" s="63">
        <v>1774</v>
      </c>
      <c r="R129" s="63">
        <v>1765</v>
      </c>
      <c r="S129" s="63">
        <v>1756</v>
      </c>
      <c r="T129" s="63">
        <v>1746</v>
      </c>
      <c r="U129" s="63">
        <v>1737</v>
      </c>
      <c r="V129" s="63">
        <v>1728</v>
      </c>
      <c r="W129" s="63">
        <v>1718</v>
      </c>
      <c r="X129" s="63">
        <v>1709</v>
      </c>
      <c r="Y129" s="63">
        <v>1700</v>
      </c>
      <c r="Z129" s="63">
        <v>1690</v>
      </c>
      <c r="AA129" s="63">
        <v>1681</v>
      </c>
      <c r="AB129" s="63">
        <v>1672</v>
      </c>
      <c r="AC129" s="63">
        <v>1663</v>
      </c>
      <c r="AD129" s="63">
        <v>-6.6727505264080333E-3</v>
      </c>
    </row>
    <row r="130" spans="1:30" s="63" customFormat="1" ht="12" customHeight="1" x14ac:dyDescent="0.2">
      <c r="A130" s="73">
        <v>117</v>
      </c>
      <c r="B130" s="63" t="s">
        <v>1234</v>
      </c>
      <c r="C130" s="63" t="s">
        <v>143</v>
      </c>
      <c r="D130" s="63">
        <v>4734</v>
      </c>
      <c r="E130" s="63">
        <v>4833</v>
      </c>
      <c r="F130" s="63">
        <v>4825</v>
      </c>
      <c r="G130" s="63">
        <v>4816</v>
      </c>
      <c r="H130" s="63">
        <v>4807</v>
      </c>
      <c r="I130" s="63">
        <v>4799</v>
      </c>
      <c r="J130" s="63">
        <v>4790</v>
      </c>
      <c r="K130" s="63">
        <v>4782</v>
      </c>
      <c r="L130" s="63">
        <v>4774</v>
      </c>
      <c r="M130" s="63">
        <v>4766</v>
      </c>
      <c r="N130" s="63">
        <v>4758</v>
      </c>
      <c r="O130" s="63">
        <v>4750</v>
      </c>
      <c r="P130" s="63">
        <v>4742</v>
      </c>
      <c r="Q130" s="63">
        <v>4734</v>
      </c>
      <c r="R130" s="63">
        <v>4726</v>
      </c>
      <c r="S130" s="63">
        <v>4718</v>
      </c>
      <c r="T130" s="63">
        <v>4710</v>
      </c>
      <c r="U130" s="63">
        <v>4702</v>
      </c>
      <c r="V130" s="63">
        <v>4694</v>
      </c>
      <c r="W130" s="63">
        <v>4687</v>
      </c>
      <c r="X130" s="63">
        <v>4679</v>
      </c>
      <c r="Y130" s="63">
        <v>4671</v>
      </c>
      <c r="Z130" s="63">
        <v>4664</v>
      </c>
      <c r="AA130" s="63">
        <v>4656</v>
      </c>
      <c r="AB130" s="63">
        <v>4648</v>
      </c>
      <c r="AC130" s="63">
        <v>4641</v>
      </c>
      <c r="AD130" s="63">
        <v>-7.9331119546310891E-4</v>
      </c>
    </row>
    <row r="131" spans="1:30" s="63" customFormat="1" ht="12" customHeight="1" x14ac:dyDescent="0.2">
      <c r="A131" s="73">
        <v>118</v>
      </c>
      <c r="B131" s="63" t="s">
        <v>1235</v>
      </c>
      <c r="C131" s="63" t="s">
        <v>145</v>
      </c>
      <c r="D131" s="63">
        <v>3251</v>
      </c>
      <c r="E131" s="63">
        <v>3291</v>
      </c>
      <c r="F131" s="63">
        <v>3285</v>
      </c>
      <c r="G131" s="63">
        <v>3279</v>
      </c>
      <c r="H131" s="63">
        <v>3272</v>
      </c>
      <c r="I131" s="63">
        <v>3266</v>
      </c>
      <c r="J131" s="63">
        <v>3259</v>
      </c>
      <c r="K131" s="63">
        <v>3252</v>
      </c>
      <c r="L131" s="63">
        <v>3245</v>
      </c>
      <c r="M131" s="63">
        <v>3238</v>
      </c>
      <c r="N131" s="63">
        <v>3231</v>
      </c>
      <c r="O131" s="63">
        <v>3224</v>
      </c>
      <c r="P131" s="63">
        <v>3216</v>
      </c>
      <c r="Q131" s="63">
        <v>3209</v>
      </c>
      <c r="R131" s="63">
        <v>3202</v>
      </c>
      <c r="S131" s="63">
        <v>3195</v>
      </c>
      <c r="T131" s="63">
        <v>3187</v>
      </c>
      <c r="U131" s="63">
        <v>3180</v>
      </c>
      <c r="V131" s="63">
        <v>3173</v>
      </c>
      <c r="W131" s="63">
        <v>3165</v>
      </c>
      <c r="X131" s="63">
        <v>3158</v>
      </c>
      <c r="Y131" s="63">
        <v>3151</v>
      </c>
      <c r="Z131" s="63">
        <v>3143</v>
      </c>
      <c r="AA131" s="63">
        <v>3136</v>
      </c>
      <c r="AB131" s="63">
        <v>3129</v>
      </c>
      <c r="AC131" s="63">
        <v>3122</v>
      </c>
      <c r="AD131" s="63">
        <v>-1.61824200126981E-3</v>
      </c>
    </row>
    <row r="132" spans="1:30" s="68" customFormat="1" ht="12" customHeight="1" x14ac:dyDescent="0.2">
      <c r="A132" s="73">
        <v>119</v>
      </c>
      <c r="B132" s="68" t="s">
        <v>1236</v>
      </c>
      <c r="C132" s="68" t="s">
        <v>147</v>
      </c>
      <c r="D132" s="68">
        <v>3989.572265625</v>
      </c>
      <c r="E132" s="68">
        <v>3910.10595703125</v>
      </c>
      <c r="F132" s="68">
        <v>3891.6015625</v>
      </c>
      <c r="G132" s="68">
        <v>3872.8251953125</v>
      </c>
      <c r="H132" s="68">
        <v>3853.715576171875</v>
      </c>
      <c r="I132" s="68">
        <v>3835.1279296875</v>
      </c>
      <c r="J132" s="68">
        <v>3816.111328125</v>
      </c>
      <c r="K132" s="68">
        <v>3797.1376953125</v>
      </c>
      <c r="L132" s="68">
        <v>3778.5009765625</v>
      </c>
      <c r="M132" s="68">
        <v>3759.552734375</v>
      </c>
      <c r="N132" s="68">
        <v>3740.7109375</v>
      </c>
      <c r="O132" s="68">
        <v>3722.160888671875</v>
      </c>
      <c r="P132" s="68">
        <v>3703.157470703125</v>
      </c>
      <c r="Q132" s="68">
        <v>3684.65234375</v>
      </c>
      <c r="R132" s="68">
        <v>3666.06494140625</v>
      </c>
      <c r="S132" s="68">
        <v>3647.55615234375</v>
      </c>
      <c r="T132" s="68">
        <v>3628.5244140625</v>
      </c>
      <c r="U132" s="68">
        <v>3610.19921875</v>
      </c>
      <c r="V132" s="68">
        <v>3591.732177734375</v>
      </c>
      <c r="W132" s="68">
        <v>3572.9052734375</v>
      </c>
      <c r="X132" s="68">
        <v>3554.652587890625</v>
      </c>
      <c r="Y132" s="68">
        <v>3536.15771484375</v>
      </c>
      <c r="Z132" s="68">
        <v>3517.5849609375</v>
      </c>
      <c r="AA132" s="68">
        <v>3499.5966796875</v>
      </c>
      <c r="AB132" s="68">
        <v>3481.78857421875</v>
      </c>
      <c r="AC132" s="68">
        <v>3464.1162109375</v>
      </c>
      <c r="AD132" s="68">
        <v>-5.6331334759734952E-3</v>
      </c>
    </row>
    <row r="133" spans="1:30" s="65" customFormat="1" ht="12" customHeight="1" x14ac:dyDescent="0.2">
      <c r="A133" s="73">
        <v>120</v>
      </c>
    </row>
    <row r="134" spans="1:30" s="67" customFormat="1" ht="12" customHeight="1" x14ac:dyDescent="0.2">
      <c r="A134" s="73">
        <v>121</v>
      </c>
      <c r="C134" s="67" t="s">
        <v>148</v>
      </c>
    </row>
    <row r="135" spans="1:30" s="63" customFormat="1" ht="12" customHeight="1" x14ac:dyDescent="0.2">
      <c r="A135" s="73">
        <v>122</v>
      </c>
      <c r="B135" s="63" t="s">
        <v>1237</v>
      </c>
      <c r="C135" s="63" t="s">
        <v>129</v>
      </c>
      <c r="D135" s="63">
        <v>530</v>
      </c>
      <c r="E135" s="63">
        <v>626</v>
      </c>
      <c r="F135" s="63">
        <v>633</v>
      </c>
      <c r="G135" s="63">
        <v>640</v>
      </c>
      <c r="H135" s="63">
        <v>647</v>
      </c>
      <c r="I135" s="63">
        <v>654</v>
      </c>
      <c r="J135" s="63">
        <v>662</v>
      </c>
      <c r="K135" s="63">
        <v>669</v>
      </c>
      <c r="L135" s="63">
        <v>676</v>
      </c>
      <c r="M135" s="63">
        <v>683</v>
      </c>
      <c r="N135" s="63">
        <v>690</v>
      </c>
      <c r="O135" s="63">
        <v>697</v>
      </c>
      <c r="P135" s="63">
        <v>704</v>
      </c>
      <c r="Q135" s="63">
        <v>712</v>
      </c>
      <c r="R135" s="63">
        <v>719</v>
      </c>
      <c r="S135" s="63">
        <v>726</v>
      </c>
      <c r="T135" s="63">
        <v>733</v>
      </c>
      <c r="U135" s="63">
        <v>740</v>
      </c>
      <c r="V135" s="63">
        <v>747</v>
      </c>
      <c r="W135" s="63">
        <v>754</v>
      </c>
      <c r="X135" s="63">
        <v>761</v>
      </c>
      <c r="Y135" s="63">
        <v>769</v>
      </c>
      <c r="Z135" s="63">
        <v>776</v>
      </c>
      <c r="AA135" s="63">
        <v>783</v>
      </c>
      <c r="AB135" s="63">
        <v>790</v>
      </c>
      <c r="AC135" s="63">
        <v>797</v>
      </c>
      <c r="AD135" s="63">
        <v>1.6452990811785199E-2</v>
      </c>
    </row>
    <row r="136" spans="1:30" s="63" customFormat="1" ht="12" customHeight="1" x14ac:dyDescent="0.2">
      <c r="A136" s="73">
        <v>123</v>
      </c>
      <c r="B136" s="63" t="s">
        <v>1238</v>
      </c>
      <c r="C136" s="63" t="s">
        <v>131</v>
      </c>
      <c r="D136" s="63">
        <v>766</v>
      </c>
      <c r="E136" s="63">
        <v>858</v>
      </c>
      <c r="F136" s="63">
        <v>866</v>
      </c>
      <c r="G136" s="63">
        <v>874</v>
      </c>
      <c r="H136" s="63">
        <v>883</v>
      </c>
      <c r="I136" s="63">
        <v>891</v>
      </c>
      <c r="J136" s="63">
        <v>899</v>
      </c>
      <c r="K136" s="63">
        <v>907</v>
      </c>
      <c r="L136" s="63">
        <v>915</v>
      </c>
      <c r="M136" s="63">
        <v>923</v>
      </c>
      <c r="N136" s="63">
        <v>932</v>
      </c>
      <c r="O136" s="63">
        <v>940</v>
      </c>
      <c r="P136" s="63">
        <v>948</v>
      </c>
      <c r="Q136" s="63">
        <v>956</v>
      </c>
      <c r="R136" s="63">
        <v>964</v>
      </c>
      <c r="S136" s="63">
        <v>973</v>
      </c>
      <c r="T136" s="63">
        <v>981</v>
      </c>
      <c r="U136" s="63">
        <v>989</v>
      </c>
      <c r="V136" s="63">
        <v>997</v>
      </c>
      <c r="W136" s="63">
        <v>1005</v>
      </c>
      <c r="X136" s="63">
        <v>1014</v>
      </c>
      <c r="Y136" s="63">
        <v>1022</v>
      </c>
      <c r="Z136" s="63">
        <v>1030</v>
      </c>
      <c r="AA136" s="63">
        <v>1038</v>
      </c>
      <c r="AB136" s="63">
        <v>1046</v>
      </c>
      <c r="AC136" s="63">
        <v>1055</v>
      </c>
      <c r="AD136" s="63">
        <v>1.2886884383320311E-2</v>
      </c>
    </row>
    <row r="137" spans="1:30" s="63" customFormat="1" ht="12" customHeight="1" x14ac:dyDescent="0.2">
      <c r="A137" s="73">
        <v>124</v>
      </c>
      <c r="B137" s="63" t="s">
        <v>1239</v>
      </c>
      <c r="C137" s="63" t="s">
        <v>133</v>
      </c>
      <c r="D137" s="63">
        <v>873</v>
      </c>
      <c r="E137" s="63">
        <v>857</v>
      </c>
      <c r="F137" s="63">
        <v>862</v>
      </c>
      <c r="G137" s="63">
        <v>867</v>
      </c>
      <c r="H137" s="63">
        <v>871</v>
      </c>
      <c r="I137" s="63">
        <v>876</v>
      </c>
      <c r="J137" s="63">
        <v>881</v>
      </c>
      <c r="K137" s="63">
        <v>886</v>
      </c>
      <c r="L137" s="63">
        <v>890</v>
      </c>
      <c r="M137" s="63">
        <v>895</v>
      </c>
      <c r="N137" s="63">
        <v>900</v>
      </c>
      <c r="O137" s="63">
        <v>905</v>
      </c>
      <c r="P137" s="63">
        <v>909</v>
      </c>
      <c r="Q137" s="63">
        <v>914</v>
      </c>
      <c r="R137" s="63">
        <v>919</v>
      </c>
      <c r="S137" s="63">
        <v>924</v>
      </c>
      <c r="T137" s="63">
        <v>928</v>
      </c>
      <c r="U137" s="63">
        <v>933</v>
      </c>
      <c r="V137" s="63">
        <v>938</v>
      </c>
      <c r="W137" s="63">
        <v>943</v>
      </c>
      <c r="X137" s="63">
        <v>948</v>
      </c>
      <c r="Y137" s="63">
        <v>952</v>
      </c>
      <c r="Z137" s="63">
        <v>957</v>
      </c>
      <c r="AA137" s="63">
        <v>962</v>
      </c>
      <c r="AB137" s="63">
        <v>967</v>
      </c>
      <c r="AC137" s="63">
        <v>972</v>
      </c>
      <c r="AD137" s="63">
        <v>4.3060544685959989E-3</v>
      </c>
    </row>
    <row r="138" spans="1:30" s="63" customFormat="1" ht="12" customHeight="1" x14ac:dyDescent="0.2">
      <c r="A138" s="73">
        <v>125</v>
      </c>
      <c r="B138" s="63" t="s">
        <v>1240</v>
      </c>
      <c r="C138" s="63" t="s">
        <v>135</v>
      </c>
      <c r="D138" s="63">
        <v>1052</v>
      </c>
      <c r="E138" s="63">
        <v>1048</v>
      </c>
      <c r="F138" s="63">
        <v>1053</v>
      </c>
      <c r="G138" s="63">
        <v>1057</v>
      </c>
      <c r="H138" s="63">
        <v>1062</v>
      </c>
      <c r="I138" s="63">
        <v>1067</v>
      </c>
      <c r="J138" s="63">
        <v>1071</v>
      </c>
      <c r="K138" s="63">
        <v>1076</v>
      </c>
      <c r="L138" s="63">
        <v>1081</v>
      </c>
      <c r="M138" s="63">
        <v>1086</v>
      </c>
      <c r="N138" s="63">
        <v>1090</v>
      </c>
      <c r="O138" s="63">
        <v>1095</v>
      </c>
      <c r="P138" s="63">
        <v>1100</v>
      </c>
      <c r="Q138" s="63">
        <v>1105</v>
      </c>
      <c r="R138" s="63">
        <v>1109</v>
      </c>
      <c r="S138" s="63">
        <v>1114</v>
      </c>
      <c r="T138" s="63">
        <v>1119</v>
      </c>
      <c r="U138" s="63">
        <v>1124</v>
      </c>
      <c r="V138" s="63">
        <v>1129</v>
      </c>
      <c r="W138" s="63">
        <v>1133</v>
      </c>
      <c r="X138" s="63">
        <v>1138</v>
      </c>
      <c r="Y138" s="63">
        <v>1143</v>
      </c>
      <c r="Z138" s="63">
        <v>1148</v>
      </c>
      <c r="AA138" s="63">
        <v>1153</v>
      </c>
      <c r="AB138" s="63">
        <v>1158</v>
      </c>
      <c r="AC138" s="63">
        <v>1162</v>
      </c>
      <c r="AD138" s="63">
        <v>3.9859044359582541E-3</v>
      </c>
    </row>
    <row r="139" spans="1:30" s="63" customFormat="1" ht="12" customHeight="1" x14ac:dyDescent="0.2">
      <c r="A139" s="73">
        <v>126</v>
      </c>
      <c r="B139" s="63" t="s">
        <v>1241</v>
      </c>
      <c r="C139" s="63" t="s">
        <v>137</v>
      </c>
      <c r="D139" s="63">
        <v>2319</v>
      </c>
      <c r="E139" s="63">
        <v>2427</v>
      </c>
      <c r="F139" s="63">
        <v>2442</v>
      </c>
      <c r="G139" s="63">
        <v>2458</v>
      </c>
      <c r="H139" s="63">
        <v>2473</v>
      </c>
      <c r="I139" s="63">
        <v>2489</v>
      </c>
      <c r="J139" s="63">
        <v>2505</v>
      </c>
      <c r="K139" s="63">
        <v>2522</v>
      </c>
      <c r="L139" s="63">
        <v>2538</v>
      </c>
      <c r="M139" s="63">
        <v>2554</v>
      </c>
      <c r="N139" s="63">
        <v>2570</v>
      </c>
      <c r="O139" s="63">
        <v>2586</v>
      </c>
      <c r="P139" s="63">
        <v>2603</v>
      </c>
      <c r="Q139" s="63">
        <v>2619</v>
      </c>
      <c r="R139" s="63">
        <v>2635</v>
      </c>
      <c r="S139" s="63">
        <v>2652</v>
      </c>
      <c r="T139" s="63">
        <v>2668</v>
      </c>
      <c r="U139" s="63">
        <v>2684</v>
      </c>
      <c r="V139" s="63">
        <v>2701</v>
      </c>
      <c r="W139" s="63">
        <v>2717</v>
      </c>
      <c r="X139" s="63">
        <v>2734</v>
      </c>
      <c r="Y139" s="63">
        <v>2750</v>
      </c>
      <c r="Z139" s="63">
        <v>2767</v>
      </c>
      <c r="AA139" s="63">
        <v>2783</v>
      </c>
      <c r="AB139" s="63">
        <v>2800</v>
      </c>
      <c r="AC139" s="63">
        <v>2816</v>
      </c>
      <c r="AD139" s="63">
        <v>7.7974985795448148E-3</v>
      </c>
    </row>
    <row r="140" spans="1:30" s="63" customFormat="1" ht="12" customHeight="1" x14ac:dyDescent="0.2">
      <c r="A140" s="73">
        <v>127</v>
      </c>
      <c r="B140" s="63" t="s">
        <v>1242</v>
      </c>
      <c r="C140" s="63" t="s">
        <v>139</v>
      </c>
      <c r="D140" s="63">
        <v>1790</v>
      </c>
      <c r="E140" s="63">
        <v>1783</v>
      </c>
      <c r="F140" s="63">
        <v>1790</v>
      </c>
      <c r="G140" s="63">
        <v>1797</v>
      </c>
      <c r="H140" s="63">
        <v>1804</v>
      </c>
      <c r="I140" s="63">
        <v>1811</v>
      </c>
      <c r="J140" s="63">
        <v>1819</v>
      </c>
      <c r="K140" s="63">
        <v>1826</v>
      </c>
      <c r="L140" s="63">
        <v>1833</v>
      </c>
      <c r="M140" s="63">
        <v>1840</v>
      </c>
      <c r="N140" s="63">
        <v>1847</v>
      </c>
      <c r="O140" s="63">
        <v>1854</v>
      </c>
      <c r="P140" s="63">
        <v>1862</v>
      </c>
      <c r="Q140" s="63">
        <v>1869</v>
      </c>
      <c r="R140" s="63">
        <v>1876</v>
      </c>
      <c r="S140" s="63">
        <v>1883</v>
      </c>
      <c r="T140" s="63">
        <v>1890</v>
      </c>
      <c r="U140" s="63">
        <v>1898</v>
      </c>
      <c r="V140" s="63">
        <v>1905</v>
      </c>
      <c r="W140" s="63">
        <v>1912</v>
      </c>
      <c r="X140" s="63">
        <v>1919</v>
      </c>
      <c r="Y140" s="63">
        <v>1926</v>
      </c>
      <c r="Z140" s="63">
        <v>1934</v>
      </c>
      <c r="AA140" s="63">
        <v>1941</v>
      </c>
      <c r="AB140" s="63">
        <v>1948</v>
      </c>
      <c r="AC140" s="63">
        <v>1955</v>
      </c>
      <c r="AD140" s="63">
        <v>3.533210066561487E-3</v>
      </c>
    </row>
    <row r="141" spans="1:30" s="63" customFormat="1" ht="12" customHeight="1" x14ac:dyDescent="0.2">
      <c r="A141" s="73">
        <v>128</v>
      </c>
      <c r="B141" s="63" t="s">
        <v>1243</v>
      </c>
      <c r="C141" s="63" t="s">
        <v>141</v>
      </c>
      <c r="D141" s="63">
        <v>2916</v>
      </c>
      <c r="E141" s="63">
        <v>2946</v>
      </c>
      <c r="F141" s="63">
        <v>2961</v>
      </c>
      <c r="G141" s="63">
        <v>2976</v>
      </c>
      <c r="H141" s="63">
        <v>2990</v>
      </c>
      <c r="I141" s="63">
        <v>3005</v>
      </c>
      <c r="J141" s="63">
        <v>3020</v>
      </c>
      <c r="K141" s="63">
        <v>3035</v>
      </c>
      <c r="L141" s="63">
        <v>3049</v>
      </c>
      <c r="M141" s="63">
        <v>3064</v>
      </c>
      <c r="N141" s="63">
        <v>3079</v>
      </c>
      <c r="O141" s="63">
        <v>3093</v>
      </c>
      <c r="P141" s="63">
        <v>3108</v>
      </c>
      <c r="Q141" s="63">
        <v>3123</v>
      </c>
      <c r="R141" s="63">
        <v>3138</v>
      </c>
      <c r="S141" s="63">
        <v>3152</v>
      </c>
      <c r="T141" s="63">
        <v>3167</v>
      </c>
      <c r="U141" s="63">
        <v>3182</v>
      </c>
      <c r="V141" s="63">
        <v>3197</v>
      </c>
      <c r="W141" s="63">
        <v>3211</v>
      </c>
      <c r="X141" s="63">
        <v>3226</v>
      </c>
      <c r="Y141" s="63">
        <v>3241</v>
      </c>
      <c r="Z141" s="63">
        <v>3255</v>
      </c>
      <c r="AA141" s="63">
        <v>3270</v>
      </c>
      <c r="AB141" s="63">
        <v>3285</v>
      </c>
      <c r="AC141" s="63">
        <v>3299</v>
      </c>
      <c r="AD141" s="63">
        <v>4.9484665423147334E-3</v>
      </c>
    </row>
    <row r="142" spans="1:30" s="63" customFormat="1" ht="12" customHeight="1" x14ac:dyDescent="0.2">
      <c r="A142" s="73">
        <v>129</v>
      </c>
      <c r="B142" s="63" t="s">
        <v>1244</v>
      </c>
      <c r="C142" s="63" t="s">
        <v>143</v>
      </c>
      <c r="D142" s="63">
        <v>1515</v>
      </c>
      <c r="E142" s="63">
        <v>1608</v>
      </c>
      <c r="F142" s="63">
        <v>1617</v>
      </c>
      <c r="G142" s="63">
        <v>1627</v>
      </c>
      <c r="H142" s="63">
        <v>1636</v>
      </c>
      <c r="I142" s="63">
        <v>1645</v>
      </c>
      <c r="J142" s="63">
        <v>1655</v>
      </c>
      <c r="K142" s="63">
        <v>1664</v>
      </c>
      <c r="L142" s="63">
        <v>1673</v>
      </c>
      <c r="M142" s="63">
        <v>1682</v>
      </c>
      <c r="N142" s="63">
        <v>1691</v>
      </c>
      <c r="O142" s="63">
        <v>1701</v>
      </c>
      <c r="P142" s="63">
        <v>1710</v>
      </c>
      <c r="Q142" s="63">
        <v>1719</v>
      </c>
      <c r="R142" s="63">
        <v>1728</v>
      </c>
      <c r="S142" s="63">
        <v>1737</v>
      </c>
      <c r="T142" s="63">
        <v>1746</v>
      </c>
      <c r="U142" s="63">
        <v>1755</v>
      </c>
      <c r="V142" s="63">
        <v>1764</v>
      </c>
      <c r="W142" s="63">
        <v>1773</v>
      </c>
      <c r="X142" s="63">
        <v>1782</v>
      </c>
      <c r="Y142" s="63">
        <v>1791</v>
      </c>
      <c r="Z142" s="63">
        <v>1800</v>
      </c>
      <c r="AA142" s="63">
        <v>1809</v>
      </c>
      <c r="AB142" s="63">
        <v>1818</v>
      </c>
      <c r="AC142" s="63">
        <v>1827</v>
      </c>
      <c r="AD142" s="63">
        <v>7.5185167090765503E-3</v>
      </c>
    </row>
    <row r="143" spans="1:30" s="63" customFormat="1" ht="12" customHeight="1" x14ac:dyDescent="0.2">
      <c r="A143" s="73">
        <v>130</v>
      </c>
      <c r="B143" s="63" t="s">
        <v>1245</v>
      </c>
      <c r="C143" s="63" t="s">
        <v>145</v>
      </c>
      <c r="D143" s="63">
        <v>887</v>
      </c>
      <c r="E143" s="63">
        <v>1040</v>
      </c>
      <c r="F143" s="63">
        <v>1049</v>
      </c>
      <c r="G143" s="63">
        <v>1058</v>
      </c>
      <c r="H143" s="63">
        <v>1067</v>
      </c>
      <c r="I143" s="63">
        <v>1076</v>
      </c>
      <c r="J143" s="63">
        <v>1085</v>
      </c>
      <c r="K143" s="63">
        <v>1094</v>
      </c>
      <c r="L143" s="63">
        <v>1103</v>
      </c>
      <c r="M143" s="63">
        <v>1112</v>
      </c>
      <c r="N143" s="63">
        <v>1121</v>
      </c>
      <c r="O143" s="63">
        <v>1131</v>
      </c>
      <c r="P143" s="63">
        <v>1140</v>
      </c>
      <c r="Q143" s="63">
        <v>1149</v>
      </c>
      <c r="R143" s="63">
        <v>1158</v>
      </c>
      <c r="S143" s="63">
        <v>1167</v>
      </c>
      <c r="T143" s="63">
        <v>1177</v>
      </c>
      <c r="U143" s="63">
        <v>1186</v>
      </c>
      <c r="V143" s="63">
        <v>1195</v>
      </c>
      <c r="W143" s="63">
        <v>1204</v>
      </c>
      <c r="X143" s="63">
        <v>1213</v>
      </c>
      <c r="Y143" s="63">
        <v>1223</v>
      </c>
      <c r="Z143" s="63">
        <v>1232</v>
      </c>
      <c r="AA143" s="63">
        <v>1241</v>
      </c>
      <c r="AB143" s="63">
        <v>1250</v>
      </c>
      <c r="AC143" s="63">
        <v>1259</v>
      </c>
      <c r="AD143" s="63">
        <v>1.4107709657196651E-2</v>
      </c>
    </row>
    <row r="144" spans="1:30" s="68" customFormat="1" ht="12" customHeight="1" x14ac:dyDescent="0.2">
      <c r="A144" s="73">
        <v>131</v>
      </c>
      <c r="B144" s="68" t="s">
        <v>1246</v>
      </c>
      <c r="C144" s="68" t="s">
        <v>147</v>
      </c>
      <c r="D144" s="68">
        <v>1516.423583984375</v>
      </c>
      <c r="E144" s="68">
        <v>1589.852905273438</v>
      </c>
      <c r="F144" s="68">
        <v>1602.154052734375</v>
      </c>
      <c r="G144" s="68">
        <v>1614.68994140625</v>
      </c>
      <c r="H144" s="68">
        <v>1626.874267578125</v>
      </c>
      <c r="I144" s="68">
        <v>1639.42919921875</v>
      </c>
      <c r="J144" s="68">
        <v>1652.126586914062</v>
      </c>
      <c r="K144" s="68">
        <v>1664.94091796875</v>
      </c>
      <c r="L144" s="68">
        <v>1677.306884765625</v>
      </c>
      <c r="M144" s="68">
        <v>1689.963012695312</v>
      </c>
      <c r="N144" s="68">
        <v>1702.697631835938</v>
      </c>
      <c r="O144" s="68">
        <v>1715.52587890625</v>
      </c>
      <c r="P144" s="68">
        <v>1728.397705078125</v>
      </c>
      <c r="Q144" s="68">
        <v>1741.199096679688</v>
      </c>
      <c r="R144" s="68">
        <v>1753.922607421875</v>
      </c>
      <c r="S144" s="68">
        <v>1766.92138671875</v>
      </c>
      <c r="T144" s="68">
        <v>1779.796142578125</v>
      </c>
      <c r="U144" s="68">
        <v>1792.711669921875</v>
      </c>
      <c r="V144" s="68">
        <v>1805.81201171875</v>
      </c>
      <c r="W144" s="68">
        <v>1818.522705078125</v>
      </c>
      <c r="X144" s="68">
        <v>1831.7783203125</v>
      </c>
      <c r="Y144" s="68">
        <v>1844.803100585938</v>
      </c>
      <c r="Z144" s="68">
        <v>1857.8740234375</v>
      </c>
      <c r="AA144" s="68">
        <v>1870.785278320312</v>
      </c>
      <c r="AB144" s="68">
        <v>1883.8203125</v>
      </c>
      <c r="AC144" s="68">
        <v>1896.469848632812</v>
      </c>
      <c r="AD144" s="68">
        <v>8.9857123444541109E-3</v>
      </c>
    </row>
    <row r="145" spans="1:30" s="65" customFormat="1" ht="15.75" customHeight="1" thickBot="1" x14ac:dyDescent="0.3">
      <c r="A145" s="73"/>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c r="AA145" s="70"/>
      <c r="AB145" s="70"/>
      <c r="AC145" s="70"/>
      <c r="AD145" s="70"/>
    </row>
    <row r="146" spans="1:30" s="65" customFormat="1" ht="12.75" customHeight="1" thickTop="1" x14ac:dyDescent="0.2">
      <c r="A146" s="73"/>
      <c r="C146" s="65" t="s">
        <v>159</v>
      </c>
    </row>
    <row r="147" spans="1:30" s="65" customFormat="1" ht="12" customHeight="1" x14ac:dyDescent="0.2">
      <c r="A147" s="73"/>
      <c r="C147" s="65" t="s">
        <v>160</v>
      </c>
    </row>
    <row r="148" spans="1:30" s="65" customFormat="1" ht="12" customHeight="1" x14ac:dyDescent="0.2">
      <c r="A148" s="73"/>
      <c r="C148" s="65" t="s">
        <v>161</v>
      </c>
    </row>
    <row r="149" spans="1:30" s="65" customFormat="1" ht="12" customHeight="1" x14ac:dyDescent="0.2">
      <c r="A149" s="73"/>
      <c r="C149" s="65" t="s">
        <v>1247</v>
      </c>
    </row>
    <row r="150" spans="1:30" s="65" customFormat="1" ht="12" customHeight="1" x14ac:dyDescent="0.2">
      <c r="A150" s="73"/>
      <c r="C150" s="65" t="s">
        <v>166</v>
      </c>
    </row>
    <row r="151" spans="1:30" s="65" customFormat="1" ht="12" customHeight="1" x14ac:dyDescent="0.2">
      <c r="A151" s="73"/>
      <c r="C151" s="65" t="s">
        <v>1248</v>
      </c>
    </row>
    <row r="152" spans="1:30" s="65" customFormat="1" ht="12" customHeight="1" x14ac:dyDescent="0.2">
      <c r="A152" s="73"/>
      <c r="C152" s="65" t="s">
        <v>1249</v>
      </c>
    </row>
    <row r="153" spans="1:30" s="65" customFormat="1" ht="12" customHeight="1" x14ac:dyDescent="0.2">
      <c r="A153" s="73"/>
      <c r="C153" s="65" t="s">
        <v>1250</v>
      </c>
    </row>
    <row r="154" spans="1:30" s="65" customFormat="1" ht="12" customHeight="1" x14ac:dyDescent="0.2">
      <c r="A154" s="73"/>
      <c r="C154" s="65" t="s">
        <v>1251</v>
      </c>
    </row>
    <row r="155" spans="1:30" s="65" customFormat="1" ht="12" customHeight="1" x14ac:dyDescent="0.2">
      <c r="A155" s="73"/>
      <c r="C155" s="65" t="s">
        <v>1252</v>
      </c>
    </row>
    <row r="156" spans="1:30" s="65" customFormat="1" ht="12" customHeight="1" x14ac:dyDescent="0.2">
      <c r="A156" s="73"/>
      <c r="C156" s="65" t="s">
        <v>1253</v>
      </c>
    </row>
    <row r="157" spans="1:30" s="65" customFormat="1" ht="12" customHeight="1" x14ac:dyDescent="0.2">
      <c r="A157" s="73"/>
      <c r="C157" s="65" t="s">
        <v>1254</v>
      </c>
    </row>
    <row r="158" spans="1:30" s="65" customFormat="1" ht="12" customHeight="1" x14ac:dyDescent="0.2">
      <c r="A158" s="73"/>
      <c r="C158" s="65" t="s">
        <v>1255</v>
      </c>
    </row>
    <row r="159" spans="1:30" s="65" customFormat="1" ht="12" customHeight="1" x14ac:dyDescent="0.2">
      <c r="A159" s="73"/>
      <c r="C159" s="65" t="s">
        <v>177</v>
      </c>
    </row>
    <row r="160" spans="1:30" s="65" customFormat="1" ht="12" customHeight="1" x14ac:dyDescent="0.2">
      <c r="A160" s="73"/>
      <c r="C160" s="65" t="s">
        <v>1256</v>
      </c>
    </row>
    <row r="161" spans="1:3" s="65" customFormat="1" ht="12" customHeight="1" x14ac:dyDescent="0.2">
      <c r="A161" s="73"/>
      <c r="C161" s="65" t="s">
        <v>1257</v>
      </c>
    </row>
    <row r="162" spans="1:3" s="65" customFormat="1" ht="12" customHeight="1" x14ac:dyDescent="0.2">
      <c r="A162" s="73"/>
      <c r="C162" s="65" t="s">
        <v>1258</v>
      </c>
    </row>
    <row r="163" spans="1:3" s="65" customFormat="1" ht="12" customHeight="1" x14ac:dyDescent="0.2">
      <c r="A163" s="73"/>
      <c r="C163" s="65" t="s">
        <v>1259</v>
      </c>
    </row>
    <row r="164" spans="1:3" s="65" customFormat="1" ht="12" customHeight="1" x14ac:dyDescent="0.2">
      <c r="A164" s="73"/>
      <c r="C164" s="65" t="s">
        <v>1260</v>
      </c>
    </row>
    <row r="165" spans="1:3" s="65" customFormat="1" ht="12" customHeight="1" x14ac:dyDescent="0.2">
      <c r="A165" s="73"/>
      <c r="C165" s="65" t="s">
        <v>1261</v>
      </c>
    </row>
    <row r="166" spans="1:3" s="65" customFormat="1" ht="12" customHeight="1" x14ac:dyDescent="0.2">
      <c r="A166" s="73"/>
      <c r="C166" s="65" t="s">
        <v>1262</v>
      </c>
    </row>
    <row r="167" spans="1:3" s="65" customFormat="1" ht="12" customHeight="1" x14ac:dyDescent="0.2">
      <c r="A167" s="73"/>
      <c r="C167" s="65" t="s">
        <v>1263</v>
      </c>
    </row>
    <row r="168" spans="1:3" s="65" customFormat="1" ht="12" customHeight="1" x14ac:dyDescent="0.2">
      <c r="A168" s="73"/>
      <c r="C168" s="65" t="s">
        <v>1264</v>
      </c>
    </row>
    <row r="169" spans="1:3" s="65" customFormat="1" ht="12" customHeight="1" x14ac:dyDescent="0.2">
      <c r="A169" s="73"/>
      <c r="C169" s="65" t="s">
        <v>1265</v>
      </c>
    </row>
    <row r="170" spans="1:3" s="65" customFormat="1" ht="12" customHeight="1" x14ac:dyDescent="0.2">
      <c r="A170" s="73"/>
      <c r="C170" s="65" t="s">
        <v>1266</v>
      </c>
    </row>
    <row r="171" spans="1:3" s="65" customFormat="1" ht="12" customHeight="1" x14ac:dyDescent="0.2">
      <c r="A171" s="73"/>
      <c r="C171" s="65" t="s">
        <v>1267</v>
      </c>
    </row>
    <row r="172" spans="1:3" s="65" customFormat="1" ht="12" customHeight="1" x14ac:dyDescent="0.2">
      <c r="A172" s="73"/>
      <c r="C172" s="65" t="s">
        <v>189</v>
      </c>
    </row>
    <row r="173" spans="1:3" s="65" customFormat="1" ht="12" customHeight="1" x14ac:dyDescent="0.2">
      <c r="A173" s="73"/>
      <c r="C173" s="65" t="s">
        <v>1268</v>
      </c>
    </row>
    <row r="174" spans="1:3" s="65" customFormat="1" ht="12" customHeight="1" x14ac:dyDescent="0.2">
      <c r="A174" s="73"/>
      <c r="C174" s="65" t="s">
        <v>190</v>
      </c>
    </row>
  </sheetData>
  <conditionalFormatting sqref="B10:AD10">
    <cfRule type="notContainsBlanks" dxfId="60" priority="5">
      <formula>LEN(TRIM(B10))&gt;0</formula>
    </cfRule>
  </conditionalFormatting>
  <conditionalFormatting sqref="AD1">
    <cfRule type="notContainsBlanks" dxfId="59" priority="1">
      <formula>LEN(TRIM(AD1))&gt;0</formula>
    </cfRule>
  </conditionalFormatting>
  <conditionalFormatting sqref="AD2:AD6">
    <cfRule type="notContainsBlanks" dxfId="58" priority="2">
      <formula>LEN(TRIM(AD2))&gt;0</formula>
    </cfRule>
  </conditionalFormatting>
  <conditionalFormatting sqref="AD7">
    <cfRule type="notContainsBlanks" dxfId="57" priority="3">
      <formula>LEN(TRIM(AD7))&gt;0</formula>
    </cfRule>
  </conditionalFormatting>
  <conditionalFormatting sqref="AD8:AD9">
    <cfRule type="notContainsBlanks" dxfId="56" priority="4">
      <formula>LEN(TRIM(AD8))&gt;0</formula>
    </cfRule>
  </conditionalFormatting>
  <conditionalFormatting sqref="AD10">
    <cfRule type="notContainsBlanks" dxfId="55" priority="6">
      <formula>LEN(TRIM(AD10))&gt;0</formula>
    </cfRule>
  </conditionalFormatting>
  <conditionalFormatting sqref="AD11">
    <cfRule type="notContainsBlanks" dxfId="54" priority="7">
      <formula>LEN(TRIM(AD11))&gt;0</formula>
    </cfRule>
  </conditionalFormatting>
  <conditionalFormatting sqref="AD12:AD13">
    <cfRule type="notContainsBlanks" dxfId="53" priority="8">
      <formula>LEN(TRIM(AD12))&gt;0</formula>
    </cfRule>
  </conditionalFormatting>
  <conditionalFormatting sqref="AD14:AD16">
    <cfRule type="notContainsBlanks" dxfId="52" priority="9">
      <formula>LEN(TRIM(AD14))&gt;0</formula>
    </cfRule>
  </conditionalFormatting>
  <conditionalFormatting sqref="AD17">
    <cfRule type="notContainsBlanks" dxfId="51" priority="10">
      <formula>LEN(TRIM(AD17))&gt;0</formula>
    </cfRule>
  </conditionalFormatting>
  <conditionalFormatting sqref="AD18">
    <cfRule type="notContainsBlanks" dxfId="50" priority="11">
      <formula>LEN(TRIM(AD18))&gt;0</formula>
    </cfRule>
  </conditionalFormatting>
  <conditionalFormatting sqref="AD19">
    <cfRule type="notContainsBlanks" dxfId="49" priority="12">
      <formula>LEN(TRIM(AD19))&gt;0</formula>
    </cfRule>
  </conditionalFormatting>
  <conditionalFormatting sqref="AD20">
    <cfRule type="notContainsBlanks" dxfId="48" priority="13">
      <formula>LEN(TRIM(AD20))&gt;0</formula>
    </cfRule>
  </conditionalFormatting>
  <conditionalFormatting sqref="AD21:AD22">
    <cfRule type="notContainsBlanks" dxfId="47" priority="14">
      <formula>LEN(TRIM(AD21))&gt;0</formula>
    </cfRule>
  </conditionalFormatting>
  <conditionalFormatting sqref="AD23:AD24">
    <cfRule type="notContainsBlanks" dxfId="46" priority="15">
      <formula>LEN(TRIM(AD23))&gt;0</formula>
    </cfRule>
  </conditionalFormatting>
  <conditionalFormatting sqref="AD25">
    <cfRule type="notContainsBlanks" dxfId="45" priority="16">
      <formula>LEN(TRIM(AD25))&gt;0</formula>
    </cfRule>
  </conditionalFormatting>
  <conditionalFormatting sqref="AD26:AD28">
    <cfRule type="notContainsBlanks" dxfId="44" priority="17">
      <formula>LEN(TRIM(AD26))&gt;0</formula>
    </cfRule>
  </conditionalFormatting>
  <conditionalFormatting sqref="AD29:AD30">
    <cfRule type="notContainsBlanks" dxfId="43" priority="18">
      <formula>LEN(TRIM(AD29))&gt;0</formula>
    </cfRule>
  </conditionalFormatting>
  <conditionalFormatting sqref="AD31:AD44">
    <cfRule type="notContainsBlanks" dxfId="42" priority="19">
      <formula>LEN(TRIM(AD31))&gt;0</formula>
    </cfRule>
  </conditionalFormatting>
  <conditionalFormatting sqref="AD45">
    <cfRule type="notContainsBlanks" dxfId="41" priority="20">
      <formula>LEN(TRIM(AD45))&gt;0</formula>
    </cfRule>
  </conditionalFormatting>
  <conditionalFormatting sqref="AD46:AD47">
    <cfRule type="notContainsBlanks" dxfId="40" priority="21">
      <formula>LEN(TRIM(AD46))&gt;0</formula>
    </cfRule>
  </conditionalFormatting>
  <conditionalFormatting sqref="AD48">
    <cfRule type="notContainsBlanks" dxfId="39" priority="22">
      <formula>LEN(TRIM(AD48))&gt;0</formula>
    </cfRule>
  </conditionalFormatting>
  <conditionalFormatting sqref="AD49">
    <cfRule type="notContainsBlanks" dxfId="38" priority="23">
      <formula>LEN(TRIM(AD49))&gt;0</formula>
    </cfRule>
  </conditionalFormatting>
  <conditionalFormatting sqref="AD50">
    <cfRule type="notContainsBlanks" dxfId="37" priority="24">
      <formula>LEN(TRIM(AD50))&gt;0</formula>
    </cfRule>
  </conditionalFormatting>
  <conditionalFormatting sqref="AD51:AD56">
    <cfRule type="notContainsBlanks" dxfId="36" priority="25">
      <formula>LEN(TRIM(AD51))&gt;0</formula>
    </cfRule>
  </conditionalFormatting>
  <conditionalFormatting sqref="AD57">
    <cfRule type="notContainsBlanks" dxfId="35" priority="26">
      <formula>LEN(TRIM(AD57))&gt;0</formula>
    </cfRule>
  </conditionalFormatting>
  <conditionalFormatting sqref="AD58">
    <cfRule type="notContainsBlanks" dxfId="34" priority="27">
      <formula>LEN(TRIM(AD58))&gt;0</formula>
    </cfRule>
  </conditionalFormatting>
  <conditionalFormatting sqref="AD59">
    <cfRule type="notContainsBlanks" dxfId="33" priority="28">
      <formula>LEN(TRIM(AD59))&gt;0</formula>
    </cfRule>
  </conditionalFormatting>
  <conditionalFormatting sqref="AD60:AD62">
    <cfRule type="notContainsBlanks" dxfId="32" priority="29">
      <formula>LEN(TRIM(AD60))&gt;0</formula>
    </cfRule>
  </conditionalFormatting>
  <conditionalFormatting sqref="AD63">
    <cfRule type="notContainsBlanks" dxfId="31" priority="30">
      <formula>LEN(TRIM(AD63))&gt;0</formula>
    </cfRule>
  </conditionalFormatting>
  <conditionalFormatting sqref="AD64">
    <cfRule type="notContainsBlanks" dxfId="30" priority="31">
      <formula>LEN(TRIM(AD64))&gt;0</formula>
    </cfRule>
  </conditionalFormatting>
  <conditionalFormatting sqref="AD65">
    <cfRule type="notContainsBlanks" dxfId="29" priority="32">
      <formula>LEN(TRIM(AD65))&gt;0</formula>
    </cfRule>
  </conditionalFormatting>
  <conditionalFormatting sqref="AD66:AD69">
    <cfRule type="notContainsBlanks" dxfId="28" priority="33">
      <formula>LEN(TRIM(AD66))&gt;0</formula>
    </cfRule>
  </conditionalFormatting>
  <conditionalFormatting sqref="AD70">
    <cfRule type="notContainsBlanks" dxfId="27" priority="34">
      <formula>LEN(TRIM(AD70))&gt;0</formula>
    </cfRule>
  </conditionalFormatting>
  <conditionalFormatting sqref="AD71:AD73">
    <cfRule type="notContainsBlanks" dxfId="26" priority="35">
      <formula>LEN(TRIM(AD71))&gt;0</formula>
    </cfRule>
  </conditionalFormatting>
  <conditionalFormatting sqref="AD74">
    <cfRule type="notContainsBlanks" dxfId="25" priority="36">
      <formula>LEN(TRIM(AD74))&gt;0</formula>
    </cfRule>
  </conditionalFormatting>
  <conditionalFormatting sqref="AD75:AD88">
    <cfRule type="notContainsBlanks" dxfId="24" priority="37">
      <formula>LEN(TRIM(AD75))&gt;0</formula>
    </cfRule>
  </conditionalFormatting>
  <conditionalFormatting sqref="AD89">
    <cfRule type="notContainsBlanks" dxfId="23" priority="38">
      <formula>LEN(TRIM(AD89))&gt;0</formula>
    </cfRule>
  </conditionalFormatting>
  <conditionalFormatting sqref="AD90:AD91">
    <cfRule type="notContainsBlanks" dxfId="22" priority="39">
      <formula>LEN(TRIM(AD90))&gt;0</formula>
    </cfRule>
  </conditionalFormatting>
  <conditionalFormatting sqref="AD92">
    <cfRule type="notContainsBlanks" dxfId="21" priority="40">
      <formula>LEN(TRIM(AD92))&gt;0</formula>
    </cfRule>
  </conditionalFormatting>
  <conditionalFormatting sqref="AD93">
    <cfRule type="notContainsBlanks" dxfId="20" priority="41">
      <formula>LEN(TRIM(AD93))&gt;0</formula>
    </cfRule>
  </conditionalFormatting>
  <conditionalFormatting sqref="AD94">
    <cfRule type="notContainsBlanks" dxfId="19" priority="42">
      <formula>LEN(TRIM(AD94))&gt;0</formula>
    </cfRule>
  </conditionalFormatting>
  <conditionalFormatting sqref="AD95">
    <cfRule type="notContainsBlanks" dxfId="18" priority="43">
      <formula>LEN(TRIM(AD95))&gt;0</formula>
    </cfRule>
  </conditionalFormatting>
  <conditionalFormatting sqref="AD96">
    <cfRule type="notContainsBlanks" dxfId="17" priority="44">
      <formula>LEN(TRIM(AD96))&gt;0</formula>
    </cfRule>
  </conditionalFormatting>
  <conditionalFormatting sqref="AD97:AD110">
    <cfRule type="notContainsBlanks" dxfId="16" priority="45">
      <formula>LEN(TRIM(AD97))&gt;0</formula>
    </cfRule>
  </conditionalFormatting>
  <conditionalFormatting sqref="AD111">
    <cfRule type="notContainsBlanks" dxfId="15" priority="46">
      <formula>LEN(TRIM(AD111))&gt;0</formula>
    </cfRule>
  </conditionalFormatting>
  <conditionalFormatting sqref="AD112:AD113">
    <cfRule type="notContainsBlanks" dxfId="14" priority="47">
      <formula>LEN(TRIM(AD112))&gt;0</formula>
    </cfRule>
  </conditionalFormatting>
  <conditionalFormatting sqref="AD114">
    <cfRule type="notContainsBlanks" dxfId="13" priority="48">
      <formula>LEN(TRIM(AD114))&gt;0</formula>
    </cfRule>
  </conditionalFormatting>
  <conditionalFormatting sqref="AD115">
    <cfRule type="notContainsBlanks" dxfId="12" priority="49">
      <formula>LEN(TRIM(AD115))&gt;0</formula>
    </cfRule>
  </conditionalFormatting>
  <conditionalFormatting sqref="AD116">
    <cfRule type="notContainsBlanks" dxfId="11" priority="50">
      <formula>LEN(TRIM(AD116))&gt;0</formula>
    </cfRule>
  </conditionalFormatting>
  <conditionalFormatting sqref="AD117:AD119">
    <cfRule type="notContainsBlanks" dxfId="10" priority="51">
      <formula>LEN(TRIM(AD117))&gt;0</formula>
    </cfRule>
  </conditionalFormatting>
  <conditionalFormatting sqref="AD120">
    <cfRule type="notContainsBlanks" dxfId="9" priority="52">
      <formula>LEN(TRIM(AD120))&gt;0</formula>
    </cfRule>
  </conditionalFormatting>
  <conditionalFormatting sqref="AD121">
    <cfRule type="notContainsBlanks" dxfId="8" priority="53">
      <formula>LEN(TRIM(AD121))&gt;0</formula>
    </cfRule>
  </conditionalFormatting>
  <conditionalFormatting sqref="AD122">
    <cfRule type="notContainsBlanks" dxfId="7" priority="54">
      <formula>LEN(TRIM(AD122))&gt;0</formula>
    </cfRule>
  </conditionalFormatting>
  <conditionalFormatting sqref="AD123:AD131">
    <cfRule type="notContainsBlanks" dxfId="6" priority="55">
      <formula>LEN(TRIM(AD123))&gt;0</formula>
    </cfRule>
  </conditionalFormatting>
  <conditionalFormatting sqref="AD132">
    <cfRule type="notContainsBlanks" dxfId="5" priority="56">
      <formula>LEN(TRIM(AD132))&gt;0</formula>
    </cfRule>
  </conditionalFormatting>
  <conditionalFormatting sqref="AD133">
    <cfRule type="notContainsBlanks" dxfId="4" priority="57">
      <formula>LEN(TRIM(AD133))&gt;0</formula>
    </cfRule>
  </conditionalFormatting>
  <conditionalFormatting sqref="AD134">
    <cfRule type="notContainsBlanks" dxfId="3" priority="58">
      <formula>LEN(TRIM(AD134))&gt;0</formula>
    </cfRule>
  </conditionalFormatting>
  <conditionalFormatting sqref="AD135:AD143">
    <cfRule type="notContainsBlanks" dxfId="2" priority="59">
      <formula>LEN(TRIM(AD135))&gt;0</formula>
    </cfRule>
  </conditionalFormatting>
  <conditionalFormatting sqref="AD144">
    <cfRule type="notContainsBlanks" dxfId="1" priority="60">
      <formula>LEN(TRIM(AD144))&gt;0</formula>
    </cfRule>
  </conditionalFormatting>
  <conditionalFormatting sqref="AD145:AD174">
    <cfRule type="notContainsBlanks" dxfId="0" priority="61">
      <formula>LEN(TRIM(AD145))&gt;0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19" t="s">
        <v>1035</v>
      </c>
      <c r="B1" t="s">
        <v>1036</v>
      </c>
      <c r="C1" s="6">
        <v>3412000000000</v>
      </c>
    </row>
    <row r="2" spans="1:36" x14ac:dyDescent="0.25">
      <c r="A2" s="1" t="s">
        <v>1037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15" t="s">
        <v>1038</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25">
      <c r="A4" s="15" t="s">
        <v>1039</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2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25">
      <c r="A6" s="15" t="s">
        <v>1040</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2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2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25">
      <c r="C9" t="s">
        <v>1040</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22"/>
    </row>
    <row r="11" spans="1:36" x14ac:dyDescent="0.25">
      <c r="B11" s="22"/>
    </row>
    <row r="12" spans="1:36" x14ac:dyDescent="0.25">
      <c r="B12" s="23"/>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2"/>
  <sheetViews>
    <sheetView topLeftCell="A32" zoomScaleNormal="100" workbookViewId="0">
      <selection activeCell="G44" sqref="G44"/>
    </sheetView>
  </sheetViews>
  <sheetFormatPr defaultRowHeight="15" x14ac:dyDescent="0.25"/>
  <cols>
    <col min="1" max="1" width="34.28515625" customWidth="1"/>
    <col min="2" max="2" width="26.42578125" hidden="1" customWidth="1"/>
    <col min="3" max="3" width="11.5703125" hidden="1" customWidth="1"/>
    <col min="4" max="4" width="19.140625" hidden="1" customWidth="1"/>
    <col min="5" max="5" width="12.140625" hidden="1" customWidth="1"/>
    <col min="6" max="6" width="10.85546875" style="44" hidden="1" customWidth="1"/>
    <col min="7" max="32" width="10.85546875" customWidth="1"/>
  </cols>
  <sheetData>
    <row r="1" spans="1:32" x14ac:dyDescent="0.25">
      <c r="A1" s="54" t="s">
        <v>1041</v>
      </c>
      <c r="B1" s="54" t="s">
        <v>1042</v>
      </c>
      <c r="C1" s="54" t="s">
        <v>1041</v>
      </c>
      <c r="D1" s="54" t="s">
        <v>1043</v>
      </c>
      <c r="E1" s="54" t="s">
        <v>1044</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25">
      <c r="A2" s="45" t="s">
        <v>1045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25">
      <c r="A3" t="s">
        <v>444</v>
      </c>
      <c r="B3" t="str">
        <f t="shared" ref="B3:B37" si="0">C3&amp;"-"&amp;D3&amp;"-"&amp;E3</f>
        <v>residential-heating-electricity (BTU)</v>
      </c>
      <c r="C3" t="s">
        <v>1046</v>
      </c>
      <c r="D3" t="s">
        <v>1047</v>
      </c>
      <c r="E3" s="1" t="s">
        <v>1048</v>
      </c>
      <c r="F3" s="44">
        <f>INDEX(Table_4._Residential_Sector_Key!$F$8:$AG$125,MATCH($A3,Table_4._Residential_Sector_Key!$B$8:$B$125,0),MATCH(F$1,Table_4._Residential_Sector_Key!$F$5:$AG$5,0))</f>
        <v>0.528061</v>
      </c>
      <c r="G3">
        <f>INDEX('AEO 2026 Table 4'!$D$14:$AC$144,18,MATCH(G$1,'AEO 2026 Table 4'!$D$10:$AC$10,0))</f>
        <v>0.59498688</v>
      </c>
      <c r="H3">
        <f>INDEX('AEO 2026 Table 4'!$D$14:$AC$144,18,MATCH(H$1,'AEO 2026 Table 4'!$D$10:$AC$10,0))</f>
        <v>0.56559097599999997</v>
      </c>
      <c r="I3">
        <f>INDEX('AEO 2026 Table 4'!$D$14:$AC$144,18,MATCH(I$1,'AEO 2026 Table 4'!$D$10:$AC$10,0))</f>
        <v>0.56616966400000002</v>
      </c>
      <c r="J3">
        <f>INDEX('AEO 2026 Table 4'!$D$14:$AC$144,18,MATCH(J$1,'AEO 2026 Table 4'!$D$10:$AC$10,0))</f>
        <v>0.56694950399999999</v>
      </c>
      <c r="K3">
        <f>INDEX('AEO 2026 Table 4'!$D$14:$AC$144,18,MATCH(K$1,'AEO 2026 Table 4'!$D$10:$AC$10,0))</f>
        <v>0.56581657600000002</v>
      </c>
      <c r="L3">
        <f>INDEX('AEO 2026 Table 4'!$D$14:$AC$144,18,MATCH(L$1,'AEO 2026 Table 4'!$D$10:$AC$10,0))</f>
        <v>0.56227513600000001</v>
      </c>
      <c r="M3">
        <f>INDEX('AEO 2026 Table 4'!$D$14:$AC$144,18,MATCH(M$1,'AEO 2026 Table 4'!$D$10:$AC$10,0))</f>
        <v>0.55764070399999999</v>
      </c>
      <c r="N3">
        <f>INDEX('AEO 2026 Table 4'!$D$14:$AC$144,18,MATCH(N$1,'AEO 2026 Table 4'!$D$10:$AC$10,0))</f>
        <v>0.55301900800000003</v>
      </c>
      <c r="O3">
        <f>INDEX('AEO 2026 Table 4'!$D$14:$AC$144,18,MATCH(O$1,'AEO 2026 Table 4'!$D$10:$AC$10,0))</f>
        <v>0.54866521599999996</v>
      </c>
      <c r="P3">
        <f>INDEX('AEO 2026 Table 4'!$D$14:$AC$144,18,MATCH(P$1,'AEO 2026 Table 4'!$D$10:$AC$10,0))</f>
        <v>0.54410111999999999</v>
      </c>
      <c r="Q3">
        <f>INDEX('AEO 2026 Table 4'!$D$14:$AC$144,18,MATCH(Q$1,'AEO 2026 Table 4'!$D$10:$AC$10,0))</f>
        <v>0.53962681599999995</v>
      </c>
      <c r="R3">
        <f>INDEX('AEO 2026 Table 4'!$D$14:$AC$144,18,MATCH(R$1,'AEO 2026 Table 4'!$D$10:$AC$10,0))</f>
        <v>0.53538271999999998</v>
      </c>
      <c r="S3">
        <f>INDEX('AEO 2026 Table 4'!$D$14:$AC$144,18,MATCH(S$1,'AEO 2026 Table 4'!$D$10:$AC$10,0))</f>
        <v>0.53084921600000001</v>
      </c>
      <c r="T3">
        <f>INDEX('AEO 2026 Table 4'!$D$14:$AC$144,18,MATCH(T$1,'AEO 2026 Table 4'!$D$10:$AC$10,0))</f>
        <v>0.52652697599999998</v>
      </c>
      <c r="U3">
        <f>INDEX('AEO 2026 Table 4'!$D$14:$AC$144,18,MATCH(U$1,'AEO 2026 Table 4'!$D$10:$AC$10,0))</f>
        <v>0.52204547199999995</v>
      </c>
      <c r="V3">
        <f>INDEX('AEO 2026 Table 4'!$D$14:$AC$144,18,MATCH(V$1,'AEO 2026 Table 4'!$D$10:$AC$10,0))</f>
        <v>0.51751654400000002</v>
      </c>
      <c r="W3">
        <f>INDEX('AEO 2026 Table 4'!$D$14:$AC$144,18,MATCH(W$1,'AEO 2026 Table 4'!$D$10:$AC$10,0))</f>
        <v>0.51278175999999998</v>
      </c>
      <c r="X3">
        <f>INDEX('AEO 2026 Table 4'!$D$14:$AC$144,18,MATCH(X$1,'AEO 2026 Table 4'!$D$10:$AC$10,0))</f>
        <v>0.50850748800000001</v>
      </c>
      <c r="Y3">
        <f>INDEX('AEO 2026 Table 4'!$D$14:$AC$144,18,MATCH(Y$1,'AEO 2026 Table 4'!$D$10:$AC$10,0))</f>
        <v>0.50438809600000001</v>
      </c>
      <c r="Z3">
        <f>INDEX('AEO 2026 Table 4'!$D$14:$AC$144,18,MATCH(Z$1,'AEO 2026 Table 4'!$D$10:$AC$10,0))</f>
        <v>0.50002620799999997</v>
      </c>
      <c r="AA3">
        <f>INDEX('AEO 2026 Table 4'!$D$14:$AC$144,18,MATCH(AA$1,'AEO 2026 Table 4'!$D$10:$AC$10,0))</f>
        <v>0.49595881600000002</v>
      </c>
      <c r="AB3">
        <f>INDEX('AEO 2026 Table 4'!$D$14:$AC$144,18,MATCH(AB$1,'AEO 2026 Table 4'!$D$10:$AC$10,0))</f>
        <v>0.49153852799999997</v>
      </c>
      <c r="AC3">
        <f>INDEX('AEO 2026 Table 4'!$D$14:$AC$144,18,MATCH(AC$1,'AEO 2026 Table 4'!$D$10:$AC$10,0))</f>
        <v>0.486659552</v>
      </c>
      <c r="AD3">
        <f>INDEX('AEO 2026 Table 4'!$D$14:$AC$144,18,MATCH(AD$1,'AEO 2026 Table 4'!$D$10:$AC$10,0))</f>
        <v>0.481831232</v>
      </c>
      <c r="AE3">
        <f>INDEX('AEO 2026 Table 4'!$D$14:$AC$144,18,MATCH(AE$1,'AEO 2026 Table 4'!$D$10:$AC$10,0))</f>
        <v>0.47719270400000002</v>
      </c>
      <c r="AF3">
        <f>INDEX('AEO 2026 Table 4'!$D$14:$AC$144,18,MATCH(AF$1,'AEO 2026 Table 4'!$D$10:$AC$10,0))</f>
        <v>0.47245900800000001</v>
      </c>
    </row>
    <row r="4" spans="1:32" x14ac:dyDescent="0.25">
      <c r="A4" t="s">
        <v>448</v>
      </c>
      <c r="B4" t="str">
        <f t="shared" si="0"/>
        <v>residential-cooling-electricity (BTU)</v>
      </c>
      <c r="C4" t="s">
        <v>1046</v>
      </c>
      <c r="D4" t="s">
        <v>1049</v>
      </c>
      <c r="E4" s="1" t="s">
        <v>1048</v>
      </c>
      <c r="F4" s="44">
        <f>INDEX(Table_4._Residential_Sector_Key!$F$8:$AG$125,MATCH($A4,Table_4._Residential_Sector_Key!$B$8:$B$125,0),MATCH(F$1,Table_4._Residential_Sector_Key!$F$5:$AG$5,0))</f>
        <v>0.997081</v>
      </c>
      <c r="G4">
        <f>INDEX('AEO 2026 Table 4'!$D$14:$AC$144,19,MATCH(G$1,'AEO 2026 Table 4'!$D$10:$AC$10,0))</f>
        <v>0.92457420800000001</v>
      </c>
      <c r="H4">
        <f>INDEX('AEO 2026 Table 4'!$D$14:$AC$144,19,MATCH(H$1,'AEO 2026 Table 4'!$D$10:$AC$10,0))</f>
        <v>0.98388595199999995</v>
      </c>
      <c r="I4">
        <f>INDEX('AEO 2026 Table 4'!$D$14:$AC$144,19,MATCH(I$1,'AEO 2026 Table 4'!$D$10:$AC$10,0))</f>
        <v>0.99778188800000001</v>
      </c>
      <c r="J4">
        <f>INDEX('AEO 2026 Table 4'!$D$14:$AC$144,19,MATCH(J$1,'AEO 2026 Table 4'!$D$10:$AC$10,0))</f>
        <v>1.011565056</v>
      </c>
      <c r="K4">
        <f>INDEX('AEO 2026 Table 4'!$D$14:$AC$144,19,MATCH(K$1,'AEO 2026 Table 4'!$D$10:$AC$10,0))</f>
        <v>1.022745472</v>
      </c>
      <c r="L4">
        <f>INDEX('AEO 2026 Table 4'!$D$14:$AC$144,19,MATCH(L$1,'AEO 2026 Table 4'!$D$10:$AC$10,0))</f>
        <v>1.0299940480000001</v>
      </c>
      <c r="M4">
        <f>INDEX('AEO 2026 Table 4'!$D$14:$AC$144,19,MATCH(M$1,'AEO 2026 Table 4'!$D$10:$AC$10,0))</f>
        <v>1.0365953919999999</v>
      </c>
      <c r="N4">
        <f>INDEX('AEO 2026 Table 4'!$D$14:$AC$144,19,MATCH(N$1,'AEO 2026 Table 4'!$D$10:$AC$10,0))</f>
        <v>1.0441312</v>
      </c>
      <c r="O4">
        <f>INDEX('AEO 2026 Table 4'!$D$14:$AC$144,19,MATCH(O$1,'AEO 2026 Table 4'!$D$10:$AC$10,0))</f>
        <v>1.0523892480000001</v>
      </c>
      <c r="P4">
        <f>INDEX('AEO 2026 Table 4'!$D$14:$AC$144,19,MATCH(P$1,'AEO 2026 Table 4'!$D$10:$AC$10,0))</f>
        <v>1.0619888639999999</v>
      </c>
      <c r="Q4">
        <f>INDEX('AEO 2026 Table 4'!$D$14:$AC$144,19,MATCH(Q$1,'AEO 2026 Table 4'!$D$10:$AC$10,0))</f>
        <v>1.07257216</v>
      </c>
      <c r="R4">
        <f>INDEX('AEO 2026 Table 4'!$D$14:$AC$144,19,MATCH(R$1,'AEO 2026 Table 4'!$D$10:$AC$10,0))</f>
        <v>1.084401792</v>
      </c>
      <c r="S4">
        <f>INDEX('AEO 2026 Table 4'!$D$14:$AC$144,19,MATCH(S$1,'AEO 2026 Table 4'!$D$10:$AC$10,0))</f>
        <v>1.097000448</v>
      </c>
      <c r="T4">
        <f>INDEX('AEO 2026 Table 4'!$D$14:$AC$144,19,MATCH(T$1,'AEO 2026 Table 4'!$D$10:$AC$10,0))</f>
        <v>1.1101196799999999</v>
      </c>
      <c r="U4">
        <f>INDEX('AEO 2026 Table 4'!$D$14:$AC$144,19,MATCH(U$1,'AEO 2026 Table 4'!$D$10:$AC$10,0))</f>
        <v>1.1235953919999999</v>
      </c>
      <c r="V4">
        <f>INDEX('AEO 2026 Table 4'!$D$14:$AC$144,19,MATCH(V$1,'AEO 2026 Table 4'!$D$10:$AC$10,0))</f>
        <v>1.1379557119999999</v>
      </c>
      <c r="W4">
        <f>INDEX('AEO 2026 Table 4'!$D$14:$AC$144,19,MATCH(W$1,'AEO 2026 Table 4'!$D$10:$AC$10,0))</f>
        <v>1.1531386880000001</v>
      </c>
      <c r="X4">
        <f>INDEX('AEO 2026 Table 4'!$D$14:$AC$144,19,MATCH(X$1,'AEO 2026 Table 4'!$D$10:$AC$10,0))</f>
        <v>1.17016448</v>
      </c>
      <c r="Y4">
        <f>INDEX('AEO 2026 Table 4'!$D$14:$AC$144,19,MATCH(Y$1,'AEO 2026 Table 4'!$D$10:$AC$10,0))</f>
        <v>1.188274432</v>
      </c>
      <c r="Z4">
        <f>INDEX('AEO 2026 Table 4'!$D$14:$AC$144,19,MATCH(Z$1,'AEO 2026 Table 4'!$D$10:$AC$10,0))</f>
        <v>1.206452096</v>
      </c>
      <c r="AA4">
        <f>INDEX('AEO 2026 Table 4'!$D$14:$AC$144,19,MATCH(AA$1,'AEO 2026 Table 4'!$D$10:$AC$10,0))</f>
        <v>1.2252771840000001</v>
      </c>
      <c r="AB4">
        <f>INDEX('AEO 2026 Table 4'!$D$14:$AC$144,19,MATCH(AB$1,'AEO 2026 Table 4'!$D$10:$AC$10,0))</f>
        <v>1.243111168</v>
      </c>
      <c r="AC4">
        <f>INDEX('AEO 2026 Table 4'!$D$14:$AC$144,19,MATCH(AC$1,'AEO 2026 Table 4'!$D$10:$AC$10,0))</f>
        <v>1.260267392</v>
      </c>
      <c r="AD4">
        <f>INDEX('AEO 2026 Table 4'!$D$14:$AC$144,19,MATCH(AD$1,'AEO 2026 Table 4'!$D$10:$AC$10,0))</f>
        <v>1.2769024</v>
      </c>
      <c r="AE4">
        <f>INDEX('AEO 2026 Table 4'!$D$14:$AC$144,19,MATCH(AE$1,'AEO 2026 Table 4'!$D$10:$AC$10,0))</f>
        <v>1.2942576640000001</v>
      </c>
      <c r="AF4">
        <f>INDEX('AEO 2026 Table 4'!$D$14:$AC$144,19,MATCH(AF$1,'AEO 2026 Table 4'!$D$10:$AC$10,0))</f>
        <v>1.3113802240000001</v>
      </c>
    </row>
    <row r="5" spans="1:32" x14ac:dyDescent="0.25">
      <c r="A5" t="s">
        <v>451</v>
      </c>
      <c r="B5" t="str">
        <f t="shared" si="0"/>
        <v>residential-appliances-electricity (BTU)</v>
      </c>
      <c r="C5" t="s">
        <v>1046</v>
      </c>
      <c r="D5" t="s">
        <v>1050</v>
      </c>
      <c r="E5" s="1" t="s">
        <v>1048</v>
      </c>
      <c r="F5" s="44">
        <f>INDEX(Table_4._Residential_Sector_Key!$F$8:$AG$125,MATCH($A5,Table_4._Residential_Sector_Key!$B$8:$B$125,0),MATCH(F$1,Table_4._Residential_Sector_Key!$F$5:$AG$5,0))</f>
        <v>0.47269299999999997</v>
      </c>
      <c r="G5">
        <f>INDEX('AEO 2026 Table 4'!$D$14:$AC$144,20,MATCH(G$1,'AEO 2026 Table 4'!$D$10:$AC$10,0))</f>
        <v>0.45252947199999999</v>
      </c>
      <c r="H5">
        <f>INDEX('AEO 2026 Table 4'!$D$14:$AC$144,20,MATCH(H$1,'AEO 2026 Table 4'!$D$10:$AC$10,0))</f>
        <v>0.44482867199999998</v>
      </c>
      <c r="I5">
        <f>INDEX('AEO 2026 Table 4'!$D$14:$AC$144,20,MATCH(I$1,'AEO 2026 Table 4'!$D$10:$AC$10,0))</f>
        <v>0.43924083200000003</v>
      </c>
      <c r="J5">
        <f>INDEX('AEO 2026 Table 4'!$D$14:$AC$144,20,MATCH(J$1,'AEO 2026 Table 4'!$D$10:$AC$10,0))</f>
        <v>0.43466864</v>
      </c>
      <c r="K5">
        <f>INDEX('AEO 2026 Table 4'!$D$14:$AC$144,20,MATCH(K$1,'AEO 2026 Table 4'!$D$10:$AC$10,0))</f>
        <v>0.41793100799999999</v>
      </c>
      <c r="L5">
        <f>INDEX('AEO 2026 Table 4'!$D$14:$AC$144,20,MATCH(L$1,'AEO 2026 Table 4'!$D$10:$AC$10,0))</f>
        <v>0.39681289600000003</v>
      </c>
      <c r="M5">
        <f>INDEX('AEO 2026 Table 4'!$D$14:$AC$144,20,MATCH(M$1,'AEO 2026 Table 4'!$D$10:$AC$10,0))</f>
        <v>0.37454972800000003</v>
      </c>
      <c r="N5">
        <f>INDEX('AEO 2026 Table 4'!$D$14:$AC$144,20,MATCH(N$1,'AEO 2026 Table 4'!$D$10:$AC$10,0))</f>
        <v>0.35388873599999998</v>
      </c>
      <c r="O5">
        <f>INDEX('AEO 2026 Table 4'!$D$14:$AC$144,20,MATCH(O$1,'AEO 2026 Table 4'!$D$10:$AC$10,0))</f>
        <v>0.334859456</v>
      </c>
      <c r="P5">
        <f>INDEX('AEO 2026 Table 4'!$D$14:$AC$144,20,MATCH(P$1,'AEO 2026 Table 4'!$D$10:$AC$10,0))</f>
        <v>0.31755040000000001</v>
      </c>
      <c r="Q5">
        <f>INDEX('AEO 2026 Table 4'!$D$14:$AC$144,20,MATCH(Q$1,'AEO 2026 Table 4'!$D$10:$AC$10,0))</f>
        <v>0.30188588799999999</v>
      </c>
      <c r="R5">
        <f>INDEX('AEO 2026 Table 4'!$D$14:$AC$144,20,MATCH(R$1,'AEO 2026 Table 4'!$D$10:$AC$10,0))</f>
        <v>0.28806668800000002</v>
      </c>
      <c r="S5">
        <f>INDEX('AEO 2026 Table 4'!$D$14:$AC$144,20,MATCH(S$1,'AEO 2026 Table 4'!$D$10:$AC$10,0))</f>
        <v>0.27600831999999997</v>
      </c>
      <c r="T5">
        <f>INDEX('AEO 2026 Table 4'!$D$14:$AC$144,20,MATCH(T$1,'AEO 2026 Table 4'!$D$10:$AC$10,0))</f>
        <v>0.26572577600000002</v>
      </c>
      <c r="U5">
        <f>INDEX('AEO 2026 Table 4'!$D$14:$AC$144,20,MATCH(U$1,'AEO 2026 Table 4'!$D$10:$AC$10,0))</f>
        <v>0.25716776000000002</v>
      </c>
      <c r="V5">
        <f>INDEX('AEO 2026 Table 4'!$D$14:$AC$144,20,MATCH(V$1,'AEO 2026 Table 4'!$D$10:$AC$10,0))</f>
        <v>0.25033508799999998</v>
      </c>
      <c r="W5">
        <f>INDEX('AEO 2026 Table 4'!$D$14:$AC$144,20,MATCH(W$1,'AEO 2026 Table 4'!$D$10:$AC$10,0))</f>
        <v>0.24518048000000001</v>
      </c>
      <c r="X5">
        <f>INDEX('AEO 2026 Table 4'!$D$14:$AC$144,20,MATCH(X$1,'AEO 2026 Table 4'!$D$10:$AC$10,0))</f>
        <v>0.241830352</v>
      </c>
      <c r="Y5">
        <f>INDEX('AEO 2026 Table 4'!$D$14:$AC$144,20,MATCH(Y$1,'AEO 2026 Table 4'!$D$10:$AC$10,0))</f>
        <v>0.24026312</v>
      </c>
      <c r="Z5">
        <f>INDEX('AEO 2026 Table 4'!$D$14:$AC$144,20,MATCH(Z$1,'AEO 2026 Table 4'!$D$10:$AC$10,0))</f>
        <v>0.23862364799999999</v>
      </c>
      <c r="AA5">
        <f>INDEX('AEO 2026 Table 4'!$D$14:$AC$144,20,MATCH(AA$1,'AEO 2026 Table 4'!$D$10:$AC$10,0))</f>
        <v>0.23698448</v>
      </c>
      <c r="AB5">
        <f>INDEX('AEO 2026 Table 4'!$D$14:$AC$144,20,MATCH(AB$1,'AEO 2026 Table 4'!$D$10:$AC$10,0))</f>
        <v>0.23524223999999999</v>
      </c>
      <c r="AC5">
        <f>INDEX('AEO 2026 Table 4'!$D$14:$AC$144,20,MATCH(AC$1,'AEO 2026 Table 4'!$D$10:$AC$10,0))</f>
        <v>0.23340683200000001</v>
      </c>
      <c r="AD5">
        <f>INDEX('AEO 2026 Table 4'!$D$14:$AC$144,20,MATCH(AD$1,'AEO 2026 Table 4'!$D$10:$AC$10,0))</f>
        <v>0.23158044799999999</v>
      </c>
      <c r="AE5">
        <f>INDEX('AEO 2026 Table 4'!$D$14:$AC$144,20,MATCH(AE$1,'AEO 2026 Table 4'!$D$10:$AC$10,0))</f>
        <v>0.22998131199999999</v>
      </c>
      <c r="AF5">
        <f>INDEX('AEO 2026 Table 4'!$D$14:$AC$144,20,MATCH(AF$1,'AEO 2026 Table 4'!$D$10:$AC$10,0))</f>
        <v>0.22855848000000001</v>
      </c>
    </row>
    <row r="6" spans="1:32" x14ac:dyDescent="0.25">
      <c r="A6" t="s">
        <v>454</v>
      </c>
      <c r="B6" t="str">
        <f t="shared" si="0"/>
        <v>residential-appliances-electricity (BTU)</v>
      </c>
      <c r="C6" t="s">
        <v>1046</v>
      </c>
      <c r="D6" t="s">
        <v>1050</v>
      </c>
      <c r="E6" s="1" t="s">
        <v>1048</v>
      </c>
      <c r="F6" s="44">
        <f>INDEX(Table_4._Residential_Sector_Key!$F$8:$AG$125,MATCH($A6,Table_4._Residential_Sector_Key!$B$8:$B$125,0),MATCH(F$1,Table_4._Residential_Sector_Key!$F$5:$AG$5,0))</f>
        <v>0.35147899999999999</v>
      </c>
      <c r="G6">
        <f>INDEX('AEO 2026 Table 4'!$D$14:$AC$144,21,MATCH(G$1,'AEO 2026 Table 4'!$D$10:$AC$10,0))</f>
        <v>0.34956310400000001</v>
      </c>
      <c r="H6">
        <f>INDEX('AEO 2026 Table 4'!$D$14:$AC$144,21,MATCH(H$1,'AEO 2026 Table 4'!$D$10:$AC$10,0))</f>
        <v>0.34852729599999999</v>
      </c>
      <c r="I6">
        <f>INDEX('AEO 2026 Table 4'!$D$14:$AC$144,21,MATCH(I$1,'AEO 2026 Table 4'!$D$10:$AC$10,0))</f>
        <v>0.34743289599999999</v>
      </c>
      <c r="J6">
        <f>INDEX('AEO 2026 Table 4'!$D$14:$AC$144,21,MATCH(J$1,'AEO 2026 Table 4'!$D$10:$AC$10,0))</f>
        <v>0.34620860799999997</v>
      </c>
      <c r="K6">
        <f>INDEX('AEO 2026 Table 4'!$D$14:$AC$144,21,MATCH(K$1,'AEO 2026 Table 4'!$D$10:$AC$10,0))</f>
        <v>0.34525900799999998</v>
      </c>
      <c r="L6">
        <f>INDEX('AEO 2026 Table 4'!$D$14:$AC$144,21,MATCH(L$1,'AEO 2026 Table 4'!$D$10:$AC$10,0))</f>
        <v>0.34202352000000003</v>
      </c>
      <c r="M6">
        <f>INDEX('AEO 2026 Table 4'!$D$14:$AC$144,21,MATCH(M$1,'AEO 2026 Table 4'!$D$10:$AC$10,0))</f>
        <v>0.33902982399999998</v>
      </c>
      <c r="N6">
        <f>INDEX('AEO 2026 Table 4'!$D$14:$AC$144,21,MATCH(N$1,'AEO 2026 Table 4'!$D$10:$AC$10,0))</f>
        <v>0.33630428800000001</v>
      </c>
      <c r="O6">
        <f>INDEX('AEO 2026 Table 4'!$D$14:$AC$144,21,MATCH(O$1,'AEO 2026 Table 4'!$D$10:$AC$10,0))</f>
        <v>0.33379897600000002</v>
      </c>
      <c r="P6">
        <f>INDEX('AEO 2026 Table 4'!$D$14:$AC$144,21,MATCH(P$1,'AEO 2026 Table 4'!$D$10:$AC$10,0))</f>
        <v>0.33146774400000001</v>
      </c>
      <c r="Q6">
        <f>INDEX('AEO 2026 Table 4'!$D$14:$AC$144,21,MATCH(Q$1,'AEO 2026 Table 4'!$D$10:$AC$10,0))</f>
        <v>0.32936582399999997</v>
      </c>
      <c r="R6">
        <f>INDEX('AEO 2026 Table 4'!$D$14:$AC$144,21,MATCH(R$1,'AEO 2026 Table 4'!$D$10:$AC$10,0))</f>
        <v>0.327653056</v>
      </c>
      <c r="S6">
        <f>INDEX('AEO 2026 Table 4'!$D$14:$AC$144,21,MATCH(S$1,'AEO 2026 Table 4'!$D$10:$AC$10,0))</f>
        <v>0.32634323199999998</v>
      </c>
      <c r="T6">
        <f>INDEX('AEO 2026 Table 4'!$D$14:$AC$144,21,MATCH(T$1,'AEO 2026 Table 4'!$D$10:$AC$10,0))</f>
        <v>0.32546067200000001</v>
      </c>
      <c r="U6">
        <f>INDEX('AEO 2026 Table 4'!$D$14:$AC$144,21,MATCH(U$1,'AEO 2026 Table 4'!$D$10:$AC$10,0))</f>
        <v>0.32498998400000001</v>
      </c>
      <c r="V6">
        <f>INDEX('AEO 2026 Table 4'!$D$14:$AC$144,21,MATCH(V$1,'AEO 2026 Table 4'!$D$10:$AC$10,0))</f>
        <v>0.32493840000000002</v>
      </c>
      <c r="W6">
        <f>INDEX('AEO 2026 Table 4'!$D$14:$AC$144,21,MATCH(W$1,'AEO 2026 Table 4'!$D$10:$AC$10,0))</f>
        <v>0.32529401600000002</v>
      </c>
      <c r="X6">
        <f>INDEX('AEO 2026 Table 4'!$D$14:$AC$144,21,MATCH(X$1,'AEO 2026 Table 4'!$D$10:$AC$10,0))</f>
        <v>0.32607193600000001</v>
      </c>
      <c r="Y6">
        <f>INDEX('AEO 2026 Table 4'!$D$14:$AC$144,21,MATCH(Y$1,'AEO 2026 Table 4'!$D$10:$AC$10,0))</f>
        <v>0.32728083200000002</v>
      </c>
      <c r="Z6">
        <f>INDEX('AEO 2026 Table 4'!$D$14:$AC$144,21,MATCH(Z$1,'AEO 2026 Table 4'!$D$10:$AC$10,0))</f>
        <v>0.32891251199999999</v>
      </c>
      <c r="AA6">
        <f>INDEX('AEO 2026 Table 4'!$D$14:$AC$144,21,MATCH(AA$1,'AEO 2026 Table 4'!$D$10:$AC$10,0))</f>
        <v>0.33105030400000002</v>
      </c>
      <c r="AB6">
        <f>INDEX('AEO 2026 Table 4'!$D$14:$AC$144,21,MATCH(AB$1,'AEO 2026 Table 4'!$D$10:$AC$10,0))</f>
        <v>0.33371427199999998</v>
      </c>
      <c r="AC6">
        <f>INDEX('AEO 2026 Table 4'!$D$14:$AC$144,21,MATCH(AC$1,'AEO 2026 Table 4'!$D$10:$AC$10,0))</f>
        <v>0.33686508799999998</v>
      </c>
      <c r="AD6">
        <f>INDEX('AEO 2026 Table 4'!$D$14:$AC$144,21,MATCH(AD$1,'AEO 2026 Table 4'!$D$10:$AC$10,0))</f>
        <v>0.34000607999999999</v>
      </c>
      <c r="AE6">
        <f>INDEX('AEO 2026 Table 4'!$D$14:$AC$144,21,MATCH(AE$1,'AEO 2026 Table 4'!$D$10:$AC$10,0))</f>
        <v>0.34312889600000002</v>
      </c>
      <c r="AF6">
        <f>INDEX('AEO 2026 Table 4'!$D$14:$AC$144,21,MATCH(AF$1,'AEO 2026 Table 4'!$D$10:$AC$10,0))</f>
        <v>0.34622892799999999</v>
      </c>
    </row>
    <row r="7" spans="1:32" x14ac:dyDescent="0.25">
      <c r="A7" t="s">
        <v>457</v>
      </c>
      <c r="B7" t="str">
        <f t="shared" si="0"/>
        <v>residential-appliances-electricity (BTU)</v>
      </c>
      <c r="C7" t="s">
        <v>1046</v>
      </c>
      <c r="D7" t="s">
        <v>1050</v>
      </c>
      <c r="E7" s="1" t="s">
        <v>1048</v>
      </c>
      <c r="F7" s="44">
        <f>INDEX(Table_4._Residential_Sector_Key!$F$8:$AG$125,MATCH($A7,Table_4._Residential_Sector_Key!$B$8:$B$125,0),MATCH(F$1,Table_4._Residential_Sector_Key!$F$5:$AG$5,0))</f>
        <v>6.7363999999999993E-2</v>
      </c>
      <c r="G7">
        <f>INDEX('AEO 2026 Table 4'!$D$14:$AC$144,22,MATCH(G$1,'AEO 2026 Table 4'!$D$10:$AC$10,0))</f>
        <v>6.8362144E-2</v>
      </c>
      <c r="H7">
        <f>INDEX('AEO 2026 Table 4'!$D$14:$AC$144,22,MATCH(H$1,'AEO 2026 Table 4'!$D$10:$AC$10,0))</f>
        <v>6.9241520000000001E-2</v>
      </c>
      <c r="I7">
        <f>INDEX('AEO 2026 Table 4'!$D$14:$AC$144,22,MATCH(I$1,'AEO 2026 Table 4'!$D$10:$AC$10,0))</f>
        <v>7.0149848000000001E-2</v>
      </c>
      <c r="J7">
        <f>INDEX('AEO 2026 Table 4'!$D$14:$AC$144,22,MATCH(J$1,'AEO 2026 Table 4'!$D$10:$AC$10,0))</f>
        <v>7.1052935999999997E-2</v>
      </c>
      <c r="K7">
        <f>INDEX('AEO 2026 Table 4'!$D$14:$AC$144,22,MATCH(K$1,'AEO 2026 Table 4'!$D$10:$AC$10,0))</f>
        <v>7.1960287999999997E-2</v>
      </c>
      <c r="L7">
        <f>INDEX('AEO 2026 Table 4'!$D$14:$AC$144,22,MATCH(L$1,'AEO 2026 Table 4'!$D$10:$AC$10,0))</f>
        <v>7.2859967999999997E-2</v>
      </c>
      <c r="M7">
        <f>INDEX('AEO 2026 Table 4'!$D$14:$AC$144,22,MATCH(M$1,'AEO 2026 Table 4'!$D$10:$AC$10,0))</f>
        <v>7.3769767999999999E-2</v>
      </c>
      <c r="N7">
        <f>INDEX('AEO 2026 Table 4'!$D$14:$AC$144,22,MATCH(N$1,'AEO 2026 Table 4'!$D$10:$AC$10,0))</f>
        <v>7.4686208000000004E-2</v>
      </c>
      <c r="O7">
        <f>INDEX('AEO 2026 Table 4'!$D$14:$AC$144,22,MATCH(O$1,'AEO 2026 Table 4'!$D$10:$AC$10,0))</f>
        <v>7.5595159999999995E-2</v>
      </c>
      <c r="P7">
        <f>INDEX('AEO 2026 Table 4'!$D$14:$AC$144,22,MATCH(P$1,'AEO 2026 Table 4'!$D$10:$AC$10,0))</f>
        <v>7.6502487999999993E-2</v>
      </c>
      <c r="Q7">
        <f>INDEX('AEO 2026 Table 4'!$D$14:$AC$144,22,MATCH(Q$1,'AEO 2026 Table 4'!$D$10:$AC$10,0))</f>
        <v>7.7414912000000002E-2</v>
      </c>
      <c r="R7">
        <f>INDEX('AEO 2026 Table 4'!$D$14:$AC$144,22,MATCH(R$1,'AEO 2026 Table 4'!$D$10:$AC$10,0))</f>
        <v>7.8332048000000001E-2</v>
      </c>
      <c r="S7">
        <f>INDEX('AEO 2026 Table 4'!$D$14:$AC$144,22,MATCH(S$1,'AEO 2026 Table 4'!$D$10:$AC$10,0))</f>
        <v>7.9236280000000006E-2</v>
      </c>
      <c r="T7">
        <f>INDEX('AEO 2026 Table 4'!$D$14:$AC$144,22,MATCH(T$1,'AEO 2026 Table 4'!$D$10:$AC$10,0))</f>
        <v>8.0074199999999998E-2</v>
      </c>
      <c r="U7">
        <f>INDEX('AEO 2026 Table 4'!$D$14:$AC$144,22,MATCH(U$1,'AEO 2026 Table 4'!$D$10:$AC$10,0))</f>
        <v>8.0822688000000004E-2</v>
      </c>
      <c r="V7">
        <f>INDEX('AEO 2026 Table 4'!$D$14:$AC$144,22,MATCH(V$1,'AEO 2026 Table 4'!$D$10:$AC$10,0))</f>
        <v>8.1485935999999995E-2</v>
      </c>
      <c r="W7">
        <f>INDEX('AEO 2026 Table 4'!$D$14:$AC$144,22,MATCH(W$1,'AEO 2026 Table 4'!$D$10:$AC$10,0))</f>
        <v>8.2051832000000005E-2</v>
      </c>
      <c r="X7">
        <f>INDEX('AEO 2026 Table 4'!$D$14:$AC$144,22,MATCH(X$1,'AEO 2026 Table 4'!$D$10:$AC$10,0))</f>
        <v>8.2524719999999996E-2</v>
      </c>
      <c r="Y7">
        <f>INDEX('AEO 2026 Table 4'!$D$14:$AC$144,22,MATCH(Y$1,'AEO 2026 Table 4'!$D$10:$AC$10,0))</f>
        <v>8.2964759999999999E-2</v>
      </c>
      <c r="Z7">
        <f>INDEX('AEO 2026 Table 4'!$D$14:$AC$144,22,MATCH(Z$1,'AEO 2026 Table 4'!$D$10:$AC$10,0))</f>
        <v>8.3381144000000004E-2</v>
      </c>
      <c r="AA7">
        <f>INDEX('AEO 2026 Table 4'!$D$14:$AC$144,22,MATCH(AA$1,'AEO 2026 Table 4'!$D$10:$AC$10,0))</f>
        <v>8.3789119999999995E-2</v>
      </c>
      <c r="AB7">
        <f>INDEX('AEO 2026 Table 4'!$D$14:$AC$144,22,MATCH(AB$1,'AEO 2026 Table 4'!$D$10:$AC$10,0))</f>
        <v>8.4191208000000003E-2</v>
      </c>
      <c r="AC7">
        <f>INDEX('AEO 2026 Table 4'!$D$14:$AC$144,22,MATCH(AC$1,'AEO 2026 Table 4'!$D$10:$AC$10,0))</f>
        <v>8.4583848000000003E-2</v>
      </c>
      <c r="AD7">
        <f>INDEX('AEO 2026 Table 4'!$D$14:$AC$144,22,MATCH(AD$1,'AEO 2026 Table 4'!$D$10:$AC$10,0))</f>
        <v>8.4967135999999999E-2</v>
      </c>
      <c r="AE7">
        <f>INDEX('AEO 2026 Table 4'!$D$14:$AC$144,22,MATCH(AE$1,'AEO 2026 Table 4'!$D$10:$AC$10,0))</f>
        <v>8.5341799999999995E-2</v>
      </c>
      <c r="AF7">
        <f>INDEX('AEO 2026 Table 4'!$D$14:$AC$144,22,MATCH(AF$1,'AEO 2026 Table 4'!$D$10:$AC$10,0))</f>
        <v>8.5708984000000002E-2</v>
      </c>
    </row>
    <row r="8" spans="1:32" x14ac:dyDescent="0.25">
      <c r="A8" t="s">
        <v>460</v>
      </c>
      <c r="B8" t="str">
        <f t="shared" si="0"/>
        <v>residential-appliances-electricity (BTU)</v>
      </c>
      <c r="C8" t="s">
        <v>1046</v>
      </c>
      <c r="D8" t="s">
        <v>1050</v>
      </c>
      <c r="E8" s="1" t="s">
        <v>1048</v>
      </c>
      <c r="F8" s="44">
        <f>INDEX(Table_4._Residential_Sector_Key!$F$8:$AG$125,MATCH($A8,Table_4._Residential_Sector_Key!$B$8:$B$125,0),MATCH(F$1,Table_4._Residential_Sector_Key!$F$5:$AG$5,0))</f>
        <v>0.19181200000000001</v>
      </c>
      <c r="G8">
        <f>INDEX('AEO 2026 Table 4'!$D$14:$AC$144,23,MATCH(G$1,'AEO 2026 Table 4'!$D$10:$AC$10,0))</f>
        <v>0.19033324800000001</v>
      </c>
      <c r="H8">
        <f>INDEX('AEO 2026 Table 4'!$D$14:$AC$144,23,MATCH(H$1,'AEO 2026 Table 4'!$D$10:$AC$10,0))</f>
        <v>0.19084062399999999</v>
      </c>
      <c r="I8">
        <f>INDEX('AEO 2026 Table 4'!$D$14:$AC$144,23,MATCH(I$1,'AEO 2026 Table 4'!$D$10:$AC$10,0))</f>
        <v>0.19180299200000001</v>
      </c>
      <c r="J8">
        <f>INDEX('AEO 2026 Table 4'!$D$14:$AC$144,23,MATCH(J$1,'AEO 2026 Table 4'!$D$10:$AC$10,0))</f>
        <v>0.193075936</v>
      </c>
      <c r="K8">
        <f>INDEX('AEO 2026 Table 4'!$D$14:$AC$144,23,MATCH(K$1,'AEO 2026 Table 4'!$D$10:$AC$10,0))</f>
        <v>0.193740784</v>
      </c>
      <c r="L8">
        <f>INDEX('AEO 2026 Table 4'!$D$14:$AC$144,23,MATCH(L$1,'AEO 2026 Table 4'!$D$10:$AC$10,0))</f>
        <v>0.193360848</v>
      </c>
      <c r="M8">
        <f>INDEX('AEO 2026 Table 4'!$D$14:$AC$144,23,MATCH(M$1,'AEO 2026 Table 4'!$D$10:$AC$10,0))</f>
        <v>0.19236134399999999</v>
      </c>
      <c r="N8">
        <f>INDEX('AEO 2026 Table 4'!$D$14:$AC$144,23,MATCH(N$1,'AEO 2026 Table 4'!$D$10:$AC$10,0))</f>
        <v>0.191028752</v>
      </c>
      <c r="O8">
        <f>INDEX('AEO 2026 Table 4'!$D$14:$AC$144,23,MATCH(O$1,'AEO 2026 Table 4'!$D$10:$AC$10,0))</f>
        <v>0.19012039999999999</v>
      </c>
      <c r="P8">
        <f>INDEX('AEO 2026 Table 4'!$D$14:$AC$144,23,MATCH(P$1,'AEO 2026 Table 4'!$D$10:$AC$10,0))</f>
        <v>0.18960015999999999</v>
      </c>
      <c r="Q8">
        <f>INDEX('AEO 2026 Table 4'!$D$14:$AC$144,23,MATCH(Q$1,'AEO 2026 Table 4'!$D$10:$AC$10,0))</f>
        <v>0.18948328</v>
      </c>
      <c r="R8">
        <f>INDEX('AEO 2026 Table 4'!$D$14:$AC$144,23,MATCH(R$1,'AEO 2026 Table 4'!$D$10:$AC$10,0))</f>
        <v>0.189817232</v>
      </c>
      <c r="S8">
        <f>INDEX('AEO 2026 Table 4'!$D$14:$AC$144,23,MATCH(S$1,'AEO 2026 Table 4'!$D$10:$AC$10,0))</f>
        <v>0.19051815999999999</v>
      </c>
      <c r="T8">
        <f>INDEX('AEO 2026 Table 4'!$D$14:$AC$144,23,MATCH(T$1,'AEO 2026 Table 4'!$D$10:$AC$10,0))</f>
        <v>0.19170820799999999</v>
      </c>
      <c r="U8">
        <f>INDEX('AEO 2026 Table 4'!$D$14:$AC$144,23,MATCH(U$1,'AEO 2026 Table 4'!$D$10:$AC$10,0))</f>
        <v>0.19336033599999999</v>
      </c>
      <c r="V8">
        <f>INDEX('AEO 2026 Table 4'!$D$14:$AC$144,23,MATCH(V$1,'AEO 2026 Table 4'!$D$10:$AC$10,0))</f>
        <v>0.19552905600000001</v>
      </c>
      <c r="W8">
        <f>INDEX('AEO 2026 Table 4'!$D$14:$AC$144,23,MATCH(W$1,'AEO 2026 Table 4'!$D$10:$AC$10,0))</f>
        <v>0.19830171199999999</v>
      </c>
      <c r="X8">
        <f>INDEX('AEO 2026 Table 4'!$D$14:$AC$144,23,MATCH(X$1,'AEO 2026 Table 4'!$D$10:$AC$10,0))</f>
        <v>0.20107030400000001</v>
      </c>
      <c r="Y8">
        <f>INDEX('AEO 2026 Table 4'!$D$14:$AC$144,23,MATCH(Y$1,'AEO 2026 Table 4'!$D$10:$AC$10,0))</f>
        <v>0.20391007999999999</v>
      </c>
      <c r="Z8">
        <f>INDEX('AEO 2026 Table 4'!$D$14:$AC$144,23,MATCH(Z$1,'AEO 2026 Table 4'!$D$10:$AC$10,0))</f>
        <v>0.206757632</v>
      </c>
      <c r="AA8">
        <f>INDEX('AEO 2026 Table 4'!$D$14:$AC$144,23,MATCH(AA$1,'AEO 2026 Table 4'!$D$10:$AC$10,0))</f>
        <v>0.209611248</v>
      </c>
      <c r="AB8">
        <f>INDEX('AEO 2026 Table 4'!$D$14:$AC$144,23,MATCH(AB$1,'AEO 2026 Table 4'!$D$10:$AC$10,0))</f>
        <v>0.21232783999999999</v>
      </c>
      <c r="AC8">
        <f>INDEX('AEO 2026 Table 4'!$D$14:$AC$144,23,MATCH(AC$1,'AEO 2026 Table 4'!$D$10:$AC$10,0))</f>
        <v>0.214859312</v>
      </c>
      <c r="AD8">
        <f>INDEX('AEO 2026 Table 4'!$D$14:$AC$144,23,MATCH(AD$1,'AEO 2026 Table 4'!$D$10:$AC$10,0))</f>
        <v>0.217260656</v>
      </c>
      <c r="AE8">
        <f>INDEX('AEO 2026 Table 4'!$D$14:$AC$144,23,MATCH(AE$1,'AEO 2026 Table 4'!$D$10:$AC$10,0))</f>
        <v>0.21971025599999999</v>
      </c>
      <c r="AF8">
        <f>INDEX('AEO 2026 Table 4'!$D$14:$AC$144,23,MATCH(AF$1,'AEO 2026 Table 4'!$D$10:$AC$10,0))</f>
        <v>0.22207265600000001</v>
      </c>
    </row>
    <row r="9" spans="1:32" x14ac:dyDescent="0.25">
      <c r="A9" t="s">
        <v>463</v>
      </c>
      <c r="B9" t="str">
        <f t="shared" si="0"/>
        <v>residential-appliances-electricity (BTU)</v>
      </c>
      <c r="C9" t="s">
        <v>1046</v>
      </c>
      <c r="D9" t="s">
        <v>1050</v>
      </c>
      <c r="E9" s="1" t="s">
        <v>1048</v>
      </c>
      <c r="F9" s="44">
        <f>INDEX(Table_4._Residential_Sector_Key!$F$8:$AG$125,MATCH($A9,Table_4._Residential_Sector_Key!$B$8:$B$125,0),MATCH(F$1,Table_4._Residential_Sector_Key!$F$5:$AG$5,0))</f>
        <v>7.9547999999999994E-2</v>
      </c>
      <c r="G9">
        <f>INDEX('AEO 2026 Table 4'!$D$14:$AC$144,24,MATCH(G$1,'AEO 2026 Table 4'!$D$10:$AC$10,0))</f>
        <v>7.9277760000000003E-2</v>
      </c>
      <c r="H9">
        <f>INDEX('AEO 2026 Table 4'!$D$14:$AC$144,24,MATCH(H$1,'AEO 2026 Table 4'!$D$10:$AC$10,0))</f>
        <v>7.9241023999999993E-2</v>
      </c>
      <c r="I9">
        <f>INDEX('AEO 2026 Table 4'!$D$14:$AC$144,24,MATCH(I$1,'AEO 2026 Table 4'!$D$10:$AC$10,0))</f>
        <v>7.9217047999999998E-2</v>
      </c>
      <c r="J9">
        <f>INDEX('AEO 2026 Table 4'!$D$14:$AC$144,24,MATCH(J$1,'AEO 2026 Table 4'!$D$10:$AC$10,0))</f>
        <v>7.9159960000000001E-2</v>
      </c>
      <c r="K9">
        <f>INDEX('AEO 2026 Table 4'!$D$14:$AC$144,24,MATCH(K$1,'AEO 2026 Table 4'!$D$10:$AC$10,0))</f>
        <v>7.9073071999999994E-2</v>
      </c>
      <c r="L9">
        <f>INDEX('AEO 2026 Table 4'!$D$14:$AC$144,24,MATCH(L$1,'AEO 2026 Table 4'!$D$10:$AC$10,0))</f>
        <v>7.8570111999999998E-2</v>
      </c>
      <c r="M9">
        <f>INDEX('AEO 2026 Table 4'!$D$14:$AC$144,24,MATCH(M$1,'AEO 2026 Table 4'!$D$10:$AC$10,0))</f>
        <v>7.8006560000000003E-2</v>
      </c>
      <c r="N9">
        <f>INDEX('AEO 2026 Table 4'!$D$14:$AC$144,24,MATCH(N$1,'AEO 2026 Table 4'!$D$10:$AC$10,0))</f>
        <v>7.7403968000000004E-2</v>
      </c>
      <c r="O9">
        <f>INDEX('AEO 2026 Table 4'!$D$14:$AC$144,24,MATCH(O$1,'AEO 2026 Table 4'!$D$10:$AC$10,0))</f>
        <v>7.6822632000000002E-2</v>
      </c>
      <c r="P9">
        <f>INDEX('AEO 2026 Table 4'!$D$14:$AC$144,24,MATCH(P$1,'AEO 2026 Table 4'!$D$10:$AC$10,0))</f>
        <v>7.6256599999999994E-2</v>
      </c>
      <c r="Q9">
        <f>INDEX('AEO 2026 Table 4'!$D$14:$AC$144,24,MATCH(Q$1,'AEO 2026 Table 4'!$D$10:$AC$10,0))</f>
        <v>7.5716071999999995E-2</v>
      </c>
      <c r="R9">
        <f>INDEX('AEO 2026 Table 4'!$D$14:$AC$144,24,MATCH(R$1,'AEO 2026 Table 4'!$D$10:$AC$10,0))</f>
        <v>7.5195239999999997E-2</v>
      </c>
      <c r="S9">
        <f>INDEX('AEO 2026 Table 4'!$D$14:$AC$144,24,MATCH(S$1,'AEO 2026 Table 4'!$D$10:$AC$10,0))</f>
        <v>7.4692744000000005E-2</v>
      </c>
      <c r="T9">
        <f>INDEX('AEO 2026 Table 4'!$D$14:$AC$144,24,MATCH(T$1,'AEO 2026 Table 4'!$D$10:$AC$10,0))</f>
        <v>7.4213528000000001E-2</v>
      </c>
      <c r="U9">
        <f>INDEX('AEO 2026 Table 4'!$D$14:$AC$144,24,MATCH(U$1,'AEO 2026 Table 4'!$D$10:$AC$10,0))</f>
        <v>7.3757199999999995E-2</v>
      </c>
      <c r="V9">
        <f>INDEX('AEO 2026 Table 4'!$D$14:$AC$144,24,MATCH(V$1,'AEO 2026 Table 4'!$D$10:$AC$10,0))</f>
        <v>7.3328264000000004E-2</v>
      </c>
      <c r="W9">
        <f>INDEX('AEO 2026 Table 4'!$D$14:$AC$144,24,MATCH(W$1,'AEO 2026 Table 4'!$D$10:$AC$10,0))</f>
        <v>7.2936855999999994E-2</v>
      </c>
      <c r="X9">
        <f>INDEX('AEO 2026 Table 4'!$D$14:$AC$144,24,MATCH(X$1,'AEO 2026 Table 4'!$D$10:$AC$10,0))</f>
        <v>7.2586367999999998E-2</v>
      </c>
      <c r="Y9">
        <f>INDEX('AEO 2026 Table 4'!$D$14:$AC$144,24,MATCH(Y$1,'AEO 2026 Table 4'!$D$10:$AC$10,0))</f>
        <v>7.2277752000000001E-2</v>
      </c>
      <c r="Z9">
        <f>INDEX('AEO 2026 Table 4'!$D$14:$AC$144,24,MATCH(Z$1,'AEO 2026 Table 4'!$D$10:$AC$10,0))</f>
        <v>7.2012376000000003E-2</v>
      </c>
      <c r="AA9">
        <f>INDEX('AEO 2026 Table 4'!$D$14:$AC$144,24,MATCH(AA$1,'AEO 2026 Table 4'!$D$10:$AC$10,0))</f>
        <v>7.1801504000000002E-2</v>
      </c>
      <c r="AB9">
        <f>INDEX('AEO 2026 Table 4'!$D$14:$AC$144,24,MATCH(AB$1,'AEO 2026 Table 4'!$D$10:$AC$10,0))</f>
        <v>7.1659855999999994E-2</v>
      </c>
      <c r="AC9">
        <f>INDEX('AEO 2026 Table 4'!$D$14:$AC$144,24,MATCH(AC$1,'AEO 2026 Table 4'!$D$10:$AC$10,0))</f>
        <v>7.1579335999999993E-2</v>
      </c>
      <c r="AD9">
        <f>INDEX('AEO 2026 Table 4'!$D$14:$AC$144,24,MATCH(AD$1,'AEO 2026 Table 4'!$D$10:$AC$10,0))</f>
        <v>7.1571248000000004E-2</v>
      </c>
      <c r="AE9">
        <f>INDEX('AEO 2026 Table 4'!$D$14:$AC$144,24,MATCH(AE$1,'AEO 2026 Table 4'!$D$10:$AC$10,0))</f>
        <v>7.1643271999999994E-2</v>
      </c>
      <c r="AF9">
        <f>INDEX('AEO 2026 Table 4'!$D$14:$AC$144,24,MATCH(AF$1,'AEO 2026 Table 4'!$D$10:$AC$10,0))</f>
        <v>7.1800048000000005E-2</v>
      </c>
    </row>
    <row r="10" spans="1:32" x14ac:dyDescent="0.25">
      <c r="A10" t="s">
        <v>466</v>
      </c>
      <c r="B10" t="str">
        <f t="shared" si="0"/>
        <v>residential-lighting-electricity (BTU)</v>
      </c>
      <c r="C10" t="s">
        <v>1046</v>
      </c>
      <c r="D10" t="s">
        <v>1051</v>
      </c>
      <c r="E10" s="1" t="s">
        <v>1048</v>
      </c>
      <c r="F10" s="44">
        <f>INDEX(Table_4._Residential_Sector_Key!$F$8:$AG$125,MATCH($A10,Table_4._Residential_Sector_Key!$B$8:$B$125,0),MATCH(F$1,Table_4._Residential_Sector_Key!$F$5:$AG$5,0))</f>
        <v>0.18737100000000001</v>
      </c>
      <c r="G10">
        <f>INDEX('AEO 2026 Table 4'!$D$14:$AC$144,25,MATCH(G$1,'AEO 2026 Table 4'!$D$10:$AC$10,0))</f>
        <v>0.18284710400000001</v>
      </c>
      <c r="H10">
        <f>INDEX('AEO 2026 Table 4'!$D$14:$AC$144,25,MATCH(H$1,'AEO 2026 Table 4'!$D$10:$AC$10,0))</f>
        <v>0.182215504</v>
      </c>
      <c r="I10">
        <f>INDEX('AEO 2026 Table 4'!$D$14:$AC$144,25,MATCH(I$1,'AEO 2026 Table 4'!$D$10:$AC$10,0))</f>
        <v>0.183569232</v>
      </c>
      <c r="J10">
        <f>INDEX('AEO 2026 Table 4'!$D$14:$AC$144,25,MATCH(J$1,'AEO 2026 Table 4'!$D$10:$AC$10,0))</f>
        <v>0.185640272</v>
      </c>
      <c r="K10">
        <f>INDEX('AEO 2026 Table 4'!$D$14:$AC$144,25,MATCH(K$1,'AEO 2026 Table 4'!$D$10:$AC$10,0))</f>
        <v>0.18743944000000001</v>
      </c>
      <c r="L10">
        <f>INDEX('AEO 2026 Table 4'!$D$14:$AC$144,25,MATCH(L$1,'AEO 2026 Table 4'!$D$10:$AC$10,0))</f>
        <v>0.18699436799999999</v>
      </c>
      <c r="M10">
        <f>INDEX('AEO 2026 Table 4'!$D$14:$AC$144,25,MATCH(M$1,'AEO 2026 Table 4'!$D$10:$AC$10,0))</f>
        <v>0.186424016</v>
      </c>
      <c r="N10">
        <f>INDEX('AEO 2026 Table 4'!$D$14:$AC$144,25,MATCH(N$1,'AEO 2026 Table 4'!$D$10:$AC$10,0))</f>
        <v>0.18626144</v>
      </c>
      <c r="O10">
        <f>INDEX('AEO 2026 Table 4'!$D$14:$AC$144,25,MATCH(O$1,'AEO 2026 Table 4'!$D$10:$AC$10,0))</f>
        <v>0.186404352</v>
      </c>
      <c r="P10">
        <f>INDEX('AEO 2026 Table 4'!$D$14:$AC$144,25,MATCH(P$1,'AEO 2026 Table 4'!$D$10:$AC$10,0))</f>
        <v>0.18674231999999999</v>
      </c>
      <c r="Q10">
        <f>INDEX('AEO 2026 Table 4'!$D$14:$AC$144,25,MATCH(Q$1,'AEO 2026 Table 4'!$D$10:$AC$10,0))</f>
        <v>0.18721537599999999</v>
      </c>
      <c r="R10">
        <f>INDEX('AEO 2026 Table 4'!$D$14:$AC$144,25,MATCH(R$1,'AEO 2026 Table 4'!$D$10:$AC$10,0))</f>
        <v>0.187754368</v>
      </c>
      <c r="S10">
        <f>INDEX('AEO 2026 Table 4'!$D$14:$AC$144,25,MATCH(S$1,'AEO 2026 Table 4'!$D$10:$AC$10,0))</f>
        <v>0.188226384</v>
      </c>
      <c r="T10">
        <f>INDEX('AEO 2026 Table 4'!$D$14:$AC$144,25,MATCH(T$1,'AEO 2026 Table 4'!$D$10:$AC$10,0))</f>
        <v>0.188723216</v>
      </c>
      <c r="U10">
        <f>INDEX('AEO 2026 Table 4'!$D$14:$AC$144,25,MATCH(U$1,'AEO 2026 Table 4'!$D$10:$AC$10,0))</f>
        <v>0.18940014399999999</v>
      </c>
      <c r="V10">
        <f>INDEX('AEO 2026 Table 4'!$D$14:$AC$144,25,MATCH(V$1,'AEO 2026 Table 4'!$D$10:$AC$10,0))</f>
        <v>0.18703504000000001</v>
      </c>
      <c r="W10">
        <f>INDEX('AEO 2026 Table 4'!$D$14:$AC$144,25,MATCH(W$1,'AEO 2026 Table 4'!$D$10:$AC$10,0))</f>
        <v>0.18508912</v>
      </c>
      <c r="X10">
        <f>INDEX('AEO 2026 Table 4'!$D$14:$AC$144,25,MATCH(X$1,'AEO 2026 Table 4'!$D$10:$AC$10,0))</f>
        <v>0.18369095999999999</v>
      </c>
      <c r="Y10">
        <f>INDEX('AEO 2026 Table 4'!$D$14:$AC$144,25,MATCH(Y$1,'AEO 2026 Table 4'!$D$10:$AC$10,0))</f>
        <v>0.182845696</v>
      </c>
      <c r="Z10">
        <f>INDEX('AEO 2026 Table 4'!$D$14:$AC$144,25,MATCH(Z$1,'AEO 2026 Table 4'!$D$10:$AC$10,0))</f>
        <v>0.18247695999999999</v>
      </c>
      <c r="AA10">
        <f>INDEX('AEO 2026 Table 4'!$D$14:$AC$144,25,MATCH(AA$1,'AEO 2026 Table 4'!$D$10:$AC$10,0))</f>
        <v>0.182383504</v>
      </c>
      <c r="AB10">
        <f>INDEX('AEO 2026 Table 4'!$D$14:$AC$144,25,MATCH(AB$1,'AEO 2026 Table 4'!$D$10:$AC$10,0))</f>
        <v>0.182309728</v>
      </c>
      <c r="AC10">
        <f>INDEX('AEO 2026 Table 4'!$D$14:$AC$144,25,MATCH(AC$1,'AEO 2026 Table 4'!$D$10:$AC$10,0))</f>
        <v>0.182201904</v>
      </c>
      <c r="AD10">
        <f>INDEX('AEO 2026 Table 4'!$D$14:$AC$144,25,MATCH(AD$1,'AEO 2026 Table 4'!$D$10:$AC$10,0))</f>
        <v>0.182192464</v>
      </c>
      <c r="AE10">
        <f>INDEX('AEO 2026 Table 4'!$D$14:$AC$144,25,MATCH(AE$1,'AEO 2026 Table 4'!$D$10:$AC$10,0))</f>
        <v>0.182375024</v>
      </c>
      <c r="AF10">
        <f>INDEX('AEO 2026 Table 4'!$D$14:$AC$144,25,MATCH(AF$1,'AEO 2026 Table 4'!$D$10:$AC$10,0))</f>
        <v>0.18258764799999999</v>
      </c>
    </row>
    <row r="11" spans="1:32" x14ac:dyDescent="0.25">
      <c r="A11" t="s">
        <v>469</v>
      </c>
      <c r="B11" t="str">
        <f t="shared" si="0"/>
        <v>residential-appliances-electricity (BTU)</v>
      </c>
      <c r="C11" t="s">
        <v>1046</v>
      </c>
      <c r="D11" t="s">
        <v>1050</v>
      </c>
      <c r="E11" s="1" t="s">
        <v>1048</v>
      </c>
      <c r="F11" s="44">
        <f>INDEX(Table_4._Residential_Sector_Key!$F$8:$AG$125,MATCH($A11,Table_4._Residential_Sector_Key!$B$8:$B$125,0),MATCH(F$1,Table_4._Residential_Sector_Key!$F$5:$AG$5,0))</f>
        <v>4.1806999999999997E-2</v>
      </c>
      <c r="G11">
        <f>INDEX('AEO 2026 Table 4'!$D$14:$AC$144,26,MATCH(G$1,'AEO 2026 Table 4'!$D$10:$AC$10,0))</f>
        <v>4.0723188E-2</v>
      </c>
      <c r="H11">
        <f>INDEX('AEO 2026 Table 4'!$D$14:$AC$144,26,MATCH(H$1,'AEO 2026 Table 4'!$D$10:$AC$10,0))</f>
        <v>3.9741315999999999E-2</v>
      </c>
      <c r="I11">
        <f>INDEX('AEO 2026 Table 4'!$D$14:$AC$144,26,MATCH(I$1,'AEO 2026 Table 4'!$D$10:$AC$10,0))</f>
        <v>3.8750288000000001E-2</v>
      </c>
      <c r="J11">
        <f>INDEX('AEO 2026 Table 4'!$D$14:$AC$144,26,MATCH(J$1,'AEO 2026 Table 4'!$D$10:$AC$10,0))</f>
        <v>3.7582836000000001E-2</v>
      </c>
      <c r="K11">
        <f>INDEX('AEO 2026 Table 4'!$D$14:$AC$144,26,MATCH(K$1,'AEO 2026 Table 4'!$D$10:$AC$10,0))</f>
        <v>3.638516E-2</v>
      </c>
      <c r="L11">
        <f>INDEX('AEO 2026 Table 4'!$D$14:$AC$144,26,MATCH(L$1,'AEO 2026 Table 4'!$D$10:$AC$10,0))</f>
        <v>3.4992292000000001E-2</v>
      </c>
      <c r="M11">
        <f>INDEX('AEO 2026 Table 4'!$D$14:$AC$144,26,MATCH(M$1,'AEO 2026 Table 4'!$D$10:$AC$10,0))</f>
        <v>3.3539880000000001E-2</v>
      </c>
      <c r="N11">
        <f>INDEX('AEO 2026 Table 4'!$D$14:$AC$144,26,MATCH(N$1,'AEO 2026 Table 4'!$D$10:$AC$10,0))</f>
        <v>3.2000177999999997E-2</v>
      </c>
      <c r="O11">
        <f>INDEX('AEO 2026 Table 4'!$D$14:$AC$144,26,MATCH(O$1,'AEO 2026 Table 4'!$D$10:$AC$10,0))</f>
        <v>3.0664894000000002E-2</v>
      </c>
      <c r="P11">
        <f>INDEX('AEO 2026 Table 4'!$D$14:$AC$144,26,MATCH(P$1,'AEO 2026 Table 4'!$D$10:$AC$10,0))</f>
        <v>2.9534002E-2</v>
      </c>
      <c r="Q11">
        <f>INDEX('AEO 2026 Table 4'!$D$14:$AC$144,26,MATCH(Q$1,'AEO 2026 Table 4'!$D$10:$AC$10,0))</f>
        <v>2.8609286000000001E-2</v>
      </c>
      <c r="R11">
        <f>INDEX('AEO 2026 Table 4'!$D$14:$AC$144,26,MATCH(R$1,'AEO 2026 Table 4'!$D$10:$AC$10,0))</f>
        <v>2.7903582E-2</v>
      </c>
      <c r="S11">
        <f>INDEX('AEO 2026 Table 4'!$D$14:$AC$144,26,MATCH(S$1,'AEO 2026 Table 4'!$D$10:$AC$10,0))</f>
        <v>2.7428560000000001E-2</v>
      </c>
      <c r="T11">
        <f>INDEX('AEO 2026 Table 4'!$D$14:$AC$144,26,MATCH(T$1,'AEO 2026 Table 4'!$D$10:$AC$10,0))</f>
        <v>2.7209850000000001E-2</v>
      </c>
      <c r="U11">
        <f>INDEX('AEO 2026 Table 4'!$D$14:$AC$144,26,MATCH(U$1,'AEO 2026 Table 4'!$D$10:$AC$10,0))</f>
        <v>2.7260937999999998E-2</v>
      </c>
      <c r="V11">
        <f>INDEX('AEO 2026 Table 4'!$D$14:$AC$144,26,MATCH(V$1,'AEO 2026 Table 4'!$D$10:$AC$10,0))</f>
        <v>2.7310738000000001E-2</v>
      </c>
      <c r="W11">
        <f>INDEX('AEO 2026 Table 4'!$D$14:$AC$144,26,MATCH(W$1,'AEO 2026 Table 4'!$D$10:$AC$10,0))</f>
        <v>2.7361704000000001E-2</v>
      </c>
      <c r="X11">
        <f>INDEX('AEO 2026 Table 4'!$D$14:$AC$144,26,MATCH(X$1,'AEO 2026 Table 4'!$D$10:$AC$10,0))</f>
        <v>2.7419786000000002E-2</v>
      </c>
      <c r="Y11">
        <f>INDEX('AEO 2026 Table 4'!$D$14:$AC$144,26,MATCH(Y$1,'AEO 2026 Table 4'!$D$10:$AC$10,0))</f>
        <v>2.7486282000000001E-2</v>
      </c>
      <c r="Z11">
        <f>INDEX('AEO 2026 Table 4'!$D$14:$AC$144,26,MATCH(Z$1,'AEO 2026 Table 4'!$D$10:$AC$10,0))</f>
        <v>2.7564120000000001E-2</v>
      </c>
      <c r="AA11">
        <f>INDEX('AEO 2026 Table 4'!$D$14:$AC$144,26,MATCH(AA$1,'AEO 2026 Table 4'!$D$10:$AC$10,0))</f>
        <v>2.7658222E-2</v>
      </c>
      <c r="AB11">
        <f>INDEX('AEO 2026 Table 4'!$D$14:$AC$144,26,MATCH(AB$1,'AEO 2026 Table 4'!$D$10:$AC$10,0))</f>
        <v>2.7768014000000001E-2</v>
      </c>
      <c r="AC11">
        <f>INDEX('AEO 2026 Table 4'!$D$14:$AC$144,26,MATCH(AC$1,'AEO 2026 Table 4'!$D$10:$AC$10,0))</f>
        <v>2.7890496000000001E-2</v>
      </c>
      <c r="AD11">
        <f>INDEX('AEO 2026 Table 4'!$D$14:$AC$144,26,MATCH(AD$1,'AEO 2026 Table 4'!$D$10:$AC$10,0))</f>
        <v>2.8023998000000001E-2</v>
      </c>
      <c r="AE11">
        <f>INDEX('AEO 2026 Table 4'!$D$14:$AC$144,26,MATCH(AE$1,'AEO 2026 Table 4'!$D$10:$AC$10,0))</f>
        <v>2.8167032000000002E-2</v>
      </c>
      <c r="AF11">
        <f>INDEX('AEO 2026 Table 4'!$D$14:$AC$144,26,MATCH(AF$1,'AEO 2026 Table 4'!$D$10:$AC$10,0))</f>
        <v>2.8318728000000001E-2</v>
      </c>
    </row>
    <row r="12" spans="1:32" x14ac:dyDescent="0.25">
      <c r="A12" t="s">
        <v>472</v>
      </c>
      <c r="B12" t="str">
        <f t="shared" si="0"/>
        <v>residential-appliances-electricity (BTU)</v>
      </c>
      <c r="C12" t="s">
        <v>1046</v>
      </c>
      <c r="D12" t="s">
        <v>1050</v>
      </c>
      <c r="E12" s="1" t="s">
        <v>1048</v>
      </c>
      <c r="F12" s="44">
        <f>INDEX(Table_4._Residential_Sector_Key!$F$8:$AG$125,MATCH($A12,Table_4._Residential_Sector_Key!$B$8:$B$125,0),MATCH(F$1,Table_4._Residential_Sector_Key!$F$5:$AG$5,0))</f>
        <v>3.6366999999999997E-2</v>
      </c>
      <c r="G12">
        <f>INDEX('AEO 2026 Table 4'!$D$14:$AC$144,27,MATCH(G$1,'AEO 2026 Table 4'!$D$10:$AC$10,0))</f>
        <v>3.7161696000000001E-2</v>
      </c>
      <c r="H12">
        <f>INDEX('AEO 2026 Table 4'!$D$14:$AC$144,27,MATCH(H$1,'AEO 2026 Table 4'!$D$10:$AC$10,0))</f>
        <v>3.8075504000000003E-2</v>
      </c>
      <c r="I12">
        <f>INDEX('AEO 2026 Table 4'!$D$14:$AC$144,27,MATCH(I$1,'AEO 2026 Table 4'!$D$10:$AC$10,0))</f>
        <v>3.8360159999999997E-2</v>
      </c>
      <c r="J12">
        <f>INDEX('AEO 2026 Table 4'!$D$14:$AC$144,27,MATCH(J$1,'AEO 2026 Table 4'!$D$10:$AC$10,0))</f>
        <v>3.8522852000000003E-2</v>
      </c>
      <c r="K12">
        <f>INDEX('AEO 2026 Table 4'!$D$14:$AC$144,27,MATCH(K$1,'AEO 2026 Table 4'!$D$10:$AC$10,0))</f>
        <v>3.8637291999999997E-2</v>
      </c>
      <c r="L12">
        <f>INDEX('AEO 2026 Table 4'!$D$14:$AC$144,27,MATCH(L$1,'AEO 2026 Table 4'!$D$10:$AC$10,0))</f>
        <v>3.870258E-2</v>
      </c>
      <c r="M12">
        <f>INDEX('AEO 2026 Table 4'!$D$14:$AC$144,27,MATCH(M$1,'AEO 2026 Table 4'!$D$10:$AC$10,0))</f>
        <v>3.8719692E-2</v>
      </c>
      <c r="N12">
        <f>INDEX('AEO 2026 Table 4'!$D$14:$AC$144,27,MATCH(N$1,'AEO 2026 Table 4'!$D$10:$AC$10,0))</f>
        <v>3.8688536000000003E-2</v>
      </c>
      <c r="O12">
        <f>INDEX('AEO 2026 Table 4'!$D$14:$AC$144,27,MATCH(O$1,'AEO 2026 Table 4'!$D$10:$AC$10,0))</f>
        <v>3.8734320000000003E-2</v>
      </c>
      <c r="P12">
        <f>INDEX('AEO 2026 Table 4'!$D$14:$AC$144,27,MATCH(P$1,'AEO 2026 Table 4'!$D$10:$AC$10,0))</f>
        <v>3.8861E-2</v>
      </c>
      <c r="Q12">
        <f>INDEX('AEO 2026 Table 4'!$D$14:$AC$144,27,MATCH(Q$1,'AEO 2026 Table 4'!$D$10:$AC$10,0))</f>
        <v>3.9070651999999997E-2</v>
      </c>
      <c r="R12">
        <f>INDEX('AEO 2026 Table 4'!$D$14:$AC$144,27,MATCH(R$1,'AEO 2026 Table 4'!$D$10:$AC$10,0))</f>
        <v>3.9370936000000002E-2</v>
      </c>
      <c r="S12">
        <f>INDEX('AEO 2026 Table 4'!$D$14:$AC$144,27,MATCH(S$1,'AEO 2026 Table 4'!$D$10:$AC$10,0))</f>
        <v>3.9763699999999999E-2</v>
      </c>
      <c r="T12">
        <f>INDEX('AEO 2026 Table 4'!$D$14:$AC$144,27,MATCH(T$1,'AEO 2026 Table 4'!$D$10:$AC$10,0))</f>
        <v>4.0262112000000003E-2</v>
      </c>
      <c r="U12">
        <f>INDEX('AEO 2026 Table 4'!$D$14:$AC$144,27,MATCH(U$1,'AEO 2026 Table 4'!$D$10:$AC$10,0))</f>
        <v>4.0871616E-2</v>
      </c>
      <c r="V12">
        <f>INDEX('AEO 2026 Table 4'!$D$14:$AC$144,27,MATCH(V$1,'AEO 2026 Table 4'!$D$10:$AC$10,0))</f>
        <v>4.1476607999999998E-2</v>
      </c>
      <c r="W12">
        <f>INDEX('AEO 2026 Table 4'!$D$14:$AC$144,27,MATCH(W$1,'AEO 2026 Table 4'!$D$10:$AC$10,0))</f>
        <v>4.2075632000000002E-2</v>
      </c>
      <c r="X12">
        <f>INDEX('AEO 2026 Table 4'!$D$14:$AC$144,27,MATCH(X$1,'AEO 2026 Table 4'!$D$10:$AC$10,0))</f>
        <v>4.2674256000000001E-2</v>
      </c>
      <c r="Y12">
        <f>INDEX('AEO 2026 Table 4'!$D$14:$AC$144,27,MATCH(Y$1,'AEO 2026 Table 4'!$D$10:$AC$10,0))</f>
        <v>4.3273180000000001E-2</v>
      </c>
      <c r="Z12">
        <f>INDEX('AEO 2026 Table 4'!$D$14:$AC$144,27,MATCH(Z$1,'AEO 2026 Table 4'!$D$10:$AC$10,0))</f>
        <v>4.3875648000000003E-2</v>
      </c>
      <c r="AA12">
        <f>INDEX('AEO 2026 Table 4'!$D$14:$AC$144,27,MATCH(AA$1,'AEO 2026 Table 4'!$D$10:$AC$10,0))</f>
        <v>4.4488423999999999E-2</v>
      </c>
      <c r="AB12">
        <f>INDEX('AEO 2026 Table 4'!$D$14:$AC$144,27,MATCH(AB$1,'AEO 2026 Table 4'!$D$10:$AC$10,0))</f>
        <v>4.5111343999999998E-2</v>
      </c>
      <c r="AC12">
        <f>INDEX('AEO 2026 Table 4'!$D$14:$AC$144,27,MATCH(AC$1,'AEO 2026 Table 4'!$D$10:$AC$10,0))</f>
        <v>4.5741499999999997E-2</v>
      </c>
      <c r="AD12">
        <f>INDEX('AEO 2026 Table 4'!$D$14:$AC$144,27,MATCH(AD$1,'AEO 2026 Table 4'!$D$10:$AC$10,0))</f>
        <v>4.6378655999999997E-2</v>
      </c>
      <c r="AE12">
        <f>INDEX('AEO 2026 Table 4'!$D$14:$AC$144,27,MATCH(AE$1,'AEO 2026 Table 4'!$D$10:$AC$10,0))</f>
        <v>4.7023391999999997E-2</v>
      </c>
      <c r="AF12">
        <f>INDEX('AEO 2026 Table 4'!$D$14:$AC$144,27,MATCH(AF$1,'AEO 2026 Table 4'!$D$10:$AC$10,0))</f>
        <v>4.7675936000000002E-2</v>
      </c>
    </row>
    <row r="13" spans="1:32" x14ac:dyDescent="0.25">
      <c r="A13" t="s">
        <v>475</v>
      </c>
      <c r="B13" t="str">
        <f t="shared" si="0"/>
        <v>residential-other-electricity (BTU)</v>
      </c>
      <c r="C13" t="s">
        <v>1046</v>
      </c>
      <c r="D13" t="s">
        <v>1052</v>
      </c>
      <c r="E13" s="1" t="s">
        <v>1048</v>
      </c>
      <c r="F13" s="44">
        <f>INDEX(Table_4._Residential_Sector_Key!$F$8:$AG$125,MATCH($A13,Table_4._Residential_Sector_Key!$B$8:$B$125,0),MATCH(F$1,Table_4._Residential_Sector_Key!$F$5:$AG$5,0))</f>
        <v>0.12937399999999999</v>
      </c>
      <c r="G13">
        <f>INDEX('AEO 2026 Table 4'!$D$14:$AC$144,28,MATCH(G$1,'AEO 2026 Table 4'!$D$10:$AC$10,0))</f>
        <v>0.12483857600000001</v>
      </c>
      <c r="H13">
        <f>INDEX('AEO 2026 Table 4'!$D$14:$AC$144,28,MATCH(H$1,'AEO 2026 Table 4'!$D$10:$AC$10,0))</f>
        <v>0.122177168</v>
      </c>
      <c r="I13">
        <f>INDEX('AEO 2026 Table 4'!$D$14:$AC$144,28,MATCH(I$1,'AEO 2026 Table 4'!$D$10:$AC$10,0))</f>
        <v>0.119963032</v>
      </c>
      <c r="J13">
        <f>INDEX('AEO 2026 Table 4'!$D$14:$AC$144,28,MATCH(J$1,'AEO 2026 Table 4'!$D$10:$AC$10,0))</f>
        <v>0.11808790399999999</v>
      </c>
      <c r="K13">
        <f>INDEX('AEO 2026 Table 4'!$D$14:$AC$144,28,MATCH(K$1,'AEO 2026 Table 4'!$D$10:$AC$10,0))</f>
        <v>0.11609736800000001</v>
      </c>
      <c r="L13">
        <f>INDEX('AEO 2026 Table 4'!$D$14:$AC$144,28,MATCH(L$1,'AEO 2026 Table 4'!$D$10:$AC$10,0))</f>
        <v>0.11380596</v>
      </c>
      <c r="M13">
        <f>INDEX('AEO 2026 Table 4'!$D$14:$AC$144,28,MATCH(M$1,'AEO 2026 Table 4'!$D$10:$AC$10,0))</f>
        <v>0.111515896</v>
      </c>
      <c r="N13">
        <f>INDEX('AEO 2026 Table 4'!$D$14:$AC$144,28,MATCH(N$1,'AEO 2026 Table 4'!$D$10:$AC$10,0))</f>
        <v>0.109399336</v>
      </c>
      <c r="O13">
        <f>INDEX('AEO 2026 Table 4'!$D$14:$AC$144,28,MATCH(O$1,'AEO 2026 Table 4'!$D$10:$AC$10,0))</f>
        <v>0.107488504</v>
      </c>
      <c r="P13">
        <f>INDEX('AEO 2026 Table 4'!$D$14:$AC$144,28,MATCH(P$1,'AEO 2026 Table 4'!$D$10:$AC$10,0))</f>
        <v>0.105734648</v>
      </c>
      <c r="Q13">
        <f>INDEX('AEO 2026 Table 4'!$D$14:$AC$144,28,MATCH(Q$1,'AEO 2026 Table 4'!$D$10:$AC$10,0))</f>
        <v>0.10414446400000001</v>
      </c>
      <c r="R13">
        <f>INDEX('AEO 2026 Table 4'!$D$14:$AC$144,28,MATCH(R$1,'AEO 2026 Table 4'!$D$10:$AC$10,0))</f>
        <v>0.102719456</v>
      </c>
      <c r="S13">
        <f>INDEX('AEO 2026 Table 4'!$D$14:$AC$144,28,MATCH(S$1,'AEO 2026 Table 4'!$D$10:$AC$10,0))</f>
        <v>0.10141056</v>
      </c>
      <c r="T13">
        <f>INDEX('AEO 2026 Table 4'!$D$14:$AC$144,28,MATCH(T$1,'AEO 2026 Table 4'!$D$10:$AC$10,0))</f>
        <v>0.10027256</v>
      </c>
      <c r="U13">
        <f>INDEX('AEO 2026 Table 4'!$D$14:$AC$144,28,MATCH(U$1,'AEO 2026 Table 4'!$D$10:$AC$10,0))</f>
        <v>9.9267408000000001E-2</v>
      </c>
      <c r="V13">
        <f>INDEX('AEO 2026 Table 4'!$D$14:$AC$144,28,MATCH(V$1,'AEO 2026 Table 4'!$D$10:$AC$10,0))</f>
        <v>9.8397992000000004E-2</v>
      </c>
      <c r="W13">
        <f>INDEX('AEO 2026 Table 4'!$D$14:$AC$144,28,MATCH(W$1,'AEO 2026 Table 4'!$D$10:$AC$10,0))</f>
        <v>9.7693543999999993E-2</v>
      </c>
      <c r="X13">
        <f>INDEX('AEO 2026 Table 4'!$D$14:$AC$144,28,MATCH(X$1,'AEO 2026 Table 4'!$D$10:$AC$10,0))</f>
        <v>9.7154119999999997E-2</v>
      </c>
      <c r="Y13">
        <f>INDEX('AEO 2026 Table 4'!$D$14:$AC$144,28,MATCH(Y$1,'AEO 2026 Table 4'!$D$10:$AC$10,0))</f>
        <v>9.6815248000000007E-2</v>
      </c>
      <c r="Z13">
        <f>INDEX('AEO 2026 Table 4'!$D$14:$AC$144,28,MATCH(Z$1,'AEO 2026 Table 4'!$D$10:$AC$10,0))</f>
        <v>9.6643400000000004E-2</v>
      </c>
      <c r="AA13">
        <f>INDEX('AEO 2026 Table 4'!$D$14:$AC$144,28,MATCH(AA$1,'AEO 2026 Table 4'!$D$10:$AC$10,0))</f>
        <v>9.6637704000000005E-2</v>
      </c>
      <c r="AB13">
        <f>INDEX('AEO 2026 Table 4'!$D$14:$AC$144,28,MATCH(AB$1,'AEO 2026 Table 4'!$D$10:$AC$10,0))</f>
        <v>9.6759144000000005E-2</v>
      </c>
      <c r="AC13">
        <f>INDEX('AEO 2026 Table 4'!$D$14:$AC$144,28,MATCH(AC$1,'AEO 2026 Table 4'!$D$10:$AC$10,0))</f>
        <v>9.6902584E-2</v>
      </c>
      <c r="AD13">
        <f>INDEX('AEO 2026 Table 4'!$D$14:$AC$144,28,MATCH(AD$1,'AEO 2026 Table 4'!$D$10:$AC$10,0))</f>
        <v>9.7108184E-2</v>
      </c>
      <c r="AE13">
        <f>INDEX('AEO 2026 Table 4'!$D$14:$AC$144,28,MATCH(AE$1,'AEO 2026 Table 4'!$D$10:$AC$10,0))</f>
        <v>9.7404288000000006E-2</v>
      </c>
      <c r="AF13">
        <f>INDEX('AEO 2026 Table 4'!$D$14:$AC$144,28,MATCH(AF$1,'AEO 2026 Table 4'!$D$10:$AC$10,0))</f>
        <v>9.7757631999999997E-2</v>
      </c>
    </row>
    <row r="14" spans="1:32" x14ac:dyDescent="0.25">
      <c r="A14" t="s">
        <v>478</v>
      </c>
      <c r="B14" t="str">
        <f t="shared" si="0"/>
        <v>residential-other-electricity (BTU)</v>
      </c>
      <c r="C14" t="s">
        <v>1046</v>
      </c>
      <c r="D14" t="s">
        <v>1052</v>
      </c>
      <c r="E14" s="1" t="s">
        <v>1048</v>
      </c>
      <c r="F14" s="44">
        <f>INDEX(Table_4._Residential_Sector_Key!$F$8:$AG$125,MATCH($A14,Table_4._Residential_Sector_Key!$B$8:$B$125,0),MATCH(F$1,Table_4._Residential_Sector_Key!$F$5:$AG$5,0))</f>
        <v>0.100147</v>
      </c>
      <c r="G14">
        <f>INDEX('AEO 2026 Table 4'!$D$14:$AC$144,29,MATCH(G$1,'AEO 2026 Table 4'!$D$10:$AC$10,0))</f>
        <v>9.7011752000000007E-2</v>
      </c>
      <c r="H14">
        <f>INDEX('AEO 2026 Table 4'!$D$14:$AC$144,29,MATCH(H$1,'AEO 2026 Table 4'!$D$10:$AC$10,0))</f>
        <v>9.5323727999999996E-2</v>
      </c>
      <c r="I14">
        <f>INDEX('AEO 2026 Table 4'!$D$14:$AC$144,29,MATCH(I$1,'AEO 2026 Table 4'!$D$10:$AC$10,0))</f>
        <v>9.3864928E-2</v>
      </c>
      <c r="J14">
        <f>INDEX('AEO 2026 Table 4'!$D$14:$AC$144,29,MATCH(J$1,'AEO 2026 Table 4'!$D$10:$AC$10,0))</f>
        <v>9.2523648E-2</v>
      </c>
      <c r="K14">
        <f>INDEX('AEO 2026 Table 4'!$D$14:$AC$144,29,MATCH(K$1,'AEO 2026 Table 4'!$D$10:$AC$10,0))</f>
        <v>9.0934360000000006E-2</v>
      </c>
      <c r="L14">
        <f>INDEX('AEO 2026 Table 4'!$D$14:$AC$144,29,MATCH(L$1,'AEO 2026 Table 4'!$D$10:$AC$10,0))</f>
        <v>8.8982368000000006E-2</v>
      </c>
      <c r="M14">
        <f>INDEX('AEO 2026 Table 4'!$D$14:$AC$144,29,MATCH(M$1,'AEO 2026 Table 4'!$D$10:$AC$10,0))</f>
        <v>8.6906232E-2</v>
      </c>
      <c r="N14">
        <f>INDEX('AEO 2026 Table 4'!$D$14:$AC$144,29,MATCH(N$1,'AEO 2026 Table 4'!$D$10:$AC$10,0))</f>
        <v>8.4864703999999999E-2</v>
      </c>
      <c r="O14">
        <f>INDEX('AEO 2026 Table 4'!$D$14:$AC$144,29,MATCH(O$1,'AEO 2026 Table 4'!$D$10:$AC$10,0))</f>
        <v>8.2885327999999994E-2</v>
      </c>
      <c r="P14">
        <f>INDEX('AEO 2026 Table 4'!$D$14:$AC$144,29,MATCH(P$1,'AEO 2026 Table 4'!$D$10:$AC$10,0))</f>
        <v>8.0946472000000005E-2</v>
      </c>
      <c r="Q14">
        <f>INDEX('AEO 2026 Table 4'!$D$14:$AC$144,29,MATCH(Q$1,'AEO 2026 Table 4'!$D$10:$AC$10,0))</f>
        <v>7.9061928000000004E-2</v>
      </c>
      <c r="R14">
        <f>INDEX('AEO 2026 Table 4'!$D$14:$AC$144,29,MATCH(R$1,'AEO 2026 Table 4'!$D$10:$AC$10,0))</f>
        <v>7.7250440000000004E-2</v>
      </c>
      <c r="S14">
        <f>INDEX('AEO 2026 Table 4'!$D$14:$AC$144,29,MATCH(S$1,'AEO 2026 Table 4'!$D$10:$AC$10,0))</f>
        <v>7.5483776000000002E-2</v>
      </c>
      <c r="T14">
        <f>INDEX('AEO 2026 Table 4'!$D$14:$AC$144,29,MATCH(T$1,'AEO 2026 Table 4'!$D$10:$AC$10,0))</f>
        <v>7.3799192E-2</v>
      </c>
      <c r="U14">
        <f>INDEX('AEO 2026 Table 4'!$D$14:$AC$144,29,MATCH(U$1,'AEO 2026 Table 4'!$D$10:$AC$10,0))</f>
        <v>7.2188823999999999E-2</v>
      </c>
      <c r="V14">
        <f>INDEX('AEO 2026 Table 4'!$D$14:$AC$144,29,MATCH(V$1,'AEO 2026 Table 4'!$D$10:$AC$10,0))</f>
        <v>7.0666976000000006E-2</v>
      </c>
      <c r="W14">
        <f>INDEX('AEO 2026 Table 4'!$D$14:$AC$144,29,MATCH(W$1,'AEO 2026 Table 4'!$D$10:$AC$10,0))</f>
        <v>6.9257791999999999E-2</v>
      </c>
      <c r="X14">
        <f>INDEX('AEO 2026 Table 4'!$D$14:$AC$144,29,MATCH(X$1,'AEO 2026 Table 4'!$D$10:$AC$10,0))</f>
        <v>6.7990159999999994E-2</v>
      </c>
      <c r="Y14">
        <f>INDEX('AEO 2026 Table 4'!$D$14:$AC$144,29,MATCH(Y$1,'AEO 2026 Table 4'!$D$10:$AC$10,0))</f>
        <v>6.6878571999999997E-2</v>
      </c>
      <c r="Z14">
        <f>INDEX('AEO 2026 Table 4'!$D$14:$AC$144,29,MATCH(Z$1,'AEO 2026 Table 4'!$D$10:$AC$10,0))</f>
        <v>6.5919443999999994E-2</v>
      </c>
      <c r="AA14">
        <f>INDEX('AEO 2026 Table 4'!$D$14:$AC$144,29,MATCH(AA$1,'AEO 2026 Table 4'!$D$10:$AC$10,0))</f>
        <v>6.5113632000000005E-2</v>
      </c>
      <c r="AB14">
        <f>INDEX('AEO 2026 Table 4'!$D$14:$AC$144,29,MATCH(AB$1,'AEO 2026 Table 4'!$D$10:$AC$10,0))</f>
        <v>6.4456327999999993E-2</v>
      </c>
      <c r="AC14">
        <f>INDEX('AEO 2026 Table 4'!$D$14:$AC$144,29,MATCH(AC$1,'AEO 2026 Table 4'!$D$10:$AC$10,0))</f>
        <v>6.3892571999999995E-2</v>
      </c>
      <c r="AD14">
        <f>INDEX('AEO 2026 Table 4'!$D$14:$AC$144,29,MATCH(AD$1,'AEO 2026 Table 4'!$D$10:$AC$10,0))</f>
        <v>6.3458587999999996E-2</v>
      </c>
      <c r="AE14">
        <f>INDEX('AEO 2026 Table 4'!$D$14:$AC$144,29,MATCH(AE$1,'AEO 2026 Table 4'!$D$10:$AC$10,0))</f>
        <v>6.3206232000000001E-2</v>
      </c>
      <c r="AF14">
        <f>INDEX('AEO 2026 Table 4'!$D$14:$AC$144,29,MATCH(AF$1,'AEO 2026 Table 4'!$D$10:$AC$10,0))</f>
        <v>6.3082444000000001E-2</v>
      </c>
    </row>
    <row r="15" spans="1:32" x14ac:dyDescent="0.25">
      <c r="A15" t="s">
        <v>481</v>
      </c>
      <c r="B15" t="str">
        <f t="shared" si="0"/>
        <v>residential-cooling-electricity (BTU)</v>
      </c>
      <c r="C15" t="s">
        <v>1046</v>
      </c>
      <c r="D15" t="s">
        <v>1049</v>
      </c>
      <c r="E15" s="1" t="s">
        <v>1048</v>
      </c>
      <c r="F15" s="44">
        <f>INDEX(Table_4._Residential_Sector_Key!$F$8:$AG$125,MATCH($A15,Table_4._Residential_Sector_Key!$B$8:$B$125,0),MATCH(F$1,Table_4._Residential_Sector_Key!$F$5:$AG$5,0))</f>
        <v>0.137569</v>
      </c>
      <c r="G15">
        <f>INDEX('AEO 2026 Table 4'!$D$14:$AC$144,30,MATCH(G$1,'AEO 2026 Table 4'!$D$10:$AC$10,0))</f>
        <v>0.15743579199999999</v>
      </c>
      <c r="H15">
        <f>INDEX('AEO 2026 Table 4'!$D$14:$AC$144,30,MATCH(H$1,'AEO 2026 Table 4'!$D$10:$AC$10,0))</f>
        <v>0.15289734399999999</v>
      </c>
      <c r="I15">
        <f>INDEX('AEO 2026 Table 4'!$D$14:$AC$144,30,MATCH(I$1,'AEO 2026 Table 4'!$D$10:$AC$10,0))</f>
        <v>0.15377766400000001</v>
      </c>
      <c r="J15">
        <f>INDEX('AEO 2026 Table 4'!$D$14:$AC$144,30,MATCH(J$1,'AEO 2026 Table 4'!$D$10:$AC$10,0))</f>
        <v>0.154119168</v>
      </c>
      <c r="K15">
        <f>INDEX('AEO 2026 Table 4'!$D$14:$AC$144,30,MATCH(K$1,'AEO 2026 Table 4'!$D$10:$AC$10,0))</f>
        <v>0.15401436800000001</v>
      </c>
      <c r="L15">
        <f>INDEX('AEO 2026 Table 4'!$D$14:$AC$144,30,MATCH(L$1,'AEO 2026 Table 4'!$D$10:$AC$10,0))</f>
        <v>0.15365110400000001</v>
      </c>
      <c r="M15">
        <f>INDEX('AEO 2026 Table 4'!$D$14:$AC$144,30,MATCH(M$1,'AEO 2026 Table 4'!$D$10:$AC$10,0))</f>
        <v>0.15306988799999999</v>
      </c>
      <c r="N15">
        <f>INDEX('AEO 2026 Table 4'!$D$14:$AC$144,30,MATCH(N$1,'AEO 2026 Table 4'!$D$10:$AC$10,0))</f>
        <v>0.15265783999999999</v>
      </c>
      <c r="O15">
        <f>INDEX('AEO 2026 Table 4'!$D$14:$AC$144,30,MATCH(O$1,'AEO 2026 Table 4'!$D$10:$AC$10,0))</f>
        <v>0.152172368</v>
      </c>
      <c r="P15">
        <f>INDEX('AEO 2026 Table 4'!$D$14:$AC$144,30,MATCH(P$1,'AEO 2026 Table 4'!$D$10:$AC$10,0))</f>
        <v>0.15165830399999999</v>
      </c>
      <c r="Q15">
        <f>INDEX('AEO 2026 Table 4'!$D$14:$AC$144,30,MATCH(Q$1,'AEO 2026 Table 4'!$D$10:$AC$10,0))</f>
        <v>0.15102332800000001</v>
      </c>
      <c r="R15">
        <f>INDEX('AEO 2026 Table 4'!$D$14:$AC$144,30,MATCH(R$1,'AEO 2026 Table 4'!$D$10:$AC$10,0))</f>
        <v>0.15022961600000001</v>
      </c>
      <c r="S15">
        <f>INDEX('AEO 2026 Table 4'!$D$14:$AC$144,30,MATCH(S$1,'AEO 2026 Table 4'!$D$10:$AC$10,0))</f>
        <v>0.14910772799999999</v>
      </c>
      <c r="T15">
        <f>INDEX('AEO 2026 Table 4'!$D$14:$AC$144,30,MATCH(T$1,'AEO 2026 Table 4'!$D$10:$AC$10,0))</f>
        <v>0.147685712</v>
      </c>
      <c r="U15">
        <f>INDEX('AEO 2026 Table 4'!$D$14:$AC$144,30,MATCH(U$1,'AEO 2026 Table 4'!$D$10:$AC$10,0))</f>
        <v>0.145907232</v>
      </c>
      <c r="V15">
        <f>INDEX('AEO 2026 Table 4'!$D$14:$AC$144,30,MATCH(V$1,'AEO 2026 Table 4'!$D$10:$AC$10,0))</f>
        <v>0.14382793599999999</v>
      </c>
      <c r="W15">
        <f>INDEX('AEO 2026 Table 4'!$D$14:$AC$144,30,MATCH(W$1,'AEO 2026 Table 4'!$D$10:$AC$10,0))</f>
        <v>0.14144376</v>
      </c>
      <c r="X15">
        <f>INDEX('AEO 2026 Table 4'!$D$14:$AC$144,30,MATCH(X$1,'AEO 2026 Table 4'!$D$10:$AC$10,0))</f>
        <v>0.13901844799999999</v>
      </c>
      <c r="Y15">
        <f>INDEX('AEO 2026 Table 4'!$D$14:$AC$144,30,MATCH(Y$1,'AEO 2026 Table 4'!$D$10:$AC$10,0))</f>
        <v>0.13644356799999999</v>
      </c>
      <c r="Z15">
        <f>INDEX('AEO 2026 Table 4'!$D$14:$AC$144,30,MATCH(Z$1,'AEO 2026 Table 4'!$D$10:$AC$10,0))</f>
        <v>0.133819296</v>
      </c>
      <c r="AA15">
        <f>INDEX('AEO 2026 Table 4'!$D$14:$AC$144,30,MATCH(AA$1,'AEO 2026 Table 4'!$D$10:$AC$10,0))</f>
        <v>0.13125719199999999</v>
      </c>
      <c r="AB15">
        <f>INDEX('AEO 2026 Table 4'!$D$14:$AC$144,30,MATCH(AB$1,'AEO 2026 Table 4'!$D$10:$AC$10,0))</f>
        <v>0.12870858399999999</v>
      </c>
      <c r="AC15">
        <f>INDEX('AEO 2026 Table 4'!$D$14:$AC$144,30,MATCH(AC$1,'AEO 2026 Table 4'!$D$10:$AC$10,0))</f>
        <v>0.12613221599999999</v>
      </c>
      <c r="AD15">
        <f>INDEX('AEO 2026 Table 4'!$D$14:$AC$144,30,MATCH(AD$1,'AEO 2026 Table 4'!$D$10:$AC$10,0))</f>
        <v>0.12373096</v>
      </c>
      <c r="AE15">
        <f>INDEX('AEO 2026 Table 4'!$D$14:$AC$144,30,MATCH(AE$1,'AEO 2026 Table 4'!$D$10:$AC$10,0))</f>
        <v>0.12151582399999999</v>
      </c>
      <c r="AF15">
        <f>INDEX('AEO 2026 Table 4'!$D$14:$AC$144,30,MATCH(AF$1,'AEO 2026 Table 4'!$D$10:$AC$10,0))</f>
        <v>0.119520032</v>
      </c>
    </row>
    <row r="16" spans="1:32" x14ac:dyDescent="0.25">
      <c r="A16" t="s">
        <v>484</v>
      </c>
      <c r="B16" t="str">
        <f t="shared" si="0"/>
        <v>residential-other-electricity (BTU)</v>
      </c>
      <c r="C16" t="s">
        <v>1046</v>
      </c>
      <c r="D16" t="s">
        <v>1052</v>
      </c>
      <c r="E16" s="1" t="s">
        <v>1048</v>
      </c>
      <c r="F16" s="44">
        <f>INDEX(Table_4._Residential_Sector_Key!$F$8:$AG$125,MATCH($A16,Table_4._Residential_Sector_Key!$B$8:$B$125,0),MATCH(F$1,Table_4._Residential_Sector_Key!$F$5:$AG$5,0))</f>
        <v>1.9528239999999999</v>
      </c>
      <c r="G16">
        <f>INDEX('AEO 2026 Table 4'!$D$14:$AC$144,31,MATCH(G$1,'AEO 2026 Table 4'!$D$10:$AC$10,0))</f>
        <v>2.031976448</v>
      </c>
      <c r="H16">
        <f>INDEX('AEO 2026 Table 4'!$D$14:$AC$144,31,MATCH(H$1,'AEO 2026 Table 4'!$D$10:$AC$10,0))</f>
        <v>2.049780352</v>
      </c>
      <c r="I16">
        <f>INDEX('AEO 2026 Table 4'!$D$14:$AC$144,31,MATCH(I$1,'AEO 2026 Table 4'!$D$10:$AC$10,0))</f>
        <v>1.951656448</v>
      </c>
      <c r="J16">
        <f>INDEX('AEO 2026 Table 4'!$D$14:$AC$144,31,MATCH(J$1,'AEO 2026 Table 4'!$D$10:$AC$10,0))</f>
        <v>1.9885809919999999</v>
      </c>
      <c r="K16">
        <f>INDEX('AEO 2026 Table 4'!$D$14:$AC$144,31,MATCH(K$1,'AEO 2026 Table 4'!$D$10:$AC$10,0))</f>
        <v>2.0226928640000001</v>
      </c>
      <c r="L16">
        <f>INDEX('AEO 2026 Table 4'!$D$14:$AC$144,31,MATCH(L$1,'AEO 2026 Table 4'!$D$10:$AC$10,0))</f>
        <v>2.05212416</v>
      </c>
      <c r="M16">
        <f>INDEX('AEO 2026 Table 4'!$D$14:$AC$144,31,MATCH(M$1,'AEO 2026 Table 4'!$D$10:$AC$10,0))</f>
        <v>2.0794380800000001</v>
      </c>
      <c r="N16">
        <f>INDEX('AEO 2026 Table 4'!$D$14:$AC$144,31,MATCH(N$1,'AEO 2026 Table 4'!$D$10:$AC$10,0))</f>
        <v>2.1075018239999999</v>
      </c>
      <c r="O16">
        <f>INDEX('AEO 2026 Table 4'!$D$14:$AC$144,31,MATCH(O$1,'AEO 2026 Table 4'!$D$10:$AC$10,0))</f>
        <v>2.136621184</v>
      </c>
      <c r="P16">
        <f>INDEX('AEO 2026 Table 4'!$D$14:$AC$144,31,MATCH(P$1,'AEO 2026 Table 4'!$D$10:$AC$10,0))</f>
        <v>2.16900352</v>
      </c>
      <c r="Q16">
        <f>INDEX('AEO 2026 Table 4'!$D$14:$AC$144,31,MATCH(Q$1,'AEO 2026 Table 4'!$D$10:$AC$10,0))</f>
        <v>2.2028142079999999</v>
      </c>
      <c r="R16">
        <f>INDEX('AEO 2026 Table 4'!$D$14:$AC$144,31,MATCH(R$1,'AEO 2026 Table 4'!$D$10:$AC$10,0))</f>
        <v>2.2369771520000001</v>
      </c>
      <c r="S16">
        <f>INDEX('AEO 2026 Table 4'!$D$14:$AC$144,31,MATCH(S$1,'AEO 2026 Table 4'!$D$10:$AC$10,0))</f>
        <v>2.2721592319999999</v>
      </c>
      <c r="T16">
        <f>INDEX('AEO 2026 Table 4'!$D$14:$AC$144,31,MATCH(T$1,'AEO 2026 Table 4'!$D$10:$AC$10,0))</f>
        <v>2.3081410560000002</v>
      </c>
      <c r="U16">
        <f>INDEX('AEO 2026 Table 4'!$D$14:$AC$144,31,MATCH(U$1,'AEO 2026 Table 4'!$D$10:$AC$10,0))</f>
        <v>2.3438041599999999</v>
      </c>
      <c r="V16">
        <f>INDEX('AEO 2026 Table 4'!$D$14:$AC$144,31,MATCH(V$1,'AEO 2026 Table 4'!$D$10:$AC$10,0))</f>
        <v>2.375345152</v>
      </c>
      <c r="W16">
        <f>INDEX('AEO 2026 Table 4'!$D$14:$AC$144,31,MATCH(W$1,'AEO 2026 Table 4'!$D$10:$AC$10,0))</f>
        <v>2.4092917759999999</v>
      </c>
      <c r="X16">
        <f>INDEX('AEO 2026 Table 4'!$D$14:$AC$144,31,MATCH(X$1,'AEO 2026 Table 4'!$D$10:$AC$10,0))</f>
        <v>2.4448616959999998</v>
      </c>
      <c r="Y16">
        <f>INDEX('AEO 2026 Table 4'!$D$14:$AC$144,31,MATCH(Y$1,'AEO 2026 Table 4'!$D$10:$AC$10,0))</f>
        <v>2.4824565760000001</v>
      </c>
      <c r="Z16">
        <f>INDEX('AEO 2026 Table 4'!$D$14:$AC$144,31,MATCH(Z$1,'AEO 2026 Table 4'!$D$10:$AC$10,0))</f>
        <v>2.5210204159999998</v>
      </c>
      <c r="AA16">
        <f>INDEX('AEO 2026 Table 4'!$D$14:$AC$144,31,MATCH(AA$1,'AEO 2026 Table 4'!$D$10:$AC$10,0))</f>
        <v>2.5556628479999999</v>
      </c>
      <c r="AB16">
        <f>INDEX('AEO 2026 Table 4'!$D$14:$AC$144,31,MATCH(AB$1,'AEO 2026 Table 4'!$D$10:$AC$10,0))</f>
        <v>2.5940464639999998</v>
      </c>
      <c r="AC16">
        <f>INDEX('AEO 2026 Table 4'!$D$14:$AC$144,31,MATCH(AC$1,'AEO 2026 Table 4'!$D$10:$AC$10,0))</f>
        <v>2.6318520319999998</v>
      </c>
      <c r="AD16">
        <f>INDEX('AEO 2026 Table 4'!$D$14:$AC$144,31,MATCH(AD$1,'AEO 2026 Table 4'!$D$10:$AC$10,0))</f>
        <v>2.6698111999999998</v>
      </c>
      <c r="AE16">
        <f>INDEX('AEO 2026 Table 4'!$D$14:$AC$144,31,MATCH(AE$1,'AEO 2026 Table 4'!$D$10:$AC$10,0))</f>
        <v>2.7089420799999999</v>
      </c>
      <c r="AF16">
        <f>INDEX('AEO 2026 Table 4'!$D$14:$AC$144,31,MATCH(AF$1,'AEO 2026 Table 4'!$D$10:$AC$10,0))</f>
        <v>2.7488279040000001</v>
      </c>
    </row>
    <row r="17" spans="1:32" x14ac:dyDescent="0.25">
      <c r="A17" t="s">
        <v>487</v>
      </c>
      <c r="B17" t="str">
        <f t="shared" si="0"/>
        <v>residential-total-electricity (BTU)</v>
      </c>
      <c r="C17" t="s">
        <v>1046</v>
      </c>
      <c r="D17" t="s">
        <v>1053</v>
      </c>
      <c r="E17" s="1" t="s">
        <v>1048</v>
      </c>
      <c r="F17" s="44">
        <f>INDEX(Table_4._Residential_Sector_Key!$F$8:$AG$125,MATCH($A17,Table_4._Residential_Sector_Key!$B$8:$B$125,0),MATCH(F$1,Table_4._Residential_Sector_Key!$F$5:$AG$5,0))</f>
        <v>5.273498</v>
      </c>
      <c r="G17">
        <f>INDEX('AEO 2026 Table 4'!$D$14:$AC$144,32,MATCH(G$1,'AEO 2026 Table 4'!$D$10:$AC$10,0))</f>
        <v>5.3316213720000007</v>
      </c>
      <c r="H17">
        <f>INDEX('AEO 2026 Table 4'!$D$14:$AC$144,32,MATCH(H$1,'AEO 2026 Table 4'!$D$10:$AC$10,0))</f>
        <v>5.3623669799999991</v>
      </c>
      <c r="I17">
        <f>INDEX('AEO 2026 Table 4'!$D$14:$AC$144,32,MATCH(I$1,'AEO 2026 Table 4'!$D$10:$AC$10,0))</f>
        <v>5.2717369199999986</v>
      </c>
      <c r="J17">
        <f>INDEX('AEO 2026 Table 4'!$D$14:$AC$144,32,MATCH(J$1,'AEO 2026 Table 4'!$D$10:$AC$10,0))</f>
        <v>5.3177383119999986</v>
      </c>
      <c r="K17">
        <f>INDEX('AEO 2026 Table 4'!$D$14:$AC$144,32,MATCH(K$1,'AEO 2026 Table 4'!$D$10:$AC$10,0))</f>
        <v>5.3427270600000014</v>
      </c>
      <c r="L17">
        <f>INDEX('AEO 2026 Table 4'!$D$14:$AC$144,32,MATCH(L$1,'AEO 2026 Table 4'!$D$10:$AC$10,0))</f>
        <v>5.3451493600000006</v>
      </c>
      <c r="M17">
        <f>INDEX('AEO 2026 Table 4'!$D$14:$AC$144,32,MATCH(M$1,'AEO 2026 Table 4'!$D$10:$AC$10,0))</f>
        <v>5.3415670039999998</v>
      </c>
      <c r="N17">
        <f>INDEX('AEO 2026 Table 4'!$D$14:$AC$144,32,MATCH(N$1,'AEO 2026 Table 4'!$D$10:$AC$10,0))</f>
        <v>5.3418360180000004</v>
      </c>
      <c r="O17">
        <f>INDEX('AEO 2026 Table 4'!$D$14:$AC$144,32,MATCH(O$1,'AEO 2026 Table 4'!$D$10:$AC$10,0))</f>
        <v>5.347222038</v>
      </c>
      <c r="P17">
        <f>INDEX('AEO 2026 Table 4'!$D$14:$AC$144,32,MATCH(P$1,'AEO 2026 Table 4'!$D$10:$AC$10,0))</f>
        <v>5.3599476419999998</v>
      </c>
      <c r="Q17">
        <f>INDEX('AEO 2026 Table 4'!$D$14:$AC$144,32,MATCH(Q$1,'AEO 2026 Table 4'!$D$10:$AC$10,0))</f>
        <v>5.3780041940000007</v>
      </c>
      <c r="R17">
        <f>INDEX('AEO 2026 Table 4'!$D$14:$AC$144,32,MATCH(R$1,'AEO 2026 Table 4'!$D$10:$AC$10,0))</f>
        <v>5.4010543260000006</v>
      </c>
      <c r="S17">
        <f>INDEX('AEO 2026 Table 4'!$D$14:$AC$144,32,MATCH(S$1,'AEO 2026 Table 4'!$D$10:$AC$10,0))</f>
        <v>5.4282283400000004</v>
      </c>
      <c r="T17">
        <f>INDEX('AEO 2026 Table 4'!$D$14:$AC$144,32,MATCH(T$1,'AEO 2026 Table 4'!$D$10:$AC$10,0))</f>
        <v>5.4599227380000013</v>
      </c>
      <c r="U17">
        <f>INDEX('AEO 2026 Table 4'!$D$14:$AC$144,32,MATCH(U$1,'AEO 2026 Table 4'!$D$10:$AC$10,0))</f>
        <v>5.4944391539999993</v>
      </c>
      <c r="V17">
        <f>INDEX('AEO 2026 Table 4'!$D$14:$AC$144,32,MATCH(V$1,'AEO 2026 Table 4'!$D$10:$AC$10,0))</f>
        <v>5.525149442</v>
      </c>
      <c r="W17">
        <f>INDEX('AEO 2026 Table 4'!$D$14:$AC$144,32,MATCH(W$1,'AEO 2026 Table 4'!$D$10:$AC$10,0))</f>
        <v>5.5618986719999999</v>
      </c>
      <c r="X17">
        <f>INDEX('AEO 2026 Table 4'!$D$14:$AC$144,32,MATCH(X$1,'AEO 2026 Table 4'!$D$10:$AC$10,0))</f>
        <v>5.6055650739999994</v>
      </c>
      <c r="Y17">
        <f>INDEX('AEO 2026 Table 4'!$D$14:$AC$144,32,MATCH(Y$1,'AEO 2026 Table 4'!$D$10:$AC$10,0))</f>
        <v>5.6555581939999993</v>
      </c>
      <c r="Z17">
        <f>INDEX('AEO 2026 Table 4'!$D$14:$AC$144,32,MATCH(Z$1,'AEO 2026 Table 4'!$D$10:$AC$10,0))</f>
        <v>5.7074848999999999</v>
      </c>
      <c r="AA17">
        <f>INDEX('AEO 2026 Table 4'!$D$14:$AC$144,32,MATCH(AA$1,'AEO 2026 Table 4'!$D$10:$AC$10,0))</f>
        <v>5.7576741820000006</v>
      </c>
      <c r="AB17">
        <f>INDEX('AEO 2026 Table 4'!$D$14:$AC$144,32,MATCH(AB$1,'AEO 2026 Table 4'!$D$10:$AC$10,0))</f>
        <v>5.810944718</v>
      </c>
      <c r="AC17">
        <f>INDEX('AEO 2026 Table 4'!$D$14:$AC$144,32,MATCH(AC$1,'AEO 2026 Table 4'!$D$10:$AC$10,0))</f>
        <v>5.8628346639999993</v>
      </c>
      <c r="AD17">
        <f>INDEX('AEO 2026 Table 4'!$D$14:$AC$144,32,MATCH(AD$1,'AEO 2026 Table 4'!$D$10:$AC$10,0))</f>
        <v>5.9148232500000004</v>
      </c>
      <c r="AE17">
        <f>INDEX('AEO 2026 Table 4'!$D$14:$AC$144,32,MATCH(AE$1,'AEO 2026 Table 4'!$D$10:$AC$10,0))</f>
        <v>5.9698897759999996</v>
      </c>
      <c r="AF17">
        <f>INDEX('AEO 2026 Table 4'!$D$14:$AC$144,32,MATCH(AF$1,'AEO 2026 Table 4'!$D$10:$AC$10,0))</f>
        <v>6.0259786520000009</v>
      </c>
    </row>
    <row r="18" spans="1:32" x14ac:dyDescent="0.25">
      <c r="A18" t="s">
        <v>490</v>
      </c>
      <c r="B18" t="str">
        <f t="shared" si="0"/>
        <v>residential-NA-electricity (BTU)</v>
      </c>
      <c r="C18" t="s">
        <v>1046</v>
      </c>
      <c r="D18" t="s">
        <v>1054</v>
      </c>
      <c r="E18" s="1" t="s">
        <v>1048</v>
      </c>
      <c r="F18" s="44">
        <f>INDEX(Table_4._Residential_Sector_Key!$F$8:$AG$125,MATCH($A18,Table_4._Residential_Sector_Key!$B$8:$B$125,0),MATCH(F$1,Table_4._Residential_Sector_Key!$F$5:$AG$5,0))</f>
        <v>4.4337000000000001E-2</v>
      </c>
      <c r="G18">
        <f>INDEX('AEO 2026 Table 4'!$D$14:$AC$144,33,MATCH(G$1,'AEO 2026 Table 4'!$D$10:$AC$10,0))</f>
        <v>7.0134922862052917E-2</v>
      </c>
      <c r="H18">
        <f>INDEX('AEO 2026 Table 4'!$D$14:$AC$144,33,MATCH(H$1,'AEO 2026 Table 4'!$D$10:$AC$10,0))</f>
        <v>9.1486945748329163E-2</v>
      </c>
      <c r="I18">
        <f>INDEX('AEO 2026 Table 4'!$D$14:$AC$144,33,MATCH(I$1,'AEO 2026 Table 4'!$D$10:$AC$10,0))</f>
        <v>0.1193008199334145</v>
      </c>
      <c r="J18">
        <f>INDEX('AEO 2026 Table 4'!$D$14:$AC$144,33,MATCH(J$1,'AEO 2026 Table 4'!$D$10:$AC$10,0))</f>
        <v>0.15019077062606809</v>
      </c>
      <c r="K18">
        <f>INDEX('AEO 2026 Table 4'!$D$14:$AC$144,33,MATCH(K$1,'AEO 2026 Table 4'!$D$10:$AC$10,0))</f>
        <v>0.18050052225589749</v>
      </c>
      <c r="L18">
        <f>INDEX('AEO 2026 Table 4'!$D$14:$AC$144,33,MATCH(L$1,'AEO 2026 Table 4'!$D$10:$AC$10,0))</f>
        <v>0.20873008668422699</v>
      </c>
      <c r="M18">
        <f>INDEX('AEO 2026 Table 4'!$D$14:$AC$144,33,MATCH(M$1,'AEO 2026 Table 4'!$D$10:$AC$10,0))</f>
        <v>0.23311989009380341</v>
      </c>
      <c r="N18">
        <f>INDEX('AEO 2026 Table 4'!$D$14:$AC$144,33,MATCH(N$1,'AEO 2026 Table 4'!$D$10:$AC$10,0))</f>
        <v>0.25518804788589478</v>
      </c>
      <c r="O18">
        <f>INDEX('AEO 2026 Table 4'!$D$14:$AC$144,33,MATCH(O$1,'AEO 2026 Table 4'!$D$10:$AC$10,0))</f>
        <v>0.2769947350025177</v>
      </c>
      <c r="P18">
        <f>INDEX('AEO 2026 Table 4'!$D$14:$AC$144,33,MATCH(P$1,'AEO 2026 Table 4'!$D$10:$AC$10,0))</f>
        <v>0.29923674464225769</v>
      </c>
      <c r="Q18">
        <f>INDEX('AEO 2026 Table 4'!$D$14:$AC$144,33,MATCH(Q$1,'AEO 2026 Table 4'!$D$10:$AC$10,0))</f>
        <v>0.32176563143730158</v>
      </c>
      <c r="R18">
        <f>INDEX('AEO 2026 Table 4'!$D$14:$AC$144,33,MATCH(R$1,'AEO 2026 Table 4'!$D$10:$AC$10,0))</f>
        <v>0.3443218469619751</v>
      </c>
      <c r="S18">
        <f>INDEX('AEO 2026 Table 4'!$D$14:$AC$144,33,MATCH(S$1,'AEO 2026 Table 4'!$D$10:$AC$10,0))</f>
        <v>0.36690127849578857</v>
      </c>
      <c r="T18">
        <f>INDEX('AEO 2026 Table 4'!$D$14:$AC$144,33,MATCH(T$1,'AEO 2026 Table 4'!$D$10:$AC$10,0))</f>
        <v>0.38932192325592041</v>
      </c>
      <c r="U18">
        <f>INDEX('AEO 2026 Table 4'!$D$14:$AC$144,33,MATCH(U$1,'AEO 2026 Table 4'!$D$10:$AC$10,0))</f>
        <v>0.41114059090614319</v>
      </c>
      <c r="V18">
        <f>INDEX('AEO 2026 Table 4'!$D$14:$AC$144,33,MATCH(V$1,'AEO 2026 Table 4'!$D$10:$AC$10,0))</f>
        <v>0.43246880173683172</v>
      </c>
      <c r="W18">
        <f>INDEX('AEO 2026 Table 4'!$D$14:$AC$144,33,MATCH(W$1,'AEO 2026 Table 4'!$D$10:$AC$10,0))</f>
        <v>0.4527735710144043</v>
      </c>
      <c r="X18">
        <f>INDEX('AEO 2026 Table 4'!$D$14:$AC$144,33,MATCH(X$1,'AEO 2026 Table 4'!$D$10:$AC$10,0))</f>
        <v>0.47238817811012268</v>
      </c>
      <c r="Y18">
        <f>INDEX('AEO 2026 Table 4'!$D$14:$AC$144,33,MATCH(Y$1,'AEO 2026 Table 4'!$D$10:$AC$10,0))</f>
        <v>0.49130412936210632</v>
      </c>
      <c r="Z18">
        <f>INDEX('AEO 2026 Table 4'!$D$14:$AC$144,33,MATCH(Z$1,'AEO 2026 Table 4'!$D$10:$AC$10,0))</f>
        <v>0.50966900587081909</v>
      </c>
      <c r="AA18">
        <f>INDEX('AEO 2026 Table 4'!$D$14:$AC$144,33,MATCH(AA$1,'AEO 2026 Table 4'!$D$10:$AC$10,0))</f>
        <v>0.52751326560974121</v>
      </c>
      <c r="AB18">
        <f>INDEX('AEO 2026 Table 4'!$D$14:$AC$144,33,MATCH(AB$1,'AEO 2026 Table 4'!$D$10:$AC$10,0))</f>
        <v>0.54464465379714966</v>
      </c>
      <c r="AC18">
        <f>INDEX('AEO 2026 Table 4'!$D$14:$AC$144,33,MATCH(AC$1,'AEO 2026 Table 4'!$D$10:$AC$10,0))</f>
        <v>0.56095385551452637</v>
      </c>
      <c r="AD18">
        <f>INDEX('AEO 2026 Table 4'!$D$14:$AC$144,33,MATCH(AD$1,'AEO 2026 Table 4'!$D$10:$AC$10,0))</f>
        <v>0.57689332962036133</v>
      </c>
      <c r="AE18">
        <f>INDEX('AEO 2026 Table 4'!$D$14:$AC$144,33,MATCH(AE$1,'AEO 2026 Table 4'!$D$10:$AC$10,0))</f>
        <v>0.59221106767654419</v>
      </c>
      <c r="AF18">
        <f>INDEX('AEO 2026 Table 4'!$D$14:$AC$144,33,MATCH(AF$1,'AEO 2026 Table 4'!$D$10:$AC$10,0))</f>
        <v>0.60719448328018188</v>
      </c>
    </row>
    <row r="19" spans="1:32" x14ac:dyDescent="0.25">
      <c r="A19" t="s">
        <v>493</v>
      </c>
      <c r="B19" t="str">
        <f t="shared" si="0"/>
        <v>residential-NA-electricity (BTU)</v>
      </c>
      <c r="C19" t="s">
        <v>1046</v>
      </c>
      <c r="D19" t="s">
        <v>1054</v>
      </c>
      <c r="E19" s="1" t="s">
        <v>1048</v>
      </c>
      <c r="F19" s="44">
        <f>INDEX(Table_4._Residential_Sector_Key!$F$8:$AG$125,MATCH($A19,Table_4._Residential_Sector_Key!$B$8:$B$125,0),MATCH(F$1,Table_4._Residential_Sector_Key!$F$5:$AG$5,0))</f>
        <v>0.175875</v>
      </c>
      <c r="G19">
        <f>INDEX('AEO 2026 Table 4'!$D$14:$AC$144,34,MATCH(G$1,'AEO 2026 Table 4'!$D$10:$AC$10,0))</f>
        <v>0.18513305485248571</v>
      </c>
      <c r="H19">
        <f>INDEX('AEO 2026 Table 4'!$D$14:$AC$144,34,MATCH(H$1,'AEO 2026 Table 4'!$D$10:$AC$10,0))</f>
        <v>0.19618113338947299</v>
      </c>
      <c r="I19">
        <f>INDEX('AEO 2026 Table 4'!$D$14:$AC$144,34,MATCH(I$1,'AEO 2026 Table 4'!$D$10:$AC$10,0))</f>
        <v>0.20806993544101721</v>
      </c>
      <c r="J19">
        <f>INDEX('AEO 2026 Table 4'!$D$14:$AC$144,34,MATCH(J$1,'AEO 2026 Table 4'!$D$10:$AC$10,0))</f>
        <v>0.2202898561954498</v>
      </c>
      <c r="K19">
        <f>INDEX('AEO 2026 Table 4'!$D$14:$AC$144,34,MATCH(K$1,'AEO 2026 Table 4'!$D$10:$AC$10,0))</f>
        <v>0.23191364109516141</v>
      </c>
      <c r="L19">
        <f>INDEX('AEO 2026 Table 4'!$D$14:$AC$144,34,MATCH(L$1,'AEO 2026 Table 4'!$D$10:$AC$10,0))</f>
        <v>0.24404700100421911</v>
      </c>
      <c r="M19">
        <f>INDEX('AEO 2026 Table 4'!$D$14:$AC$144,34,MATCH(M$1,'AEO 2026 Table 4'!$D$10:$AC$10,0))</f>
        <v>0.25698700547218323</v>
      </c>
      <c r="N19">
        <f>INDEX('AEO 2026 Table 4'!$D$14:$AC$144,34,MATCH(N$1,'AEO 2026 Table 4'!$D$10:$AC$10,0))</f>
        <v>0.26999360322952271</v>
      </c>
      <c r="O19">
        <f>INDEX('AEO 2026 Table 4'!$D$14:$AC$144,34,MATCH(O$1,'AEO 2026 Table 4'!$D$10:$AC$10,0))</f>
        <v>0.28355693817138672</v>
      </c>
      <c r="P19">
        <f>INDEX('AEO 2026 Table 4'!$D$14:$AC$144,34,MATCH(P$1,'AEO 2026 Table 4'!$D$10:$AC$10,0))</f>
        <v>0.29791304469108582</v>
      </c>
      <c r="Q19">
        <f>INDEX('AEO 2026 Table 4'!$D$14:$AC$144,34,MATCH(Q$1,'AEO 2026 Table 4'!$D$10:$AC$10,0))</f>
        <v>0.31315085291862488</v>
      </c>
      <c r="R19">
        <f>INDEX('AEO 2026 Table 4'!$D$14:$AC$144,34,MATCH(R$1,'AEO 2026 Table 4'!$D$10:$AC$10,0))</f>
        <v>0.32913258671760559</v>
      </c>
      <c r="S19">
        <f>INDEX('AEO 2026 Table 4'!$D$14:$AC$144,34,MATCH(S$1,'AEO 2026 Table 4'!$D$10:$AC$10,0))</f>
        <v>0.3461628258228302</v>
      </c>
      <c r="T19">
        <f>INDEX('AEO 2026 Table 4'!$D$14:$AC$144,34,MATCH(T$1,'AEO 2026 Table 4'!$D$10:$AC$10,0))</f>
        <v>0.36398994922637939</v>
      </c>
      <c r="U19">
        <f>INDEX('AEO 2026 Table 4'!$D$14:$AC$144,34,MATCH(U$1,'AEO 2026 Table 4'!$D$10:$AC$10,0))</f>
        <v>0.38263362646102911</v>
      </c>
      <c r="V19">
        <f>INDEX('AEO 2026 Table 4'!$D$14:$AC$144,34,MATCH(V$1,'AEO 2026 Table 4'!$D$10:$AC$10,0))</f>
        <v>0.40191635489463812</v>
      </c>
      <c r="W19">
        <f>INDEX('AEO 2026 Table 4'!$D$14:$AC$144,34,MATCH(W$1,'AEO 2026 Table 4'!$D$10:$AC$10,0))</f>
        <v>0.42191752791404719</v>
      </c>
      <c r="X19">
        <f>INDEX('AEO 2026 Table 4'!$D$14:$AC$144,34,MATCH(X$1,'AEO 2026 Table 4'!$D$10:$AC$10,0))</f>
        <v>0.44253355264663702</v>
      </c>
      <c r="Y19">
        <f>INDEX('AEO 2026 Table 4'!$D$14:$AC$144,34,MATCH(Y$1,'AEO 2026 Table 4'!$D$10:$AC$10,0))</f>
        <v>0.46366396546363831</v>
      </c>
      <c r="Z19">
        <f>INDEX('AEO 2026 Table 4'!$D$14:$AC$144,34,MATCH(Z$1,'AEO 2026 Table 4'!$D$10:$AC$10,0))</f>
        <v>0.48558345437049871</v>
      </c>
      <c r="AA19">
        <f>INDEX('AEO 2026 Table 4'!$D$14:$AC$144,34,MATCH(AA$1,'AEO 2026 Table 4'!$D$10:$AC$10,0))</f>
        <v>0.50805890560150146</v>
      </c>
      <c r="AB19">
        <f>INDEX('AEO 2026 Table 4'!$D$14:$AC$144,34,MATCH(AB$1,'AEO 2026 Table 4'!$D$10:$AC$10,0))</f>
        <v>0.53128021955490112</v>
      </c>
      <c r="AC19">
        <f>INDEX('AEO 2026 Table 4'!$D$14:$AC$144,34,MATCH(AC$1,'AEO 2026 Table 4'!$D$10:$AC$10,0))</f>
        <v>0.55522787570953369</v>
      </c>
      <c r="AD19">
        <f>INDEX('AEO 2026 Table 4'!$D$14:$AC$144,34,MATCH(AD$1,'AEO 2026 Table 4'!$D$10:$AC$10,0))</f>
        <v>0.58007967472076416</v>
      </c>
      <c r="AE19">
        <f>INDEX('AEO 2026 Table 4'!$D$14:$AC$144,34,MATCH(AE$1,'AEO 2026 Table 4'!$D$10:$AC$10,0))</f>
        <v>0.60541057586669922</v>
      </c>
      <c r="AF19">
        <f>INDEX('AEO 2026 Table 4'!$D$14:$AC$144,34,MATCH(AF$1,'AEO 2026 Table 4'!$D$10:$AC$10,0))</f>
        <v>0.63153308629989624</v>
      </c>
    </row>
    <row r="20" spans="1:32" x14ac:dyDescent="0.25">
      <c r="A20" t="s">
        <v>496</v>
      </c>
      <c r="B20" t="str">
        <f t="shared" si="0"/>
        <v>residential-total-electricity (BTU)</v>
      </c>
      <c r="C20" t="s">
        <v>1046</v>
      </c>
      <c r="D20" t="s">
        <v>1053</v>
      </c>
      <c r="E20" s="1" t="s">
        <v>1048</v>
      </c>
      <c r="F20" s="44">
        <f>INDEX(Table_4._Residential_Sector_Key!$F$8:$AG$125,MATCH($A20,Table_4._Residential_Sector_Key!$B$8:$B$125,0),MATCH(F$1,Table_4._Residential_Sector_Key!$F$5:$AG$5,0))</f>
        <v>5.1419589999999999</v>
      </c>
      <c r="G20">
        <f>INDEX('AEO 2026 Table 4'!$D$14:$AC$144,35,MATCH(G$1,'AEO 2026 Table 4'!$D$10:$AC$10,0))</f>
        <v>5.216623240009568</v>
      </c>
      <c r="H20">
        <f>INDEX('AEO 2026 Table 4'!$D$14:$AC$144,35,MATCH(H$1,'AEO 2026 Table 4'!$D$10:$AC$10,0))</f>
        <v>5.2576727923588553</v>
      </c>
      <c r="I20">
        <f>INDEX('AEO 2026 Table 4'!$D$14:$AC$144,35,MATCH(I$1,'AEO 2026 Table 4'!$D$10:$AC$10,0))</f>
        <v>5.1829678044923968</v>
      </c>
      <c r="J20">
        <f>INDEX('AEO 2026 Table 4'!$D$14:$AC$144,35,MATCH(J$1,'AEO 2026 Table 4'!$D$10:$AC$10,0))</f>
        <v>5.2476392264306178</v>
      </c>
      <c r="K20">
        <f>INDEX('AEO 2026 Table 4'!$D$14:$AC$144,35,MATCH(K$1,'AEO 2026 Table 4'!$D$10:$AC$10,0))</f>
        <v>5.2913139411607366</v>
      </c>
      <c r="L20">
        <f>INDEX('AEO 2026 Table 4'!$D$14:$AC$144,35,MATCH(L$1,'AEO 2026 Table 4'!$D$10:$AC$10,0))</f>
        <v>5.3098324456800086</v>
      </c>
      <c r="M20">
        <f>INDEX('AEO 2026 Table 4'!$D$14:$AC$144,35,MATCH(M$1,'AEO 2026 Table 4'!$D$10:$AC$10,0))</f>
        <v>5.31769988862162</v>
      </c>
      <c r="N20">
        <f>INDEX('AEO 2026 Table 4'!$D$14:$AC$144,35,MATCH(N$1,'AEO 2026 Table 4'!$D$10:$AC$10,0))</f>
        <v>5.3270304626563716</v>
      </c>
      <c r="O20">
        <f>INDEX('AEO 2026 Table 4'!$D$14:$AC$144,35,MATCH(O$1,'AEO 2026 Table 4'!$D$10:$AC$10,0))</f>
        <v>5.3406598348311309</v>
      </c>
      <c r="P20">
        <f>INDEX('AEO 2026 Table 4'!$D$14:$AC$144,35,MATCH(P$1,'AEO 2026 Table 4'!$D$10:$AC$10,0))</f>
        <v>5.3612713419511717</v>
      </c>
      <c r="Q20">
        <f>INDEX('AEO 2026 Table 4'!$D$14:$AC$144,35,MATCH(Q$1,'AEO 2026 Table 4'!$D$10:$AC$10,0))</f>
        <v>5.3866189725186766</v>
      </c>
      <c r="R20">
        <f>INDEX('AEO 2026 Table 4'!$D$14:$AC$144,35,MATCH(R$1,'AEO 2026 Table 4'!$D$10:$AC$10,0))</f>
        <v>5.4162435862443701</v>
      </c>
      <c r="S20">
        <f>INDEX('AEO 2026 Table 4'!$D$14:$AC$144,35,MATCH(S$1,'AEO 2026 Table 4'!$D$10:$AC$10,0))</f>
        <v>5.4489667926729588</v>
      </c>
      <c r="T20">
        <f>INDEX('AEO 2026 Table 4'!$D$14:$AC$144,35,MATCH(T$1,'AEO 2026 Table 4'!$D$10:$AC$10,0))</f>
        <v>5.4852547120295423</v>
      </c>
      <c r="U20">
        <f>INDEX('AEO 2026 Table 4'!$D$14:$AC$144,35,MATCH(U$1,'AEO 2026 Table 4'!$D$10:$AC$10,0))</f>
        <v>5.5229461184451134</v>
      </c>
      <c r="V20">
        <f>INDEX('AEO 2026 Table 4'!$D$14:$AC$144,35,MATCH(V$1,'AEO 2026 Table 4'!$D$10:$AC$10,0))</f>
        <v>5.5557018888421936</v>
      </c>
      <c r="W20">
        <f>INDEX('AEO 2026 Table 4'!$D$14:$AC$144,35,MATCH(W$1,'AEO 2026 Table 4'!$D$10:$AC$10,0))</f>
        <v>5.5927547151003569</v>
      </c>
      <c r="X20">
        <f>INDEX('AEO 2026 Table 4'!$D$14:$AC$144,35,MATCH(X$1,'AEO 2026 Table 4'!$D$10:$AC$10,0))</f>
        <v>5.6354196994634851</v>
      </c>
      <c r="Y20">
        <f>INDEX('AEO 2026 Table 4'!$D$14:$AC$144,35,MATCH(Y$1,'AEO 2026 Table 4'!$D$10:$AC$10,0))</f>
        <v>5.6831983578984673</v>
      </c>
      <c r="Z20">
        <f>INDEX('AEO 2026 Table 4'!$D$14:$AC$144,35,MATCH(Z$1,'AEO 2026 Table 4'!$D$10:$AC$10,0))</f>
        <v>5.7315704515003203</v>
      </c>
      <c r="AA20">
        <f>INDEX('AEO 2026 Table 4'!$D$14:$AC$144,35,MATCH(AA$1,'AEO 2026 Table 4'!$D$10:$AC$10,0))</f>
        <v>5.7771285420082403</v>
      </c>
      <c r="AB20">
        <f>INDEX('AEO 2026 Table 4'!$D$14:$AC$144,35,MATCH(AB$1,'AEO 2026 Table 4'!$D$10:$AC$10,0))</f>
        <v>5.8243091522422494</v>
      </c>
      <c r="AC20">
        <f>INDEX('AEO 2026 Table 4'!$D$14:$AC$144,35,MATCH(AC$1,'AEO 2026 Table 4'!$D$10:$AC$10,0))</f>
        <v>5.868560643804992</v>
      </c>
      <c r="AD20">
        <f>INDEX('AEO 2026 Table 4'!$D$14:$AC$144,35,MATCH(AD$1,'AEO 2026 Table 4'!$D$10:$AC$10,0))</f>
        <v>5.9116369048995976</v>
      </c>
      <c r="AE20">
        <f>INDEX('AEO 2026 Table 4'!$D$14:$AC$144,35,MATCH(AE$1,'AEO 2026 Table 4'!$D$10:$AC$10,0))</f>
        <v>5.9566902678098446</v>
      </c>
      <c r="AF20">
        <f>INDEX('AEO 2026 Table 4'!$D$14:$AC$144,35,MATCH(AF$1,'AEO 2026 Table 4'!$D$10:$AC$10,0))</f>
        <v>6.0016400489802866</v>
      </c>
    </row>
    <row r="21" spans="1:32" x14ac:dyDescent="0.25">
      <c r="A21" t="s">
        <v>499</v>
      </c>
      <c r="B21" t="str">
        <f t="shared" si="0"/>
        <v>residential-heating-natural gas (BTU)</v>
      </c>
      <c r="C21" t="s">
        <v>1046</v>
      </c>
      <c r="D21" t="s">
        <v>1047</v>
      </c>
      <c r="E21" s="1" t="s">
        <v>1055</v>
      </c>
      <c r="F21" s="44">
        <f>INDEX(Table_4._Residential_Sector_Key!$F$8:$AG$125,MATCH($A21,Table_4._Residential_Sector_Key!$B$8:$B$125,0),MATCH(F$1,Table_4._Residential_Sector_Key!$F$5:$AG$5,0))</f>
        <v>2.7779120000000002</v>
      </c>
      <c r="G21">
        <f>INDEX('AEO 2026 Table 4'!$D$14:$AC$144,38,MATCH(G$1,'AEO 2026 Table 4'!$D$10:$AC$10,0))</f>
        <v>3.118029312</v>
      </c>
      <c r="H21">
        <f>INDEX('AEO 2026 Table 4'!$D$14:$AC$144,38,MATCH(H$1,'AEO 2026 Table 4'!$D$10:$AC$10,0))</f>
        <v>2.929732096</v>
      </c>
      <c r="I21">
        <f>INDEX('AEO 2026 Table 4'!$D$14:$AC$144,38,MATCH(I$1,'AEO 2026 Table 4'!$D$10:$AC$10,0))</f>
        <v>3.0470679039999999</v>
      </c>
      <c r="J21">
        <f>INDEX('AEO 2026 Table 4'!$D$14:$AC$144,38,MATCH(J$1,'AEO 2026 Table 4'!$D$10:$AC$10,0))</f>
        <v>3.0283389440000001</v>
      </c>
      <c r="K21">
        <f>INDEX('AEO 2026 Table 4'!$D$14:$AC$144,38,MATCH(K$1,'AEO 2026 Table 4'!$D$10:$AC$10,0))</f>
        <v>2.9919605759999999</v>
      </c>
      <c r="L21">
        <f>INDEX('AEO 2026 Table 4'!$D$14:$AC$144,38,MATCH(L$1,'AEO 2026 Table 4'!$D$10:$AC$10,0))</f>
        <v>2.9475128320000001</v>
      </c>
      <c r="M21">
        <f>INDEX('AEO 2026 Table 4'!$D$14:$AC$144,38,MATCH(M$1,'AEO 2026 Table 4'!$D$10:$AC$10,0))</f>
        <v>2.900389632</v>
      </c>
      <c r="N21">
        <f>INDEX('AEO 2026 Table 4'!$D$14:$AC$144,38,MATCH(N$1,'AEO 2026 Table 4'!$D$10:$AC$10,0))</f>
        <v>2.8565015040000001</v>
      </c>
      <c r="O21">
        <f>INDEX('AEO 2026 Table 4'!$D$14:$AC$144,38,MATCH(O$1,'AEO 2026 Table 4'!$D$10:$AC$10,0))</f>
        <v>2.8131284480000001</v>
      </c>
      <c r="P21">
        <f>INDEX('AEO 2026 Table 4'!$D$14:$AC$144,38,MATCH(P$1,'AEO 2026 Table 4'!$D$10:$AC$10,0))</f>
        <v>2.772394496</v>
      </c>
      <c r="Q21">
        <f>INDEX('AEO 2026 Table 4'!$D$14:$AC$144,38,MATCH(Q$1,'AEO 2026 Table 4'!$D$10:$AC$10,0))</f>
        <v>2.7328186880000001</v>
      </c>
      <c r="R21">
        <f>INDEX('AEO 2026 Table 4'!$D$14:$AC$144,38,MATCH(R$1,'AEO 2026 Table 4'!$D$10:$AC$10,0))</f>
        <v>2.6957132800000001</v>
      </c>
      <c r="S21">
        <f>INDEX('AEO 2026 Table 4'!$D$14:$AC$144,38,MATCH(S$1,'AEO 2026 Table 4'!$D$10:$AC$10,0))</f>
        <v>2.6580510720000001</v>
      </c>
      <c r="T21">
        <f>INDEX('AEO 2026 Table 4'!$D$14:$AC$144,38,MATCH(T$1,'AEO 2026 Table 4'!$D$10:$AC$10,0))</f>
        <v>2.622240256</v>
      </c>
      <c r="U21">
        <f>INDEX('AEO 2026 Table 4'!$D$14:$AC$144,38,MATCH(U$1,'AEO 2026 Table 4'!$D$10:$AC$10,0))</f>
        <v>2.5871393280000001</v>
      </c>
      <c r="V21">
        <f>INDEX('AEO 2026 Table 4'!$D$14:$AC$144,38,MATCH(V$1,'AEO 2026 Table 4'!$D$10:$AC$10,0))</f>
        <v>2.5533125120000002</v>
      </c>
      <c r="W21">
        <f>INDEX('AEO 2026 Table 4'!$D$14:$AC$144,38,MATCH(W$1,'AEO 2026 Table 4'!$D$10:$AC$10,0))</f>
        <v>2.519939328</v>
      </c>
      <c r="X21">
        <f>INDEX('AEO 2026 Table 4'!$D$14:$AC$144,38,MATCH(X$1,'AEO 2026 Table 4'!$D$10:$AC$10,0))</f>
        <v>2.4903383039999998</v>
      </c>
      <c r="Y21">
        <f>INDEX('AEO 2026 Table 4'!$D$14:$AC$144,38,MATCH(Y$1,'AEO 2026 Table 4'!$D$10:$AC$10,0))</f>
        <v>2.4626063359999999</v>
      </c>
      <c r="Z21">
        <f>INDEX('AEO 2026 Table 4'!$D$14:$AC$144,38,MATCH(Z$1,'AEO 2026 Table 4'!$D$10:$AC$10,0))</f>
        <v>2.4366440960000002</v>
      </c>
      <c r="AA21">
        <f>INDEX('AEO 2026 Table 4'!$D$14:$AC$144,38,MATCH(AA$1,'AEO 2026 Table 4'!$D$10:$AC$10,0))</f>
        <v>2.412092672</v>
      </c>
      <c r="AB21">
        <f>INDEX('AEO 2026 Table 4'!$D$14:$AC$144,38,MATCH(AB$1,'AEO 2026 Table 4'!$D$10:$AC$10,0))</f>
        <v>2.3866539520000001</v>
      </c>
      <c r="AC21">
        <f>INDEX('AEO 2026 Table 4'!$D$14:$AC$144,38,MATCH(AC$1,'AEO 2026 Table 4'!$D$10:$AC$10,0))</f>
        <v>2.3599639039999998</v>
      </c>
      <c r="AD21">
        <f>INDEX('AEO 2026 Table 4'!$D$14:$AC$144,38,MATCH(AD$1,'AEO 2026 Table 4'!$D$10:$AC$10,0))</f>
        <v>2.3336017920000001</v>
      </c>
      <c r="AE21">
        <f>INDEX('AEO 2026 Table 4'!$D$14:$AC$144,38,MATCH(AE$1,'AEO 2026 Table 4'!$D$10:$AC$10,0))</f>
        <v>2.30767744</v>
      </c>
      <c r="AF21">
        <f>INDEX('AEO 2026 Table 4'!$D$14:$AC$144,38,MATCH(AF$1,'AEO 2026 Table 4'!$D$10:$AC$10,0))</f>
        <v>2.2826296319999999</v>
      </c>
    </row>
    <row r="22" spans="1:32" x14ac:dyDescent="0.25">
      <c r="A22" t="s">
        <v>501</v>
      </c>
      <c r="B22" t="str">
        <f t="shared" si="0"/>
        <v>residential-cooling-natural gas (BTU)</v>
      </c>
      <c r="C22" t="s">
        <v>1046</v>
      </c>
      <c r="D22" t="s">
        <v>1049</v>
      </c>
      <c r="E22" s="1" t="s">
        <v>1055</v>
      </c>
      <c r="F22" s="44">
        <f>INDEX(Table_4._Residential_Sector_Key!$F$8:$AG$125,MATCH($A22,Table_4._Residential_Sector_Key!$B$8:$B$125,0),MATCH(F$1,Table_4._Residential_Sector_Key!$F$5:$AG$5,0))</f>
        <v>6.3499E-2</v>
      </c>
      <c r="G22">
        <f>INDEX('AEO 2026 Table 4'!$D$14:$AC$144,39,MATCH(G$1,'AEO 2026 Table 4'!$D$10:$AC$10,0))</f>
        <v>5.8598367999999998E-2</v>
      </c>
      <c r="H22">
        <f>INDEX('AEO 2026 Table 4'!$D$14:$AC$144,39,MATCH(H$1,'AEO 2026 Table 4'!$D$10:$AC$10,0))</f>
        <v>6.2154656000000003E-2</v>
      </c>
      <c r="I22">
        <f>INDEX('AEO 2026 Table 4'!$D$14:$AC$144,39,MATCH(I$1,'AEO 2026 Table 4'!$D$10:$AC$10,0))</f>
        <v>6.2590276E-2</v>
      </c>
      <c r="J22">
        <f>INDEX('AEO 2026 Table 4'!$D$14:$AC$144,39,MATCH(J$1,'AEO 2026 Table 4'!$D$10:$AC$10,0))</f>
        <v>6.2752188E-2</v>
      </c>
      <c r="K22">
        <f>INDEX('AEO 2026 Table 4'!$D$14:$AC$144,39,MATCH(K$1,'AEO 2026 Table 4'!$D$10:$AC$10,0))</f>
        <v>6.271148E-2</v>
      </c>
      <c r="L22">
        <f>INDEX('AEO 2026 Table 4'!$D$14:$AC$144,39,MATCH(L$1,'AEO 2026 Table 4'!$D$10:$AC$10,0))</f>
        <v>6.2575855999999999E-2</v>
      </c>
      <c r="M22">
        <f>INDEX('AEO 2026 Table 4'!$D$14:$AC$144,39,MATCH(M$1,'AEO 2026 Table 4'!$D$10:$AC$10,0))</f>
        <v>6.2453203999999998E-2</v>
      </c>
      <c r="N22">
        <f>INDEX('AEO 2026 Table 4'!$D$14:$AC$144,39,MATCH(N$1,'AEO 2026 Table 4'!$D$10:$AC$10,0))</f>
        <v>6.2430064E-2</v>
      </c>
      <c r="O22">
        <f>INDEX('AEO 2026 Table 4'!$D$14:$AC$144,39,MATCH(O$1,'AEO 2026 Table 4'!$D$10:$AC$10,0))</f>
        <v>6.2446396000000001E-2</v>
      </c>
      <c r="P22">
        <f>INDEX('AEO 2026 Table 4'!$D$14:$AC$144,39,MATCH(P$1,'AEO 2026 Table 4'!$D$10:$AC$10,0))</f>
        <v>6.2544996000000005E-2</v>
      </c>
      <c r="Q22">
        <f>INDEX('AEO 2026 Table 4'!$D$14:$AC$144,39,MATCH(Q$1,'AEO 2026 Table 4'!$D$10:$AC$10,0))</f>
        <v>6.2666996000000003E-2</v>
      </c>
      <c r="R22">
        <f>INDEX('AEO 2026 Table 4'!$D$14:$AC$144,39,MATCH(R$1,'AEO 2026 Table 4'!$D$10:$AC$10,0))</f>
        <v>6.2853296000000003E-2</v>
      </c>
      <c r="S22">
        <f>INDEX('AEO 2026 Table 4'!$D$14:$AC$144,39,MATCH(S$1,'AEO 2026 Table 4'!$D$10:$AC$10,0))</f>
        <v>6.3069548000000003E-2</v>
      </c>
      <c r="T22">
        <f>INDEX('AEO 2026 Table 4'!$D$14:$AC$144,39,MATCH(T$1,'AEO 2026 Table 4'!$D$10:$AC$10,0))</f>
        <v>6.3308059999999999E-2</v>
      </c>
      <c r="U22">
        <f>INDEX('AEO 2026 Table 4'!$D$14:$AC$144,39,MATCH(U$1,'AEO 2026 Table 4'!$D$10:$AC$10,0))</f>
        <v>6.3571704000000007E-2</v>
      </c>
      <c r="V22">
        <f>INDEX('AEO 2026 Table 4'!$D$14:$AC$144,39,MATCH(V$1,'AEO 2026 Table 4'!$D$10:$AC$10,0))</f>
        <v>6.3894231999999995E-2</v>
      </c>
      <c r="W22">
        <f>INDEX('AEO 2026 Table 4'!$D$14:$AC$144,39,MATCH(W$1,'AEO 2026 Table 4'!$D$10:$AC$10,0))</f>
        <v>6.4258975999999995E-2</v>
      </c>
      <c r="X22">
        <f>INDEX('AEO 2026 Table 4'!$D$14:$AC$144,39,MATCH(X$1,'AEO 2026 Table 4'!$D$10:$AC$10,0))</f>
        <v>6.4725168E-2</v>
      </c>
      <c r="Y22">
        <f>INDEX('AEO 2026 Table 4'!$D$14:$AC$144,39,MATCH(Y$1,'AEO 2026 Table 4'!$D$10:$AC$10,0))</f>
        <v>6.5211411999999996E-2</v>
      </c>
      <c r="Z22">
        <f>INDEX('AEO 2026 Table 4'!$D$14:$AC$144,39,MATCH(Z$1,'AEO 2026 Table 4'!$D$10:$AC$10,0))</f>
        <v>6.5680888000000007E-2</v>
      </c>
      <c r="AA22">
        <f>INDEX('AEO 2026 Table 4'!$D$14:$AC$144,39,MATCH(AA$1,'AEO 2026 Table 4'!$D$10:$AC$10,0))</f>
        <v>6.6162064000000007E-2</v>
      </c>
      <c r="AB22">
        <f>INDEX('AEO 2026 Table 4'!$D$14:$AC$144,39,MATCH(AB$1,'AEO 2026 Table 4'!$D$10:$AC$10,0))</f>
        <v>6.6587255999999997E-2</v>
      </c>
      <c r="AC22">
        <f>INDEX('AEO 2026 Table 4'!$D$14:$AC$144,39,MATCH(AC$1,'AEO 2026 Table 4'!$D$10:$AC$10,0))</f>
        <v>6.6993116000000005E-2</v>
      </c>
      <c r="AD22">
        <f>INDEX('AEO 2026 Table 4'!$D$14:$AC$144,39,MATCH(AD$1,'AEO 2026 Table 4'!$D$10:$AC$10,0))</f>
        <v>6.7365248000000003E-2</v>
      </c>
      <c r="AE22">
        <f>INDEX('AEO 2026 Table 4'!$D$14:$AC$144,39,MATCH(AE$1,'AEO 2026 Table 4'!$D$10:$AC$10,0))</f>
        <v>6.7758520000000003E-2</v>
      </c>
      <c r="AF22">
        <f>INDEX('AEO 2026 Table 4'!$D$14:$AC$144,39,MATCH(AF$1,'AEO 2026 Table 4'!$D$10:$AC$10,0))</f>
        <v>6.8145159999999996E-2</v>
      </c>
    </row>
    <row r="23" spans="1:32" x14ac:dyDescent="0.25">
      <c r="A23" t="s">
        <v>503</v>
      </c>
      <c r="B23" t="str">
        <f t="shared" si="0"/>
        <v>residential-appliances-natural gas (BTU)</v>
      </c>
      <c r="C23" t="s">
        <v>1046</v>
      </c>
      <c r="D23" t="s">
        <v>1050</v>
      </c>
      <c r="E23" s="1" t="s">
        <v>1055</v>
      </c>
      <c r="F23" s="44">
        <f>INDEX(Table_4._Residential_Sector_Key!$F$8:$AG$125,MATCH($A23,Table_4._Residential_Sector_Key!$B$8:$B$125,0),MATCH(F$1,Table_4._Residential_Sector_Key!$F$5:$AG$5,0))</f>
        <v>1.035874</v>
      </c>
      <c r="G23">
        <f>INDEX('AEO 2026 Table 4'!$D$14:$AC$144,40,MATCH(G$1,'AEO 2026 Table 4'!$D$10:$AC$10,0))</f>
        <v>1.0242655359999999</v>
      </c>
      <c r="H23">
        <f>INDEX('AEO 2026 Table 4'!$D$14:$AC$144,40,MATCH(H$1,'AEO 2026 Table 4'!$D$10:$AC$10,0))</f>
        <v>1.0351788799999999</v>
      </c>
      <c r="I23">
        <f>INDEX('AEO 2026 Table 4'!$D$14:$AC$144,40,MATCH(I$1,'AEO 2026 Table 4'!$D$10:$AC$10,0))</f>
        <v>1.0454208</v>
      </c>
      <c r="J23">
        <f>INDEX('AEO 2026 Table 4'!$D$14:$AC$144,40,MATCH(J$1,'AEO 2026 Table 4'!$D$10:$AC$10,0))</f>
        <v>1.05518592</v>
      </c>
      <c r="K23">
        <f>INDEX('AEO 2026 Table 4'!$D$14:$AC$144,40,MATCH(K$1,'AEO 2026 Table 4'!$D$10:$AC$10,0))</f>
        <v>1.053344128</v>
      </c>
      <c r="L23">
        <f>INDEX('AEO 2026 Table 4'!$D$14:$AC$144,40,MATCH(L$1,'AEO 2026 Table 4'!$D$10:$AC$10,0))</f>
        <v>1.049760896</v>
      </c>
      <c r="M23">
        <f>INDEX('AEO 2026 Table 4'!$D$14:$AC$144,40,MATCH(M$1,'AEO 2026 Table 4'!$D$10:$AC$10,0))</f>
        <v>1.0468996479999999</v>
      </c>
      <c r="N23">
        <f>INDEX('AEO 2026 Table 4'!$D$14:$AC$144,40,MATCH(N$1,'AEO 2026 Table 4'!$D$10:$AC$10,0))</f>
        <v>1.045200192</v>
      </c>
      <c r="O23">
        <f>INDEX('AEO 2026 Table 4'!$D$14:$AC$144,40,MATCH(O$1,'AEO 2026 Table 4'!$D$10:$AC$10,0))</f>
        <v>1.042567424</v>
      </c>
      <c r="P23">
        <f>INDEX('AEO 2026 Table 4'!$D$14:$AC$144,40,MATCH(P$1,'AEO 2026 Table 4'!$D$10:$AC$10,0))</f>
        <v>1.041999296</v>
      </c>
      <c r="Q23">
        <f>INDEX('AEO 2026 Table 4'!$D$14:$AC$144,40,MATCH(Q$1,'AEO 2026 Table 4'!$D$10:$AC$10,0))</f>
        <v>1.04300736</v>
      </c>
      <c r="R23">
        <f>INDEX('AEO 2026 Table 4'!$D$14:$AC$144,40,MATCH(R$1,'AEO 2026 Table 4'!$D$10:$AC$10,0))</f>
        <v>1.0435045119999999</v>
      </c>
      <c r="S23">
        <f>INDEX('AEO 2026 Table 4'!$D$14:$AC$144,40,MATCH(S$1,'AEO 2026 Table 4'!$D$10:$AC$10,0))</f>
        <v>1.043020928</v>
      </c>
      <c r="T23">
        <f>INDEX('AEO 2026 Table 4'!$D$14:$AC$144,40,MATCH(T$1,'AEO 2026 Table 4'!$D$10:$AC$10,0))</f>
        <v>1.0422154239999999</v>
      </c>
      <c r="U23">
        <f>INDEX('AEO 2026 Table 4'!$D$14:$AC$144,40,MATCH(U$1,'AEO 2026 Table 4'!$D$10:$AC$10,0))</f>
        <v>1.0409104</v>
      </c>
      <c r="V23">
        <f>INDEX('AEO 2026 Table 4'!$D$14:$AC$144,40,MATCH(V$1,'AEO 2026 Table 4'!$D$10:$AC$10,0))</f>
        <v>1.039288896</v>
      </c>
      <c r="W23">
        <f>INDEX('AEO 2026 Table 4'!$D$14:$AC$144,40,MATCH(W$1,'AEO 2026 Table 4'!$D$10:$AC$10,0))</f>
        <v>1.037015552</v>
      </c>
      <c r="X23">
        <f>INDEX('AEO 2026 Table 4'!$D$14:$AC$144,40,MATCH(X$1,'AEO 2026 Table 4'!$D$10:$AC$10,0))</f>
        <v>1.034723072</v>
      </c>
      <c r="Y23">
        <f>INDEX('AEO 2026 Table 4'!$D$14:$AC$144,40,MATCH(Y$1,'AEO 2026 Table 4'!$D$10:$AC$10,0))</f>
        <v>1.032110976</v>
      </c>
      <c r="Z23">
        <f>INDEX('AEO 2026 Table 4'!$D$14:$AC$144,40,MATCH(Z$1,'AEO 2026 Table 4'!$D$10:$AC$10,0))</f>
        <v>1.029129344</v>
      </c>
      <c r="AA23">
        <f>INDEX('AEO 2026 Table 4'!$D$14:$AC$144,40,MATCH(AA$1,'AEO 2026 Table 4'!$D$10:$AC$10,0))</f>
        <v>1.0254291200000001</v>
      </c>
      <c r="AB23">
        <f>INDEX('AEO 2026 Table 4'!$D$14:$AC$144,40,MATCH(AB$1,'AEO 2026 Table 4'!$D$10:$AC$10,0))</f>
        <v>1.0206722560000001</v>
      </c>
      <c r="AC23">
        <f>INDEX('AEO 2026 Table 4'!$D$14:$AC$144,40,MATCH(AC$1,'AEO 2026 Table 4'!$D$10:$AC$10,0))</f>
        <v>1.015128832</v>
      </c>
      <c r="AD23">
        <f>INDEX('AEO 2026 Table 4'!$D$14:$AC$144,40,MATCH(AD$1,'AEO 2026 Table 4'!$D$10:$AC$10,0))</f>
        <v>1.009384064</v>
      </c>
      <c r="AE23">
        <f>INDEX('AEO 2026 Table 4'!$D$14:$AC$144,40,MATCH(AE$1,'AEO 2026 Table 4'!$D$10:$AC$10,0))</f>
        <v>1.0039144959999999</v>
      </c>
      <c r="AF23">
        <f>INDEX('AEO 2026 Table 4'!$D$14:$AC$144,40,MATCH(AF$1,'AEO 2026 Table 4'!$D$10:$AC$10,0))</f>
        <v>0.99913017599999998</v>
      </c>
    </row>
    <row r="24" spans="1:32" x14ac:dyDescent="0.25">
      <c r="A24" t="s">
        <v>505</v>
      </c>
      <c r="B24" t="str">
        <f t="shared" si="0"/>
        <v>residential-appliances-natural gas (BTU)</v>
      </c>
      <c r="C24" t="s">
        <v>1046</v>
      </c>
      <c r="D24" t="s">
        <v>1050</v>
      </c>
      <c r="E24" s="1" t="s">
        <v>1055</v>
      </c>
      <c r="F24" s="44">
        <f>INDEX(Table_4._Residential_Sector_Key!$F$8:$AG$125,MATCH($A24,Table_4._Residential_Sector_Key!$B$8:$B$125,0),MATCH(F$1,Table_4._Residential_Sector_Key!$F$5:$AG$5,0))</f>
        <v>7.7838000000000004E-2</v>
      </c>
      <c r="G24">
        <f>INDEX('AEO 2026 Table 4'!$D$14:$AC$144,41,MATCH(G$1,'AEO 2026 Table 4'!$D$10:$AC$10,0))</f>
        <v>7.7267743999999999E-2</v>
      </c>
      <c r="H24">
        <f>INDEX('AEO 2026 Table 4'!$D$14:$AC$144,41,MATCH(H$1,'AEO 2026 Table 4'!$D$10:$AC$10,0))</f>
        <v>7.7256063999999999E-2</v>
      </c>
      <c r="I24">
        <f>INDEX('AEO 2026 Table 4'!$D$14:$AC$144,41,MATCH(I$1,'AEO 2026 Table 4'!$D$10:$AC$10,0))</f>
        <v>7.7246512000000003E-2</v>
      </c>
      <c r="J24">
        <f>INDEX('AEO 2026 Table 4'!$D$14:$AC$144,41,MATCH(J$1,'AEO 2026 Table 4'!$D$10:$AC$10,0))</f>
        <v>7.7222351999999994E-2</v>
      </c>
      <c r="K24">
        <f>INDEX('AEO 2026 Table 4'!$D$14:$AC$144,41,MATCH(K$1,'AEO 2026 Table 4'!$D$10:$AC$10,0))</f>
        <v>7.7195215999999997E-2</v>
      </c>
      <c r="L24">
        <f>INDEX('AEO 2026 Table 4'!$D$14:$AC$144,41,MATCH(L$1,'AEO 2026 Table 4'!$D$10:$AC$10,0))</f>
        <v>7.7166808000000003E-2</v>
      </c>
      <c r="M24">
        <f>INDEX('AEO 2026 Table 4'!$D$14:$AC$144,41,MATCH(M$1,'AEO 2026 Table 4'!$D$10:$AC$10,0))</f>
        <v>7.7124479999999995E-2</v>
      </c>
      <c r="N24">
        <f>INDEX('AEO 2026 Table 4'!$D$14:$AC$144,41,MATCH(N$1,'AEO 2026 Table 4'!$D$10:$AC$10,0))</f>
        <v>7.7065343999999994E-2</v>
      </c>
      <c r="O24">
        <f>INDEX('AEO 2026 Table 4'!$D$14:$AC$144,41,MATCH(O$1,'AEO 2026 Table 4'!$D$10:$AC$10,0))</f>
        <v>7.7005928000000001E-2</v>
      </c>
      <c r="P24">
        <f>INDEX('AEO 2026 Table 4'!$D$14:$AC$144,41,MATCH(P$1,'AEO 2026 Table 4'!$D$10:$AC$10,0))</f>
        <v>7.6969895999999996E-2</v>
      </c>
      <c r="Q24">
        <f>INDEX('AEO 2026 Table 4'!$D$14:$AC$144,41,MATCH(Q$1,'AEO 2026 Table 4'!$D$10:$AC$10,0))</f>
        <v>7.6962048000000005E-2</v>
      </c>
      <c r="R24">
        <f>INDEX('AEO 2026 Table 4'!$D$14:$AC$144,41,MATCH(R$1,'AEO 2026 Table 4'!$D$10:$AC$10,0))</f>
        <v>7.6990775999999997E-2</v>
      </c>
      <c r="S24">
        <f>INDEX('AEO 2026 Table 4'!$D$14:$AC$144,41,MATCH(S$1,'AEO 2026 Table 4'!$D$10:$AC$10,0))</f>
        <v>7.7060383999999996E-2</v>
      </c>
      <c r="T24">
        <f>INDEX('AEO 2026 Table 4'!$D$14:$AC$144,41,MATCH(T$1,'AEO 2026 Table 4'!$D$10:$AC$10,0))</f>
        <v>7.7216536000000002E-2</v>
      </c>
      <c r="U24">
        <f>INDEX('AEO 2026 Table 4'!$D$14:$AC$144,41,MATCH(U$1,'AEO 2026 Table 4'!$D$10:$AC$10,0))</f>
        <v>7.7432303999999993E-2</v>
      </c>
      <c r="V24">
        <f>INDEX('AEO 2026 Table 4'!$D$14:$AC$144,41,MATCH(V$1,'AEO 2026 Table 4'!$D$10:$AC$10,0))</f>
        <v>7.7711552000000003E-2</v>
      </c>
      <c r="W24">
        <f>INDEX('AEO 2026 Table 4'!$D$14:$AC$144,41,MATCH(W$1,'AEO 2026 Table 4'!$D$10:$AC$10,0))</f>
        <v>7.8045175999999994E-2</v>
      </c>
      <c r="X24">
        <f>INDEX('AEO 2026 Table 4'!$D$14:$AC$144,41,MATCH(X$1,'AEO 2026 Table 4'!$D$10:$AC$10,0))</f>
        <v>7.8430440000000004E-2</v>
      </c>
      <c r="Y24">
        <f>INDEX('AEO 2026 Table 4'!$D$14:$AC$144,41,MATCH(Y$1,'AEO 2026 Table 4'!$D$10:$AC$10,0))</f>
        <v>7.8815583999999994E-2</v>
      </c>
      <c r="Z24">
        <f>INDEX('AEO 2026 Table 4'!$D$14:$AC$144,41,MATCH(Z$1,'AEO 2026 Table 4'!$D$10:$AC$10,0))</f>
        <v>7.9202544E-2</v>
      </c>
      <c r="AA24">
        <f>INDEX('AEO 2026 Table 4'!$D$14:$AC$144,41,MATCH(AA$1,'AEO 2026 Table 4'!$D$10:$AC$10,0))</f>
        <v>7.9598823999999999E-2</v>
      </c>
      <c r="AB24">
        <f>INDEX('AEO 2026 Table 4'!$D$14:$AC$144,41,MATCH(AB$1,'AEO 2026 Table 4'!$D$10:$AC$10,0))</f>
        <v>8.0006376000000004E-2</v>
      </c>
      <c r="AC24">
        <f>INDEX('AEO 2026 Table 4'!$D$14:$AC$144,41,MATCH(AC$1,'AEO 2026 Table 4'!$D$10:$AC$10,0))</f>
        <v>8.0424376000000006E-2</v>
      </c>
      <c r="AD24">
        <f>INDEX('AEO 2026 Table 4'!$D$14:$AC$144,41,MATCH(AD$1,'AEO 2026 Table 4'!$D$10:$AC$10,0))</f>
        <v>8.0854527999999995E-2</v>
      </c>
      <c r="AE24">
        <f>INDEX('AEO 2026 Table 4'!$D$14:$AC$144,41,MATCH(AE$1,'AEO 2026 Table 4'!$D$10:$AC$10,0))</f>
        <v>8.1298848000000007E-2</v>
      </c>
      <c r="AF24">
        <f>INDEX('AEO 2026 Table 4'!$D$14:$AC$144,41,MATCH(AF$1,'AEO 2026 Table 4'!$D$10:$AC$10,0))</f>
        <v>8.1760856000000007E-2</v>
      </c>
    </row>
    <row r="25" spans="1:32" x14ac:dyDescent="0.25">
      <c r="A25" t="s">
        <v>507</v>
      </c>
      <c r="B25" t="str">
        <f t="shared" si="0"/>
        <v>residential-appliances-natural gas (BTU)</v>
      </c>
      <c r="C25" t="s">
        <v>1046</v>
      </c>
      <c r="D25" t="s">
        <v>1050</v>
      </c>
      <c r="E25" s="1" t="s">
        <v>1055</v>
      </c>
      <c r="F25" s="44">
        <f>INDEX(Table_4._Residential_Sector_Key!$F$8:$AG$125,MATCH($A25,Table_4._Residential_Sector_Key!$B$8:$B$125,0),MATCH(F$1,Table_4._Residential_Sector_Key!$F$5:$AG$5,0))</f>
        <v>3.9583E-2</v>
      </c>
      <c r="G25">
        <f>INDEX('AEO 2026 Table 4'!$D$14:$AC$144,42,MATCH(G$1,'AEO 2026 Table 4'!$D$10:$AC$10,0))</f>
        <v>3.9573959999999998E-2</v>
      </c>
      <c r="H25">
        <f>INDEX('AEO 2026 Table 4'!$D$14:$AC$144,42,MATCH(H$1,'AEO 2026 Table 4'!$D$10:$AC$10,0))</f>
        <v>4.0283911999999998E-2</v>
      </c>
      <c r="I25">
        <f>INDEX('AEO 2026 Table 4'!$D$14:$AC$144,42,MATCH(I$1,'AEO 2026 Table 4'!$D$10:$AC$10,0))</f>
        <v>4.0920216000000002E-2</v>
      </c>
      <c r="J25">
        <f>INDEX('AEO 2026 Table 4'!$D$14:$AC$144,42,MATCH(J$1,'AEO 2026 Table 4'!$D$10:$AC$10,0))</f>
        <v>4.1544143999999998E-2</v>
      </c>
      <c r="K25">
        <f>INDEX('AEO 2026 Table 4'!$D$14:$AC$144,42,MATCH(K$1,'AEO 2026 Table 4'!$D$10:$AC$10,0))</f>
        <v>4.2108663999999997E-2</v>
      </c>
      <c r="L25">
        <f>INDEX('AEO 2026 Table 4'!$D$14:$AC$144,42,MATCH(L$1,'AEO 2026 Table 4'!$D$10:$AC$10,0))</f>
        <v>4.2643227999999998E-2</v>
      </c>
      <c r="M25">
        <f>INDEX('AEO 2026 Table 4'!$D$14:$AC$144,42,MATCH(M$1,'AEO 2026 Table 4'!$D$10:$AC$10,0))</f>
        <v>4.3186955999999999E-2</v>
      </c>
      <c r="N25">
        <f>INDEX('AEO 2026 Table 4'!$D$14:$AC$144,42,MATCH(N$1,'AEO 2026 Table 4'!$D$10:$AC$10,0))</f>
        <v>4.3759324000000002E-2</v>
      </c>
      <c r="O25">
        <f>INDEX('AEO 2026 Table 4'!$D$14:$AC$144,42,MATCH(O$1,'AEO 2026 Table 4'!$D$10:$AC$10,0))</f>
        <v>4.420806E-2</v>
      </c>
      <c r="P25">
        <f>INDEX('AEO 2026 Table 4'!$D$14:$AC$144,42,MATCH(P$1,'AEO 2026 Table 4'!$D$10:$AC$10,0))</f>
        <v>4.4701355999999998E-2</v>
      </c>
      <c r="Q25">
        <f>INDEX('AEO 2026 Table 4'!$D$14:$AC$144,42,MATCH(Q$1,'AEO 2026 Table 4'!$D$10:$AC$10,0))</f>
        <v>4.5237623999999997E-2</v>
      </c>
      <c r="R25">
        <f>INDEX('AEO 2026 Table 4'!$D$14:$AC$144,42,MATCH(R$1,'AEO 2026 Table 4'!$D$10:$AC$10,0))</f>
        <v>4.5825655999999999E-2</v>
      </c>
      <c r="S25">
        <f>INDEX('AEO 2026 Table 4'!$D$14:$AC$144,42,MATCH(S$1,'AEO 2026 Table 4'!$D$10:$AC$10,0))</f>
        <v>4.6395935999999999E-2</v>
      </c>
      <c r="T25">
        <f>INDEX('AEO 2026 Table 4'!$D$14:$AC$144,42,MATCH(T$1,'AEO 2026 Table 4'!$D$10:$AC$10,0))</f>
        <v>4.6977848000000003E-2</v>
      </c>
      <c r="U25">
        <f>INDEX('AEO 2026 Table 4'!$D$14:$AC$144,42,MATCH(U$1,'AEO 2026 Table 4'!$D$10:$AC$10,0))</f>
        <v>4.7561140000000002E-2</v>
      </c>
      <c r="V25">
        <f>INDEX('AEO 2026 Table 4'!$D$14:$AC$144,42,MATCH(V$1,'AEO 2026 Table 4'!$D$10:$AC$10,0))</f>
        <v>4.8145871999999999E-2</v>
      </c>
      <c r="W25">
        <f>INDEX('AEO 2026 Table 4'!$D$14:$AC$144,42,MATCH(W$1,'AEO 2026 Table 4'!$D$10:$AC$10,0))</f>
        <v>4.8723816000000003E-2</v>
      </c>
      <c r="X25">
        <f>INDEX('AEO 2026 Table 4'!$D$14:$AC$144,42,MATCH(X$1,'AEO 2026 Table 4'!$D$10:$AC$10,0))</f>
        <v>4.9351908E-2</v>
      </c>
      <c r="Y25">
        <f>INDEX('AEO 2026 Table 4'!$D$14:$AC$144,42,MATCH(Y$1,'AEO 2026 Table 4'!$D$10:$AC$10,0))</f>
        <v>5.0014775999999997E-2</v>
      </c>
      <c r="Z25">
        <f>INDEX('AEO 2026 Table 4'!$D$14:$AC$144,42,MATCH(Z$1,'AEO 2026 Table 4'!$D$10:$AC$10,0))</f>
        <v>5.0706528000000001E-2</v>
      </c>
      <c r="AA25">
        <f>INDEX('AEO 2026 Table 4'!$D$14:$AC$144,42,MATCH(AA$1,'AEO 2026 Table 4'!$D$10:$AC$10,0))</f>
        <v>5.1405520000000003E-2</v>
      </c>
      <c r="AB25">
        <f>INDEX('AEO 2026 Table 4'!$D$14:$AC$144,42,MATCH(AB$1,'AEO 2026 Table 4'!$D$10:$AC$10,0))</f>
        <v>5.2087891999999997E-2</v>
      </c>
      <c r="AC25">
        <f>INDEX('AEO 2026 Table 4'!$D$14:$AC$144,42,MATCH(AC$1,'AEO 2026 Table 4'!$D$10:$AC$10,0))</f>
        <v>5.2755844000000003E-2</v>
      </c>
      <c r="AD25">
        <f>INDEX('AEO 2026 Table 4'!$D$14:$AC$144,42,MATCH(AD$1,'AEO 2026 Table 4'!$D$10:$AC$10,0))</f>
        <v>5.3424048000000002E-2</v>
      </c>
      <c r="AE25">
        <f>INDEX('AEO 2026 Table 4'!$D$14:$AC$144,42,MATCH(AE$1,'AEO 2026 Table 4'!$D$10:$AC$10,0))</f>
        <v>5.4099875999999998E-2</v>
      </c>
      <c r="AF25">
        <f>INDEX('AEO 2026 Table 4'!$D$14:$AC$144,42,MATCH(AF$1,'AEO 2026 Table 4'!$D$10:$AC$10,0))</f>
        <v>5.4789400000000002E-2</v>
      </c>
    </row>
    <row r="26" spans="1:32" x14ac:dyDescent="0.25">
      <c r="A26" t="s">
        <v>509</v>
      </c>
      <c r="B26" t="str">
        <f t="shared" si="0"/>
        <v>residential-other-natural gas (BTU)</v>
      </c>
      <c r="C26" t="s">
        <v>1046</v>
      </c>
      <c r="D26" t="s">
        <v>1052</v>
      </c>
      <c r="E26" s="1" t="s">
        <v>1055</v>
      </c>
      <c r="F26" s="44">
        <f>INDEX(Table_4._Residential_Sector_Key!$F$8:$AG$125,MATCH($A26,Table_4._Residential_Sector_Key!$B$8:$B$125,0),MATCH(F$1,Table_4._Residential_Sector_Key!$F$5:$AG$5,0))</f>
        <v>0.608734</v>
      </c>
      <c r="G26">
        <f>INDEX('AEO 2026 Table 4'!$D$14:$AC$144,43,MATCH(G$1,'AEO 2026 Table 4'!$D$10:$AC$10,0))</f>
        <v>0.60834560000000004</v>
      </c>
      <c r="H26">
        <f>INDEX('AEO 2026 Table 4'!$D$14:$AC$144,43,MATCH(H$1,'AEO 2026 Table 4'!$D$10:$AC$10,0))</f>
        <v>0.61166591999999997</v>
      </c>
      <c r="I26">
        <f>INDEX('AEO 2026 Table 4'!$D$14:$AC$144,43,MATCH(I$1,'AEO 2026 Table 4'!$D$10:$AC$10,0))</f>
        <v>0.61394630400000005</v>
      </c>
      <c r="J26">
        <f>INDEX('AEO 2026 Table 4'!$D$14:$AC$144,43,MATCH(J$1,'AEO 2026 Table 4'!$D$10:$AC$10,0))</f>
        <v>0.61501363200000003</v>
      </c>
      <c r="K26">
        <f>INDEX('AEO 2026 Table 4'!$D$14:$AC$144,43,MATCH(K$1,'AEO 2026 Table 4'!$D$10:$AC$10,0))</f>
        <v>0.61462041599999995</v>
      </c>
      <c r="L26">
        <f>INDEX('AEO 2026 Table 4'!$D$14:$AC$144,43,MATCH(L$1,'AEO 2026 Table 4'!$D$10:$AC$10,0))</f>
        <v>0.61321504000000004</v>
      </c>
      <c r="M26">
        <f>INDEX('AEO 2026 Table 4'!$D$14:$AC$144,43,MATCH(M$1,'AEO 2026 Table 4'!$D$10:$AC$10,0))</f>
        <v>0.61157491200000003</v>
      </c>
      <c r="N26">
        <f>INDEX('AEO 2026 Table 4'!$D$14:$AC$144,43,MATCH(N$1,'AEO 2026 Table 4'!$D$10:$AC$10,0))</f>
        <v>0.61024972799999999</v>
      </c>
      <c r="O26">
        <f>INDEX('AEO 2026 Table 4'!$D$14:$AC$144,43,MATCH(O$1,'AEO 2026 Table 4'!$D$10:$AC$10,0))</f>
        <v>0.60843251200000004</v>
      </c>
      <c r="P26">
        <f>INDEX('AEO 2026 Table 4'!$D$14:$AC$144,43,MATCH(P$1,'AEO 2026 Table 4'!$D$10:$AC$10,0))</f>
        <v>0.60708844799999995</v>
      </c>
      <c r="Q26">
        <f>INDEX('AEO 2026 Table 4'!$D$14:$AC$144,43,MATCH(Q$1,'AEO 2026 Table 4'!$D$10:$AC$10,0))</f>
        <v>0.60590003199999998</v>
      </c>
      <c r="R26">
        <f>INDEX('AEO 2026 Table 4'!$D$14:$AC$144,43,MATCH(R$1,'AEO 2026 Table 4'!$D$10:$AC$10,0))</f>
        <v>0.60509100800000004</v>
      </c>
      <c r="S26">
        <f>INDEX('AEO 2026 Table 4'!$D$14:$AC$144,43,MATCH(S$1,'AEO 2026 Table 4'!$D$10:$AC$10,0))</f>
        <v>0.60413382400000004</v>
      </c>
      <c r="T26">
        <f>INDEX('AEO 2026 Table 4'!$D$14:$AC$144,43,MATCH(T$1,'AEO 2026 Table 4'!$D$10:$AC$10,0))</f>
        <v>0.603321408</v>
      </c>
      <c r="U26">
        <f>INDEX('AEO 2026 Table 4'!$D$14:$AC$144,43,MATCH(U$1,'AEO 2026 Table 4'!$D$10:$AC$10,0))</f>
        <v>0.60255628800000005</v>
      </c>
      <c r="V26">
        <f>INDEX('AEO 2026 Table 4'!$D$14:$AC$144,43,MATCH(V$1,'AEO 2026 Table 4'!$D$10:$AC$10,0))</f>
        <v>0.60190777600000001</v>
      </c>
      <c r="W26">
        <f>INDEX('AEO 2026 Table 4'!$D$14:$AC$144,43,MATCH(W$1,'AEO 2026 Table 4'!$D$10:$AC$10,0))</f>
        <v>0.60136454399999995</v>
      </c>
      <c r="X26">
        <f>INDEX('AEO 2026 Table 4'!$D$14:$AC$144,43,MATCH(X$1,'AEO 2026 Table 4'!$D$10:$AC$10,0))</f>
        <v>0.60120902399999998</v>
      </c>
      <c r="Y26">
        <f>INDEX('AEO 2026 Table 4'!$D$14:$AC$144,43,MATCH(Y$1,'AEO 2026 Table 4'!$D$10:$AC$10,0))</f>
        <v>0.60129600000000005</v>
      </c>
      <c r="Z26">
        <f>INDEX('AEO 2026 Table 4'!$D$14:$AC$144,43,MATCH(Z$1,'AEO 2026 Table 4'!$D$10:$AC$10,0))</f>
        <v>0.60158265600000005</v>
      </c>
      <c r="AA26">
        <f>INDEX('AEO 2026 Table 4'!$D$14:$AC$144,43,MATCH(AA$1,'AEO 2026 Table 4'!$D$10:$AC$10,0))</f>
        <v>0.60179142399999996</v>
      </c>
      <c r="AB26">
        <f>INDEX('AEO 2026 Table 4'!$D$14:$AC$144,43,MATCH(AB$1,'AEO 2026 Table 4'!$D$10:$AC$10,0))</f>
        <v>0.60165894399999997</v>
      </c>
      <c r="AC26">
        <f>INDEX('AEO 2026 Table 4'!$D$14:$AC$144,43,MATCH(AC$1,'AEO 2026 Table 4'!$D$10:$AC$10,0))</f>
        <v>0.60125036799999998</v>
      </c>
      <c r="AD26">
        <f>INDEX('AEO 2026 Table 4'!$D$14:$AC$144,43,MATCH(AD$1,'AEO 2026 Table 4'!$D$10:$AC$10,0))</f>
        <v>0.60075871999999997</v>
      </c>
      <c r="AE26">
        <f>INDEX('AEO 2026 Table 4'!$D$14:$AC$144,43,MATCH(AE$1,'AEO 2026 Table 4'!$D$10:$AC$10,0))</f>
        <v>0.60029504</v>
      </c>
      <c r="AF26">
        <f>INDEX('AEO 2026 Table 4'!$D$14:$AC$144,43,MATCH(AF$1,'AEO 2026 Table 4'!$D$10:$AC$10,0))</f>
        <v>0.59991673599999995</v>
      </c>
    </row>
    <row r="27" spans="1:32" x14ac:dyDescent="0.25">
      <c r="A27" t="s">
        <v>512</v>
      </c>
      <c r="B27" t="str">
        <f t="shared" si="0"/>
        <v>residential-total-natural gas (BTU)</v>
      </c>
      <c r="C27" t="s">
        <v>1046</v>
      </c>
      <c r="D27" t="s">
        <v>1053</v>
      </c>
      <c r="E27" s="1" t="s">
        <v>1055</v>
      </c>
      <c r="F27" s="44">
        <f>INDEX(Table_4._Residential_Sector_Key!$F$8:$AG$125,MATCH($A27,Table_4._Residential_Sector_Key!$B$8:$B$125,0),MATCH(F$1,Table_4._Residential_Sector_Key!$F$5:$AG$5,0))</f>
        <v>4.60344</v>
      </c>
      <c r="G27">
        <f>INDEX('AEO 2026 Table 4'!$D$14:$AC$144,44,MATCH(G$1,'AEO 2026 Table 4'!$D$10:$AC$10,0))</f>
        <v>4.9260802268981934</v>
      </c>
      <c r="H27">
        <f>INDEX('AEO 2026 Table 4'!$D$14:$AC$144,44,MATCH(H$1,'AEO 2026 Table 4'!$D$10:$AC$10,0))</f>
        <v>4.7562723159790039</v>
      </c>
      <c r="I27">
        <f>INDEX('AEO 2026 Table 4'!$D$14:$AC$144,44,MATCH(I$1,'AEO 2026 Table 4'!$D$10:$AC$10,0))</f>
        <v>4.8871927261352539</v>
      </c>
      <c r="J27">
        <f>INDEX('AEO 2026 Table 4'!$D$14:$AC$144,44,MATCH(J$1,'AEO 2026 Table 4'!$D$10:$AC$10,0))</f>
        <v>4.8800573348999023</v>
      </c>
      <c r="K27">
        <f>INDEX('AEO 2026 Table 4'!$D$14:$AC$144,44,MATCH(K$1,'AEO 2026 Table 4'!$D$10:$AC$10,0))</f>
        <v>4.8419408798217773</v>
      </c>
      <c r="L27">
        <f>INDEX('AEO 2026 Table 4'!$D$14:$AC$144,44,MATCH(L$1,'AEO 2026 Table 4'!$D$10:$AC$10,0))</f>
        <v>4.792874813079834</v>
      </c>
      <c r="M27">
        <f>INDEX('AEO 2026 Table 4'!$D$14:$AC$144,44,MATCH(M$1,'AEO 2026 Table 4'!$D$10:$AC$10,0))</f>
        <v>4.7416291236877441</v>
      </c>
      <c r="N27">
        <f>INDEX('AEO 2026 Table 4'!$D$14:$AC$144,44,MATCH(N$1,'AEO 2026 Table 4'!$D$10:$AC$10,0))</f>
        <v>4.6952061653137207</v>
      </c>
      <c r="O27">
        <f>INDEX('AEO 2026 Table 4'!$D$14:$AC$144,44,MATCH(O$1,'AEO 2026 Table 4'!$D$10:$AC$10,0))</f>
        <v>4.6477890014648438</v>
      </c>
      <c r="P27">
        <f>INDEX('AEO 2026 Table 4'!$D$14:$AC$144,44,MATCH(P$1,'AEO 2026 Table 4'!$D$10:$AC$10,0))</f>
        <v>4.6056985855102539</v>
      </c>
      <c r="Q27">
        <f>INDEX('AEO 2026 Table 4'!$D$14:$AC$144,44,MATCH(Q$1,'AEO 2026 Table 4'!$D$10:$AC$10,0))</f>
        <v>4.5665931701660156</v>
      </c>
      <c r="R27">
        <f>INDEX('AEO 2026 Table 4'!$D$14:$AC$144,44,MATCH(R$1,'AEO 2026 Table 4'!$D$10:$AC$10,0))</f>
        <v>4.5299792289733887</v>
      </c>
      <c r="S27">
        <f>INDEX('AEO 2026 Table 4'!$D$14:$AC$144,44,MATCH(S$1,'AEO 2026 Table 4'!$D$10:$AC$10,0))</f>
        <v>4.491732120513916</v>
      </c>
      <c r="T27">
        <f>INDEX('AEO 2026 Table 4'!$D$14:$AC$144,44,MATCH(T$1,'AEO 2026 Table 4'!$D$10:$AC$10,0))</f>
        <v>4.4552803039550781</v>
      </c>
      <c r="U27">
        <f>INDEX('AEO 2026 Table 4'!$D$14:$AC$144,44,MATCH(U$1,'AEO 2026 Table 4'!$D$10:$AC$10,0))</f>
        <v>4.4191713333129883</v>
      </c>
      <c r="V27">
        <f>INDEX('AEO 2026 Table 4'!$D$14:$AC$144,44,MATCH(V$1,'AEO 2026 Table 4'!$D$10:$AC$10,0))</f>
        <v>4.3842606544494629</v>
      </c>
      <c r="W27">
        <f>INDEX('AEO 2026 Table 4'!$D$14:$AC$144,44,MATCH(W$1,'AEO 2026 Table 4'!$D$10:$AC$10,0))</f>
        <v>4.3493475914001456</v>
      </c>
      <c r="X27">
        <f>INDEX('AEO 2026 Table 4'!$D$14:$AC$144,44,MATCH(X$1,'AEO 2026 Table 4'!$D$10:$AC$10,0))</f>
        <v>4.3187780380249023</v>
      </c>
      <c r="Y27">
        <f>INDEX('AEO 2026 Table 4'!$D$14:$AC$144,44,MATCH(Y$1,'AEO 2026 Table 4'!$D$10:$AC$10,0))</f>
        <v>4.2900552749633789</v>
      </c>
      <c r="Z27">
        <f>INDEX('AEO 2026 Table 4'!$D$14:$AC$144,44,MATCH(Z$1,'AEO 2026 Table 4'!$D$10:$AC$10,0))</f>
        <v>4.2629461288452148</v>
      </c>
      <c r="AA27">
        <f>INDEX('AEO 2026 Table 4'!$D$14:$AC$144,44,MATCH(AA$1,'AEO 2026 Table 4'!$D$10:$AC$10,0))</f>
        <v>4.2364802360534668</v>
      </c>
      <c r="AB27">
        <f>INDEX('AEO 2026 Table 4'!$D$14:$AC$144,44,MATCH(AB$1,'AEO 2026 Table 4'!$D$10:$AC$10,0))</f>
        <v>4.2076668739318848</v>
      </c>
      <c r="AC27">
        <f>INDEX('AEO 2026 Table 4'!$D$14:$AC$144,44,MATCH(AC$1,'AEO 2026 Table 4'!$D$10:$AC$10,0))</f>
        <v>4.1765165328979492</v>
      </c>
      <c r="AD27">
        <f>INDEX('AEO 2026 Table 4'!$D$14:$AC$144,44,MATCH(AD$1,'AEO 2026 Table 4'!$D$10:$AC$10,0))</f>
        <v>4.1453886032104492</v>
      </c>
      <c r="AE27">
        <f>INDEX('AEO 2026 Table 4'!$D$14:$AC$144,44,MATCH(AE$1,'AEO 2026 Table 4'!$D$10:$AC$10,0))</f>
        <v>4.1150445938110352</v>
      </c>
      <c r="AF27">
        <f>INDEX('AEO 2026 Table 4'!$D$14:$AC$144,44,MATCH(AF$1,'AEO 2026 Table 4'!$D$10:$AC$10,0))</f>
        <v>4.086371898651123</v>
      </c>
    </row>
    <row r="28" spans="1:32" x14ac:dyDescent="0.25">
      <c r="A28" t="s">
        <v>515</v>
      </c>
      <c r="B28" t="str">
        <f t="shared" si="0"/>
        <v>residential-heating-petroleum diesel (BTU)</v>
      </c>
      <c r="C28" t="s">
        <v>1046</v>
      </c>
      <c r="D28" t="s">
        <v>1047</v>
      </c>
      <c r="E28" s="1" t="s">
        <v>1056</v>
      </c>
      <c r="F28" s="44">
        <f>INDEX(Table_4._Residential_Sector_Key!$F$8:$AG$125,MATCH($A28,Table_4._Residential_Sector_Key!$B$8:$B$125,0),MATCH(F$1,Table_4._Residential_Sector_Key!$F$5:$AG$5,0))</f>
        <v>0.37978200000000001</v>
      </c>
      <c r="G28">
        <f>INDEX('AEO 2026 Table 4'!$D$14:$AC$144,47,MATCH(G$1,'AEO 2026 Table 4'!$D$10:$AC$10,0))</f>
        <v>0.42536784</v>
      </c>
      <c r="H28">
        <f>INDEX('AEO 2026 Table 4'!$D$14:$AC$144,47,MATCH(H$1,'AEO 2026 Table 4'!$D$10:$AC$10,0))</f>
        <v>0.409160896</v>
      </c>
      <c r="I28">
        <f>INDEX('AEO 2026 Table 4'!$D$14:$AC$144,47,MATCH(I$1,'AEO 2026 Table 4'!$D$10:$AC$10,0))</f>
        <v>0.40481756800000002</v>
      </c>
      <c r="J28">
        <f>INDEX('AEO 2026 Table 4'!$D$14:$AC$144,47,MATCH(J$1,'AEO 2026 Table 4'!$D$10:$AC$10,0))</f>
        <v>0.39842924800000001</v>
      </c>
      <c r="K28">
        <f>INDEX('AEO 2026 Table 4'!$D$14:$AC$144,47,MATCH(K$1,'AEO 2026 Table 4'!$D$10:$AC$10,0))</f>
        <v>0.39159583999999997</v>
      </c>
      <c r="L28">
        <f>INDEX('AEO 2026 Table 4'!$D$14:$AC$144,47,MATCH(L$1,'AEO 2026 Table 4'!$D$10:$AC$10,0))</f>
        <v>0.38541782400000002</v>
      </c>
      <c r="M28">
        <f>INDEX('AEO 2026 Table 4'!$D$14:$AC$144,47,MATCH(M$1,'AEO 2026 Table 4'!$D$10:$AC$10,0))</f>
        <v>0.37914031999999998</v>
      </c>
      <c r="N28">
        <f>INDEX('AEO 2026 Table 4'!$D$14:$AC$144,47,MATCH(N$1,'AEO 2026 Table 4'!$D$10:$AC$10,0))</f>
        <v>0.37317808000000002</v>
      </c>
      <c r="O28">
        <f>INDEX('AEO 2026 Table 4'!$D$14:$AC$144,47,MATCH(O$1,'AEO 2026 Table 4'!$D$10:$AC$10,0))</f>
        <v>0.367289792</v>
      </c>
      <c r="P28">
        <f>INDEX('AEO 2026 Table 4'!$D$14:$AC$144,47,MATCH(P$1,'AEO 2026 Table 4'!$D$10:$AC$10,0))</f>
        <v>0.36187728000000002</v>
      </c>
      <c r="Q28">
        <f>INDEX('AEO 2026 Table 4'!$D$14:$AC$144,47,MATCH(Q$1,'AEO 2026 Table 4'!$D$10:$AC$10,0))</f>
        <v>0.35654764799999999</v>
      </c>
      <c r="R28">
        <f>INDEX('AEO 2026 Table 4'!$D$14:$AC$144,47,MATCH(R$1,'AEO 2026 Table 4'!$D$10:$AC$10,0))</f>
        <v>0.35143584</v>
      </c>
      <c r="S28">
        <f>INDEX('AEO 2026 Table 4'!$D$14:$AC$144,47,MATCH(S$1,'AEO 2026 Table 4'!$D$10:$AC$10,0))</f>
        <v>0.34647817600000003</v>
      </c>
      <c r="T28">
        <f>INDEX('AEO 2026 Table 4'!$D$14:$AC$144,47,MATCH(T$1,'AEO 2026 Table 4'!$D$10:$AC$10,0))</f>
        <v>0.34170550399999999</v>
      </c>
      <c r="U28">
        <f>INDEX('AEO 2026 Table 4'!$D$14:$AC$144,47,MATCH(U$1,'AEO 2026 Table 4'!$D$10:$AC$10,0))</f>
        <v>0.33711088</v>
      </c>
      <c r="V28">
        <f>INDEX('AEO 2026 Table 4'!$D$14:$AC$144,47,MATCH(V$1,'AEO 2026 Table 4'!$D$10:$AC$10,0))</f>
        <v>0.33257625600000001</v>
      </c>
      <c r="W28">
        <f>INDEX('AEO 2026 Table 4'!$D$14:$AC$144,47,MATCH(W$1,'AEO 2026 Table 4'!$D$10:$AC$10,0))</f>
        <v>0.32808076800000002</v>
      </c>
      <c r="X28">
        <f>INDEX('AEO 2026 Table 4'!$D$14:$AC$144,47,MATCH(X$1,'AEO 2026 Table 4'!$D$10:$AC$10,0))</f>
        <v>0.32377766400000002</v>
      </c>
      <c r="Y28">
        <f>INDEX('AEO 2026 Table 4'!$D$14:$AC$144,47,MATCH(Y$1,'AEO 2026 Table 4'!$D$10:$AC$10,0))</f>
        <v>0.31953401599999998</v>
      </c>
      <c r="Z28">
        <f>INDEX('AEO 2026 Table 4'!$D$14:$AC$144,47,MATCH(Z$1,'AEO 2026 Table 4'!$D$10:$AC$10,0))</f>
        <v>0.31542748799999998</v>
      </c>
      <c r="AA28">
        <f>INDEX('AEO 2026 Table 4'!$D$14:$AC$144,47,MATCH(AA$1,'AEO 2026 Table 4'!$D$10:$AC$10,0))</f>
        <v>0.31137142400000001</v>
      </c>
      <c r="AB28">
        <f>INDEX('AEO 2026 Table 4'!$D$14:$AC$144,47,MATCH(AB$1,'AEO 2026 Table 4'!$D$10:$AC$10,0))</f>
        <v>0.30740188800000001</v>
      </c>
      <c r="AC28">
        <f>INDEX('AEO 2026 Table 4'!$D$14:$AC$144,47,MATCH(AC$1,'AEO 2026 Table 4'!$D$10:$AC$10,0))</f>
        <v>0.30341849599999998</v>
      </c>
      <c r="AD28">
        <f>INDEX('AEO 2026 Table 4'!$D$14:$AC$144,47,MATCH(AD$1,'AEO 2026 Table 4'!$D$10:$AC$10,0))</f>
        <v>0.299458528</v>
      </c>
      <c r="AE28">
        <f>INDEX('AEO 2026 Table 4'!$D$14:$AC$144,47,MATCH(AE$1,'AEO 2026 Table 4'!$D$10:$AC$10,0))</f>
        <v>0.29552342399999998</v>
      </c>
      <c r="AF28">
        <f>INDEX('AEO 2026 Table 4'!$D$14:$AC$144,47,MATCH(AF$1,'AEO 2026 Table 4'!$D$10:$AC$10,0))</f>
        <v>0.29172918399999997</v>
      </c>
    </row>
    <row r="29" spans="1:32" x14ac:dyDescent="0.25">
      <c r="A29" t="s">
        <v>517</v>
      </c>
      <c r="B29" t="str">
        <f t="shared" si="0"/>
        <v>residential-appliances-petroleum diesel (BTU)</v>
      </c>
      <c r="C29" t="s">
        <v>1046</v>
      </c>
      <c r="D29" t="s">
        <v>1050</v>
      </c>
      <c r="E29" s="1" t="s">
        <v>1056</v>
      </c>
      <c r="F29" s="44">
        <f>INDEX(Table_4._Residential_Sector_Key!$F$8:$AG$125,MATCH($A29,Table_4._Residential_Sector_Key!$B$8:$B$125,0),MATCH(F$1,Table_4._Residential_Sector_Key!$F$5:$AG$5,0))</f>
        <v>4.0280000000000003E-2</v>
      </c>
      <c r="G29">
        <f>INDEX('AEO 2026 Table 4'!$D$14:$AC$144,48,MATCH(G$1,'AEO 2026 Table 4'!$D$10:$AC$10,0))</f>
        <v>3.7856924E-2</v>
      </c>
      <c r="H29">
        <f>INDEX('AEO 2026 Table 4'!$D$14:$AC$144,48,MATCH(H$1,'AEO 2026 Table 4'!$D$10:$AC$10,0))</f>
        <v>3.5875452000000002E-2</v>
      </c>
      <c r="I29">
        <f>INDEX('AEO 2026 Table 4'!$D$14:$AC$144,48,MATCH(I$1,'AEO 2026 Table 4'!$D$10:$AC$10,0))</f>
        <v>3.3764559999999999E-2</v>
      </c>
      <c r="J29">
        <f>INDEX('AEO 2026 Table 4'!$D$14:$AC$144,48,MATCH(J$1,'AEO 2026 Table 4'!$D$10:$AC$10,0))</f>
        <v>3.1760318000000003E-2</v>
      </c>
      <c r="K29">
        <f>INDEX('AEO 2026 Table 4'!$D$14:$AC$144,48,MATCH(K$1,'AEO 2026 Table 4'!$D$10:$AC$10,0))</f>
        <v>2.9821963999999999E-2</v>
      </c>
      <c r="L29">
        <f>INDEX('AEO 2026 Table 4'!$D$14:$AC$144,48,MATCH(L$1,'AEO 2026 Table 4'!$D$10:$AC$10,0))</f>
        <v>2.8182556000000001E-2</v>
      </c>
      <c r="M29">
        <f>INDEX('AEO 2026 Table 4'!$D$14:$AC$144,48,MATCH(M$1,'AEO 2026 Table 4'!$D$10:$AC$10,0))</f>
        <v>2.6771066E-2</v>
      </c>
      <c r="N29">
        <f>INDEX('AEO 2026 Table 4'!$D$14:$AC$144,48,MATCH(N$1,'AEO 2026 Table 4'!$D$10:$AC$10,0))</f>
        <v>2.5623322E-2</v>
      </c>
      <c r="O29">
        <f>INDEX('AEO 2026 Table 4'!$D$14:$AC$144,48,MATCH(O$1,'AEO 2026 Table 4'!$D$10:$AC$10,0))</f>
        <v>2.4712479999999998E-2</v>
      </c>
      <c r="P29">
        <f>INDEX('AEO 2026 Table 4'!$D$14:$AC$144,48,MATCH(P$1,'AEO 2026 Table 4'!$D$10:$AC$10,0))</f>
        <v>2.4074603999999999E-2</v>
      </c>
      <c r="Q29">
        <f>INDEX('AEO 2026 Table 4'!$D$14:$AC$144,48,MATCH(Q$1,'AEO 2026 Table 4'!$D$10:$AC$10,0))</f>
        <v>2.3676277999999999E-2</v>
      </c>
      <c r="R29">
        <f>INDEX('AEO 2026 Table 4'!$D$14:$AC$144,48,MATCH(R$1,'AEO 2026 Table 4'!$D$10:$AC$10,0))</f>
        <v>2.3233988000000001E-2</v>
      </c>
      <c r="S29">
        <f>INDEX('AEO 2026 Table 4'!$D$14:$AC$144,48,MATCH(S$1,'AEO 2026 Table 4'!$D$10:$AC$10,0))</f>
        <v>2.2777892000000001E-2</v>
      </c>
      <c r="T29">
        <f>INDEX('AEO 2026 Table 4'!$D$14:$AC$144,48,MATCH(T$1,'AEO 2026 Table 4'!$D$10:$AC$10,0))</f>
        <v>2.2309217999999999E-2</v>
      </c>
      <c r="U29">
        <f>INDEX('AEO 2026 Table 4'!$D$14:$AC$144,48,MATCH(U$1,'AEO 2026 Table 4'!$D$10:$AC$10,0))</f>
        <v>2.1833941999999999E-2</v>
      </c>
      <c r="V29">
        <f>INDEX('AEO 2026 Table 4'!$D$14:$AC$144,48,MATCH(V$1,'AEO 2026 Table 4'!$D$10:$AC$10,0))</f>
        <v>2.1354017999999999E-2</v>
      </c>
      <c r="W29">
        <f>INDEX('AEO 2026 Table 4'!$D$14:$AC$144,48,MATCH(W$1,'AEO 2026 Table 4'!$D$10:$AC$10,0))</f>
        <v>2.0862208E-2</v>
      </c>
      <c r="X29">
        <f>INDEX('AEO 2026 Table 4'!$D$14:$AC$144,48,MATCH(X$1,'AEO 2026 Table 4'!$D$10:$AC$10,0))</f>
        <v>2.0367122000000001E-2</v>
      </c>
      <c r="Y29">
        <f>INDEX('AEO 2026 Table 4'!$D$14:$AC$144,48,MATCH(Y$1,'AEO 2026 Table 4'!$D$10:$AC$10,0))</f>
        <v>1.9869511999999999E-2</v>
      </c>
      <c r="Z29">
        <f>INDEX('AEO 2026 Table 4'!$D$14:$AC$144,48,MATCH(Z$1,'AEO 2026 Table 4'!$D$10:$AC$10,0))</f>
        <v>1.9371581999999998E-2</v>
      </c>
      <c r="AA29">
        <f>INDEX('AEO 2026 Table 4'!$D$14:$AC$144,48,MATCH(AA$1,'AEO 2026 Table 4'!$D$10:$AC$10,0))</f>
        <v>1.8869574E-2</v>
      </c>
      <c r="AB29">
        <f>INDEX('AEO 2026 Table 4'!$D$14:$AC$144,48,MATCH(AB$1,'AEO 2026 Table 4'!$D$10:$AC$10,0))</f>
        <v>1.8372125999999999E-2</v>
      </c>
      <c r="AC29">
        <f>INDEX('AEO 2026 Table 4'!$D$14:$AC$144,48,MATCH(AC$1,'AEO 2026 Table 4'!$D$10:$AC$10,0))</f>
        <v>1.7880828000000001E-2</v>
      </c>
      <c r="AD29">
        <f>INDEX('AEO 2026 Table 4'!$D$14:$AC$144,48,MATCH(AD$1,'AEO 2026 Table 4'!$D$10:$AC$10,0))</f>
        <v>1.7401414E-2</v>
      </c>
      <c r="AE29">
        <f>INDEX('AEO 2026 Table 4'!$D$14:$AC$144,48,MATCH(AE$1,'AEO 2026 Table 4'!$D$10:$AC$10,0))</f>
        <v>1.6940015999999999E-2</v>
      </c>
      <c r="AF29">
        <f>INDEX('AEO 2026 Table 4'!$D$14:$AC$144,48,MATCH(AF$1,'AEO 2026 Table 4'!$D$10:$AC$10,0))</f>
        <v>1.6508926E-2</v>
      </c>
    </row>
    <row r="30" spans="1:32" x14ac:dyDescent="0.25">
      <c r="A30" t="s">
        <v>519</v>
      </c>
      <c r="B30" t="str">
        <f t="shared" si="0"/>
        <v>residential-other-petroleum diesel (BTU)</v>
      </c>
      <c r="C30" t="s">
        <v>1046</v>
      </c>
      <c r="D30" t="s">
        <v>1052</v>
      </c>
      <c r="E30" s="1" t="s">
        <v>1056</v>
      </c>
      <c r="F30" s="44">
        <f>INDEX(Table_4._Residential_Sector_Key!$F$8:$AG$125,MATCH($A30,Table_4._Residential_Sector_Key!$B$8:$B$125,0),MATCH(F$1,Table_4._Residential_Sector_Key!$F$5:$AG$5,0))</f>
        <v>2.5815000000000001E-2</v>
      </c>
      <c r="G30">
        <f>INDEX('AEO 2026 Table 4'!$D$14:$AC$144,49,MATCH(G$1,'AEO 2026 Table 4'!$D$10:$AC$10,0))</f>
        <v>2.605526E-2</v>
      </c>
      <c r="H30">
        <f>INDEX('AEO 2026 Table 4'!$D$14:$AC$144,49,MATCH(H$1,'AEO 2026 Table 4'!$D$10:$AC$10,0))</f>
        <v>2.6323658E-2</v>
      </c>
      <c r="I30">
        <f>INDEX('AEO 2026 Table 4'!$D$14:$AC$144,49,MATCH(I$1,'AEO 2026 Table 4'!$D$10:$AC$10,0))</f>
        <v>2.6369386000000002E-2</v>
      </c>
      <c r="J30">
        <f>INDEX('AEO 2026 Table 4'!$D$14:$AC$144,49,MATCH(J$1,'AEO 2026 Table 4'!$D$10:$AC$10,0))</f>
        <v>2.6309869999999999E-2</v>
      </c>
      <c r="K30">
        <f>INDEX('AEO 2026 Table 4'!$D$14:$AC$144,49,MATCH(K$1,'AEO 2026 Table 4'!$D$10:$AC$10,0))</f>
        <v>2.6205866000000001E-2</v>
      </c>
      <c r="L30">
        <f>INDEX('AEO 2026 Table 4'!$D$14:$AC$144,49,MATCH(L$1,'AEO 2026 Table 4'!$D$10:$AC$10,0))</f>
        <v>2.6145310000000001E-2</v>
      </c>
      <c r="M30">
        <f>INDEX('AEO 2026 Table 4'!$D$14:$AC$144,49,MATCH(M$1,'AEO 2026 Table 4'!$D$10:$AC$10,0))</f>
        <v>2.6071268000000002E-2</v>
      </c>
      <c r="N30">
        <f>INDEX('AEO 2026 Table 4'!$D$14:$AC$144,49,MATCH(N$1,'AEO 2026 Table 4'!$D$10:$AC$10,0))</f>
        <v>2.6010390000000001E-2</v>
      </c>
      <c r="O30">
        <f>INDEX('AEO 2026 Table 4'!$D$14:$AC$144,49,MATCH(O$1,'AEO 2026 Table 4'!$D$10:$AC$10,0))</f>
        <v>2.5942750000000001E-2</v>
      </c>
      <c r="P30">
        <f>INDEX('AEO 2026 Table 4'!$D$14:$AC$144,49,MATCH(P$1,'AEO 2026 Table 4'!$D$10:$AC$10,0))</f>
        <v>2.5899246000000001E-2</v>
      </c>
      <c r="Q30">
        <f>INDEX('AEO 2026 Table 4'!$D$14:$AC$144,49,MATCH(Q$1,'AEO 2026 Table 4'!$D$10:$AC$10,0))</f>
        <v>2.5848791999999999E-2</v>
      </c>
      <c r="R30">
        <f>INDEX('AEO 2026 Table 4'!$D$14:$AC$144,49,MATCH(R$1,'AEO 2026 Table 4'!$D$10:$AC$10,0))</f>
        <v>2.5802875999999999E-2</v>
      </c>
      <c r="S30">
        <f>INDEX('AEO 2026 Table 4'!$D$14:$AC$144,49,MATCH(S$1,'AEO 2026 Table 4'!$D$10:$AC$10,0))</f>
        <v>2.5762488E-2</v>
      </c>
      <c r="T30">
        <f>INDEX('AEO 2026 Table 4'!$D$14:$AC$144,49,MATCH(T$1,'AEO 2026 Table 4'!$D$10:$AC$10,0))</f>
        <v>2.5723826000000002E-2</v>
      </c>
      <c r="U30">
        <f>INDEX('AEO 2026 Table 4'!$D$14:$AC$144,49,MATCH(U$1,'AEO 2026 Table 4'!$D$10:$AC$10,0))</f>
        <v>2.5689788000000002E-2</v>
      </c>
      <c r="V30">
        <f>INDEX('AEO 2026 Table 4'!$D$14:$AC$144,49,MATCH(V$1,'AEO 2026 Table 4'!$D$10:$AC$10,0))</f>
        <v>2.5656688E-2</v>
      </c>
      <c r="W30">
        <f>INDEX('AEO 2026 Table 4'!$D$14:$AC$144,49,MATCH(W$1,'AEO 2026 Table 4'!$D$10:$AC$10,0))</f>
        <v>2.5618281999999999E-2</v>
      </c>
      <c r="X30">
        <f>INDEX('AEO 2026 Table 4'!$D$14:$AC$144,49,MATCH(X$1,'AEO 2026 Table 4'!$D$10:$AC$10,0))</f>
        <v>2.5582908000000001E-2</v>
      </c>
      <c r="Y30">
        <f>INDEX('AEO 2026 Table 4'!$D$14:$AC$144,49,MATCH(Y$1,'AEO 2026 Table 4'!$D$10:$AC$10,0))</f>
        <v>2.5548856000000002E-2</v>
      </c>
      <c r="Z30">
        <f>INDEX('AEO 2026 Table 4'!$D$14:$AC$144,49,MATCH(Z$1,'AEO 2026 Table 4'!$D$10:$AC$10,0))</f>
        <v>2.5516258E-2</v>
      </c>
      <c r="AA30">
        <f>INDEX('AEO 2026 Table 4'!$D$14:$AC$144,49,MATCH(AA$1,'AEO 2026 Table 4'!$D$10:$AC$10,0))</f>
        <v>2.5476874E-2</v>
      </c>
      <c r="AB30">
        <f>INDEX('AEO 2026 Table 4'!$D$14:$AC$144,49,MATCH(AB$1,'AEO 2026 Table 4'!$D$10:$AC$10,0))</f>
        <v>2.5437815999999999E-2</v>
      </c>
      <c r="AC30">
        <f>INDEX('AEO 2026 Table 4'!$D$14:$AC$144,49,MATCH(AC$1,'AEO 2026 Table 4'!$D$10:$AC$10,0))</f>
        <v>2.5395692000000001E-2</v>
      </c>
      <c r="AD30">
        <f>INDEX('AEO 2026 Table 4'!$D$14:$AC$144,49,MATCH(AD$1,'AEO 2026 Table 4'!$D$10:$AC$10,0))</f>
        <v>2.5351438E-2</v>
      </c>
      <c r="AE30">
        <f>INDEX('AEO 2026 Table 4'!$D$14:$AC$144,49,MATCH(AE$1,'AEO 2026 Table 4'!$D$10:$AC$10,0))</f>
        <v>2.5306002000000001E-2</v>
      </c>
      <c r="AF30">
        <f>INDEX('AEO 2026 Table 4'!$D$14:$AC$144,49,MATCH(AF$1,'AEO 2026 Table 4'!$D$10:$AC$10,0))</f>
        <v>2.5270761999999999E-2</v>
      </c>
    </row>
    <row r="31" spans="1:32" x14ac:dyDescent="0.25">
      <c r="A31" t="s">
        <v>521</v>
      </c>
      <c r="B31" t="str">
        <f t="shared" si="0"/>
        <v>residential-total-petroleum diesel (BTU)</v>
      </c>
      <c r="C31" t="s">
        <v>1046</v>
      </c>
      <c r="D31" t="s">
        <v>1053</v>
      </c>
      <c r="E31" s="1" t="s">
        <v>1056</v>
      </c>
      <c r="F31" s="44">
        <f>INDEX(Table_4._Residential_Sector_Key!$F$8:$AG$125,MATCH($A31,Table_4._Residential_Sector_Key!$B$8:$B$125,0),MATCH(F$1,Table_4._Residential_Sector_Key!$F$5:$AG$5,0))</f>
        <v>0.44587700000000002</v>
      </c>
      <c r="G31">
        <f>INDEX('AEO 2026 Table 4'!$D$14:$AC$144,50,MATCH(G$1,'AEO 2026 Table 4'!$D$10:$AC$10,0))</f>
        <v>0.48928001523017878</v>
      </c>
      <c r="H31">
        <f>INDEX('AEO 2026 Table 4'!$D$14:$AC$144,50,MATCH(H$1,'AEO 2026 Table 4'!$D$10:$AC$10,0))</f>
        <v>0.47136002779006958</v>
      </c>
      <c r="I31">
        <f>INDEX('AEO 2026 Table 4'!$D$14:$AC$144,50,MATCH(I$1,'AEO 2026 Table 4'!$D$10:$AC$10,0))</f>
        <v>0.46495157480239868</v>
      </c>
      <c r="J31">
        <f>INDEX('AEO 2026 Table 4'!$D$14:$AC$144,50,MATCH(J$1,'AEO 2026 Table 4'!$D$10:$AC$10,0))</f>
        <v>0.45649954676628107</v>
      </c>
      <c r="K31">
        <f>INDEX('AEO 2026 Table 4'!$D$14:$AC$144,50,MATCH(K$1,'AEO 2026 Table 4'!$D$10:$AC$10,0))</f>
        <v>0.44762369990348821</v>
      </c>
      <c r="L31">
        <f>INDEX('AEO 2026 Table 4'!$D$14:$AC$144,50,MATCH(L$1,'AEO 2026 Table 4'!$D$10:$AC$10,0))</f>
        <v>0.43974563479423517</v>
      </c>
      <c r="M31">
        <f>INDEX('AEO 2026 Table 4'!$D$14:$AC$144,50,MATCH(M$1,'AEO 2026 Table 4'!$D$10:$AC$10,0))</f>
        <v>0.43198266625404358</v>
      </c>
      <c r="N31">
        <f>INDEX('AEO 2026 Table 4'!$D$14:$AC$144,50,MATCH(N$1,'AEO 2026 Table 4'!$D$10:$AC$10,0))</f>
        <v>0.42481181025505071</v>
      </c>
      <c r="O31">
        <f>INDEX('AEO 2026 Table 4'!$D$14:$AC$144,50,MATCH(O$1,'AEO 2026 Table 4'!$D$10:$AC$10,0))</f>
        <v>0.41794514656066889</v>
      </c>
      <c r="P31">
        <f>INDEX('AEO 2026 Table 4'!$D$14:$AC$144,50,MATCH(P$1,'AEO 2026 Table 4'!$D$10:$AC$10,0))</f>
        <v>0.41185116767883301</v>
      </c>
      <c r="Q31">
        <f>INDEX('AEO 2026 Table 4'!$D$14:$AC$144,50,MATCH(Q$1,'AEO 2026 Table 4'!$D$10:$AC$10,0))</f>
        <v>0.4060727059841156</v>
      </c>
      <c r="R31">
        <f>INDEX('AEO 2026 Table 4'!$D$14:$AC$144,50,MATCH(R$1,'AEO 2026 Table 4'!$D$10:$AC$10,0))</f>
        <v>0.40047276020050049</v>
      </c>
      <c r="S31">
        <f>INDEX('AEO 2026 Table 4'!$D$14:$AC$144,50,MATCH(S$1,'AEO 2026 Table 4'!$D$10:$AC$10,0))</f>
        <v>0.39501944184303278</v>
      </c>
      <c r="T31">
        <f>INDEX('AEO 2026 Table 4'!$D$14:$AC$144,50,MATCH(T$1,'AEO 2026 Table 4'!$D$10:$AC$10,0))</f>
        <v>0.3897416889667511</v>
      </c>
      <c r="U31">
        <f>INDEX('AEO 2026 Table 4'!$D$14:$AC$144,50,MATCH(U$1,'AEO 2026 Table 4'!$D$10:$AC$10,0))</f>
        <v>0.38464006781578058</v>
      </c>
      <c r="V31">
        <f>INDEX('AEO 2026 Table 4'!$D$14:$AC$144,50,MATCH(V$1,'AEO 2026 Table 4'!$D$10:$AC$10,0))</f>
        <v>0.37959465384483337</v>
      </c>
      <c r="W31">
        <f>INDEX('AEO 2026 Table 4'!$D$14:$AC$144,50,MATCH(W$1,'AEO 2026 Table 4'!$D$10:$AC$10,0))</f>
        <v>0.37457168102264399</v>
      </c>
      <c r="X31">
        <f>INDEX('AEO 2026 Table 4'!$D$14:$AC$144,50,MATCH(X$1,'AEO 2026 Table 4'!$D$10:$AC$10,0))</f>
        <v>0.36974090337753301</v>
      </c>
      <c r="Y31">
        <f>INDEX('AEO 2026 Table 4'!$D$14:$AC$144,50,MATCH(Y$1,'AEO 2026 Table 4'!$D$10:$AC$10,0))</f>
        <v>0.36496850848197943</v>
      </c>
      <c r="Z31">
        <f>INDEX('AEO 2026 Table 4'!$D$14:$AC$144,50,MATCH(Z$1,'AEO 2026 Table 4'!$D$10:$AC$10,0))</f>
        <v>0.36033466458320618</v>
      </c>
      <c r="AA31">
        <f>INDEX('AEO 2026 Table 4'!$D$14:$AC$144,50,MATCH(AA$1,'AEO 2026 Table 4'!$D$10:$AC$10,0))</f>
        <v>0.35574036836624151</v>
      </c>
      <c r="AB31">
        <f>INDEX('AEO 2026 Table 4'!$D$14:$AC$144,50,MATCH(AB$1,'AEO 2026 Table 4'!$D$10:$AC$10,0))</f>
        <v>0.35123756527900701</v>
      </c>
      <c r="AC31">
        <f>INDEX('AEO 2026 Table 4'!$D$14:$AC$144,50,MATCH(AC$1,'AEO 2026 Table 4'!$D$10:$AC$10,0))</f>
        <v>0.34672409296035772</v>
      </c>
      <c r="AD31">
        <f>INDEX('AEO 2026 Table 4'!$D$14:$AC$144,50,MATCH(AD$1,'AEO 2026 Table 4'!$D$10:$AC$10,0))</f>
        <v>0.34224361181259161</v>
      </c>
      <c r="AE31">
        <f>INDEX('AEO 2026 Table 4'!$D$14:$AC$144,50,MATCH(AE$1,'AEO 2026 Table 4'!$D$10:$AC$10,0))</f>
        <v>0.33780473470687872</v>
      </c>
      <c r="AF31">
        <f>INDEX('AEO 2026 Table 4'!$D$14:$AC$144,50,MATCH(AF$1,'AEO 2026 Table 4'!$D$10:$AC$10,0))</f>
        <v>0.33354681730270391</v>
      </c>
    </row>
    <row r="32" spans="1:32" x14ac:dyDescent="0.25">
      <c r="A32" t="s">
        <v>523</v>
      </c>
      <c r="B32" t="str">
        <f t="shared" si="0"/>
        <v>residential-heating-LPG propane or butane (BTU)</v>
      </c>
      <c r="C32" t="s">
        <v>1046</v>
      </c>
      <c r="D32" t="s">
        <v>1047</v>
      </c>
      <c r="E32" s="1" t="s">
        <v>1057</v>
      </c>
      <c r="F32" s="44">
        <f>INDEX(Table_4._Residential_Sector_Key!$F$8:$AG$125,MATCH($A32,Table_4._Residential_Sector_Key!$B$8:$B$125,0),MATCH(F$1,Table_4._Residential_Sector_Key!$F$5:$AG$5,0))</f>
        <v>0.30324699999999999</v>
      </c>
      <c r="G32">
        <f>INDEX('AEO 2026 Table 4'!$D$14:$AC$144,53,MATCH(G$1,'AEO 2026 Table 4'!$D$10:$AC$10,0))</f>
        <v>0.37752092799999998</v>
      </c>
      <c r="H32">
        <f>INDEX('AEO 2026 Table 4'!$D$14:$AC$144,53,MATCH(H$1,'AEO 2026 Table 4'!$D$10:$AC$10,0))</f>
        <v>0.36312345600000001</v>
      </c>
      <c r="I32">
        <f>INDEX('AEO 2026 Table 4'!$D$14:$AC$144,53,MATCH(I$1,'AEO 2026 Table 4'!$D$10:$AC$10,0))</f>
        <v>0.34120233599999999</v>
      </c>
      <c r="J32">
        <f>INDEX('AEO 2026 Table 4'!$D$14:$AC$144,53,MATCH(J$1,'AEO 2026 Table 4'!$D$10:$AC$10,0))</f>
        <v>0.33858147199999999</v>
      </c>
      <c r="K32">
        <f>INDEX('AEO 2026 Table 4'!$D$14:$AC$144,53,MATCH(K$1,'AEO 2026 Table 4'!$D$10:$AC$10,0))</f>
        <v>0.33409823999999999</v>
      </c>
      <c r="L32">
        <f>INDEX('AEO 2026 Table 4'!$D$14:$AC$144,53,MATCH(L$1,'AEO 2026 Table 4'!$D$10:$AC$10,0))</f>
        <v>0.328570048</v>
      </c>
      <c r="M32">
        <f>INDEX('AEO 2026 Table 4'!$D$14:$AC$144,53,MATCH(M$1,'AEO 2026 Table 4'!$D$10:$AC$10,0))</f>
        <v>0.32222105600000001</v>
      </c>
      <c r="N32">
        <f>INDEX('AEO 2026 Table 4'!$D$14:$AC$144,53,MATCH(N$1,'AEO 2026 Table 4'!$D$10:$AC$10,0))</f>
        <v>0.31594832</v>
      </c>
      <c r="O32">
        <f>INDEX('AEO 2026 Table 4'!$D$14:$AC$144,53,MATCH(O$1,'AEO 2026 Table 4'!$D$10:$AC$10,0))</f>
        <v>0.3099808</v>
      </c>
      <c r="P32">
        <f>INDEX('AEO 2026 Table 4'!$D$14:$AC$144,53,MATCH(P$1,'AEO 2026 Table 4'!$D$10:$AC$10,0))</f>
        <v>0.30452153599999998</v>
      </c>
      <c r="Q32">
        <f>INDEX('AEO 2026 Table 4'!$D$14:$AC$144,53,MATCH(Q$1,'AEO 2026 Table 4'!$D$10:$AC$10,0))</f>
        <v>0.29947724799999997</v>
      </c>
      <c r="R32">
        <f>INDEX('AEO 2026 Table 4'!$D$14:$AC$144,53,MATCH(R$1,'AEO 2026 Table 4'!$D$10:$AC$10,0))</f>
        <v>0.29476940800000001</v>
      </c>
      <c r="S32">
        <f>INDEX('AEO 2026 Table 4'!$D$14:$AC$144,53,MATCH(S$1,'AEO 2026 Table 4'!$D$10:$AC$10,0))</f>
        <v>0.29023353600000001</v>
      </c>
      <c r="T32">
        <f>INDEX('AEO 2026 Table 4'!$D$14:$AC$144,53,MATCH(T$1,'AEO 2026 Table 4'!$D$10:$AC$10,0))</f>
        <v>0.285863808</v>
      </c>
      <c r="U32">
        <f>INDEX('AEO 2026 Table 4'!$D$14:$AC$144,53,MATCH(U$1,'AEO 2026 Table 4'!$D$10:$AC$10,0))</f>
        <v>0.28161328000000002</v>
      </c>
      <c r="V32">
        <f>INDEX('AEO 2026 Table 4'!$D$14:$AC$144,53,MATCH(V$1,'AEO 2026 Table 4'!$D$10:$AC$10,0))</f>
        <v>0.27760268799999999</v>
      </c>
      <c r="W32">
        <f>INDEX('AEO 2026 Table 4'!$D$14:$AC$144,53,MATCH(W$1,'AEO 2026 Table 4'!$D$10:$AC$10,0))</f>
        <v>0.273847648</v>
      </c>
      <c r="X32">
        <f>INDEX('AEO 2026 Table 4'!$D$14:$AC$144,53,MATCH(X$1,'AEO 2026 Table 4'!$D$10:$AC$10,0))</f>
        <v>0.27051984000000001</v>
      </c>
      <c r="Y32">
        <f>INDEX('AEO 2026 Table 4'!$D$14:$AC$144,53,MATCH(Y$1,'AEO 2026 Table 4'!$D$10:$AC$10,0))</f>
        <v>0.26754745600000002</v>
      </c>
      <c r="Z32">
        <f>INDEX('AEO 2026 Table 4'!$D$14:$AC$144,53,MATCH(Z$1,'AEO 2026 Table 4'!$D$10:$AC$10,0))</f>
        <v>0.26485846400000002</v>
      </c>
      <c r="AA32">
        <f>INDEX('AEO 2026 Table 4'!$D$14:$AC$144,53,MATCH(AA$1,'AEO 2026 Table 4'!$D$10:$AC$10,0))</f>
        <v>0.26235745599999999</v>
      </c>
      <c r="AB32">
        <f>INDEX('AEO 2026 Table 4'!$D$14:$AC$144,53,MATCH(AB$1,'AEO 2026 Table 4'!$D$10:$AC$10,0))</f>
        <v>0.25987972799999998</v>
      </c>
      <c r="AC32">
        <f>INDEX('AEO 2026 Table 4'!$D$14:$AC$144,53,MATCH(AC$1,'AEO 2026 Table 4'!$D$10:$AC$10,0))</f>
        <v>0.257270416</v>
      </c>
      <c r="AD32">
        <f>INDEX('AEO 2026 Table 4'!$D$14:$AC$144,53,MATCH(AD$1,'AEO 2026 Table 4'!$D$10:$AC$10,0))</f>
        <v>0.25461995199999998</v>
      </c>
      <c r="AE32">
        <f>INDEX('AEO 2026 Table 4'!$D$14:$AC$144,53,MATCH(AE$1,'AEO 2026 Table 4'!$D$10:$AC$10,0))</f>
        <v>0.251971216</v>
      </c>
      <c r="AF32">
        <f>INDEX('AEO 2026 Table 4'!$D$14:$AC$144,53,MATCH(AF$1,'AEO 2026 Table 4'!$D$10:$AC$10,0))</f>
        <v>0.24937891200000001</v>
      </c>
    </row>
    <row r="33" spans="1:32" x14ac:dyDescent="0.25">
      <c r="A33" t="s">
        <v>525</v>
      </c>
      <c r="B33" t="str">
        <f t="shared" si="0"/>
        <v>residential-appliances-LPG propane or butane (BTU)</v>
      </c>
      <c r="C33" t="s">
        <v>1046</v>
      </c>
      <c r="D33" t="s">
        <v>1050</v>
      </c>
      <c r="E33" s="1" t="s">
        <v>1057</v>
      </c>
      <c r="F33" s="44">
        <f>INDEX(Table_4._Residential_Sector_Key!$F$8:$AG$125,MATCH($A33,Table_4._Residential_Sector_Key!$B$8:$B$125,0),MATCH(F$1,Table_4._Residential_Sector_Key!$F$5:$AG$5,0))</f>
        <v>5.6641999999999998E-2</v>
      </c>
      <c r="G33">
        <f>INDEX('AEO 2026 Table 4'!$D$14:$AC$144,54,MATCH(G$1,'AEO 2026 Table 4'!$D$10:$AC$10,0))</f>
        <v>5.8524816E-2</v>
      </c>
      <c r="H33">
        <f>INDEX('AEO 2026 Table 4'!$D$14:$AC$144,54,MATCH(H$1,'AEO 2026 Table 4'!$D$10:$AC$10,0))</f>
        <v>5.9045232000000003E-2</v>
      </c>
      <c r="I33">
        <f>INDEX('AEO 2026 Table 4'!$D$14:$AC$144,54,MATCH(I$1,'AEO 2026 Table 4'!$D$10:$AC$10,0))</f>
        <v>5.9788363999999997E-2</v>
      </c>
      <c r="J33">
        <f>INDEX('AEO 2026 Table 4'!$D$14:$AC$144,54,MATCH(J$1,'AEO 2026 Table 4'!$D$10:$AC$10,0))</f>
        <v>6.0390256000000003E-2</v>
      </c>
      <c r="K33">
        <f>INDEX('AEO 2026 Table 4'!$D$14:$AC$144,54,MATCH(K$1,'AEO 2026 Table 4'!$D$10:$AC$10,0))</f>
        <v>5.9602552000000003E-2</v>
      </c>
      <c r="L33">
        <f>INDEX('AEO 2026 Table 4'!$D$14:$AC$144,54,MATCH(L$1,'AEO 2026 Table 4'!$D$10:$AC$10,0))</f>
        <v>5.8604436000000003E-2</v>
      </c>
      <c r="M33">
        <f>INDEX('AEO 2026 Table 4'!$D$14:$AC$144,54,MATCH(M$1,'AEO 2026 Table 4'!$D$10:$AC$10,0))</f>
        <v>5.7557207999999999E-2</v>
      </c>
      <c r="N33">
        <f>INDEX('AEO 2026 Table 4'!$D$14:$AC$144,54,MATCH(N$1,'AEO 2026 Table 4'!$D$10:$AC$10,0))</f>
        <v>5.6583512000000002E-2</v>
      </c>
      <c r="O33">
        <f>INDEX('AEO 2026 Table 4'!$D$14:$AC$144,54,MATCH(O$1,'AEO 2026 Table 4'!$D$10:$AC$10,0))</f>
        <v>5.5702179999999997E-2</v>
      </c>
      <c r="P33">
        <f>INDEX('AEO 2026 Table 4'!$D$14:$AC$144,54,MATCH(P$1,'AEO 2026 Table 4'!$D$10:$AC$10,0))</f>
        <v>5.5020607999999999E-2</v>
      </c>
      <c r="Q33">
        <f>INDEX('AEO 2026 Table 4'!$D$14:$AC$144,54,MATCH(Q$1,'AEO 2026 Table 4'!$D$10:$AC$10,0))</f>
        <v>5.4533824000000002E-2</v>
      </c>
      <c r="R33">
        <f>INDEX('AEO 2026 Table 4'!$D$14:$AC$144,54,MATCH(R$1,'AEO 2026 Table 4'!$D$10:$AC$10,0))</f>
        <v>5.3958739999999998E-2</v>
      </c>
      <c r="S33">
        <f>INDEX('AEO 2026 Table 4'!$D$14:$AC$144,54,MATCH(S$1,'AEO 2026 Table 4'!$D$10:$AC$10,0))</f>
        <v>5.3306795999999997E-2</v>
      </c>
      <c r="T33">
        <f>INDEX('AEO 2026 Table 4'!$D$14:$AC$144,54,MATCH(T$1,'AEO 2026 Table 4'!$D$10:$AC$10,0))</f>
        <v>5.2582360000000002E-2</v>
      </c>
      <c r="U33">
        <f>INDEX('AEO 2026 Table 4'!$D$14:$AC$144,54,MATCH(U$1,'AEO 2026 Table 4'!$D$10:$AC$10,0))</f>
        <v>5.1788816000000001E-2</v>
      </c>
      <c r="V33">
        <f>INDEX('AEO 2026 Table 4'!$D$14:$AC$144,54,MATCH(V$1,'AEO 2026 Table 4'!$D$10:$AC$10,0))</f>
        <v>5.0961772000000002E-2</v>
      </c>
      <c r="W33">
        <f>INDEX('AEO 2026 Table 4'!$D$14:$AC$144,54,MATCH(W$1,'AEO 2026 Table 4'!$D$10:$AC$10,0))</f>
        <v>5.0117759999999997E-2</v>
      </c>
      <c r="X33">
        <f>INDEX('AEO 2026 Table 4'!$D$14:$AC$144,54,MATCH(X$1,'AEO 2026 Table 4'!$D$10:$AC$10,0))</f>
        <v>4.9286348000000001E-2</v>
      </c>
      <c r="Y33">
        <f>INDEX('AEO 2026 Table 4'!$D$14:$AC$144,54,MATCH(Y$1,'AEO 2026 Table 4'!$D$10:$AC$10,0))</f>
        <v>4.8475836000000001E-2</v>
      </c>
      <c r="Z33">
        <f>INDEX('AEO 2026 Table 4'!$D$14:$AC$144,54,MATCH(Z$1,'AEO 2026 Table 4'!$D$10:$AC$10,0))</f>
        <v>4.7684471999999999E-2</v>
      </c>
      <c r="AA33">
        <f>INDEX('AEO 2026 Table 4'!$D$14:$AC$144,54,MATCH(AA$1,'AEO 2026 Table 4'!$D$10:$AC$10,0))</f>
        <v>4.6888052E-2</v>
      </c>
      <c r="AB33">
        <f>INDEX('AEO 2026 Table 4'!$D$14:$AC$144,54,MATCH(AB$1,'AEO 2026 Table 4'!$D$10:$AC$10,0))</f>
        <v>4.6069628000000001E-2</v>
      </c>
      <c r="AC33">
        <f>INDEX('AEO 2026 Table 4'!$D$14:$AC$144,54,MATCH(AC$1,'AEO 2026 Table 4'!$D$10:$AC$10,0))</f>
        <v>4.5236156E-2</v>
      </c>
      <c r="AD33">
        <f>INDEX('AEO 2026 Table 4'!$D$14:$AC$144,54,MATCH(AD$1,'AEO 2026 Table 4'!$D$10:$AC$10,0))</f>
        <v>4.4409216000000001E-2</v>
      </c>
      <c r="AE33">
        <f>INDEX('AEO 2026 Table 4'!$D$14:$AC$144,54,MATCH(AE$1,'AEO 2026 Table 4'!$D$10:$AC$10,0))</f>
        <v>4.36164E-2</v>
      </c>
      <c r="AF33">
        <f>INDEX('AEO 2026 Table 4'!$D$14:$AC$144,54,MATCH(AF$1,'AEO 2026 Table 4'!$D$10:$AC$10,0))</f>
        <v>4.2877907999999999E-2</v>
      </c>
    </row>
    <row r="34" spans="1:32" x14ac:dyDescent="0.25">
      <c r="A34" t="s">
        <v>527</v>
      </c>
      <c r="B34" t="str">
        <f t="shared" si="0"/>
        <v>residential-appliances-LPG propane or butane (BTU)</v>
      </c>
      <c r="C34" t="s">
        <v>1046</v>
      </c>
      <c r="D34" t="s">
        <v>1050</v>
      </c>
      <c r="E34" s="1" t="s">
        <v>1057</v>
      </c>
      <c r="F34" s="44">
        <f>INDEX(Table_4._Residential_Sector_Key!$F$8:$AG$125,MATCH($A34,Table_4._Residential_Sector_Key!$B$8:$B$125,0),MATCH(F$1,Table_4._Residential_Sector_Key!$F$5:$AG$5,0))</f>
        <v>1.0414E-2</v>
      </c>
      <c r="G34">
        <f>INDEX('AEO 2026 Table 4'!$D$14:$AC$144,55,MATCH(G$1,'AEO 2026 Table 4'!$D$10:$AC$10,0))</f>
        <v>1.0416893E-2</v>
      </c>
      <c r="H34">
        <f>INDEX('AEO 2026 Table 4'!$D$14:$AC$144,55,MATCH(H$1,'AEO 2026 Table 4'!$D$10:$AC$10,0))</f>
        <v>1.0382659000000001E-2</v>
      </c>
      <c r="I34">
        <f>INDEX('AEO 2026 Table 4'!$D$14:$AC$144,55,MATCH(I$1,'AEO 2026 Table 4'!$D$10:$AC$10,0))</f>
        <v>1.0352623E-2</v>
      </c>
      <c r="J34">
        <f>INDEX('AEO 2026 Table 4'!$D$14:$AC$144,55,MATCH(J$1,'AEO 2026 Table 4'!$D$10:$AC$10,0))</f>
        <v>1.0320664E-2</v>
      </c>
      <c r="K34">
        <f>INDEX('AEO 2026 Table 4'!$D$14:$AC$144,55,MATCH(K$1,'AEO 2026 Table 4'!$D$10:$AC$10,0))</f>
        <v>1.0288456E-2</v>
      </c>
      <c r="L34">
        <f>INDEX('AEO 2026 Table 4'!$D$14:$AC$144,55,MATCH(L$1,'AEO 2026 Table 4'!$D$10:$AC$10,0))</f>
        <v>1.0251335E-2</v>
      </c>
      <c r="M34">
        <f>INDEX('AEO 2026 Table 4'!$D$14:$AC$144,55,MATCH(M$1,'AEO 2026 Table 4'!$D$10:$AC$10,0))</f>
        <v>1.0208539000000001E-2</v>
      </c>
      <c r="N34">
        <f>INDEX('AEO 2026 Table 4'!$D$14:$AC$144,55,MATCH(N$1,'AEO 2026 Table 4'!$D$10:$AC$10,0))</f>
        <v>1.0160659000000001E-2</v>
      </c>
      <c r="O34">
        <f>INDEX('AEO 2026 Table 4'!$D$14:$AC$144,55,MATCH(O$1,'AEO 2026 Table 4'!$D$10:$AC$10,0))</f>
        <v>1.0109655E-2</v>
      </c>
      <c r="P34">
        <f>INDEX('AEO 2026 Table 4'!$D$14:$AC$144,55,MATCH(P$1,'AEO 2026 Table 4'!$D$10:$AC$10,0))</f>
        <v>1.0054894999999999E-2</v>
      </c>
      <c r="Q34">
        <f>INDEX('AEO 2026 Table 4'!$D$14:$AC$144,55,MATCH(Q$1,'AEO 2026 Table 4'!$D$10:$AC$10,0))</f>
        <v>9.9962169999999999E-3</v>
      </c>
      <c r="R34">
        <f>INDEX('AEO 2026 Table 4'!$D$14:$AC$144,55,MATCH(R$1,'AEO 2026 Table 4'!$D$10:$AC$10,0))</f>
        <v>9.9327949999999995E-3</v>
      </c>
      <c r="S34">
        <f>INDEX('AEO 2026 Table 4'!$D$14:$AC$144,55,MATCH(S$1,'AEO 2026 Table 4'!$D$10:$AC$10,0))</f>
        <v>9.8648179999999992E-3</v>
      </c>
      <c r="T34">
        <f>INDEX('AEO 2026 Table 4'!$D$14:$AC$144,55,MATCH(T$1,'AEO 2026 Table 4'!$D$10:$AC$10,0))</f>
        <v>9.8131069999999997E-3</v>
      </c>
      <c r="U34">
        <f>INDEX('AEO 2026 Table 4'!$D$14:$AC$144,55,MATCH(U$1,'AEO 2026 Table 4'!$D$10:$AC$10,0))</f>
        <v>9.7768479999999994E-3</v>
      </c>
      <c r="V34">
        <f>INDEX('AEO 2026 Table 4'!$D$14:$AC$144,55,MATCH(V$1,'AEO 2026 Table 4'!$D$10:$AC$10,0))</f>
        <v>9.7585469999999994E-3</v>
      </c>
      <c r="W34">
        <f>INDEX('AEO 2026 Table 4'!$D$14:$AC$144,55,MATCH(W$1,'AEO 2026 Table 4'!$D$10:$AC$10,0))</f>
        <v>9.7593279999999994E-3</v>
      </c>
      <c r="X34">
        <f>INDEX('AEO 2026 Table 4'!$D$14:$AC$144,55,MATCH(X$1,'AEO 2026 Table 4'!$D$10:$AC$10,0))</f>
        <v>9.7802050000000001E-3</v>
      </c>
      <c r="Y34">
        <f>INDEX('AEO 2026 Table 4'!$D$14:$AC$144,55,MATCH(Y$1,'AEO 2026 Table 4'!$D$10:$AC$10,0))</f>
        <v>9.7986549999999999E-3</v>
      </c>
      <c r="Z34">
        <f>INDEX('AEO 2026 Table 4'!$D$14:$AC$144,55,MATCH(Z$1,'AEO 2026 Table 4'!$D$10:$AC$10,0))</f>
        <v>9.8149589999999998E-3</v>
      </c>
      <c r="AA34">
        <f>INDEX('AEO 2026 Table 4'!$D$14:$AC$144,55,MATCH(AA$1,'AEO 2026 Table 4'!$D$10:$AC$10,0))</f>
        <v>9.8302839999999999E-3</v>
      </c>
      <c r="AB34">
        <f>INDEX('AEO 2026 Table 4'!$D$14:$AC$144,55,MATCH(AB$1,'AEO 2026 Table 4'!$D$10:$AC$10,0))</f>
        <v>9.8444940000000005E-3</v>
      </c>
      <c r="AC34">
        <f>INDEX('AEO 2026 Table 4'!$D$14:$AC$144,55,MATCH(AC$1,'AEO 2026 Table 4'!$D$10:$AC$10,0))</f>
        <v>9.8571200000000005E-3</v>
      </c>
      <c r="AD34">
        <f>INDEX('AEO 2026 Table 4'!$D$14:$AC$144,55,MATCH(AD$1,'AEO 2026 Table 4'!$D$10:$AC$10,0))</f>
        <v>9.8679949999999992E-3</v>
      </c>
      <c r="AE34">
        <f>INDEX('AEO 2026 Table 4'!$D$14:$AC$144,55,MATCH(AE$1,'AEO 2026 Table 4'!$D$10:$AC$10,0))</f>
        <v>9.8773070000000001E-3</v>
      </c>
      <c r="AF34">
        <f>INDEX('AEO 2026 Table 4'!$D$14:$AC$144,55,MATCH(AF$1,'AEO 2026 Table 4'!$D$10:$AC$10,0))</f>
        <v>9.8855120000000008E-3</v>
      </c>
    </row>
    <row r="35" spans="1:32" x14ac:dyDescent="0.25">
      <c r="A35" t="s">
        <v>529</v>
      </c>
      <c r="B35" t="str">
        <f t="shared" si="0"/>
        <v>residential-other-LPG propane or butane (BTU)</v>
      </c>
      <c r="C35" t="s">
        <v>1046</v>
      </c>
      <c r="D35" t="s">
        <v>1052</v>
      </c>
      <c r="E35" s="1" t="s">
        <v>1057</v>
      </c>
      <c r="F35" s="44">
        <f>INDEX(Table_4._Residential_Sector_Key!$F$8:$AG$125,MATCH($A35,Table_4._Residential_Sector_Key!$B$8:$B$125,0),MATCH(F$1,Table_4._Residential_Sector_Key!$F$5:$AG$5,0))</f>
        <v>7.5281000000000001E-2</v>
      </c>
      <c r="G35">
        <f>INDEX('AEO 2026 Table 4'!$D$14:$AC$144,56,MATCH(G$1,'AEO 2026 Table 4'!$D$10:$AC$10,0))</f>
        <v>7.8037311999999998E-2</v>
      </c>
      <c r="H35">
        <f>INDEX('AEO 2026 Table 4'!$D$14:$AC$144,56,MATCH(H$1,'AEO 2026 Table 4'!$D$10:$AC$10,0))</f>
        <v>8.1168695999999999E-2</v>
      </c>
      <c r="I35">
        <f>INDEX('AEO 2026 Table 4'!$D$14:$AC$144,56,MATCH(I$1,'AEO 2026 Table 4'!$D$10:$AC$10,0))</f>
        <v>8.4197159999999993E-2</v>
      </c>
      <c r="J35">
        <f>INDEX('AEO 2026 Table 4'!$D$14:$AC$144,56,MATCH(J$1,'AEO 2026 Table 4'!$D$10:$AC$10,0))</f>
        <v>8.6919023999999998E-2</v>
      </c>
      <c r="K35">
        <f>INDEX('AEO 2026 Table 4'!$D$14:$AC$144,56,MATCH(K$1,'AEO 2026 Table 4'!$D$10:$AC$10,0))</f>
        <v>8.9321968000000002E-2</v>
      </c>
      <c r="L35">
        <f>INDEX('AEO 2026 Table 4'!$D$14:$AC$144,56,MATCH(L$1,'AEO 2026 Table 4'!$D$10:$AC$10,0))</f>
        <v>9.1502511999999994E-2</v>
      </c>
      <c r="M35">
        <f>INDEX('AEO 2026 Table 4'!$D$14:$AC$144,56,MATCH(M$1,'AEO 2026 Table 4'!$D$10:$AC$10,0))</f>
        <v>9.3499600000000002E-2</v>
      </c>
      <c r="N35">
        <f>INDEX('AEO 2026 Table 4'!$D$14:$AC$144,56,MATCH(N$1,'AEO 2026 Table 4'!$D$10:$AC$10,0))</f>
        <v>9.5470912000000005E-2</v>
      </c>
      <c r="O35">
        <f>INDEX('AEO 2026 Table 4'!$D$14:$AC$144,56,MATCH(O$1,'AEO 2026 Table 4'!$D$10:$AC$10,0))</f>
        <v>9.7410464000000002E-2</v>
      </c>
      <c r="P35">
        <f>INDEX('AEO 2026 Table 4'!$D$14:$AC$144,56,MATCH(P$1,'AEO 2026 Table 4'!$D$10:$AC$10,0))</f>
        <v>9.9465440000000002E-2</v>
      </c>
      <c r="Q35">
        <f>INDEX('AEO 2026 Table 4'!$D$14:$AC$144,56,MATCH(Q$1,'AEO 2026 Table 4'!$D$10:$AC$10,0))</f>
        <v>0.101613936</v>
      </c>
      <c r="R35">
        <f>INDEX('AEO 2026 Table 4'!$D$14:$AC$144,56,MATCH(R$1,'AEO 2026 Table 4'!$D$10:$AC$10,0))</f>
        <v>0.10382166399999999</v>
      </c>
      <c r="S35">
        <f>INDEX('AEO 2026 Table 4'!$D$14:$AC$144,56,MATCH(S$1,'AEO 2026 Table 4'!$D$10:$AC$10,0))</f>
        <v>0.10602426399999999</v>
      </c>
      <c r="T35">
        <f>INDEX('AEO 2026 Table 4'!$D$14:$AC$144,56,MATCH(T$1,'AEO 2026 Table 4'!$D$10:$AC$10,0))</f>
        <v>0.108215704</v>
      </c>
      <c r="U35">
        <f>INDEX('AEO 2026 Table 4'!$D$14:$AC$144,56,MATCH(U$1,'AEO 2026 Table 4'!$D$10:$AC$10,0))</f>
        <v>0.110387264</v>
      </c>
      <c r="V35">
        <f>INDEX('AEO 2026 Table 4'!$D$14:$AC$144,56,MATCH(V$1,'AEO 2026 Table 4'!$D$10:$AC$10,0))</f>
        <v>0.112575104</v>
      </c>
      <c r="W35">
        <f>INDEX('AEO 2026 Table 4'!$D$14:$AC$144,56,MATCH(W$1,'AEO 2026 Table 4'!$D$10:$AC$10,0))</f>
        <v>0.114813912</v>
      </c>
      <c r="X35">
        <f>INDEX('AEO 2026 Table 4'!$D$14:$AC$144,56,MATCH(X$1,'AEO 2026 Table 4'!$D$10:$AC$10,0))</f>
        <v>0.117151528</v>
      </c>
      <c r="Y35">
        <f>INDEX('AEO 2026 Table 4'!$D$14:$AC$144,56,MATCH(Y$1,'AEO 2026 Table 4'!$D$10:$AC$10,0))</f>
        <v>0.119593984</v>
      </c>
      <c r="Z35">
        <f>INDEX('AEO 2026 Table 4'!$D$14:$AC$144,56,MATCH(Z$1,'AEO 2026 Table 4'!$D$10:$AC$10,0))</f>
        <v>0.122121088</v>
      </c>
      <c r="AA35">
        <f>INDEX('AEO 2026 Table 4'!$D$14:$AC$144,56,MATCH(AA$1,'AEO 2026 Table 4'!$D$10:$AC$10,0))</f>
        <v>0.124669688</v>
      </c>
      <c r="AB35">
        <f>INDEX('AEO 2026 Table 4'!$D$14:$AC$144,56,MATCH(AB$1,'AEO 2026 Table 4'!$D$10:$AC$10,0))</f>
        <v>0.12718207200000001</v>
      </c>
      <c r="AC35">
        <f>INDEX('AEO 2026 Table 4'!$D$14:$AC$144,56,MATCH(AC$1,'AEO 2026 Table 4'!$D$10:$AC$10,0))</f>
        <v>0.12964841599999999</v>
      </c>
      <c r="AD35">
        <f>INDEX('AEO 2026 Table 4'!$D$14:$AC$144,56,MATCH(AD$1,'AEO 2026 Table 4'!$D$10:$AC$10,0))</f>
        <v>0.13209407200000001</v>
      </c>
      <c r="AE35">
        <f>INDEX('AEO 2026 Table 4'!$D$14:$AC$144,56,MATCH(AE$1,'AEO 2026 Table 4'!$D$10:$AC$10,0))</f>
        <v>0.13455473600000001</v>
      </c>
      <c r="AF35">
        <f>INDEX('AEO 2026 Table 4'!$D$14:$AC$144,56,MATCH(AF$1,'AEO 2026 Table 4'!$D$10:$AC$10,0))</f>
        <v>0.13704892799999999</v>
      </c>
    </row>
    <row r="36" spans="1:32" x14ac:dyDescent="0.25">
      <c r="A36" t="s">
        <v>531</v>
      </c>
      <c r="B36" t="str">
        <f t="shared" si="0"/>
        <v>residential-total-LPG propane or butane (BTU)</v>
      </c>
      <c r="C36" t="s">
        <v>1046</v>
      </c>
      <c r="D36" t="s">
        <v>1053</v>
      </c>
      <c r="E36" s="1" t="s">
        <v>1057</v>
      </c>
      <c r="F36" s="44">
        <f>INDEX(Table_4._Residential_Sector_Key!$F$8:$AG$125,MATCH($A36,Table_4._Residential_Sector_Key!$B$8:$B$125,0),MATCH(F$1,Table_4._Residential_Sector_Key!$F$5:$AG$5,0))</f>
        <v>0.44558500000000001</v>
      </c>
      <c r="G36">
        <f>INDEX('AEO 2026 Table 4'!$D$14:$AC$144,57,MATCH(G$1,'AEO 2026 Table 4'!$D$10:$AC$10,0))</f>
        <v>0.52450001239776611</v>
      </c>
      <c r="H36">
        <f>INDEX('AEO 2026 Table 4'!$D$14:$AC$144,57,MATCH(H$1,'AEO 2026 Table 4'!$D$10:$AC$10,0))</f>
        <v>0.51372003555297852</v>
      </c>
      <c r="I36">
        <f>INDEX('AEO 2026 Table 4'!$D$14:$AC$144,57,MATCH(I$1,'AEO 2026 Table 4'!$D$10:$AC$10,0))</f>
        <v>0.4955405592918396</v>
      </c>
      <c r="J36">
        <f>INDEX('AEO 2026 Table 4'!$D$14:$AC$144,57,MATCH(J$1,'AEO 2026 Table 4'!$D$10:$AC$10,0))</f>
        <v>0.49621137976646418</v>
      </c>
      <c r="K36">
        <f>INDEX('AEO 2026 Table 4'!$D$14:$AC$144,57,MATCH(K$1,'AEO 2026 Table 4'!$D$10:$AC$10,0))</f>
        <v>0.49331116676330572</v>
      </c>
      <c r="L36">
        <f>INDEX('AEO 2026 Table 4'!$D$14:$AC$144,57,MATCH(L$1,'AEO 2026 Table 4'!$D$10:$AC$10,0))</f>
        <v>0.48892834782600397</v>
      </c>
      <c r="M36">
        <f>INDEX('AEO 2026 Table 4'!$D$14:$AC$144,57,MATCH(M$1,'AEO 2026 Table 4'!$D$10:$AC$10,0))</f>
        <v>0.48348644375801092</v>
      </c>
      <c r="N36">
        <f>INDEX('AEO 2026 Table 4'!$D$14:$AC$144,57,MATCH(N$1,'AEO 2026 Table 4'!$D$10:$AC$10,0))</f>
        <v>0.4781634509563446</v>
      </c>
      <c r="O36">
        <f>INDEX('AEO 2026 Table 4'!$D$14:$AC$144,57,MATCH(O$1,'AEO 2026 Table 4'!$D$10:$AC$10,0))</f>
        <v>0.47320321202278143</v>
      </c>
      <c r="P36">
        <f>INDEX('AEO 2026 Table 4'!$D$14:$AC$144,57,MATCH(P$1,'AEO 2026 Table 4'!$D$10:$AC$10,0))</f>
        <v>0.4690624475479126</v>
      </c>
      <c r="Q36">
        <f>INDEX('AEO 2026 Table 4'!$D$14:$AC$144,57,MATCH(Q$1,'AEO 2026 Table 4'!$D$10:$AC$10,0))</f>
        <v>0.46562120318412781</v>
      </c>
      <c r="R36">
        <f>INDEX('AEO 2026 Table 4'!$D$14:$AC$144,57,MATCH(R$1,'AEO 2026 Table 4'!$D$10:$AC$10,0))</f>
        <v>0.46248260140419012</v>
      </c>
      <c r="S36">
        <f>INDEX('AEO 2026 Table 4'!$D$14:$AC$144,57,MATCH(S$1,'AEO 2026 Table 4'!$D$10:$AC$10,0))</f>
        <v>0.45942938327789312</v>
      </c>
      <c r="T36">
        <f>INDEX('AEO 2026 Table 4'!$D$14:$AC$144,57,MATCH(T$1,'AEO 2026 Table 4'!$D$10:$AC$10,0))</f>
        <v>0.45647501945495611</v>
      </c>
      <c r="U36">
        <f>INDEX('AEO 2026 Table 4'!$D$14:$AC$144,57,MATCH(U$1,'AEO 2026 Table 4'!$D$10:$AC$10,0))</f>
        <v>0.45356625318527222</v>
      </c>
      <c r="V36">
        <f>INDEX('AEO 2026 Table 4'!$D$14:$AC$144,57,MATCH(V$1,'AEO 2026 Table 4'!$D$10:$AC$10,0))</f>
        <v>0.45089817047119141</v>
      </c>
      <c r="W36">
        <f>INDEX('AEO 2026 Table 4'!$D$14:$AC$144,57,MATCH(W$1,'AEO 2026 Table 4'!$D$10:$AC$10,0))</f>
        <v>0.44853869080543518</v>
      </c>
      <c r="X36">
        <f>INDEX('AEO 2026 Table 4'!$D$14:$AC$144,57,MATCH(X$1,'AEO 2026 Table 4'!$D$10:$AC$10,0))</f>
        <v>0.44673797488212591</v>
      </c>
      <c r="Y36">
        <f>INDEX('AEO 2026 Table 4'!$D$14:$AC$144,57,MATCH(Y$1,'AEO 2026 Table 4'!$D$10:$AC$10,0))</f>
        <v>0.44541597366333008</v>
      </c>
      <c r="Z36">
        <f>INDEX('AEO 2026 Table 4'!$D$14:$AC$144,57,MATCH(Z$1,'AEO 2026 Table 4'!$D$10:$AC$10,0))</f>
        <v>0.44447898864746088</v>
      </c>
      <c r="AA36">
        <f>INDEX('AEO 2026 Table 4'!$D$14:$AC$144,57,MATCH(AA$1,'AEO 2026 Table 4'!$D$10:$AC$10,0))</f>
        <v>0.44374552369117742</v>
      </c>
      <c r="AB36">
        <f>INDEX('AEO 2026 Table 4'!$D$14:$AC$144,57,MATCH(AB$1,'AEO 2026 Table 4'!$D$10:$AC$10,0))</f>
        <v>0.44297593832015991</v>
      </c>
      <c r="AC36">
        <f>INDEX('AEO 2026 Table 4'!$D$14:$AC$144,57,MATCH(AC$1,'AEO 2026 Table 4'!$D$10:$AC$10,0))</f>
        <v>0.44201213121414179</v>
      </c>
      <c r="AD36">
        <f>INDEX('AEO 2026 Table 4'!$D$14:$AC$144,57,MATCH(AD$1,'AEO 2026 Table 4'!$D$10:$AC$10,0))</f>
        <v>0.44099125266075129</v>
      </c>
      <c r="AE36">
        <f>INDEX('AEO 2026 Table 4'!$D$14:$AC$144,57,MATCH(AE$1,'AEO 2026 Table 4'!$D$10:$AC$10,0))</f>
        <v>0.44001969695091248</v>
      </c>
      <c r="AF36">
        <f>INDEX('AEO 2026 Table 4'!$D$14:$AC$144,57,MATCH(AF$1,'AEO 2026 Table 4'!$D$10:$AC$10,0))</f>
        <v>0.43919128179550171</v>
      </c>
    </row>
    <row r="37" spans="1:32" x14ac:dyDescent="0.25">
      <c r="A37" t="s">
        <v>534</v>
      </c>
      <c r="B37" t="str">
        <f t="shared" si="0"/>
        <v>residential-heating-biomass (BTU)</v>
      </c>
      <c r="C37" t="s">
        <v>1046</v>
      </c>
      <c r="D37" t="s">
        <v>1047</v>
      </c>
      <c r="E37" s="1" t="s">
        <v>1058</v>
      </c>
      <c r="F37" s="44">
        <f>INDEX(Table_4._Residential_Sector_Key!$F$8:$AG$125,MATCH($A37,Table_4._Residential_Sector_Key!$B$8:$B$125,0),MATCH(F$1,Table_4._Residential_Sector_Key!$F$5:$AG$5,0))</f>
        <v>0.35758299999999998</v>
      </c>
      <c r="G37">
        <f>INDEX('AEO 2026 Table 4'!$D$14:$AC$144,59,MATCH(G$1,'AEO 2026 Table 4'!$D$10:$AC$10,0))</f>
        <v>0.37138739199999998</v>
      </c>
      <c r="H37">
        <f>INDEX('AEO 2026 Table 4'!$D$14:$AC$144,59,MATCH(H$1,'AEO 2026 Table 4'!$D$10:$AC$10,0))</f>
        <v>0.34290067200000002</v>
      </c>
      <c r="I37">
        <f>INDEX('AEO 2026 Table 4'!$D$14:$AC$144,59,MATCH(I$1,'AEO 2026 Table 4'!$D$10:$AC$10,0))</f>
        <v>0.33499011200000001</v>
      </c>
      <c r="J37">
        <f>INDEX('AEO 2026 Table 4'!$D$14:$AC$144,59,MATCH(J$1,'AEO 2026 Table 4'!$D$10:$AC$10,0))</f>
        <v>0.33120499199999998</v>
      </c>
      <c r="K37">
        <f>INDEX('AEO 2026 Table 4'!$D$14:$AC$144,59,MATCH(K$1,'AEO 2026 Table 4'!$D$10:$AC$10,0))</f>
        <v>0.32895392000000001</v>
      </c>
      <c r="L37">
        <f>INDEX('AEO 2026 Table 4'!$D$14:$AC$144,59,MATCH(L$1,'AEO 2026 Table 4'!$D$10:$AC$10,0))</f>
        <v>0.32362681599999998</v>
      </c>
      <c r="M37">
        <f>INDEX('AEO 2026 Table 4'!$D$14:$AC$144,59,MATCH(M$1,'AEO 2026 Table 4'!$D$10:$AC$10,0))</f>
        <v>0.31936905599999998</v>
      </c>
      <c r="N37">
        <f>INDEX('AEO 2026 Table 4'!$D$14:$AC$144,59,MATCH(N$1,'AEO 2026 Table 4'!$D$10:$AC$10,0))</f>
        <v>0.31564275200000003</v>
      </c>
      <c r="O37">
        <f>INDEX('AEO 2026 Table 4'!$D$14:$AC$144,59,MATCH(O$1,'AEO 2026 Table 4'!$D$10:$AC$10,0))</f>
        <v>0.312811968</v>
      </c>
      <c r="P37">
        <f>INDEX('AEO 2026 Table 4'!$D$14:$AC$144,59,MATCH(P$1,'AEO 2026 Table 4'!$D$10:$AC$10,0))</f>
        <v>0.30912588800000002</v>
      </c>
      <c r="Q37">
        <f>INDEX('AEO 2026 Table 4'!$D$14:$AC$144,59,MATCH(Q$1,'AEO 2026 Table 4'!$D$10:$AC$10,0))</f>
        <v>0.30582918399999998</v>
      </c>
      <c r="R37">
        <f>INDEX('AEO 2026 Table 4'!$D$14:$AC$144,59,MATCH(R$1,'AEO 2026 Table 4'!$D$10:$AC$10,0))</f>
        <v>0.30200764800000002</v>
      </c>
      <c r="S37">
        <f>INDEX('AEO 2026 Table 4'!$D$14:$AC$144,59,MATCH(S$1,'AEO 2026 Table 4'!$D$10:$AC$10,0))</f>
        <v>0.298093728</v>
      </c>
      <c r="T37">
        <f>INDEX('AEO 2026 Table 4'!$D$14:$AC$144,59,MATCH(T$1,'AEO 2026 Table 4'!$D$10:$AC$10,0))</f>
        <v>0.29419919999999999</v>
      </c>
      <c r="U37">
        <f>INDEX('AEO 2026 Table 4'!$D$14:$AC$144,59,MATCH(U$1,'AEO 2026 Table 4'!$D$10:$AC$10,0))</f>
        <v>0.28995385600000001</v>
      </c>
      <c r="V37">
        <f>INDEX('AEO 2026 Table 4'!$D$14:$AC$144,59,MATCH(V$1,'AEO 2026 Table 4'!$D$10:$AC$10,0))</f>
        <v>0.28553836799999999</v>
      </c>
      <c r="W37">
        <f>INDEX('AEO 2026 Table 4'!$D$14:$AC$144,59,MATCH(W$1,'AEO 2026 Table 4'!$D$10:$AC$10,0))</f>
        <v>0.281270464</v>
      </c>
      <c r="X37">
        <f>INDEX('AEO 2026 Table 4'!$D$14:$AC$144,59,MATCH(X$1,'AEO 2026 Table 4'!$D$10:$AC$10,0))</f>
        <v>0.27737811200000001</v>
      </c>
      <c r="Y37">
        <f>INDEX('AEO 2026 Table 4'!$D$14:$AC$144,59,MATCH(Y$1,'AEO 2026 Table 4'!$D$10:$AC$10,0))</f>
        <v>0.27363056000000002</v>
      </c>
      <c r="Z37">
        <f>INDEX('AEO 2026 Table 4'!$D$14:$AC$144,59,MATCH(Z$1,'AEO 2026 Table 4'!$D$10:$AC$10,0))</f>
        <v>0.27007763200000001</v>
      </c>
      <c r="AA37">
        <f>INDEX('AEO 2026 Table 4'!$D$14:$AC$144,59,MATCH(AA$1,'AEO 2026 Table 4'!$D$10:$AC$10,0))</f>
        <v>0.26697406400000001</v>
      </c>
      <c r="AB37">
        <f>INDEX('AEO 2026 Table 4'!$D$14:$AC$144,59,MATCH(AB$1,'AEO 2026 Table 4'!$D$10:$AC$10,0))</f>
        <v>0.263977984</v>
      </c>
      <c r="AC37">
        <f>INDEX('AEO 2026 Table 4'!$D$14:$AC$144,59,MATCH(AC$1,'AEO 2026 Table 4'!$D$10:$AC$10,0))</f>
        <v>0.26128950400000001</v>
      </c>
      <c r="AD37">
        <f>INDEX('AEO 2026 Table 4'!$D$14:$AC$144,59,MATCH(AD$1,'AEO 2026 Table 4'!$D$10:$AC$10,0))</f>
        <v>0.25882419200000001</v>
      </c>
      <c r="AE37">
        <f>INDEX('AEO 2026 Table 4'!$D$14:$AC$144,59,MATCH(AE$1,'AEO 2026 Table 4'!$D$10:$AC$10,0))</f>
        <v>0.25657587199999998</v>
      </c>
      <c r="AF37">
        <f>INDEX('AEO 2026 Table 4'!$D$14:$AC$144,59,MATCH(AF$1,'AEO 2026 Table 4'!$D$10:$AC$10,0))</f>
        <v>0.254137424</v>
      </c>
    </row>
    <row r="38" spans="1:32" x14ac:dyDescent="0.25">
      <c r="A38" s="45" t="s">
        <v>1059</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25">
      <c r="A39" t="s">
        <v>688</v>
      </c>
      <c r="B39" t="str">
        <f t="shared" ref="B39:B64" si="1">C39&amp;"-"&amp;D39&amp;"-"&amp;E39</f>
        <v>commercial-heating-electricity (BTU)</v>
      </c>
      <c r="C39" t="s">
        <v>1060</v>
      </c>
      <c r="D39" t="s">
        <v>1047</v>
      </c>
      <c r="E39" s="1" t="s">
        <v>1048</v>
      </c>
      <c r="F39" s="44">
        <f>INDEX('AEO 2025 Table 5'!$F$8:$AG$102,MATCH('Crosswalk AEO to EPS Summary'!$A39,'AEO 2025 Table 5'!$B$8:$B$102,0),MATCH(F$1,'AEO 2025 Table 5'!$F$5:$AG$5,0))</f>
        <v>0.18654100000000001</v>
      </c>
      <c r="G39">
        <f>INDEX('AEO 2026 Table 5'!$D$15:$AC$120,12,MATCH(G$1,'AEO 2026 Table 5'!$D$10:$AC$10,0))</f>
        <v>0.20085975527763369</v>
      </c>
      <c r="H39">
        <f>INDEX('AEO 2026 Table 5'!$D$15:$AC$120,12,MATCH(H$1,'AEO 2026 Table 5'!$D$10:$AC$10,0))</f>
        <v>0.19399107992649081</v>
      </c>
      <c r="I39">
        <f>INDEX('AEO 2026 Table 5'!$D$15:$AC$120,12,MATCH(I$1,'AEO 2026 Table 5'!$D$10:$AC$10,0))</f>
        <v>0.19232957065105441</v>
      </c>
      <c r="J39">
        <f>INDEX('AEO 2026 Table 5'!$D$15:$AC$120,12,MATCH(J$1,'AEO 2026 Table 5'!$D$10:$AC$10,0))</f>
        <v>0.19123730063438421</v>
      </c>
      <c r="K39">
        <f>INDEX('AEO 2026 Table 5'!$D$15:$AC$120,12,MATCH(K$1,'AEO 2026 Table 5'!$D$10:$AC$10,0))</f>
        <v>0.18969020247459409</v>
      </c>
      <c r="L39">
        <f>INDEX('AEO 2026 Table 5'!$D$15:$AC$120,12,MATCH(L$1,'AEO 2026 Table 5'!$D$10:$AC$10,0))</f>
        <v>0.187901645898819</v>
      </c>
      <c r="M39">
        <f>INDEX('AEO 2026 Table 5'!$D$15:$AC$120,12,MATCH(M$1,'AEO 2026 Table 5'!$D$10:$AC$10,0))</f>
        <v>0.18603099882602689</v>
      </c>
      <c r="N39">
        <f>INDEX('AEO 2026 Table 5'!$D$15:$AC$120,12,MATCH(N$1,'AEO 2026 Table 5'!$D$10:$AC$10,0))</f>
        <v>0.18410614132881159</v>
      </c>
      <c r="O39">
        <f>INDEX('AEO 2026 Table 5'!$D$15:$AC$120,12,MATCH(O$1,'AEO 2026 Table 5'!$D$10:$AC$10,0))</f>
        <v>0.18222986161708829</v>
      </c>
      <c r="P39">
        <f>INDEX('AEO 2026 Table 5'!$D$15:$AC$120,12,MATCH(P$1,'AEO 2026 Table 5'!$D$10:$AC$10,0))</f>
        <v>0.18024235963821411</v>
      </c>
      <c r="Q39">
        <f>INDEX('AEO 2026 Table 5'!$D$15:$AC$120,12,MATCH(Q$1,'AEO 2026 Table 5'!$D$10:$AC$10,0))</f>
        <v>0.178200364112854</v>
      </c>
      <c r="R39">
        <f>INDEX('AEO 2026 Table 5'!$D$15:$AC$120,12,MATCH(R$1,'AEO 2026 Table 5'!$D$10:$AC$10,0))</f>
        <v>0.17622686922550199</v>
      </c>
      <c r="S39">
        <f>INDEX('AEO 2026 Table 5'!$D$15:$AC$120,12,MATCH(S$1,'AEO 2026 Table 5'!$D$10:$AC$10,0))</f>
        <v>0.1741006672382355</v>
      </c>
      <c r="T39">
        <f>INDEX('AEO 2026 Table 5'!$D$15:$AC$120,12,MATCH(T$1,'AEO 2026 Table 5'!$D$10:$AC$10,0))</f>
        <v>0.17193321883678439</v>
      </c>
      <c r="U39">
        <f>INDEX('AEO 2026 Table 5'!$D$15:$AC$120,12,MATCH(U$1,'AEO 2026 Table 5'!$D$10:$AC$10,0))</f>
        <v>0.16966257989406591</v>
      </c>
      <c r="V39">
        <f>INDEX('AEO 2026 Table 5'!$D$15:$AC$120,12,MATCH(V$1,'AEO 2026 Table 5'!$D$10:$AC$10,0))</f>
        <v>0.16736641526222229</v>
      </c>
      <c r="W39">
        <f>INDEX('AEO 2026 Table 5'!$D$15:$AC$120,12,MATCH(W$1,'AEO 2026 Table 5'!$D$10:$AC$10,0))</f>
        <v>0.16509945690631869</v>
      </c>
      <c r="X39">
        <f>INDEX('AEO 2026 Table 5'!$D$15:$AC$120,12,MATCH(X$1,'AEO 2026 Table 5'!$D$10:$AC$10,0))</f>
        <v>0.16280846297740939</v>
      </c>
      <c r="Y39">
        <f>INDEX('AEO 2026 Table 5'!$D$15:$AC$120,12,MATCH(Y$1,'AEO 2026 Table 5'!$D$10:$AC$10,0))</f>
        <v>0.16050852835178381</v>
      </c>
      <c r="Z39">
        <f>INDEX('AEO 2026 Table 5'!$D$15:$AC$120,12,MATCH(Z$1,'AEO 2026 Table 5'!$D$10:$AC$10,0))</f>
        <v>0.15815579891204831</v>
      </c>
      <c r="AA39">
        <f>INDEX('AEO 2026 Table 5'!$D$15:$AC$120,12,MATCH(AA$1,'AEO 2026 Table 5'!$D$10:$AC$10,0))</f>
        <v>0.15582430362701419</v>
      </c>
      <c r="AB39">
        <f>INDEX('AEO 2026 Table 5'!$D$15:$AC$120,12,MATCH(AB$1,'AEO 2026 Table 5'!$D$10:$AC$10,0))</f>
        <v>0.1533553749322891</v>
      </c>
      <c r="AC39">
        <f>INDEX('AEO 2026 Table 5'!$D$15:$AC$120,12,MATCH(AC$1,'AEO 2026 Table 5'!$D$10:$AC$10,0))</f>
        <v>0.15071453154087069</v>
      </c>
      <c r="AD39">
        <f>INDEX('AEO 2026 Table 5'!$D$15:$AC$120,12,MATCH(AD$1,'AEO 2026 Table 5'!$D$10:$AC$10,0))</f>
        <v>0.14803248643875119</v>
      </c>
      <c r="AE39">
        <f>INDEX('AEO 2026 Table 5'!$D$15:$AC$120,12,MATCH(AE$1,'AEO 2026 Table 5'!$D$10:$AC$10,0))</f>
        <v>0.1453853249549866</v>
      </c>
      <c r="AF39">
        <f>INDEX('AEO 2026 Table 5'!$D$15:$AC$120,12,MATCH(AF$1,'AEO 2026 Table 5'!$D$10:$AC$10,0))</f>
        <v>0.14267079532146451</v>
      </c>
    </row>
    <row r="40" spans="1:32" x14ac:dyDescent="0.25">
      <c r="A40" t="s">
        <v>691</v>
      </c>
      <c r="B40" t="str">
        <f t="shared" si="1"/>
        <v>commercial-cooling-electricity (BTU)</v>
      </c>
      <c r="C40" t="s">
        <v>1060</v>
      </c>
      <c r="D40" t="s">
        <v>1049</v>
      </c>
      <c r="E40" s="1" t="s">
        <v>1048</v>
      </c>
      <c r="F40" s="44">
        <f>INDEX('AEO 2025 Table 5'!$F$8:$AG$102,MATCH('Crosswalk AEO to EPS Summary'!$A40,'AEO 2025 Table 5'!$B$8:$B$102,0),MATCH(F$1,'AEO 2025 Table 5'!$F$5:$AG$5,0))</f>
        <v>0.57286300000000001</v>
      </c>
      <c r="G40">
        <f>INDEX('AEO 2026 Table 5'!$D$15:$AC$120,13,MATCH(G$1,'AEO 2026 Table 5'!$D$10:$AC$10,0))</f>
        <v>0.56683909893035889</v>
      </c>
      <c r="H40">
        <f>INDEX('AEO 2026 Table 5'!$D$15:$AC$120,13,MATCH(H$1,'AEO 2026 Table 5'!$D$10:$AC$10,0))</f>
        <v>0.59447222948074341</v>
      </c>
      <c r="I40">
        <f>INDEX('AEO 2026 Table 5'!$D$15:$AC$120,13,MATCH(I$1,'AEO 2026 Table 5'!$D$10:$AC$10,0))</f>
        <v>0.60086137056350708</v>
      </c>
      <c r="J40">
        <f>INDEX('AEO 2026 Table 5'!$D$15:$AC$120,13,MATCH(J$1,'AEO 2026 Table 5'!$D$10:$AC$10,0))</f>
        <v>0.60903185606002808</v>
      </c>
      <c r="K40">
        <f>INDEX('AEO 2026 Table 5'!$D$15:$AC$120,13,MATCH(K$1,'AEO 2026 Table 5'!$D$10:$AC$10,0))</f>
        <v>0.61581021547317505</v>
      </c>
      <c r="L40">
        <f>INDEX('AEO 2026 Table 5'!$D$15:$AC$120,13,MATCH(L$1,'AEO 2026 Table 5'!$D$10:$AC$10,0))</f>
        <v>0.62006598711013794</v>
      </c>
      <c r="M40">
        <f>INDEX('AEO 2026 Table 5'!$D$15:$AC$120,13,MATCH(M$1,'AEO 2026 Table 5'!$D$10:$AC$10,0))</f>
        <v>0.62495642900466919</v>
      </c>
      <c r="N40">
        <f>INDEX('AEO 2026 Table 5'!$D$15:$AC$120,13,MATCH(N$1,'AEO 2026 Table 5'!$D$10:$AC$10,0))</f>
        <v>0.63044631481170654</v>
      </c>
      <c r="O40">
        <f>INDEX('AEO 2026 Table 5'!$D$15:$AC$120,13,MATCH(O$1,'AEO 2026 Table 5'!$D$10:$AC$10,0))</f>
        <v>0.63640803098678589</v>
      </c>
      <c r="P40">
        <f>INDEX('AEO 2026 Table 5'!$D$15:$AC$120,13,MATCH(P$1,'AEO 2026 Table 5'!$D$10:$AC$10,0))</f>
        <v>0.64294540882110596</v>
      </c>
      <c r="Q40">
        <f>INDEX('AEO 2026 Table 5'!$D$15:$AC$120,13,MATCH(Q$1,'AEO 2026 Table 5'!$D$10:$AC$10,0))</f>
        <v>0.6497994065284729</v>
      </c>
      <c r="R40">
        <f>INDEX('AEO 2026 Table 5'!$D$15:$AC$120,13,MATCH(R$1,'AEO 2026 Table 5'!$D$10:$AC$10,0))</f>
        <v>0.65744853019714355</v>
      </c>
      <c r="S40">
        <f>INDEX('AEO 2026 Table 5'!$D$15:$AC$120,13,MATCH(S$1,'AEO 2026 Table 5'!$D$10:$AC$10,0))</f>
        <v>0.66526556015014648</v>
      </c>
      <c r="T40">
        <f>INDEX('AEO 2026 Table 5'!$D$15:$AC$120,13,MATCH(T$1,'AEO 2026 Table 5'!$D$10:$AC$10,0))</f>
        <v>0.67322629690170288</v>
      </c>
      <c r="U40">
        <f>INDEX('AEO 2026 Table 5'!$D$15:$AC$120,13,MATCH(U$1,'AEO 2026 Table 5'!$D$10:$AC$10,0))</f>
        <v>0.68110114336013794</v>
      </c>
      <c r="V40">
        <f>INDEX('AEO 2026 Table 5'!$D$15:$AC$120,13,MATCH(V$1,'AEO 2026 Table 5'!$D$10:$AC$10,0))</f>
        <v>0.68931227922439575</v>
      </c>
      <c r="W40">
        <f>INDEX('AEO 2026 Table 5'!$D$15:$AC$120,13,MATCH(W$1,'AEO 2026 Table 5'!$D$10:$AC$10,0))</f>
        <v>0.69798088073730469</v>
      </c>
      <c r="X40">
        <f>INDEX('AEO 2026 Table 5'!$D$15:$AC$120,13,MATCH(X$1,'AEO 2026 Table 5'!$D$10:$AC$10,0))</f>
        <v>0.70710176229476929</v>
      </c>
      <c r="Y40">
        <f>INDEX('AEO 2026 Table 5'!$D$15:$AC$120,13,MATCH(Y$1,'AEO 2026 Table 5'!$D$10:$AC$10,0))</f>
        <v>0.71693152189254761</v>
      </c>
      <c r="Z40">
        <f>INDEX('AEO 2026 Table 5'!$D$15:$AC$120,13,MATCH(Z$1,'AEO 2026 Table 5'!$D$10:$AC$10,0))</f>
        <v>0.72700560092926025</v>
      </c>
      <c r="AA40">
        <f>INDEX('AEO 2026 Table 5'!$D$15:$AC$120,13,MATCH(AA$1,'AEO 2026 Table 5'!$D$10:$AC$10,0))</f>
        <v>0.73754805326461792</v>
      </c>
      <c r="AB40">
        <f>INDEX('AEO 2026 Table 5'!$D$15:$AC$120,13,MATCH(AB$1,'AEO 2026 Table 5'!$D$10:$AC$10,0))</f>
        <v>0.74766790866851807</v>
      </c>
      <c r="AC40">
        <f>INDEX('AEO 2026 Table 5'!$D$15:$AC$120,13,MATCH(AC$1,'AEO 2026 Table 5'!$D$10:$AC$10,0))</f>
        <v>0.75733828544616699</v>
      </c>
      <c r="AD40">
        <f>INDEX('AEO 2026 Table 5'!$D$15:$AC$120,13,MATCH(AD$1,'AEO 2026 Table 5'!$D$10:$AC$10,0))</f>
        <v>0.76694387197494507</v>
      </c>
      <c r="AE40">
        <f>INDEX('AEO 2026 Table 5'!$D$15:$AC$120,13,MATCH(AE$1,'AEO 2026 Table 5'!$D$10:$AC$10,0))</f>
        <v>0.77708876132965088</v>
      </c>
      <c r="AF40">
        <f>INDEX('AEO 2026 Table 5'!$D$15:$AC$120,13,MATCH(AF$1,'AEO 2026 Table 5'!$D$10:$AC$10,0))</f>
        <v>0.78723692893981934</v>
      </c>
    </row>
    <row r="41" spans="1:32" x14ac:dyDescent="0.25">
      <c r="A41" t="s">
        <v>693</v>
      </c>
      <c r="B41" t="str">
        <f t="shared" si="1"/>
        <v>commercial-appliances-electricity (BTU)</v>
      </c>
      <c r="C41" t="s">
        <v>1060</v>
      </c>
      <c r="D41" t="s">
        <v>1050</v>
      </c>
      <c r="E41" s="1" t="s">
        <v>1048</v>
      </c>
      <c r="F41" s="44">
        <f>INDEX('AEO 2025 Table 5'!$F$8:$AG$102,MATCH('Crosswalk AEO to EPS Summary'!$A41,'AEO 2025 Table 5'!$B$8:$B$102,0),MATCH(F$1,'AEO 2025 Table 5'!$F$5:$AG$5,0))</f>
        <v>7.4497999999999995E-2</v>
      </c>
      <c r="G41">
        <f>INDEX('AEO 2026 Table 5'!$D$15:$AC$120,14,MATCH(G$1,'AEO 2026 Table 5'!$D$10:$AC$10,0))</f>
        <v>7.3797442018985748E-2</v>
      </c>
      <c r="H41">
        <f>INDEX('AEO 2026 Table 5'!$D$15:$AC$120,14,MATCH(H$1,'AEO 2026 Table 5'!$D$10:$AC$10,0))</f>
        <v>7.2725929319858551E-2</v>
      </c>
      <c r="I41">
        <f>INDEX('AEO 2026 Table 5'!$D$15:$AC$120,14,MATCH(I$1,'AEO 2026 Table 5'!$D$10:$AC$10,0))</f>
        <v>7.2052367031574249E-2</v>
      </c>
      <c r="J41">
        <f>INDEX('AEO 2026 Table 5'!$D$15:$AC$120,14,MATCH(J$1,'AEO 2026 Table 5'!$D$10:$AC$10,0))</f>
        <v>7.1639999747276306E-2</v>
      </c>
      <c r="K41">
        <f>INDEX('AEO 2026 Table 5'!$D$15:$AC$120,14,MATCH(K$1,'AEO 2026 Table 5'!$D$10:$AC$10,0))</f>
        <v>7.1071445941925049E-2</v>
      </c>
      <c r="L41">
        <f>INDEX('AEO 2026 Table 5'!$D$15:$AC$120,14,MATCH(L$1,'AEO 2026 Table 5'!$D$10:$AC$10,0))</f>
        <v>7.0186875760555267E-2</v>
      </c>
      <c r="M41">
        <f>INDEX('AEO 2026 Table 5'!$D$15:$AC$120,14,MATCH(M$1,'AEO 2026 Table 5'!$D$10:$AC$10,0))</f>
        <v>6.9283425807952881E-2</v>
      </c>
      <c r="N41">
        <f>INDEX('AEO 2026 Table 5'!$D$15:$AC$120,14,MATCH(N$1,'AEO 2026 Table 5'!$D$10:$AC$10,0))</f>
        <v>6.8399414420127869E-2</v>
      </c>
      <c r="O41">
        <f>INDEX('AEO 2026 Table 5'!$D$15:$AC$120,14,MATCH(O$1,'AEO 2026 Table 5'!$D$10:$AC$10,0))</f>
        <v>6.7566446959972382E-2</v>
      </c>
      <c r="P41">
        <f>INDEX('AEO 2026 Table 5'!$D$15:$AC$120,14,MATCH(P$1,'AEO 2026 Table 5'!$D$10:$AC$10,0))</f>
        <v>6.674639880657196E-2</v>
      </c>
      <c r="Q41">
        <f>INDEX('AEO 2026 Table 5'!$D$15:$AC$120,14,MATCH(Q$1,'AEO 2026 Table 5'!$D$10:$AC$10,0))</f>
        <v>6.5931566059589386E-2</v>
      </c>
      <c r="R41">
        <f>INDEX('AEO 2026 Table 5'!$D$15:$AC$120,14,MATCH(R$1,'AEO 2026 Table 5'!$D$10:$AC$10,0))</f>
        <v>6.5183967351913452E-2</v>
      </c>
      <c r="S41">
        <f>INDEX('AEO 2026 Table 5'!$D$15:$AC$120,14,MATCH(S$1,'AEO 2026 Table 5'!$D$10:$AC$10,0))</f>
        <v>6.442539393901825E-2</v>
      </c>
      <c r="T41">
        <f>INDEX('AEO 2026 Table 5'!$D$15:$AC$120,14,MATCH(T$1,'AEO 2026 Table 5'!$D$10:$AC$10,0))</f>
        <v>6.3673168420791626E-2</v>
      </c>
      <c r="U41">
        <f>INDEX('AEO 2026 Table 5'!$D$15:$AC$120,14,MATCH(U$1,'AEO 2026 Table 5'!$D$10:$AC$10,0))</f>
        <v>6.291624903678894E-2</v>
      </c>
      <c r="V41">
        <f>INDEX('AEO 2026 Table 5'!$D$15:$AC$120,14,MATCH(V$1,'AEO 2026 Table 5'!$D$10:$AC$10,0))</f>
        <v>6.2152568250894553E-2</v>
      </c>
      <c r="W41">
        <f>INDEX('AEO 2026 Table 5'!$D$15:$AC$120,14,MATCH(W$1,'AEO 2026 Table 5'!$D$10:$AC$10,0))</f>
        <v>6.1431121081113822E-2</v>
      </c>
      <c r="X41">
        <f>INDEX('AEO 2026 Table 5'!$D$15:$AC$120,14,MATCH(X$1,'AEO 2026 Table 5'!$D$10:$AC$10,0))</f>
        <v>6.0715850442647927E-2</v>
      </c>
      <c r="Y41">
        <f>INDEX('AEO 2026 Table 5'!$D$15:$AC$120,14,MATCH(Y$1,'AEO 2026 Table 5'!$D$10:$AC$10,0))</f>
        <v>6.0034144669771188E-2</v>
      </c>
      <c r="Z41">
        <f>INDEX('AEO 2026 Table 5'!$D$15:$AC$120,14,MATCH(Z$1,'AEO 2026 Table 5'!$D$10:$AC$10,0))</f>
        <v>5.9363886713981628E-2</v>
      </c>
      <c r="AA41">
        <f>INDEX('AEO 2026 Table 5'!$D$15:$AC$120,14,MATCH(AA$1,'AEO 2026 Table 5'!$D$10:$AC$10,0))</f>
        <v>5.8695036917924881E-2</v>
      </c>
      <c r="AB41">
        <f>INDEX('AEO 2026 Table 5'!$D$15:$AC$120,14,MATCH(AB$1,'AEO 2026 Table 5'!$D$10:$AC$10,0))</f>
        <v>5.800233781337738E-2</v>
      </c>
      <c r="AC41">
        <f>INDEX('AEO 2026 Table 5'!$D$15:$AC$120,14,MATCH(AC$1,'AEO 2026 Table 5'!$D$10:$AC$10,0))</f>
        <v>5.7258345186710358E-2</v>
      </c>
      <c r="AD41">
        <f>INDEX('AEO 2026 Table 5'!$D$15:$AC$120,14,MATCH(AD$1,'AEO 2026 Table 5'!$D$10:$AC$10,0))</f>
        <v>5.6503459811210632E-2</v>
      </c>
      <c r="AE41">
        <f>INDEX('AEO 2026 Table 5'!$D$15:$AC$120,14,MATCH(AE$1,'AEO 2026 Table 5'!$D$10:$AC$10,0))</f>
        <v>5.5764075368642807E-2</v>
      </c>
      <c r="AF41">
        <f>INDEX('AEO 2026 Table 5'!$D$15:$AC$120,14,MATCH(AF$1,'AEO 2026 Table 5'!$D$10:$AC$10,0))</f>
        <v>5.5011309683322913E-2</v>
      </c>
    </row>
    <row r="42" spans="1:32" x14ac:dyDescent="0.25">
      <c r="A42" t="s">
        <v>696</v>
      </c>
      <c r="B42" t="str">
        <f t="shared" si="1"/>
        <v>commercial-cooling-electricity (BTU)</v>
      </c>
      <c r="C42" t="s">
        <v>1060</v>
      </c>
      <c r="D42" t="s">
        <v>1049</v>
      </c>
      <c r="E42" s="1" t="s">
        <v>1048</v>
      </c>
      <c r="F42" s="44">
        <f>INDEX('AEO 2025 Table 5'!$F$8:$AG$102,MATCH('Crosswalk AEO to EPS Summary'!$A42,'AEO 2025 Table 5'!$B$8:$B$102,0),MATCH(F$1,'AEO 2025 Table 5'!$F$5:$AG$5,0))</f>
        <v>0.74466100000000002</v>
      </c>
      <c r="G42">
        <f>INDEX('AEO 2026 Table 5'!$D$15:$AC$120,15,MATCH(G$1,'AEO 2026 Table 5'!$D$10:$AC$10,0))</f>
        <v>0.7725786566734314</v>
      </c>
      <c r="H42">
        <f>INDEX('AEO 2026 Table 5'!$D$15:$AC$120,15,MATCH(H$1,'AEO 2026 Table 5'!$D$10:$AC$10,0))</f>
        <v>0.77808070182800293</v>
      </c>
      <c r="I42">
        <f>INDEX('AEO 2026 Table 5'!$D$15:$AC$120,15,MATCH(I$1,'AEO 2026 Table 5'!$D$10:$AC$10,0))</f>
        <v>0.78721636533737183</v>
      </c>
      <c r="J42">
        <f>INDEX('AEO 2026 Table 5'!$D$15:$AC$120,15,MATCH(J$1,'AEO 2026 Table 5'!$D$10:$AC$10,0))</f>
        <v>0.79894798994064331</v>
      </c>
      <c r="K42">
        <f>INDEX('AEO 2026 Table 5'!$D$15:$AC$120,15,MATCH(K$1,'AEO 2026 Table 5'!$D$10:$AC$10,0))</f>
        <v>0.80861729383468628</v>
      </c>
      <c r="L42">
        <f>INDEX('AEO 2026 Table 5'!$D$15:$AC$120,15,MATCH(L$1,'AEO 2026 Table 5'!$D$10:$AC$10,0))</f>
        <v>0.81284761428833008</v>
      </c>
      <c r="M42">
        <f>INDEX('AEO 2026 Table 5'!$D$15:$AC$120,15,MATCH(M$1,'AEO 2026 Table 5'!$D$10:$AC$10,0))</f>
        <v>0.81740254163742065</v>
      </c>
      <c r="N42">
        <f>INDEX('AEO 2026 Table 5'!$D$15:$AC$120,15,MATCH(N$1,'AEO 2026 Table 5'!$D$10:$AC$10,0))</f>
        <v>0.82248866558074951</v>
      </c>
      <c r="O42">
        <f>INDEX('AEO 2026 Table 5'!$D$15:$AC$120,15,MATCH(O$1,'AEO 2026 Table 5'!$D$10:$AC$10,0))</f>
        <v>0.82842159271240234</v>
      </c>
      <c r="P42">
        <f>INDEX('AEO 2026 Table 5'!$D$15:$AC$120,15,MATCH(P$1,'AEO 2026 Table 5'!$D$10:$AC$10,0))</f>
        <v>0.83473402261734009</v>
      </c>
      <c r="Q42">
        <f>INDEX('AEO 2026 Table 5'!$D$15:$AC$120,15,MATCH(Q$1,'AEO 2026 Table 5'!$D$10:$AC$10,0))</f>
        <v>0.84140819311141968</v>
      </c>
      <c r="R42">
        <f>INDEX('AEO 2026 Table 5'!$D$15:$AC$120,15,MATCH(R$1,'AEO 2026 Table 5'!$D$10:$AC$10,0))</f>
        <v>0.84894019365310669</v>
      </c>
      <c r="S42">
        <f>INDEX('AEO 2026 Table 5'!$D$15:$AC$120,15,MATCH(S$1,'AEO 2026 Table 5'!$D$10:$AC$10,0))</f>
        <v>0.85649627447128296</v>
      </c>
      <c r="T42">
        <f>INDEX('AEO 2026 Table 5'!$D$15:$AC$120,15,MATCH(T$1,'AEO 2026 Table 5'!$D$10:$AC$10,0))</f>
        <v>0.86420577764511108</v>
      </c>
      <c r="U42">
        <f>INDEX('AEO 2026 Table 5'!$D$15:$AC$120,15,MATCH(U$1,'AEO 2026 Table 5'!$D$10:$AC$10,0))</f>
        <v>0.87185335159301758</v>
      </c>
      <c r="V42">
        <f>INDEX('AEO 2026 Table 5'!$D$15:$AC$120,15,MATCH(V$1,'AEO 2026 Table 5'!$D$10:$AC$10,0))</f>
        <v>0.87961149215698242</v>
      </c>
      <c r="W42">
        <f>INDEX('AEO 2026 Table 5'!$D$15:$AC$120,15,MATCH(W$1,'AEO 2026 Table 5'!$D$10:$AC$10,0))</f>
        <v>0.88787376880645752</v>
      </c>
      <c r="X42">
        <f>INDEX('AEO 2026 Table 5'!$D$15:$AC$120,15,MATCH(X$1,'AEO 2026 Table 5'!$D$10:$AC$10,0))</f>
        <v>0.89625650644302368</v>
      </c>
      <c r="Y42">
        <f>INDEX('AEO 2026 Table 5'!$D$15:$AC$120,15,MATCH(Y$1,'AEO 2026 Table 5'!$D$10:$AC$10,0))</f>
        <v>0.90508544445037842</v>
      </c>
      <c r="Z42">
        <f>INDEX('AEO 2026 Table 5'!$D$15:$AC$120,15,MATCH(Z$1,'AEO 2026 Table 5'!$D$10:$AC$10,0))</f>
        <v>0.91416382789611816</v>
      </c>
      <c r="AA42">
        <f>INDEX('AEO 2026 Table 5'!$D$15:$AC$120,15,MATCH(AA$1,'AEO 2026 Table 5'!$D$10:$AC$10,0))</f>
        <v>0.92337268590927124</v>
      </c>
      <c r="AB42">
        <f>INDEX('AEO 2026 Table 5'!$D$15:$AC$120,15,MATCH(AB$1,'AEO 2026 Table 5'!$D$10:$AC$10,0))</f>
        <v>0.93216902017593384</v>
      </c>
      <c r="AC42">
        <f>INDEX('AEO 2026 Table 5'!$D$15:$AC$120,15,MATCH(AC$1,'AEO 2026 Table 5'!$D$10:$AC$10,0))</f>
        <v>0.94026070833206177</v>
      </c>
      <c r="AD42">
        <f>INDEX('AEO 2026 Table 5'!$D$15:$AC$120,15,MATCH(AD$1,'AEO 2026 Table 5'!$D$10:$AC$10,0))</f>
        <v>0.94815254211425781</v>
      </c>
      <c r="AE42">
        <f>INDEX('AEO 2026 Table 5'!$D$15:$AC$120,15,MATCH(AE$1,'AEO 2026 Table 5'!$D$10:$AC$10,0))</f>
        <v>0.9564245343208313</v>
      </c>
      <c r="AF42">
        <f>INDEX('AEO 2026 Table 5'!$D$15:$AC$120,15,MATCH(AF$1,'AEO 2026 Table 5'!$D$10:$AC$10,0))</f>
        <v>0.96451842784881592</v>
      </c>
    </row>
    <row r="43" spans="1:32" x14ac:dyDescent="0.25">
      <c r="A43" t="s">
        <v>698</v>
      </c>
      <c r="B43" t="str">
        <f t="shared" si="1"/>
        <v>commercial-appliances-electricity (BTU)</v>
      </c>
      <c r="C43" t="s">
        <v>1060</v>
      </c>
      <c r="D43" t="s">
        <v>1050</v>
      </c>
      <c r="E43" s="1" t="s">
        <v>1048</v>
      </c>
      <c r="F43" s="44">
        <f>INDEX('AEO 2025 Table 5'!$F$8:$AG$102,MATCH('Crosswalk AEO to EPS Summary'!$A43,'AEO 2025 Table 5'!$B$8:$B$102,0),MATCH(F$1,'AEO 2025 Table 5'!$F$5:$AG$5,0))</f>
        <v>8.4362999999999994E-2</v>
      </c>
      <c r="G43">
        <f>INDEX('AEO 2026 Table 5'!$D$15:$AC$120,16,MATCH(G$1,'AEO 2026 Table 5'!$D$10:$AC$10,0))</f>
        <v>8.3990909159183502E-2</v>
      </c>
      <c r="H43">
        <f>INDEX('AEO 2026 Table 5'!$D$15:$AC$120,16,MATCH(H$1,'AEO 2026 Table 5'!$D$10:$AC$10,0))</f>
        <v>8.3245344460010529E-2</v>
      </c>
      <c r="I43">
        <f>INDEX('AEO 2026 Table 5'!$D$15:$AC$120,16,MATCH(I$1,'AEO 2026 Table 5'!$D$10:$AC$10,0))</f>
        <v>8.2882039248943329E-2</v>
      </c>
      <c r="J43">
        <f>INDEX('AEO 2026 Table 5'!$D$15:$AC$120,16,MATCH(J$1,'AEO 2026 Table 5'!$D$10:$AC$10,0))</f>
        <v>8.2750335335731506E-2</v>
      </c>
      <c r="K43">
        <f>INDEX('AEO 2026 Table 5'!$D$15:$AC$120,16,MATCH(K$1,'AEO 2026 Table 5'!$D$10:$AC$10,0))</f>
        <v>8.2395762205123901E-2</v>
      </c>
      <c r="L43">
        <f>INDEX('AEO 2026 Table 5'!$D$15:$AC$120,16,MATCH(L$1,'AEO 2026 Table 5'!$D$10:$AC$10,0))</f>
        <v>8.1707864999771118E-2</v>
      </c>
      <c r="M43">
        <f>INDEX('AEO 2026 Table 5'!$D$15:$AC$120,16,MATCH(M$1,'AEO 2026 Table 5'!$D$10:$AC$10,0))</f>
        <v>8.0997481942176819E-2</v>
      </c>
      <c r="N43">
        <f>INDEX('AEO 2026 Table 5'!$D$15:$AC$120,16,MATCH(N$1,'AEO 2026 Table 5'!$D$10:$AC$10,0))</f>
        <v>8.0317422747612E-2</v>
      </c>
      <c r="O43">
        <f>INDEX('AEO 2026 Table 5'!$D$15:$AC$120,16,MATCH(O$1,'AEO 2026 Table 5'!$D$10:$AC$10,0))</f>
        <v>7.9704485833644867E-2</v>
      </c>
      <c r="P43">
        <f>INDEX('AEO 2026 Table 5'!$D$15:$AC$120,16,MATCH(P$1,'AEO 2026 Table 5'!$D$10:$AC$10,0))</f>
        <v>7.9115942120552063E-2</v>
      </c>
      <c r="Q43">
        <f>INDEX('AEO 2026 Table 5'!$D$15:$AC$120,16,MATCH(Q$1,'AEO 2026 Table 5'!$D$10:$AC$10,0))</f>
        <v>7.8533269464969635E-2</v>
      </c>
      <c r="R43">
        <f>INDEX('AEO 2026 Table 5'!$D$15:$AC$120,16,MATCH(R$1,'AEO 2026 Table 5'!$D$10:$AC$10,0))</f>
        <v>7.7997617423534393E-2</v>
      </c>
      <c r="S43">
        <f>INDEX('AEO 2026 Table 5'!$D$15:$AC$120,16,MATCH(S$1,'AEO 2026 Table 5'!$D$10:$AC$10,0))</f>
        <v>7.7441923320293427E-2</v>
      </c>
      <c r="T43">
        <f>INDEX('AEO 2026 Table 5'!$D$15:$AC$120,16,MATCH(T$1,'AEO 2026 Table 5'!$D$10:$AC$10,0))</f>
        <v>7.6880864799022675E-2</v>
      </c>
      <c r="U43">
        <f>INDEX('AEO 2026 Table 5'!$D$15:$AC$120,16,MATCH(U$1,'AEO 2026 Table 5'!$D$10:$AC$10,0))</f>
        <v>7.629849761724472E-2</v>
      </c>
      <c r="V43">
        <f>INDEX('AEO 2026 Table 5'!$D$15:$AC$120,16,MATCH(V$1,'AEO 2026 Table 5'!$D$10:$AC$10,0))</f>
        <v>7.570222020149231E-2</v>
      </c>
      <c r="W43">
        <f>INDEX('AEO 2026 Table 5'!$D$15:$AC$120,16,MATCH(W$1,'AEO 2026 Table 5'!$D$10:$AC$10,0))</f>
        <v>7.5151115655899048E-2</v>
      </c>
      <c r="X43">
        <f>INDEX('AEO 2026 Table 5'!$D$15:$AC$120,16,MATCH(X$1,'AEO 2026 Table 5'!$D$10:$AC$10,0))</f>
        <v>7.4597328901290894E-2</v>
      </c>
      <c r="Y43">
        <f>INDEX('AEO 2026 Table 5'!$D$15:$AC$120,16,MATCH(Y$1,'AEO 2026 Table 5'!$D$10:$AC$10,0))</f>
        <v>7.4064627289772034E-2</v>
      </c>
      <c r="Z43">
        <f>INDEX('AEO 2026 Table 5'!$D$15:$AC$120,16,MATCH(Z$1,'AEO 2026 Table 5'!$D$10:$AC$10,0))</f>
        <v>7.3537647724151611E-2</v>
      </c>
      <c r="AA43">
        <f>INDEX('AEO 2026 Table 5'!$D$15:$AC$120,16,MATCH(AA$1,'AEO 2026 Table 5'!$D$10:$AC$10,0))</f>
        <v>7.3002226650714874E-2</v>
      </c>
      <c r="AB43">
        <f>INDEX('AEO 2026 Table 5'!$D$15:$AC$120,16,MATCH(AB$1,'AEO 2026 Table 5'!$D$10:$AC$10,0))</f>
        <v>7.241734117269516E-2</v>
      </c>
      <c r="AC43">
        <f>INDEX('AEO 2026 Table 5'!$D$15:$AC$120,16,MATCH(AC$1,'AEO 2026 Table 5'!$D$10:$AC$10,0))</f>
        <v>7.1763046085834503E-2</v>
      </c>
      <c r="AD43">
        <f>INDEX('AEO 2026 Table 5'!$D$15:$AC$120,16,MATCH(AD$1,'AEO 2026 Table 5'!$D$10:$AC$10,0))</f>
        <v>7.1081988513469696E-2</v>
      </c>
      <c r="AE43">
        <f>INDEX('AEO 2026 Table 5'!$D$15:$AC$120,16,MATCH(AE$1,'AEO 2026 Table 5'!$D$10:$AC$10,0))</f>
        <v>7.0414647459983826E-2</v>
      </c>
      <c r="AF43">
        <f>INDEX('AEO 2026 Table 5'!$D$15:$AC$120,16,MATCH(AF$1,'AEO 2026 Table 5'!$D$10:$AC$10,0))</f>
        <v>6.9721437990665436E-2</v>
      </c>
    </row>
    <row r="44" spans="1:32" x14ac:dyDescent="0.25">
      <c r="A44" t="s">
        <v>700</v>
      </c>
      <c r="B44" t="str">
        <f t="shared" si="1"/>
        <v>commercial-lighting-electricity (BTU)</v>
      </c>
      <c r="C44" t="s">
        <v>1060</v>
      </c>
      <c r="D44" t="s">
        <v>1051</v>
      </c>
      <c r="E44" s="1" t="s">
        <v>1048</v>
      </c>
      <c r="F44" s="44">
        <f>INDEX('AEO 2025 Table 5'!$F$8:$AG$102,MATCH('Crosswalk AEO to EPS Summary'!$A44,'AEO 2025 Table 5'!$B$8:$B$102,0),MATCH(F$1,'AEO 2025 Table 5'!$F$5:$AG$5,0))</f>
        <v>0.57562899999999995</v>
      </c>
      <c r="G44">
        <f>INDEX('AEO 2026 Table 5'!$D$15:$AC$120,17,MATCH(G$1,'AEO 2026 Table 5'!$D$10:$AC$10,0))</f>
        <v>0.56464868783950806</v>
      </c>
      <c r="H44">
        <f>INDEX('AEO 2026 Table 5'!$D$15:$AC$120,17,MATCH(H$1,'AEO 2026 Table 5'!$D$10:$AC$10,0))</f>
        <v>0.55332779884338379</v>
      </c>
      <c r="I44">
        <f>INDEX('AEO 2026 Table 5'!$D$15:$AC$120,17,MATCH(I$1,'AEO 2026 Table 5'!$D$10:$AC$10,0))</f>
        <v>0.5473293662071228</v>
      </c>
      <c r="J44">
        <f>INDEX('AEO 2026 Table 5'!$D$15:$AC$120,17,MATCH(J$1,'AEO 2026 Table 5'!$D$10:$AC$10,0))</f>
        <v>0.54542988538742065</v>
      </c>
      <c r="K44">
        <f>INDEX('AEO 2026 Table 5'!$D$15:$AC$120,17,MATCH(K$1,'AEO 2026 Table 5'!$D$10:$AC$10,0))</f>
        <v>0.54358804225921631</v>
      </c>
      <c r="L44">
        <f>INDEX('AEO 2026 Table 5'!$D$15:$AC$120,17,MATCH(L$1,'AEO 2026 Table 5'!$D$10:$AC$10,0))</f>
        <v>0.53231817483901978</v>
      </c>
      <c r="M44">
        <f>INDEX('AEO 2026 Table 5'!$D$15:$AC$120,17,MATCH(M$1,'AEO 2026 Table 5'!$D$10:$AC$10,0))</f>
        <v>0.52262163162231445</v>
      </c>
      <c r="N44">
        <f>INDEX('AEO 2026 Table 5'!$D$15:$AC$120,17,MATCH(N$1,'AEO 2026 Table 5'!$D$10:$AC$10,0))</f>
        <v>0.51420021057128906</v>
      </c>
      <c r="O44">
        <f>INDEX('AEO 2026 Table 5'!$D$15:$AC$120,17,MATCH(O$1,'AEO 2026 Table 5'!$D$10:$AC$10,0))</f>
        <v>0.50677865743637085</v>
      </c>
      <c r="P44">
        <f>INDEX('AEO 2026 Table 5'!$D$15:$AC$120,17,MATCH(P$1,'AEO 2026 Table 5'!$D$10:$AC$10,0))</f>
        <v>0.49977785348892212</v>
      </c>
      <c r="Q44">
        <f>INDEX('AEO 2026 Table 5'!$D$15:$AC$120,17,MATCH(Q$1,'AEO 2026 Table 5'!$D$10:$AC$10,0))</f>
        <v>0.49295160174369812</v>
      </c>
      <c r="R44">
        <f>INDEX('AEO 2026 Table 5'!$D$15:$AC$120,17,MATCH(R$1,'AEO 2026 Table 5'!$D$10:$AC$10,0))</f>
        <v>0.48728850483894348</v>
      </c>
      <c r="S44">
        <f>INDEX('AEO 2026 Table 5'!$D$15:$AC$120,17,MATCH(S$1,'AEO 2026 Table 5'!$D$10:$AC$10,0))</f>
        <v>0.48248586058616638</v>
      </c>
      <c r="T44">
        <f>INDEX('AEO 2026 Table 5'!$D$15:$AC$120,17,MATCH(T$1,'AEO 2026 Table 5'!$D$10:$AC$10,0))</f>
        <v>0.47849792242050171</v>
      </c>
      <c r="U44">
        <f>INDEX('AEO 2026 Table 5'!$D$15:$AC$120,17,MATCH(U$1,'AEO 2026 Table 5'!$D$10:$AC$10,0))</f>
        <v>0.47511857748031622</v>
      </c>
      <c r="V44">
        <f>INDEX('AEO 2026 Table 5'!$D$15:$AC$120,17,MATCH(V$1,'AEO 2026 Table 5'!$D$10:$AC$10,0))</f>
        <v>0.47012150287628168</v>
      </c>
      <c r="W44">
        <f>INDEX('AEO 2026 Table 5'!$D$15:$AC$120,17,MATCH(W$1,'AEO 2026 Table 5'!$D$10:$AC$10,0))</f>
        <v>0.46640691161155701</v>
      </c>
      <c r="X44">
        <f>INDEX('AEO 2026 Table 5'!$D$15:$AC$120,17,MATCH(X$1,'AEO 2026 Table 5'!$D$10:$AC$10,0))</f>
        <v>0.4634820818901062</v>
      </c>
      <c r="Y44">
        <f>INDEX('AEO 2026 Table 5'!$D$15:$AC$120,17,MATCH(Y$1,'AEO 2026 Table 5'!$D$10:$AC$10,0))</f>
        <v>0.46129697561264038</v>
      </c>
      <c r="Z44">
        <f>INDEX('AEO 2026 Table 5'!$D$15:$AC$120,17,MATCH(Z$1,'AEO 2026 Table 5'!$D$10:$AC$10,0))</f>
        <v>0.45964255928993231</v>
      </c>
      <c r="AA44">
        <f>INDEX('AEO 2026 Table 5'!$D$15:$AC$120,17,MATCH(AA$1,'AEO 2026 Table 5'!$D$10:$AC$10,0))</f>
        <v>0.45840096473693848</v>
      </c>
      <c r="AB44">
        <f>INDEX('AEO 2026 Table 5'!$D$15:$AC$120,17,MATCH(AB$1,'AEO 2026 Table 5'!$D$10:$AC$10,0))</f>
        <v>0.45725777745246893</v>
      </c>
      <c r="AC44">
        <f>INDEX('AEO 2026 Table 5'!$D$15:$AC$120,17,MATCH(AC$1,'AEO 2026 Table 5'!$D$10:$AC$10,0))</f>
        <v>0.45599430799484247</v>
      </c>
      <c r="AD44">
        <f>INDEX('AEO 2026 Table 5'!$D$15:$AC$120,17,MATCH(AD$1,'AEO 2026 Table 5'!$D$10:$AC$10,0))</f>
        <v>0.45470628142356873</v>
      </c>
      <c r="AE44">
        <f>INDEX('AEO 2026 Table 5'!$D$15:$AC$120,17,MATCH(AE$1,'AEO 2026 Table 5'!$D$10:$AC$10,0))</f>
        <v>0.45369204878807068</v>
      </c>
      <c r="AF44">
        <f>INDEX('AEO 2026 Table 5'!$D$15:$AC$120,17,MATCH(AF$1,'AEO 2026 Table 5'!$D$10:$AC$10,0))</f>
        <v>0.45269542932510382</v>
      </c>
    </row>
    <row r="45" spans="1:32" x14ac:dyDescent="0.25">
      <c r="A45" t="s">
        <v>702</v>
      </c>
      <c r="B45" t="str">
        <f t="shared" si="1"/>
        <v>commercial-appliances-electricity (BTU)</v>
      </c>
      <c r="C45" t="s">
        <v>1060</v>
      </c>
      <c r="D45" t="s">
        <v>1050</v>
      </c>
      <c r="E45" s="1" t="s">
        <v>1048</v>
      </c>
      <c r="F45" s="44">
        <f>INDEX('AEO 2025 Table 5'!$F$8:$AG$102,MATCH('Crosswalk AEO to EPS Summary'!$A45,'AEO 2025 Table 5'!$B$8:$B$102,0),MATCH(F$1,'AEO 2025 Table 5'!$F$5:$AG$5,0))</f>
        <v>0.367309</v>
      </c>
      <c r="G45">
        <f>INDEX('AEO 2026 Table 5'!$D$15:$AC$120,18,MATCH(G$1,'AEO 2026 Table 5'!$D$10:$AC$10,0))</f>
        <v>0.36673378944396973</v>
      </c>
      <c r="H45">
        <f>INDEX('AEO 2026 Table 5'!$D$15:$AC$120,18,MATCH(H$1,'AEO 2026 Table 5'!$D$10:$AC$10,0))</f>
        <v>0.36595341563224792</v>
      </c>
      <c r="I45">
        <f>INDEX('AEO 2026 Table 5'!$D$15:$AC$120,18,MATCH(I$1,'AEO 2026 Table 5'!$D$10:$AC$10,0))</f>
        <v>0.36617350578308111</v>
      </c>
      <c r="J45">
        <f>INDEX('AEO 2026 Table 5'!$D$15:$AC$120,18,MATCH(J$1,'AEO 2026 Table 5'!$D$10:$AC$10,0))</f>
        <v>0.36700010299682623</v>
      </c>
      <c r="K45">
        <f>INDEX('AEO 2026 Table 5'!$D$15:$AC$120,18,MATCH(K$1,'AEO 2026 Table 5'!$D$10:$AC$10,0))</f>
        <v>0.36756345629692078</v>
      </c>
      <c r="L45">
        <f>INDEX('AEO 2026 Table 5'!$D$15:$AC$120,18,MATCH(L$1,'AEO 2026 Table 5'!$D$10:$AC$10,0))</f>
        <v>0.36664438247680659</v>
      </c>
      <c r="M45">
        <f>INDEX('AEO 2026 Table 5'!$D$15:$AC$120,18,MATCH(M$1,'AEO 2026 Table 5'!$D$10:$AC$10,0))</f>
        <v>0.36620622873306269</v>
      </c>
      <c r="N45">
        <f>INDEX('AEO 2026 Table 5'!$D$15:$AC$120,18,MATCH(N$1,'AEO 2026 Table 5'!$D$10:$AC$10,0))</f>
        <v>0.36610907316207891</v>
      </c>
      <c r="O45">
        <f>INDEX('AEO 2026 Table 5'!$D$15:$AC$120,18,MATCH(O$1,'AEO 2026 Table 5'!$D$10:$AC$10,0))</f>
        <v>0.36639034748077393</v>
      </c>
      <c r="P45">
        <f>INDEX('AEO 2026 Table 5'!$D$15:$AC$120,18,MATCH(P$1,'AEO 2026 Table 5'!$D$10:$AC$10,0))</f>
        <v>0.36694955825805659</v>
      </c>
      <c r="Q45">
        <f>INDEX('AEO 2026 Table 5'!$D$15:$AC$120,18,MATCH(Q$1,'AEO 2026 Table 5'!$D$10:$AC$10,0))</f>
        <v>0.36775559186935419</v>
      </c>
      <c r="R45">
        <f>INDEX('AEO 2026 Table 5'!$D$15:$AC$120,18,MATCH(R$1,'AEO 2026 Table 5'!$D$10:$AC$10,0))</f>
        <v>0.36884811520576483</v>
      </c>
      <c r="S45">
        <f>INDEX('AEO 2026 Table 5'!$D$15:$AC$120,18,MATCH(S$1,'AEO 2026 Table 5'!$D$10:$AC$10,0))</f>
        <v>0.37004610896110529</v>
      </c>
      <c r="T45">
        <f>INDEX('AEO 2026 Table 5'!$D$15:$AC$120,18,MATCH(T$1,'AEO 2026 Table 5'!$D$10:$AC$10,0))</f>
        <v>0.37123894691467291</v>
      </c>
      <c r="U45">
        <f>INDEX('AEO 2026 Table 5'!$D$15:$AC$120,18,MATCH(U$1,'AEO 2026 Table 5'!$D$10:$AC$10,0))</f>
        <v>0.3723832368850708</v>
      </c>
      <c r="V45">
        <f>INDEX('AEO 2026 Table 5'!$D$15:$AC$120,18,MATCH(V$1,'AEO 2026 Table 5'!$D$10:$AC$10,0))</f>
        <v>0.37348532676696777</v>
      </c>
      <c r="W45">
        <f>INDEX('AEO 2026 Table 5'!$D$15:$AC$120,18,MATCH(W$1,'AEO 2026 Table 5'!$D$10:$AC$10,0))</f>
        <v>0.37482777237892151</v>
      </c>
      <c r="X45">
        <f>INDEX('AEO 2026 Table 5'!$D$15:$AC$120,18,MATCH(X$1,'AEO 2026 Table 5'!$D$10:$AC$10,0))</f>
        <v>0.37610214948654169</v>
      </c>
      <c r="Y45">
        <f>INDEX('AEO 2026 Table 5'!$D$15:$AC$120,18,MATCH(Y$1,'AEO 2026 Table 5'!$D$10:$AC$10,0))</f>
        <v>0.37739026546478271</v>
      </c>
      <c r="Z45">
        <f>INDEX('AEO 2026 Table 5'!$D$15:$AC$120,18,MATCH(Z$1,'AEO 2026 Table 5'!$D$10:$AC$10,0))</f>
        <v>0.37866276502609247</v>
      </c>
      <c r="AA45">
        <f>INDEX('AEO 2026 Table 5'!$D$15:$AC$120,18,MATCH(AA$1,'AEO 2026 Table 5'!$D$10:$AC$10,0))</f>
        <v>0.37990128993988043</v>
      </c>
      <c r="AB45">
        <f>INDEX('AEO 2026 Table 5'!$D$15:$AC$120,18,MATCH(AB$1,'AEO 2026 Table 5'!$D$10:$AC$10,0))</f>
        <v>0.3810141384601593</v>
      </c>
      <c r="AC45">
        <f>INDEX('AEO 2026 Table 5'!$D$15:$AC$120,18,MATCH(AC$1,'AEO 2026 Table 5'!$D$10:$AC$10,0))</f>
        <v>0.38195547461509699</v>
      </c>
      <c r="AD45">
        <f>INDEX('AEO 2026 Table 5'!$D$15:$AC$120,18,MATCH(AD$1,'AEO 2026 Table 5'!$D$10:$AC$10,0))</f>
        <v>0.38280674815177917</v>
      </c>
      <c r="AE45">
        <f>INDEX('AEO 2026 Table 5'!$D$15:$AC$120,18,MATCH(AE$1,'AEO 2026 Table 5'!$D$10:$AC$10,0))</f>
        <v>0.38365435600280762</v>
      </c>
      <c r="AF45">
        <f>INDEX('AEO 2026 Table 5'!$D$15:$AC$120,18,MATCH(AF$1,'AEO 2026 Table 5'!$D$10:$AC$10,0))</f>
        <v>0.38441506028175348</v>
      </c>
    </row>
    <row r="46" spans="1:32" x14ac:dyDescent="0.25">
      <c r="A46" t="s">
        <v>705</v>
      </c>
      <c r="B46" t="str">
        <f t="shared" si="1"/>
        <v>commercial-other-electricity (BTU)</v>
      </c>
      <c r="C46" t="s">
        <v>1060</v>
      </c>
      <c r="D46" t="s">
        <v>1052</v>
      </c>
      <c r="E46" s="1" t="s">
        <v>1048</v>
      </c>
      <c r="F46" s="44">
        <f>INDEX('AEO 2025 Table 5'!$F$8:$AG$102,MATCH('Crosswalk AEO to EPS Summary'!$A46,'AEO 2025 Table 5'!$B$8:$B$102,0),MATCH(F$1,'AEO 2025 Table 5'!$F$5:$AG$5,0))</f>
        <v>0.341028</v>
      </c>
      <c r="G46">
        <f>INDEX('AEO 2026 Table 5'!$D$15:$AC$120,20,MATCH(G$1,'AEO 2026 Table 5'!$D$10:$AC$10,0))</f>
        <v>0.21695259213447571</v>
      </c>
      <c r="H46">
        <f>INDEX('AEO 2026 Table 5'!$D$15:$AC$120,20,MATCH(H$1,'AEO 2026 Table 5'!$D$10:$AC$10,0))</f>
        <v>0.2117447704076767</v>
      </c>
      <c r="I46">
        <f>INDEX('AEO 2026 Table 5'!$D$15:$AC$120,20,MATCH(I$1,'AEO 2026 Table 5'!$D$10:$AC$10,0))</f>
        <v>0.20712237060070041</v>
      </c>
      <c r="J46">
        <f>INDEX('AEO 2026 Table 5'!$D$15:$AC$120,20,MATCH(J$1,'AEO 2026 Table 5'!$D$10:$AC$10,0))</f>
        <v>0.2026841789484024</v>
      </c>
      <c r="K46">
        <f>INDEX('AEO 2026 Table 5'!$D$15:$AC$120,20,MATCH(K$1,'AEO 2026 Table 5'!$D$10:$AC$10,0))</f>
        <v>0.1982623636722565</v>
      </c>
      <c r="L46">
        <f>INDEX('AEO 2026 Table 5'!$D$15:$AC$120,20,MATCH(L$1,'AEO 2026 Table 5'!$D$10:$AC$10,0))</f>
        <v>0.19391293823719019</v>
      </c>
      <c r="M46">
        <f>INDEX('AEO 2026 Table 5'!$D$15:$AC$120,20,MATCH(M$1,'AEO 2026 Table 5'!$D$10:$AC$10,0))</f>
        <v>0.1898292750120163</v>
      </c>
      <c r="N46">
        <f>INDEX('AEO 2026 Table 5'!$D$15:$AC$120,20,MATCH(N$1,'AEO 2026 Table 5'!$D$10:$AC$10,0))</f>
        <v>0.18571975827217099</v>
      </c>
      <c r="O46">
        <f>INDEX('AEO 2026 Table 5'!$D$15:$AC$120,20,MATCH(O$1,'AEO 2026 Table 5'!$D$10:$AC$10,0))</f>
        <v>0.18246522545814511</v>
      </c>
      <c r="P46">
        <f>INDEX('AEO 2026 Table 5'!$D$15:$AC$120,20,MATCH(P$1,'AEO 2026 Table 5'!$D$10:$AC$10,0))</f>
        <v>0.17970889806747439</v>
      </c>
      <c r="Q46">
        <f>INDEX('AEO 2026 Table 5'!$D$15:$AC$120,20,MATCH(Q$1,'AEO 2026 Table 5'!$D$10:$AC$10,0))</f>
        <v>0.17706714570522311</v>
      </c>
      <c r="R46">
        <f>INDEX('AEO 2026 Table 5'!$D$15:$AC$120,20,MATCH(R$1,'AEO 2026 Table 5'!$D$10:$AC$10,0))</f>
        <v>0.1750409007072449</v>
      </c>
      <c r="S46">
        <f>INDEX('AEO 2026 Table 5'!$D$15:$AC$120,20,MATCH(S$1,'AEO 2026 Table 5'!$D$10:$AC$10,0))</f>
        <v>0.1731773912906647</v>
      </c>
      <c r="T46">
        <f>INDEX('AEO 2026 Table 5'!$D$15:$AC$120,20,MATCH(T$1,'AEO 2026 Table 5'!$D$10:$AC$10,0))</f>
        <v>0.17144748568534851</v>
      </c>
      <c r="U46">
        <f>INDEX('AEO 2026 Table 5'!$D$15:$AC$120,20,MATCH(U$1,'AEO 2026 Table 5'!$D$10:$AC$10,0))</f>
        <v>0.17038112878799441</v>
      </c>
      <c r="V46">
        <f>INDEX('AEO 2026 Table 5'!$D$15:$AC$120,20,MATCH(V$1,'AEO 2026 Table 5'!$D$10:$AC$10,0))</f>
        <v>0.16903424263000491</v>
      </c>
      <c r="W46">
        <f>INDEX('AEO 2026 Table 5'!$D$15:$AC$120,20,MATCH(W$1,'AEO 2026 Table 5'!$D$10:$AC$10,0))</f>
        <v>0.16736727952957151</v>
      </c>
      <c r="X46">
        <f>INDEX('AEO 2026 Table 5'!$D$15:$AC$120,20,MATCH(X$1,'AEO 2026 Table 5'!$D$10:$AC$10,0))</f>
        <v>0.16648046672344211</v>
      </c>
      <c r="Y46">
        <f>INDEX('AEO 2026 Table 5'!$D$15:$AC$120,20,MATCH(Y$1,'AEO 2026 Table 5'!$D$10:$AC$10,0))</f>
        <v>0.1648089736700058</v>
      </c>
      <c r="Z46">
        <f>INDEX('AEO 2026 Table 5'!$D$15:$AC$120,20,MATCH(Z$1,'AEO 2026 Table 5'!$D$10:$AC$10,0))</f>
        <v>0.1634516566991806</v>
      </c>
      <c r="AA46">
        <f>INDEX('AEO 2026 Table 5'!$D$15:$AC$120,20,MATCH(AA$1,'AEO 2026 Table 5'!$D$10:$AC$10,0))</f>
        <v>0.1618640869855881</v>
      </c>
      <c r="AB46">
        <f>INDEX('AEO 2026 Table 5'!$D$15:$AC$120,20,MATCH(AB$1,'AEO 2026 Table 5'!$D$10:$AC$10,0))</f>
        <v>0.16062961518764499</v>
      </c>
      <c r="AC46">
        <f>INDEX('AEO 2026 Table 5'!$D$15:$AC$120,20,MATCH(AC$1,'AEO 2026 Table 5'!$D$10:$AC$10,0))</f>
        <v>0.15854467451572421</v>
      </c>
      <c r="AD46">
        <f>INDEX('AEO 2026 Table 5'!$D$15:$AC$120,20,MATCH(AD$1,'AEO 2026 Table 5'!$D$10:$AC$10,0))</f>
        <v>0.1562098562717438</v>
      </c>
      <c r="AE46">
        <f>INDEX('AEO 2026 Table 5'!$D$15:$AC$120,20,MATCH(AE$1,'AEO 2026 Table 5'!$D$10:$AC$10,0))</f>
        <v>0.1536378413438797</v>
      </c>
      <c r="AF46">
        <f>INDEX('AEO 2026 Table 5'!$D$15:$AC$120,20,MATCH(AF$1,'AEO 2026 Table 5'!$D$10:$AC$10,0))</f>
        <v>0.15080669522285459</v>
      </c>
    </row>
    <row r="47" spans="1:32" x14ac:dyDescent="0.25">
      <c r="A47" t="s">
        <v>708</v>
      </c>
      <c r="B47" t="str">
        <f t="shared" si="1"/>
        <v>commercial-other-electricity (BTU)</v>
      </c>
      <c r="C47" t="s">
        <v>1060</v>
      </c>
      <c r="D47" t="s">
        <v>1052</v>
      </c>
      <c r="E47" s="1" t="s">
        <v>1048</v>
      </c>
      <c r="F47" s="44">
        <f>INDEX('AEO 2025 Table 5'!$F$8:$AG$102,MATCH('Crosswalk AEO to EPS Summary'!$A47,'AEO 2025 Table 5'!$B$8:$B$102,0),MATCH(F$1,'AEO 2025 Table 5'!$F$5:$AG$5,0))</f>
        <v>4.3232E-2</v>
      </c>
      <c r="G47">
        <f>0</f>
        <v>0</v>
      </c>
      <c r="H47">
        <f>0</f>
        <v>0</v>
      </c>
      <c r="I47">
        <f>0</f>
        <v>0</v>
      </c>
      <c r="J47">
        <f>0</f>
        <v>0</v>
      </c>
      <c r="K47">
        <f>0</f>
        <v>0</v>
      </c>
      <c r="L47">
        <f>0</f>
        <v>0</v>
      </c>
      <c r="M47">
        <f>0</f>
        <v>0</v>
      </c>
      <c r="N47">
        <f>0</f>
        <v>0</v>
      </c>
      <c r="O47">
        <f>0</f>
        <v>0</v>
      </c>
      <c r="P47">
        <f>0</f>
        <v>0</v>
      </c>
      <c r="Q47">
        <f>0</f>
        <v>0</v>
      </c>
      <c r="R47">
        <f>0</f>
        <v>0</v>
      </c>
      <c r="S47">
        <f>0</f>
        <v>0</v>
      </c>
      <c r="T47">
        <f>0</f>
        <v>0</v>
      </c>
      <c r="U47">
        <f>0</f>
        <v>0</v>
      </c>
      <c r="V47">
        <f>0</f>
        <v>0</v>
      </c>
      <c r="W47">
        <f>0</f>
        <v>0</v>
      </c>
      <c r="X47">
        <f>0</f>
        <v>0</v>
      </c>
      <c r="Y47">
        <f>0</f>
        <v>0</v>
      </c>
      <c r="Z47">
        <f>0</f>
        <v>0</v>
      </c>
      <c r="AA47">
        <f>0</f>
        <v>0</v>
      </c>
      <c r="AB47">
        <f>0</f>
        <v>0</v>
      </c>
      <c r="AC47">
        <f>0</f>
        <v>0</v>
      </c>
      <c r="AD47">
        <f>0</f>
        <v>0</v>
      </c>
      <c r="AE47">
        <f>0</f>
        <v>0</v>
      </c>
      <c r="AF47">
        <f>0</f>
        <v>0</v>
      </c>
    </row>
    <row r="48" spans="1:32" x14ac:dyDescent="0.25">
      <c r="A48" t="s">
        <v>710</v>
      </c>
      <c r="B48" t="str">
        <f t="shared" si="1"/>
        <v>commercial-other-electricity (BTU)</v>
      </c>
      <c r="C48" t="s">
        <v>1060</v>
      </c>
      <c r="D48" t="s">
        <v>1052</v>
      </c>
      <c r="E48" s="1" t="s">
        <v>1048</v>
      </c>
      <c r="F48" s="44">
        <f>INDEX('AEO 2025 Table 5'!$F$8:$AG$102,MATCH('Crosswalk AEO to EPS Summary'!$A48,'AEO 2025 Table 5'!$B$8:$B$102,0),MATCH(F$1,'AEO 2025 Table 5'!$F$5:$AG$5,0))</f>
        <v>1.9009560000000001</v>
      </c>
      <c r="G48">
        <f>INDEX('AEO 2026 Table 5'!$D$15:$AC$120,21,MATCH(G$1,'AEO 2026 Table 5'!$D$10:$AC$10,0))</f>
        <v>1.9491628408432009</v>
      </c>
      <c r="H48">
        <f>INDEX('AEO 2026 Table 5'!$D$15:$AC$120,21,MATCH(H$1,'AEO 2026 Table 5'!$D$10:$AC$10,0))</f>
        <v>2.1337265968322749</v>
      </c>
      <c r="I48">
        <f>INDEX('AEO 2026 Table 5'!$D$15:$AC$120,21,MATCH(I$1,'AEO 2026 Table 5'!$D$10:$AC$10,0))</f>
        <v>2.1396884918212891</v>
      </c>
      <c r="J48">
        <f>INDEX('AEO 2026 Table 5'!$D$15:$AC$120,21,MATCH(J$1,'AEO 2026 Table 5'!$D$10:$AC$10,0))</f>
        <v>2.1391499042510991</v>
      </c>
      <c r="K48">
        <f>INDEX('AEO 2026 Table 5'!$D$15:$AC$120,21,MATCH(K$1,'AEO 2026 Table 5'!$D$10:$AC$10,0))</f>
        <v>2.1382029056549068</v>
      </c>
      <c r="L48">
        <f>INDEX('AEO 2026 Table 5'!$D$15:$AC$120,21,MATCH(L$1,'AEO 2026 Table 5'!$D$10:$AC$10,0))</f>
        <v>2.1360304355621338</v>
      </c>
      <c r="M48">
        <f>INDEX('AEO 2026 Table 5'!$D$15:$AC$120,21,MATCH(M$1,'AEO 2026 Table 5'!$D$10:$AC$10,0))</f>
        <v>2.134271621704102</v>
      </c>
      <c r="N48">
        <f>INDEX('AEO 2026 Table 5'!$D$15:$AC$120,21,MATCH(N$1,'AEO 2026 Table 5'!$D$10:$AC$10,0))</f>
        <v>2.1334948539733891</v>
      </c>
      <c r="O48">
        <f>INDEX('AEO 2026 Table 5'!$D$15:$AC$120,21,MATCH(O$1,'AEO 2026 Table 5'!$D$10:$AC$10,0))</f>
        <v>2.1342422962188721</v>
      </c>
      <c r="P48">
        <f>INDEX('AEO 2026 Table 5'!$D$15:$AC$120,21,MATCH(P$1,'AEO 2026 Table 5'!$D$10:$AC$10,0))</f>
        <v>2.136271715164185</v>
      </c>
      <c r="Q48">
        <f>INDEX('AEO 2026 Table 5'!$D$15:$AC$120,21,MATCH(Q$1,'AEO 2026 Table 5'!$D$10:$AC$10,0))</f>
        <v>2.1396157741546631</v>
      </c>
      <c r="R48">
        <f>INDEX('AEO 2026 Table 5'!$D$15:$AC$120,21,MATCH(R$1,'AEO 2026 Table 5'!$D$10:$AC$10,0))</f>
        <v>2.1449534893035889</v>
      </c>
      <c r="S48">
        <f>INDEX('AEO 2026 Table 5'!$D$15:$AC$120,21,MATCH(S$1,'AEO 2026 Table 5'!$D$10:$AC$10,0))</f>
        <v>2.1511600017547612</v>
      </c>
      <c r="T48">
        <f>INDEX('AEO 2026 Table 5'!$D$15:$AC$120,21,MATCH(T$1,'AEO 2026 Table 5'!$D$10:$AC$10,0))</f>
        <v>2.1578776836395259</v>
      </c>
      <c r="U48">
        <f>INDEX('AEO 2026 Table 5'!$D$15:$AC$120,21,MATCH(U$1,'AEO 2026 Table 5'!$D$10:$AC$10,0))</f>
        <v>2.164867639541626</v>
      </c>
      <c r="V48">
        <f>INDEX('AEO 2026 Table 5'!$D$15:$AC$120,21,MATCH(V$1,'AEO 2026 Table 5'!$D$10:$AC$10,0))</f>
        <v>2.1721892356872559</v>
      </c>
      <c r="W48">
        <f>INDEX('AEO 2026 Table 5'!$D$15:$AC$120,21,MATCH(W$1,'AEO 2026 Table 5'!$D$10:$AC$10,0))</f>
        <v>2.1793885231018071</v>
      </c>
      <c r="X48">
        <f>INDEX('AEO 2026 Table 5'!$D$15:$AC$120,21,MATCH(X$1,'AEO 2026 Table 5'!$D$10:$AC$10,0))</f>
        <v>2.1868374347686772</v>
      </c>
      <c r="Y48">
        <f>INDEX('AEO 2026 Table 5'!$D$15:$AC$120,21,MATCH(Y$1,'AEO 2026 Table 5'!$D$10:$AC$10,0))</f>
        <v>2.1948528289794922</v>
      </c>
      <c r="Z48">
        <f>INDEX('AEO 2026 Table 5'!$D$15:$AC$120,21,MATCH(Z$1,'AEO 2026 Table 5'!$D$10:$AC$10,0))</f>
        <v>2.2030379772186279</v>
      </c>
      <c r="AA48">
        <f>INDEX('AEO 2026 Table 5'!$D$15:$AC$120,21,MATCH(AA$1,'AEO 2026 Table 5'!$D$10:$AC$10,0))</f>
        <v>2.212114810943604</v>
      </c>
      <c r="AB48">
        <f>INDEX('AEO 2026 Table 5'!$D$15:$AC$120,21,MATCH(AB$1,'AEO 2026 Table 5'!$D$10:$AC$10,0))</f>
        <v>2.2210614681243901</v>
      </c>
      <c r="AC48">
        <f>INDEX('AEO 2026 Table 5'!$D$15:$AC$120,21,MATCH(AC$1,'AEO 2026 Table 5'!$D$10:$AC$10,0))</f>
        <v>2.230132102966309</v>
      </c>
      <c r="AD48">
        <f>INDEX('AEO 2026 Table 5'!$D$15:$AC$120,21,MATCH(AD$1,'AEO 2026 Table 5'!$D$10:$AC$10,0))</f>
        <v>2.2396624088287349</v>
      </c>
      <c r="AE48">
        <f>INDEX('AEO 2026 Table 5'!$D$15:$AC$120,21,MATCH(AE$1,'AEO 2026 Table 5'!$D$10:$AC$10,0))</f>
        <v>2.249700784683228</v>
      </c>
      <c r="AF48">
        <f>INDEX('AEO 2026 Table 5'!$D$15:$AC$120,21,MATCH(AF$1,'AEO 2026 Table 5'!$D$10:$AC$10,0))</f>
        <v>2.2603828907012939</v>
      </c>
    </row>
    <row r="49" spans="1:32" x14ac:dyDescent="0.25">
      <c r="A49" t="s">
        <v>712</v>
      </c>
      <c r="B49" t="str">
        <f t="shared" si="1"/>
        <v>commercial-total-electricity (BTU)</v>
      </c>
      <c r="C49" t="s">
        <v>1060</v>
      </c>
      <c r="D49" t="s">
        <v>1053</v>
      </c>
      <c r="E49" s="1" t="s">
        <v>1048</v>
      </c>
      <c r="F49" s="44">
        <f>INDEX('AEO 2025 Table 5'!$F$8:$AG$102,MATCH('Crosswalk AEO to EPS Summary'!$A49,'AEO 2025 Table 5'!$B$8:$B$102,0),MATCH(F$1,'AEO 2025 Table 5'!$F$5:$AG$5,0))</f>
        <v>4.8910809999999998</v>
      </c>
      <c r="G49">
        <f>INDEX('AEO 2026 Table 5'!$D$15:$AC$120,22,MATCH(G$1,'AEO 2026 Table 5'!$D$10:$AC$10,0))</f>
        <v>5.1532554626464844</v>
      </c>
      <c r="H49">
        <f>INDEX('AEO 2026 Table 5'!$D$15:$AC$120,22,MATCH(H$1,'AEO 2026 Table 5'!$D$10:$AC$10,0))</f>
        <v>5.3909659385681152</v>
      </c>
      <c r="I49">
        <f>INDEX('AEO 2026 Table 5'!$D$15:$AC$120,22,MATCH(I$1,'AEO 2026 Table 5'!$D$10:$AC$10,0))</f>
        <v>5.4486231803894043</v>
      </c>
      <c r="J49">
        <f>INDEX('AEO 2026 Table 5'!$D$15:$AC$120,22,MATCH(J$1,'AEO 2026 Table 5'!$D$10:$AC$10,0))</f>
        <v>5.5117354393005371</v>
      </c>
      <c r="K49">
        <f>INDEX('AEO 2026 Table 5'!$D$15:$AC$120,22,MATCH(K$1,'AEO 2026 Table 5'!$D$10:$AC$10,0))</f>
        <v>5.5710029602050781</v>
      </c>
      <c r="L49">
        <f>INDEX('AEO 2026 Table 5'!$D$15:$AC$120,22,MATCH(L$1,'AEO 2026 Table 5'!$D$10:$AC$10,0))</f>
        <v>5.6097221374511719</v>
      </c>
      <c r="M49">
        <f>INDEX('AEO 2026 Table 5'!$D$15:$AC$120,22,MATCH(M$1,'AEO 2026 Table 5'!$D$10:$AC$10,0))</f>
        <v>5.6525759696960449</v>
      </c>
      <c r="N49">
        <f>INDEX('AEO 2026 Table 5'!$D$15:$AC$120,22,MATCH(N$1,'AEO 2026 Table 5'!$D$10:$AC$10,0))</f>
        <v>5.7001433372497559</v>
      </c>
      <c r="O49">
        <f>INDEX('AEO 2026 Table 5'!$D$15:$AC$120,22,MATCH(O$1,'AEO 2026 Table 5'!$D$10:$AC$10,0))</f>
        <v>5.7539410591125488</v>
      </c>
      <c r="P49">
        <f>INDEX('AEO 2026 Table 5'!$D$15:$AC$120,22,MATCH(P$1,'AEO 2026 Table 5'!$D$10:$AC$10,0))</f>
        <v>5.8118991851806641</v>
      </c>
      <c r="Q49">
        <f>INDEX('AEO 2026 Table 5'!$D$15:$AC$120,22,MATCH(Q$1,'AEO 2026 Table 5'!$D$10:$AC$10,0))</f>
        <v>5.872981071472168</v>
      </c>
      <c r="R49">
        <f>INDEX('AEO 2026 Table 5'!$D$15:$AC$120,22,MATCH(R$1,'AEO 2026 Table 5'!$D$10:$AC$10,0))</f>
        <v>5.940314769744873</v>
      </c>
      <c r="S49">
        <f>INDEX('AEO 2026 Table 5'!$D$15:$AC$120,22,MATCH(S$1,'AEO 2026 Table 5'!$D$10:$AC$10,0))</f>
        <v>6.0097479820251456</v>
      </c>
      <c r="T49">
        <f>INDEX('AEO 2026 Table 5'!$D$15:$AC$120,22,MATCH(T$1,'AEO 2026 Table 5'!$D$10:$AC$10,0))</f>
        <v>6.0802860260009766</v>
      </c>
      <c r="U49">
        <f>INDEX('AEO 2026 Table 5'!$D$15:$AC$120,22,MATCH(U$1,'AEO 2026 Table 5'!$D$10:$AC$10,0))</f>
        <v>6.1509408950805664</v>
      </c>
      <c r="V49">
        <f>INDEX('AEO 2026 Table 5'!$D$15:$AC$120,22,MATCH(V$1,'AEO 2026 Table 5'!$D$10:$AC$10,0))</f>
        <v>6.2187762260437012</v>
      </c>
      <c r="W49">
        <f>INDEX('AEO 2026 Table 5'!$D$15:$AC$120,22,MATCH(W$1,'AEO 2026 Table 5'!$D$10:$AC$10,0))</f>
        <v>6.2869548797607422</v>
      </c>
      <c r="X49">
        <f>INDEX('AEO 2026 Table 5'!$D$15:$AC$120,22,MATCH(X$1,'AEO 2026 Table 5'!$D$10:$AC$10,0))</f>
        <v>6.3548049926757813</v>
      </c>
      <c r="Y49">
        <f>INDEX('AEO 2026 Table 5'!$D$15:$AC$120,22,MATCH(Y$1,'AEO 2026 Table 5'!$D$10:$AC$10,0))</f>
        <v>6.4218029975891113</v>
      </c>
      <c r="Z49">
        <f>INDEX('AEO 2026 Table 5'!$D$15:$AC$120,22,MATCH(Z$1,'AEO 2026 Table 5'!$D$10:$AC$10,0))</f>
        <v>6.486872673034668</v>
      </c>
      <c r="AA49">
        <f>INDEX('AEO 2026 Table 5'!$D$15:$AC$120,22,MATCH(AA$1,'AEO 2026 Table 5'!$D$10:$AC$10,0))</f>
        <v>6.5502228736877441</v>
      </c>
      <c r="AB49">
        <f>INDEX('AEO 2026 Table 5'!$D$15:$AC$120,22,MATCH(AB$1,'AEO 2026 Table 5'!$D$10:$AC$10,0))</f>
        <v>6.6083984375</v>
      </c>
      <c r="AC49">
        <f>INDEX('AEO 2026 Table 5'!$D$15:$AC$120,22,MATCH(AC$1,'AEO 2026 Table 5'!$D$10:$AC$10,0))</f>
        <v>6.6594786643981934</v>
      </c>
      <c r="AD49">
        <f>INDEX('AEO 2026 Table 5'!$D$15:$AC$120,22,MATCH(AD$1,'AEO 2026 Table 5'!$D$10:$AC$10,0))</f>
        <v>6.7053451538085938</v>
      </c>
      <c r="AE49">
        <f>INDEX('AEO 2026 Table 5'!$D$15:$AC$120,22,MATCH(AE$1,'AEO 2026 Table 5'!$D$10:$AC$10,0))</f>
        <v>6.7475776672363281</v>
      </c>
      <c r="AF49">
        <f>INDEX('AEO 2026 Table 5'!$D$15:$AC$120,22,MATCH(AF$1,'AEO 2026 Table 5'!$D$10:$AC$10,0))</f>
        <v>6.7875442504882813</v>
      </c>
    </row>
    <row r="50" spans="1:32" x14ac:dyDescent="0.25">
      <c r="A50" t="s">
        <v>714</v>
      </c>
      <c r="B50" t="str">
        <f t="shared" si="1"/>
        <v>commercial-NA-electricity (BTU)</v>
      </c>
      <c r="C50" t="s">
        <v>1060</v>
      </c>
      <c r="D50" t="s">
        <v>1054</v>
      </c>
      <c r="E50" s="1" t="s">
        <v>1048</v>
      </c>
      <c r="F50" s="44">
        <f>INDEX('AEO 2025 Table 5'!$F$8:$AG$102,MATCH('Crosswalk AEO to EPS Summary'!$A50,'AEO 2025 Table 5'!$B$8:$B$102,0),MATCH(F$1,'AEO 2025 Table 5'!$F$5:$AG$5,0))</f>
        <v>1.8762000000000001E-2</v>
      </c>
      <c r="G50">
        <f>INDEX('AEO 2026 Table 5'!$D$15:$AC$120,23,MATCH(G$1,'AEO 2026 Table 5'!$D$10:$AC$10,0))</f>
        <v>3.1625282019376748E-2</v>
      </c>
      <c r="H50">
        <f>INDEX('AEO 2026 Table 5'!$D$15:$AC$120,23,MATCH(H$1,'AEO 2026 Table 5'!$D$10:$AC$10,0))</f>
        <v>4.134933277964592E-2</v>
      </c>
      <c r="I50">
        <f>INDEX('AEO 2026 Table 5'!$D$15:$AC$120,23,MATCH(I$1,'AEO 2026 Table 5'!$D$10:$AC$10,0))</f>
        <v>5.3095277398824692E-2</v>
      </c>
      <c r="J50">
        <f>INDEX('AEO 2026 Table 5'!$D$15:$AC$120,23,MATCH(J$1,'AEO 2026 Table 5'!$D$10:$AC$10,0))</f>
        <v>6.6244311630725861E-2</v>
      </c>
      <c r="K50">
        <f>INDEX('AEO 2026 Table 5'!$D$15:$AC$120,23,MATCH(K$1,'AEO 2026 Table 5'!$D$10:$AC$10,0))</f>
        <v>7.9602524638175964E-2</v>
      </c>
      <c r="L50">
        <f>INDEX('AEO 2026 Table 5'!$D$15:$AC$120,23,MATCH(L$1,'AEO 2026 Table 5'!$D$10:$AC$10,0))</f>
        <v>9.2542998492717743E-2</v>
      </c>
      <c r="M50">
        <f>INDEX('AEO 2026 Table 5'!$D$15:$AC$120,23,MATCH(M$1,'AEO 2026 Table 5'!$D$10:$AC$10,0))</f>
        <v>0.1044155731797218</v>
      </c>
      <c r="N50">
        <f>INDEX('AEO 2026 Table 5'!$D$15:$AC$120,23,MATCH(N$1,'AEO 2026 Table 5'!$D$10:$AC$10,0))</f>
        <v>0.11564316600561141</v>
      </c>
      <c r="O50">
        <f>INDEX('AEO 2026 Table 5'!$D$15:$AC$120,23,MATCH(O$1,'AEO 2026 Table 5'!$D$10:$AC$10,0))</f>
        <v>0.126972422003746</v>
      </c>
      <c r="P50">
        <f>INDEX('AEO 2026 Table 5'!$D$15:$AC$120,23,MATCH(P$1,'AEO 2026 Table 5'!$D$10:$AC$10,0))</f>
        <v>0.13850162923336029</v>
      </c>
      <c r="Q50">
        <f>INDEX('AEO 2026 Table 5'!$D$15:$AC$120,23,MATCH(Q$1,'AEO 2026 Table 5'!$D$10:$AC$10,0))</f>
        <v>0.1503918915987015</v>
      </c>
      <c r="R50">
        <f>INDEX('AEO 2026 Table 5'!$D$15:$AC$120,23,MATCH(R$1,'AEO 2026 Table 5'!$D$10:$AC$10,0))</f>
        <v>0.1624611169099808</v>
      </c>
      <c r="S50">
        <f>INDEX('AEO 2026 Table 5'!$D$15:$AC$120,23,MATCH(S$1,'AEO 2026 Table 5'!$D$10:$AC$10,0))</f>
        <v>0.17480400204658511</v>
      </c>
      <c r="T50">
        <f>INDEX('AEO 2026 Table 5'!$D$15:$AC$120,23,MATCH(T$1,'AEO 2026 Table 5'!$D$10:$AC$10,0))</f>
        <v>0.18723900616168981</v>
      </c>
      <c r="U50">
        <f>INDEX('AEO 2026 Table 5'!$D$15:$AC$120,23,MATCH(U$1,'AEO 2026 Table 5'!$D$10:$AC$10,0))</f>
        <v>0.19958958029747009</v>
      </c>
      <c r="V50">
        <f>INDEX('AEO 2026 Table 5'!$D$15:$AC$120,23,MATCH(V$1,'AEO 2026 Table 5'!$D$10:$AC$10,0))</f>
        <v>0.21228790283203119</v>
      </c>
      <c r="W50">
        <f>INDEX('AEO 2026 Table 5'!$D$15:$AC$120,23,MATCH(W$1,'AEO 2026 Table 5'!$D$10:$AC$10,0))</f>
        <v>0.22536417841911319</v>
      </c>
      <c r="X50">
        <f>INDEX('AEO 2026 Table 5'!$D$15:$AC$120,23,MATCH(X$1,'AEO 2026 Table 5'!$D$10:$AC$10,0))</f>
        <v>0.2392434626817703</v>
      </c>
      <c r="Y50">
        <f>INDEX('AEO 2026 Table 5'!$D$15:$AC$120,23,MATCH(Y$1,'AEO 2026 Table 5'!$D$10:$AC$10,0))</f>
        <v>0.25397318601608282</v>
      </c>
      <c r="Z50">
        <f>INDEX('AEO 2026 Table 5'!$D$15:$AC$120,23,MATCH(Z$1,'AEO 2026 Table 5'!$D$10:$AC$10,0))</f>
        <v>0.26994425058364868</v>
      </c>
      <c r="AA50">
        <f>INDEX('AEO 2026 Table 5'!$D$15:$AC$120,23,MATCH(AA$1,'AEO 2026 Table 5'!$D$10:$AC$10,0))</f>
        <v>0.28712135553359991</v>
      </c>
      <c r="AB50">
        <f>INDEX('AEO 2026 Table 5'!$D$15:$AC$120,23,MATCH(AB$1,'AEO 2026 Table 5'!$D$10:$AC$10,0))</f>
        <v>0.30473798513412481</v>
      </c>
      <c r="AC50">
        <f>INDEX('AEO 2026 Table 5'!$D$15:$AC$120,23,MATCH(AC$1,'AEO 2026 Table 5'!$D$10:$AC$10,0))</f>
        <v>0.32270422577857971</v>
      </c>
      <c r="AD50">
        <f>INDEX('AEO 2026 Table 5'!$D$15:$AC$120,23,MATCH(AD$1,'AEO 2026 Table 5'!$D$10:$AC$10,0))</f>
        <v>0.34103548526763922</v>
      </c>
      <c r="AE50">
        <f>INDEX('AEO 2026 Table 5'!$D$15:$AC$120,23,MATCH(AE$1,'AEO 2026 Table 5'!$D$10:$AC$10,0))</f>
        <v>0.35960790514945978</v>
      </c>
      <c r="AF50">
        <f>INDEX('AEO 2026 Table 5'!$D$15:$AC$120,23,MATCH(AF$1,'AEO 2026 Table 5'!$D$10:$AC$10,0))</f>
        <v>0.37826317548751831</v>
      </c>
    </row>
    <row r="51" spans="1:32" x14ac:dyDescent="0.25">
      <c r="A51" t="s">
        <v>716</v>
      </c>
      <c r="B51" t="str">
        <f t="shared" si="1"/>
        <v>commercial-NA-electricity (BTU)</v>
      </c>
      <c r="C51" t="s">
        <v>1060</v>
      </c>
      <c r="D51" t="s">
        <v>1054</v>
      </c>
      <c r="E51" s="1" t="s">
        <v>1048</v>
      </c>
      <c r="F51" s="44">
        <f>INDEX('AEO 2025 Table 5'!$F$8:$AG$102,MATCH('Crosswalk AEO to EPS Summary'!$A51,'AEO 2025 Table 5'!$B$8:$B$102,0),MATCH(F$1,'AEO 2025 Table 5'!$F$5:$AG$5,0))</f>
        <v>0.14174300000000001</v>
      </c>
      <c r="G51">
        <f>INDEX('AEO 2026 Table 5'!$D$15:$AC$120,24,MATCH(G$1,'AEO 2026 Table 5'!$D$10:$AC$10,0))</f>
        <v>0.15950858592987061</v>
      </c>
      <c r="H51">
        <f>INDEX('AEO 2026 Table 5'!$D$15:$AC$120,24,MATCH(H$1,'AEO 2026 Table 5'!$D$10:$AC$10,0))</f>
        <v>0.1786766201257706</v>
      </c>
      <c r="I51">
        <f>INDEX('AEO 2026 Table 5'!$D$15:$AC$120,24,MATCH(I$1,'AEO 2026 Table 5'!$D$10:$AC$10,0))</f>
        <v>0.1948061287403107</v>
      </c>
      <c r="J51">
        <f>INDEX('AEO 2026 Table 5'!$D$15:$AC$120,24,MATCH(J$1,'AEO 2026 Table 5'!$D$10:$AC$10,0))</f>
        <v>0.20256760716438291</v>
      </c>
      <c r="K51">
        <f>INDEX('AEO 2026 Table 5'!$D$15:$AC$120,24,MATCH(K$1,'AEO 2026 Table 5'!$D$10:$AC$10,0))</f>
        <v>0.20727863907814029</v>
      </c>
      <c r="L51">
        <f>INDEX('AEO 2026 Table 5'!$D$15:$AC$120,24,MATCH(L$1,'AEO 2026 Table 5'!$D$10:$AC$10,0))</f>
        <v>0.21264529228210449</v>
      </c>
      <c r="M51">
        <f>INDEX('AEO 2026 Table 5'!$D$15:$AC$120,24,MATCH(M$1,'AEO 2026 Table 5'!$D$10:$AC$10,0))</f>
        <v>0.2167929410934448</v>
      </c>
      <c r="N51">
        <f>INDEX('AEO 2026 Table 5'!$D$15:$AC$120,24,MATCH(N$1,'AEO 2026 Table 5'!$D$10:$AC$10,0))</f>
        <v>0.22007113695144651</v>
      </c>
      <c r="O51">
        <f>INDEX('AEO 2026 Table 5'!$D$15:$AC$120,24,MATCH(O$1,'AEO 2026 Table 5'!$D$10:$AC$10,0))</f>
        <v>0.22375722229480741</v>
      </c>
      <c r="P51">
        <f>INDEX('AEO 2026 Table 5'!$D$15:$AC$120,24,MATCH(P$1,'AEO 2026 Table 5'!$D$10:$AC$10,0))</f>
        <v>0.22935956716537481</v>
      </c>
      <c r="Q51">
        <f>INDEX('AEO 2026 Table 5'!$D$15:$AC$120,24,MATCH(Q$1,'AEO 2026 Table 5'!$D$10:$AC$10,0))</f>
        <v>0.23388862609863281</v>
      </c>
      <c r="R51">
        <f>INDEX('AEO 2026 Table 5'!$D$15:$AC$120,24,MATCH(R$1,'AEO 2026 Table 5'!$D$10:$AC$10,0))</f>
        <v>0.23771291971206671</v>
      </c>
      <c r="S51">
        <f>INDEX('AEO 2026 Table 5'!$D$15:$AC$120,24,MATCH(S$1,'AEO 2026 Table 5'!$D$10:$AC$10,0))</f>
        <v>0.24440619349479681</v>
      </c>
      <c r="T51">
        <f>INDEX('AEO 2026 Table 5'!$D$15:$AC$120,24,MATCH(T$1,'AEO 2026 Table 5'!$D$10:$AC$10,0))</f>
        <v>0.25092688202857971</v>
      </c>
      <c r="U51">
        <f>INDEX('AEO 2026 Table 5'!$D$15:$AC$120,24,MATCH(U$1,'AEO 2026 Table 5'!$D$10:$AC$10,0))</f>
        <v>0.25883272290229797</v>
      </c>
      <c r="V51">
        <f>INDEX('AEO 2026 Table 5'!$D$15:$AC$120,24,MATCH(V$1,'AEO 2026 Table 5'!$D$10:$AC$10,0))</f>
        <v>0.26564681529998779</v>
      </c>
      <c r="W51">
        <f>INDEX('AEO 2026 Table 5'!$D$15:$AC$120,24,MATCH(W$1,'AEO 2026 Table 5'!$D$10:$AC$10,0))</f>
        <v>0.26932963728904719</v>
      </c>
      <c r="X51">
        <f>INDEX('AEO 2026 Table 5'!$D$15:$AC$120,24,MATCH(X$1,'AEO 2026 Table 5'!$D$10:$AC$10,0))</f>
        <v>0.27484393119812012</v>
      </c>
      <c r="Y51">
        <f>INDEX('AEO 2026 Table 5'!$D$15:$AC$120,24,MATCH(Y$1,'AEO 2026 Table 5'!$D$10:$AC$10,0))</f>
        <v>0.27782019972801208</v>
      </c>
      <c r="Z51">
        <f>INDEX('AEO 2026 Table 5'!$D$15:$AC$120,24,MATCH(Z$1,'AEO 2026 Table 5'!$D$10:$AC$10,0))</f>
        <v>0.28117102384567261</v>
      </c>
      <c r="AA51">
        <f>INDEX('AEO 2026 Table 5'!$D$15:$AC$120,24,MATCH(AA$1,'AEO 2026 Table 5'!$D$10:$AC$10,0))</f>
        <v>0.28390690684318542</v>
      </c>
      <c r="AB51">
        <f>INDEX('AEO 2026 Table 5'!$D$15:$AC$120,24,MATCH(AB$1,'AEO 2026 Table 5'!$D$10:$AC$10,0))</f>
        <v>0.28815773129463201</v>
      </c>
      <c r="AC51">
        <f>INDEX('AEO 2026 Table 5'!$D$15:$AC$120,24,MATCH(AC$1,'AEO 2026 Table 5'!$D$10:$AC$10,0))</f>
        <v>0.29341936111450201</v>
      </c>
      <c r="AD51">
        <f>INDEX('AEO 2026 Table 5'!$D$15:$AC$120,24,MATCH(AD$1,'AEO 2026 Table 5'!$D$10:$AC$10,0))</f>
        <v>0.29877597093582148</v>
      </c>
      <c r="AE51">
        <f>INDEX('AEO 2026 Table 5'!$D$15:$AC$120,24,MATCH(AE$1,'AEO 2026 Table 5'!$D$10:$AC$10,0))</f>
        <v>0.30282855033874512</v>
      </c>
      <c r="AF51">
        <f>INDEX('AEO 2026 Table 5'!$D$15:$AC$120,24,MATCH(AF$1,'AEO 2026 Table 5'!$D$10:$AC$10,0))</f>
        <v>0.30805617570877081</v>
      </c>
    </row>
    <row r="52" spans="1:32" x14ac:dyDescent="0.25">
      <c r="A52" t="s">
        <v>719</v>
      </c>
      <c r="B52" t="str">
        <f t="shared" si="1"/>
        <v>commercial-total-electricity (BTU)</v>
      </c>
      <c r="C52" t="s">
        <v>1060</v>
      </c>
      <c r="D52" t="s">
        <v>1053</v>
      </c>
      <c r="E52" s="1" t="s">
        <v>1048</v>
      </c>
      <c r="F52" s="44">
        <f>INDEX('AEO 2025 Table 5'!$F$8:$AG$102,MATCH('Crosswalk AEO to EPS Summary'!$A52,'AEO 2025 Table 5'!$B$8:$B$102,0),MATCH(F$1,'AEO 2025 Table 5'!$F$5:$AG$5,0))</f>
        <v>4.7680999999999996</v>
      </c>
      <c r="G52">
        <f>INDEX('AEO 2026 Table 5'!$D$15:$AC$120,25,MATCH(G$1,'AEO 2026 Table 5'!$D$10:$AC$10,0))</f>
        <v>5.0253725051879883</v>
      </c>
      <c r="H52">
        <f>INDEX('AEO 2026 Table 5'!$D$15:$AC$120,25,MATCH(H$1,'AEO 2026 Table 5'!$D$10:$AC$10,0))</f>
        <v>5.2536382675170898</v>
      </c>
      <c r="I52">
        <f>INDEX('AEO 2026 Table 5'!$D$15:$AC$120,25,MATCH(I$1,'AEO 2026 Table 5'!$D$10:$AC$10,0))</f>
        <v>5.3069119453430176</v>
      </c>
      <c r="J52">
        <f>INDEX('AEO 2026 Table 5'!$D$15:$AC$120,25,MATCH(J$1,'AEO 2026 Table 5'!$D$10:$AC$10,0))</f>
        <v>5.3754119873046884</v>
      </c>
      <c r="K52">
        <f>INDEX('AEO 2026 Table 5'!$D$15:$AC$120,25,MATCH(K$1,'AEO 2026 Table 5'!$D$10:$AC$10,0))</f>
        <v>5.4433269500732422</v>
      </c>
      <c r="L52">
        <f>INDEX('AEO 2026 Table 5'!$D$15:$AC$120,25,MATCH(L$1,'AEO 2026 Table 5'!$D$10:$AC$10,0))</f>
        <v>5.4896197319030762</v>
      </c>
      <c r="M52">
        <f>INDEX('AEO 2026 Table 5'!$D$15:$AC$120,25,MATCH(M$1,'AEO 2026 Table 5'!$D$10:$AC$10,0))</f>
        <v>5.540198802947998</v>
      </c>
      <c r="N52">
        <f>INDEX('AEO 2026 Table 5'!$D$15:$AC$120,25,MATCH(N$1,'AEO 2026 Table 5'!$D$10:$AC$10,0))</f>
        <v>5.5957150459289551</v>
      </c>
      <c r="O52">
        <f>INDEX('AEO 2026 Table 5'!$D$15:$AC$120,25,MATCH(O$1,'AEO 2026 Table 5'!$D$10:$AC$10,0))</f>
        <v>5.6571564674377441</v>
      </c>
      <c r="P52">
        <f>INDEX('AEO 2026 Table 5'!$D$15:$AC$120,25,MATCH(P$1,'AEO 2026 Table 5'!$D$10:$AC$10,0))</f>
        <v>5.7210402488708496</v>
      </c>
      <c r="Q52">
        <f>INDEX('AEO 2026 Table 5'!$D$15:$AC$120,25,MATCH(Q$1,'AEO 2026 Table 5'!$D$10:$AC$10,0))</f>
        <v>5.7894845008850098</v>
      </c>
      <c r="R52">
        <f>INDEX('AEO 2026 Table 5'!$D$15:$AC$120,25,MATCH(R$1,'AEO 2026 Table 5'!$D$10:$AC$10,0))</f>
        <v>5.8650627136230469</v>
      </c>
      <c r="S52">
        <f>INDEX('AEO 2026 Table 5'!$D$15:$AC$120,25,MATCH(S$1,'AEO 2026 Table 5'!$D$10:$AC$10,0))</f>
        <v>5.9401464462280273</v>
      </c>
      <c r="T52">
        <f>INDEX('AEO 2026 Table 5'!$D$15:$AC$120,25,MATCH(T$1,'AEO 2026 Table 5'!$D$10:$AC$10,0))</f>
        <v>6.0165977478027344</v>
      </c>
      <c r="U52">
        <f>INDEX('AEO 2026 Table 5'!$D$15:$AC$120,25,MATCH(U$1,'AEO 2026 Table 5'!$D$10:$AC$10,0))</f>
        <v>6.0916976928710938</v>
      </c>
      <c r="V52">
        <f>INDEX('AEO 2026 Table 5'!$D$15:$AC$120,25,MATCH(V$1,'AEO 2026 Table 5'!$D$10:$AC$10,0))</f>
        <v>6.1654171943664551</v>
      </c>
      <c r="W52">
        <f>INDEX('AEO 2026 Table 5'!$D$15:$AC$120,25,MATCH(W$1,'AEO 2026 Table 5'!$D$10:$AC$10,0))</f>
        <v>6.2429895401000977</v>
      </c>
      <c r="X52">
        <f>INDEX('AEO 2026 Table 5'!$D$15:$AC$120,25,MATCH(X$1,'AEO 2026 Table 5'!$D$10:$AC$10,0))</f>
        <v>6.3192043304443359</v>
      </c>
      <c r="Y52">
        <f>INDEX('AEO 2026 Table 5'!$D$15:$AC$120,25,MATCH(Y$1,'AEO 2026 Table 5'!$D$10:$AC$10,0))</f>
        <v>6.3979558944702148</v>
      </c>
      <c r="Z52">
        <f>INDEX('AEO 2026 Table 5'!$D$15:$AC$120,25,MATCH(Z$1,'AEO 2026 Table 5'!$D$10:$AC$10,0))</f>
        <v>6.4756464958190918</v>
      </c>
      <c r="AA52">
        <f>INDEX('AEO 2026 Table 5'!$D$15:$AC$120,25,MATCH(AA$1,'AEO 2026 Table 5'!$D$10:$AC$10,0))</f>
        <v>6.5534367561340332</v>
      </c>
      <c r="AB52">
        <f>INDEX('AEO 2026 Table 5'!$D$15:$AC$120,25,MATCH(AB$1,'AEO 2026 Table 5'!$D$10:$AC$10,0))</f>
        <v>6.6249785423278809</v>
      </c>
      <c r="AC52">
        <f>INDEX('AEO 2026 Table 5'!$D$15:$AC$120,25,MATCH(AC$1,'AEO 2026 Table 5'!$D$10:$AC$10,0))</f>
        <v>6.6887631416320801</v>
      </c>
      <c r="AD52">
        <f>INDEX('AEO 2026 Table 5'!$D$15:$AC$120,25,MATCH(AD$1,'AEO 2026 Table 5'!$D$10:$AC$10,0))</f>
        <v>6.7476053237915039</v>
      </c>
      <c r="AE52">
        <f>INDEX('AEO 2026 Table 5'!$D$15:$AC$120,25,MATCH(AE$1,'AEO 2026 Table 5'!$D$10:$AC$10,0))</f>
        <v>6.8043575286865234</v>
      </c>
      <c r="AF52">
        <f>INDEX('AEO 2026 Table 5'!$D$15:$AC$120,25,MATCH(AF$1,'AEO 2026 Table 5'!$D$10:$AC$10,0))</f>
        <v>6.8577513694763184</v>
      </c>
    </row>
    <row r="53" spans="1:32" x14ac:dyDescent="0.25">
      <c r="A53" t="s">
        <v>721</v>
      </c>
      <c r="B53" t="str">
        <f t="shared" si="1"/>
        <v>commercial-heating-natural gas (BTU)</v>
      </c>
      <c r="C53" t="s">
        <v>1060</v>
      </c>
      <c r="D53" t="s">
        <v>1047</v>
      </c>
      <c r="E53" s="1" t="s">
        <v>1055</v>
      </c>
      <c r="F53" s="44">
        <f>INDEX('AEO 2025 Table 5'!$F$8:$AG$102,MATCH('Crosswalk AEO to EPS Summary'!$A53,'AEO 2025 Table 5'!$B$8:$B$102,0),MATCH(F$1,'AEO 2025 Table 5'!$F$5:$AG$5,0))</f>
        <v>1.5374129999999999</v>
      </c>
      <c r="G53">
        <f>INDEX('AEO 2026 Table 5'!$D$15:$AC$120,28,MATCH(G$1,'AEO 2026 Table 5'!$D$10:$AC$10,0))</f>
        <v>1.6773954629898069</v>
      </c>
      <c r="H53">
        <f>INDEX('AEO 2026 Table 5'!$D$15:$AC$120,28,MATCH(H$1,'AEO 2026 Table 5'!$D$10:$AC$10,0))</f>
        <v>1.6589773893356321</v>
      </c>
      <c r="I53">
        <f>INDEX('AEO 2026 Table 5'!$D$15:$AC$120,28,MATCH(I$1,'AEO 2026 Table 5'!$D$10:$AC$10,0))</f>
        <v>1.655333399772644</v>
      </c>
      <c r="J53">
        <f>INDEX('AEO 2026 Table 5'!$D$15:$AC$120,28,MATCH(J$1,'AEO 2026 Table 5'!$D$10:$AC$10,0))</f>
        <v>1.6402128934860229</v>
      </c>
      <c r="K53">
        <f>INDEX('AEO 2026 Table 5'!$D$15:$AC$120,28,MATCH(K$1,'AEO 2026 Table 5'!$D$10:$AC$10,0))</f>
        <v>1.6146227121353149</v>
      </c>
      <c r="L53">
        <f>INDEX('AEO 2026 Table 5'!$D$15:$AC$120,28,MATCH(L$1,'AEO 2026 Table 5'!$D$10:$AC$10,0))</f>
        <v>1.585396289825439</v>
      </c>
      <c r="M53">
        <f>INDEX('AEO 2026 Table 5'!$D$15:$AC$120,28,MATCH(M$1,'AEO 2026 Table 5'!$D$10:$AC$10,0))</f>
        <v>1.558152914047241</v>
      </c>
      <c r="N53">
        <f>INDEX('AEO 2026 Table 5'!$D$15:$AC$120,28,MATCH(N$1,'AEO 2026 Table 5'!$D$10:$AC$10,0))</f>
        <v>1.5396790504455571</v>
      </c>
      <c r="O53">
        <f>INDEX('AEO 2026 Table 5'!$D$15:$AC$120,28,MATCH(O$1,'AEO 2026 Table 5'!$D$10:$AC$10,0))</f>
        <v>1.525580048561096</v>
      </c>
      <c r="P53">
        <f>INDEX('AEO 2026 Table 5'!$D$15:$AC$120,28,MATCH(P$1,'AEO 2026 Table 5'!$D$10:$AC$10,0))</f>
        <v>1.514997720718384</v>
      </c>
      <c r="Q53">
        <f>INDEX('AEO 2026 Table 5'!$D$15:$AC$120,28,MATCH(Q$1,'AEO 2026 Table 5'!$D$10:$AC$10,0))</f>
        <v>1.504150867462158</v>
      </c>
      <c r="R53">
        <f>INDEX('AEO 2026 Table 5'!$D$15:$AC$120,28,MATCH(R$1,'AEO 2026 Table 5'!$D$10:$AC$10,0))</f>
        <v>1.4947488307952881</v>
      </c>
      <c r="S53">
        <f>INDEX('AEO 2026 Table 5'!$D$15:$AC$120,28,MATCH(S$1,'AEO 2026 Table 5'!$D$10:$AC$10,0))</f>
        <v>1.48476254940033</v>
      </c>
      <c r="T53">
        <f>INDEX('AEO 2026 Table 5'!$D$15:$AC$120,28,MATCH(T$1,'AEO 2026 Table 5'!$D$10:$AC$10,0))</f>
        <v>1.4748086929321289</v>
      </c>
      <c r="U53">
        <f>INDEX('AEO 2026 Table 5'!$D$15:$AC$120,28,MATCH(U$1,'AEO 2026 Table 5'!$D$10:$AC$10,0))</f>
        <v>1.4642318487167361</v>
      </c>
      <c r="V53">
        <f>INDEX('AEO 2026 Table 5'!$D$15:$AC$120,28,MATCH(V$1,'AEO 2026 Table 5'!$D$10:$AC$10,0))</f>
        <v>1.4538170099258421</v>
      </c>
      <c r="W53">
        <f>INDEX('AEO 2026 Table 5'!$D$15:$AC$120,28,MATCH(W$1,'AEO 2026 Table 5'!$D$10:$AC$10,0))</f>
        <v>1.443761348724365</v>
      </c>
      <c r="X53">
        <f>INDEX('AEO 2026 Table 5'!$D$15:$AC$120,28,MATCH(X$1,'AEO 2026 Table 5'!$D$10:$AC$10,0))</f>
        <v>1.435541152954102</v>
      </c>
      <c r="Y53">
        <f>INDEX('AEO 2026 Table 5'!$D$15:$AC$120,28,MATCH(Y$1,'AEO 2026 Table 5'!$D$10:$AC$10,0))</f>
        <v>1.4277917146682739</v>
      </c>
      <c r="Z53">
        <f>INDEX('AEO 2026 Table 5'!$D$15:$AC$120,28,MATCH(Z$1,'AEO 2026 Table 5'!$D$10:$AC$10,0))</f>
        <v>1.4207719564437871</v>
      </c>
      <c r="AA53">
        <f>INDEX('AEO 2026 Table 5'!$D$15:$AC$120,28,MATCH(AA$1,'AEO 2026 Table 5'!$D$10:$AC$10,0))</f>
        <v>1.4132452011108401</v>
      </c>
      <c r="AB53">
        <f>INDEX('AEO 2026 Table 5'!$D$15:$AC$120,28,MATCH(AB$1,'AEO 2026 Table 5'!$D$10:$AC$10,0))</f>
        <v>1.403234720230103</v>
      </c>
      <c r="AC53">
        <f>INDEX('AEO 2026 Table 5'!$D$15:$AC$120,28,MATCH(AC$1,'AEO 2026 Table 5'!$D$10:$AC$10,0))</f>
        <v>1.391638040542603</v>
      </c>
      <c r="AD53">
        <f>INDEX('AEO 2026 Table 5'!$D$15:$AC$120,28,MATCH(AD$1,'AEO 2026 Table 5'!$D$10:$AC$10,0))</f>
        <v>1.379733562469482</v>
      </c>
      <c r="AE53">
        <f>INDEX('AEO 2026 Table 5'!$D$15:$AC$120,28,MATCH(AE$1,'AEO 2026 Table 5'!$D$10:$AC$10,0))</f>
        <v>1.3678485155105591</v>
      </c>
      <c r="AF53">
        <f>INDEX('AEO 2026 Table 5'!$D$15:$AC$120,28,MATCH(AF$1,'AEO 2026 Table 5'!$D$10:$AC$10,0))</f>
        <v>1.356255054473877</v>
      </c>
    </row>
    <row r="54" spans="1:32" x14ac:dyDescent="0.25">
      <c r="A54" t="s">
        <v>723</v>
      </c>
      <c r="B54" t="str">
        <f t="shared" si="1"/>
        <v>commercial-cooling-natural gas (BTU)</v>
      </c>
      <c r="C54" t="s">
        <v>1060</v>
      </c>
      <c r="D54" t="s">
        <v>1049</v>
      </c>
      <c r="E54" s="1" t="s">
        <v>1055</v>
      </c>
      <c r="F54" s="44">
        <f>INDEX('AEO 2025 Table 5'!$F$8:$AG$102,MATCH('Crosswalk AEO to EPS Summary'!$A54,'AEO 2025 Table 5'!$B$8:$B$102,0),MATCH(F$1,'AEO 2025 Table 5'!$F$5:$AG$5,0))</f>
        <v>1.8319999999999999E-2</v>
      </c>
      <c r="G54">
        <f>INDEX('AEO 2026 Table 5'!$D$15:$AC$120,29,MATCH(G$1,'AEO 2026 Table 5'!$D$10:$AC$10,0))</f>
        <v>1.5692310407757759E-2</v>
      </c>
      <c r="H54">
        <f>INDEX('AEO 2026 Table 5'!$D$15:$AC$120,29,MATCH(H$1,'AEO 2026 Table 5'!$D$10:$AC$10,0))</f>
        <v>1.7611738294363018E-2</v>
      </c>
      <c r="I54">
        <f>INDEX('AEO 2026 Table 5'!$D$15:$AC$120,29,MATCH(I$1,'AEO 2026 Table 5'!$D$10:$AC$10,0))</f>
        <v>1.7944717779755589E-2</v>
      </c>
      <c r="J54">
        <f>INDEX('AEO 2026 Table 5'!$D$15:$AC$120,29,MATCH(J$1,'AEO 2026 Table 5'!$D$10:$AC$10,0))</f>
        <v>1.8168630078434941E-2</v>
      </c>
      <c r="K54">
        <f>INDEX('AEO 2026 Table 5'!$D$15:$AC$120,29,MATCH(K$1,'AEO 2026 Table 5'!$D$10:$AC$10,0))</f>
        <v>1.8287289887666699E-2</v>
      </c>
      <c r="L54">
        <f>INDEX('AEO 2026 Table 5'!$D$15:$AC$120,29,MATCH(L$1,'AEO 2026 Table 5'!$D$10:$AC$10,0))</f>
        <v>1.839173398911953E-2</v>
      </c>
      <c r="M54">
        <f>INDEX('AEO 2026 Table 5'!$D$15:$AC$120,29,MATCH(M$1,'AEO 2026 Table 5'!$D$10:$AC$10,0))</f>
        <v>1.8555257469415661E-2</v>
      </c>
      <c r="N54">
        <f>INDEX('AEO 2026 Table 5'!$D$15:$AC$120,29,MATCH(N$1,'AEO 2026 Table 5'!$D$10:$AC$10,0))</f>
        <v>1.8871057778596882E-2</v>
      </c>
      <c r="O54">
        <f>INDEX('AEO 2026 Table 5'!$D$15:$AC$120,29,MATCH(O$1,'AEO 2026 Table 5'!$D$10:$AC$10,0))</f>
        <v>1.9279817119240761E-2</v>
      </c>
      <c r="P54">
        <f>INDEX('AEO 2026 Table 5'!$D$15:$AC$120,29,MATCH(P$1,'AEO 2026 Table 5'!$D$10:$AC$10,0))</f>
        <v>1.978542655706406E-2</v>
      </c>
      <c r="Q54">
        <f>INDEX('AEO 2026 Table 5'!$D$15:$AC$120,29,MATCH(Q$1,'AEO 2026 Table 5'!$D$10:$AC$10,0))</f>
        <v>2.0337725058197979E-2</v>
      </c>
      <c r="R54">
        <f>INDEX('AEO 2026 Table 5'!$D$15:$AC$120,29,MATCH(R$1,'AEO 2026 Table 5'!$D$10:$AC$10,0))</f>
        <v>2.0947156473994259E-2</v>
      </c>
      <c r="S54">
        <f>INDEX('AEO 2026 Table 5'!$D$15:$AC$120,29,MATCH(S$1,'AEO 2026 Table 5'!$D$10:$AC$10,0))</f>
        <v>2.16028206050396E-2</v>
      </c>
      <c r="T54">
        <f>INDEX('AEO 2026 Table 5'!$D$15:$AC$120,29,MATCH(T$1,'AEO 2026 Table 5'!$D$10:$AC$10,0))</f>
        <v>2.2291727364063259E-2</v>
      </c>
      <c r="U54">
        <f>INDEX('AEO 2026 Table 5'!$D$15:$AC$120,29,MATCH(U$1,'AEO 2026 Table 5'!$D$10:$AC$10,0))</f>
        <v>2.3007044568657879E-2</v>
      </c>
      <c r="V54">
        <f>INDEX('AEO 2026 Table 5'!$D$15:$AC$120,29,MATCH(V$1,'AEO 2026 Table 5'!$D$10:$AC$10,0))</f>
        <v>2.3771090433001522E-2</v>
      </c>
      <c r="W54">
        <f>INDEX('AEO 2026 Table 5'!$D$15:$AC$120,29,MATCH(W$1,'AEO 2026 Table 5'!$D$10:$AC$10,0))</f>
        <v>2.4567574262619019E-2</v>
      </c>
      <c r="X54">
        <f>INDEX('AEO 2026 Table 5'!$D$15:$AC$120,29,MATCH(X$1,'AEO 2026 Table 5'!$D$10:$AC$10,0))</f>
        <v>2.5421241298317909E-2</v>
      </c>
      <c r="Y54">
        <f>INDEX('AEO 2026 Table 5'!$D$15:$AC$120,29,MATCH(Y$1,'AEO 2026 Table 5'!$D$10:$AC$10,0))</f>
        <v>2.632622979581356E-2</v>
      </c>
      <c r="Z54">
        <f>INDEX('AEO 2026 Table 5'!$D$15:$AC$120,29,MATCH(Z$1,'AEO 2026 Table 5'!$D$10:$AC$10,0))</f>
        <v>2.7284827083349231E-2</v>
      </c>
      <c r="AA54">
        <f>INDEX('AEO 2026 Table 5'!$D$15:$AC$120,29,MATCH(AA$1,'AEO 2026 Table 5'!$D$10:$AC$10,0))</f>
        <v>2.829787693917751E-2</v>
      </c>
      <c r="AB54">
        <f>INDEX('AEO 2026 Table 5'!$D$15:$AC$120,29,MATCH(AB$1,'AEO 2026 Table 5'!$D$10:$AC$10,0))</f>
        <v>2.9311478137969971E-2</v>
      </c>
      <c r="AC54">
        <f>INDEX('AEO 2026 Table 5'!$D$15:$AC$120,29,MATCH(AC$1,'AEO 2026 Table 5'!$D$10:$AC$10,0))</f>
        <v>3.0355546623468399E-2</v>
      </c>
      <c r="AD54">
        <f>INDEX('AEO 2026 Table 5'!$D$15:$AC$120,29,MATCH(AD$1,'AEO 2026 Table 5'!$D$10:$AC$10,0))</f>
        <v>3.1434997916221619E-2</v>
      </c>
      <c r="AE54">
        <f>INDEX('AEO 2026 Table 5'!$D$15:$AC$120,29,MATCH(AE$1,'AEO 2026 Table 5'!$D$10:$AC$10,0))</f>
        <v>3.2569676637649543E-2</v>
      </c>
      <c r="AF54">
        <f>INDEX('AEO 2026 Table 5'!$D$15:$AC$120,29,MATCH(AF$1,'AEO 2026 Table 5'!$D$10:$AC$10,0))</f>
        <v>3.3763069659471512E-2</v>
      </c>
    </row>
    <row r="55" spans="1:32" x14ac:dyDescent="0.25">
      <c r="A55" t="s">
        <v>725</v>
      </c>
      <c r="B55" t="str">
        <f t="shared" si="1"/>
        <v>commercial-appliances-natural gas (BTU)</v>
      </c>
      <c r="C55" t="s">
        <v>1060</v>
      </c>
      <c r="D55" t="s">
        <v>1050</v>
      </c>
      <c r="E55" s="1" t="s">
        <v>1055</v>
      </c>
      <c r="F55" s="44">
        <f>INDEX('AEO 2025 Table 5'!$F$8:$AG$102,MATCH('Crosswalk AEO to EPS Summary'!$A55,'AEO 2025 Table 5'!$B$8:$B$102,0),MATCH(F$1,'AEO 2025 Table 5'!$F$5:$AG$5,0))</f>
        <v>0.26994499999999999</v>
      </c>
      <c r="G55">
        <f>INDEX('AEO 2026 Table 5'!$D$15:$AC$120,30,MATCH(G$1,'AEO 2026 Table 5'!$D$10:$AC$10,0))</f>
        <v>0.27396970987319952</v>
      </c>
      <c r="H55">
        <f>INDEX('AEO 2026 Table 5'!$D$15:$AC$120,30,MATCH(H$1,'AEO 2026 Table 5'!$D$10:$AC$10,0))</f>
        <v>0.28034082055091858</v>
      </c>
      <c r="I55">
        <f>INDEX('AEO 2026 Table 5'!$D$15:$AC$120,30,MATCH(I$1,'AEO 2026 Table 5'!$D$10:$AC$10,0))</f>
        <v>0.28301820158958441</v>
      </c>
      <c r="J55">
        <f>INDEX('AEO 2026 Table 5'!$D$15:$AC$120,30,MATCH(J$1,'AEO 2026 Table 5'!$D$10:$AC$10,0))</f>
        <v>0.28370055556297302</v>
      </c>
      <c r="K55">
        <f>INDEX('AEO 2026 Table 5'!$D$15:$AC$120,30,MATCH(K$1,'AEO 2026 Table 5'!$D$10:$AC$10,0))</f>
        <v>0.28280740976333618</v>
      </c>
      <c r="L55">
        <f>INDEX('AEO 2026 Table 5'!$D$15:$AC$120,30,MATCH(L$1,'AEO 2026 Table 5'!$D$10:$AC$10,0))</f>
        <v>0.28132256865501398</v>
      </c>
      <c r="M55">
        <f>INDEX('AEO 2026 Table 5'!$D$15:$AC$120,30,MATCH(M$1,'AEO 2026 Table 5'!$D$10:$AC$10,0))</f>
        <v>0.28013831377029419</v>
      </c>
      <c r="N55">
        <f>INDEX('AEO 2026 Table 5'!$D$15:$AC$120,30,MATCH(N$1,'AEO 2026 Table 5'!$D$10:$AC$10,0))</f>
        <v>0.28065657615661621</v>
      </c>
      <c r="O55">
        <f>INDEX('AEO 2026 Table 5'!$D$15:$AC$120,30,MATCH(O$1,'AEO 2026 Table 5'!$D$10:$AC$10,0))</f>
        <v>0.28179177641868591</v>
      </c>
      <c r="P55">
        <f>INDEX('AEO 2026 Table 5'!$D$15:$AC$120,30,MATCH(P$1,'AEO 2026 Table 5'!$D$10:$AC$10,0))</f>
        <v>0.28385654091835022</v>
      </c>
      <c r="Q55">
        <f>INDEX('AEO 2026 Table 5'!$D$15:$AC$120,30,MATCH(Q$1,'AEO 2026 Table 5'!$D$10:$AC$10,0))</f>
        <v>0.28609967231750488</v>
      </c>
      <c r="R55">
        <f>INDEX('AEO 2026 Table 5'!$D$15:$AC$120,30,MATCH(R$1,'AEO 2026 Table 5'!$D$10:$AC$10,0))</f>
        <v>0.28878262639045721</v>
      </c>
      <c r="S55">
        <f>INDEX('AEO 2026 Table 5'!$D$15:$AC$120,30,MATCH(S$1,'AEO 2026 Table 5'!$D$10:$AC$10,0))</f>
        <v>0.29144948720932012</v>
      </c>
      <c r="T55">
        <f>INDEX('AEO 2026 Table 5'!$D$15:$AC$120,30,MATCH(T$1,'AEO 2026 Table 5'!$D$10:$AC$10,0))</f>
        <v>0.29413104057312012</v>
      </c>
      <c r="U55">
        <f>INDEX('AEO 2026 Table 5'!$D$15:$AC$120,30,MATCH(U$1,'AEO 2026 Table 5'!$D$10:$AC$10,0))</f>
        <v>0.29673013091087341</v>
      </c>
      <c r="V55">
        <f>INDEX('AEO 2026 Table 5'!$D$15:$AC$120,30,MATCH(V$1,'AEO 2026 Table 5'!$D$10:$AC$10,0))</f>
        <v>0.299366295337677</v>
      </c>
      <c r="W55">
        <f>INDEX('AEO 2026 Table 5'!$D$15:$AC$120,30,MATCH(W$1,'AEO 2026 Table 5'!$D$10:$AC$10,0))</f>
        <v>0.30216354131698608</v>
      </c>
      <c r="X55">
        <f>INDEX('AEO 2026 Table 5'!$D$15:$AC$120,30,MATCH(X$1,'AEO 2026 Table 5'!$D$10:$AC$10,0))</f>
        <v>0.30531713366508478</v>
      </c>
      <c r="Y55">
        <f>INDEX('AEO 2026 Table 5'!$D$15:$AC$120,30,MATCH(Y$1,'AEO 2026 Table 5'!$D$10:$AC$10,0))</f>
        <v>0.30862829089164728</v>
      </c>
      <c r="Z55">
        <f>INDEX('AEO 2026 Table 5'!$D$15:$AC$120,30,MATCH(Z$1,'AEO 2026 Table 5'!$D$10:$AC$10,0))</f>
        <v>0.31213518977165222</v>
      </c>
      <c r="AA55">
        <f>INDEX('AEO 2026 Table 5'!$D$15:$AC$120,30,MATCH(AA$1,'AEO 2026 Table 5'!$D$10:$AC$10,0))</f>
        <v>0.31552162766456598</v>
      </c>
      <c r="AB55">
        <f>INDEX('AEO 2026 Table 5'!$D$15:$AC$120,30,MATCH(AB$1,'AEO 2026 Table 5'!$D$10:$AC$10,0))</f>
        <v>0.31842884421348572</v>
      </c>
      <c r="AC55">
        <f>INDEX('AEO 2026 Table 5'!$D$15:$AC$120,30,MATCH(AC$1,'AEO 2026 Table 5'!$D$10:$AC$10,0))</f>
        <v>0.32100528478622442</v>
      </c>
      <c r="AD55">
        <f>INDEX('AEO 2026 Table 5'!$D$15:$AC$120,30,MATCH(AD$1,'AEO 2026 Table 5'!$D$10:$AC$10,0))</f>
        <v>0.3234659731388092</v>
      </c>
      <c r="AE55">
        <f>INDEX('AEO 2026 Table 5'!$D$15:$AC$120,30,MATCH(AE$1,'AEO 2026 Table 5'!$D$10:$AC$10,0))</f>
        <v>0.32592290639877319</v>
      </c>
      <c r="AF55">
        <f>INDEX('AEO 2026 Table 5'!$D$15:$AC$120,30,MATCH(AF$1,'AEO 2026 Table 5'!$D$10:$AC$10,0))</f>
        <v>0.32842874526977539</v>
      </c>
    </row>
    <row r="56" spans="1:32" x14ac:dyDescent="0.25">
      <c r="A56" t="s">
        <v>727</v>
      </c>
      <c r="B56" t="str">
        <f t="shared" si="1"/>
        <v>commercial-appliances-natural gas (BTU)</v>
      </c>
      <c r="C56" t="s">
        <v>1060</v>
      </c>
      <c r="D56" t="s">
        <v>1050</v>
      </c>
      <c r="E56" s="1" t="s">
        <v>1055</v>
      </c>
      <c r="F56" s="44">
        <f>INDEX('AEO 2025 Table 5'!$F$8:$AG$102,MATCH('Crosswalk AEO to EPS Summary'!$A56,'AEO 2025 Table 5'!$B$8:$B$102,0),MATCH(F$1,'AEO 2025 Table 5'!$F$5:$AG$5,0))</f>
        <v>0.40088299999999999</v>
      </c>
      <c r="G56">
        <f>INDEX('AEO 2026 Table 5'!$D$15:$AC$120,31,MATCH(G$1,'AEO 2026 Table 5'!$D$10:$AC$10,0))</f>
        <v>0.40539014339447021</v>
      </c>
      <c r="H56">
        <f>INDEX('AEO 2026 Table 5'!$D$15:$AC$120,31,MATCH(H$1,'AEO 2026 Table 5'!$D$10:$AC$10,0))</f>
        <v>0.41269847750663757</v>
      </c>
      <c r="I56">
        <f>INDEX('AEO 2026 Table 5'!$D$15:$AC$120,31,MATCH(I$1,'AEO 2026 Table 5'!$D$10:$AC$10,0))</f>
        <v>0.41620051860809332</v>
      </c>
      <c r="J56">
        <f>INDEX('AEO 2026 Table 5'!$D$15:$AC$120,31,MATCH(J$1,'AEO 2026 Table 5'!$D$10:$AC$10,0))</f>
        <v>0.4167693555355072</v>
      </c>
      <c r="K56">
        <f>INDEX('AEO 2026 Table 5'!$D$15:$AC$120,31,MATCH(K$1,'AEO 2026 Table 5'!$D$10:$AC$10,0))</f>
        <v>0.41515323519706732</v>
      </c>
      <c r="L56">
        <f>INDEX('AEO 2026 Table 5'!$D$15:$AC$120,31,MATCH(L$1,'AEO 2026 Table 5'!$D$10:$AC$10,0))</f>
        <v>0.41260257363319403</v>
      </c>
      <c r="M56">
        <f>INDEX('AEO 2026 Table 5'!$D$15:$AC$120,31,MATCH(M$1,'AEO 2026 Table 5'!$D$10:$AC$10,0))</f>
        <v>0.4105217456817627</v>
      </c>
      <c r="N56">
        <f>INDEX('AEO 2026 Table 5'!$D$15:$AC$120,31,MATCH(N$1,'AEO 2026 Table 5'!$D$10:$AC$10,0))</f>
        <v>0.41081517934799189</v>
      </c>
      <c r="O56">
        <f>INDEX('AEO 2026 Table 5'!$D$15:$AC$120,31,MATCH(O$1,'AEO 2026 Table 5'!$D$10:$AC$10,0))</f>
        <v>0.41202756762504578</v>
      </c>
      <c r="P56">
        <f>INDEX('AEO 2026 Table 5'!$D$15:$AC$120,31,MATCH(P$1,'AEO 2026 Table 5'!$D$10:$AC$10,0))</f>
        <v>0.41451823711395258</v>
      </c>
      <c r="Q56">
        <f>INDEX('AEO 2026 Table 5'!$D$15:$AC$120,31,MATCH(Q$1,'AEO 2026 Table 5'!$D$10:$AC$10,0))</f>
        <v>0.41720250248909002</v>
      </c>
      <c r="R56">
        <f>INDEX('AEO 2026 Table 5'!$D$15:$AC$120,31,MATCH(R$1,'AEO 2026 Table 5'!$D$10:$AC$10,0))</f>
        <v>0.42046648263931269</v>
      </c>
      <c r="S56">
        <f>INDEX('AEO 2026 Table 5'!$D$15:$AC$120,31,MATCH(S$1,'AEO 2026 Table 5'!$D$10:$AC$10,0))</f>
        <v>0.42367342114448547</v>
      </c>
      <c r="T56">
        <f>INDEX('AEO 2026 Table 5'!$D$15:$AC$120,31,MATCH(T$1,'AEO 2026 Table 5'!$D$10:$AC$10,0))</f>
        <v>0.42686823010444641</v>
      </c>
      <c r="U56">
        <f>INDEX('AEO 2026 Table 5'!$D$15:$AC$120,31,MATCH(U$1,'AEO 2026 Table 5'!$D$10:$AC$10,0))</f>
        <v>0.42989811301231379</v>
      </c>
      <c r="V56">
        <f>INDEX('AEO 2026 Table 5'!$D$15:$AC$120,31,MATCH(V$1,'AEO 2026 Table 5'!$D$10:$AC$10,0))</f>
        <v>0.43293362855911249</v>
      </c>
      <c r="W56">
        <f>INDEX('AEO 2026 Table 5'!$D$15:$AC$120,31,MATCH(W$1,'AEO 2026 Table 5'!$D$10:$AC$10,0))</f>
        <v>0.43624541163444519</v>
      </c>
      <c r="X56">
        <f>INDEX('AEO 2026 Table 5'!$D$15:$AC$120,31,MATCH(X$1,'AEO 2026 Table 5'!$D$10:$AC$10,0))</f>
        <v>0.4400576651096344</v>
      </c>
      <c r="Y56">
        <f>INDEX('AEO 2026 Table 5'!$D$15:$AC$120,31,MATCH(Y$1,'AEO 2026 Table 5'!$D$10:$AC$10,0))</f>
        <v>0.44407555460929871</v>
      </c>
      <c r="Z56">
        <f>INDEX('AEO 2026 Table 5'!$D$15:$AC$120,31,MATCH(Z$1,'AEO 2026 Table 5'!$D$10:$AC$10,0))</f>
        <v>0.44835063815116882</v>
      </c>
      <c r="AA56">
        <f>INDEX('AEO 2026 Table 5'!$D$15:$AC$120,31,MATCH(AA$1,'AEO 2026 Table 5'!$D$10:$AC$10,0))</f>
        <v>0.4524155855178833</v>
      </c>
      <c r="AB56">
        <f>INDEX('AEO 2026 Table 5'!$D$15:$AC$120,31,MATCH(AB$1,'AEO 2026 Table 5'!$D$10:$AC$10,0))</f>
        <v>0.45573797821998602</v>
      </c>
      <c r="AC56">
        <f>INDEX('AEO 2026 Table 5'!$D$15:$AC$120,31,MATCH(AC$1,'AEO 2026 Table 5'!$D$10:$AC$10,0))</f>
        <v>0.45854222774505621</v>
      </c>
      <c r="AD56">
        <f>INDEX('AEO 2026 Table 5'!$D$15:$AC$120,31,MATCH(AD$1,'AEO 2026 Table 5'!$D$10:$AC$10,0))</f>
        <v>0.46114656329154968</v>
      </c>
      <c r="AE56">
        <f>INDEX('AEO 2026 Table 5'!$D$15:$AC$120,31,MATCH(AE$1,'AEO 2026 Table 5'!$D$10:$AC$10,0))</f>
        <v>0.46372115612030029</v>
      </c>
      <c r="AF56">
        <f>INDEX('AEO 2026 Table 5'!$D$15:$AC$120,31,MATCH(AF$1,'AEO 2026 Table 5'!$D$10:$AC$10,0))</f>
        <v>0.46634387969970698</v>
      </c>
    </row>
    <row r="57" spans="1:32" x14ac:dyDescent="0.25">
      <c r="A57" t="s">
        <v>729</v>
      </c>
      <c r="B57" t="str">
        <f t="shared" si="1"/>
        <v>commercial-other-natural gas (BTU)</v>
      </c>
      <c r="C57" t="s">
        <v>1060</v>
      </c>
      <c r="D57" t="s">
        <v>1052</v>
      </c>
      <c r="E57" s="1" t="s">
        <v>1055</v>
      </c>
      <c r="F57" s="44">
        <f>INDEX('AEO 2025 Table 5'!$F$8:$AG$102,MATCH('Crosswalk AEO to EPS Summary'!$A57,'AEO 2025 Table 5'!$B$8:$B$102,0),MATCH(F$1,'AEO 2025 Table 5'!$F$5:$AG$5,0))</f>
        <v>1.200143</v>
      </c>
      <c r="G57">
        <f>INDEX('AEO 2026 Table 5'!$D$15:$AC$120,32,MATCH(G$1,'AEO 2026 Table 5'!$D$10:$AC$10,0))</f>
        <v>1.267356395721436</v>
      </c>
      <c r="H57">
        <f>INDEX('AEO 2026 Table 5'!$D$15:$AC$120,32,MATCH(H$1,'AEO 2026 Table 5'!$D$10:$AC$10,0))</f>
        <v>1.194332599639893</v>
      </c>
      <c r="I57">
        <f>INDEX('AEO 2026 Table 5'!$D$15:$AC$120,32,MATCH(I$1,'AEO 2026 Table 5'!$D$10:$AC$10,0))</f>
        <v>1.199043273925781</v>
      </c>
      <c r="J57">
        <f>INDEX('AEO 2026 Table 5'!$D$15:$AC$120,32,MATCH(J$1,'AEO 2026 Table 5'!$D$10:$AC$10,0))</f>
        <v>1.1970863342285161</v>
      </c>
      <c r="K57">
        <f>INDEX('AEO 2026 Table 5'!$D$15:$AC$120,32,MATCH(K$1,'AEO 2026 Table 5'!$D$10:$AC$10,0))</f>
        <v>1.188332796096802</v>
      </c>
      <c r="L57">
        <f>INDEX('AEO 2026 Table 5'!$D$15:$AC$120,32,MATCH(L$1,'AEO 2026 Table 5'!$D$10:$AC$10,0))</f>
        <v>1.177144050598145</v>
      </c>
      <c r="M57">
        <f>INDEX('AEO 2026 Table 5'!$D$15:$AC$120,32,MATCH(M$1,'AEO 2026 Table 5'!$D$10:$AC$10,0))</f>
        <v>1.1660845279693599</v>
      </c>
      <c r="N57">
        <f>INDEX('AEO 2026 Table 5'!$D$15:$AC$120,32,MATCH(N$1,'AEO 2026 Table 5'!$D$10:$AC$10,0))</f>
        <v>1.1606681346893311</v>
      </c>
      <c r="O57">
        <f>INDEX('AEO 2026 Table 5'!$D$15:$AC$120,32,MATCH(O$1,'AEO 2026 Table 5'!$D$10:$AC$10,0))</f>
        <v>1.157207250595093</v>
      </c>
      <c r="P57">
        <f>INDEX('AEO 2026 Table 5'!$D$15:$AC$120,32,MATCH(P$1,'AEO 2026 Table 5'!$D$10:$AC$10,0))</f>
        <v>1.156333923339844</v>
      </c>
      <c r="Q57">
        <f>INDEX('AEO 2026 Table 5'!$D$15:$AC$120,32,MATCH(Q$1,'AEO 2026 Table 5'!$D$10:$AC$10,0))</f>
        <v>1.155312299728394</v>
      </c>
      <c r="R57">
        <f>INDEX('AEO 2026 Table 5'!$D$15:$AC$120,32,MATCH(R$1,'AEO 2026 Table 5'!$D$10:$AC$10,0))</f>
        <v>1.1553342342376709</v>
      </c>
      <c r="S57">
        <f>INDEX('AEO 2026 Table 5'!$D$15:$AC$120,32,MATCH(S$1,'AEO 2026 Table 5'!$D$10:$AC$10,0))</f>
        <v>1.1551671028137209</v>
      </c>
      <c r="T57">
        <f>INDEX('AEO 2026 Table 5'!$D$15:$AC$120,32,MATCH(T$1,'AEO 2026 Table 5'!$D$10:$AC$10,0))</f>
        <v>1.1551246643066411</v>
      </c>
      <c r="U57">
        <f>INDEX('AEO 2026 Table 5'!$D$15:$AC$120,32,MATCH(U$1,'AEO 2026 Table 5'!$D$10:$AC$10,0))</f>
        <v>1.154979467391968</v>
      </c>
      <c r="V57">
        <f>INDEX('AEO 2026 Table 5'!$D$15:$AC$120,32,MATCH(V$1,'AEO 2026 Table 5'!$D$10:$AC$10,0))</f>
        <v>1.155163049697876</v>
      </c>
      <c r="W57">
        <f>INDEX('AEO 2026 Table 5'!$D$15:$AC$120,32,MATCH(W$1,'AEO 2026 Table 5'!$D$10:$AC$10,0))</f>
        <v>1.1555249691009519</v>
      </c>
      <c r="X57">
        <f>INDEX('AEO 2026 Table 5'!$D$15:$AC$120,32,MATCH(X$1,'AEO 2026 Table 5'!$D$10:$AC$10,0))</f>
        <v>1.157366037368774</v>
      </c>
      <c r="Y57">
        <f>INDEX('AEO 2026 Table 5'!$D$15:$AC$120,32,MATCH(Y$1,'AEO 2026 Table 5'!$D$10:$AC$10,0))</f>
        <v>1.1597251892089839</v>
      </c>
      <c r="Z57">
        <f>INDEX('AEO 2026 Table 5'!$D$15:$AC$120,32,MATCH(Z$1,'AEO 2026 Table 5'!$D$10:$AC$10,0))</f>
        <v>1.1629612445831301</v>
      </c>
      <c r="AA57">
        <f>INDEX('AEO 2026 Table 5'!$D$15:$AC$120,32,MATCH(AA$1,'AEO 2026 Table 5'!$D$10:$AC$10,0))</f>
        <v>1.165869474411011</v>
      </c>
      <c r="AB57">
        <f>INDEX('AEO 2026 Table 5'!$D$15:$AC$120,32,MATCH(AB$1,'AEO 2026 Table 5'!$D$10:$AC$10,0))</f>
        <v>1.1673815250396731</v>
      </c>
      <c r="AC57">
        <f>INDEX('AEO 2026 Table 5'!$D$15:$AC$120,32,MATCH(AC$1,'AEO 2026 Table 5'!$D$10:$AC$10,0))</f>
        <v>1.1680183410644529</v>
      </c>
      <c r="AD57">
        <f>INDEX('AEO 2026 Table 5'!$D$15:$AC$120,32,MATCH(AD$1,'AEO 2026 Table 5'!$D$10:$AC$10,0))</f>
        <v>1.1684195995330811</v>
      </c>
      <c r="AE57">
        <f>INDEX('AEO 2026 Table 5'!$D$15:$AC$120,32,MATCH(AE$1,'AEO 2026 Table 5'!$D$10:$AC$10,0))</f>
        <v>1.1688694953918459</v>
      </c>
      <c r="AF57">
        <f>INDEX('AEO 2026 Table 5'!$D$15:$AC$120,32,MATCH(AF$1,'AEO 2026 Table 5'!$D$10:$AC$10,0))</f>
        <v>1.1696515083312991</v>
      </c>
    </row>
    <row r="58" spans="1:32" x14ac:dyDescent="0.25">
      <c r="A58" t="s">
        <v>731</v>
      </c>
      <c r="B58" t="str">
        <f t="shared" si="1"/>
        <v>commercial-total-natural gas (BTU)</v>
      </c>
      <c r="C58" t="s">
        <v>1060</v>
      </c>
      <c r="D58" t="s">
        <v>1053</v>
      </c>
      <c r="E58" s="1" t="s">
        <v>1055</v>
      </c>
      <c r="F58" s="44">
        <f>INDEX('AEO 2025 Table 5'!$F$8:$AG$102,MATCH('Crosswalk AEO to EPS Summary'!$A58,'AEO 2025 Table 5'!$B$8:$B$102,0),MATCH(F$1,'AEO 2025 Table 5'!$F$5:$AG$5,0))</f>
        <v>3.426704</v>
      </c>
      <c r="G58">
        <f>INDEX('AEO 2026 Table 5'!$D$15:$AC$120,33,MATCH(G$1,'AEO 2026 Table 5'!$D$10:$AC$10,0))</f>
        <v>3.6398038864135742</v>
      </c>
      <c r="H58">
        <f>INDEX('AEO 2026 Table 5'!$D$15:$AC$120,33,MATCH(H$1,'AEO 2026 Table 5'!$D$10:$AC$10,0))</f>
        <v>3.5639610290527339</v>
      </c>
      <c r="I58">
        <f>INDEX('AEO 2026 Table 5'!$D$15:$AC$120,33,MATCH(I$1,'AEO 2026 Table 5'!$D$10:$AC$10,0))</f>
        <v>3.5715401172637939</v>
      </c>
      <c r="J58">
        <f>INDEX('AEO 2026 Table 5'!$D$15:$AC$120,33,MATCH(J$1,'AEO 2026 Table 5'!$D$10:$AC$10,0))</f>
        <v>3.555937767028809</v>
      </c>
      <c r="K58">
        <f>INDEX('AEO 2026 Table 5'!$D$15:$AC$120,33,MATCH(K$1,'AEO 2026 Table 5'!$D$10:$AC$10,0))</f>
        <v>3.5192034244537349</v>
      </c>
      <c r="L58">
        <f>INDEX('AEO 2026 Table 5'!$D$15:$AC$120,33,MATCH(L$1,'AEO 2026 Table 5'!$D$10:$AC$10,0))</f>
        <v>3.4748573303222661</v>
      </c>
      <c r="M58">
        <f>INDEX('AEO 2026 Table 5'!$D$15:$AC$120,33,MATCH(M$1,'AEO 2026 Table 5'!$D$10:$AC$10,0))</f>
        <v>3.433452844619751</v>
      </c>
      <c r="N58">
        <f>INDEX('AEO 2026 Table 5'!$D$15:$AC$120,33,MATCH(N$1,'AEO 2026 Table 5'!$D$10:$AC$10,0))</f>
        <v>3.410690069198608</v>
      </c>
      <c r="O58">
        <f>INDEX('AEO 2026 Table 5'!$D$15:$AC$120,33,MATCH(O$1,'AEO 2026 Table 5'!$D$10:$AC$10,0))</f>
        <v>3.3958864212036128</v>
      </c>
      <c r="P58">
        <f>INDEX('AEO 2026 Table 5'!$D$15:$AC$120,33,MATCH(P$1,'AEO 2026 Table 5'!$D$10:$AC$10,0))</f>
        <v>3.3894917964935298</v>
      </c>
      <c r="Q58">
        <f>INDEX('AEO 2026 Table 5'!$D$15:$AC$120,33,MATCH(Q$1,'AEO 2026 Table 5'!$D$10:$AC$10,0))</f>
        <v>3.3831031322479248</v>
      </c>
      <c r="R58">
        <f>INDEX('AEO 2026 Table 5'!$D$15:$AC$120,33,MATCH(R$1,'AEO 2026 Table 5'!$D$10:$AC$10,0))</f>
        <v>3.3802793025970459</v>
      </c>
      <c r="S58">
        <f>INDEX('AEO 2026 Table 5'!$D$15:$AC$120,33,MATCH(S$1,'AEO 2026 Table 5'!$D$10:$AC$10,0))</f>
        <v>3.3766553401947021</v>
      </c>
      <c r="T58">
        <f>INDEX('AEO 2026 Table 5'!$D$15:$AC$120,33,MATCH(T$1,'AEO 2026 Table 5'!$D$10:$AC$10,0))</f>
        <v>3.3732244968414311</v>
      </c>
      <c r="U58">
        <f>INDEX('AEO 2026 Table 5'!$D$15:$AC$120,33,MATCH(U$1,'AEO 2026 Table 5'!$D$10:$AC$10,0))</f>
        <v>3.3688466548919682</v>
      </c>
      <c r="V58">
        <f>INDEX('AEO 2026 Table 5'!$D$15:$AC$120,33,MATCH(V$1,'AEO 2026 Table 5'!$D$10:$AC$10,0))</f>
        <v>3.3650510311126709</v>
      </c>
      <c r="W58">
        <f>INDEX('AEO 2026 Table 5'!$D$15:$AC$120,33,MATCH(W$1,'AEO 2026 Table 5'!$D$10:$AC$10,0))</f>
        <v>3.3622629642486568</v>
      </c>
      <c r="X58">
        <f>INDEX('AEO 2026 Table 5'!$D$15:$AC$120,33,MATCH(X$1,'AEO 2026 Table 5'!$D$10:$AC$10,0))</f>
        <v>3.3637032508850102</v>
      </c>
      <c r="Y58">
        <f>INDEX('AEO 2026 Table 5'!$D$15:$AC$120,33,MATCH(Y$1,'AEO 2026 Table 5'!$D$10:$AC$10,0))</f>
        <v>3.3665468692779541</v>
      </c>
      <c r="Z58">
        <f>INDEX('AEO 2026 Table 5'!$D$15:$AC$120,33,MATCH(Z$1,'AEO 2026 Table 5'!$D$10:$AC$10,0))</f>
        <v>3.3715038299560551</v>
      </c>
      <c r="AA58">
        <f>INDEX('AEO 2026 Table 5'!$D$15:$AC$120,33,MATCH(AA$1,'AEO 2026 Table 5'!$D$10:$AC$10,0))</f>
        <v>3.375349760055542</v>
      </c>
      <c r="AB58">
        <f>INDEX('AEO 2026 Table 5'!$D$15:$AC$120,33,MATCH(AB$1,'AEO 2026 Table 5'!$D$10:$AC$10,0))</f>
        <v>3.3740944862365718</v>
      </c>
      <c r="AC58">
        <f>INDEX('AEO 2026 Table 5'!$D$15:$AC$120,33,MATCH(AC$1,'AEO 2026 Table 5'!$D$10:$AC$10,0))</f>
        <v>3.3695592880249019</v>
      </c>
      <c r="AD58">
        <f>INDEX('AEO 2026 Table 5'!$D$15:$AC$120,33,MATCH(AD$1,'AEO 2026 Table 5'!$D$10:$AC$10,0))</f>
        <v>3.3642005920410161</v>
      </c>
      <c r="AE58">
        <f>INDEX('AEO 2026 Table 5'!$D$15:$AC$120,33,MATCH(AE$1,'AEO 2026 Table 5'!$D$10:$AC$10,0))</f>
        <v>3.3589315414428711</v>
      </c>
      <c r="AF58">
        <f>INDEX('AEO 2026 Table 5'!$D$15:$AC$120,33,MATCH(AF$1,'AEO 2026 Table 5'!$D$10:$AC$10,0))</f>
        <v>3.3544421195983891</v>
      </c>
    </row>
    <row r="59" spans="1:32" x14ac:dyDescent="0.25">
      <c r="A59" t="s">
        <v>733</v>
      </c>
      <c r="B59" t="str">
        <f t="shared" si="1"/>
        <v>commercial-heating-petroleum diesel (BTU)</v>
      </c>
      <c r="C59" t="s">
        <v>1060</v>
      </c>
      <c r="D59" t="s">
        <v>1047</v>
      </c>
      <c r="E59" s="1" t="s">
        <v>1056</v>
      </c>
      <c r="F59" s="44">
        <f>INDEX('AEO 2025 Table 5'!$F$8:$AG$102,MATCH('Crosswalk AEO to EPS Summary'!$A59,'AEO 2025 Table 5'!$B$8:$B$102,0),MATCH(F$1,'AEO 2025 Table 5'!$F$5:$AG$5,0))</f>
        <v>6.9268999999999997E-2</v>
      </c>
      <c r="G59">
        <f>INDEX('AEO 2026 Table 5'!$D$15:$AC$120,36,MATCH(G$1,'AEO 2026 Table 5'!$D$10:$AC$10,0))</f>
        <v>7.4527919292449951E-2</v>
      </c>
      <c r="H59">
        <f>INDEX('AEO 2026 Table 5'!$D$15:$AC$120,36,MATCH(H$1,'AEO 2026 Table 5'!$D$10:$AC$10,0))</f>
        <v>7.281358540058136E-2</v>
      </c>
      <c r="I59">
        <f>INDEX('AEO 2026 Table 5'!$D$15:$AC$120,36,MATCH(I$1,'AEO 2026 Table 5'!$D$10:$AC$10,0))</f>
        <v>7.2147302329540253E-2</v>
      </c>
      <c r="J59">
        <f>INDEX('AEO 2026 Table 5'!$D$15:$AC$120,36,MATCH(J$1,'AEO 2026 Table 5'!$D$10:$AC$10,0))</f>
        <v>7.1328140795230865E-2</v>
      </c>
      <c r="K59">
        <f>INDEX('AEO 2026 Table 5'!$D$15:$AC$120,36,MATCH(K$1,'AEO 2026 Table 5'!$D$10:$AC$10,0))</f>
        <v>7.0239558815956116E-2</v>
      </c>
      <c r="L59">
        <f>INDEX('AEO 2026 Table 5'!$D$15:$AC$120,36,MATCH(L$1,'AEO 2026 Table 5'!$D$10:$AC$10,0))</f>
        <v>6.9390051066875458E-2</v>
      </c>
      <c r="M59">
        <f>INDEX('AEO 2026 Table 5'!$D$15:$AC$120,36,MATCH(M$1,'AEO 2026 Table 5'!$D$10:$AC$10,0))</f>
        <v>6.8551786243915558E-2</v>
      </c>
      <c r="N59">
        <f>INDEX('AEO 2026 Table 5'!$D$15:$AC$120,36,MATCH(N$1,'AEO 2026 Table 5'!$D$10:$AC$10,0))</f>
        <v>6.7389041185379028E-2</v>
      </c>
      <c r="O59">
        <f>INDEX('AEO 2026 Table 5'!$D$15:$AC$120,36,MATCH(O$1,'AEO 2026 Table 5'!$D$10:$AC$10,0))</f>
        <v>6.5911509096622467E-2</v>
      </c>
      <c r="P59">
        <f>INDEX('AEO 2026 Table 5'!$D$15:$AC$120,36,MATCH(P$1,'AEO 2026 Table 5'!$D$10:$AC$10,0))</f>
        <v>6.4452938735485077E-2</v>
      </c>
      <c r="Q59">
        <f>INDEX('AEO 2026 Table 5'!$D$15:$AC$120,36,MATCH(Q$1,'AEO 2026 Table 5'!$D$10:$AC$10,0))</f>
        <v>6.3008643686771393E-2</v>
      </c>
      <c r="R59">
        <f>INDEX('AEO 2026 Table 5'!$D$15:$AC$120,36,MATCH(R$1,'AEO 2026 Table 5'!$D$10:$AC$10,0))</f>
        <v>6.1669744551181793E-2</v>
      </c>
      <c r="S59">
        <f>INDEX('AEO 2026 Table 5'!$D$15:$AC$120,36,MATCH(S$1,'AEO 2026 Table 5'!$D$10:$AC$10,0))</f>
        <v>6.0346193611621857E-2</v>
      </c>
      <c r="T59">
        <f>INDEX('AEO 2026 Table 5'!$D$15:$AC$120,36,MATCH(T$1,'AEO 2026 Table 5'!$D$10:$AC$10,0))</f>
        <v>5.9038575738668442E-2</v>
      </c>
      <c r="U59">
        <f>INDEX('AEO 2026 Table 5'!$D$15:$AC$120,36,MATCH(U$1,'AEO 2026 Table 5'!$D$10:$AC$10,0))</f>
        <v>5.7779919356107712E-2</v>
      </c>
      <c r="V59">
        <f>INDEX('AEO 2026 Table 5'!$D$15:$AC$120,36,MATCH(V$1,'AEO 2026 Table 5'!$D$10:$AC$10,0))</f>
        <v>5.6541707366704941E-2</v>
      </c>
      <c r="W59">
        <f>INDEX('AEO 2026 Table 5'!$D$15:$AC$120,36,MATCH(W$1,'AEO 2026 Table 5'!$D$10:$AC$10,0))</f>
        <v>5.5331457406282418E-2</v>
      </c>
      <c r="X59">
        <f>INDEX('AEO 2026 Table 5'!$D$15:$AC$120,36,MATCH(X$1,'AEO 2026 Table 5'!$D$10:$AC$10,0))</f>
        <v>5.4154399782419198E-2</v>
      </c>
      <c r="Y59">
        <f>INDEX('AEO 2026 Table 5'!$D$15:$AC$120,36,MATCH(Y$1,'AEO 2026 Table 5'!$D$10:$AC$10,0))</f>
        <v>5.2974898368120187E-2</v>
      </c>
      <c r="Z59">
        <f>INDEX('AEO 2026 Table 5'!$D$15:$AC$120,36,MATCH(Z$1,'AEO 2026 Table 5'!$D$10:$AC$10,0))</f>
        <v>5.1813665777444839E-2</v>
      </c>
      <c r="AA59">
        <f>INDEX('AEO 2026 Table 5'!$D$15:$AC$120,36,MATCH(AA$1,'AEO 2026 Table 5'!$D$10:$AC$10,0))</f>
        <v>5.0656583160161972E-2</v>
      </c>
      <c r="AB59">
        <f>INDEX('AEO 2026 Table 5'!$D$15:$AC$120,36,MATCH(AB$1,'AEO 2026 Table 5'!$D$10:$AC$10,0))</f>
        <v>4.9515556544065482E-2</v>
      </c>
      <c r="AC59">
        <f>INDEX('AEO 2026 Table 5'!$D$15:$AC$120,36,MATCH(AC$1,'AEO 2026 Table 5'!$D$10:$AC$10,0))</f>
        <v>4.8376400023698807E-2</v>
      </c>
      <c r="AD59">
        <f>INDEX('AEO 2026 Table 5'!$D$15:$AC$120,36,MATCH(AD$1,'AEO 2026 Table 5'!$D$10:$AC$10,0))</f>
        <v>4.7275986522436142E-2</v>
      </c>
      <c r="AE59">
        <f>INDEX('AEO 2026 Table 5'!$D$15:$AC$120,36,MATCH(AE$1,'AEO 2026 Table 5'!$D$10:$AC$10,0))</f>
        <v>4.6178881078958511E-2</v>
      </c>
      <c r="AF59">
        <f>INDEX('AEO 2026 Table 5'!$D$15:$AC$120,36,MATCH(AF$1,'AEO 2026 Table 5'!$D$10:$AC$10,0))</f>
        <v>4.5136269181966782E-2</v>
      </c>
    </row>
    <row r="60" spans="1:32" x14ac:dyDescent="0.25">
      <c r="A60" t="s">
        <v>735</v>
      </c>
      <c r="B60" t="str">
        <f t="shared" si="1"/>
        <v>commercial-appliances-petroleum diesel (BTU)</v>
      </c>
      <c r="C60" t="s">
        <v>1060</v>
      </c>
      <c r="D60" t="s">
        <v>1050</v>
      </c>
      <c r="E60" s="1" t="s">
        <v>1056</v>
      </c>
      <c r="F60" s="44">
        <f>INDEX('AEO 2025 Table 5'!$F$8:$AG$102,MATCH('Crosswalk AEO to EPS Summary'!$A60,'AEO 2025 Table 5'!$B$8:$B$102,0),MATCH(F$1,'AEO 2025 Table 5'!$F$5:$AG$5,0))</f>
        <v>3.7460000000000002E-3</v>
      </c>
      <c r="G60">
        <f>INDEX('AEO 2026 Table 5'!$D$15:$AC$120,37,MATCH(G$1,'AEO 2026 Table 5'!$D$10:$AC$10,0))</f>
        <v>3.7680559325963259E-3</v>
      </c>
      <c r="H60">
        <f>INDEX('AEO 2026 Table 5'!$D$15:$AC$120,37,MATCH(H$1,'AEO 2026 Table 5'!$D$10:$AC$10,0))</f>
        <v>3.7832744419574742E-3</v>
      </c>
      <c r="I60">
        <f>INDEX('AEO 2026 Table 5'!$D$15:$AC$120,37,MATCH(I$1,'AEO 2026 Table 5'!$D$10:$AC$10,0))</f>
        <v>3.7724871654063459E-3</v>
      </c>
      <c r="J60">
        <f>INDEX('AEO 2026 Table 5'!$D$15:$AC$120,37,MATCH(J$1,'AEO 2026 Table 5'!$D$10:$AC$10,0))</f>
        <v>3.7564183585345749E-3</v>
      </c>
      <c r="K60">
        <f>INDEX('AEO 2026 Table 5'!$D$15:$AC$120,37,MATCH(K$1,'AEO 2026 Table 5'!$D$10:$AC$10,0))</f>
        <v>3.7375132087618108E-3</v>
      </c>
      <c r="L60">
        <f>INDEX('AEO 2026 Table 5'!$D$15:$AC$120,37,MATCH(L$1,'AEO 2026 Table 5'!$D$10:$AC$10,0))</f>
        <v>3.7337860558182001E-3</v>
      </c>
      <c r="M60">
        <f>INDEX('AEO 2026 Table 5'!$D$15:$AC$120,37,MATCH(M$1,'AEO 2026 Table 5'!$D$10:$AC$10,0))</f>
        <v>3.7297364324331279E-3</v>
      </c>
      <c r="N60">
        <f>INDEX('AEO 2026 Table 5'!$D$15:$AC$120,37,MATCH(N$1,'AEO 2026 Table 5'!$D$10:$AC$10,0))</f>
        <v>3.7097297608852391E-3</v>
      </c>
      <c r="O60">
        <f>INDEX('AEO 2026 Table 5'!$D$15:$AC$120,37,MATCH(O$1,'AEO 2026 Table 5'!$D$10:$AC$10,0))</f>
        <v>3.6715194582939148E-3</v>
      </c>
      <c r="P60">
        <f>INDEX('AEO 2026 Table 5'!$D$15:$AC$120,37,MATCH(P$1,'AEO 2026 Table 5'!$D$10:$AC$10,0))</f>
        <v>3.635622793808579E-3</v>
      </c>
      <c r="Q60">
        <f>INDEX('AEO 2026 Table 5'!$D$15:$AC$120,37,MATCH(Q$1,'AEO 2026 Table 5'!$D$10:$AC$10,0))</f>
        <v>3.6015734076499939E-3</v>
      </c>
      <c r="R60">
        <f>INDEX('AEO 2026 Table 5'!$D$15:$AC$120,37,MATCH(R$1,'AEO 2026 Table 5'!$D$10:$AC$10,0))</f>
        <v>3.5739874001592402E-3</v>
      </c>
      <c r="S60">
        <f>INDEX('AEO 2026 Table 5'!$D$15:$AC$120,37,MATCH(S$1,'AEO 2026 Table 5'!$D$10:$AC$10,0))</f>
        <v>3.547454252839088E-3</v>
      </c>
      <c r="T60">
        <f>INDEX('AEO 2026 Table 5'!$D$15:$AC$120,37,MATCH(T$1,'AEO 2026 Table 5'!$D$10:$AC$10,0))</f>
        <v>3.5207115579396491E-3</v>
      </c>
      <c r="U60">
        <f>INDEX('AEO 2026 Table 5'!$D$15:$AC$120,37,MATCH(U$1,'AEO 2026 Table 5'!$D$10:$AC$10,0))</f>
        <v>3.496143501251936E-3</v>
      </c>
      <c r="V60">
        <f>INDEX('AEO 2026 Table 5'!$D$15:$AC$120,37,MATCH(V$1,'AEO 2026 Table 5'!$D$10:$AC$10,0))</f>
        <v>3.471773816272616E-3</v>
      </c>
      <c r="W60">
        <f>INDEX('AEO 2026 Table 5'!$D$15:$AC$120,37,MATCH(W$1,'AEO 2026 Table 5'!$D$10:$AC$10,0))</f>
        <v>3.4477852750569582E-3</v>
      </c>
      <c r="X60">
        <f>INDEX('AEO 2026 Table 5'!$D$15:$AC$120,37,MATCH(X$1,'AEO 2026 Table 5'!$D$10:$AC$10,0))</f>
        <v>3.4243902191519742E-3</v>
      </c>
      <c r="Y60">
        <f>INDEX('AEO 2026 Table 5'!$D$15:$AC$120,37,MATCH(Y$1,'AEO 2026 Table 5'!$D$10:$AC$10,0))</f>
        <v>3.400481771677732E-3</v>
      </c>
      <c r="Z60">
        <f>INDEX('AEO 2026 Table 5'!$D$15:$AC$120,37,MATCH(Z$1,'AEO 2026 Table 5'!$D$10:$AC$10,0))</f>
        <v>3.375726286321878E-3</v>
      </c>
      <c r="AA60">
        <f>INDEX('AEO 2026 Table 5'!$D$15:$AC$120,37,MATCH(AA$1,'AEO 2026 Table 5'!$D$10:$AC$10,0))</f>
        <v>3.3500534482300282E-3</v>
      </c>
      <c r="AB60">
        <f>INDEX('AEO 2026 Table 5'!$D$15:$AC$120,37,MATCH(AB$1,'AEO 2026 Table 5'!$D$10:$AC$10,0))</f>
        <v>3.3243908546864991E-3</v>
      </c>
      <c r="AC60">
        <f>INDEX('AEO 2026 Table 5'!$D$15:$AC$120,37,MATCH(AC$1,'AEO 2026 Table 5'!$D$10:$AC$10,0))</f>
        <v>3.2979131210595369E-3</v>
      </c>
      <c r="AD60">
        <f>INDEX('AEO 2026 Table 5'!$D$15:$AC$120,37,MATCH(AD$1,'AEO 2026 Table 5'!$D$10:$AC$10,0))</f>
        <v>3.2726200297474861E-3</v>
      </c>
      <c r="AE60">
        <f>INDEX('AEO 2026 Table 5'!$D$15:$AC$120,37,MATCH(AE$1,'AEO 2026 Table 5'!$D$10:$AC$10,0))</f>
        <v>3.2461252994835381E-3</v>
      </c>
      <c r="AF60">
        <f>INDEX('AEO 2026 Table 5'!$D$15:$AC$120,37,MATCH(AF$1,'AEO 2026 Table 5'!$D$10:$AC$10,0))</f>
        <v>3.2221607398241758E-3</v>
      </c>
    </row>
    <row r="61" spans="1:32" x14ac:dyDescent="0.25">
      <c r="A61" t="s">
        <v>737</v>
      </c>
      <c r="B61" t="str">
        <f t="shared" si="1"/>
        <v>commercial-other-petroleum diesel (BTU)</v>
      </c>
      <c r="C61" t="s">
        <v>1060</v>
      </c>
      <c r="D61" t="s">
        <v>1052</v>
      </c>
      <c r="E61" s="1" t="s">
        <v>1056</v>
      </c>
      <c r="F61" s="44">
        <f>INDEX('AEO 2025 Table 5'!$F$8:$AG$102,MATCH('Crosswalk AEO to EPS Summary'!$A61,'AEO 2025 Table 5'!$B$8:$B$102,0),MATCH(F$1,'AEO 2025 Table 5'!$F$5:$AG$5,0))</f>
        <v>0.23526900000000001</v>
      </c>
      <c r="G61">
        <f>INDEX('AEO 2026 Table 5'!$D$15:$AC$120,38,MATCH(G$1,'AEO 2026 Table 5'!$D$10:$AC$10,0))</f>
        <v>0.23712390661239621</v>
      </c>
      <c r="H61">
        <f>INDEX('AEO 2026 Table 5'!$D$15:$AC$120,38,MATCH(H$1,'AEO 2026 Table 5'!$D$10:$AC$10,0))</f>
        <v>0.24239152669906619</v>
      </c>
      <c r="I61">
        <f>INDEX('AEO 2026 Table 5'!$D$15:$AC$120,38,MATCH(I$1,'AEO 2026 Table 5'!$D$10:$AC$10,0))</f>
        <v>0.25052589178085333</v>
      </c>
      <c r="J61">
        <f>INDEX('AEO 2026 Table 5'!$D$15:$AC$120,38,MATCH(J$1,'AEO 2026 Table 5'!$D$10:$AC$10,0))</f>
        <v>0.25241014361381531</v>
      </c>
      <c r="K61">
        <f>INDEX('AEO 2026 Table 5'!$D$15:$AC$120,38,MATCH(K$1,'AEO 2026 Table 5'!$D$10:$AC$10,0))</f>
        <v>0.25394093990325928</v>
      </c>
      <c r="L61">
        <f>INDEX('AEO 2026 Table 5'!$D$15:$AC$120,38,MATCH(L$1,'AEO 2026 Table 5'!$D$10:$AC$10,0))</f>
        <v>0.25635850429534912</v>
      </c>
      <c r="M61">
        <f>INDEX('AEO 2026 Table 5'!$D$15:$AC$120,38,MATCH(M$1,'AEO 2026 Table 5'!$D$10:$AC$10,0))</f>
        <v>0.25846773386001592</v>
      </c>
      <c r="N61">
        <f>INDEX('AEO 2026 Table 5'!$D$15:$AC$120,38,MATCH(N$1,'AEO 2026 Table 5'!$D$10:$AC$10,0))</f>
        <v>0.25921866297721857</v>
      </c>
      <c r="O61">
        <f>INDEX('AEO 2026 Table 5'!$D$15:$AC$120,38,MATCH(O$1,'AEO 2026 Table 5'!$D$10:$AC$10,0))</f>
        <v>0.25816449522972112</v>
      </c>
      <c r="P61">
        <f>INDEX('AEO 2026 Table 5'!$D$15:$AC$120,38,MATCH(P$1,'AEO 2026 Table 5'!$D$10:$AC$10,0))</f>
        <v>0.25715771317481989</v>
      </c>
      <c r="Q61">
        <f>INDEX('AEO 2026 Table 5'!$D$15:$AC$120,38,MATCH(Q$1,'AEO 2026 Table 5'!$D$10:$AC$10,0))</f>
        <v>0.25619250535964971</v>
      </c>
      <c r="R61">
        <f>INDEX('AEO 2026 Table 5'!$D$15:$AC$120,38,MATCH(R$1,'AEO 2026 Table 5'!$D$10:$AC$10,0))</f>
        <v>0.255626380443573</v>
      </c>
      <c r="S61">
        <f>INDEX('AEO 2026 Table 5'!$D$15:$AC$120,38,MATCH(S$1,'AEO 2026 Table 5'!$D$10:$AC$10,0))</f>
        <v>0.25496232509613043</v>
      </c>
      <c r="T61">
        <f>INDEX('AEO 2026 Table 5'!$D$15:$AC$120,38,MATCH(T$1,'AEO 2026 Table 5'!$D$10:$AC$10,0))</f>
        <v>0.25428009033203119</v>
      </c>
      <c r="U61">
        <f>INDEX('AEO 2026 Table 5'!$D$15:$AC$120,38,MATCH(U$1,'AEO 2026 Table 5'!$D$10:$AC$10,0))</f>
        <v>0.25374829769134521</v>
      </c>
      <c r="V61">
        <f>INDEX('AEO 2026 Table 5'!$D$15:$AC$120,38,MATCH(V$1,'AEO 2026 Table 5'!$D$10:$AC$10,0))</f>
        <v>0.25328880548477167</v>
      </c>
      <c r="W61">
        <f>INDEX('AEO 2026 Table 5'!$D$15:$AC$120,38,MATCH(W$1,'AEO 2026 Table 5'!$D$10:$AC$10,0))</f>
        <v>0.25278040766715998</v>
      </c>
      <c r="X61">
        <f>INDEX('AEO 2026 Table 5'!$D$15:$AC$120,38,MATCH(X$1,'AEO 2026 Table 5'!$D$10:$AC$10,0))</f>
        <v>0.25230595469474792</v>
      </c>
      <c r="Y61">
        <f>INDEX('AEO 2026 Table 5'!$D$15:$AC$120,38,MATCH(Y$1,'AEO 2026 Table 5'!$D$10:$AC$10,0))</f>
        <v>0.25179854035377502</v>
      </c>
      <c r="Z61">
        <f>INDEX('AEO 2026 Table 5'!$D$15:$AC$120,38,MATCH(Z$1,'AEO 2026 Table 5'!$D$10:$AC$10,0))</f>
        <v>0.25126516819000239</v>
      </c>
      <c r="AA61">
        <f>INDEX('AEO 2026 Table 5'!$D$15:$AC$120,38,MATCH(AA$1,'AEO 2026 Table 5'!$D$10:$AC$10,0))</f>
        <v>0.25062987208366388</v>
      </c>
      <c r="AB61">
        <f>INDEX('AEO 2026 Table 5'!$D$15:$AC$120,38,MATCH(AB$1,'AEO 2026 Table 5'!$D$10:$AC$10,0))</f>
        <v>0.24996206164360049</v>
      </c>
      <c r="AC61">
        <f>INDEX('AEO 2026 Table 5'!$D$15:$AC$120,38,MATCH(AC$1,'AEO 2026 Table 5'!$D$10:$AC$10,0))</f>
        <v>0.24919475615024569</v>
      </c>
      <c r="AD61">
        <f>INDEX('AEO 2026 Table 5'!$D$15:$AC$120,38,MATCH(AD$1,'AEO 2026 Table 5'!$D$10:$AC$10,0))</f>
        <v>0.24849805235862729</v>
      </c>
      <c r="AE61">
        <f>INDEX('AEO 2026 Table 5'!$D$15:$AC$120,38,MATCH(AE$1,'AEO 2026 Table 5'!$D$10:$AC$10,0))</f>
        <v>0.24769699573516851</v>
      </c>
      <c r="AF61">
        <f>INDEX('AEO 2026 Table 5'!$D$15:$AC$120,38,MATCH(AF$1,'AEO 2026 Table 5'!$D$10:$AC$10,0))</f>
        <v>0.24707627296447751</v>
      </c>
    </row>
    <row r="62" spans="1:32" x14ac:dyDescent="0.25">
      <c r="A62" t="s">
        <v>739</v>
      </c>
      <c r="B62" t="str">
        <f t="shared" si="1"/>
        <v>commercial-total-petroleum diesel (BTU)</v>
      </c>
      <c r="C62" t="s">
        <v>1060</v>
      </c>
      <c r="D62" t="s">
        <v>1053</v>
      </c>
      <c r="E62" s="1" t="s">
        <v>1056</v>
      </c>
      <c r="F62" s="44">
        <f>INDEX('AEO 2025 Table 5'!$F$8:$AG$102,MATCH('Crosswalk AEO to EPS Summary'!$A62,'AEO 2025 Table 5'!$B$8:$B$102,0),MATCH(F$1,'AEO 2025 Table 5'!$F$5:$AG$5,0))</f>
        <v>0.308284</v>
      </c>
      <c r="G62">
        <f>INDEX('AEO 2026 Table 5'!$D$15:$AC$120,39,MATCH(G$1,'AEO 2026 Table 5'!$D$10:$AC$10,0))</f>
        <v>0.31541988253593439</v>
      </c>
      <c r="H62">
        <f>INDEX('AEO 2026 Table 5'!$D$15:$AC$120,39,MATCH(H$1,'AEO 2026 Table 5'!$D$10:$AC$10,0))</f>
        <v>0.3189883828163147</v>
      </c>
      <c r="I62">
        <f>INDEX('AEO 2026 Table 5'!$D$15:$AC$120,39,MATCH(I$1,'AEO 2026 Table 5'!$D$10:$AC$10,0))</f>
        <v>0.32644569873809809</v>
      </c>
      <c r="J62">
        <f>INDEX('AEO 2026 Table 5'!$D$15:$AC$120,39,MATCH(J$1,'AEO 2026 Table 5'!$D$10:$AC$10,0))</f>
        <v>0.32749468088150019</v>
      </c>
      <c r="K62">
        <f>INDEX('AEO 2026 Table 5'!$D$15:$AC$120,39,MATCH(K$1,'AEO 2026 Table 5'!$D$10:$AC$10,0))</f>
        <v>0.32791799306869512</v>
      </c>
      <c r="L62">
        <f>INDEX('AEO 2026 Table 5'!$D$15:$AC$120,39,MATCH(L$1,'AEO 2026 Table 5'!$D$10:$AC$10,0))</f>
        <v>0.32948234677314758</v>
      </c>
      <c r="M62">
        <f>INDEX('AEO 2026 Table 5'!$D$15:$AC$120,39,MATCH(M$1,'AEO 2026 Table 5'!$D$10:$AC$10,0))</f>
        <v>0.33074924349784851</v>
      </c>
      <c r="N62">
        <f>INDEX('AEO 2026 Table 5'!$D$15:$AC$120,39,MATCH(N$1,'AEO 2026 Table 5'!$D$10:$AC$10,0))</f>
        <v>0.33031743764877319</v>
      </c>
      <c r="O62">
        <f>INDEX('AEO 2026 Table 5'!$D$15:$AC$120,39,MATCH(O$1,'AEO 2026 Table 5'!$D$10:$AC$10,0))</f>
        <v>0.32774752378463751</v>
      </c>
      <c r="P62">
        <f>INDEX('AEO 2026 Table 5'!$D$15:$AC$120,39,MATCH(P$1,'AEO 2026 Table 5'!$D$10:$AC$10,0))</f>
        <v>0.32524627447128301</v>
      </c>
      <c r="Q62">
        <f>INDEX('AEO 2026 Table 5'!$D$15:$AC$120,39,MATCH(Q$1,'AEO 2026 Table 5'!$D$10:$AC$10,0))</f>
        <v>0.32280272245407099</v>
      </c>
      <c r="R62">
        <f>INDEX('AEO 2026 Table 5'!$D$15:$AC$120,39,MATCH(R$1,'AEO 2026 Table 5'!$D$10:$AC$10,0))</f>
        <v>0.32087010145187378</v>
      </c>
      <c r="S62">
        <f>INDEX('AEO 2026 Table 5'!$D$15:$AC$120,39,MATCH(S$1,'AEO 2026 Table 5'!$D$10:$AC$10,0))</f>
        <v>0.31885597109794622</v>
      </c>
      <c r="T62">
        <f>INDEX('AEO 2026 Table 5'!$D$15:$AC$120,39,MATCH(T$1,'AEO 2026 Table 5'!$D$10:$AC$10,0))</f>
        <v>0.31683936715126038</v>
      </c>
      <c r="U62">
        <f>INDEX('AEO 2026 Table 5'!$D$15:$AC$120,39,MATCH(U$1,'AEO 2026 Table 5'!$D$10:$AC$10,0))</f>
        <v>0.31502434611320501</v>
      </c>
      <c r="V62">
        <f>INDEX('AEO 2026 Table 5'!$D$15:$AC$120,39,MATCH(V$1,'AEO 2026 Table 5'!$D$10:$AC$10,0))</f>
        <v>0.31330227851867681</v>
      </c>
      <c r="W62">
        <f>INDEX('AEO 2026 Table 5'!$D$15:$AC$120,39,MATCH(W$1,'AEO 2026 Table 5'!$D$10:$AC$10,0))</f>
        <v>0.31155964732170099</v>
      </c>
      <c r="X62">
        <f>INDEX('AEO 2026 Table 5'!$D$15:$AC$120,39,MATCH(X$1,'AEO 2026 Table 5'!$D$10:$AC$10,0))</f>
        <v>0.30988472700119019</v>
      </c>
      <c r="Y62">
        <f>INDEX('AEO 2026 Table 5'!$D$15:$AC$120,39,MATCH(Y$1,'AEO 2026 Table 5'!$D$10:$AC$10,0))</f>
        <v>0.30817392468452448</v>
      </c>
      <c r="Z62">
        <f>INDEX('AEO 2026 Table 5'!$D$15:$AC$120,39,MATCH(Z$1,'AEO 2026 Table 5'!$D$10:$AC$10,0))</f>
        <v>0.30645456910133362</v>
      </c>
      <c r="AA62">
        <f>INDEX('AEO 2026 Table 5'!$D$15:$AC$120,39,MATCH(AA$1,'AEO 2026 Table 5'!$D$10:$AC$10,0))</f>
        <v>0.30463650822639471</v>
      </c>
      <c r="AB62">
        <f>INDEX('AEO 2026 Table 5'!$D$15:$AC$120,39,MATCH(AB$1,'AEO 2026 Table 5'!$D$10:$AC$10,0))</f>
        <v>0.30280199646949768</v>
      </c>
      <c r="AC62">
        <f>INDEX('AEO 2026 Table 5'!$D$15:$AC$120,39,MATCH(AC$1,'AEO 2026 Table 5'!$D$10:$AC$10,0))</f>
        <v>0.30086907744407648</v>
      </c>
      <c r="AD62">
        <f>INDEX('AEO 2026 Table 5'!$D$15:$AC$120,39,MATCH(AD$1,'AEO 2026 Table 5'!$D$10:$AC$10,0))</f>
        <v>0.29904666543006903</v>
      </c>
      <c r="AE62">
        <f>INDEX('AEO 2026 Table 5'!$D$15:$AC$120,39,MATCH(AE$1,'AEO 2026 Table 5'!$D$10:$AC$10,0))</f>
        <v>0.29712200164794922</v>
      </c>
      <c r="AF62">
        <f>INDEX('AEO 2026 Table 5'!$D$15:$AC$120,39,MATCH(AF$1,'AEO 2026 Table 5'!$D$10:$AC$10,0))</f>
        <v>0.29543471336364752</v>
      </c>
    </row>
    <row r="63" spans="1:32" x14ac:dyDescent="0.25">
      <c r="A63" t="s">
        <v>742</v>
      </c>
      <c r="B63" t="str">
        <f t="shared" si="1"/>
        <v>commercial-heating-biomass (BTU)</v>
      </c>
      <c r="C63" t="s">
        <v>1060</v>
      </c>
      <c r="D63" t="s">
        <v>1047</v>
      </c>
      <c r="E63" s="1" t="s">
        <v>1058</v>
      </c>
      <c r="F63" s="44">
        <f>INDEX('AEO 2025 Table 5'!$F$8:$AG$102,MATCH('Crosswalk AEO to EPS Summary'!$A63,'AEO 2025 Table 5'!$B$8:$B$102,0),MATCH(F$1,'AEO 2025 Table 5'!$F$5:$AG$5,0))</f>
        <v>0.15810399999999999</v>
      </c>
      <c r="G63">
        <f>INDEX('AEO 2026 Table 5'!$D$15:$AC$120,41,MATCH(G$1,'AEO 2026 Table 5'!$D$10:$AC$10,0))</f>
        <v>0.14368182420730591</v>
      </c>
      <c r="H63">
        <f>INDEX('AEO 2026 Table 5'!$D$15:$AC$120,41,MATCH(H$1,'AEO 2026 Table 5'!$D$10:$AC$10,0))</f>
        <v>0.14368182420730591</v>
      </c>
      <c r="I63">
        <f>INDEX('AEO 2026 Table 5'!$D$15:$AC$120,41,MATCH(I$1,'AEO 2026 Table 5'!$D$10:$AC$10,0))</f>
        <v>0.14368182420730591</v>
      </c>
      <c r="J63">
        <f>INDEX('AEO 2026 Table 5'!$D$15:$AC$120,41,MATCH(J$1,'AEO 2026 Table 5'!$D$10:$AC$10,0))</f>
        <v>0.14368182420730591</v>
      </c>
      <c r="K63">
        <f>INDEX('AEO 2026 Table 5'!$D$15:$AC$120,41,MATCH(K$1,'AEO 2026 Table 5'!$D$10:$AC$10,0))</f>
        <v>0.14368182420730591</v>
      </c>
      <c r="L63">
        <f>INDEX('AEO 2026 Table 5'!$D$15:$AC$120,41,MATCH(L$1,'AEO 2026 Table 5'!$D$10:$AC$10,0))</f>
        <v>0.14368182420730591</v>
      </c>
      <c r="M63">
        <f>INDEX('AEO 2026 Table 5'!$D$15:$AC$120,41,MATCH(M$1,'AEO 2026 Table 5'!$D$10:$AC$10,0))</f>
        <v>0.14368182420730591</v>
      </c>
      <c r="N63">
        <f>INDEX('AEO 2026 Table 5'!$D$15:$AC$120,41,MATCH(N$1,'AEO 2026 Table 5'!$D$10:$AC$10,0))</f>
        <v>0.14368182420730591</v>
      </c>
      <c r="O63">
        <f>INDEX('AEO 2026 Table 5'!$D$15:$AC$120,41,MATCH(O$1,'AEO 2026 Table 5'!$D$10:$AC$10,0))</f>
        <v>0.14368182420730591</v>
      </c>
      <c r="P63">
        <f>INDEX('AEO 2026 Table 5'!$D$15:$AC$120,41,MATCH(P$1,'AEO 2026 Table 5'!$D$10:$AC$10,0))</f>
        <v>0.14368182420730591</v>
      </c>
      <c r="Q63">
        <f>INDEX('AEO 2026 Table 5'!$D$15:$AC$120,41,MATCH(Q$1,'AEO 2026 Table 5'!$D$10:$AC$10,0))</f>
        <v>0.14368182420730591</v>
      </c>
      <c r="R63">
        <f>INDEX('AEO 2026 Table 5'!$D$15:$AC$120,41,MATCH(R$1,'AEO 2026 Table 5'!$D$10:$AC$10,0))</f>
        <v>0.14368182420730591</v>
      </c>
      <c r="S63">
        <f>INDEX('AEO 2026 Table 5'!$D$15:$AC$120,41,MATCH(S$1,'AEO 2026 Table 5'!$D$10:$AC$10,0))</f>
        <v>0.14368182420730591</v>
      </c>
      <c r="T63">
        <f>INDEX('AEO 2026 Table 5'!$D$15:$AC$120,41,MATCH(T$1,'AEO 2026 Table 5'!$D$10:$AC$10,0))</f>
        <v>0.14368182420730591</v>
      </c>
      <c r="U63">
        <f>INDEX('AEO 2026 Table 5'!$D$15:$AC$120,41,MATCH(U$1,'AEO 2026 Table 5'!$D$10:$AC$10,0))</f>
        <v>0.14368182420730591</v>
      </c>
      <c r="V63">
        <f>INDEX('AEO 2026 Table 5'!$D$15:$AC$120,41,MATCH(V$1,'AEO 2026 Table 5'!$D$10:$AC$10,0))</f>
        <v>0.14368182420730591</v>
      </c>
      <c r="W63">
        <f>INDEX('AEO 2026 Table 5'!$D$15:$AC$120,41,MATCH(W$1,'AEO 2026 Table 5'!$D$10:$AC$10,0))</f>
        <v>0.14368182420730591</v>
      </c>
      <c r="X63">
        <f>INDEX('AEO 2026 Table 5'!$D$15:$AC$120,41,MATCH(X$1,'AEO 2026 Table 5'!$D$10:$AC$10,0))</f>
        <v>0.14368182420730591</v>
      </c>
      <c r="Y63">
        <f>INDEX('AEO 2026 Table 5'!$D$15:$AC$120,41,MATCH(Y$1,'AEO 2026 Table 5'!$D$10:$AC$10,0))</f>
        <v>0.14368182420730591</v>
      </c>
      <c r="Z63">
        <f>INDEX('AEO 2026 Table 5'!$D$15:$AC$120,41,MATCH(Z$1,'AEO 2026 Table 5'!$D$10:$AC$10,0))</f>
        <v>0.14368182420730591</v>
      </c>
      <c r="AA63">
        <f>INDEX('AEO 2026 Table 5'!$D$15:$AC$120,41,MATCH(AA$1,'AEO 2026 Table 5'!$D$10:$AC$10,0))</f>
        <v>0.14368182420730591</v>
      </c>
      <c r="AB63">
        <f>INDEX('AEO 2026 Table 5'!$D$15:$AC$120,41,MATCH(AB$1,'AEO 2026 Table 5'!$D$10:$AC$10,0))</f>
        <v>0.14368182420730591</v>
      </c>
      <c r="AC63">
        <f>INDEX('AEO 2026 Table 5'!$D$15:$AC$120,41,MATCH(AC$1,'AEO 2026 Table 5'!$D$10:$AC$10,0))</f>
        <v>0.14368182420730591</v>
      </c>
      <c r="AD63">
        <f>INDEX('AEO 2026 Table 5'!$D$15:$AC$120,41,MATCH(AD$1,'AEO 2026 Table 5'!$D$10:$AC$10,0))</f>
        <v>0.14368182420730591</v>
      </c>
      <c r="AE63">
        <f>INDEX('AEO 2026 Table 5'!$D$15:$AC$120,41,MATCH(AE$1,'AEO 2026 Table 5'!$D$10:$AC$10,0))</f>
        <v>0.14368182420730591</v>
      </c>
      <c r="AF63">
        <f>INDEX('AEO 2026 Table 5'!$D$15:$AC$120,41,MATCH(AF$1,'AEO 2026 Table 5'!$D$10:$AC$10,0))</f>
        <v>0.14368182420730591</v>
      </c>
    </row>
    <row r="64" spans="1:32" x14ac:dyDescent="0.25">
      <c r="A64" t="s">
        <v>745</v>
      </c>
      <c r="B64" t="str">
        <f t="shared" si="1"/>
        <v>commercial-other-LPG propane or butane (BTU)</v>
      </c>
      <c r="C64" t="s">
        <v>1060</v>
      </c>
      <c r="D64" t="s">
        <v>1052</v>
      </c>
      <c r="E64" s="1" t="s">
        <v>1057</v>
      </c>
      <c r="F64" s="44">
        <f>INDEX('AEO 2025 Table 5'!$F$8:$AG$102,MATCH('Crosswalk AEO to EPS Summary'!$A64,'AEO 2025 Table 5'!$B$8:$B$102,0),MATCH(F$1,'AEO 2025 Table 5'!$F$5:$AG$5,0))</f>
        <v>0.65341099999999996</v>
      </c>
      <c r="G64">
        <f>INDEX('AEO 2026 Table 5'!$D$15:$AC$120,42,MATCH(G$1,'AEO 2026 Table 5'!$D$10:$AC$10,0))</f>
        <v>0.64804857969284058</v>
      </c>
      <c r="H64">
        <f>INDEX('AEO 2026 Table 5'!$D$15:$AC$120,42,MATCH(H$1,'AEO 2026 Table 5'!$D$10:$AC$10,0))</f>
        <v>0.66109436750411987</v>
      </c>
      <c r="I64">
        <f>INDEX('AEO 2026 Table 5'!$D$15:$AC$120,42,MATCH(I$1,'AEO 2026 Table 5'!$D$10:$AC$10,0))</f>
        <v>0.66815906763076782</v>
      </c>
      <c r="J64">
        <f>INDEX('AEO 2026 Table 5'!$D$15:$AC$120,42,MATCH(J$1,'AEO 2026 Table 5'!$D$10:$AC$10,0))</f>
        <v>0.67530959844589233</v>
      </c>
      <c r="K64">
        <f>INDEX('AEO 2026 Table 5'!$D$15:$AC$120,42,MATCH(K$1,'AEO 2026 Table 5'!$D$10:$AC$10,0))</f>
        <v>0.68251526355743408</v>
      </c>
      <c r="L64">
        <f>INDEX('AEO 2026 Table 5'!$D$15:$AC$120,42,MATCH(L$1,'AEO 2026 Table 5'!$D$10:$AC$10,0))</f>
        <v>0.6905861496925354</v>
      </c>
      <c r="M64">
        <f>INDEX('AEO 2026 Table 5'!$D$15:$AC$120,42,MATCH(M$1,'AEO 2026 Table 5'!$D$10:$AC$10,0))</f>
        <v>0.69791728258132935</v>
      </c>
      <c r="N64">
        <f>INDEX('AEO 2026 Table 5'!$D$15:$AC$120,42,MATCH(N$1,'AEO 2026 Table 5'!$D$10:$AC$10,0))</f>
        <v>0.70595133304595947</v>
      </c>
      <c r="O64">
        <f>INDEX('AEO 2026 Table 5'!$D$15:$AC$120,42,MATCH(O$1,'AEO 2026 Table 5'!$D$10:$AC$10,0))</f>
        <v>0.71397119760513306</v>
      </c>
      <c r="P64">
        <f>INDEX('AEO 2026 Table 5'!$D$15:$AC$120,42,MATCH(P$1,'AEO 2026 Table 5'!$D$10:$AC$10,0))</f>
        <v>0.72265666723251343</v>
      </c>
      <c r="Q64">
        <f>INDEX('AEO 2026 Table 5'!$D$15:$AC$120,42,MATCH(Q$1,'AEO 2026 Table 5'!$D$10:$AC$10,0))</f>
        <v>0.73132973909378052</v>
      </c>
      <c r="R64">
        <f>INDEX('AEO 2026 Table 5'!$D$15:$AC$120,42,MATCH(R$1,'AEO 2026 Table 5'!$D$10:$AC$10,0))</f>
        <v>0.74053525924682617</v>
      </c>
      <c r="S64">
        <f>INDEX('AEO 2026 Table 5'!$D$15:$AC$120,42,MATCH(S$1,'AEO 2026 Table 5'!$D$10:$AC$10,0))</f>
        <v>0.74982339143753052</v>
      </c>
      <c r="T64">
        <f>INDEX('AEO 2026 Table 5'!$D$15:$AC$120,42,MATCH(T$1,'AEO 2026 Table 5'!$D$10:$AC$10,0))</f>
        <v>0.75890272855758667</v>
      </c>
      <c r="U64">
        <f>INDEX('AEO 2026 Table 5'!$D$15:$AC$120,42,MATCH(U$1,'AEO 2026 Table 5'!$D$10:$AC$10,0))</f>
        <v>0.76786136627197266</v>
      </c>
      <c r="V64">
        <f>INDEX('AEO 2026 Table 5'!$D$15:$AC$120,42,MATCH(V$1,'AEO 2026 Table 5'!$D$10:$AC$10,0))</f>
        <v>0.77653080224990845</v>
      </c>
      <c r="W64">
        <f>INDEX('AEO 2026 Table 5'!$D$15:$AC$120,42,MATCH(W$1,'AEO 2026 Table 5'!$D$10:$AC$10,0))</f>
        <v>0.78471815586090088</v>
      </c>
      <c r="X64">
        <f>INDEX('AEO 2026 Table 5'!$D$15:$AC$120,42,MATCH(X$1,'AEO 2026 Table 5'!$D$10:$AC$10,0))</f>
        <v>0.79267412424087524</v>
      </c>
      <c r="Y64">
        <f>INDEX('AEO 2026 Table 5'!$D$15:$AC$120,42,MATCH(Y$1,'AEO 2026 Table 5'!$D$10:$AC$10,0))</f>
        <v>0.80039334297180176</v>
      </c>
      <c r="Z64">
        <f>INDEX('AEO 2026 Table 5'!$D$15:$AC$120,42,MATCH(Z$1,'AEO 2026 Table 5'!$D$10:$AC$10,0))</f>
        <v>0.80793756246566772</v>
      </c>
      <c r="AA64">
        <f>INDEX('AEO 2026 Table 5'!$D$15:$AC$120,42,MATCH(AA$1,'AEO 2026 Table 5'!$D$10:$AC$10,0))</f>
        <v>0.81531292200088501</v>
      </c>
      <c r="AB64">
        <f>INDEX('AEO 2026 Table 5'!$D$15:$AC$120,42,MATCH(AB$1,'AEO 2026 Table 5'!$D$10:$AC$10,0))</f>
        <v>0.82266759872436523</v>
      </c>
      <c r="AC64">
        <f>INDEX('AEO 2026 Table 5'!$D$15:$AC$120,42,MATCH(AC$1,'AEO 2026 Table 5'!$D$10:$AC$10,0))</f>
        <v>0.82990443706512451</v>
      </c>
      <c r="AD64">
        <f>INDEX('AEO 2026 Table 5'!$D$15:$AC$120,42,MATCH(AD$1,'AEO 2026 Table 5'!$D$10:$AC$10,0))</f>
        <v>0.83711159229278564</v>
      </c>
      <c r="AE64">
        <f>INDEX('AEO 2026 Table 5'!$D$15:$AC$120,42,MATCH(AE$1,'AEO 2026 Table 5'!$D$10:$AC$10,0))</f>
        <v>0.84429466724395752</v>
      </c>
      <c r="AF64">
        <f>INDEX('AEO 2026 Table 5'!$D$15:$AC$120,42,MATCH(AF$1,'AEO 2026 Table 5'!$D$10:$AC$10,0))</f>
        <v>0.8515092134475708</v>
      </c>
    </row>
    <row r="65" spans="5:32" x14ac:dyDescent="0.25">
      <c r="E65" s="1"/>
    </row>
    <row r="66" spans="5:32" x14ac:dyDescent="0.25">
      <c r="E66" s="1"/>
    </row>
    <row r="67" spans="5:32" x14ac:dyDescent="0.25">
      <c r="E67" s="1"/>
    </row>
    <row r="75" spans="5:32" x14ac:dyDescent="0.25">
      <c r="G75">
        <f>INDEX('AEO 2026 Table 5'!$D$15:$AC$120,53,MATCH(G$1,'AEO 2026 Table 5'!$D$10:$AC$10,0))</f>
        <v>0.21695259213447571</v>
      </c>
      <c r="H75">
        <f>INDEX('AEO 2026 Table 5'!$D$15:$AC$120,53,MATCH(H$1,'AEO 2026 Table 5'!$D$10:$AC$10,0))</f>
        <v>0.2117447704076767</v>
      </c>
      <c r="I75">
        <f>INDEX('AEO 2026 Table 5'!$D$15:$AC$120,53,MATCH(I$1,'AEO 2026 Table 5'!$D$10:$AC$10,0))</f>
        <v>0.20712237060070041</v>
      </c>
      <c r="J75">
        <f>INDEX('AEO 2026 Table 5'!$D$15:$AC$120,53,MATCH(J$1,'AEO 2026 Table 5'!$D$10:$AC$10,0))</f>
        <v>0.2026841789484024</v>
      </c>
      <c r="K75">
        <f>INDEX('AEO 2026 Table 5'!$D$15:$AC$120,53,MATCH(K$1,'AEO 2026 Table 5'!$D$10:$AC$10,0))</f>
        <v>0.1982623636722565</v>
      </c>
      <c r="L75">
        <f>INDEX('AEO 2026 Table 5'!$D$15:$AC$120,53,MATCH(L$1,'AEO 2026 Table 5'!$D$10:$AC$10,0))</f>
        <v>0.19391293823719019</v>
      </c>
      <c r="M75">
        <f>INDEX('AEO 2026 Table 5'!$D$15:$AC$120,53,MATCH(M$1,'AEO 2026 Table 5'!$D$10:$AC$10,0))</f>
        <v>0.1898292750120163</v>
      </c>
      <c r="N75">
        <f>INDEX('AEO 2026 Table 5'!$D$15:$AC$120,53,MATCH(N$1,'AEO 2026 Table 5'!$D$10:$AC$10,0))</f>
        <v>0.18571975827217099</v>
      </c>
      <c r="O75">
        <f>INDEX('AEO 2026 Table 5'!$D$15:$AC$120,53,MATCH(O$1,'AEO 2026 Table 5'!$D$10:$AC$10,0))</f>
        <v>0.18246522545814511</v>
      </c>
      <c r="P75">
        <f>INDEX('AEO 2026 Table 5'!$D$15:$AC$120,53,MATCH(P$1,'AEO 2026 Table 5'!$D$10:$AC$10,0))</f>
        <v>0.17970889806747439</v>
      </c>
      <c r="Q75">
        <f>INDEX('AEO 2026 Table 5'!$D$15:$AC$120,53,MATCH(Q$1,'AEO 2026 Table 5'!$D$10:$AC$10,0))</f>
        <v>0.17706714570522311</v>
      </c>
      <c r="R75">
        <f>INDEX('AEO 2026 Table 5'!$D$15:$AC$120,53,MATCH(R$1,'AEO 2026 Table 5'!$D$10:$AC$10,0))</f>
        <v>0.1750409007072449</v>
      </c>
      <c r="S75">
        <f>INDEX('AEO 2026 Table 5'!$D$15:$AC$120,53,MATCH(S$1,'AEO 2026 Table 5'!$D$10:$AC$10,0))</f>
        <v>0.1731773912906647</v>
      </c>
      <c r="T75">
        <f>INDEX('AEO 2026 Table 5'!$D$15:$AC$120,53,MATCH(T$1,'AEO 2026 Table 5'!$D$10:$AC$10,0))</f>
        <v>0.17144748568534851</v>
      </c>
      <c r="U75">
        <f>INDEX('AEO 2026 Table 5'!$D$15:$AC$120,53,MATCH(U$1,'AEO 2026 Table 5'!$D$10:$AC$10,0))</f>
        <v>0.17038112878799441</v>
      </c>
      <c r="V75">
        <f>INDEX('AEO 2026 Table 5'!$D$15:$AC$120,53,MATCH(V$1,'AEO 2026 Table 5'!$D$10:$AC$10,0))</f>
        <v>0.16903424263000491</v>
      </c>
      <c r="W75">
        <f>INDEX('AEO 2026 Table 5'!$D$15:$AC$120,53,MATCH(W$1,'AEO 2026 Table 5'!$D$10:$AC$10,0))</f>
        <v>0.16736727952957151</v>
      </c>
      <c r="X75">
        <f>INDEX('AEO 2026 Table 5'!$D$15:$AC$120,53,MATCH(X$1,'AEO 2026 Table 5'!$D$10:$AC$10,0))</f>
        <v>0.16648046672344211</v>
      </c>
      <c r="Y75">
        <f>INDEX('AEO 2026 Table 5'!$D$15:$AC$120,53,MATCH(Y$1,'AEO 2026 Table 5'!$D$10:$AC$10,0))</f>
        <v>0.1648089736700058</v>
      </c>
      <c r="Z75">
        <f>INDEX('AEO 2026 Table 5'!$D$15:$AC$120,53,MATCH(Z$1,'AEO 2026 Table 5'!$D$10:$AC$10,0))</f>
        <v>0.1634516566991806</v>
      </c>
      <c r="AA75">
        <f>INDEX('AEO 2026 Table 5'!$D$15:$AC$120,53,MATCH(AA$1,'AEO 2026 Table 5'!$D$10:$AC$10,0))</f>
        <v>0.1618640869855881</v>
      </c>
      <c r="AB75">
        <f>INDEX('AEO 2026 Table 5'!$D$15:$AC$120,53,MATCH(AB$1,'AEO 2026 Table 5'!$D$10:$AC$10,0))</f>
        <v>0.16062961518764499</v>
      </c>
      <c r="AC75">
        <f>INDEX('AEO 2026 Table 5'!$D$15:$AC$120,53,MATCH(AC$1,'AEO 2026 Table 5'!$D$10:$AC$10,0))</f>
        <v>0.15854467451572421</v>
      </c>
      <c r="AD75">
        <f>INDEX('AEO 2026 Table 5'!$D$15:$AC$120,53,MATCH(AD$1,'AEO 2026 Table 5'!$D$10:$AC$10,0))</f>
        <v>0.1562098562717438</v>
      </c>
      <c r="AE75">
        <f>INDEX('AEO 2026 Table 5'!$D$15:$AC$120,53,MATCH(AE$1,'AEO 2026 Table 5'!$D$10:$AC$10,0))</f>
        <v>0.1536378413438797</v>
      </c>
      <c r="AF75">
        <f>INDEX('AEO 2026 Table 5'!$D$15:$AC$120,53,MATCH(AF$1,'AEO 2026 Table 5'!$D$10:$AC$10,0))</f>
        <v>0.15080669522285459</v>
      </c>
    </row>
    <row r="76" spans="5:32" x14ac:dyDescent="0.25">
      <c r="G76">
        <f>0</f>
        <v>0</v>
      </c>
      <c r="H76">
        <f>0</f>
        <v>0</v>
      </c>
      <c r="I76">
        <f>0</f>
        <v>0</v>
      </c>
      <c r="J76">
        <f>0</f>
        <v>0</v>
      </c>
      <c r="K76">
        <f>0</f>
        <v>0</v>
      </c>
      <c r="L76">
        <f>0</f>
        <v>0</v>
      </c>
      <c r="M76">
        <f>0</f>
        <v>0</v>
      </c>
      <c r="N76">
        <f>0</f>
        <v>0</v>
      </c>
      <c r="O76">
        <f>0</f>
        <v>0</v>
      </c>
      <c r="P76">
        <f>0</f>
        <v>0</v>
      </c>
      <c r="Q76">
        <f>0</f>
        <v>0</v>
      </c>
      <c r="R76">
        <f>0</f>
        <v>0</v>
      </c>
      <c r="S76">
        <f>0</f>
        <v>0</v>
      </c>
      <c r="T76">
        <f>0</f>
        <v>0</v>
      </c>
      <c r="U76">
        <f>0</f>
        <v>0</v>
      </c>
      <c r="V76">
        <f>0</f>
        <v>0</v>
      </c>
      <c r="W76">
        <f>0</f>
        <v>0</v>
      </c>
      <c r="X76">
        <f>0</f>
        <v>0</v>
      </c>
      <c r="Y76">
        <f>0</f>
        <v>0</v>
      </c>
      <c r="Z76">
        <f>0</f>
        <v>0</v>
      </c>
      <c r="AA76">
        <f>0</f>
        <v>0</v>
      </c>
      <c r="AB76">
        <f>0</f>
        <v>0</v>
      </c>
      <c r="AC76">
        <f>0</f>
        <v>0</v>
      </c>
      <c r="AD76">
        <f>0</f>
        <v>0</v>
      </c>
      <c r="AE76">
        <f>0</f>
        <v>0</v>
      </c>
      <c r="AF76">
        <f>0</f>
        <v>0</v>
      </c>
    </row>
    <row r="91" spans="7:32" x14ac:dyDescent="0.25">
      <c r="G91">
        <f>INDEX('AEO 2026 Table 5'!$D$15:$AC$120,71,MATCH(G$1,'AEO 2026 Table 5'!$D$10:$AC$10,0))</f>
        <v>0.50583040714263916</v>
      </c>
      <c r="H91">
        <f>INDEX('AEO 2026 Table 5'!$D$15:$AC$120,71,MATCH(H$1,'AEO 2026 Table 5'!$D$10:$AC$10,0))</f>
        <v>0.49034678936004639</v>
      </c>
      <c r="I91">
        <f>INDEX('AEO 2026 Table 5'!$D$15:$AC$120,71,MATCH(I$1,'AEO 2026 Table 5'!$D$10:$AC$10,0))</f>
        <v>0.45815384387969971</v>
      </c>
      <c r="J91">
        <f>INDEX('AEO 2026 Table 5'!$D$15:$AC$120,71,MATCH(J$1,'AEO 2026 Table 5'!$D$10:$AC$10,0))</f>
        <v>0.437538743019104</v>
      </c>
      <c r="K91">
        <f>INDEX('AEO 2026 Table 5'!$D$15:$AC$120,71,MATCH(K$1,'AEO 2026 Table 5'!$D$10:$AC$10,0))</f>
        <v>0.42269212007522577</v>
      </c>
      <c r="L91">
        <f>INDEX('AEO 2026 Table 5'!$D$15:$AC$120,71,MATCH(L$1,'AEO 2026 Table 5'!$D$10:$AC$10,0))</f>
        <v>0.40934976935386658</v>
      </c>
      <c r="M91">
        <f>INDEX('AEO 2026 Table 5'!$D$15:$AC$120,71,MATCH(M$1,'AEO 2026 Table 5'!$D$10:$AC$10,0))</f>
        <v>0.39391446113586431</v>
      </c>
      <c r="N91">
        <f>INDEX('AEO 2026 Table 5'!$D$15:$AC$120,71,MATCH(N$1,'AEO 2026 Table 5'!$D$10:$AC$10,0))</f>
        <v>0.38144141435623169</v>
      </c>
      <c r="O91">
        <f>INDEX('AEO 2026 Table 5'!$D$15:$AC$120,71,MATCH(O$1,'AEO 2026 Table 5'!$D$10:$AC$10,0))</f>
        <v>0.37238830327987671</v>
      </c>
      <c r="P91">
        <f>INDEX('AEO 2026 Table 5'!$D$15:$AC$120,71,MATCH(P$1,'AEO 2026 Table 5'!$D$10:$AC$10,0))</f>
        <v>0.36299681663513178</v>
      </c>
      <c r="Q91">
        <f>INDEX('AEO 2026 Table 5'!$D$15:$AC$120,71,MATCH(Q$1,'AEO 2026 Table 5'!$D$10:$AC$10,0))</f>
        <v>0.35490265488624573</v>
      </c>
      <c r="R91">
        <f>INDEX('AEO 2026 Table 5'!$D$15:$AC$120,71,MATCH(R$1,'AEO 2026 Table 5'!$D$10:$AC$10,0))</f>
        <v>0.3481096625328064</v>
      </c>
      <c r="S91">
        <f>INDEX('AEO 2026 Table 5'!$D$15:$AC$120,71,MATCH(S$1,'AEO 2026 Table 5'!$D$10:$AC$10,0))</f>
        <v>0.34259879589080811</v>
      </c>
      <c r="T91">
        <f>INDEX('AEO 2026 Table 5'!$D$15:$AC$120,71,MATCH(T$1,'AEO 2026 Table 5'!$D$10:$AC$10,0))</f>
        <v>0.33782732486724848</v>
      </c>
      <c r="U91">
        <f>INDEX('AEO 2026 Table 5'!$D$15:$AC$120,71,MATCH(U$1,'AEO 2026 Table 5'!$D$10:$AC$10,0))</f>
        <v>0.33402177691459661</v>
      </c>
      <c r="V91">
        <f>INDEX('AEO 2026 Table 5'!$D$15:$AC$120,71,MATCH(V$1,'AEO 2026 Table 5'!$D$10:$AC$10,0))</f>
        <v>0.32934880256652832</v>
      </c>
      <c r="W91">
        <f>INDEX('AEO 2026 Table 5'!$D$15:$AC$120,71,MATCH(W$1,'AEO 2026 Table 5'!$D$10:$AC$10,0))</f>
        <v>0.32421356439590449</v>
      </c>
      <c r="X91">
        <f>INDEX('AEO 2026 Table 5'!$D$15:$AC$120,71,MATCH(X$1,'AEO 2026 Table 5'!$D$10:$AC$10,0))</f>
        <v>0.32134771347045898</v>
      </c>
      <c r="Y91">
        <f>INDEX('AEO 2026 Table 5'!$D$15:$AC$120,71,MATCH(Y$1,'AEO 2026 Table 5'!$D$10:$AC$10,0))</f>
        <v>0.3172488808631897</v>
      </c>
      <c r="Z91">
        <f>INDEX('AEO 2026 Table 5'!$D$15:$AC$120,71,MATCH(Z$1,'AEO 2026 Table 5'!$D$10:$AC$10,0))</f>
        <v>0.31383344531059271</v>
      </c>
      <c r="AA91">
        <f>INDEX('AEO 2026 Table 5'!$D$15:$AC$120,71,MATCH(AA$1,'AEO 2026 Table 5'!$D$10:$AC$10,0))</f>
        <v>0.3100292980670929</v>
      </c>
      <c r="AB91">
        <f>INDEX('AEO 2026 Table 5'!$D$15:$AC$120,71,MATCH(AB$1,'AEO 2026 Table 5'!$D$10:$AC$10,0))</f>
        <v>0.3069455623626709</v>
      </c>
      <c r="AC91">
        <f>INDEX('AEO 2026 Table 5'!$D$15:$AC$120,71,MATCH(AC$1,'AEO 2026 Table 5'!$D$10:$AC$10,0))</f>
        <v>0.30237311124801641</v>
      </c>
      <c r="AD91">
        <f>INDEX('AEO 2026 Table 5'!$D$15:$AC$120,71,MATCH(AD$1,'AEO 2026 Table 5'!$D$10:$AC$10,0))</f>
        <v>0.29731231927871699</v>
      </c>
      <c r="AE91">
        <f>INDEX('AEO 2026 Table 5'!$D$15:$AC$120,71,MATCH(AE$1,'AEO 2026 Table 5'!$D$10:$AC$10,0))</f>
        <v>0.29134726524353027</v>
      </c>
      <c r="AF91">
        <f>INDEX('AEO 2026 Table 5'!$D$15:$AC$120,71,MATCH(AF$1,'AEO 2026 Table 5'!$D$10:$AC$10,0))</f>
        <v>0.28533118963241583</v>
      </c>
    </row>
    <row r="92" spans="7:32" x14ac:dyDescent="0.25">
      <c r="G92">
        <f>0</f>
        <v>0</v>
      </c>
      <c r="H92">
        <f>0</f>
        <v>0</v>
      </c>
      <c r="I92">
        <f>0</f>
        <v>0</v>
      </c>
      <c r="J92">
        <f>0</f>
        <v>0</v>
      </c>
      <c r="K92">
        <f>0</f>
        <v>0</v>
      </c>
      <c r="L92">
        <f>0</f>
        <v>0</v>
      </c>
      <c r="M92">
        <f>0</f>
        <v>0</v>
      </c>
      <c r="N92">
        <f>0</f>
        <v>0</v>
      </c>
      <c r="O92">
        <f>0</f>
        <v>0</v>
      </c>
      <c r="P92">
        <f>0</f>
        <v>0</v>
      </c>
      <c r="Q92">
        <f>0</f>
        <v>0</v>
      </c>
      <c r="R92">
        <f>0</f>
        <v>0</v>
      </c>
      <c r="S92">
        <f>0</f>
        <v>0</v>
      </c>
      <c r="T92">
        <f>0</f>
        <v>0</v>
      </c>
      <c r="U92">
        <f>0</f>
        <v>0</v>
      </c>
      <c r="V92">
        <f>0</f>
        <v>0</v>
      </c>
      <c r="W92">
        <f>0</f>
        <v>0</v>
      </c>
      <c r="X92">
        <f>0</f>
        <v>0</v>
      </c>
      <c r="Y92">
        <f>0</f>
        <v>0</v>
      </c>
      <c r="Z92">
        <f>0</f>
        <v>0</v>
      </c>
      <c r="AA92">
        <f>0</f>
        <v>0</v>
      </c>
      <c r="AB92">
        <f>0</f>
        <v>0</v>
      </c>
      <c r="AC92">
        <f>0</f>
        <v>0</v>
      </c>
      <c r="AD92">
        <f>0</f>
        <v>0</v>
      </c>
      <c r="AE92">
        <f>0</f>
        <v>0</v>
      </c>
      <c r="AF92">
        <f>0</f>
        <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zoomScale="80" zoomScaleNormal="80" workbookViewId="0">
      <selection activeCell="F5" sqref="F5"/>
    </sheetView>
  </sheetViews>
  <sheetFormatPr defaultRowHeight="15" x14ac:dyDescent="0.25"/>
  <cols>
    <col min="1" max="1" width="3.28515625" customWidth="1"/>
    <col min="2" max="2" width="56.28515625" bestFit="1" customWidth="1"/>
    <col min="3" max="4" width="13.85546875" customWidth="1"/>
    <col min="5" max="5" width="28.85546875" bestFit="1" customWidth="1"/>
    <col min="6" max="33" width="11.28515625" customWidth="1"/>
  </cols>
  <sheetData>
    <row r="1" spans="1:32" x14ac:dyDescent="0.25">
      <c r="B1" s="56"/>
    </row>
    <row r="2" spans="1:32" ht="18.75" customHeight="1" x14ac:dyDescent="0.3">
      <c r="A2" s="10" t="s">
        <v>1061</v>
      </c>
    </row>
    <row r="3" spans="1:32" x14ac:dyDescent="0.25">
      <c r="B3" s="1" t="s">
        <v>1062</v>
      </c>
    </row>
    <row r="4" spans="1:32" x14ac:dyDescent="0.25">
      <c r="E4" t="s">
        <v>1026</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25">
      <c r="B5" s="53" t="str">
        <f t="shared" ref="B5:B14" si="0">C5&amp;"-"&amp;D5&amp;"-"&amp;E5</f>
        <v>residential-heating-electricity (BTU)</v>
      </c>
      <c r="C5" t="s">
        <v>1046</v>
      </c>
      <c r="D5" t="s">
        <v>1047</v>
      </c>
      <c r="E5" t="s">
        <v>1048</v>
      </c>
      <c r="F5">
        <f>SUMIFS('Crosswalk AEO to EPS Summary'!F:F,'Crosswalk AEO to EPS Summary'!$B:$B,$B5)*Percent_urban*quadrillion</f>
        <v>429356810815186.56</v>
      </c>
      <c r="G5">
        <f>SUMIFS('Crosswalk AEO to EPS Summary'!G:G,'Crosswalk AEO to EPS Summary'!$B:$B,$B5)*Percent_urban*quadrillion</f>
        <v>483773028634339.81</v>
      </c>
      <c r="H5">
        <f>SUMIFS('Crosswalk AEO to EPS Summary'!H:H,'Crosswalk AEO to EPS Summary'!$B:$B,$B5)*Percent_urban*quadrillion</f>
        <v>459871752849024.5</v>
      </c>
      <c r="I5">
        <f>SUMIFS('Crosswalk AEO to EPS Summary'!I:I,'Crosswalk AEO to EPS Summary'!$B:$B,$B5)*Percent_urban*quadrillion</f>
        <v>460342273554278.31</v>
      </c>
      <c r="J5">
        <f>SUMIFS('Crosswalk AEO to EPS Summary'!J:J,'Crosswalk AEO to EPS Summary'!$B:$B,$B5)*Percent_urban*quadrillion</f>
        <v>460976347298308.06</v>
      </c>
      <c r="K5">
        <f>SUMIFS('Crosswalk AEO to EPS Summary'!K:K,'Crosswalk AEO to EPS Summary'!$B:$B,$B5)*Percent_urban*quadrillion</f>
        <v>460055184112685.13</v>
      </c>
      <c r="L5">
        <f>SUMIFS('Crosswalk AEO to EPS Summary'!L:L,'Crosswalk AEO to EPS Summary'!$B:$B,$B5)*Percent_urban*quadrillion</f>
        <v>457175703552497.38</v>
      </c>
      <c r="M5">
        <f>SUMIFS('Crosswalk AEO to EPS Summary'!M:M,'Crosswalk AEO to EPS Summary'!$B:$B,$B5)*Percent_urban*quadrillion</f>
        <v>453407531043147.38</v>
      </c>
      <c r="N5">
        <f>SUMIFS('Crosswalk AEO to EPS Summary'!N:N,'Crosswalk AEO to EPS Summary'!$B:$B,$B5)*Percent_urban*quadrillion</f>
        <v>449649713944143.13</v>
      </c>
      <c r="O5">
        <f>SUMIFS('Crosswalk AEO to EPS Summary'!O:O,'Crosswalk AEO to EPS Summary'!$B:$B,$B5)*Percent_urban*quadrillion</f>
        <v>446109724723063.13</v>
      </c>
      <c r="P5">
        <f>SUMIFS('Crosswalk AEO to EPS Summary'!P:P,'Crosswalk AEO to EPS Summary'!$B:$B,$B5)*Percent_urban*quadrillion</f>
        <v>442398741138185</v>
      </c>
      <c r="Q5">
        <f>SUMIFS('Crosswalk AEO to EPS Summary'!Q:Q,'Crosswalk AEO to EPS Summary'!$B:$B,$B5)*Percent_urban*quadrillion</f>
        <v>438760765798105.63</v>
      </c>
      <c r="R5">
        <f>SUMIFS('Crosswalk AEO to EPS Summary'!R:R,'Crosswalk AEO to EPS Summary'!$B:$B,$B5)*Percent_urban*quadrillion</f>
        <v>435309968402817.13</v>
      </c>
      <c r="S5">
        <f>SUMIFS('Crosswalk AEO to EPS Summary'!S:S,'Crosswalk AEO to EPS Summary'!$B:$B,$B5)*Percent_urban*quadrillion</f>
        <v>431623858617663.75</v>
      </c>
      <c r="T5">
        <f>SUMIFS('Crosswalk AEO to EPS Summary'!T:T,'Crosswalk AEO to EPS Summary'!$B:$B,$B5)*Percent_urban*quadrillion</f>
        <v>428109523754877.31</v>
      </c>
      <c r="U5">
        <f>SUMIFS('Crosswalk AEO to EPS Summary'!U:U,'Crosswalk AEO to EPS Summary'!$B:$B,$B5)*Percent_urban*quadrillion</f>
        <v>424465694225532.19</v>
      </c>
      <c r="V5">
        <f>SUMIFS('Crosswalk AEO to EPS Summary'!V:V,'Crosswalk AEO to EPS Summary'!$B:$B,$B5)*Percent_urban*quadrillion</f>
        <v>420783305102890</v>
      </c>
      <c r="W5">
        <f>SUMIFS('Crosswalk AEO to EPS Summary'!W:W,'Crosswalk AEO to EPS Summary'!$B:$B,$B5)*Percent_urban*quadrillion</f>
        <v>416933538204484.69</v>
      </c>
      <c r="X5">
        <f>SUMIFS('Crosswalk AEO to EPS Summary'!X:X,'Crosswalk AEO to EPS Summary'!$B:$B,$B5)*Percent_urban*quadrillion</f>
        <v>413458205251517.81</v>
      </c>
      <c r="Y5">
        <f>SUMIFS('Crosswalk AEO to EPS Summary'!Y:Y,'Crosswalk AEO to EPS Summary'!$B:$B,$B5)*Percent_urban*quadrillion</f>
        <v>410108802414312.31</v>
      </c>
      <c r="Z5">
        <f>SUMIFS('Crosswalk AEO to EPS Summary'!Z:Z,'Crosswalk AEO to EPS Summary'!$B:$B,$B5)*Percent_urban*quadrillion</f>
        <v>406562230482635.75</v>
      </c>
      <c r="AA5">
        <f>SUMIFS('Crosswalk AEO to EPS Summary'!AA:AA,'Crosswalk AEO to EPS Summary'!$B:$B,$B5)*Percent_urban*quadrillion</f>
        <v>403255107901238.56</v>
      </c>
      <c r="AB5">
        <f>SUMIFS('Crosswalk AEO to EPS Summary'!AB:AB,'Crosswalk AEO to EPS Summary'!$B:$B,$B5)*Percent_urban*quadrillion</f>
        <v>399661051989961.88</v>
      </c>
      <c r="AC5">
        <f>SUMIFS('Crosswalk AEO to EPS Summary'!AC:AC,'Crosswalk AEO to EPS Summary'!$B:$B,$B5)*Percent_urban*quadrillion</f>
        <v>395694045194527.63</v>
      </c>
      <c r="AD5">
        <f>SUMIFS('Crosswalk AEO to EPS Summary'!AD:AD,'Crosswalk AEO to EPS Summary'!$B:$B,$B5)*Percent_urban*quadrillion</f>
        <v>391768225872905.31</v>
      </c>
      <c r="AE5">
        <f>SUMIFS('Crosswalk AEO to EPS Summary'!AE:AE,'Crosswalk AEO to EPS Summary'!$B:$B,$B5)*Percent_urban*quadrillion</f>
        <v>387996722980328.69</v>
      </c>
      <c r="AF5">
        <f>SUMIFS('Crosswalk AEO to EPS Summary'!AF:AF,'Crosswalk AEO to EPS Summary'!$B:$B,$B5)*Percent_urban*quadrillion</f>
        <v>384147840714968</v>
      </c>
    </row>
    <row r="6" spans="1:32" x14ac:dyDescent="0.25">
      <c r="B6" s="53" t="str">
        <f t="shared" si="0"/>
        <v>residential-heating-coal (BTU)</v>
      </c>
      <c r="C6" t="s">
        <v>1046</v>
      </c>
      <c r="D6" t="s">
        <v>1047</v>
      </c>
      <c r="E6" t="s">
        <v>1063</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B7" s="53" t="str">
        <f t="shared" si="0"/>
        <v>residential-heating-natural gas (BTU)</v>
      </c>
      <c r="C7" t="s">
        <v>1046</v>
      </c>
      <c r="D7" t="s">
        <v>1047</v>
      </c>
      <c r="E7" t="s">
        <v>1055</v>
      </c>
      <c r="F7">
        <f>SUMIFS('Crosswalk AEO to EPS Summary'!F:F,'Crosswalk AEO to EPS Summary'!$B:$B,$B7)*Percent_urban*quadrillion</f>
        <v>2258669807172347</v>
      </c>
      <c r="G7">
        <f>SUMIFS('Crosswalk AEO to EPS Summary'!G:G,'Crosswalk AEO to EPS Summary'!$B:$B,$B7)*Percent_urban*quadrillion</f>
        <v>2535213017868372</v>
      </c>
      <c r="H7">
        <f>SUMIFS('Crosswalk AEO to EPS Summary'!H:H,'Crosswalk AEO to EPS Summary'!$B:$B,$B7)*Percent_urban*quadrillion</f>
        <v>2382111970551606.5</v>
      </c>
      <c r="I7">
        <f>SUMIFS('Crosswalk AEO to EPS Summary'!I:I,'Crosswalk AEO to EPS Summary'!$B:$B,$B7)*Percent_urban*quadrillion</f>
        <v>2477515585507650</v>
      </c>
      <c r="J7">
        <f>SUMIFS('Crosswalk AEO to EPS Summary'!J:J,'Crosswalk AEO to EPS Summary'!$B:$B,$B7)*Percent_urban*quadrillion</f>
        <v>2462287408203351.5</v>
      </c>
      <c r="K7">
        <f>SUMIFS('Crosswalk AEO to EPS Summary'!K:K,'Crosswalk AEO to EPS Summary'!$B:$B,$B7)*Percent_urban*quadrillion</f>
        <v>2432708817723953.5</v>
      </c>
      <c r="L7">
        <f>SUMIFS('Crosswalk AEO to EPS Summary'!L:L,'Crosswalk AEO to EPS Summary'!$B:$B,$B7)*Percent_urban*quadrillion</f>
        <v>2396569164138913.5</v>
      </c>
      <c r="M7">
        <f>SUMIFS('Crosswalk AEO to EPS Summary'!M:M,'Crosswalk AEO to EPS Summary'!$B:$B,$B7)*Percent_urban*quadrillion</f>
        <v>2358254145859953</v>
      </c>
      <c r="N7">
        <f>SUMIFS('Crosswalk AEO to EPS Summary'!N:N,'Crosswalk AEO to EPS Summary'!$B:$B,$B7)*Percent_urban*quadrillion</f>
        <v>2322569505883267.5</v>
      </c>
      <c r="O7">
        <f>SUMIFS('Crosswalk AEO to EPS Summary'!O:O,'Crosswalk AEO to EPS Summary'!$B:$B,$B7)*Percent_urban*quadrillion</f>
        <v>2287303661597344.5</v>
      </c>
      <c r="P7">
        <f>SUMIFS('Crosswalk AEO to EPS Summary'!P:P,'Crosswalk AEO to EPS Summary'!$B:$B,$B7)*Percent_urban*quadrillion</f>
        <v>2254183624854205</v>
      </c>
      <c r="Q7">
        <f>SUMIFS('Crosswalk AEO to EPS Summary'!Q:Q,'Crosswalk AEO to EPS Summary'!$B:$B,$B7)*Percent_urban*quadrillion</f>
        <v>2222005253968428.8</v>
      </c>
      <c r="R7">
        <f>SUMIFS('Crosswalk AEO to EPS Summary'!R:R,'Crosswalk AEO to EPS Summary'!$B:$B,$B7)*Percent_urban*quadrillion</f>
        <v>2191835520466283.5</v>
      </c>
      <c r="S7">
        <f>SUMIFS('Crosswalk AEO to EPS Summary'!S:S,'Crosswalk AEO to EPS Summary'!$B:$B,$B7)*Percent_urban*quadrillion</f>
        <v>2161213062994252.5</v>
      </c>
      <c r="T7">
        <f>SUMIFS('Crosswalk AEO to EPS Summary'!T:T,'Crosswalk AEO to EPS Summary'!$B:$B,$B7)*Percent_urban*quadrillion</f>
        <v>2132095938740710.5</v>
      </c>
      <c r="U7">
        <f>SUMIFS('Crosswalk AEO to EPS Summary'!U:U,'Crosswalk AEO to EPS Summary'!$B:$B,$B7)*Percent_urban*quadrillion</f>
        <v>2103556011530154.3</v>
      </c>
      <c r="V7">
        <f>SUMIFS('Crosswalk AEO to EPS Summary'!V:V,'Crosswalk AEO to EPS Summary'!$B:$B,$B7)*Percent_urban*quadrillion</f>
        <v>2076052041652068.3</v>
      </c>
      <c r="W7">
        <f>SUMIFS('Crosswalk AEO to EPS Summary'!W:W,'Crosswalk AEO to EPS Summary'!$B:$B,$B7)*Percent_urban*quadrillion</f>
        <v>2048916911716344</v>
      </c>
      <c r="X7">
        <f>SUMIFS('Crosswalk AEO to EPS Summary'!X:X,'Crosswalk AEO to EPS Summary'!$B:$B,$B7)*Percent_urban*quadrillion</f>
        <v>2024848856583502</v>
      </c>
      <c r="Y7">
        <f>SUMIFS('Crosswalk AEO to EPS Summary'!Y:Y,'Crosswalk AEO to EPS Summary'!$B:$B,$B7)*Percent_urban*quadrillion</f>
        <v>2002300496946814.3</v>
      </c>
      <c r="Z7">
        <f>SUMIFS('Crosswalk AEO to EPS Summary'!Z:Z,'Crosswalk AEO to EPS Summary'!$B:$B,$B7)*Percent_urban*quadrillion</f>
        <v>1981191071013033.5</v>
      </c>
      <c r="AA7">
        <f>SUMIFS('Crosswalk AEO to EPS Summary'!AA:AA,'Crosswalk AEO to EPS Summary'!$B:$B,$B7)*Percent_urban*quadrillion</f>
        <v>1961228753951914.5</v>
      </c>
      <c r="AB7">
        <f>SUMIFS('Crosswalk AEO to EPS Summary'!AB:AB,'Crosswalk AEO to EPS Summary'!$B:$B,$B7)*Percent_urban*quadrillion</f>
        <v>1940544992624301.8</v>
      </c>
      <c r="AC7">
        <f>SUMIFS('Crosswalk AEO to EPS Summary'!AC:AC,'Crosswalk AEO to EPS Summary'!$B:$B,$B7)*Percent_urban*quadrillion</f>
        <v>1918843799220917.8</v>
      </c>
      <c r="AD7">
        <f>SUMIFS('Crosswalk AEO to EPS Summary'!AD:AD,'Crosswalk AEO to EPS Summary'!$B:$B,$B7)*Percent_urban*quadrillion</f>
        <v>1897409244624625.5</v>
      </c>
      <c r="AE7">
        <f>SUMIFS('Crosswalk AEO to EPS Summary'!AE:AE,'Crosswalk AEO to EPS Summary'!$B:$B,$B7)*Percent_urban*quadrillion</f>
        <v>1876330624735691.8</v>
      </c>
      <c r="AF7">
        <f>SUMIFS('Crosswalk AEO to EPS Summary'!AF:AF,'Crosswalk AEO to EPS Summary'!$B:$B,$B7)*Percent_urban*quadrillion</f>
        <v>1855964706857281.5</v>
      </c>
    </row>
    <row r="8" spans="1:32" x14ac:dyDescent="0.25">
      <c r="B8" s="53" t="str">
        <f t="shared" si="0"/>
        <v>residential-heating-petroleum diesel (BTU)</v>
      </c>
      <c r="C8" t="s">
        <v>1046</v>
      </c>
      <c r="D8" t="s">
        <v>1047</v>
      </c>
      <c r="E8" t="s">
        <v>1056</v>
      </c>
      <c r="F8">
        <f>SUMIFS('Crosswalk AEO to EPS Summary'!F:F,'Crosswalk AEO to EPS Summary'!$B:$B,$B8)*Percent_urban*quadrillion</f>
        <v>308793848295960.44</v>
      </c>
      <c r="G8">
        <f>SUMIFS('Crosswalk AEO to EPS Summary'!G:G,'Crosswalk AEO to EPS Summary'!$B:$B,$B8)*Percent_urban*quadrillion</f>
        <v>345858867073585.31</v>
      </c>
      <c r="H8">
        <f>SUMIFS('Crosswalk AEO to EPS Summary'!H:H,'Crosswalk AEO to EPS Summary'!$B:$B,$B8)*Percent_urban*quadrillion</f>
        <v>332681295185299.13</v>
      </c>
      <c r="I8">
        <f>SUMIFS('Crosswalk AEO to EPS Summary'!I:I,'Crosswalk AEO to EPS Summary'!$B:$B,$B8)*Percent_urban*quadrillion</f>
        <v>329149814052618.81</v>
      </c>
      <c r="J8">
        <f>SUMIFS('Crosswalk AEO to EPS Summary'!J:J,'Crosswalk AEO to EPS Summary'!$B:$B,$B8)*Percent_urban*quadrillion</f>
        <v>323955587056747.31</v>
      </c>
      <c r="K8">
        <f>SUMIFS('Crosswalk AEO to EPS Summary'!K:K,'Crosswalk AEO to EPS Summary'!$B:$B,$B8)*Percent_urban*quadrillion</f>
        <v>318399467089775.75</v>
      </c>
      <c r="L8">
        <f>SUMIFS('Crosswalk AEO to EPS Summary'!L:L,'Crosswalk AEO to EPS Summary'!$B:$B,$B8)*Percent_urban*quadrillion</f>
        <v>313376234457702.56</v>
      </c>
      <c r="M8">
        <f>SUMIFS('Crosswalk AEO to EPS Summary'!M:M,'Crosswalk AEO to EPS Summary'!$B:$B,$B8)*Percent_urban*quadrillion</f>
        <v>308272109939285.94</v>
      </c>
      <c r="N8">
        <f>SUMIFS('Crosswalk AEO to EPS Summary'!N:N,'Crosswalk AEO to EPS Summary'!$B:$B,$B8)*Percent_urban*quadrillion</f>
        <v>303424320854853.06</v>
      </c>
      <c r="O8">
        <f>SUMIFS('Crosswalk AEO to EPS Summary'!O:O,'Crosswalk AEO to EPS Summary'!$B:$B,$B8)*Percent_urban*quadrillion</f>
        <v>298636660798834.25</v>
      </c>
      <c r="P8">
        <f>SUMIFS('Crosswalk AEO to EPS Summary'!P:P,'Crosswalk AEO to EPS Summary'!$B:$B,$B8)*Percent_urban*quadrillion</f>
        <v>294235845569497.25</v>
      </c>
      <c r="Q8">
        <f>SUMIFS('Crosswalk AEO to EPS Summary'!Q:Q,'Crosswalk AEO to EPS Summary'!$B:$B,$B8)*Percent_urban*quadrillion</f>
        <v>289902418563264</v>
      </c>
      <c r="R8">
        <f>SUMIFS('Crosswalk AEO to EPS Summary'!R:R,'Crosswalk AEO to EPS Summary'!$B:$B,$B8)*Percent_urban*quadrillion</f>
        <v>285746100296284.25</v>
      </c>
      <c r="S8">
        <f>SUMIFS('Crosswalk AEO to EPS Summary'!S:S,'Crosswalk AEO to EPS Summary'!$B:$B,$B8)*Percent_urban*quadrillion</f>
        <v>281715113716829.94</v>
      </c>
      <c r="T8">
        <f>SUMIFS('Crosswalk AEO to EPS Summary'!T:T,'Crosswalk AEO to EPS Summary'!$B:$B,$B8)*Percent_urban*quadrillion</f>
        <v>277834540773577.22</v>
      </c>
      <c r="U8">
        <f>SUMIFS('Crosswalk AEO to EPS Summary'!U:U,'Crosswalk AEO to EPS Summary'!$B:$B,$B8)*Percent_urban*quadrillion</f>
        <v>274098735426212.22</v>
      </c>
      <c r="V8">
        <f>SUMIFS('Crosswalk AEO to EPS Summary'!V:V,'Crosswalk AEO to EPS Summary'!$B:$B,$B8)*Percent_urban*quadrillion</f>
        <v>270411714989395.25</v>
      </c>
      <c r="W8">
        <f>SUMIFS('Crosswalk AEO to EPS Summary'!W:W,'Crosswalk AEO to EPS Summary'!$B:$B,$B8)*Percent_urban*quadrillion</f>
        <v>266756515323565.16</v>
      </c>
      <c r="X8">
        <f>SUMIFS('Crosswalk AEO to EPS Summary'!X:X,'Crosswalk AEO to EPS Summary'!$B:$B,$B8)*Percent_urban*quadrillion</f>
        <v>263257739594916.22</v>
      </c>
      <c r="Y8">
        <f>SUMIFS('Crosswalk AEO to EPS Summary'!Y:Y,'Crosswalk AEO to EPS Summary'!$B:$B,$B8)*Percent_urban*quadrillion</f>
        <v>259807306460293</v>
      </c>
      <c r="Z8">
        <f>SUMIFS('Crosswalk AEO to EPS Summary'!Z:Z,'Crosswalk AEO to EPS Summary'!$B:$B,$B8)*Percent_urban*quadrillion</f>
        <v>256468363107909</v>
      </c>
      <c r="AA8">
        <f>SUMIFS('Crosswalk AEO to EPS Summary'!AA:AA,'Crosswalk AEO to EPS Summary'!$B:$B,$B8)*Percent_urban*quadrillion</f>
        <v>253170451117623.25</v>
      </c>
      <c r="AB8">
        <f>SUMIFS('Crosswalk AEO to EPS Summary'!AB:AB,'Crosswalk AEO to EPS Summary'!$B:$B,$B8)*Percent_urban*quadrillion</f>
        <v>249942893473002.5</v>
      </c>
      <c r="AC8">
        <f>SUMIFS('Crosswalk AEO to EPS Summary'!AC:AC,'Crosswalk AEO to EPS Summary'!$B:$B,$B8)*Percent_urban*quadrillion</f>
        <v>246704069766372.53</v>
      </c>
      <c r="AD8">
        <f>SUMIFS('Crosswalk AEO to EPS Summary'!AD:AD,'Crosswalk AEO to EPS Summary'!$B:$B,$B8)*Percent_urban*quadrillion</f>
        <v>243484291688820.53</v>
      </c>
      <c r="AE8">
        <f>SUMIFS('Crosswalk AEO to EPS Summary'!AE:AE,'Crosswalk AEO to EPS Summary'!$B:$B,$B8)*Percent_urban*quadrillion</f>
        <v>240284730078199.59</v>
      </c>
      <c r="AF8">
        <f>SUMIFS('Crosswalk AEO to EPS Summary'!AF:AF,'Crosswalk AEO to EPS Summary'!$B:$B,$B8)*Percent_urban*quadrillion</f>
        <v>237199702428236</v>
      </c>
    </row>
    <row r="9" spans="1:32" x14ac:dyDescent="0.25">
      <c r="B9" s="53" t="str">
        <f t="shared" si="0"/>
        <v>residential-heating-heat (BTU)</v>
      </c>
      <c r="C9" t="s">
        <v>1046</v>
      </c>
      <c r="D9" t="s">
        <v>1047</v>
      </c>
      <c r="E9" t="s">
        <v>1064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B10" s="53" t="str">
        <f t="shared" si="0"/>
        <v>residential-heating-biomass (BTU)</v>
      </c>
      <c r="C10" t="s">
        <v>1046</v>
      </c>
      <c r="D10" t="s">
        <v>1047</v>
      </c>
      <c r="E10" t="s">
        <v>1058</v>
      </c>
      <c r="F10">
        <f>SUMIFS('Crosswalk AEO to EPS Summary'!F:F,'Crosswalk AEO to EPS Summary'!$B:$B,$B10)*Percent_urban*quadrillion</f>
        <v>290744244475026.25</v>
      </c>
      <c r="G10">
        <f>SUMIFS('Crosswalk AEO to EPS Summary'!G:G,'Crosswalk AEO to EPS Summary'!$B:$B,$B10)*Percent_urban*quadrillion</f>
        <v>301968344956528.75</v>
      </c>
      <c r="H10">
        <f>SUMIFS('Crosswalk AEO to EPS Summary'!H:H,'Crosswalk AEO to EPS Summary'!$B:$B,$B10)*Percent_urban*quadrillion</f>
        <v>278806310173075.38</v>
      </c>
      <c r="I10">
        <f>SUMIFS('Crosswalk AEO to EPS Summary'!I:I,'Crosswalk AEO to EPS Summary'!$B:$B,$B10)*Percent_urban*quadrillion</f>
        <v>272374377473326.31</v>
      </c>
      <c r="J10">
        <f>SUMIFS('Crosswalk AEO to EPS Summary'!J:J,'Crosswalk AEO to EPS Summary'!$B:$B,$B10)*Percent_urban*quadrillion</f>
        <v>269296765129766.03</v>
      </c>
      <c r="K10">
        <f>SUMIFS('Crosswalk AEO to EPS Summary'!K:K,'Crosswalk AEO to EPS Summary'!$B:$B,$B10)*Percent_urban*quadrillion</f>
        <v>267466459360479.25</v>
      </c>
      <c r="L10">
        <f>SUMIFS('Crosswalk AEO to EPS Summary'!L:L,'Crosswalk AEO to EPS Summary'!$B:$B,$B10)*Percent_urban*quadrillion</f>
        <v>263135087825143.66</v>
      </c>
      <c r="M10">
        <f>SUMIFS('Crosswalk AEO to EPS Summary'!M:M,'Crosswalk AEO to EPS Summary'!$B:$B,$B10)*Percent_urban*quadrillion</f>
        <v>259673180479559.63</v>
      </c>
      <c r="N10">
        <f>SUMIFS('Crosswalk AEO to EPS Summary'!N:N,'Crosswalk AEO to EPS Summary'!$B:$B,$B10)*Percent_urban*quadrillion</f>
        <v>256643390357645.94</v>
      </c>
      <c r="O10">
        <f>SUMIFS('Crosswalk AEO to EPS Summary'!O:O,'Crosswalk AEO to EPS Summary'!$B:$B,$B10)*Percent_urban*quadrillion</f>
        <v>254341731287298.59</v>
      </c>
      <c r="P10">
        <f>SUMIFS('Crosswalk AEO to EPS Summary'!P:P,'Crosswalk AEO to EPS Summary'!$B:$B,$B10)*Percent_urban*quadrillion</f>
        <v>251344646569416.34</v>
      </c>
      <c r="Q10">
        <f>SUMIFS('Crosswalk AEO to EPS Summary'!Q:Q,'Crosswalk AEO to EPS Summary'!$B:$B,$B10)*Percent_urban*quadrillion</f>
        <v>248664156407026.59</v>
      </c>
      <c r="R10">
        <f>SUMIFS('Crosswalk AEO to EPS Summary'!R:R,'Crosswalk AEO to EPS Summary'!$B:$B,$B10)*Percent_urban*quadrillion</f>
        <v>245556934875091.06</v>
      </c>
      <c r="S10">
        <f>SUMIFS('Crosswalk AEO to EPS Summary'!S:S,'Crosswalk AEO to EPS Summary'!$B:$B,$B10)*Percent_urban*quadrillion</f>
        <v>242374597590220.97</v>
      </c>
      <c r="T10">
        <f>SUMIFS('Crosswalk AEO to EPS Summary'!T:T,'Crosswalk AEO to EPS Summary'!$B:$B,$B10)*Percent_urban*quadrillion</f>
        <v>239208027588440.03</v>
      </c>
      <c r="U10">
        <f>SUMIFS('Crosswalk AEO to EPS Summary'!U:U,'Crosswalk AEO to EPS Summary'!$B:$B,$B10)*Percent_urban*quadrillion</f>
        <v>235756215467012.06</v>
      </c>
      <c r="V10">
        <f>SUMIFS('Crosswalk AEO to EPS Summary'!V:V,'Crosswalk AEO to EPS Summary'!$B:$B,$B10)*Percent_urban*quadrillion</f>
        <v>232166062348579.25</v>
      </c>
      <c r="W10">
        <f>SUMIFS('Crosswalk AEO to EPS Summary'!W:W,'Crosswalk AEO to EPS Summary'!$B:$B,$B10)*Percent_urban*quadrillion</f>
        <v>228695907100785.22</v>
      </c>
      <c r="X10">
        <f>SUMIFS('Crosswalk AEO to EPS Summary'!X:X,'Crosswalk AEO to EPS Summary'!$B:$B,$B10)*Percent_urban*quadrillion</f>
        <v>225531106365093.5</v>
      </c>
      <c r="Y10">
        <f>SUMIFS('Crosswalk AEO to EPS Summary'!Y:Y,'Crosswalk AEO to EPS Summary'!$B:$B,$B10)*Percent_urban*quadrillion</f>
        <v>222484039880191.06</v>
      </c>
      <c r="Z10">
        <f>SUMIFS('Crosswalk AEO to EPS Summary'!Z:Z,'Crosswalk AEO to EPS Summary'!$B:$B,$B10)*Percent_urban*quadrillion</f>
        <v>219595218635796.97</v>
      </c>
      <c r="AA10">
        <f>SUMIFS('Crosswalk AEO to EPS Summary'!AA:AA,'Crosswalk AEO to EPS Summary'!$B:$B,$B10)*Percent_urban*quadrillion</f>
        <v>217071763848134.06</v>
      </c>
      <c r="AB10">
        <f>SUMIFS('Crosswalk AEO to EPS Summary'!AB:AB,'Crosswalk AEO to EPS Summary'!$B:$B,$B10)*Percent_urban*quadrillion</f>
        <v>214635705601554.25</v>
      </c>
      <c r="AC10">
        <f>SUMIFS('Crosswalk AEO to EPS Summary'!AC:AC,'Crosswalk AEO to EPS Summary'!$B:$B,$B10)*Percent_urban*quadrillion</f>
        <v>212449751329717.47</v>
      </c>
      <c r="AD10">
        <f>SUMIFS('Crosswalk AEO to EPS Summary'!AD:AD,'Crosswalk AEO to EPS Summary'!$B:$B,$B10)*Percent_urban*quadrillion</f>
        <v>210445250906500.44</v>
      </c>
      <c r="AE10">
        <f>SUMIFS('Crosswalk AEO to EPS Summary'!AE:AE,'Crosswalk AEO to EPS Summary'!$B:$B,$B10)*Percent_urban*quadrillion</f>
        <v>208617182738444.06</v>
      </c>
      <c r="AF10">
        <f>SUMIFS('Crosswalk AEO to EPS Summary'!AF:AF,'Crosswalk AEO to EPS Summary'!$B:$B,$B10)*Percent_urban*quadrillion</f>
        <v>206634524945843.13</v>
      </c>
    </row>
    <row r="11" spans="1:32" x14ac:dyDescent="0.25">
      <c r="B11" s="53" t="str">
        <f t="shared" si="0"/>
        <v>residential-heating-kerosene (BTU)</v>
      </c>
      <c r="C11" t="s">
        <v>1046</v>
      </c>
      <c r="D11" t="s">
        <v>1047</v>
      </c>
      <c r="E11" t="s">
        <v>1065</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B12" s="53" t="str">
        <f t="shared" si="0"/>
        <v>residential-heating-heavy or residual fuel oil (BTU)</v>
      </c>
      <c r="C12" t="s">
        <v>1046</v>
      </c>
      <c r="D12" t="s">
        <v>1047</v>
      </c>
      <c r="E12" t="s">
        <v>1066</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B13" s="53" t="str">
        <f t="shared" si="0"/>
        <v>residential-heating-LPG propane or butane (BTU)</v>
      </c>
      <c r="C13" t="s">
        <v>1046</v>
      </c>
      <c r="D13" t="s">
        <v>1047</v>
      </c>
      <c r="E13" t="s">
        <v>1057</v>
      </c>
      <c r="F13">
        <f>SUMIFS('Crosswalk AEO to EPS Summary'!F:F,'Crosswalk AEO to EPS Summary'!$B:$B,$B13)*Percent_urban*quadrillion</f>
        <v>246564629482716.75</v>
      </c>
      <c r="G13">
        <f>SUMIFS('Crosswalk AEO to EPS Summary'!G:G,'Crosswalk AEO to EPS Summary'!$B:$B,$B13)*Percent_urban*quadrillion</f>
        <v>306955411708249</v>
      </c>
      <c r="H13">
        <f>SUMIFS('Crosswalk AEO to EPS Summary'!H:H,'Crosswalk AEO to EPS Summary'!$B:$B,$B13)*Percent_urban*quadrillion</f>
        <v>295249088647615.94</v>
      </c>
      <c r="I13">
        <f>SUMIFS('Crosswalk AEO to EPS Summary'!I:I,'Crosswalk AEO to EPS Summary'!$B:$B,$B13)*Percent_urban*quadrillion</f>
        <v>277425424009066.63</v>
      </c>
      <c r="J13">
        <f>SUMIFS('Crosswalk AEO to EPS Summary'!J:J,'Crosswalk AEO to EPS Summary'!$B:$B,$B13)*Percent_urban*quadrillion</f>
        <v>275294447079090.06</v>
      </c>
      <c r="K13">
        <f>SUMIFS('Crosswalk AEO to EPS Summary'!K:K,'Crosswalk AEO to EPS Summary'!$B:$B,$B13)*Percent_urban*quadrillion</f>
        <v>271649212544321.19</v>
      </c>
      <c r="L13">
        <f>SUMIFS('Crosswalk AEO to EPS Summary'!L:L,'Crosswalk AEO to EPS Summary'!$B:$B,$B13)*Percent_urban*quadrillion</f>
        <v>267154340007447.59</v>
      </c>
      <c r="M13">
        <f>SUMIFS('Crosswalk AEO to EPS Summary'!M:M,'Crosswalk AEO to EPS Summary'!$B:$B,$B13)*Percent_urban*quadrillion</f>
        <v>261992089894276.69</v>
      </c>
      <c r="N13">
        <f>SUMIFS('Crosswalk AEO to EPS Summary'!N:N,'Crosswalk AEO to EPS Summary'!$B:$B,$B13)*Percent_urban*quadrillion</f>
        <v>256891842150084.97</v>
      </c>
      <c r="O13">
        <f>SUMIFS('Crosswalk AEO to EPS Summary'!O:O,'Crosswalk AEO to EPS Summary'!$B:$B,$B13)*Percent_urban*quadrillion</f>
        <v>252039759993523.84</v>
      </c>
      <c r="P13">
        <f>SUMIFS('Crosswalk AEO to EPS Summary'!P:P,'Crosswalk AEO to EPS Summary'!$B:$B,$B13)*Percent_urban*quadrillion</f>
        <v>247600931561887.78</v>
      </c>
      <c r="Q13">
        <f>SUMIFS('Crosswalk AEO to EPS Summary'!Q:Q,'Crosswalk AEO to EPS Summary'!$B:$B,$B13)*Percent_urban*quadrillion</f>
        <v>243499512580911.5</v>
      </c>
      <c r="R13">
        <f>SUMIFS('Crosswalk AEO to EPS Summary'!R:R,'Crosswalk AEO to EPS Summary'!$B:$B,$B13)*Percent_urban*quadrillion</f>
        <v>239671653359669.72</v>
      </c>
      <c r="S13">
        <f>SUMIFS('Crosswalk AEO to EPS Summary'!S:S,'Crosswalk AEO to EPS Summary'!$B:$B,$B13)*Percent_urban*quadrillion</f>
        <v>235983618196713.34</v>
      </c>
      <c r="T13">
        <f>SUMIFS('Crosswalk AEO to EPS Summary'!T:T,'Crosswalk AEO to EPS Summary'!$B:$B,$B13)*Percent_urban*quadrillion</f>
        <v>232430671703391.88</v>
      </c>
      <c r="U13">
        <f>SUMIFS('Crosswalk AEO to EPS Summary'!U:U,'Crosswalk AEO to EPS Summary'!$B:$B,$B13)*Percent_urban*quadrillion</f>
        <v>228974644565692.56</v>
      </c>
      <c r="V13">
        <f>SUMIFS('Crosswalk AEO to EPS Summary'!V:V,'Crosswalk AEO to EPS Summary'!$B:$B,$B13)*Percent_urban*quadrillion</f>
        <v>225713705032947.44</v>
      </c>
      <c r="W13">
        <f>SUMIFS('Crosswalk AEO to EPS Summary'!W:W,'Crosswalk AEO to EPS Summary'!$B:$B,$B13)*Percent_urban*quadrillion</f>
        <v>222660550191208.59</v>
      </c>
      <c r="X13">
        <f>SUMIFS('Crosswalk AEO to EPS Summary'!X:X,'Crosswalk AEO to EPS Summary'!$B:$B,$B13)*Percent_urban*quadrillion</f>
        <v>219954769931190.78</v>
      </c>
      <c r="Y13">
        <f>SUMIFS('Crosswalk AEO to EPS Summary'!Y:Y,'Crosswalk AEO to EPS Summary'!$B:$B,$B13)*Percent_urban*quadrillion</f>
        <v>217537978471950.13</v>
      </c>
      <c r="Z13">
        <f>SUMIFS('Crosswalk AEO to EPS Summary'!Z:Z,'Crosswalk AEO to EPS Summary'!$B:$B,$B13)*Percent_urban*quadrillion</f>
        <v>215351607902210</v>
      </c>
      <c r="AA13">
        <f>SUMIFS('Crosswalk AEO to EPS Summary'!AA:AA,'Crosswalk AEO to EPS Summary'!$B:$B,$B13)*Percent_urban*quadrillion</f>
        <v>213318083709544.22</v>
      </c>
      <c r="AB13">
        <f>SUMIFS('Crosswalk AEO to EPS Summary'!AB:AB,'Crosswalk AEO to EPS Summary'!$B:$B,$B13)*Percent_urban*quadrillion</f>
        <v>211303488062171.13</v>
      </c>
      <c r="AC13">
        <f>SUMIFS('Crosswalk AEO to EPS Summary'!AC:AC,'Crosswalk AEO to EPS Summary'!$B:$B,$B13)*Percent_urban*quadrillion</f>
        <v>209181903853638.78</v>
      </c>
      <c r="AD13">
        <f>SUMIFS('Crosswalk AEO to EPS Summary'!AD:AD,'Crosswalk AEO to EPS Summary'!$B:$B,$B13)*Percent_urban*quadrillion</f>
        <v>207026859701125.19</v>
      </c>
      <c r="AE13">
        <f>SUMIFS('Crosswalk AEO to EPS Summary'!AE:AE,'Crosswalk AEO to EPS Summary'!$B:$B,$B13)*Percent_urban*quadrillion</f>
        <v>204873220554035.44</v>
      </c>
      <c r="AF13">
        <f>SUMIFS('Crosswalk AEO to EPS Summary'!AF:AF,'Crosswalk AEO to EPS Summary'!$B:$B,$B13)*Percent_urban*quadrillion</f>
        <v>202765465241479.78</v>
      </c>
    </row>
    <row r="14" spans="1:32" x14ac:dyDescent="0.25">
      <c r="B14" s="53" t="str">
        <f t="shared" si="0"/>
        <v>residential-heating-hydrogen (BTU)</v>
      </c>
      <c r="C14" t="s">
        <v>1046</v>
      </c>
      <c r="D14" t="s">
        <v>1047</v>
      </c>
      <c r="E14" t="s">
        <v>1067</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25">
      <c r="B16" s="1" t="s">
        <v>1068</v>
      </c>
    </row>
    <row r="17" spans="2:32" x14ac:dyDescent="0.25">
      <c r="E17" t="s">
        <v>1026</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25">
      <c r="B18" s="53" t="str">
        <f t="shared" ref="B18:B27" si="1">C18&amp;"-"&amp;D18&amp;"-"&amp;E18</f>
        <v>residential-cooling-electricity (BTU)</v>
      </c>
      <c r="C18" t="s">
        <v>1046</v>
      </c>
      <c r="D18" t="s">
        <v>1049</v>
      </c>
      <c r="E18" t="s">
        <v>1048</v>
      </c>
      <c r="F18">
        <f>SUMIFS('Crosswalk AEO to EPS Summary'!F:F,'Crosswalk AEO to EPS Summary'!$B:$B,$B18)*Percent_urban*quadrillion</f>
        <v>922563312555654.38</v>
      </c>
      <c r="G18">
        <f>SUMIFS('Crosswalk AEO to EPS Summary'!G:G,'Crosswalk AEO to EPS Summary'!$B:$B,$B18)*Percent_urban*quadrillion</f>
        <v>879762684368169.5</v>
      </c>
      <c r="H18">
        <f>SUMIFS('Crosswalk AEO to EPS Summary'!H:H,'Crosswalk AEO to EPS Summary'!$B:$B,$B18)*Percent_urban*quadrillion</f>
        <v>924297856797862.75</v>
      </c>
      <c r="I18">
        <f>SUMIFS('Crosswalk AEO to EPS Summary'!I:I,'Crosswalk AEO to EPS Summary'!$B:$B,$B18)*Percent_urban*quadrillion</f>
        <v>936312162251113</v>
      </c>
      <c r="J18">
        <f>SUMIFS('Crosswalk AEO to EPS Summary'!J:J,'Crosswalk AEO to EPS Summary'!$B:$B,$B18)*Percent_urban*quadrillion</f>
        <v>947796676585121</v>
      </c>
      <c r="K18">
        <f>SUMIFS('Crosswalk AEO to EPS Summary'!K:K,'Crosswalk AEO to EPS Summary'!$B:$B,$B18)*Percent_urban*quadrillion</f>
        <v>956802058848862.5</v>
      </c>
      <c r="L18">
        <f>SUMIFS('Crosswalk AEO to EPS Summary'!L:L,'Crosswalk AEO to EPS Summary'!$B:$B,$B18)*Percent_urban*quadrillion</f>
        <v>962400381015785.5</v>
      </c>
      <c r="M18">
        <f>SUMIFS('Crosswalk AEO to EPS Summary'!M:M,'Crosswalk AEO to EPS Summary'!$B:$B,$B18)*Percent_urban*quadrillion</f>
        <v>967295237781915.13</v>
      </c>
      <c r="N18">
        <f>SUMIFS('Crosswalk AEO to EPS Summary'!N:N,'Crosswalk AEO to EPS Summary'!$B:$B,$B18)*Percent_urban*quadrillion</f>
        <v>973087437688011</v>
      </c>
      <c r="O18">
        <f>SUMIFS('Crosswalk AEO to EPS Summary'!O:O,'Crosswalk AEO to EPS Summary'!$B:$B,$B18)*Percent_urban*quadrillion</f>
        <v>979407178102809.13</v>
      </c>
      <c r="P18">
        <f>SUMIFS('Crosswalk AEO to EPS Summary'!P:P,'Crosswalk AEO to EPS Summary'!$B:$B,$B18)*Percent_urban*quadrillion</f>
        <v>986794475462802.38</v>
      </c>
      <c r="Q18">
        <f>SUMIFS('Crosswalk AEO to EPS Summary'!Q:Q,'Crosswalk AEO to EPS Summary'!$B:$B,$B18)*Percent_urban*quadrillion</f>
        <v>994883273817857.88</v>
      </c>
      <c r="R18">
        <f>SUMIFS('Crosswalk AEO to EPS Summary'!R:R,'Crosswalk AEO to EPS Summary'!$B:$B,$B18)*Percent_urban*quadrillion</f>
        <v>1003856379984781</v>
      </c>
      <c r="S18">
        <f>SUMIFS('Crosswalk AEO to EPS Summary'!S:S,'Crosswalk AEO to EPS Summary'!$B:$B,$B18)*Percent_urban*quadrillion</f>
        <v>1013187931655791.9</v>
      </c>
      <c r="T18">
        <f>SUMIFS('Crosswalk AEO to EPS Summary'!T:T,'Crosswalk AEO to EPS Summary'!$B:$B,$B18)*Percent_urban*quadrillion</f>
        <v>1022698725592811.3</v>
      </c>
      <c r="U18">
        <f>SUMIFS('Crosswalk AEO to EPS Summary'!U:U,'Crosswalk AEO to EPS Summary'!$B:$B,$B18)*Percent_urban*quadrillion</f>
        <v>1032209532539140</v>
      </c>
      <c r="V18">
        <f>SUMIFS('Crosswalk AEO to EPS Summary'!V:V,'Crosswalk AEO to EPS Summary'!$B:$B,$B18)*Percent_urban*quadrillion</f>
        <v>1042195010160446.8</v>
      </c>
      <c r="W18">
        <f>SUMIFS('Crosswalk AEO to EPS Summary'!W:W,'Crosswalk AEO to EPS Summary'!$B:$B,$B18)*Percent_urban*quadrillion</f>
        <v>1052601482045818.9</v>
      </c>
      <c r="X18">
        <f>SUMIFS('Crosswalk AEO to EPS Summary'!X:X,'Crosswalk AEO to EPS Summary'!$B:$B,$B18)*Percent_urban*quadrillion</f>
        <v>1064472867225127.4</v>
      </c>
      <c r="Y18">
        <f>SUMIFS('Crosswalk AEO to EPS Summary'!Y:Y,'Crosswalk AEO to EPS Summary'!$B:$B,$B18)*Percent_urban*quadrillion</f>
        <v>1077104152189751.5</v>
      </c>
      <c r="Z18">
        <f>SUMIFS('Crosswalk AEO to EPS Summary'!Z:Z,'Crosswalk AEO to EPS Summary'!$B:$B,$B18)*Percent_urban*quadrillion</f>
        <v>1089750332813729.5</v>
      </c>
      <c r="AA18">
        <f>SUMIFS('Crosswalk AEO to EPS Summary'!AA:AA,'Crosswalk AEO to EPS Summary'!$B:$B,$B18)*Percent_urban*quadrillion</f>
        <v>1102973469808467.6</v>
      </c>
      <c r="AB18">
        <f>SUMIFS('Crosswalk AEO to EPS Summary'!AB:AB,'Crosswalk AEO to EPS Summary'!$B:$B,$B18)*Percent_urban*quadrillion</f>
        <v>1115401731489354.8</v>
      </c>
      <c r="AC18">
        <f>SUMIFS('Crosswalk AEO to EPS Summary'!AC:AC,'Crosswalk AEO to EPS Summary'!$B:$B,$B18)*Percent_urban*quadrillion</f>
        <v>1127256347668744.5</v>
      </c>
      <c r="AD18">
        <f>SUMIFS('Crosswalk AEO to EPS Summary'!AD:AD,'Crosswalk AEO to EPS Summary'!$B:$B,$B18)*Percent_urban*quadrillion</f>
        <v>1138829552970128.8</v>
      </c>
      <c r="AE18">
        <f>SUMIFS('Crosswalk AEO to EPS Summary'!AE:AE,'Crosswalk AEO to EPS Summary'!$B:$B,$B18)*Percent_urban*quadrillion</f>
        <v>1151139716139561.3</v>
      </c>
      <c r="AF18">
        <f>SUMIFS('Crosswalk AEO to EPS Summary'!AF:AF,'Crosswalk AEO to EPS Summary'!$B:$B,$B18)*Percent_urban*quadrillion</f>
        <v>1163439016535578.3</v>
      </c>
    </row>
    <row r="19" spans="2:32" x14ac:dyDescent="0.25">
      <c r="B19" s="53" t="str">
        <f t="shared" si="1"/>
        <v>residential-cooling-coal (BTU)</v>
      </c>
      <c r="C19" t="s">
        <v>1046</v>
      </c>
      <c r="D19" t="s">
        <v>1049</v>
      </c>
      <c r="E19" t="s">
        <v>1063</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25">
      <c r="B20" s="53" t="str">
        <f t="shared" si="1"/>
        <v>residential-cooling-natural gas (BTU)</v>
      </c>
      <c r="C20" t="s">
        <v>1046</v>
      </c>
      <c r="D20" t="s">
        <v>1049</v>
      </c>
      <c r="E20" t="s">
        <v>1055</v>
      </c>
      <c r="F20">
        <f>SUMIFS('Crosswalk AEO to EPS Summary'!F:F,'Crosswalk AEO to EPS Summary'!$B:$B,$B20)*Percent_urban*quadrillion</f>
        <v>51629883914838.5</v>
      </c>
      <c r="G20">
        <f>SUMIFS('Crosswalk AEO to EPS Summary'!G:G,'Crosswalk AEO to EPS Summary'!$B:$B,$B20)*Percent_urban*quadrillion</f>
        <v>47645269019023.719</v>
      </c>
      <c r="H20">
        <f>SUMIFS('Crosswalk AEO to EPS Summary'!H:H,'Crosswalk AEO to EPS Summary'!$B:$B,$B20)*Percent_urban*quadrillion</f>
        <v>50536822218408.484</v>
      </c>
      <c r="I20">
        <f>SUMIFS('Crosswalk AEO to EPS Summary'!I:I,'Crosswalk AEO to EPS Summary'!$B:$B,$B20)*Percent_urban*quadrillion</f>
        <v>50891016930624.141</v>
      </c>
      <c r="J20">
        <f>SUMIFS('Crosswalk AEO to EPS Summary'!J:J,'Crosswalk AEO to EPS Summary'!$B:$B,$B20)*Percent_urban*quadrillion</f>
        <v>51022664637901.719</v>
      </c>
      <c r="K20">
        <f>SUMIFS('Crosswalk AEO to EPS Summary'!K:K,'Crosswalk AEO to EPS Summary'!$B:$B,$B20)*Percent_urban*quadrillion</f>
        <v>50989565702258.555</v>
      </c>
      <c r="L20">
        <f>SUMIFS('Crosswalk AEO to EPS Summary'!L:L,'Crosswalk AEO to EPS Summary'!$B:$B,$B20)*Percent_urban*quadrillion</f>
        <v>50879292290455.758</v>
      </c>
      <c r="M20">
        <f>SUMIFS('Crosswalk AEO to EPS Summary'!M:M,'Crosswalk AEO to EPS Summary'!$B:$B,$B20)*Percent_urban*quadrillion</f>
        <v>50779566176313.438</v>
      </c>
      <c r="N20">
        <f>SUMIFS('Crosswalk AEO to EPS Summary'!N:N,'Crosswalk AEO to EPS Summary'!$B:$B,$B20)*Percent_urban*quadrillion</f>
        <v>50760751462478.75</v>
      </c>
      <c r="O20">
        <f>SUMIFS('Crosswalk AEO to EPS Summary'!O:O,'Crosswalk AEO to EPS Summary'!$B:$B,$B20)*Percent_urban*quadrillion</f>
        <v>50774030715129.922</v>
      </c>
      <c r="P20">
        <f>SUMIFS('Crosswalk AEO to EPS Summary'!P:P,'Crosswalk AEO to EPS Summary'!$B:$B,$B20)*Percent_urban*quadrillion</f>
        <v>50854200584797.219</v>
      </c>
      <c r="Q20">
        <f>SUMIFS('Crosswalk AEO to EPS Summary'!Q:Q,'Crosswalk AEO to EPS Summary'!$B:$B,$B20)*Percent_urban*quadrillion</f>
        <v>50953396569578.234</v>
      </c>
      <c r="R20">
        <f>SUMIFS('Crosswalk AEO to EPS Summary'!R:R,'Crosswalk AEO to EPS Summary'!$B:$B,$B20)*Percent_urban*quadrillion</f>
        <v>51104873716829.914</v>
      </c>
      <c r="S20">
        <f>SUMIFS('Crosswalk AEO to EPS Summary'!S:S,'Crosswalk AEO to EPS Summary'!$B:$B,$B20)*Percent_urban*quadrillion</f>
        <v>51280704291427.188</v>
      </c>
      <c r="T20">
        <f>SUMIFS('Crosswalk AEO to EPS Summary'!T:T,'Crosswalk AEO to EPS Summary'!$B:$B,$B20)*Percent_urban*quadrillion</f>
        <v>51474634067837.766</v>
      </c>
      <c r="U20">
        <f>SUMIFS('Crosswalk AEO to EPS Summary'!U:U,'Crosswalk AEO to EPS Summary'!$B:$B,$B20)*Percent_urban*quadrillion</f>
        <v>51688998217113.25</v>
      </c>
      <c r="V20">
        <f>SUMIFS('Crosswalk AEO to EPS Summary'!V:V,'Crosswalk AEO to EPS Summary'!$B:$B,$B20)*Percent_urban*quadrillion</f>
        <v>51951239877600.578</v>
      </c>
      <c r="W20">
        <f>SUMIFS('Crosswalk AEO to EPS Summary'!W:W,'Crosswalk AEO to EPS Summary'!$B:$B,$B20)*Percent_urban*quadrillion</f>
        <v>52247806601149.516</v>
      </c>
      <c r="X20">
        <f>SUMIFS('Crosswalk AEO to EPS Summary'!X:X,'Crosswalk AEO to EPS Summary'!$B:$B,$B20)*Percent_urban*quadrillion</f>
        <v>52626858851453.086</v>
      </c>
      <c r="Y20">
        <f>SUMIFS('Crosswalk AEO to EPS Summary'!Y:Y,'Crosswalk AEO to EPS Summary'!$B:$B,$B20)*Percent_urban*quadrillion</f>
        <v>53022215018861.805</v>
      </c>
      <c r="Z20">
        <f>SUMIFS('Crosswalk AEO to EPS Summary'!Z:Z,'Crosswalk AEO to EPS Summary'!$B:$B,$B20)*Percent_urban*quadrillion</f>
        <v>53403937429936.047</v>
      </c>
      <c r="AA20">
        <f>SUMIFS('Crosswalk AEO to EPS Summary'!AA:AA,'Crosswalk AEO to EPS Summary'!$B:$B,$B20)*Percent_urban*quadrillion</f>
        <v>53795172898567.156</v>
      </c>
      <c r="AB20">
        <f>SUMIFS('Crosswalk AEO to EPS Summary'!AB:AB,'Crosswalk AEO to EPS Summary'!$B:$B,$B20)*Percent_urban*quadrillion</f>
        <v>54140888793329.555</v>
      </c>
      <c r="AC20">
        <f>SUMIFS('Crosswalk AEO to EPS Summary'!AC:AC,'Crosswalk AEO to EPS Summary'!$B:$B,$B20)*Percent_urban*quadrillion</f>
        <v>54470886189913.383</v>
      </c>
      <c r="AD20">
        <f>SUMIFS('Crosswalk AEO to EPS Summary'!AD:AD,'Crosswalk AEO to EPS Summary'!$B:$B,$B20)*Percent_urban*quadrillion</f>
        <v>54773459962114.469</v>
      </c>
      <c r="AE20">
        <f>SUMIFS('Crosswalk AEO to EPS Summary'!AE:AE,'Crosswalk AEO to EPS Summary'!$B:$B,$B20)*Percent_urban*quadrillion</f>
        <v>55093222284465.313</v>
      </c>
      <c r="AF20">
        <f>SUMIFS('Crosswalk AEO to EPS Summary'!AF:AF,'Crosswalk AEO to EPS Summary'!$B:$B,$B20)*Percent_urban*quadrillion</f>
        <v>55407592248036.906</v>
      </c>
    </row>
    <row r="21" spans="2:32" x14ac:dyDescent="0.25">
      <c r="B21" s="53" t="str">
        <f t="shared" si="1"/>
        <v>residential-cooling-petroleum diesel (BTU)</v>
      </c>
      <c r="C21" t="s">
        <v>1046</v>
      </c>
      <c r="D21" t="s">
        <v>1049</v>
      </c>
      <c r="E21" t="s">
        <v>1056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25">
      <c r="B22" s="53" t="str">
        <f t="shared" si="1"/>
        <v>residential-cooling-heat (BTU)</v>
      </c>
      <c r="C22" t="s">
        <v>1046</v>
      </c>
      <c r="D22" t="s">
        <v>1049</v>
      </c>
      <c r="E22" t="s">
        <v>1064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25">
      <c r="B23" s="53" t="str">
        <f t="shared" si="1"/>
        <v>residential-cooling-biomass (BTU)</v>
      </c>
      <c r="C23" t="s">
        <v>1046</v>
      </c>
      <c r="D23" t="s">
        <v>1049</v>
      </c>
      <c r="E23" t="s">
        <v>1058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25">
      <c r="B24" s="53" t="str">
        <f t="shared" si="1"/>
        <v>residential-cooling-kerosene (BTU)</v>
      </c>
      <c r="C24" t="s">
        <v>1046</v>
      </c>
      <c r="D24" t="s">
        <v>1049</v>
      </c>
      <c r="E24" t="s">
        <v>1065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25">
      <c r="B25" s="53" t="str">
        <f t="shared" si="1"/>
        <v>residential-cooling-heavy or residual fuel oil (BTU)</v>
      </c>
      <c r="C25" t="s">
        <v>1046</v>
      </c>
      <c r="D25" t="s">
        <v>1049</v>
      </c>
      <c r="E25" t="s">
        <v>1066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25">
      <c r="B26" s="53" t="str">
        <f t="shared" si="1"/>
        <v>residential-cooling-LPG propane or butane (BTU)</v>
      </c>
      <c r="C26" t="s">
        <v>1046</v>
      </c>
      <c r="D26" t="s">
        <v>1049</v>
      </c>
      <c r="E26" t="s">
        <v>1057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25">
      <c r="B27" s="53" t="str">
        <f t="shared" si="1"/>
        <v>residential-cooling-hydrogen (BTU)</v>
      </c>
      <c r="C27" t="s">
        <v>1046</v>
      </c>
      <c r="D27" t="s">
        <v>1049</v>
      </c>
      <c r="E27" t="s">
        <v>1067</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25">
      <c r="B29" s="1" t="s">
        <v>1069</v>
      </c>
    </row>
    <row r="30" spans="2:32" x14ac:dyDescent="0.25">
      <c r="E30" t="s">
        <v>1026</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25">
      <c r="B31" s="53" t="str">
        <f t="shared" ref="B31:B40" si="2">C31&amp;"-"&amp;D31&amp;"-"&amp;E31</f>
        <v>residential-lighting-electricity (BTU)</v>
      </c>
      <c r="C31" t="s">
        <v>1046</v>
      </c>
      <c r="D31" t="s">
        <v>1051</v>
      </c>
      <c r="E31" t="s">
        <v>1048</v>
      </c>
      <c r="F31">
        <f>SUMIFS('Crosswalk AEO to EPS Summary'!F:F,'Crosswalk AEO to EPS Summary'!$B:$B,$B31)*Percent_urban*quadrillion</f>
        <v>152347957904962.38</v>
      </c>
      <c r="G31">
        <f>SUMIFS('Crosswalk AEO to EPS Summary'!G:G,'Crosswalk AEO to EPS Summary'!$B:$B,$B31)*Percent_urban*quadrillion</f>
        <v>148669660210151.38</v>
      </c>
      <c r="H31">
        <f>SUMIFS('Crosswalk AEO to EPS Summary'!H:H,'Crosswalk AEO to EPS Summary'!$B:$B,$B31)*Percent_urban*quadrillion</f>
        <v>148156117718448.94</v>
      </c>
      <c r="I31">
        <f>SUMIFS('Crosswalk AEO to EPS Summary'!I:I,'Crosswalk AEO to EPS Summary'!$B:$B,$B31)*Percent_urban*quadrillion</f>
        <v>149256809374888.69</v>
      </c>
      <c r="J31">
        <f>SUMIFS('Crosswalk AEO to EPS Summary'!J:J,'Crosswalk AEO to EPS Summary'!$B:$B,$B31)*Percent_urban*quadrillion</f>
        <v>150940734393912.41</v>
      </c>
      <c r="K31">
        <f>SUMIFS('Crosswalk AEO to EPS Summary'!K:K,'Crosswalk AEO to EPS Summary'!$B:$B,$B31)*Percent_urban*quadrillion</f>
        <v>152403605226260.84</v>
      </c>
      <c r="L31">
        <f>SUMIFS('Crosswalk AEO to EPS Summary'!L:L,'Crosswalk AEO to EPS Summary'!$B:$B,$B31)*Percent_urban*quadrillion</f>
        <v>152041725264470.16</v>
      </c>
      <c r="M31">
        <f>SUMIFS('Crosswalk AEO to EPS Summary'!M:M,'Crosswalk AEO to EPS Summary'!$B:$B,$B31)*Percent_urban*quadrillion</f>
        <v>151577982409455.19</v>
      </c>
      <c r="N31">
        <f>SUMIFS('Crosswalk AEO to EPS Summary'!N:N,'Crosswalk AEO to EPS Summary'!$B:$B,$B31)*Percent_urban*quadrillion</f>
        <v>151445794815834.19</v>
      </c>
      <c r="O31">
        <f>SUMIFS('Crosswalk AEO to EPS Summary'!O:O,'Crosswalk AEO to EPS Summary'!$B:$B,$B31)*Percent_urban*quadrillion</f>
        <v>151561993968104.91</v>
      </c>
      <c r="P31">
        <f>SUMIFS('Crosswalk AEO to EPS Summary'!P:P,'Crosswalk AEO to EPS Summary'!$B:$B,$B31)*Percent_urban*quadrillion</f>
        <v>151836789612239.94</v>
      </c>
      <c r="Q31">
        <f>SUMIFS('Crosswalk AEO to EPS Summary'!Q:Q,'Crosswalk AEO to EPS Summary'!$B:$B,$B31)*Percent_urban*quadrillion</f>
        <v>152221422856310.19</v>
      </c>
      <c r="R31">
        <f>SUMIFS('Crosswalk AEO to EPS Summary'!R:R,'Crosswalk AEO to EPS Summary'!$B:$B,$B31)*Percent_urban*quadrillion</f>
        <v>152659667464745.41</v>
      </c>
      <c r="S31">
        <f>SUMIFS('Crosswalk AEO to EPS Summary'!S:S,'Crosswalk AEO to EPS Summary'!$B:$B,$B31)*Percent_urban*quadrillion</f>
        <v>153043455103699.5</v>
      </c>
      <c r="T31">
        <f>SUMIFS('Crosswalk AEO to EPS Summary'!T:T,'Crosswalk AEO to EPS Summary'!$B:$B,$B31)*Percent_urban*quadrillion</f>
        <v>153447420181656.28</v>
      </c>
      <c r="U31">
        <f>SUMIFS('Crosswalk AEO to EPS Summary'!U:U,'Crosswalk AEO to EPS Summary'!$B:$B,$B31)*Percent_urban*quadrillion</f>
        <v>153997818047114.03</v>
      </c>
      <c r="V31">
        <f>SUMIFS('Crosswalk AEO to EPS Summary'!V:V,'Crosswalk AEO to EPS Summary'!$B:$B,$B31)*Percent_urban*quadrillion</f>
        <v>152074794929167</v>
      </c>
      <c r="W31">
        <f>SUMIFS('Crosswalk AEO to EPS Summary'!W:W,'Crosswalk AEO to EPS Summary'!$B:$B,$B31)*Percent_urban*quadrillion</f>
        <v>150492602710272.78</v>
      </c>
      <c r="X31">
        <f>SUMIFS('Crosswalk AEO to EPS Summary'!X:X,'Crosswalk AEO to EPS Summary'!$B:$B,$B31)*Percent_urban*quadrillion</f>
        <v>149355784201408.56</v>
      </c>
      <c r="Y31">
        <f>SUMIFS('Crosswalk AEO to EPS Summary'!Y:Y,'Crosswalk AEO to EPS Summary'!$B:$B,$B31)*Percent_urban*quadrillion</f>
        <v>148668515390917.19</v>
      </c>
      <c r="Z31">
        <f>SUMIFS('Crosswalk AEO to EPS Summary'!Z:Z,'Crosswalk AEO to EPS Summary'!$B:$B,$B31)*Percent_urban*quadrillion</f>
        <v>148368702844653.13</v>
      </c>
      <c r="AA31">
        <f>SUMIFS('Crosswalk AEO to EPS Summary'!AA:AA,'Crosswalk AEO to EPS Summary'!$B:$B,$B31)*Percent_urban*quadrillion</f>
        <v>148292715467983.47</v>
      </c>
      <c r="AB31">
        <f>SUMIFS('Crosswalk AEO to EPS Summary'!AB:AB,'Crosswalk AEO to EPS Summary'!$B:$B,$B31)*Percent_urban*quadrillion</f>
        <v>148232729541973.63</v>
      </c>
      <c r="AC31">
        <f>SUMIFS('Crosswalk AEO to EPS Summary'!AC:AC,'Crosswalk AEO to EPS Summary'!$B:$B,$B31)*Percent_urban*quadrillion</f>
        <v>148145059805391.38</v>
      </c>
      <c r="AD31">
        <f>SUMIFS('Crosswalk AEO to EPS Summary'!AD:AD,'Crosswalk AEO to EPS Summary'!$B:$B,$B31)*Percent_urban*quadrillion</f>
        <v>148137384312798.5</v>
      </c>
      <c r="AE31">
        <f>SUMIFS('Crosswalk AEO to EPS Summary'!AE:AE,'Crosswalk AEO to EPS Summary'!$B:$B,$B31)*Percent_urban*quadrillion</f>
        <v>148285820533959.38</v>
      </c>
      <c r="AF31">
        <f>SUMIFS('Crosswalk AEO to EPS Summary'!AF:AF,'Crosswalk AEO to EPS Summary'!$B:$B,$B31)*Percent_urban*quadrillion</f>
        <v>148458701247632.13</v>
      </c>
    </row>
    <row r="32" spans="2:32" x14ac:dyDescent="0.25">
      <c r="B32" s="53" t="str">
        <f t="shared" si="2"/>
        <v>residential-lighting-coal (BTU)</v>
      </c>
      <c r="C32" t="s">
        <v>1046</v>
      </c>
      <c r="D32" t="s">
        <v>1051</v>
      </c>
      <c r="E32" t="s">
        <v>1063</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25">
      <c r="B33" s="53" t="str">
        <f t="shared" si="2"/>
        <v>residential-lighting-natural gas (BTU)</v>
      </c>
      <c r="C33" t="s">
        <v>1046</v>
      </c>
      <c r="D33" t="s">
        <v>1051</v>
      </c>
      <c r="E33" t="s">
        <v>1055</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25">
      <c r="B34" s="53" t="str">
        <f t="shared" si="2"/>
        <v>residential-lighting-petroleum diesel (BTU)</v>
      </c>
      <c r="C34" t="s">
        <v>1046</v>
      </c>
      <c r="D34" t="s">
        <v>1051</v>
      </c>
      <c r="E34" t="s">
        <v>1056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25">
      <c r="B35" s="53" t="str">
        <f t="shared" si="2"/>
        <v>residential-lighting-heat (BTU)</v>
      </c>
      <c r="C35" t="s">
        <v>1046</v>
      </c>
      <c r="D35" t="s">
        <v>1051</v>
      </c>
      <c r="E35" t="s">
        <v>1064</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25">
      <c r="B36" s="53" t="str">
        <f t="shared" si="2"/>
        <v>residential-lighting-biomass (BTU)</v>
      </c>
      <c r="C36" t="s">
        <v>1046</v>
      </c>
      <c r="D36" t="s">
        <v>1051</v>
      </c>
      <c r="E36" t="s">
        <v>1058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25">
      <c r="B37" s="53" t="str">
        <f t="shared" si="2"/>
        <v>residential-lighting-kerosene (BTU)</v>
      </c>
      <c r="C37" t="s">
        <v>1046</v>
      </c>
      <c r="D37" t="s">
        <v>1051</v>
      </c>
      <c r="E37" t="s">
        <v>1065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25">
      <c r="B38" s="53" t="str">
        <f t="shared" si="2"/>
        <v>residential-lighting-heavy or residual fuel oil (BTU)</v>
      </c>
      <c r="C38" t="s">
        <v>1046</v>
      </c>
      <c r="D38" t="s">
        <v>1051</v>
      </c>
      <c r="E38" t="s">
        <v>1066</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25">
      <c r="B39" s="53" t="str">
        <f t="shared" si="2"/>
        <v>residential-lighting-LPG propane or butane (BTU)</v>
      </c>
      <c r="C39" t="s">
        <v>1046</v>
      </c>
      <c r="D39" t="s">
        <v>1051</v>
      </c>
      <c r="E39" t="s">
        <v>1057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25">
      <c r="B40" s="53" t="str">
        <f t="shared" si="2"/>
        <v>residential-lighting-hydrogen (BTU)</v>
      </c>
      <c r="C40" t="s">
        <v>1046</v>
      </c>
      <c r="D40" t="s">
        <v>1051</v>
      </c>
      <c r="E40" t="s">
        <v>1067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25">
      <c r="B42" s="1" t="s">
        <v>1070</v>
      </c>
    </row>
    <row r="43" spans="2:32" x14ac:dyDescent="0.25">
      <c r="E43" t="s">
        <v>1026</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25">
      <c r="B44" s="53" t="str">
        <f t="shared" ref="B44:B53" si="3">C44&amp;"-"&amp;D44&amp;"-"&amp;E44</f>
        <v>residential-appliances-electricity (BTU)</v>
      </c>
      <c r="C44" t="s">
        <v>1046</v>
      </c>
      <c r="D44" t="s">
        <v>1050</v>
      </c>
      <c r="E44" t="s">
        <v>1048</v>
      </c>
      <c r="F44">
        <f>SUMIFS('Crosswalk AEO to EPS Summary'!F:F,'Crosswalk AEO to EPS Summary'!$B:$B,$B44)*Percent_urban*quadrillion</f>
        <v>1009091482231036.9</v>
      </c>
      <c r="G44">
        <f>SUMIFS('Crosswalk AEO to EPS Summary'!G:G,'Crosswalk AEO to EPS Summary'!$B:$B,$B44)*Percent_urban*quadrillion</f>
        <v>990293527639277.88</v>
      </c>
      <c r="H44">
        <f>SUMIFS('Crosswalk AEO to EPS Summary'!H:H,'Crosswalk AEO to EPS Summary'!$B:$B,$B44)*Percent_urban*quadrillion</f>
        <v>984232282203837.13</v>
      </c>
      <c r="I44">
        <f>SUMIFS('Crosswalk AEO to EPS Summary'!I:I,'Crosswalk AEO to EPS Summary'!$B:$B,$B44)*Percent_urban*quadrillion</f>
        <v>979726270445721.75</v>
      </c>
      <c r="J44">
        <f>SUMIFS('Crosswalk AEO to EPS Summary'!J:J,'Crosswalk AEO to EPS Summary'!$B:$B,$B44)*Percent_urban*quadrillion</f>
        <v>975919180587063.5</v>
      </c>
      <c r="K44">
        <f>SUMIFS('Crosswalk AEO to EPS Summary'!K:K,'Crosswalk AEO to EPS Summary'!$B:$B,$B44)*Percent_urban*quadrillion</f>
        <v>961864934099247</v>
      </c>
      <c r="L44">
        <f>SUMIFS('Crosswalk AEO to EPS Summary'!L:L,'Crosswalk AEO to EPS Summary'!$B:$B,$B44)*Percent_urban*quadrillion</f>
        <v>940997679713753.75</v>
      </c>
      <c r="M44">
        <f>SUMIFS('Crosswalk AEO to EPS Summary'!M:M,'Crosswalk AEO to EPS Summary'!$B:$B,$B44)*Percent_urban*quadrillion</f>
        <v>918763615237108.13</v>
      </c>
      <c r="N44">
        <f>SUMIFS('Crosswalk AEO to EPS Summary'!N:N,'Crosswalk AEO to EPS Summary'!$B:$B,$B44)*Percent_urban*quadrillion</f>
        <v>897642895596535.38</v>
      </c>
      <c r="O44">
        <f>SUMIFS('Crosswalk AEO to EPS Summary'!O:O,'Crosswalk AEO to EPS Summary'!$B:$B,$B44)*Percent_urban*quadrillion</f>
        <v>878612854923662.25</v>
      </c>
      <c r="P44">
        <f>SUMIFS('Crosswalk AEO to EPS Summary'!P:P,'Crosswalk AEO to EPS Summary'!$B:$B,$B44)*Percent_urban*quadrillion</f>
        <v>861681690709625.25</v>
      </c>
      <c r="Q44">
        <f>SUMIFS('Crosswalk AEO to EPS Summary'!Q:Q,'Crosswalk AEO to EPS Summary'!$B:$B,$B44)*Percent_urban*quadrillion</f>
        <v>846862070769529.5</v>
      </c>
      <c r="R44">
        <f>SUMIFS('Crosswalk AEO to EPS Summary'!R:R,'Crosswalk AEO to EPS Summary'!$B:$B,$B44)*Percent_urban*quadrillion</f>
        <v>834497427864324.5</v>
      </c>
      <c r="S44">
        <f>SUMIFS('Crosswalk AEO to EPS Summary'!S:S,'Crosswalk AEO to EPS Summary'!$B:$B,$B44)*Percent_urban*quadrillion</f>
        <v>824457667273051.13</v>
      </c>
      <c r="T44">
        <f>SUMIFS('Crosswalk AEO to EPS Summary'!T:T,'Crosswalk AEO to EPS Summary'!$B:$B,$B44)*Percent_urban*quadrillion</f>
        <v>816866206688577.63</v>
      </c>
      <c r="U44">
        <f>SUMIFS('Crosswalk AEO to EPS Summary'!U:U,'Crosswalk AEO to EPS Summary'!$B:$B,$B44)*Percent_urban*quadrillion</f>
        <v>811643112034971.25</v>
      </c>
      <c r="V44">
        <f>SUMIFS('Crosswalk AEO to EPS Summary'!V:V,'Crosswalk AEO to EPS Summary'!$B:$B,$B44)*Percent_urban*quadrillion</f>
        <v>808531909654334.88</v>
      </c>
      <c r="W44">
        <f>SUMIFS('Crosswalk AEO to EPS Summary'!W:W,'Crosswalk AEO to EPS Summary'!$B:$B,$B44)*Percent_urban*quadrillion</f>
        <v>807554700737310.75</v>
      </c>
      <c r="X44">
        <f>SUMIFS('Crosswalk AEO to EPS Summary'!X:X,'Crosswalk AEO to EPS Summary'!$B:$B,$B44)*Percent_urban*quadrillion</f>
        <v>808347853943819.13</v>
      </c>
      <c r="Y44">
        <f>SUMIFS('Crosswalk AEO to EPS Summary'!Y:Y,'Crosswalk AEO to EPS Summary'!$B:$B,$B44)*Percent_urban*quadrillion</f>
        <v>811013367138670.75</v>
      </c>
      <c r="Z44">
        <f>SUMIFS('Crosswalk AEO to EPS Summary'!Z:Z,'Crosswalk AEO to EPS Summary'!$B:$B,$B44)*Percent_urban*quadrillion</f>
        <v>813998250750424.88</v>
      </c>
      <c r="AA44">
        <f>SUMIFS('Crosswalk AEO to EPS Summary'!AA:AA,'Crosswalk AEO to EPS Summary'!$B:$B,$B44)*Percent_urban*quadrillion</f>
        <v>817458907576135.38</v>
      </c>
      <c r="AB44">
        <f>SUMIFS('Crosswalk AEO to EPS Summary'!AB:AB,'Crosswalk AEO to EPS Summary'!$B:$B,$B44)*Percent_urban*quadrillion</f>
        <v>821224673363231.5</v>
      </c>
      <c r="AC44">
        <f>SUMIFS('Crosswalk AEO to EPS Summary'!AC:AC,'Crosswalk AEO to EPS Summary'!$B:$B,$B44)*Percent_urban*quadrillion</f>
        <v>825218237037804.38</v>
      </c>
      <c r="AD44">
        <f>SUMIFS('Crosswalk AEO to EPS Summary'!AD:AD,'Crosswalk AEO to EPS Summary'!$B:$B,$B44)*Percent_urban*quadrillion</f>
        <v>829171286470331.13</v>
      </c>
      <c r="AE44">
        <f>SUMIFS('Crosswalk AEO to EPS Summary'!AE:AE,'Crosswalk AEO to EPS Summary'!$B:$B,$B44)*Percent_urban*quadrillion</f>
        <v>833405603678458.63</v>
      </c>
      <c r="AF44">
        <f>SUMIFS('Crosswalk AEO to EPS Summary'!AF:AF,'Crosswalk AEO to EPS Summary'!$B:$B,$B44)*Percent_urban*quadrillion</f>
        <v>837770064392455.13</v>
      </c>
    </row>
    <row r="45" spans="2:32" x14ac:dyDescent="0.25">
      <c r="B45" s="53" t="str">
        <f t="shared" si="3"/>
        <v>residential-appliances-coal (BTU)</v>
      </c>
      <c r="C45" t="s">
        <v>1046</v>
      </c>
      <c r="D45" t="s">
        <v>1050</v>
      </c>
      <c r="E45" t="s">
        <v>1063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25">
      <c r="B46" s="53" t="str">
        <f t="shared" si="3"/>
        <v>residential-appliances-natural gas (BTU)</v>
      </c>
      <c r="C46" t="s">
        <v>1046</v>
      </c>
      <c r="D46" t="s">
        <v>1050</v>
      </c>
      <c r="E46" t="s">
        <v>1055</v>
      </c>
      <c r="F46">
        <f>SUMIFS('Crosswalk AEO to EPS Summary'!F:F,'Crosswalk AEO to EPS Summary'!$B:$B,$B46)*Percent_urban*quadrillion</f>
        <v>937723223508459.38</v>
      </c>
      <c r="G46">
        <f>SUMIFS('Crosswalk AEO to EPS Summary'!G:G,'Crosswalk AEO to EPS Summary'!$B:$B,$B46)*Percent_urban*quadrillion</f>
        <v>927813577152108.63</v>
      </c>
      <c r="H46">
        <f>SUMIFS('Crosswalk AEO to EPS Summary'!H:H,'Crosswalk AEO to EPS Summary'!$B:$B,$B46)*Percent_urban*quadrillion</f>
        <v>937254771283412.88</v>
      </c>
      <c r="I46">
        <f>SUMIFS('Crosswalk AEO to EPS Summary'!I:I,'Crosswalk AEO to EPS Summary'!$B:$B,$B46)*Percent_urban*quadrillion</f>
        <v>946091891138347</v>
      </c>
      <c r="J46">
        <f>SUMIFS('Crosswalk AEO to EPS Summary'!J:J,'Crosswalk AEO to EPS Summary'!$B:$B,$B46)*Percent_urban*quadrillion</f>
        <v>954519393370355.13</v>
      </c>
      <c r="K46">
        <f>SUMIFS('Crosswalk AEO to EPS Summary'!K:K,'Crosswalk AEO to EPS Summary'!$B:$B,$B46)*Percent_urban*quadrillion</f>
        <v>953458802910386</v>
      </c>
      <c r="L46">
        <f>SUMIFS('Crosswalk AEO to EPS Summary'!L:L,'Crosswalk AEO to EPS Summary'!$B:$B,$B46)*Percent_urban*quadrillion</f>
        <v>950956888286893.88</v>
      </c>
      <c r="M46">
        <f>SUMIFS('Crosswalk AEO to EPS Summary'!M:M,'Crosswalk AEO to EPS Summary'!$B:$B,$B46)*Percent_urban*quadrillion</f>
        <v>949038138727110.63</v>
      </c>
      <c r="N46">
        <f>SUMIFS('Crosswalk AEO to EPS Summary'!N:N,'Crosswalk AEO to EPS Summary'!$B:$B,$B46)*Percent_urban*quadrillion</f>
        <v>948073641531611.75</v>
      </c>
      <c r="O46">
        <f>SUMIFS('Crosswalk AEO to EPS Summary'!O:O,'Crosswalk AEO to EPS Summary'!$B:$B,$B46)*Percent_urban*quadrillion</f>
        <v>946249534698291.88</v>
      </c>
      <c r="P46">
        <f>SUMIFS('Crosswalk AEO to EPS Summary'!P:P,'Crosswalk AEO to EPS Summary'!$B:$B,$B46)*Percent_urban*quadrillion</f>
        <v>946159393192908.5</v>
      </c>
      <c r="Q46">
        <f>SUMIFS('Crosswalk AEO to EPS Summary'!Q:Q,'Crosswalk AEO to EPS Summary'!$B:$B,$B46)*Percent_urban*quadrillion</f>
        <v>947408680434550.25</v>
      </c>
      <c r="R46">
        <f>SUMIFS('Crosswalk AEO to EPS Summary'!R:R,'Crosswalk AEO to EPS Summary'!$B:$B,$B46)*Percent_urban*quadrillion</f>
        <v>948314382055856.88</v>
      </c>
      <c r="S46">
        <f>SUMIFS('Crosswalk AEO to EPS Summary'!S:S,'Crosswalk AEO to EPS Summary'!$B:$B,$B46)*Percent_urban*quadrillion</f>
        <v>948441470000161.75</v>
      </c>
      <c r="T46">
        <f>SUMIFS('Crosswalk AEO to EPS Summary'!T:T,'Crosswalk AEO to EPS Summary'!$B:$B,$B46)*Percent_urban*quadrillion</f>
        <v>948386635760705.88</v>
      </c>
      <c r="U46">
        <f>SUMIFS('Crosswalk AEO to EPS Summary'!U:U,'Crosswalk AEO to EPS Summary'!$B:$B,$B46)*Percent_urban*quadrillion</f>
        <v>947975245619363.63</v>
      </c>
      <c r="V46">
        <f>SUMIFS('Crosswalk AEO to EPS Summary'!V:V,'Crosswalk AEO to EPS Summary'!$B:$B,$B46)*Percent_urban*quadrillion</f>
        <v>947359316609730.38</v>
      </c>
      <c r="W46">
        <f>SUMIFS('Crosswalk AEO to EPS Summary'!W:W,'Crosswalk AEO to EPS Summary'!$B:$B,$B46)*Percent_urban*quadrillion</f>
        <v>946252081270622.5</v>
      </c>
      <c r="X46">
        <f>SUMIFS('Crosswalk AEO to EPS Summary'!X:X,'Crosswalk AEO to EPS Summary'!$B:$B,$B46)*Percent_urban*quadrillion</f>
        <v>945212048771958.25</v>
      </c>
      <c r="Y46">
        <f>SUMIFS('Crosswalk AEO to EPS Summary'!Y:Y,'Crosswalk AEO to EPS Summary'!$B:$B,$B46)*Percent_urban*quadrillion</f>
        <v>943940320471464.38</v>
      </c>
      <c r="Z46">
        <f>SUMIFS('Crosswalk AEO to EPS Summary'!Z:Z,'Crosswalk AEO to EPS Summary'!$B:$B,$B46)*Percent_urban*quadrillion</f>
        <v>942393090771796.25</v>
      </c>
      <c r="AA46">
        <f>SUMIFS('Crosswalk AEO to EPS Summary'!AA:AA,'Crosswalk AEO to EPS Summary'!$B:$B,$B46)*Percent_urban*quadrillion</f>
        <v>940275051600097.25</v>
      </c>
      <c r="AB46">
        <f>SUMIFS('Crosswalk AEO to EPS Summary'!AB:AB,'Crosswalk AEO to EPS Summary'!$B:$B,$B46)*Percent_urban*quadrillion</f>
        <v>937293529268679.88</v>
      </c>
      <c r="AC46">
        <f>SUMIFS('Crosswalk AEO to EPS Summary'!AC:AC,'Crosswalk AEO to EPS Summary'!$B:$B,$B46)*Percent_urban*quadrillion</f>
        <v>933669239722172.75</v>
      </c>
      <c r="AD46">
        <f>SUMIFS('Crosswalk AEO to EPS Summary'!AD:AD,'Crosswalk AEO to EPS Summary'!$B:$B,$B46)*Percent_urban*quadrillion</f>
        <v>929891326492350.13</v>
      </c>
      <c r="AE46">
        <f>SUMIFS('Crosswalk AEO to EPS Summary'!AE:AE,'Crosswalk AEO to EPS Summary'!$B:$B,$B46)*Percent_urban*quadrillion</f>
        <v>926354892065085.38</v>
      </c>
      <c r="AF46">
        <f>SUMIFS('Crosswalk AEO to EPS Summary'!AF:AF,'Crosswalk AEO to EPS Summary'!$B:$B,$B46)*Percent_urban*quadrillion</f>
        <v>923401138104751.88</v>
      </c>
    </row>
    <row r="47" spans="2:32" x14ac:dyDescent="0.25">
      <c r="B47" s="53" t="str">
        <f t="shared" si="3"/>
        <v>residential-appliances-petroleum diesel (BTU)</v>
      </c>
      <c r="C47" t="s">
        <v>1046</v>
      </c>
      <c r="D47" t="s">
        <v>1050</v>
      </c>
      <c r="E47" t="s">
        <v>1056</v>
      </c>
      <c r="F47">
        <f>SUMIFS('Crosswalk AEO to EPS Summary'!F:F,'Crosswalk AEO to EPS Summary'!$B:$B,$B47)*Percent_urban*quadrillion</f>
        <v>32750936614587.551</v>
      </c>
      <c r="G47">
        <f>SUMIFS('Crosswalk AEO to EPS Summary'!G:G,'Crosswalk AEO to EPS Summary'!$B:$B,$B47)*Percent_urban*quadrillion</f>
        <v>30780777516068.969</v>
      </c>
      <c r="H47">
        <f>SUMIFS('Crosswalk AEO to EPS Summary'!H:H,'Crosswalk AEO to EPS Summary'!$B:$B,$B47)*Percent_urban*quadrillion</f>
        <v>29169678611511.375</v>
      </c>
      <c r="I47">
        <f>SUMIFS('Crosswalk AEO to EPS Summary'!I:I,'Crosswalk AEO to EPS Summary'!$B:$B,$B47)*Percent_urban*quadrillion</f>
        <v>27453350654901.641</v>
      </c>
      <c r="J47">
        <f>SUMIFS('Crosswalk AEO to EPS Summary'!J:J,'Crosswalk AEO to EPS Summary'!$B:$B,$B47)*Percent_urban*quadrillion</f>
        <v>25823737876791.063</v>
      </c>
      <c r="K47">
        <f>SUMIFS('Crosswalk AEO to EPS Summary'!K:K,'Crosswalk AEO to EPS Summary'!$B:$B,$B47)*Percent_urban*quadrillion</f>
        <v>24247697435116.973</v>
      </c>
      <c r="L47">
        <f>SUMIFS('Crosswalk AEO to EPS Summary'!L:L,'Crosswalk AEO to EPS Summary'!$B:$B,$B47)*Percent_urban*quadrillion</f>
        <v>22914724557921.152</v>
      </c>
      <c r="M47">
        <f>SUMIFS('Crosswalk AEO to EPS Summary'!M:M,'Crosswalk AEO to EPS Summary'!$B:$B,$B47)*Percent_urban*quadrillion</f>
        <v>21767067668096.82</v>
      </c>
      <c r="N47">
        <f>SUMIFS('Crosswalk AEO to EPS Summary'!N:N,'Crosswalk AEO to EPS Summary'!$B:$B,$B47)*Percent_urban*quadrillion</f>
        <v>20833857861895.895</v>
      </c>
      <c r="O47">
        <f>SUMIFS('Crosswalk AEO to EPS Summary'!O:O,'Crosswalk AEO to EPS Summary'!$B:$B,$B47)*Percent_urban*quadrillion</f>
        <v>20093268770339.188</v>
      </c>
      <c r="P47">
        <f>SUMIFS('Crosswalk AEO to EPS Summary'!P:P,'Crosswalk AEO to EPS Summary'!$B:$B,$B47)*Percent_urban*quadrillion</f>
        <v>19574623376993.441</v>
      </c>
      <c r="Q47">
        <f>SUMIFS('Crosswalk AEO to EPS Summary'!Q:Q,'Crosswalk AEO to EPS Summary'!$B:$B,$B47)*Percent_urban*quadrillion</f>
        <v>19250751739010.766</v>
      </c>
      <c r="R47">
        <f>SUMIFS('Crosswalk AEO to EPS Summary'!R:R,'Crosswalk AEO to EPS Summary'!$B:$B,$B47)*Percent_urban*quadrillion</f>
        <v>18891133770905.852</v>
      </c>
      <c r="S47">
        <f>SUMIFS('Crosswalk AEO to EPS Summary'!S:S,'Crosswalk AEO to EPS Summary'!$B:$B,$B47)*Percent_urban*quadrillion</f>
        <v>18520290394883.832</v>
      </c>
      <c r="T47">
        <f>SUMIFS('Crosswalk AEO to EPS Summary'!T:T,'Crosswalk AEO to EPS Summary'!$B:$B,$B47)*Percent_urban*quadrillion</f>
        <v>18139220075447.258</v>
      </c>
      <c r="U47">
        <f>SUMIFS('Crosswalk AEO to EPS Summary'!U:U,'Crosswalk AEO to EPS Summary'!$B:$B,$B47)*Percent_urban*quadrillion</f>
        <v>17752781789686.715</v>
      </c>
      <c r="V47">
        <f>SUMIFS('Crosswalk AEO to EPS Summary'!V:V,'Crosswalk AEO to EPS Summary'!$B:$B,$B47)*Percent_urban*quadrillion</f>
        <v>17362564299522.379</v>
      </c>
      <c r="W47">
        <f>SUMIFS('Crosswalk AEO to EPS Summary'!W:W,'Crosswalk AEO to EPS Summary'!$B:$B,$B47)*Percent_urban*quadrillion</f>
        <v>16962682518578.482</v>
      </c>
      <c r="X47">
        <f>SUMIFS('Crosswalk AEO to EPS Summary'!X:X,'Crosswalk AEO to EPS Summary'!$B:$B,$B47)*Percent_urban*quadrillion</f>
        <v>16560137081518.658</v>
      </c>
      <c r="Y47">
        <f>SUMIFS('Crosswalk AEO to EPS Summary'!Y:Y,'Crosswalk AEO to EPS Summary'!$B:$B,$B47)*Percent_urban*quadrillion</f>
        <v>16155539425888.445</v>
      </c>
      <c r="Z47">
        <f>SUMIFS('Crosswalk AEO to EPS Summary'!Z:Z,'Crosswalk AEO to EPS Summary'!$B:$B,$B47)*Percent_urban*quadrillion</f>
        <v>15750681584068.646</v>
      </c>
      <c r="AA47">
        <f>SUMIFS('Crosswalk AEO to EPS Summary'!AA:AA,'Crosswalk AEO to EPS Summary'!$B:$B,$B47)*Percent_urban*quadrillion</f>
        <v>15342507994495.264</v>
      </c>
      <c r="AB47">
        <f>SUMIFS('Crosswalk AEO to EPS Summary'!AB:AB,'Crosswalk AEO to EPS Summary'!$B:$B,$B47)*Percent_urban*quadrillion</f>
        <v>14938042058123.531</v>
      </c>
      <c r="AC47">
        <f>SUMIFS('Crosswalk AEO to EPS Summary'!AC:AC,'Crosswalk AEO to EPS Summary'!$B:$B,$B47)*Percent_urban*quadrillion</f>
        <v>14538576575082.975</v>
      </c>
      <c r="AD47">
        <f>SUMIFS('Crosswalk AEO to EPS Summary'!AD:AD,'Crosswalk AEO to EPS Summary'!$B:$B,$B47)*Percent_urban*quadrillion</f>
        <v>14148773756658.303</v>
      </c>
      <c r="AE47">
        <f>SUMIFS('Crosswalk AEO to EPS Summary'!AE:AE,'Crosswalk AEO to EPS Summary'!$B:$B,$B47)*Percent_urban*quadrillion</f>
        <v>13773619420707.518</v>
      </c>
      <c r="AF47">
        <f>SUMIFS('Crosswalk AEO to EPS Summary'!AF:AF,'Crosswalk AEO to EPS Summary'!$B:$B,$B47)*Percent_urban*quadrillion</f>
        <v>13423107969238.242</v>
      </c>
    </row>
    <row r="48" spans="2:32" x14ac:dyDescent="0.25">
      <c r="B48" s="53" t="str">
        <f t="shared" si="3"/>
        <v>residential-appliances-heat (BTU)</v>
      </c>
      <c r="C48" t="s">
        <v>1046</v>
      </c>
      <c r="D48" t="s">
        <v>1050</v>
      </c>
      <c r="E48" t="s">
        <v>1064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25">
      <c r="B49" s="53" t="str">
        <f t="shared" si="3"/>
        <v>residential-appliances-biomass (BTU)</v>
      </c>
      <c r="C49" t="s">
        <v>1046</v>
      </c>
      <c r="D49" t="s">
        <v>1050</v>
      </c>
      <c r="E49" t="s">
        <v>1058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25">
      <c r="B50" s="53" t="str">
        <f t="shared" si="3"/>
        <v>residential-appliances-kerosene (BTU)</v>
      </c>
      <c r="C50" t="s">
        <v>1046</v>
      </c>
      <c r="D50" t="s">
        <v>1050</v>
      </c>
      <c r="E50" t="s">
        <v>1065</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25">
      <c r="B51" s="53" t="str">
        <f t="shared" si="3"/>
        <v>residential-appliances-heavy or residual fuel oil (BTU)</v>
      </c>
      <c r="C51" t="s">
        <v>1046</v>
      </c>
      <c r="D51" t="s">
        <v>1050</v>
      </c>
      <c r="E51" t="s">
        <v>1066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25">
      <c r="B52" s="53" t="str">
        <f t="shared" si="3"/>
        <v>residential-appliances-LPG propane or butane (BTU)</v>
      </c>
      <c r="C52" t="s">
        <v>1046</v>
      </c>
      <c r="D52" t="s">
        <v>1050</v>
      </c>
      <c r="E52" t="s">
        <v>1057</v>
      </c>
      <c r="F52">
        <f>SUMIFS('Crosswalk AEO to EPS Summary'!F:F,'Crosswalk AEO to EPS Summary'!$B:$B,$B52)*Percent_urban*quadrillion</f>
        <v>54522016028495.102</v>
      </c>
      <c r="G52">
        <f>SUMIFS('Crosswalk AEO to EPS Summary'!G:G,'Crosswalk AEO to EPS Summary'!$B:$B,$B52)*Percent_urban*quadrillion</f>
        <v>56055251776572.492</v>
      </c>
      <c r="H52">
        <f>SUMIFS('Crosswalk AEO to EPS Summary'!H:H,'Crosswalk AEO to EPS Summary'!$B:$B,$B52)*Percent_urban*quadrillion</f>
        <v>56450557532906.984</v>
      </c>
      <c r="I52">
        <f>SUMIFS('Crosswalk AEO to EPS Summary'!I:I,'Crosswalk AEO to EPS Summary'!$B:$B,$B52)*Percent_urban*quadrillion</f>
        <v>57030362942443.133</v>
      </c>
      <c r="J52">
        <f>SUMIFS('Crosswalk AEO to EPS Summary'!J:J,'Crosswalk AEO to EPS Summary'!$B:$B,$B52)*Percent_urban*quadrillion</f>
        <v>57493765116166.117</v>
      </c>
      <c r="K52">
        <f>SUMIFS('Crosswalk AEO to EPS Summary'!K:K,'Crosswalk AEO to EPS Summary'!$B:$B,$B52)*Percent_urban*quadrillion</f>
        <v>56827109556544.969</v>
      </c>
      <c r="L52">
        <f>SUMIFS('Crosswalk AEO to EPS Summary'!L:L,'Crosswalk AEO to EPS Summary'!$B:$B,$B52)*Percent_urban*quadrillion</f>
        <v>55985377149194.531</v>
      </c>
      <c r="M52">
        <f>SUMIFS('Crosswalk AEO to EPS Summary'!M:M,'Crosswalk AEO to EPS Summary'!$B:$B,$B52)*Percent_urban*quadrillion</f>
        <v>55099098426940.82</v>
      </c>
      <c r="N52">
        <f>SUMIFS('Crosswalk AEO to EPS Summary'!N:N,'Crosswalk AEO to EPS Summary'!$B:$B,$B52)*Percent_urban*quadrillion</f>
        <v>54268473530640.328</v>
      </c>
      <c r="O52">
        <f>SUMIFS('Crosswalk AEO to EPS Summary'!O:O,'Crosswalk AEO to EPS Summary'!$B:$B,$B52)*Percent_urban*quadrillion</f>
        <v>53510408057961.625</v>
      </c>
      <c r="P52">
        <f>SUMIFS('Crosswalk AEO to EPS Summary'!P:P,'Crosswalk AEO to EPS Summary'!$B:$B,$B52)*Percent_urban*quadrillion</f>
        <v>52911709878733.898</v>
      </c>
      <c r="Q52">
        <f>SUMIFS('Crosswalk AEO to EPS Summary'!Q:Q,'Crosswalk AEO to EPS Summary'!$B:$B,$B52)*Percent_urban*quadrillion</f>
        <v>52468204630777.938</v>
      </c>
      <c r="R52">
        <f>SUMIFS('Crosswalk AEO to EPS Summary'!R:R,'Crosswalk AEO to EPS Summary'!$B:$B,$B52)*Percent_urban*quadrillion</f>
        <v>51949046995871.445</v>
      </c>
      <c r="S52">
        <f>SUMIFS('Crosswalk AEO to EPS Summary'!S:S,'Crosswalk AEO to EPS Summary'!$B:$B,$B52)*Percent_urban*quadrillion</f>
        <v>51363692302760.461</v>
      </c>
      <c r="T52">
        <f>SUMIFS('Crosswalk AEO to EPS Summary'!T:T,'Crosswalk AEO to EPS Summary'!$B:$B,$B52)*Percent_urban*quadrillion</f>
        <v>50732621269974.898</v>
      </c>
      <c r="U52">
        <f>SUMIFS('Crosswalk AEO to EPS Summary'!U:U,'Crosswalk AEO to EPS Summary'!$B:$B,$B52)*Percent_urban*quadrillion</f>
        <v>50057923517849.914</v>
      </c>
      <c r="V52">
        <f>SUMIFS('Crosswalk AEO to EPS Summary'!V:V,'Crosswalk AEO to EPS Summary'!$B:$B,$B52)*Percent_urban*quadrillion</f>
        <v>49370588847729.297</v>
      </c>
      <c r="W52">
        <f>SUMIFS('Crosswalk AEO to EPS Summary'!W:W,'Crosswalk AEO to EPS Summary'!$B:$B,$B52)*Percent_urban*quadrillion</f>
        <v>48684973032623.648</v>
      </c>
      <c r="X52">
        <f>SUMIFS('Crosswalk AEO to EPS Summary'!X:X,'Crosswalk AEO to EPS Summary'!$B:$B,$B52)*Percent_urban*quadrillion</f>
        <v>48025941741439.32</v>
      </c>
      <c r="Y52">
        <f>SUMIFS('Crosswalk AEO to EPS Summary'!Y:Y,'Crosswalk AEO to EPS Summary'!$B:$B,$B52)*Percent_urban*quadrillion</f>
        <v>47381930511130.898</v>
      </c>
      <c r="Z52">
        <f>SUMIFS('Crosswalk AEO to EPS Summary'!Z:Z,'Crosswalk AEO to EPS Summary'!$B:$B,$B52)*Percent_urban*quadrillion</f>
        <v>46751743298308.102</v>
      </c>
      <c r="AA52">
        <f>SUMIFS('Crosswalk AEO to EPS Summary'!AA:AA,'Crosswalk AEO to EPS Summary'!$B:$B,$B52)*Percent_urban*quadrillion</f>
        <v>46116649136566.008</v>
      </c>
      <c r="AB52">
        <f>SUMIFS('Crosswalk AEO to EPS Summary'!AB:AB,'Crosswalk AEO to EPS Summary'!$B:$B,$B52)*Percent_urban*quadrillion</f>
        <v>45462757335707.93</v>
      </c>
      <c r="AC52">
        <f>SUMIFS('Crosswalk AEO to EPS Summary'!AC:AC,'Crosswalk AEO to EPS Summary'!$B:$B,$B52)*Percent_urban*quadrillion</f>
        <v>44795342357645.906</v>
      </c>
      <c r="AD52">
        <f>SUMIFS('Crosswalk AEO to EPS Summary'!AD:AD,'Crosswalk AEO to EPS Summary'!$B:$B,$B52)*Percent_urban*quadrillion</f>
        <v>44131814723872.734</v>
      </c>
      <c r="AE52">
        <f>SUMIFS('Crosswalk AEO to EPS Summary'!AE:AE,'Crosswalk AEO to EPS Summary'!$B:$B,$B52)*Percent_urban*quadrillion</f>
        <v>43494761847972.148</v>
      </c>
      <c r="AF52">
        <f>SUMIFS('Crosswalk AEO to EPS Summary'!AF:AF,'Crosswalk AEO to EPS Summary'!$B:$B,$B52)*Percent_urban*quadrillion</f>
        <v>42900978748482.141</v>
      </c>
    </row>
    <row r="53" spans="2:32" x14ac:dyDescent="0.25">
      <c r="B53" s="53" t="str">
        <f t="shared" si="3"/>
        <v>residential-appliances-hydrogen (BTU)</v>
      </c>
      <c r="C53" t="s">
        <v>1046</v>
      </c>
      <c r="D53" t="s">
        <v>1050</v>
      </c>
      <c r="E53" t="s">
        <v>1067</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25">
      <c r="B55" s="1" t="s">
        <v>1071</v>
      </c>
    </row>
    <row r="56" spans="2:32" x14ac:dyDescent="0.25">
      <c r="E56" t="s">
        <v>1026</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25">
      <c r="B57" s="53" t="str">
        <f t="shared" ref="B57:B66" si="4">C57&amp;"-"&amp;D57&amp;"-"&amp;E57</f>
        <v>residential-other-electricity (BTU)</v>
      </c>
      <c r="C57" t="s">
        <v>1046</v>
      </c>
      <c r="D57" t="s">
        <v>1052</v>
      </c>
      <c r="E57" t="s">
        <v>1048</v>
      </c>
      <c r="F57">
        <f>SUMIFS('Crosswalk AEO to EPS Summary'!F:F,'Crosswalk AEO to EPS Summary'!$B:$B,$B57)*Percent_urban*quadrillion</f>
        <v>1774425093499554.5</v>
      </c>
      <c r="G57">
        <f>SUMIFS('Crosswalk AEO to EPS Summary'!G:G,'Crosswalk AEO to EPS Summary'!$B:$B,$B57)*Percent_urban*quadrillion</f>
        <v>1832545627632477.8</v>
      </c>
      <c r="H57">
        <f>SUMIFS('Crosswalk AEO to EPS Summary'!H:H,'Crosswalk AEO to EPS Summary'!$B:$B,$B57)*Percent_urban*quadrillion</f>
        <v>1843485214515664</v>
      </c>
      <c r="I57">
        <f>SUMIFS('Crosswalk AEO to EPS Summary'!I:I,'Crosswalk AEO to EPS Summary'!$B:$B,$B57)*Percent_urban*quadrillion</f>
        <v>1760716052291103.5</v>
      </c>
      <c r="J57">
        <f>SUMIFS('Crosswalk AEO to EPS Summary'!J:J,'Crosswalk AEO to EPS Summary'!$B:$B,$B57)*Percent_urban*quadrillion</f>
        <v>1788123525616125.5</v>
      </c>
      <c r="K57">
        <f>SUMIFS('Crosswalk AEO to EPS Summary'!K:K,'Crosswalk AEO to EPS Summary'!$B:$B,$B57)*Percent_urban*quadrillion</f>
        <v>1812948579458269.3</v>
      </c>
      <c r="L57">
        <f>SUMIFS('Crosswalk AEO to EPS Summary'!L:L,'Crosswalk AEO to EPS Summary'!$B:$B,$B57)*Percent_urban*quadrillion</f>
        <v>1833428400345826.8</v>
      </c>
      <c r="M57">
        <f>SUMIFS('Crosswalk AEO to EPS Summary'!M:M,'Crosswalk AEO to EPS Summary'!$B:$B,$B57)*Percent_urban*quadrillion</f>
        <v>1852086774803853.3</v>
      </c>
      <c r="N57">
        <f>SUMIFS('Crosswalk AEO to EPS Summary'!N:N,'Crosswalk AEO to EPS Summary'!$B:$B,$B57)*Percent_urban*quadrillion</f>
        <v>1871524029629725.5</v>
      </c>
      <c r="O57">
        <f>SUMIFS('Crosswalk AEO to EPS Summary'!O:O,'Crosswalk AEO to EPS Summary'!$B:$B,$B57)*Percent_urban*quadrillion</f>
        <v>1892037395021776.3</v>
      </c>
      <c r="P57">
        <f>SUMIFS('Crosswalk AEO to EPS Summary'!P:P,'Crosswalk AEO to EPS Summary'!$B:$B,$B57)*Percent_urban*quadrillion</f>
        <v>1915364407363393.3</v>
      </c>
      <c r="Q57">
        <f>SUMIFS('Crosswalk AEO to EPS Summary'!Q:Q,'Crosswalk AEO to EPS Summary'!$B:$B,$B57)*Percent_urban*quadrillion</f>
        <v>1940030025613211.5</v>
      </c>
      <c r="R57">
        <f>SUMIFS('Crosswalk AEO to EPS Summary'!R:R,'Crosswalk AEO to EPS Summary'!$B:$B,$B57)*Percent_urban*quadrillion</f>
        <v>1965175758934024</v>
      </c>
      <c r="S57">
        <f>SUMIFS('Crosswalk AEO to EPS Summary'!S:S,'Crosswalk AEO to EPS Summary'!$B:$B,$B57)*Percent_urban*quadrillion</f>
        <v>1991280987370841</v>
      </c>
      <c r="T57">
        <f>SUMIFS('Crosswalk AEO to EPS Summary'!T:T,'Crosswalk AEO to EPS Summary'!$B:$B,$B57)*Percent_urban*quadrillion</f>
        <v>2018242163324860.5</v>
      </c>
      <c r="U57">
        <f>SUMIFS('Crosswalk AEO to EPS Summary'!U:U,'Crosswalk AEO to EPS Summary'!$B:$B,$B57)*Percent_urban*quadrillion</f>
        <v>2045112553812677</v>
      </c>
      <c r="V57">
        <f>SUMIFS('Crosswalk AEO to EPS Summary'!V:V,'Crosswalk AEO to EPS Summary'!$B:$B,$B57)*Percent_urban*quadrillion</f>
        <v>2068813668362341</v>
      </c>
      <c r="W57">
        <f>SUMIFS('Crosswalk AEO to EPS Summary'!W:W,'Crosswalk AEO to EPS Summary'!$B:$B,$B57)*Percent_urban*quadrillion</f>
        <v>2094696496148951.3</v>
      </c>
      <c r="X57">
        <f>SUMIFS('Crosswalk AEO to EPS Summary'!X:X,'Crosswalk AEO to EPS Summary'!$B:$B,$B57)*Percent_urban*quadrillion</f>
        <v>2122148467817048</v>
      </c>
      <c r="Y57">
        <f>SUMIFS('Crosswalk AEO to EPS Summary'!Y:Y,'Crosswalk AEO to EPS Summary'!$B:$B,$B57)*Percent_urban*quadrillion</f>
        <v>2151536839425564.8</v>
      </c>
      <c r="Z57">
        <f>SUMIFS('Crosswalk AEO to EPS Summary'!Z:Z,'Crosswalk AEO to EPS Summary'!$B:$B,$B57)*Percent_urban*quadrillion</f>
        <v>2181972821455516.5</v>
      </c>
      <c r="AA57">
        <f>SUMIFS('Crosswalk AEO to EPS Summary'!AA:AA,'Crosswalk AEO to EPS Summary'!$B:$B,$B57)*Percent_urban*quadrillion</f>
        <v>2209480131473812</v>
      </c>
      <c r="AB57">
        <f>SUMIFS('Crosswalk AEO to EPS Summary'!AB:AB,'Crosswalk AEO to EPS Summary'!$B:$B,$B57)*Percent_urban*quadrillion</f>
        <v>2240253451403221.5</v>
      </c>
      <c r="AC57">
        <f>SUMIFS('Crosswalk AEO to EPS Summary'!AC:AC,'Crosswalk AEO to EPS Summary'!$B:$B,$B57)*Percent_urban*quadrillion</f>
        <v>2270650720980490.5</v>
      </c>
      <c r="AD57">
        <f>SUMIFS('Crosswalk AEO to EPS Summary'!AD:AD,'Crosswalk AEO to EPS Summary'!$B:$B,$B57)*Percent_urban*quadrillion</f>
        <v>2301328936352950.5</v>
      </c>
      <c r="AE57">
        <f>SUMIFS('Crosswalk AEO to EPS Summary'!AE:AE,'Crosswalk AEO to EPS Summary'!$B:$B,$B57)*Percent_urban*quadrillion</f>
        <v>2333181115065166</v>
      </c>
      <c r="AF57">
        <f>SUMIFS('Crosswalk AEO to EPS Summary'!AF:AF,'Crosswalk AEO to EPS Summary'!$B:$B,$B57)*Percent_urban*quadrillion</f>
        <v>2365798202146846.5</v>
      </c>
    </row>
    <row r="58" spans="2:32" x14ac:dyDescent="0.25">
      <c r="B58" s="53" t="str">
        <f t="shared" si="4"/>
        <v>residential-other-coal (BTU)</v>
      </c>
      <c r="C58" t="s">
        <v>1046</v>
      </c>
      <c r="D58" t="s">
        <v>1052</v>
      </c>
      <c r="E58" t="s">
        <v>1063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25">
      <c r="B59" s="53" t="str">
        <f t="shared" si="4"/>
        <v>residential-other-natural gas (BTU)</v>
      </c>
      <c r="C59" t="s">
        <v>1046</v>
      </c>
      <c r="D59" t="s">
        <v>1052</v>
      </c>
      <c r="E59" t="s">
        <v>1055</v>
      </c>
      <c r="F59">
        <f>SUMIFS('Crosswalk AEO to EPS Summary'!F:F,'Crosswalk AEO to EPS Summary'!$B:$B,$B59)*Percent_urban*quadrillion</f>
        <v>494950562292560.44</v>
      </c>
      <c r="G59">
        <f>SUMIFS('Crosswalk AEO to EPS Summary'!G:G,'Crosswalk AEO to EPS Summary'!$B:$B,$B59)*Percent_urban*quadrillion</f>
        <v>494634761304946.19</v>
      </c>
      <c r="H59">
        <f>SUMIFS('Crosswalk AEO to EPS Summary'!H:H,'Crosswalk AEO to EPS Summary'!$B:$B,$B59)*Percent_urban*quadrillion</f>
        <v>497334453208127.5</v>
      </c>
      <c r="I59">
        <f>SUMIFS('Crosswalk AEO to EPS Summary'!I:I,'Crosswalk AEO to EPS Summary'!$B:$B,$B59)*Percent_urban*quadrillion</f>
        <v>499188592032380.81</v>
      </c>
      <c r="J59">
        <f>SUMIFS('Crosswalk AEO to EPS Summary'!J:J,'Crosswalk AEO to EPS Summary'!$B:$B,$B59)*Percent_urban*quadrillion</f>
        <v>500056417049137.81</v>
      </c>
      <c r="K59">
        <f>SUMIFS('Crosswalk AEO to EPS Summary'!K:K,'Crosswalk AEO to EPS Summary'!$B:$B,$B59)*Percent_urban*quadrillion</f>
        <v>499736700259370.13</v>
      </c>
      <c r="L59">
        <f>SUMIFS('Crosswalk AEO to EPS Summary'!L:L,'Crosswalk AEO to EPS Summary'!$B:$B,$B59)*Percent_urban*quadrillion</f>
        <v>498594014551930.69</v>
      </c>
      <c r="M59">
        <f>SUMIFS('Crosswalk AEO to EPS Summary'!M:M,'Crosswalk AEO to EPS Summary'!$B:$B,$B59)*Percent_urban*quadrillion</f>
        <v>497260456255808.25</v>
      </c>
      <c r="N59">
        <f>SUMIFS('Crosswalk AEO to EPS Summary'!N:N,'Crosswalk AEO to EPS Summary'!$B:$B,$B59)*Percent_urban*quadrillion</f>
        <v>496182973207479.94</v>
      </c>
      <c r="O59">
        <f>SUMIFS('Crosswalk AEO to EPS Summary'!O:O,'Crosswalk AEO to EPS Summary'!$B:$B,$B59)*Percent_urban*quadrillion</f>
        <v>494705427874038.69</v>
      </c>
      <c r="P59">
        <f>SUMIFS('Crosswalk AEO to EPS Summary'!P:P,'Crosswalk AEO to EPS Summary'!$B:$B,$B59)*Percent_urban*quadrillion</f>
        <v>493612593840524.5</v>
      </c>
      <c r="Q59">
        <f>SUMIFS('Crosswalk AEO to EPS Summary'!Q:Q,'Crosswalk AEO to EPS Summary'!$B:$B,$B59)*Percent_urban*quadrillion</f>
        <v>492646314369626.75</v>
      </c>
      <c r="R59">
        <f>SUMIFS('Crosswalk AEO to EPS Summary'!R:R,'Crosswalk AEO to EPS Summary'!$B:$B,$B59)*Percent_urban*quadrillion</f>
        <v>491988511645106.44</v>
      </c>
      <c r="S59">
        <f>SUMIFS('Crosswalk AEO to EPS Summary'!S:S,'Crosswalk AEO to EPS Summary'!$B:$B,$B59)*Percent_urban*quadrillion</f>
        <v>491210242714806.13</v>
      </c>
      <c r="T59">
        <f>SUMIFS('Crosswalk AEO to EPS Summary'!T:T,'Crosswalk AEO to EPS Summary'!$B:$B,$B59)*Percent_urban*quadrillion</f>
        <v>490549682016676.06</v>
      </c>
      <c r="U59">
        <f>SUMIFS('Crosswalk AEO to EPS Summary'!U:U,'Crosswalk AEO to EPS Summary'!$B:$B,$B59)*Percent_urban*quadrillion</f>
        <v>489927576837367.44</v>
      </c>
      <c r="V59">
        <f>SUMIFS('Crosswalk AEO to EPS Summary'!V:V,'Crosswalk AEO to EPS Summary'!$B:$B,$B59)*Percent_urban*quadrillion</f>
        <v>489400283505545.19</v>
      </c>
      <c r="W59">
        <f>SUMIFS('Crosswalk AEO to EPS Summary'!W:W,'Crosswalk AEO to EPS Summary'!$B:$B,$B59)*Percent_urban*quadrillion</f>
        <v>488958591430097.88</v>
      </c>
      <c r="X59">
        <f>SUMIFS('Crosswalk AEO to EPS Summary'!X:X,'Crosswalk AEO to EPS Summary'!$B:$B,$B59)*Percent_urban*quadrillion</f>
        <v>488832140941957.38</v>
      </c>
      <c r="Y59">
        <f>SUMIFS('Crosswalk AEO to EPS Summary'!Y:Y,'Crosswalk AEO to EPS Summary'!$B:$B,$B59)*Percent_urban*quadrillion</f>
        <v>488902859548287.88</v>
      </c>
      <c r="Z59">
        <f>SUMIFS('Crosswalk AEO to EPS Summary'!Z:Z,'Crosswalk AEO to EPS Summary'!$B:$B,$B59)*Percent_urban*quadrillion</f>
        <v>489135934336922.19</v>
      </c>
      <c r="AA59">
        <f>SUMIFS('Crosswalk AEO to EPS Summary'!AA:AA,'Crosswalk AEO to EPS Summary'!$B:$B,$B59)*Percent_urban*quadrillion</f>
        <v>489305679807010.38</v>
      </c>
      <c r="AB59">
        <f>SUMIFS('Crosswalk AEO to EPS Summary'!AB:AB,'Crosswalk AEO to EPS Summary'!$B:$B,$B59)*Percent_urban*quadrillion</f>
        <v>489197962724520.31</v>
      </c>
      <c r="AC59">
        <f>SUMIFS('Crosswalk AEO to EPS Summary'!AC:AC,'Crosswalk AEO to EPS Summary'!$B:$B,$B59)*Percent_urban*quadrillion</f>
        <v>488865756997652.31</v>
      </c>
      <c r="AD59">
        <f>SUMIFS('Crosswalk AEO to EPS Summary'!AD:AD,'Crosswalk AEO to EPS Summary'!$B:$B,$B59)*Percent_urban*quadrillion</f>
        <v>488466006935966.94</v>
      </c>
      <c r="AE59">
        <f>SUMIFS('Crosswalk AEO to EPS Summary'!AE:AE,'Crosswalk AEO to EPS Summary'!$B:$B,$B59)*Percent_urban*quadrillion</f>
        <v>488088997147251.63</v>
      </c>
      <c r="AF59">
        <f>SUMIFS('Crosswalk AEO to EPS Summary'!AF:AF,'Crosswalk AEO to EPS Summary'!$B:$B,$B59)*Percent_urban*quadrillion</f>
        <v>487781405033918.81</v>
      </c>
    </row>
    <row r="60" spans="2:32" x14ac:dyDescent="0.25">
      <c r="B60" s="53" t="str">
        <f t="shared" si="4"/>
        <v>residential-other-petroleum diesel (BTU)</v>
      </c>
      <c r="C60" t="s">
        <v>1046</v>
      </c>
      <c r="D60" t="s">
        <v>1052</v>
      </c>
      <c r="E60" t="s">
        <v>1056</v>
      </c>
      <c r="F60">
        <f>SUMIFS('Crosswalk AEO to EPS Summary'!F:F,'Crosswalk AEO to EPS Summary'!$B:$B,$B60)*Percent_urban*quadrillion</f>
        <v>20989707763296.363</v>
      </c>
      <c r="G60">
        <f>SUMIFS('Crosswalk AEO to EPS Summary'!G:G,'Crosswalk AEO to EPS Summary'!$B:$B,$B60)*Percent_urban*quadrillion</f>
        <v>21185058806767.586</v>
      </c>
      <c r="H60">
        <f>SUMIFS('Crosswalk AEO to EPS Summary'!H:H,'Crosswalk AEO to EPS Summary'!$B:$B,$B60)*Percent_urban*quadrillion</f>
        <v>21403288347122.152</v>
      </c>
      <c r="I60">
        <f>SUMIFS('Crosswalk AEO to EPS Summary'!I:I,'Crosswalk AEO to EPS Summary'!$B:$B,$B60)*Percent_urban*quadrillion</f>
        <v>21440468953614.508</v>
      </c>
      <c r="J60">
        <f>SUMIFS('Crosswalk AEO to EPS Summary'!J:J,'Crosswalk AEO to EPS Summary'!$B:$B,$B60)*Percent_urban*quadrillion</f>
        <v>21392077574678.215</v>
      </c>
      <c r="K60">
        <f>SUMIFS('Crosswalk AEO to EPS Summary'!K:K,'Crosswalk AEO to EPS Summary'!$B:$B,$B60)*Percent_urban*quadrillion</f>
        <v>21307513810734.234</v>
      </c>
      <c r="L60">
        <f>SUMIFS('Crosswalk AEO to EPS Summary'!L:L,'Crosswalk AEO to EPS Summary'!$B:$B,$B60)*Percent_urban*quadrillion</f>
        <v>21258276826681.777</v>
      </c>
      <c r="M60">
        <f>SUMIFS('Crosswalk AEO to EPS Summary'!M:M,'Crosswalk AEO to EPS Summary'!$B:$B,$B60)*Percent_urban*quadrillion</f>
        <v>21198074620901.805</v>
      </c>
      <c r="N60">
        <f>SUMIFS('Crosswalk AEO to EPS Summary'!N:N,'Crosswalk AEO to EPS Summary'!$B:$B,$B60)*Percent_urban*quadrillion</f>
        <v>21148575824496.074</v>
      </c>
      <c r="O60">
        <f>SUMIFS('Crosswalk AEO to EPS Summary'!O:O,'Crosswalk AEO to EPS Summary'!$B:$B,$B60)*Percent_urban*quadrillion</f>
        <v>21093578968671.574</v>
      </c>
      <c r="P60">
        <f>SUMIFS('Crosswalk AEO to EPS Summary'!P:P,'Crosswalk AEO to EPS Summary'!$B:$B,$B60)*Percent_urban*quadrillion</f>
        <v>21058206656196.875</v>
      </c>
      <c r="Q60">
        <f>SUMIFS('Crosswalk AEO to EPS Summary'!Q:Q,'Crosswalk AEO to EPS Summary'!$B:$B,$B60)*Percent_urban*quadrillion</f>
        <v>21017183424917.023</v>
      </c>
      <c r="R60">
        <f>SUMIFS('Crosswalk AEO to EPS Summary'!R:R,'Crosswalk AEO to EPS Summary'!$B:$B,$B60)*Percent_urban*quadrillion</f>
        <v>20979849959038.289</v>
      </c>
      <c r="S60">
        <f>SUMIFS('Crosswalk AEO to EPS Summary'!S:S,'Crosswalk AEO to EPS Summary'!$B:$B,$B60)*Percent_urban*quadrillion</f>
        <v>20947011209584.715</v>
      </c>
      <c r="T60">
        <f>SUMIFS('Crosswalk AEO to EPS Summary'!T:T,'Crosswalk AEO to EPS Summary'!$B:$B,$B60)*Percent_urban*quadrillion</f>
        <v>20915575839391.242</v>
      </c>
      <c r="U60">
        <f>SUMIFS('Crosswalk AEO to EPS Summary'!U:U,'Crosswalk AEO to EPS Summary'!$B:$B,$B60)*Percent_urban*quadrillion</f>
        <v>20887900159637.336</v>
      </c>
      <c r="V60">
        <f>SUMIFS('Crosswalk AEO to EPS Summary'!V:V,'Crosswalk AEO to EPS Summary'!$B:$B,$B60)*Percent_urban*quadrillion</f>
        <v>20860987150651.664</v>
      </c>
      <c r="W60">
        <f>SUMIFS('Crosswalk AEO to EPS Summary'!W:W,'Crosswalk AEO to EPS Summary'!$B:$B,$B60)*Percent_urban*quadrillion</f>
        <v>20829759929409.859</v>
      </c>
      <c r="X60">
        <f>SUMIFS('Crosswalk AEO to EPS Summary'!X:X,'Crosswalk AEO to EPS Summary'!$B:$B,$B60)*Percent_urban*quadrillion</f>
        <v>20800997972314.418</v>
      </c>
      <c r="Y60">
        <f>SUMIFS('Crosswalk AEO to EPS Summary'!Y:Y,'Crosswalk AEO to EPS Summary'!$B:$B,$B60)*Percent_urban*quadrillion</f>
        <v>20773310909414.719</v>
      </c>
      <c r="Z60">
        <f>SUMIFS('Crosswalk AEO to EPS Summary'!Z:Z,'Crosswalk AEO to EPS Summary'!$B:$B,$B60)*Percent_urban*quadrillion</f>
        <v>20746806067513.961</v>
      </c>
      <c r="AA60">
        <f>SUMIFS('Crosswalk AEO to EPS Summary'!AA:AA,'Crosswalk AEO to EPS Summary'!$B:$B,$B60)*Percent_urban*quadrillion</f>
        <v>20714783652230.227</v>
      </c>
      <c r="AB60">
        <f>SUMIFS('Crosswalk AEO to EPS Summary'!AB:AB,'Crosswalk AEO to EPS Summary'!$B:$B,$B60)*Percent_urban*quadrillion</f>
        <v>20683026301627.133</v>
      </c>
      <c r="AC60">
        <f>SUMIFS('Crosswalk AEO to EPS Summary'!AC:AC,'Crosswalk AEO to EPS Summary'!$B:$B,$B60)*Percent_urban*quadrillion</f>
        <v>20648776042095.035</v>
      </c>
      <c r="AD60">
        <f>SUMIFS('Crosswalk AEO to EPS Summary'!AD:AD,'Crosswalk AEO to EPS Summary'!$B:$B,$B60)*Percent_urban*quadrillion</f>
        <v>20612793918238.484</v>
      </c>
      <c r="AE60">
        <f>SUMIFS('Crosswalk AEO to EPS Summary'!AE:AE,'Crosswalk AEO to EPS Summary'!$B:$B,$B60)*Percent_urban*quadrillion</f>
        <v>20575850731644.133</v>
      </c>
      <c r="AF60">
        <f>SUMIFS('Crosswalk AEO to EPS Summary'!AF:AF,'Crosswalk AEO to EPS Summary'!$B:$B,$B60)*Percent_urban*quadrillion</f>
        <v>20547197727515.582</v>
      </c>
    </row>
    <row r="61" spans="2:32" x14ac:dyDescent="0.25">
      <c r="B61" s="53" t="str">
        <f t="shared" si="4"/>
        <v>residential-other-heat (BTU)</v>
      </c>
      <c r="C61" t="s">
        <v>1046</v>
      </c>
      <c r="D61" t="s">
        <v>1052</v>
      </c>
      <c r="E61" t="s">
        <v>1064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25">
      <c r="B62" s="53" t="str">
        <f t="shared" si="4"/>
        <v>residential-other-biomass (BTU)</v>
      </c>
      <c r="C62" t="s">
        <v>1046</v>
      </c>
      <c r="D62" t="s">
        <v>1052</v>
      </c>
      <c r="E62" t="s">
        <v>1058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25">
      <c r="B63" s="53" t="str">
        <f t="shared" si="4"/>
        <v>residential-other-kerosene (BTU)</v>
      </c>
      <c r="C63" t="s">
        <v>1046</v>
      </c>
      <c r="D63" t="s">
        <v>1052</v>
      </c>
      <c r="E63" t="s">
        <v>1065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25">
      <c r="B64" s="53" t="str">
        <f t="shared" si="4"/>
        <v>residential-other-heavy or residual fuel oil (BTU)</v>
      </c>
      <c r="C64" t="s">
        <v>1046</v>
      </c>
      <c r="D64" t="s">
        <v>1052</v>
      </c>
      <c r="E64" t="s">
        <v>1066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25">
      <c r="B65" s="53" t="str">
        <f t="shared" si="4"/>
        <v>residential-other-LPG propane or butane (BTU)</v>
      </c>
      <c r="C65" t="s">
        <v>1046</v>
      </c>
      <c r="D65" t="s">
        <v>1052</v>
      </c>
      <c r="E65" t="s">
        <v>1057</v>
      </c>
      <c r="F65">
        <f>SUMIFS('Crosswalk AEO to EPS Summary'!F:F,'Crosswalk AEO to EPS Summary'!$B:$B,$B65)*Percent_urban*quadrillion</f>
        <v>61209614182789.602</v>
      </c>
      <c r="G65">
        <f>SUMIFS('Crosswalk AEO to EPS Summary'!G:G,'Crosswalk AEO to EPS Summary'!$B:$B,$B65)*Percent_urban*quadrillion</f>
        <v>63450721422164.648</v>
      </c>
      <c r="H65">
        <f>SUMIFS('Crosswalk AEO to EPS Summary'!H:H,'Crosswalk AEO to EPS Summary'!$B:$B,$B65)*Percent_urban*quadrillion</f>
        <v>65996792894357.641</v>
      </c>
      <c r="I65">
        <f>SUMIFS('Crosswalk AEO to EPS Summary'!I:I,'Crosswalk AEO to EPS Summary'!$B:$B,$B65)*Percent_urban*quadrillion</f>
        <v>68459181983323.875</v>
      </c>
      <c r="J65">
        <f>SUMIFS('Crosswalk AEO to EPS Summary'!J:J,'Crosswalk AEO to EPS Summary'!$B:$B,$B65)*Percent_urban*quadrillion</f>
        <v>70672280179389.625</v>
      </c>
      <c r="K65">
        <f>SUMIFS('Crosswalk AEO to EPS Summary'!K:K,'Crosswalk AEO to EPS Summary'!$B:$B,$B65)*Percent_urban*quadrillion</f>
        <v>72626070314255.641</v>
      </c>
      <c r="L65">
        <f>SUMIFS('Crosswalk AEO to EPS Summary'!L:L,'Crosswalk AEO to EPS Summary'!$B:$B,$B65)*Percent_urban*quadrillion</f>
        <v>74399031047356.922</v>
      </c>
      <c r="M65">
        <f>SUMIFS('Crosswalk AEO to EPS Summary'!M:M,'Crosswalk AEO to EPS Summary'!$B:$B,$B65)*Percent_urban*quadrillion</f>
        <v>76022827037966.484</v>
      </c>
      <c r="N65">
        <f>SUMIFS('Crosswalk AEO to EPS Summary'!N:N,'Crosswalk AEO to EPS Summary'!$B:$B,$B65)*Percent_urban*quadrillion</f>
        <v>77625665031004.609</v>
      </c>
      <c r="O65">
        <f>SUMIFS('Crosswalk AEO to EPS Summary'!O:O,'Crosswalk AEO to EPS Summary'!$B:$B,$B65)*Percent_urban*quadrillion</f>
        <v>79202679544725.969</v>
      </c>
      <c r="P65">
        <f>SUMIFS('Crosswalk AEO to EPS Summary'!P:P,'Crosswalk AEO to EPS Summary'!$B:$B,$B65)*Percent_urban*quadrillion</f>
        <v>80873543217032.297</v>
      </c>
      <c r="Q65">
        <f>SUMIFS('Crosswalk AEO to EPS Summary'!Q:Q,'Crosswalk AEO to EPS Summary'!$B:$B,$B65)*Percent_urban*quadrillion</f>
        <v>82620446303246.172</v>
      </c>
      <c r="R65">
        <f>SUMIFS('Crosswalk AEO to EPS Summary'!R:R,'Crosswalk AEO to EPS Summary'!$B:$B,$B65)*Percent_urban*quadrillion</f>
        <v>84415509853153.078</v>
      </c>
      <c r="S65">
        <f>SUMIFS('Crosswalk AEO to EPS Summary'!S:S,'Crosswalk AEO to EPS Summary'!$B:$B,$B65)*Percent_urban*quadrillion</f>
        <v>86206403919371.797</v>
      </c>
      <c r="T65">
        <f>SUMIFS('Crosswalk AEO to EPS Summary'!T:T,'Crosswalk AEO to EPS Summary'!$B:$B,$B65)*Percent_urban*quadrillion</f>
        <v>87988223992228.594</v>
      </c>
      <c r="U65">
        <f>SUMIFS('Crosswalk AEO to EPS Summary'!U:U,'Crosswalk AEO to EPS Summary'!$B:$B,$B65)*Percent_urban*quadrillion</f>
        <v>89753879998057.141</v>
      </c>
      <c r="V65">
        <f>SUMIFS('Crosswalk AEO to EPS Summary'!V:V,'Crosswalk AEO to EPS Summary'!$B:$B,$B65)*Percent_urban*quadrillion</f>
        <v>91532772976281.047</v>
      </c>
      <c r="W65">
        <f>SUMIFS('Crosswalk AEO to EPS Summary'!W:W,'Crosswalk AEO to EPS Summary'!$B:$B,$B65)*Percent_urban*quadrillion</f>
        <v>93353107109851.859</v>
      </c>
      <c r="X65">
        <f>SUMIFS('Crosswalk AEO to EPS Summary'!X:X,'Crosswalk AEO to EPS Summary'!$B:$B,$B65)*Percent_urban*quadrillion</f>
        <v>95253780234113.172</v>
      </c>
      <c r="Y65">
        <f>SUMIFS('Crosswalk AEO to EPS Summary'!Y:Y,'Crosswalk AEO to EPS Summary'!$B:$B,$B65)*Percent_urban*quadrillion</f>
        <v>97239696858738.766</v>
      </c>
      <c r="Z65">
        <f>SUMIFS('Crosswalk AEO to EPS Summary'!Z:Z,'Crosswalk AEO to EPS Summary'!$B:$B,$B65)*Percent_urban*quadrillion</f>
        <v>99294439235165.531</v>
      </c>
      <c r="AA65">
        <f>SUMIFS('Crosswalk AEO to EPS Summary'!AA:AA,'Crosswalk AEO to EPS Summary'!$B:$B,$B65)*Percent_urban*quadrillion</f>
        <v>101366659618878</v>
      </c>
      <c r="AB65">
        <f>SUMIFS('Crosswalk AEO to EPS Summary'!AB:AB,'Crosswalk AEO to EPS Summary'!$B:$B,$B65)*Percent_urban*quadrillion</f>
        <v>103409433430583.66</v>
      </c>
      <c r="AC65">
        <f>SUMIFS('Crosswalk AEO to EPS Summary'!AC:AC,'Crosswalk AEO to EPS Summary'!$B:$B,$B65)*Percent_urban*quadrillion</f>
        <v>105414772954262.11</v>
      </c>
      <c r="AD65">
        <f>SUMIFS('Crosswalk AEO to EPS Summary'!AD:AD,'Crosswalk AEO to EPS Summary'!$B:$B,$B65)*Percent_urban*quadrillion</f>
        <v>107403291440783.61</v>
      </c>
      <c r="AE65">
        <f>SUMIFS('Crosswalk AEO to EPS Summary'!AE:AE,'Crosswalk AEO to EPS Summary'!$B:$B,$B65)*Percent_urban*quadrillion</f>
        <v>109404012659596.86</v>
      </c>
      <c r="AF65">
        <f>SUMIFS('Crosswalk AEO to EPS Summary'!AF:AF,'Crosswalk AEO to EPS Summary'!$B:$B,$B65)*Percent_urban*quadrillion</f>
        <v>111431994886424.33</v>
      </c>
    </row>
    <row r="66" spans="2:32" x14ac:dyDescent="0.25">
      <c r="B66" s="53" t="str">
        <f t="shared" si="4"/>
        <v>residential-other-hydrogen (BTU)</v>
      </c>
      <c r="C66" t="s">
        <v>1046</v>
      </c>
      <c r="D66" t="s">
        <v>1052</v>
      </c>
      <c r="E66" t="s">
        <v>1067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25">
      <c r="B68" s="1" t="s">
        <v>1072</v>
      </c>
    </row>
    <row r="69" spans="2:32" x14ac:dyDescent="0.25">
      <c r="E69" t="s">
        <v>1026</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25">
      <c r="B70" s="53" t="str">
        <f t="shared" ref="B70:B79" si="5">C70&amp;"-"&amp;D70&amp;"-"&amp;E70</f>
        <v>residential-heating-electricity (BTU)</v>
      </c>
      <c r="C70" t="s">
        <v>1046</v>
      </c>
      <c r="D70" t="s">
        <v>1047</v>
      </c>
      <c r="E70" t="s">
        <v>1048</v>
      </c>
      <c r="F70">
        <f>SUMIFS('Crosswalk AEO to EPS Summary'!F:F,'Crosswalk AEO to EPS Summary'!$B:$B,$B70)*Percent_rural*quadrillion</f>
        <v>98704189184813.391</v>
      </c>
      <c r="G70">
        <f>SUMIFS('Crosswalk AEO to EPS Summary'!G:G,'Crosswalk AEO to EPS Summary'!$B:$B,$B70)*Percent_rural*quadrillion</f>
        <v>111213851365660.16</v>
      </c>
      <c r="H70">
        <f>SUMIFS('Crosswalk AEO to EPS Summary'!H:H,'Crosswalk AEO to EPS Summary'!$B:$B,$B70)*Percent_rural*quadrillion</f>
        <v>105719223150975.47</v>
      </c>
      <c r="I70">
        <f>SUMIFS('Crosswalk AEO to EPS Summary'!I:I,'Crosswalk AEO to EPS Summary'!$B:$B,$B70)*Percent_rural*quadrillion</f>
        <v>105827390445721.69</v>
      </c>
      <c r="J70">
        <f>SUMIFS('Crosswalk AEO to EPS Summary'!J:J,'Crosswalk AEO to EPS Summary'!$B:$B,$B70)*Percent_rural*quadrillion</f>
        <v>105973156701691.89</v>
      </c>
      <c r="K70">
        <f>SUMIFS('Crosswalk AEO to EPS Summary'!K:K,'Crosswalk AEO to EPS Summary'!$B:$B,$B70)*Percent_rural*quadrillion</f>
        <v>105761391887314.83</v>
      </c>
      <c r="L70">
        <f>SUMIFS('Crosswalk AEO to EPS Summary'!L:L,'Crosswalk AEO to EPS Summary'!$B:$B,$B70)*Percent_rural*quadrillion</f>
        <v>105099432447502.63</v>
      </c>
      <c r="M70">
        <f>SUMIFS('Crosswalk AEO to EPS Summary'!M:M,'Crosswalk AEO to EPS Summary'!$B:$B,$B70)*Percent_rural*quadrillion</f>
        <v>104233172956852.58</v>
      </c>
      <c r="N70">
        <f>SUMIFS('Crosswalk AEO to EPS Summary'!N:N,'Crosswalk AEO to EPS Summary'!$B:$B,$B70)*Percent_rural*quadrillion</f>
        <v>103369294055856.88</v>
      </c>
      <c r="O70">
        <f>SUMIFS('Crosswalk AEO to EPS Summary'!O:O,'Crosswalk AEO to EPS Summary'!$B:$B,$B70)*Percent_rural*quadrillion</f>
        <v>102555491276936.77</v>
      </c>
      <c r="P70">
        <f>SUMIFS('Crosswalk AEO to EPS Summary'!P:P,'Crosswalk AEO to EPS Summary'!$B:$B,$B70)*Percent_rural*quadrillion</f>
        <v>101702378861814.94</v>
      </c>
      <c r="Q70">
        <f>SUMIFS('Crosswalk AEO to EPS Summary'!Q:Q,'Crosswalk AEO to EPS Summary'!$B:$B,$B70)*Percent_rural*quadrillion</f>
        <v>100866050201894.27</v>
      </c>
      <c r="R70">
        <f>SUMIFS('Crosswalk AEO to EPS Summary'!R:R,'Crosswalk AEO to EPS Summary'!$B:$B,$B70)*Percent_rural*quadrillion</f>
        <v>100072751597182.86</v>
      </c>
      <c r="S70">
        <f>SUMIFS('Crosswalk AEO to EPS Summary'!S:S,'Crosswalk AEO to EPS Summary'!$B:$B,$B70)*Percent_rural*quadrillion</f>
        <v>99225357382336.281</v>
      </c>
      <c r="T70">
        <f>SUMIFS('Crosswalk AEO to EPS Summary'!T:T,'Crosswalk AEO to EPS Summary'!$B:$B,$B70)*Percent_rural*quadrillion</f>
        <v>98417452245122.641</v>
      </c>
      <c r="U70">
        <f>SUMIFS('Crosswalk AEO to EPS Summary'!U:U,'Crosswalk AEO to EPS Summary'!$B:$B,$B70)*Percent_rural*quadrillion</f>
        <v>97579777774467.734</v>
      </c>
      <c r="V70">
        <f>SUMIFS('Crosswalk AEO to EPS Summary'!V:V,'Crosswalk AEO to EPS Summary'!$B:$B,$B70)*Percent_rural*quadrillion</f>
        <v>96733238897110.016</v>
      </c>
      <c r="W70">
        <f>SUMIFS('Crosswalk AEO to EPS Summary'!W:W,'Crosswalk AEO to EPS Summary'!$B:$B,$B70)*Percent_rural*quadrillion</f>
        <v>95848221795515.25</v>
      </c>
      <c r="X70">
        <f>SUMIFS('Crosswalk AEO to EPS Summary'!X:X,'Crosswalk AEO to EPS Summary'!$B:$B,$B70)*Percent_rural*quadrillion</f>
        <v>95049282748482.156</v>
      </c>
      <c r="Y70">
        <f>SUMIFS('Crosswalk AEO to EPS Summary'!Y:Y,'Crosswalk AEO to EPS Summary'!$B:$B,$B70)*Percent_rural*quadrillion</f>
        <v>94279293585687.688</v>
      </c>
      <c r="Z70">
        <f>SUMIFS('Crosswalk AEO to EPS Summary'!Z:Z,'Crosswalk AEO to EPS Summary'!$B:$B,$B70)*Percent_rural*quadrillion</f>
        <v>93463977517364.203</v>
      </c>
      <c r="AA70">
        <f>SUMIFS('Crosswalk AEO to EPS Summary'!AA:AA,'Crosswalk AEO to EPS Summary'!$B:$B,$B70)*Percent_rural*quadrillion</f>
        <v>92703708098761.438</v>
      </c>
      <c r="AB70">
        <f>SUMIFS('Crosswalk AEO to EPS Summary'!AB:AB,'Crosswalk AEO to EPS Summary'!$B:$B,$B70)*Percent_rural*quadrillion</f>
        <v>91877476010038.047</v>
      </c>
      <c r="AC70">
        <f>SUMIFS('Crosswalk AEO to EPS Summary'!AC:AC,'Crosswalk AEO to EPS Summary'!$B:$B,$B70)*Percent_rural*quadrillion</f>
        <v>90965506805472.359</v>
      </c>
      <c r="AD70">
        <f>SUMIFS('Crosswalk AEO to EPS Summary'!AD:AD,'Crosswalk AEO to EPS Summary'!$B:$B,$B70)*Percent_rural*quadrillion</f>
        <v>90063006127094.625</v>
      </c>
      <c r="AE70">
        <f>SUMIFS('Crosswalk AEO to EPS Summary'!AE:AE,'Crosswalk AEO to EPS Summary'!$B:$B,$B70)*Percent_rural*quadrillion</f>
        <v>89195981019671.344</v>
      </c>
      <c r="AF70">
        <f>SUMIFS('Crosswalk AEO to EPS Summary'!AF:AF,'Crosswalk AEO to EPS Summary'!$B:$B,$B70)*Percent_rural*quadrillion</f>
        <v>88311167285031.984</v>
      </c>
    </row>
    <row r="71" spans="2:32" x14ac:dyDescent="0.25">
      <c r="B71" s="53" t="str">
        <f t="shared" si="5"/>
        <v>residential-heating-coal (BTU)</v>
      </c>
      <c r="C71" t="s">
        <v>1046</v>
      </c>
      <c r="D71" t="s">
        <v>1047</v>
      </c>
      <c r="E71" t="s">
        <v>1063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25">
      <c r="B72" s="53" t="str">
        <f t="shared" si="5"/>
        <v>residential-heating-natural gas (BTU)</v>
      </c>
      <c r="C72" t="s">
        <v>1046</v>
      </c>
      <c r="D72" t="s">
        <v>1047</v>
      </c>
      <c r="E72" t="s">
        <v>1055</v>
      </c>
      <c r="F72">
        <f>SUMIFS('Crosswalk AEO to EPS Summary'!F:F,'Crosswalk AEO to EPS Summary'!$B:$B,$B72)*Percent_rural*quadrillion</f>
        <v>519242192827653.25</v>
      </c>
      <c r="G72">
        <f>SUMIFS('Crosswalk AEO to EPS Summary'!G:G,'Crosswalk AEO to EPS Summary'!$B:$B,$B72)*Percent_rural*quadrillion</f>
        <v>582816294131628</v>
      </c>
      <c r="H72">
        <f>SUMIFS('Crosswalk AEO to EPS Summary'!H:H,'Crosswalk AEO to EPS Summary'!$B:$B,$B72)*Percent_rural*quadrillion</f>
        <v>547620125448393.13</v>
      </c>
      <c r="I72">
        <f>SUMIFS('Crosswalk AEO to EPS Summary'!I:I,'Crosswalk AEO to EPS Summary'!$B:$B,$B72)*Percent_rural*quadrillion</f>
        <v>569552318492350</v>
      </c>
      <c r="J72">
        <f>SUMIFS('Crosswalk AEO to EPS Summary'!J:J,'Crosswalk AEO to EPS Summary'!$B:$B,$B72)*Percent_rural*quadrillion</f>
        <v>566051535796648.63</v>
      </c>
      <c r="K72">
        <f>SUMIFS('Crosswalk AEO to EPS Summary'!K:K,'Crosswalk AEO to EPS Summary'!$B:$B,$B72)*Percent_rural*quadrillion</f>
        <v>559251758276046.25</v>
      </c>
      <c r="L72">
        <f>SUMIFS('Crosswalk AEO to EPS Summary'!L:L,'Crosswalk AEO to EPS Summary'!$B:$B,$B72)*Percent_rural*quadrillion</f>
        <v>550943667861086.38</v>
      </c>
      <c r="M72">
        <f>SUMIFS('Crosswalk AEO to EPS Summary'!M:M,'Crosswalk AEO to EPS Summary'!$B:$B,$B72)*Percent_rural*quadrillion</f>
        <v>542135486140046.94</v>
      </c>
      <c r="N72">
        <f>SUMIFS('Crosswalk AEO to EPS Summary'!N:N,'Crosswalk AEO to EPS Summary'!$B:$B,$B72)*Percent_rural*quadrillion</f>
        <v>533931998116732.75</v>
      </c>
      <c r="O72">
        <f>SUMIFS('Crosswalk AEO to EPS Summary'!O:O,'Crosswalk AEO to EPS Summary'!$B:$B,$B72)*Percent_rural*quadrillion</f>
        <v>525824786402655.19</v>
      </c>
      <c r="P72">
        <f>SUMIFS('Crosswalk AEO to EPS Summary'!P:P,'Crosswalk AEO to EPS Summary'!$B:$B,$B72)*Percent_rural*quadrillion</f>
        <v>518210871145794.56</v>
      </c>
      <c r="Q72">
        <f>SUMIFS('Crosswalk AEO to EPS Summary'!Q:Q,'Crosswalk AEO to EPS Summary'!$B:$B,$B72)*Percent_rural*quadrillion</f>
        <v>510813434031571.31</v>
      </c>
      <c r="R72">
        <f>SUMIFS('Crosswalk AEO to EPS Summary'!R:R,'Crosswalk AEO to EPS Summary'!$B:$B,$B72)*Percent_rural*quadrillion</f>
        <v>503877759533716.5</v>
      </c>
      <c r="S72">
        <f>SUMIFS('Crosswalk AEO to EPS Summary'!S:S,'Crosswalk AEO to EPS Summary'!$B:$B,$B72)*Percent_rural*quadrillion</f>
        <v>496838009005747.63</v>
      </c>
      <c r="T72">
        <f>SUMIFS('Crosswalk AEO to EPS Summary'!T:T,'Crosswalk AEO to EPS Summary'!$B:$B,$B72)*Percent_rural*quadrillion</f>
        <v>490144317259289.25</v>
      </c>
      <c r="U72">
        <f>SUMIFS('Crosswalk AEO to EPS Summary'!U:U,'Crosswalk AEO to EPS Summary'!$B:$B,$B72)*Percent_rural*quadrillion</f>
        <v>483583316469845.38</v>
      </c>
      <c r="V72">
        <f>SUMIFS('Crosswalk AEO to EPS Summary'!V:V,'Crosswalk AEO to EPS Summary'!$B:$B,$B72)*Percent_rural*quadrillion</f>
        <v>477260470347931.69</v>
      </c>
      <c r="W72">
        <f>SUMIFS('Crosswalk AEO to EPS Summary'!W:W,'Crosswalk AEO to EPS Summary'!$B:$B,$B72)*Percent_rural*quadrillion</f>
        <v>471022416283655.75</v>
      </c>
      <c r="X72">
        <f>SUMIFS('Crosswalk AEO to EPS Summary'!X:X,'Crosswalk AEO to EPS Summary'!$B:$B,$B72)*Percent_rural*quadrillion</f>
        <v>465489447416497.94</v>
      </c>
      <c r="Y72">
        <f>SUMIFS('Crosswalk AEO to EPS Summary'!Y:Y,'Crosswalk AEO to EPS Summary'!$B:$B,$B72)*Percent_rural*quadrillion</f>
        <v>460305839053185.44</v>
      </c>
      <c r="Z72">
        <f>SUMIFS('Crosswalk AEO to EPS Summary'!Z:Z,'Crosswalk AEO to EPS Summary'!$B:$B,$B72)*Percent_rural*quadrillion</f>
        <v>455453024986966.75</v>
      </c>
      <c r="AA72">
        <f>SUMIFS('Crosswalk AEO to EPS Summary'!AA:AA,'Crosswalk AEO to EPS Summary'!$B:$B,$B72)*Percent_rural*quadrillion</f>
        <v>450863918048085.44</v>
      </c>
      <c r="AB72">
        <f>SUMIFS('Crosswalk AEO to EPS Summary'!AB:AB,'Crosswalk AEO to EPS Summary'!$B:$B,$B72)*Percent_rural*quadrillion</f>
        <v>446108959375698.25</v>
      </c>
      <c r="AC72">
        <f>SUMIFS('Crosswalk AEO to EPS Summary'!AC:AC,'Crosswalk AEO to EPS Summary'!$B:$B,$B72)*Percent_rural*quadrillion</f>
        <v>441120104779082</v>
      </c>
      <c r="AD72">
        <f>SUMIFS('Crosswalk AEO to EPS Summary'!AD:AD,'Crosswalk AEO to EPS Summary'!$B:$B,$B72)*Percent_rural*quadrillion</f>
        <v>436192547375374.38</v>
      </c>
      <c r="AE72">
        <f>SUMIFS('Crosswalk AEO to EPS Summary'!AE:AE,'Crosswalk AEO to EPS Summary'!$B:$B,$B72)*Percent_rural*quadrillion</f>
        <v>431346815264308.25</v>
      </c>
      <c r="AF72">
        <f>SUMIFS('Crosswalk AEO to EPS Summary'!AF:AF,'Crosswalk AEO to EPS Summary'!$B:$B,$B72)*Percent_rural*quadrillion</f>
        <v>426664925142718.38</v>
      </c>
    </row>
    <row r="73" spans="2:32" x14ac:dyDescent="0.25">
      <c r="B73" s="53" t="str">
        <f t="shared" si="5"/>
        <v>residential-heating-petroleum diesel (BTU)</v>
      </c>
      <c r="C73" t="s">
        <v>1046</v>
      </c>
      <c r="D73" t="s">
        <v>1047</v>
      </c>
      <c r="E73" t="s">
        <v>1056</v>
      </c>
      <c r="F73">
        <f>SUMIFS('Crosswalk AEO to EPS Summary'!F:F,'Crosswalk AEO to EPS Summary'!$B:$B,$B73)*Percent_rural*quadrillion</f>
        <v>70988151704039.5</v>
      </c>
      <c r="G73">
        <f>SUMIFS('Crosswalk AEO to EPS Summary'!G:G,'Crosswalk AEO to EPS Summary'!$B:$B,$B73)*Percent_rural*quadrillion</f>
        <v>79508972926414.641</v>
      </c>
      <c r="H73">
        <f>SUMIFS('Crosswalk AEO to EPS Summary'!H:H,'Crosswalk AEO to EPS Summary'!$B:$B,$B73)*Percent_rural*quadrillion</f>
        <v>76479600814700.891</v>
      </c>
      <c r="I73">
        <f>SUMIFS('Crosswalk AEO to EPS Summary'!I:I,'Crosswalk AEO to EPS Summary'!$B:$B,$B73)*Percent_rural*quadrillion</f>
        <v>75667753947381.203</v>
      </c>
      <c r="J73">
        <f>SUMIFS('Crosswalk AEO to EPS Summary'!J:J,'Crosswalk AEO to EPS Summary'!$B:$B,$B73)*Percent_rural*quadrillion</f>
        <v>74473660943252.656</v>
      </c>
      <c r="K73">
        <f>SUMIFS('Crosswalk AEO to EPS Summary'!K:K,'Crosswalk AEO to EPS Summary'!$B:$B,$B73)*Percent_rural*quadrillion</f>
        <v>73196372910224.219</v>
      </c>
      <c r="L73">
        <f>SUMIFS('Crosswalk AEO to EPS Summary'!L:L,'Crosswalk AEO to EPS Summary'!$B:$B,$B73)*Percent_rural*quadrillion</f>
        <v>72041589542297.422</v>
      </c>
      <c r="M73">
        <f>SUMIFS('Crosswalk AEO to EPS Summary'!M:M,'Crosswalk AEO to EPS Summary'!$B:$B,$B73)*Percent_rural*quadrillion</f>
        <v>70868210060713.984</v>
      </c>
      <c r="N73">
        <f>SUMIFS('Crosswalk AEO to EPS Summary'!N:N,'Crosswalk AEO to EPS Summary'!$B:$B,$B73)*Percent_rural*quadrillion</f>
        <v>69753759145146.938</v>
      </c>
      <c r="O73">
        <f>SUMIFS('Crosswalk AEO to EPS Summary'!O:O,'Crosswalk AEO to EPS Summary'!$B:$B,$B73)*Percent_rural*quadrillion</f>
        <v>68653131201165.703</v>
      </c>
      <c r="P73">
        <f>SUMIFS('Crosswalk AEO to EPS Summary'!P:P,'Crosswalk AEO to EPS Summary'!$B:$B,$B73)*Percent_rural*quadrillion</f>
        <v>67641434430502.719</v>
      </c>
      <c r="Q73">
        <f>SUMIFS('Crosswalk AEO to EPS Summary'!Q:Q,'Crosswalk AEO to EPS Summary'!$B:$B,$B73)*Percent_rural*quadrillion</f>
        <v>66645229436736.008</v>
      </c>
      <c r="R73">
        <f>SUMIFS('Crosswalk AEO to EPS Summary'!R:R,'Crosswalk AEO to EPS Summary'!$B:$B,$B73)*Percent_rural*quadrillion</f>
        <v>65689739703715.695</v>
      </c>
      <c r="S73">
        <f>SUMIFS('Crosswalk AEO to EPS Summary'!S:S,'Crosswalk AEO to EPS Summary'!$B:$B,$B73)*Percent_rural*quadrillion</f>
        <v>64763062283170.078</v>
      </c>
      <c r="T73">
        <f>SUMIFS('Crosswalk AEO to EPS Summary'!T:T,'Crosswalk AEO to EPS Summary'!$B:$B,$B73)*Percent_rural*quadrillion</f>
        <v>63870963226422.734</v>
      </c>
      <c r="U73">
        <f>SUMIFS('Crosswalk AEO to EPS Summary'!U:U,'Crosswalk AEO to EPS Summary'!$B:$B,$B73)*Percent_rural*quadrillion</f>
        <v>63012144573787.742</v>
      </c>
      <c r="V73">
        <f>SUMIFS('Crosswalk AEO to EPS Summary'!V:V,'Crosswalk AEO to EPS Summary'!$B:$B,$B73)*Percent_rural*quadrillion</f>
        <v>62164541010604.719</v>
      </c>
      <c r="W73">
        <f>SUMIFS('Crosswalk AEO to EPS Summary'!W:W,'Crosswalk AEO to EPS Summary'!$B:$B,$B73)*Percent_rural*quadrillion</f>
        <v>61324252676434.875</v>
      </c>
      <c r="X73">
        <f>SUMIFS('Crosswalk AEO to EPS Summary'!X:X,'Crosswalk AEO to EPS Summary'!$B:$B,$B73)*Percent_rural*quadrillion</f>
        <v>60519924405083.789</v>
      </c>
      <c r="Y73">
        <f>SUMIFS('Crosswalk AEO to EPS Summary'!Y:Y,'Crosswalk AEO to EPS Summary'!$B:$B,$B73)*Percent_rural*quadrillion</f>
        <v>59726709539706.945</v>
      </c>
      <c r="Z73">
        <f>SUMIFS('Crosswalk AEO to EPS Summary'!Z:Z,'Crosswalk AEO to EPS Summary'!$B:$B,$B73)*Percent_rural*quadrillion</f>
        <v>58959124892090.984</v>
      </c>
      <c r="AA73">
        <f>SUMIFS('Crosswalk AEO to EPS Summary'!AA:AA,'Crosswalk AEO to EPS Summary'!$B:$B,$B73)*Percent_rural*quadrillion</f>
        <v>58200972882376.75</v>
      </c>
      <c r="AB73">
        <f>SUMIFS('Crosswalk AEO to EPS Summary'!AB:AB,'Crosswalk AEO to EPS Summary'!$B:$B,$B73)*Percent_rural*quadrillion</f>
        <v>57458994526997.492</v>
      </c>
      <c r="AC73">
        <f>SUMIFS('Crosswalk AEO to EPS Summary'!AC:AC,'Crosswalk AEO to EPS Summary'!$B:$B,$B73)*Percent_rural*quadrillion</f>
        <v>56714426233627.453</v>
      </c>
      <c r="AD73">
        <f>SUMIFS('Crosswalk AEO to EPS Summary'!AD:AD,'Crosswalk AEO to EPS Summary'!$B:$B,$B73)*Percent_rural*quadrillion</f>
        <v>55974236311179.469</v>
      </c>
      <c r="AE73">
        <f>SUMIFS('Crosswalk AEO to EPS Summary'!AE:AE,'Crosswalk AEO to EPS Summary'!$B:$B,$B73)*Percent_rural*quadrillion</f>
        <v>55238693921800.367</v>
      </c>
      <c r="AF73">
        <f>SUMIFS('Crosswalk AEO to EPS Summary'!AF:AF,'Crosswalk AEO to EPS Summary'!$B:$B,$B73)*Percent_rural*quadrillion</f>
        <v>54529481571763.938</v>
      </c>
    </row>
    <row r="74" spans="2:32" x14ac:dyDescent="0.25">
      <c r="B74" s="53" t="str">
        <f t="shared" si="5"/>
        <v>residential-heating-heat (BTU)</v>
      </c>
      <c r="C74" t="s">
        <v>1046</v>
      </c>
      <c r="D74" t="s">
        <v>1047</v>
      </c>
      <c r="E74" t="s">
        <v>1064</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25">
      <c r="B75" s="53" t="str">
        <f t="shared" si="5"/>
        <v>residential-heating-biomass (BTU)</v>
      </c>
      <c r="C75" t="s">
        <v>1046</v>
      </c>
      <c r="D75" t="s">
        <v>1047</v>
      </c>
      <c r="E75" t="s">
        <v>1058</v>
      </c>
      <c r="F75">
        <f>SUMIFS('Crosswalk AEO to EPS Summary'!F:F,'Crosswalk AEO to EPS Summary'!$B:$B,$B75)*Percent_rural*quadrillion</f>
        <v>66838755524973.688</v>
      </c>
      <c r="G75">
        <f>SUMIFS('Crosswalk AEO to EPS Summary'!G:G,'Crosswalk AEO to EPS Summary'!$B:$B,$B75)*Percent_rural*quadrillion</f>
        <v>69419047043471.211</v>
      </c>
      <c r="H75">
        <f>SUMIFS('Crosswalk AEO to EPS Summary'!H:H,'Crosswalk AEO to EPS Summary'!$B:$B,$B75)*Percent_rural*quadrillion</f>
        <v>64094361826924.625</v>
      </c>
      <c r="I75">
        <f>SUMIFS('Crosswalk AEO to EPS Summary'!I:I,'Crosswalk AEO to EPS Summary'!$B:$B,$B75)*Percent_rural*quadrillion</f>
        <v>62615734526673.68</v>
      </c>
      <c r="J75">
        <f>SUMIFS('Crosswalk AEO to EPS Summary'!J:J,'Crosswalk AEO to EPS Summary'!$B:$B,$B75)*Percent_rural*quadrillion</f>
        <v>61908226870233.945</v>
      </c>
      <c r="K75">
        <f>SUMIFS('Crosswalk AEO to EPS Summary'!K:K,'Crosswalk AEO to EPS Summary'!$B:$B,$B75)*Percent_rural*quadrillion</f>
        <v>61487460639520.766</v>
      </c>
      <c r="L75">
        <f>SUMIFS('Crosswalk AEO to EPS Summary'!L:L,'Crosswalk AEO to EPS Summary'!$B:$B,$B75)*Percent_rural*quadrillion</f>
        <v>60491728174856.305</v>
      </c>
      <c r="M75">
        <f>SUMIFS('Crosswalk AEO to EPS Summary'!M:M,'Crosswalk AEO to EPS Summary'!$B:$B,$B75)*Percent_rural*quadrillion</f>
        <v>59695875520440.375</v>
      </c>
      <c r="N75">
        <f>SUMIFS('Crosswalk AEO to EPS Summary'!N:N,'Crosswalk AEO to EPS Summary'!$B:$B,$B75)*Percent_rural*quadrillion</f>
        <v>58999361642354.086</v>
      </c>
      <c r="O75">
        <f>SUMIFS('Crosswalk AEO to EPS Summary'!O:O,'Crosswalk AEO to EPS Summary'!$B:$B,$B75)*Percent_rural*quadrillion</f>
        <v>58470236712701.367</v>
      </c>
      <c r="P75">
        <f>SUMIFS('Crosswalk AEO to EPS Summary'!P:P,'Crosswalk AEO to EPS Summary'!$B:$B,$B75)*Percent_rural*quadrillion</f>
        <v>57781241430583.664</v>
      </c>
      <c r="Q75">
        <f>SUMIFS('Crosswalk AEO to EPS Summary'!Q:Q,'Crosswalk AEO to EPS Summary'!$B:$B,$B75)*Percent_rural*quadrillion</f>
        <v>57165027592973.359</v>
      </c>
      <c r="R75">
        <f>SUMIFS('Crosswalk AEO to EPS Summary'!R:R,'Crosswalk AEO to EPS Summary'!$B:$B,$B75)*Percent_rural*quadrillion</f>
        <v>56450713124908.93</v>
      </c>
      <c r="S75">
        <f>SUMIFS('Crosswalk AEO to EPS Summary'!S:S,'Crosswalk AEO to EPS Summary'!$B:$B,$B75)*Percent_rural*quadrillion</f>
        <v>55719130409779</v>
      </c>
      <c r="T75">
        <f>SUMIFS('Crosswalk AEO to EPS Summary'!T:T,'Crosswalk AEO to EPS Summary'!$B:$B,$B75)*Percent_rural*quadrillion</f>
        <v>54991172411559.945</v>
      </c>
      <c r="U75">
        <f>SUMIFS('Crosswalk AEO to EPS Summary'!U:U,'Crosswalk AEO to EPS Summary'!$B:$B,$B75)*Percent_rural*quadrillion</f>
        <v>54197640532987.938</v>
      </c>
      <c r="V75">
        <f>SUMIFS('Crosswalk AEO to EPS Summary'!V:V,'Crosswalk AEO to EPS Summary'!$B:$B,$B75)*Percent_rural*quadrillion</f>
        <v>53372305651420.703</v>
      </c>
      <c r="W75">
        <f>SUMIFS('Crosswalk AEO to EPS Summary'!W:W,'Crosswalk AEO to EPS Summary'!$B:$B,$B75)*Percent_rural*quadrillion</f>
        <v>52574556899214.766</v>
      </c>
      <c r="X75">
        <f>SUMIFS('Crosswalk AEO to EPS Summary'!X:X,'Crosswalk AEO to EPS Summary'!$B:$B,$B75)*Percent_rural*quadrillion</f>
        <v>51847005634906.508</v>
      </c>
      <c r="Y75">
        <f>SUMIFS('Crosswalk AEO to EPS Summary'!Y:Y,'Crosswalk AEO to EPS Summary'!$B:$B,$B75)*Percent_rural*quadrillion</f>
        <v>51146520119808.953</v>
      </c>
      <c r="Z75">
        <f>SUMIFS('Crosswalk AEO to EPS Summary'!Z:Z,'Crosswalk AEO to EPS Summary'!$B:$B,$B75)*Percent_rural*quadrillion</f>
        <v>50482413364203.023</v>
      </c>
      <c r="AA75">
        <f>SUMIFS('Crosswalk AEO to EPS Summary'!AA:AA,'Crosswalk AEO to EPS Summary'!$B:$B,$B75)*Percent_rural*quadrillion</f>
        <v>49902300151865.945</v>
      </c>
      <c r="AB75">
        <f>SUMIFS('Crosswalk AEO to EPS Summary'!AB:AB,'Crosswalk AEO to EPS Summary'!$B:$B,$B75)*Percent_rural*quadrillion</f>
        <v>49342278398445.719</v>
      </c>
      <c r="AC75">
        <f>SUMIFS('Crosswalk AEO to EPS Summary'!AC:AC,'Crosswalk AEO to EPS Summary'!$B:$B,$B75)*Percent_rural*quadrillion</f>
        <v>48839752670282.523</v>
      </c>
      <c r="AD75">
        <f>SUMIFS('Crosswalk AEO to EPS Summary'!AD:AD,'Crosswalk AEO to EPS Summary'!$B:$B,$B75)*Percent_rural*quadrillion</f>
        <v>48378941093499.555</v>
      </c>
      <c r="AE75">
        <f>SUMIFS('Crosswalk AEO to EPS Summary'!AE:AE,'Crosswalk AEO to EPS Summary'!$B:$B,$B75)*Percent_rural*quadrillion</f>
        <v>47958689261555.891</v>
      </c>
      <c r="AF75">
        <f>SUMIFS('Crosswalk AEO to EPS Summary'!AF:AF,'Crosswalk AEO to EPS Summary'!$B:$B,$B75)*Percent_rural*quadrillion</f>
        <v>47502899054156.883</v>
      </c>
    </row>
    <row r="76" spans="2:32" x14ac:dyDescent="0.25">
      <c r="B76" s="53" t="str">
        <f t="shared" si="5"/>
        <v>residential-heating-kerosene (BTU)</v>
      </c>
      <c r="C76" t="s">
        <v>1046</v>
      </c>
      <c r="D76" t="s">
        <v>1047</v>
      </c>
      <c r="E76" t="s">
        <v>1065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25">
      <c r="B77" s="53" t="str">
        <f t="shared" si="5"/>
        <v>residential-heating-heavy or residual fuel oil (BTU)</v>
      </c>
      <c r="C77" t="s">
        <v>1046</v>
      </c>
      <c r="D77" t="s">
        <v>1047</v>
      </c>
      <c r="E77" t="s">
        <v>1066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25">
      <c r="B78" s="53" t="str">
        <f t="shared" si="5"/>
        <v>residential-heating-LPG propane or butane (BTU)</v>
      </c>
      <c r="C78" t="s">
        <v>1046</v>
      </c>
      <c r="D78" t="s">
        <v>1047</v>
      </c>
      <c r="E78" t="s">
        <v>1057</v>
      </c>
      <c r="F78">
        <f>SUMIFS('Crosswalk AEO to EPS Summary'!F:F,'Crosswalk AEO to EPS Summary'!$B:$B,$B78)*Percent_rural*quadrillion</f>
        <v>56682370517283.25</v>
      </c>
      <c r="G78">
        <f>SUMIFS('Crosswalk AEO to EPS Summary'!G:G,'Crosswalk AEO to EPS Summary'!$B:$B,$B78)*Percent_rural*quadrillion</f>
        <v>70565516291750.984</v>
      </c>
      <c r="H78">
        <f>SUMIFS('Crosswalk AEO to EPS Summary'!H:H,'Crosswalk AEO to EPS Summary'!$B:$B,$B78)*Percent_rural*quadrillion</f>
        <v>67874367352384.047</v>
      </c>
      <c r="I78">
        <f>SUMIFS('Crosswalk AEO to EPS Summary'!I:I,'Crosswalk AEO to EPS Summary'!$B:$B,$B78)*Percent_rural*quadrillion</f>
        <v>63776911990933.367</v>
      </c>
      <c r="J78">
        <f>SUMIFS('Crosswalk AEO to EPS Summary'!J:J,'Crosswalk AEO to EPS Summary'!$B:$B,$B78)*Percent_rural*quadrillion</f>
        <v>63287024920909.898</v>
      </c>
      <c r="K78">
        <f>SUMIFS('Crosswalk AEO to EPS Summary'!K:K,'Crosswalk AEO to EPS Summary'!$B:$B,$B78)*Percent_rural*quadrillion</f>
        <v>62449027455678.773</v>
      </c>
      <c r="L78">
        <f>SUMIFS('Crosswalk AEO to EPS Summary'!L:L,'Crosswalk AEO to EPS Summary'!$B:$B,$B78)*Percent_rural*quadrillion</f>
        <v>61415707992552.414</v>
      </c>
      <c r="M78">
        <f>SUMIFS('Crosswalk AEO to EPS Summary'!M:M,'Crosswalk AEO to EPS Summary'!$B:$B,$B78)*Percent_rural*quadrillion</f>
        <v>60228966105723.305</v>
      </c>
      <c r="N78">
        <f>SUMIFS('Crosswalk AEO to EPS Summary'!N:N,'Crosswalk AEO to EPS Summary'!$B:$B,$B78)*Percent_rural*quadrillion</f>
        <v>59056477849915</v>
      </c>
      <c r="O78">
        <f>SUMIFS('Crosswalk AEO to EPS Summary'!O:O,'Crosswalk AEO to EPS Summary'!$B:$B,$B78)*Percent_rural*quadrillion</f>
        <v>57941040006476.156</v>
      </c>
      <c r="P78">
        <f>SUMIFS('Crosswalk AEO to EPS Summary'!P:P,'Crosswalk AEO to EPS Summary'!$B:$B,$B78)*Percent_rural*quadrillion</f>
        <v>56920604438112.195</v>
      </c>
      <c r="Q78">
        <f>SUMIFS('Crosswalk AEO to EPS Summary'!Q:Q,'Crosswalk AEO to EPS Summary'!$B:$B,$B78)*Percent_rural*quadrillion</f>
        <v>55977735419088.477</v>
      </c>
      <c r="R78">
        <f>SUMIFS('Crosswalk AEO to EPS Summary'!R:R,'Crosswalk AEO to EPS Summary'!$B:$B,$B78)*Percent_rural*quadrillion</f>
        <v>55097754640330.289</v>
      </c>
      <c r="S78">
        <f>SUMIFS('Crosswalk AEO to EPS Summary'!S:S,'Crosswalk AEO to EPS Summary'!$B:$B,$B78)*Percent_rural*quadrillion</f>
        <v>54249917803286.656</v>
      </c>
      <c r="T78">
        <f>SUMIFS('Crosswalk AEO to EPS Summary'!T:T,'Crosswalk AEO to EPS Summary'!$B:$B,$B78)*Percent_rural*quadrillion</f>
        <v>53433136296608.109</v>
      </c>
      <c r="U78">
        <f>SUMIFS('Crosswalk AEO to EPS Summary'!U:U,'Crosswalk AEO to EPS Summary'!$B:$B,$B78)*Percent_rural*quadrillion</f>
        <v>52638635434307.461</v>
      </c>
      <c r="V78">
        <f>SUMIFS('Crosswalk AEO to EPS Summary'!V:V,'Crosswalk AEO to EPS Summary'!$B:$B,$B78)*Percent_rural*quadrillion</f>
        <v>51888982967052.539</v>
      </c>
      <c r="W78">
        <f>SUMIFS('Crosswalk AEO to EPS Summary'!W:W,'Crosswalk AEO to EPS Summary'!$B:$B,$B78)*Percent_rural*quadrillion</f>
        <v>51187097808791.383</v>
      </c>
      <c r="X78">
        <f>SUMIFS('Crosswalk AEO to EPS Summary'!X:X,'Crosswalk AEO to EPS Summary'!$B:$B,$B78)*Percent_rural*quadrillion</f>
        <v>50565070068809.195</v>
      </c>
      <c r="Y78">
        <f>SUMIFS('Crosswalk AEO to EPS Summary'!Y:Y,'Crosswalk AEO to EPS Summary'!$B:$B,$B78)*Percent_rural*quadrillion</f>
        <v>50009477528049.875</v>
      </c>
      <c r="Z78">
        <f>SUMIFS('Crosswalk AEO to EPS Summary'!Z:Z,'Crosswalk AEO to EPS Summary'!$B:$B,$B78)*Percent_rural*quadrillion</f>
        <v>49506856097790.016</v>
      </c>
      <c r="AA78">
        <f>SUMIFS('Crosswalk AEO to EPS Summary'!AA:AA,'Crosswalk AEO to EPS Summary'!$B:$B,$B78)*Percent_rural*quadrillion</f>
        <v>49039372290455.758</v>
      </c>
      <c r="AB78">
        <f>SUMIFS('Crosswalk AEO to EPS Summary'!AB:AB,'Crosswalk AEO to EPS Summary'!$B:$B,$B78)*Percent_rural*quadrillion</f>
        <v>48576239937828.867</v>
      </c>
      <c r="AC78">
        <f>SUMIFS('Crosswalk AEO to EPS Summary'!AC:AC,'Crosswalk AEO to EPS Summary'!$B:$B,$B78)*Percent_rural*quadrillion</f>
        <v>48088512146361.211</v>
      </c>
      <c r="AD78">
        <f>SUMIFS('Crosswalk AEO to EPS Summary'!AD:AD,'Crosswalk AEO to EPS Summary'!$B:$B,$B78)*Percent_rural*quadrillion</f>
        <v>47593092298874.766</v>
      </c>
      <c r="AE78">
        <f>SUMIFS('Crosswalk AEO to EPS Summary'!AE:AE,'Crosswalk AEO to EPS Summary'!$B:$B,$B78)*Percent_rural*quadrillion</f>
        <v>47097995445964.539</v>
      </c>
      <c r="AF78">
        <f>SUMIFS('Crosswalk AEO to EPS Summary'!AF:AF,'Crosswalk AEO to EPS Summary'!$B:$B,$B78)*Percent_rural*quadrillion</f>
        <v>46613446758520.203</v>
      </c>
    </row>
    <row r="79" spans="2:32" x14ac:dyDescent="0.25">
      <c r="B79" s="53" t="str">
        <f t="shared" si="5"/>
        <v>residential-heating-hydrogen (BTU)</v>
      </c>
      <c r="C79" t="s">
        <v>1046</v>
      </c>
      <c r="D79" t="s">
        <v>1047</v>
      </c>
      <c r="E79" t="s">
        <v>1067</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25">
      <c r="B81" s="1" t="s">
        <v>1073</v>
      </c>
    </row>
    <row r="82" spans="2:32" x14ac:dyDescent="0.25">
      <c r="E82" t="s">
        <v>1026</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25">
      <c r="B83" s="53" t="str">
        <f t="shared" ref="B83:B92" si="6">C83&amp;"-"&amp;D83&amp;"-"&amp;E83</f>
        <v>residential-cooling-electricity (BTU)</v>
      </c>
      <c r="C83" t="s">
        <v>1046</v>
      </c>
      <c r="D83" t="s">
        <v>1049</v>
      </c>
      <c r="E83" t="s">
        <v>1048</v>
      </c>
      <c r="F83">
        <f>SUMIFS('Crosswalk AEO to EPS Summary'!F:F,'Crosswalk AEO to EPS Summary'!$B:$B,$B83)*Percent_rural*quadrillion</f>
        <v>212086687444345.47</v>
      </c>
      <c r="G83">
        <f>SUMIFS('Crosswalk AEO to EPS Summary'!G:G,'Crosswalk AEO to EPS Summary'!$B:$B,$B83)*Percent_rural*quadrillion</f>
        <v>202247315631830.28</v>
      </c>
      <c r="H83">
        <f>SUMIFS('Crosswalk AEO to EPS Summary'!H:H,'Crosswalk AEO to EPS Summary'!$B:$B,$B83)*Percent_rural*quadrillion</f>
        <v>212485439202137.13</v>
      </c>
      <c r="I83">
        <f>SUMIFS('Crosswalk AEO to EPS Summary'!I:I,'Crosswalk AEO to EPS Summary'!$B:$B,$B83)*Percent_rural*quadrillion</f>
        <v>215247389748886.88</v>
      </c>
      <c r="J83">
        <f>SUMIFS('Crosswalk AEO to EPS Summary'!J:J,'Crosswalk AEO to EPS Summary'!$B:$B,$B83)*Percent_rural*quadrillion</f>
        <v>217887547414878.97</v>
      </c>
      <c r="K83">
        <f>SUMIFS('Crosswalk AEO to EPS Summary'!K:K,'Crosswalk AEO to EPS Summary'!$B:$B,$B83)*Percent_rural*quadrillion</f>
        <v>219957781151137.34</v>
      </c>
      <c r="L83">
        <f>SUMIFS('Crosswalk AEO to EPS Summary'!L:L,'Crosswalk AEO to EPS Summary'!$B:$B,$B83)*Percent_rural*quadrillion</f>
        <v>221244770984214.34</v>
      </c>
      <c r="M83">
        <f>SUMIFS('Crosswalk AEO to EPS Summary'!M:M,'Crosswalk AEO to EPS Summary'!$B:$B,$B83)*Percent_rural*quadrillion</f>
        <v>222370042218084.63</v>
      </c>
      <c r="N83">
        <f>SUMIFS('Crosswalk AEO to EPS Summary'!N:N,'Crosswalk AEO to EPS Summary'!$B:$B,$B83)*Percent_rural*quadrillion</f>
        <v>223701602311989</v>
      </c>
      <c r="O83">
        <f>SUMIFS('Crosswalk AEO to EPS Summary'!O:O,'Crosswalk AEO to EPS Summary'!$B:$B,$B83)*Percent_rural*quadrillion</f>
        <v>225154437897190.97</v>
      </c>
      <c r="P83">
        <f>SUMIFS('Crosswalk AEO to EPS Summary'!P:P,'Crosswalk AEO to EPS Summary'!$B:$B,$B83)*Percent_rural*quadrillion</f>
        <v>226852692537197.41</v>
      </c>
      <c r="Q83">
        <f>SUMIFS('Crosswalk AEO to EPS Summary'!Q:Q,'Crosswalk AEO to EPS Summary'!$B:$B,$B83)*Percent_rural*quadrillion</f>
        <v>228712214182141.97</v>
      </c>
      <c r="R83">
        <f>SUMIFS('Crosswalk AEO to EPS Summary'!R:R,'Crosswalk AEO to EPS Summary'!$B:$B,$B83)*Percent_rural*quadrillion</f>
        <v>230775028015219</v>
      </c>
      <c r="S83">
        <f>SUMIFS('Crosswalk AEO to EPS Summary'!S:S,'Crosswalk AEO to EPS Summary'!$B:$B,$B83)*Percent_rural*quadrillion</f>
        <v>232920244344207.84</v>
      </c>
      <c r="T83">
        <f>SUMIFS('Crosswalk AEO to EPS Summary'!T:T,'Crosswalk AEO to EPS Summary'!$B:$B,$B83)*Percent_rural*quadrillion</f>
        <v>235106666407188.5</v>
      </c>
      <c r="U83">
        <f>SUMIFS('Crosswalk AEO to EPS Summary'!U:U,'Crosswalk AEO to EPS Summary'!$B:$B,$B83)*Percent_rural*quadrillion</f>
        <v>237293091460859.66</v>
      </c>
      <c r="V83">
        <f>SUMIFS('Crosswalk AEO to EPS Summary'!V:V,'Crosswalk AEO to EPS Summary'!$B:$B,$B83)*Percent_rural*quadrillion</f>
        <v>239588637839553.09</v>
      </c>
      <c r="W83">
        <f>SUMIFS('Crosswalk AEO to EPS Summary'!W:W,'Crosswalk AEO to EPS Summary'!$B:$B,$B83)*Percent_rural*quadrillion</f>
        <v>241980965954181.16</v>
      </c>
      <c r="X83">
        <f>SUMIFS('Crosswalk AEO to EPS Summary'!X:X,'Crosswalk AEO to EPS Summary'!$B:$B,$B83)*Percent_rural*quadrillion</f>
        <v>244710060774872.5</v>
      </c>
      <c r="Y83">
        <f>SUMIFS('Crosswalk AEO to EPS Summary'!Y:Y,'Crosswalk AEO to EPS Summary'!$B:$B,$B83)*Percent_rural*quadrillion</f>
        <v>247613847810248.53</v>
      </c>
      <c r="Z83">
        <f>SUMIFS('Crosswalk AEO to EPS Summary'!Z:Z,'Crosswalk AEO to EPS Summary'!$B:$B,$B83)*Percent_rural*quadrillion</f>
        <v>250521059186270.53</v>
      </c>
      <c r="AA83">
        <f>SUMIFS('Crosswalk AEO to EPS Summary'!AA:AA,'Crosswalk AEO to EPS Summary'!$B:$B,$B83)*Percent_rural*quadrillion</f>
        <v>253560906191532.44</v>
      </c>
      <c r="AB83">
        <f>SUMIFS('Crosswalk AEO to EPS Summary'!AB:AB,'Crosswalk AEO to EPS Summary'!$B:$B,$B83)*Percent_rural*quadrillion</f>
        <v>256418020510645.16</v>
      </c>
      <c r="AC83">
        <f>SUMIFS('Crosswalk AEO to EPS Summary'!AC:AC,'Crosswalk AEO to EPS Summary'!$B:$B,$B83)*Percent_rural*quadrillion</f>
        <v>259143260331255.56</v>
      </c>
      <c r="AD83">
        <f>SUMIFS('Crosswalk AEO to EPS Summary'!AD:AD,'Crosswalk AEO to EPS Summary'!$B:$B,$B83)*Percent_rural*quadrillion</f>
        <v>261803807029871.28</v>
      </c>
      <c r="AE83">
        <f>SUMIFS('Crosswalk AEO to EPS Summary'!AE:AE,'Crosswalk AEO to EPS Summary'!$B:$B,$B83)*Percent_rural*quadrillion</f>
        <v>264633771860438.78</v>
      </c>
      <c r="AF83">
        <f>SUMIFS('Crosswalk AEO to EPS Summary'!AF:AF,'Crosswalk AEO to EPS Summary'!$B:$B,$B83)*Percent_rural*quadrillion</f>
        <v>267461239464421.63</v>
      </c>
    </row>
    <row r="84" spans="2:32" x14ac:dyDescent="0.25">
      <c r="B84" s="53" t="str">
        <f t="shared" si="6"/>
        <v>residential-cooling-coal (BTU)</v>
      </c>
      <c r="C84" t="s">
        <v>1046</v>
      </c>
      <c r="D84" t="s">
        <v>1049</v>
      </c>
      <c r="E84" t="s">
        <v>1063</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25">
      <c r="B85" s="53" t="str">
        <f t="shared" si="6"/>
        <v>residential-cooling-natural gas (BTU)</v>
      </c>
      <c r="C85" t="s">
        <v>1046</v>
      </c>
      <c r="D85" t="s">
        <v>1049</v>
      </c>
      <c r="E85" t="s">
        <v>1055</v>
      </c>
      <c r="F85">
        <f>SUMIFS('Crosswalk AEO to EPS Summary'!F:F,'Crosswalk AEO to EPS Summary'!$B:$B,$B85)*Percent_rural*quadrillion</f>
        <v>11869116085161.498</v>
      </c>
      <c r="G85">
        <f>SUMIFS('Crosswalk AEO to EPS Summary'!G:G,'Crosswalk AEO to EPS Summary'!$B:$B,$B85)*Percent_rural*quadrillion</f>
        <v>10953098980976.281</v>
      </c>
      <c r="H85">
        <f>SUMIFS('Crosswalk AEO to EPS Summary'!H:H,'Crosswalk AEO to EPS Summary'!$B:$B,$B85)*Percent_rural*quadrillion</f>
        <v>11617833781591.516</v>
      </c>
      <c r="I85">
        <f>SUMIFS('Crosswalk AEO to EPS Summary'!I:I,'Crosswalk AEO to EPS Summary'!$B:$B,$B85)*Percent_rural*quadrillion</f>
        <v>11699259069375.859</v>
      </c>
      <c r="J85">
        <f>SUMIFS('Crosswalk AEO to EPS Summary'!J:J,'Crosswalk AEO to EPS Summary'!$B:$B,$B85)*Percent_rural*quadrillion</f>
        <v>11729523362098.275</v>
      </c>
      <c r="K85">
        <f>SUMIFS('Crosswalk AEO to EPS Summary'!K:K,'Crosswalk AEO to EPS Summary'!$B:$B,$B85)*Percent_rural*quadrillion</f>
        <v>11721914297741.439</v>
      </c>
      <c r="L85">
        <f>SUMIFS('Crosswalk AEO to EPS Summary'!L:L,'Crosswalk AEO to EPS Summary'!$B:$B,$B85)*Percent_rural*quadrillion</f>
        <v>11696563709544.24</v>
      </c>
      <c r="M85">
        <f>SUMIFS('Crosswalk AEO to EPS Summary'!M:M,'Crosswalk AEO to EPS Summary'!$B:$B,$B85)*Percent_rural*quadrillion</f>
        <v>11673637823686.553</v>
      </c>
      <c r="N85">
        <f>SUMIFS('Crosswalk AEO to EPS Summary'!N:N,'Crosswalk AEO to EPS Summary'!$B:$B,$B85)*Percent_rural*quadrillion</f>
        <v>11669312537521.25</v>
      </c>
      <c r="O85">
        <f>SUMIFS('Crosswalk AEO to EPS Summary'!O:O,'Crosswalk AEO to EPS Summary'!$B:$B,$B85)*Percent_rural*quadrillion</f>
        <v>11672365284870.072</v>
      </c>
      <c r="P85">
        <f>SUMIFS('Crosswalk AEO to EPS Summary'!P:P,'Crosswalk AEO to EPS Summary'!$B:$B,$B85)*Percent_rural*quadrillion</f>
        <v>11690795415202.785</v>
      </c>
      <c r="Q85">
        <f>SUMIFS('Crosswalk AEO to EPS Summary'!Q:Q,'Crosswalk AEO to EPS Summary'!$B:$B,$B85)*Percent_rural*quadrillion</f>
        <v>11713599430421.76</v>
      </c>
      <c r="R85">
        <f>SUMIFS('Crosswalk AEO to EPS Summary'!R:R,'Crosswalk AEO to EPS Summary'!$B:$B,$B85)*Percent_rural*quadrillion</f>
        <v>11748422283170.08</v>
      </c>
      <c r="S85">
        <f>SUMIFS('Crosswalk AEO to EPS Summary'!S:S,'Crosswalk AEO to EPS Summary'!$B:$B,$B85)*Percent_rural*quadrillion</f>
        <v>11788843708572.816</v>
      </c>
      <c r="T85">
        <f>SUMIFS('Crosswalk AEO to EPS Summary'!T:T,'Crosswalk AEO to EPS Summary'!$B:$B,$B85)*Percent_rural*quadrillion</f>
        <v>11833425932162.227</v>
      </c>
      <c r="U85">
        <f>SUMIFS('Crosswalk AEO to EPS Summary'!U:U,'Crosswalk AEO to EPS Summary'!$B:$B,$B85)*Percent_rural*quadrillion</f>
        <v>11882705782886.748</v>
      </c>
      <c r="V85">
        <f>SUMIFS('Crosswalk AEO to EPS Summary'!V:V,'Crosswalk AEO to EPS Summary'!$B:$B,$B85)*Percent_rural*quadrillion</f>
        <v>11942992122399.416</v>
      </c>
      <c r="W85">
        <f>SUMIFS('Crosswalk AEO to EPS Summary'!W:W,'Crosswalk AEO to EPS Summary'!$B:$B,$B85)*Percent_rural*quadrillion</f>
        <v>12011169398850.48</v>
      </c>
      <c r="X85">
        <f>SUMIFS('Crosswalk AEO to EPS Summary'!X:X,'Crosswalk AEO to EPS Summary'!$B:$B,$B85)*Percent_rural*quadrillion</f>
        <v>12098309148546.91</v>
      </c>
      <c r="Y85">
        <f>SUMIFS('Crosswalk AEO to EPS Summary'!Y:Y,'Crosswalk AEO to EPS Summary'!$B:$B,$B85)*Percent_rural*quadrillion</f>
        <v>12189196981138.184</v>
      </c>
      <c r="Z85">
        <f>SUMIFS('Crosswalk AEO to EPS Summary'!Z:Z,'Crosswalk AEO to EPS Summary'!$B:$B,$B85)*Percent_rural*quadrillion</f>
        <v>12276950570063.953</v>
      </c>
      <c r="AA85">
        <f>SUMIFS('Crosswalk AEO to EPS Summary'!AA:AA,'Crosswalk AEO to EPS Summary'!$B:$B,$B85)*Percent_rural*quadrillion</f>
        <v>12366891101432.852</v>
      </c>
      <c r="AB85">
        <f>SUMIFS('Crosswalk AEO to EPS Summary'!AB:AB,'Crosswalk AEO to EPS Summary'!$B:$B,$B85)*Percent_rural*quadrillion</f>
        <v>12446367206670.445</v>
      </c>
      <c r="AC85">
        <f>SUMIFS('Crosswalk AEO to EPS Summary'!AC:AC,'Crosswalk AEO to EPS Summary'!$B:$B,$B85)*Percent_rural*quadrillion</f>
        <v>12522229810086.619</v>
      </c>
      <c r="AD85">
        <f>SUMIFS('Crosswalk AEO to EPS Summary'!AD:AD,'Crosswalk AEO to EPS Summary'!$B:$B,$B85)*Percent_rural*quadrillion</f>
        <v>12591788037885.535</v>
      </c>
      <c r="AE85">
        <f>SUMIFS('Crosswalk AEO to EPS Summary'!AE:AE,'Crosswalk AEO to EPS Summary'!$B:$B,$B85)*Percent_rural*quadrillion</f>
        <v>12665297715534.688</v>
      </c>
      <c r="AF85">
        <f>SUMIFS('Crosswalk AEO to EPS Summary'!AF:AF,'Crosswalk AEO to EPS Summary'!$B:$B,$B85)*Percent_rural*quadrillion</f>
        <v>12737567751963.086</v>
      </c>
    </row>
    <row r="86" spans="2:32" x14ac:dyDescent="0.25">
      <c r="B86" s="53" t="str">
        <f t="shared" si="6"/>
        <v>residential-cooling-petroleum diesel (BTU)</v>
      </c>
      <c r="C86" t="s">
        <v>1046</v>
      </c>
      <c r="D86" t="s">
        <v>1049</v>
      </c>
      <c r="E86" t="s">
        <v>1056</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25">
      <c r="B87" s="53" t="str">
        <f t="shared" si="6"/>
        <v>residential-cooling-heat (BTU)</v>
      </c>
      <c r="C87" t="s">
        <v>1046</v>
      </c>
      <c r="D87" t="s">
        <v>1049</v>
      </c>
      <c r="E87" t="s">
        <v>1064</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25">
      <c r="B88" s="53" t="str">
        <f t="shared" si="6"/>
        <v>residential-cooling-biomass (BTU)</v>
      </c>
      <c r="C88" t="s">
        <v>1046</v>
      </c>
      <c r="D88" t="s">
        <v>1049</v>
      </c>
      <c r="E88" t="s">
        <v>1058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25">
      <c r="B89" s="53" t="str">
        <f t="shared" si="6"/>
        <v>residential-cooling-kerosene (BTU)</v>
      </c>
      <c r="C89" t="s">
        <v>1046</v>
      </c>
      <c r="D89" t="s">
        <v>1049</v>
      </c>
      <c r="E89" t="s">
        <v>1065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25">
      <c r="B90" s="53" t="str">
        <f t="shared" si="6"/>
        <v>residential-cooling-heavy or residual fuel oil (BTU)</v>
      </c>
      <c r="C90" t="s">
        <v>1046</v>
      </c>
      <c r="D90" t="s">
        <v>1049</v>
      </c>
      <c r="E90" t="s">
        <v>1066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25">
      <c r="B91" s="53" t="str">
        <f t="shared" si="6"/>
        <v>residential-cooling-LPG propane or butane (BTU)</v>
      </c>
      <c r="C91" t="s">
        <v>1046</v>
      </c>
      <c r="D91" t="s">
        <v>1049</v>
      </c>
      <c r="E91" t="s">
        <v>1057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25">
      <c r="B92" s="53" t="str">
        <f t="shared" si="6"/>
        <v>residential-cooling-hydrogen (BTU)</v>
      </c>
      <c r="C92" t="s">
        <v>1046</v>
      </c>
      <c r="D92" t="s">
        <v>1049</v>
      </c>
      <c r="E92" t="s">
        <v>1067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25">
      <c r="B94" s="1" t="s">
        <v>1074</v>
      </c>
    </row>
    <row r="95" spans="2:32" x14ac:dyDescent="0.25">
      <c r="E95" t="s">
        <v>1026</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25">
      <c r="B96" s="53" t="str">
        <f t="shared" ref="B96:B105" si="7">C96&amp;"-"&amp;D96&amp;"-"&amp;E96</f>
        <v>residential-lighting-electricity (BTU)</v>
      </c>
      <c r="C96" t="s">
        <v>1046</v>
      </c>
      <c r="D96" t="s">
        <v>1051</v>
      </c>
      <c r="E96" t="s">
        <v>1048</v>
      </c>
      <c r="F96">
        <f>SUMIFS('Crosswalk AEO to EPS Summary'!F:F,'Crosswalk AEO to EPS Summary'!$B:$B,$B96)*Percent_rural*quadrillion</f>
        <v>35023042095037.641</v>
      </c>
      <c r="G96">
        <f>SUMIFS('Crosswalk AEO to EPS Summary'!G:G,'Crosswalk AEO to EPS Summary'!$B:$B,$B96)*Percent_rural*quadrillion</f>
        <v>34177443789848.617</v>
      </c>
      <c r="H96">
        <f>SUMIFS('Crosswalk AEO to EPS Summary'!H:H,'Crosswalk AEO to EPS Summary'!$B:$B,$B96)*Percent_rural*quadrillion</f>
        <v>34059386281551.035</v>
      </c>
      <c r="I96">
        <f>SUMIFS('Crosswalk AEO to EPS Summary'!I:I,'Crosswalk AEO to EPS Summary'!$B:$B,$B96)*Percent_rural*quadrillion</f>
        <v>34312422625111.305</v>
      </c>
      <c r="J96">
        <f>SUMIFS('Crosswalk AEO to EPS Summary'!J:J,'Crosswalk AEO to EPS Summary'!$B:$B,$B96)*Percent_rural*quadrillion</f>
        <v>34699537606087.586</v>
      </c>
      <c r="K96">
        <f>SUMIFS('Crosswalk AEO to EPS Summary'!K:K,'Crosswalk AEO to EPS Summary'!$B:$B,$B96)*Percent_rural*quadrillion</f>
        <v>35035834773739.172</v>
      </c>
      <c r="L96">
        <f>SUMIFS('Crosswalk AEO to EPS Summary'!L:L,'Crosswalk AEO to EPS Summary'!$B:$B,$B96)*Percent_rural*quadrillion</f>
        <v>34952642735529.832</v>
      </c>
      <c r="M96">
        <f>SUMIFS('Crosswalk AEO to EPS Summary'!M:M,'Crosswalk AEO to EPS Summary'!$B:$B,$B96)*Percent_rural*quadrillion</f>
        <v>34846033590544.805</v>
      </c>
      <c r="N96">
        <f>SUMIFS('Crosswalk AEO to EPS Summary'!N:N,'Crosswalk AEO to EPS Summary'!$B:$B,$B96)*Percent_rural*quadrillion</f>
        <v>34815645184165.785</v>
      </c>
      <c r="O96">
        <f>SUMIFS('Crosswalk AEO to EPS Summary'!O:O,'Crosswalk AEO to EPS Summary'!$B:$B,$B96)*Percent_rural*quadrillion</f>
        <v>34842358031895.086</v>
      </c>
      <c r="P96">
        <f>SUMIFS('Crosswalk AEO to EPS Summary'!P:P,'Crosswalk AEO to EPS Summary'!$B:$B,$B96)*Percent_rural*quadrillion</f>
        <v>34905530387760.059</v>
      </c>
      <c r="Q96">
        <f>SUMIFS('Crosswalk AEO to EPS Summary'!Q:Q,'Crosswalk AEO to EPS Summary'!$B:$B,$B96)*Percent_rural*quadrillion</f>
        <v>34993953143689.789</v>
      </c>
      <c r="R96">
        <f>SUMIFS('Crosswalk AEO to EPS Summary'!R:R,'Crosswalk AEO to EPS Summary'!$B:$B,$B96)*Percent_rural*quadrillion</f>
        <v>35094700535254.598</v>
      </c>
      <c r="S96">
        <f>SUMIFS('Crosswalk AEO to EPS Summary'!S:S,'Crosswalk AEO to EPS Summary'!$B:$B,$B96)*Percent_rural*quadrillion</f>
        <v>35182928896300.496</v>
      </c>
      <c r="T96">
        <f>SUMIFS('Crosswalk AEO to EPS Summary'!T:T,'Crosswalk AEO to EPS Summary'!$B:$B,$B96)*Percent_rural*quadrillion</f>
        <v>35275795818343.719</v>
      </c>
      <c r="U96">
        <f>SUMIFS('Crosswalk AEO to EPS Summary'!U:U,'Crosswalk AEO to EPS Summary'!$B:$B,$B96)*Percent_rural*quadrillion</f>
        <v>35402325952885.938</v>
      </c>
      <c r="V96">
        <f>SUMIFS('Crosswalk AEO to EPS Summary'!V:V,'Crosswalk AEO to EPS Summary'!$B:$B,$B96)*Percent_rural*quadrillion</f>
        <v>34960245070833</v>
      </c>
      <c r="W96">
        <f>SUMIFS('Crosswalk AEO to EPS Summary'!W:W,'Crosswalk AEO to EPS Summary'!$B:$B,$B96)*Percent_rural*quadrillion</f>
        <v>34596517289727.188</v>
      </c>
      <c r="X96">
        <f>SUMIFS('Crosswalk AEO to EPS Summary'!X:X,'Crosswalk AEO to EPS Summary'!$B:$B,$B96)*Percent_rural*quadrillion</f>
        <v>34335175798591.43</v>
      </c>
      <c r="Y96">
        <f>SUMIFS('Crosswalk AEO to EPS Summary'!Y:Y,'Crosswalk AEO to EPS Summary'!$B:$B,$B96)*Percent_rural*quadrillion</f>
        <v>34177180609082.813</v>
      </c>
      <c r="Z96">
        <f>SUMIFS('Crosswalk AEO to EPS Summary'!Z:Z,'Crosswalk AEO to EPS Summary'!$B:$B,$B96)*Percent_rural*quadrillion</f>
        <v>34108257155346.879</v>
      </c>
      <c r="AA96">
        <f>SUMIFS('Crosswalk AEO to EPS Summary'!AA:AA,'Crosswalk AEO to EPS Summary'!$B:$B,$B96)*Percent_rural*quadrillion</f>
        <v>34090788532016.512</v>
      </c>
      <c r="AB96">
        <f>SUMIFS('Crosswalk AEO to EPS Summary'!AB:AB,'Crosswalk AEO to EPS Summary'!$B:$B,$B96)*Percent_rural*quadrillion</f>
        <v>34076998458026.391</v>
      </c>
      <c r="AC96">
        <f>SUMIFS('Crosswalk AEO to EPS Summary'!AC:AC,'Crosswalk AEO to EPS Summary'!$B:$B,$B96)*Percent_rural*quadrillion</f>
        <v>34056844194608.598</v>
      </c>
      <c r="AD96">
        <f>SUMIFS('Crosswalk AEO to EPS Summary'!AD:AD,'Crosswalk AEO to EPS Summary'!$B:$B,$B96)*Percent_rural*quadrillion</f>
        <v>34055079687201.484</v>
      </c>
      <c r="AE96">
        <f>SUMIFS('Crosswalk AEO to EPS Summary'!AE:AE,'Crosswalk AEO to EPS Summary'!$B:$B,$B96)*Percent_rural*quadrillion</f>
        <v>34089203466040.637</v>
      </c>
      <c r="AF96">
        <f>SUMIFS('Crosswalk AEO to EPS Summary'!AF:AF,'Crosswalk AEO to EPS Summary'!$B:$B,$B96)*Percent_rural*quadrillion</f>
        <v>34128946752367.844</v>
      </c>
    </row>
    <row r="97" spans="2:32" x14ac:dyDescent="0.25">
      <c r="B97" s="53" t="str">
        <f t="shared" si="7"/>
        <v>residential-lighting-coal (BTU)</v>
      </c>
      <c r="C97" t="s">
        <v>1046</v>
      </c>
      <c r="D97" t="s">
        <v>1051</v>
      </c>
      <c r="E97" t="s">
        <v>1063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25">
      <c r="B98" s="53" t="str">
        <f t="shared" si="7"/>
        <v>residential-lighting-natural gas (BTU)</v>
      </c>
      <c r="C98" t="s">
        <v>1046</v>
      </c>
      <c r="D98" t="s">
        <v>1051</v>
      </c>
      <c r="E98" t="s">
        <v>1055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25">
      <c r="B99" s="53" t="str">
        <f t="shared" si="7"/>
        <v>residential-lighting-petroleum diesel (BTU)</v>
      </c>
      <c r="C99" t="s">
        <v>1046</v>
      </c>
      <c r="D99" t="s">
        <v>1051</v>
      </c>
      <c r="E99" t="s">
        <v>1056</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25">
      <c r="B100" s="53" t="str">
        <f t="shared" si="7"/>
        <v>residential-lighting-heat (BTU)</v>
      </c>
      <c r="C100" t="s">
        <v>1046</v>
      </c>
      <c r="D100" t="s">
        <v>1051</v>
      </c>
      <c r="E100" t="s">
        <v>1064</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25">
      <c r="B101" s="53" t="str">
        <f t="shared" si="7"/>
        <v>residential-lighting-biomass (BTU)</v>
      </c>
      <c r="C101" t="s">
        <v>1046</v>
      </c>
      <c r="D101" t="s">
        <v>1051</v>
      </c>
      <c r="E101" t="s">
        <v>1058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25">
      <c r="B102" s="53" t="str">
        <f t="shared" si="7"/>
        <v>residential-lighting-kerosene (BTU)</v>
      </c>
      <c r="C102" t="s">
        <v>1046</v>
      </c>
      <c r="D102" t="s">
        <v>1051</v>
      </c>
      <c r="E102" t="s">
        <v>1065</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25">
      <c r="B103" s="53" t="str">
        <f t="shared" si="7"/>
        <v>residential-lighting-heavy or residual fuel oil (BTU)</v>
      </c>
      <c r="C103" t="s">
        <v>1046</v>
      </c>
      <c r="D103" t="s">
        <v>1051</v>
      </c>
      <c r="E103" t="s">
        <v>1066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25">
      <c r="B104" s="53" t="str">
        <f t="shared" si="7"/>
        <v>residential-lighting-LPG propane or butane (BTU)</v>
      </c>
      <c r="C104" t="s">
        <v>1046</v>
      </c>
      <c r="D104" t="s">
        <v>1051</v>
      </c>
      <c r="E104" t="s">
        <v>1057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25">
      <c r="B105" s="53" t="str">
        <f t="shared" si="7"/>
        <v>residential-lighting-hydrogen (BTU)</v>
      </c>
      <c r="C105" t="s">
        <v>1046</v>
      </c>
      <c r="D105" t="s">
        <v>1051</v>
      </c>
      <c r="E105" t="s">
        <v>1067</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25">
      <c r="B107" s="1" t="s">
        <v>1075</v>
      </c>
    </row>
    <row r="108" spans="2:32" x14ac:dyDescent="0.25">
      <c r="E108" t="s">
        <v>1026</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25">
      <c r="B109" s="53" t="str">
        <f t="shared" ref="B109:B118" si="8">C109&amp;"-"&amp;D109&amp;"-"&amp;E109</f>
        <v>residential-appliances-electricity (BTU)</v>
      </c>
      <c r="C109" t="s">
        <v>1046</v>
      </c>
      <c r="D109" t="s">
        <v>1050</v>
      </c>
      <c r="E109" t="s">
        <v>1048</v>
      </c>
      <c r="F109">
        <f>SUMIFS('Crosswalk AEO to EPS Summary'!F:F,'Crosswalk AEO to EPS Summary'!$B:$B,$B109)*Percent_rural*quadrillion</f>
        <v>231978517768962.97</v>
      </c>
      <c r="G109">
        <f>SUMIFS('Crosswalk AEO to EPS Summary'!G:G,'Crosswalk AEO to EPS Summary'!$B:$B,$B109)*Percent_rural*quadrillion</f>
        <v>227657084360722.09</v>
      </c>
      <c r="H109">
        <f>SUMIFS('Crosswalk AEO to EPS Summary'!H:H,'Crosswalk AEO to EPS Summary'!$B:$B,$B109)*Percent_rural*quadrillion</f>
        <v>226263673796162.88</v>
      </c>
      <c r="I109">
        <f>SUMIFS('Crosswalk AEO to EPS Summary'!I:I,'Crosswalk AEO to EPS Summary'!$B:$B,$B109)*Percent_rural*quadrillion</f>
        <v>225227793554278.31</v>
      </c>
      <c r="J109">
        <f>SUMIFS('Crosswalk AEO to EPS Summary'!J:J,'Crosswalk AEO to EPS Summary'!$B:$B,$B109)*Percent_rural*quadrillion</f>
        <v>224352587412936.06</v>
      </c>
      <c r="K109">
        <f>SUMIFS('Crosswalk AEO to EPS Summary'!K:K,'Crosswalk AEO to EPS Summary'!$B:$B,$B109)*Percent_rural*quadrillion</f>
        <v>221121677900752.81</v>
      </c>
      <c r="L109">
        <f>SUMIFS('Crosswalk AEO to EPS Summary'!L:L,'Crosswalk AEO to EPS Summary'!$B:$B,$B109)*Percent_rural*quadrillion</f>
        <v>216324536286246.25</v>
      </c>
      <c r="M109">
        <f>SUMIFS('Crosswalk AEO to EPS Summary'!M:M,'Crosswalk AEO to EPS Summary'!$B:$B,$B109)*Percent_rural*quadrillion</f>
        <v>211213180762891.56</v>
      </c>
      <c r="N109">
        <f>SUMIFS('Crosswalk AEO to EPS Summary'!N:N,'Crosswalk AEO to EPS Summary'!$B:$B,$B109)*Percent_rural*quadrillion</f>
        <v>206357770403464.75</v>
      </c>
      <c r="O109">
        <f>SUMIFS('Crosswalk AEO to EPS Summary'!O:O,'Crosswalk AEO to EPS Summary'!$B:$B,$B109)*Percent_rural*quadrillion</f>
        <v>201982983076337.72</v>
      </c>
      <c r="P109">
        <f>SUMIFS('Crosswalk AEO to EPS Summary'!P:P,'Crosswalk AEO to EPS Summary'!$B:$B,$B109)*Percent_rural*quadrillion</f>
        <v>198090703290374.81</v>
      </c>
      <c r="Q109">
        <f>SUMIFS('Crosswalk AEO to EPS Summary'!Q:Q,'Crosswalk AEO to EPS Summary'!$B:$B,$B109)*Percent_rural*quadrillion</f>
        <v>194683843230470.31</v>
      </c>
      <c r="R109">
        <f>SUMIFS('Crosswalk AEO to EPS Summary'!R:R,'Crosswalk AEO to EPS Summary'!$B:$B,$B109)*Percent_rural*quadrillion</f>
        <v>191841354135675.53</v>
      </c>
      <c r="S109">
        <f>SUMIFS('Crosswalk AEO to EPS Summary'!S:S,'Crosswalk AEO to EPS Summary'!$B:$B,$B109)*Percent_rural*quadrillion</f>
        <v>189533328726948.94</v>
      </c>
      <c r="T109">
        <f>SUMIFS('Crosswalk AEO to EPS Summary'!T:T,'Crosswalk AEO to EPS Summary'!$B:$B,$B109)*Percent_rural*quadrillion</f>
        <v>187788139311422.31</v>
      </c>
      <c r="U109">
        <f>SUMIFS('Crosswalk AEO to EPS Summary'!U:U,'Crosswalk AEO to EPS Summary'!$B:$B,$B109)*Percent_rural*quadrillion</f>
        <v>186587409965028.72</v>
      </c>
      <c r="V109">
        <f>SUMIFS('Crosswalk AEO to EPS Summary'!V:V,'Crosswalk AEO to EPS Summary'!$B:$B,$B109)*Percent_rural*quadrillion</f>
        <v>185872180345665.03</v>
      </c>
      <c r="W109">
        <f>SUMIFS('Crosswalk AEO to EPS Summary'!W:W,'Crosswalk AEO to EPS Summary'!$B:$B,$B109)*Percent_rural*quadrillion</f>
        <v>185647531262689.25</v>
      </c>
      <c r="X109">
        <f>SUMIFS('Crosswalk AEO to EPS Summary'!X:X,'Crosswalk AEO to EPS Summary'!$B:$B,$B109)*Percent_rural*quadrillion</f>
        <v>185829868056180.66</v>
      </c>
      <c r="Y109">
        <f>SUMIFS('Crosswalk AEO to EPS Summary'!Y:Y,'Crosswalk AEO to EPS Summary'!$B:$B,$B109)*Percent_rural*quadrillion</f>
        <v>186442638861329.25</v>
      </c>
      <c r="Z109">
        <f>SUMIFS('Crosswalk AEO to EPS Summary'!Z:Z,'Crosswalk AEO to EPS Summary'!$B:$B,$B109)*Percent_rural*quadrillion</f>
        <v>187128829249574.97</v>
      </c>
      <c r="AA109">
        <f>SUMIFS('Crosswalk AEO to EPS Summary'!AA:AA,'Crosswalk AEO to EPS Summary'!$B:$B,$B109)*Percent_rural*quadrillion</f>
        <v>187924394423864.66</v>
      </c>
      <c r="AB109">
        <f>SUMIFS('Crosswalk AEO to EPS Summary'!AB:AB,'Crosswalk AEO to EPS Summary'!$B:$B,$B109)*Percent_rural*quadrillion</f>
        <v>188790100636768.34</v>
      </c>
      <c r="AC109">
        <f>SUMIFS('Crosswalk AEO to EPS Summary'!AC:AC,'Crosswalk AEO to EPS Summary'!$B:$B,$B109)*Percent_rural*quadrillion</f>
        <v>189708174962195.38</v>
      </c>
      <c r="AD109">
        <f>SUMIFS('Crosswalk AEO to EPS Summary'!AD:AD,'Crosswalk AEO to EPS Summary'!$B:$B,$B109)*Percent_rural*quadrillion</f>
        <v>190616935529668.91</v>
      </c>
      <c r="AE109">
        <f>SUMIFS('Crosswalk AEO to EPS Summary'!AE:AE,'Crosswalk AEO to EPS Summary'!$B:$B,$B109)*Percent_rural*quadrillion</f>
        <v>191590356321541.34</v>
      </c>
      <c r="AF109">
        <f>SUMIFS('Crosswalk AEO to EPS Summary'!AF:AF,'Crosswalk AEO to EPS Summary'!$B:$B,$B109)*Percent_rural*quadrillion</f>
        <v>192593695607544.72</v>
      </c>
    </row>
    <row r="110" spans="2:32" x14ac:dyDescent="0.25">
      <c r="B110" s="53" t="str">
        <f t="shared" si="8"/>
        <v>residential-appliances-coal (BTU)</v>
      </c>
      <c r="C110" t="s">
        <v>1046</v>
      </c>
      <c r="D110" t="s">
        <v>1050</v>
      </c>
      <c r="E110" t="s">
        <v>1063</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25">
      <c r="B111" s="53" t="str">
        <f t="shared" si="8"/>
        <v>residential-appliances-natural gas (BTU)</v>
      </c>
      <c r="C111" t="s">
        <v>1046</v>
      </c>
      <c r="D111" t="s">
        <v>1050</v>
      </c>
      <c r="E111" t="s">
        <v>1055</v>
      </c>
      <c r="F111">
        <f>SUMIFS('Crosswalk AEO to EPS Summary'!F:F,'Crosswalk AEO to EPS Summary'!$B:$B,$B111)*Percent_rural*quadrillion</f>
        <v>215571776491540.5</v>
      </c>
      <c r="G111">
        <f>SUMIFS('Crosswalk AEO to EPS Summary'!G:G,'Crosswalk AEO to EPS Summary'!$B:$B,$B111)*Percent_rural*quadrillion</f>
        <v>213293662847891.19</v>
      </c>
      <c r="H111">
        <f>SUMIFS('Crosswalk AEO to EPS Summary'!H:H,'Crosswalk AEO to EPS Summary'!$B:$B,$B111)*Percent_rural*quadrillion</f>
        <v>215464084716587.03</v>
      </c>
      <c r="I111">
        <f>SUMIFS('Crosswalk AEO to EPS Summary'!I:I,'Crosswalk AEO to EPS Summary'!$B:$B,$B111)*Percent_rural*quadrillion</f>
        <v>217495636861653.03</v>
      </c>
      <c r="J111">
        <f>SUMIFS('Crosswalk AEO to EPS Summary'!J:J,'Crosswalk AEO to EPS Summary'!$B:$B,$B111)*Percent_rural*quadrillion</f>
        <v>219433022629644.59</v>
      </c>
      <c r="K111">
        <f>SUMIFS('Crosswalk AEO to EPS Summary'!K:K,'Crosswalk AEO to EPS Summary'!$B:$B,$B111)*Percent_rural*quadrillion</f>
        <v>219189205089613.84</v>
      </c>
      <c r="L111">
        <f>SUMIFS('Crosswalk AEO to EPS Summary'!L:L,'Crosswalk AEO to EPS Summary'!$B:$B,$B111)*Percent_rural*quadrillion</f>
        <v>218614043713106.13</v>
      </c>
      <c r="M111">
        <f>SUMIFS('Crosswalk AEO to EPS Summary'!M:M,'Crosswalk AEO to EPS Summary'!$B:$B,$B111)*Percent_rural*quadrillion</f>
        <v>218172945272889.13</v>
      </c>
      <c r="N111">
        <f>SUMIFS('Crosswalk AEO to EPS Summary'!N:N,'Crosswalk AEO to EPS Summary'!$B:$B,$B111)*Percent_rural*quadrillion</f>
        <v>217951218468388.25</v>
      </c>
      <c r="O111">
        <f>SUMIFS('Crosswalk AEO to EPS Summary'!O:O,'Crosswalk AEO to EPS Summary'!$B:$B,$B111)*Percent_rural*quadrillion</f>
        <v>217531877301708.09</v>
      </c>
      <c r="P111">
        <f>SUMIFS('Crosswalk AEO to EPS Summary'!P:P,'Crosswalk AEO to EPS Summary'!$B:$B,$B111)*Percent_rural*quadrillion</f>
        <v>217511154807091.41</v>
      </c>
      <c r="Q111">
        <f>SUMIFS('Crosswalk AEO to EPS Summary'!Q:Q,'Crosswalk AEO to EPS Summary'!$B:$B,$B111)*Percent_rural*quadrillion</f>
        <v>217798351565449.69</v>
      </c>
      <c r="R111">
        <f>SUMIFS('Crosswalk AEO to EPS Summary'!R:R,'Crosswalk AEO to EPS Summary'!$B:$B,$B111)*Percent_rural*quadrillion</f>
        <v>218006561944143.13</v>
      </c>
      <c r="S111">
        <f>SUMIFS('Crosswalk AEO to EPS Summary'!S:S,'Crosswalk AEO to EPS Summary'!$B:$B,$B111)*Percent_rural*quadrillion</f>
        <v>218035777999838.06</v>
      </c>
      <c r="T111">
        <f>SUMIFS('Crosswalk AEO to EPS Summary'!T:T,'Crosswalk AEO to EPS Summary'!$B:$B,$B111)*Percent_rural*quadrillion</f>
        <v>218023172239294.09</v>
      </c>
      <c r="U111">
        <f>SUMIFS('Crosswalk AEO to EPS Summary'!U:U,'Crosswalk AEO to EPS Summary'!$B:$B,$B111)*Percent_rural*quadrillion</f>
        <v>217928598380636.28</v>
      </c>
      <c r="V111">
        <f>SUMIFS('Crosswalk AEO to EPS Summary'!V:V,'Crosswalk AEO to EPS Summary'!$B:$B,$B111)*Percent_rural*quadrillion</f>
        <v>217787003390269.56</v>
      </c>
      <c r="W111">
        <f>SUMIFS('Crosswalk AEO to EPS Summary'!W:W,'Crosswalk AEO to EPS Summary'!$B:$B,$B111)*Percent_rural*quadrillion</f>
        <v>217532462729377.5</v>
      </c>
      <c r="X111">
        <f>SUMIFS('Crosswalk AEO to EPS Summary'!X:X,'Crosswalk AEO to EPS Summary'!$B:$B,$B111)*Percent_rural*quadrillion</f>
        <v>217293371228041.75</v>
      </c>
      <c r="Y111">
        <f>SUMIFS('Crosswalk AEO to EPS Summary'!Y:Y,'Crosswalk AEO to EPS Summary'!$B:$B,$B111)*Percent_rural*quadrillion</f>
        <v>217001015528535.56</v>
      </c>
      <c r="Z111">
        <f>SUMIFS('Crosswalk AEO to EPS Summary'!Z:Z,'Crosswalk AEO to EPS Summary'!$B:$B,$B111)*Percent_rural*quadrillion</f>
        <v>216645325228203.69</v>
      </c>
      <c r="AA111">
        <f>SUMIFS('Crosswalk AEO to EPS Summary'!AA:AA,'Crosswalk AEO to EPS Summary'!$B:$B,$B111)*Percent_rural*quadrillion</f>
        <v>216158412399902.91</v>
      </c>
      <c r="AB111">
        <f>SUMIFS('Crosswalk AEO to EPS Summary'!AB:AB,'Crosswalk AEO to EPS Summary'!$B:$B,$B111)*Percent_rural*quadrillion</f>
        <v>215472994731320.38</v>
      </c>
      <c r="AC111">
        <f>SUMIFS('Crosswalk AEO to EPS Summary'!AC:AC,'Crosswalk AEO to EPS Summary'!$B:$B,$B111)*Percent_rural*quadrillion</f>
        <v>214639812277827.28</v>
      </c>
      <c r="AD111">
        <f>SUMIFS('Crosswalk AEO to EPS Summary'!AD:AD,'Crosswalk AEO to EPS Summary'!$B:$B,$B111)*Percent_rural*quadrillion</f>
        <v>213771313507649.97</v>
      </c>
      <c r="AE111">
        <f>SUMIFS('Crosswalk AEO to EPS Summary'!AE:AE,'Crosswalk AEO to EPS Summary'!$B:$B,$B111)*Percent_rural*quadrillion</f>
        <v>212958327934914.59</v>
      </c>
      <c r="AF111">
        <f>SUMIFS('Crosswalk AEO to EPS Summary'!AF:AF,'Crosswalk AEO to EPS Summary'!$B:$B,$B111)*Percent_rural*quadrillion</f>
        <v>212279293895248.09</v>
      </c>
    </row>
    <row r="112" spans="2:32" x14ac:dyDescent="0.25">
      <c r="B112" s="53" t="str">
        <f t="shared" si="8"/>
        <v>residential-appliances-petroleum diesel (BTU)</v>
      </c>
      <c r="C112" t="s">
        <v>1046</v>
      </c>
      <c r="D112" t="s">
        <v>1050</v>
      </c>
      <c r="E112" t="s">
        <v>1056</v>
      </c>
      <c r="F112">
        <f>SUMIFS('Crosswalk AEO to EPS Summary'!F:F,'Crosswalk AEO to EPS Summary'!$B:$B,$B112)*Percent_rural*quadrillion</f>
        <v>7529063385412.4512</v>
      </c>
      <c r="G112">
        <f>SUMIFS('Crosswalk AEO to EPS Summary'!G:G,'Crosswalk AEO to EPS Summary'!$B:$B,$B112)*Percent_rural*quadrillion</f>
        <v>7076146483931.0293</v>
      </c>
      <c r="H112">
        <f>SUMIFS('Crosswalk AEO to EPS Summary'!H:H,'Crosswalk AEO to EPS Summary'!$B:$B,$B112)*Percent_rural*quadrillion</f>
        <v>6705773388488.627</v>
      </c>
      <c r="I112">
        <f>SUMIFS('Crosswalk AEO to EPS Summary'!I:I,'Crosswalk AEO to EPS Summary'!$B:$B,$B112)*Percent_rural*quadrillion</f>
        <v>6311209345098.3564</v>
      </c>
      <c r="J112">
        <f>SUMIFS('Crosswalk AEO to EPS Summary'!J:J,'Crosswalk AEO to EPS Summary'!$B:$B,$B112)*Percent_rural*quadrillion</f>
        <v>5936580123208.9375</v>
      </c>
      <c r="K112">
        <f>SUMIFS('Crosswalk AEO to EPS Summary'!K:K,'Crosswalk AEO to EPS Summary'!$B:$B,$B112)*Percent_rural*quadrillion</f>
        <v>5574266564883.0244</v>
      </c>
      <c r="L112">
        <f>SUMIFS('Crosswalk AEO to EPS Summary'!L:L,'Crosswalk AEO to EPS Summary'!$B:$B,$B112)*Percent_rural*quadrillion</f>
        <v>5267831442078.8477</v>
      </c>
      <c r="M112">
        <f>SUMIFS('Crosswalk AEO to EPS Summary'!M:M,'Crosswalk AEO to EPS Summary'!$B:$B,$B112)*Percent_rural*quadrillion</f>
        <v>5003998331903.1807</v>
      </c>
      <c r="N112">
        <f>SUMIFS('Crosswalk AEO to EPS Summary'!N:N,'Crosswalk AEO to EPS Summary'!$B:$B,$B112)*Percent_rural*quadrillion</f>
        <v>4789464138104.1035</v>
      </c>
      <c r="O112">
        <f>SUMIFS('Crosswalk AEO to EPS Summary'!O:O,'Crosswalk AEO to EPS Summary'!$B:$B,$B112)*Percent_rural*quadrillion</f>
        <v>4619211229660.8105</v>
      </c>
      <c r="P112">
        <f>SUMIFS('Crosswalk AEO to EPS Summary'!P:P,'Crosswalk AEO to EPS Summary'!$B:$B,$B112)*Percent_rural*quadrillion</f>
        <v>4499980623006.5566</v>
      </c>
      <c r="Q112">
        <f>SUMIFS('Crosswalk AEO to EPS Summary'!Q:Q,'Crosswalk AEO to EPS Summary'!$B:$B,$B112)*Percent_rural*quadrillion</f>
        <v>4425526260989.2324</v>
      </c>
      <c r="R112">
        <f>SUMIFS('Crosswalk AEO to EPS Summary'!R:R,'Crosswalk AEO to EPS Summary'!$B:$B,$B112)*Percent_rural*quadrillion</f>
        <v>4342854229094.1475</v>
      </c>
      <c r="S112">
        <f>SUMIFS('Crosswalk AEO to EPS Summary'!S:S,'Crosswalk AEO to EPS Summary'!$B:$B,$B112)*Percent_rural*quadrillion</f>
        <v>4257601605116.166</v>
      </c>
      <c r="T112">
        <f>SUMIFS('Crosswalk AEO to EPS Summary'!T:T,'Crosswalk AEO to EPS Summary'!$B:$B,$B112)*Percent_rural*quadrillion</f>
        <v>4169997924552.7397</v>
      </c>
      <c r="U112">
        <f>SUMIFS('Crosswalk AEO to EPS Summary'!U:U,'Crosswalk AEO to EPS Summary'!$B:$B,$B112)*Percent_rural*quadrillion</f>
        <v>4081160210313.2837</v>
      </c>
      <c r="V112">
        <f>SUMIFS('Crosswalk AEO to EPS Summary'!V:V,'Crosswalk AEO to EPS Summary'!$B:$B,$B112)*Percent_rural*quadrillion</f>
        <v>3991453700477.6167</v>
      </c>
      <c r="W112">
        <f>SUMIFS('Crosswalk AEO to EPS Summary'!W:W,'Crosswalk AEO to EPS Summary'!$B:$B,$B112)*Percent_rural*quadrillion</f>
        <v>3899525481421.5166</v>
      </c>
      <c r="X112">
        <f>SUMIFS('Crosswalk AEO to EPS Summary'!X:X,'Crosswalk AEO to EPS Summary'!$B:$B,$B112)*Percent_rural*quadrillion</f>
        <v>3806984918481.3408</v>
      </c>
      <c r="Y112">
        <f>SUMIFS('Crosswalk AEO to EPS Summary'!Y:Y,'Crosswalk AEO to EPS Summary'!$B:$B,$B112)*Percent_rural*quadrillion</f>
        <v>3713972574111.5518</v>
      </c>
      <c r="Z112">
        <f>SUMIFS('Crosswalk AEO to EPS Summary'!Z:Z,'Crosswalk AEO to EPS Summary'!$B:$B,$B112)*Percent_rural*quadrillion</f>
        <v>3620900415931.3521</v>
      </c>
      <c r="AA112">
        <f>SUMIFS('Crosswalk AEO to EPS Summary'!AA:AA,'Crosswalk AEO to EPS Summary'!$B:$B,$B112)*Percent_rural*quadrillion</f>
        <v>3527066005504.7358</v>
      </c>
      <c r="AB112">
        <f>SUMIFS('Crosswalk AEO to EPS Summary'!AB:AB,'Crosswalk AEO to EPS Summary'!$B:$B,$B112)*Percent_rural*quadrillion</f>
        <v>3434083941876.4673</v>
      </c>
      <c r="AC112">
        <f>SUMIFS('Crosswalk AEO to EPS Summary'!AC:AC,'Crosswalk AEO to EPS Summary'!$B:$B,$B112)*Percent_rural*quadrillion</f>
        <v>3342251424917.0244</v>
      </c>
      <c r="AD112">
        <f>SUMIFS('Crosswalk AEO to EPS Summary'!AD:AD,'Crosswalk AEO to EPS Summary'!$B:$B,$B112)*Percent_rural*quadrillion</f>
        <v>3252640243341.6987</v>
      </c>
      <c r="AE112">
        <f>SUMIFS('Crosswalk AEO to EPS Summary'!AE:AE,'Crosswalk AEO to EPS Summary'!$B:$B,$B112)*Percent_rural*quadrillion</f>
        <v>3166396579292.479</v>
      </c>
      <c r="AF112">
        <f>SUMIFS('Crosswalk AEO to EPS Summary'!AF:AF,'Crosswalk AEO to EPS Summary'!$B:$B,$B112)*Percent_rural*quadrillion</f>
        <v>3085818030761.7583</v>
      </c>
    </row>
    <row r="113" spans="2:32" x14ac:dyDescent="0.25">
      <c r="B113" s="53" t="str">
        <f t="shared" si="8"/>
        <v>residential-appliances-heat (BTU)</v>
      </c>
      <c r="C113" t="s">
        <v>1046</v>
      </c>
      <c r="D113" t="s">
        <v>1050</v>
      </c>
      <c r="E113" t="s">
        <v>1064</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25">
      <c r="B114" s="53" t="str">
        <f t="shared" si="8"/>
        <v>residential-appliances-biomass (BTU)</v>
      </c>
      <c r="C114" t="s">
        <v>1046</v>
      </c>
      <c r="D114" t="s">
        <v>1050</v>
      </c>
      <c r="E114" t="s">
        <v>1058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25">
      <c r="B115" s="53" t="str">
        <f t="shared" si="8"/>
        <v>residential-appliances-kerosene (BTU)</v>
      </c>
      <c r="C115" t="s">
        <v>1046</v>
      </c>
      <c r="D115" t="s">
        <v>1050</v>
      </c>
      <c r="E115" t="s">
        <v>1065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25">
      <c r="B116" s="53" t="str">
        <f t="shared" si="8"/>
        <v>residential-appliances-heavy or residual fuel oil (BTU)</v>
      </c>
      <c r="C116" t="s">
        <v>1046</v>
      </c>
      <c r="D116" t="s">
        <v>1050</v>
      </c>
      <c r="E116" t="s">
        <v>1066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25">
      <c r="B117" s="53" t="str">
        <f t="shared" si="8"/>
        <v>residential-appliances-LPG propane or butane (BTU)</v>
      </c>
      <c r="C117" t="s">
        <v>1046</v>
      </c>
      <c r="D117" t="s">
        <v>1050</v>
      </c>
      <c r="E117" t="s">
        <v>1057</v>
      </c>
      <c r="F117">
        <f>SUMIFS('Crosswalk AEO to EPS Summary'!F:F,'Crosswalk AEO to EPS Summary'!$B:$B,$B117)*Percent_rural*quadrillion</f>
        <v>12533983971504.898</v>
      </c>
      <c r="G117">
        <f>SUMIFS('Crosswalk AEO to EPS Summary'!G:G,'Crosswalk AEO to EPS Summary'!$B:$B,$B117)*Percent_rural*quadrillion</f>
        <v>12886457223427.508</v>
      </c>
      <c r="H117">
        <f>SUMIFS('Crosswalk AEO to EPS Summary'!H:H,'Crosswalk AEO to EPS Summary'!$B:$B,$B117)*Percent_rural*quadrillion</f>
        <v>12977333467093.014</v>
      </c>
      <c r="I117">
        <f>SUMIFS('Crosswalk AEO to EPS Summary'!I:I,'Crosswalk AEO to EPS Summary'!$B:$B,$B117)*Percent_rural*quadrillion</f>
        <v>13110624057556.869</v>
      </c>
      <c r="J117">
        <f>SUMIFS('Crosswalk AEO to EPS Summary'!J:J,'Crosswalk AEO to EPS Summary'!$B:$B,$B117)*Percent_rural*quadrillion</f>
        <v>13217154883833.889</v>
      </c>
      <c r="K117">
        <f>SUMIFS('Crosswalk AEO to EPS Summary'!K:K,'Crosswalk AEO to EPS Summary'!$B:$B,$B117)*Percent_rural*quadrillion</f>
        <v>13063898443455.033</v>
      </c>
      <c r="L117">
        <f>SUMIFS('Crosswalk AEO to EPS Summary'!L:L,'Crosswalk AEO to EPS Summary'!$B:$B,$B117)*Percent_rural*quadrillion</f>
        <v>12870393850805.475</v>
      </c>
      <c r="M117">
        <f>SUMIFS('Crosswalk AEO to EPS Summary'!M:M,'Crosswalk AEO to EPS Summary'!$B:$B,$B117)*Percent_rural*quadrillion</f>
        <v>12666648573059.176</v>
      </c>
      <c r="N117">
        <f>SUMIFS('Crosswalk AEO to EPS Summary'!N:N,'Crosswalk AEO to EPS Summary'!$B:$B,$B117)*Percent_rural*quadrillion</f>
        <v>12475697469359.67</v>
      </c>
      <c r="O117">
        <f>SUMIFS('Crosswalk AEO to EPS Summary'!O:O,'Crosswalk AEO to EPS Summary'!$B:$B,$B117)*Percent_rural*quadrillion</f>
        <v>12301426942038.369</v>
      </c>
      <c r="P117">
        <f>SUMIFS('Crosswalk AEO to EPS Summary'!P:P,'Crosswalk AEO to EPS Summary'!$B:$B,$B117)*Percent_rural*quadrillion</f>
        <v>12163793121266.088</v>
      </c>
      <c r="Q117">
        <f>SUMIFS('Crosswalk AEO to EPS Summary'!Q:Q,'Crosswalk AEO to EPS Summary'!$B:$B,$B117)*Percent_rural*quadrillion</f>
        <v>12061836369222.051</v>
      </c>
      <c r="R117">
        <f>SUMIFS('Crosswalk AEO to EPS Summary'!R:R,'Crosswalk AEO to EPS Summary'!$B:$B,$B117)*Percent_rural*quadrillion</f>
        <v>11942488004128.551</v>
      </c>
      <c r="S117">
        <f>SUMIFS('Crosswalk AEO to EPS Summary'!S:S,'Crosswalk AEO to EPS Summary'!$B:$B,$B117)*Percent_rural*quadrillion</f>
        <v>11807921697239.537</v>
      </c>
      <c r="T117">
        <f>SUMIFS('Crosswalk AEO to EPS Summary'!T:T,'Crosswalk AEO to EPS Summary'!$B:$B,$B117)*Percent_rural*quadrillion</f>
        <v>11662845730025.096</v>
      </c>
      <c r="U117">
        <f>SUMIFS('Crosswalk AEO to EPS Summary'!U:U,'Crosswalk AEO to EPS Summary'!$B:$B,$B117)*Percent_rural*quadrillion</f>
        <v>11507740482150.084</v>
      </c>
      <c r="V117">
        <f>SUMIFS('Crosswalk AEO to EPS Summary'!V:V,'Crosswalk AEO to EPS Summary'!$B:$B,$B117)*Percent_rural*quadrillion</f>
        <v>11349730152270.703</v>
      </c>
      <c r="W117">
        <f>SUMIFS('Crosswalk AEO to EPS Summary'!W:W,'Crosswalk AEO to EPS Summary'!$B:$B,$B117)*Percent_rural*quadrillion</f>
        <v>11192114967376.346</v>
      </c>
      <c r="X117">
        <f>SUMIFS('Crosswalk AEO to EPS Summary'!X:X,'Crosswalk AEO to EPS Summary'!$B:$B,$B117)*Percent_rural*quadrillion</f>
        <v>11040611258560.674</v>
      </c>
      <c r="Y117">
        <f>SUMIFS('Crosswalk AEO to EPS Summary'!Y:Y,'Crosswalk AEO to EPS Summary'!$B:$B,$B117)*Percent_rural*quadrillion</f>
        <v>10892560488869.1</v>
      </c>
      <c r="Z117">
        <f>SUMIFS('Crosswalk AEO to EPS Summary'!Z:Z,'Crosswalk AEO to EPS Summary'!$B:$B,$B117)*Percent_rural*quadrillion</f>
        <v>10747687701691.896</v>
      </c>
      <c r="AA117">
        <f>SUMIFS('Crosswalk AEO to EPS Summary'!AA:AA,'Crosswalk AEO to EPS Summary'!$B:$B,$B117)*Percent_rural*quadrillion</f>
        <v>10601686863433.982</v>
      </c>
      <c r="AB117">
        <f>SUMIFS('Crosswalk AEO to EPS Summary'!AB:AB,'Crosswalk AEO to EPS Summary'!$B:$B,$B117)*Percent_rural*quadrillion</f>
        <v>10451364664292.076</v>
      </c>
      <c r="AC117">
        <f>SUMIFS('Crosswalk AEO to EPS Summary'!AC:AC,'Crosswalk AEO to EPS Summary'!$B:$B,$B117)*Percent_rural*quadrillion</f>
        <v>10297933642354.084</v>
      </c>
      <c r="AD117">
        <f>SUMIFS('Crosswalk AEO to EPS Summary'!AD:AD,'Crosswalk AEO to EPS Summary'!$B:$B,$B117)*Percent_rural*quadrillion</f>
        <v>10145396276127.256</v>
      </c>
      <c r="AE117">
        <f>SUMIFS('Crosswalk AEO to EPS Summary'!AE:AE,'Crosswalk AEO to EPS Summary'!$B:$B,$B117)*Percent_rural*quadrillion</f>
        <v>9998945152027.8477</v>
      </c>
      <c r="AF117">
        <f>SUMIFS('Crosswalk AEO to EPS Summary'!AF:AF,'Crosswalk AEO to EPS Summary'!$B:$B,$B117)*Percent_rural*quadrillion</f>
        <v>9862441251517.8496</v>
      </c>
    </row>
    <row r="118" spans="2:32" x14ac:dyDescent="0.25">
      <c r="B118" s="53" t="str">
        <f t="shared" si="8"/>
        <v>residential-appliances-hydrogen (BTU)</v>
      </c>
      <c r="C118" t="s">
        <v>1046</v>
      </c>
      <c r="D118" t="s">
        <v>1050</v>
      </c>
      <c r="E118" t="s">
        <v>1067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25">
      <c r="B120" s="1" t="s">
        <v>1076</v>
      </c>
    </row>
    <row r="121" spans="2:32" x14ac:dyDescent="0.25">
      <c r="E121" t="s">
        <v>1026</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25">
      <c r="B122" s="53" t="str">
        <f t="shared" ref="B122:B131" si="9">C122&amp;"-"&amp;D122&amp;"-"&amp;E122</f>
        <v>residential-other-electricity (BTU)</v>
      </c>
      <c r="C122" t="s">
        <v>1046</v>
      </c>
      <c r="D122" t="s">
        <v>1052</v>
      </c>
      <c r="E122" t="s">
        <v>1048</v>
      </c>
      <c r="F122">
        <f>SUMIFS('Crosswalk AEO to EPS Summary'!F:F,'Crosswalk AEO to EPS Summary'!$B:$B,$B122)*Percent_rural*quadrillion</f>
        <v>407919906500445.19</v>
      </c>
      <c r="G122">
        <f>SUMIFS('Crosswalk AEO to EPS Summary'!G:G,'Crosswalk AEO to EPS Summary'!$B:$B,$B122)*Percent_rural*quadrillion</f>
        <v>421281148367522</v>
      </c>
      <c r="H122">
        <f>SUMIFS('Crosswalk AEO to EPS Summary'!H:H,'Crosswalk AEO to EPS Summary'!$B:$B,$B122)*Percent_rural*quadrillion</f>
        <v>423796033484335.75</v>
      </c>
      <c r="I122">
        <f>SUMIFS('Crosswalk AEO to EPS Summary'!I:I,'Crosswalk AEO to EPS Summary'!$B:$B,$B122)*Percent_rural*quadrillion</f>
        <v>404768355708896.63</v>
      </c>
      <c r="J122">
        <f>SUMIFS('Crosswalk AEO to EPS Summary'!J:J,'Crosswalk AEO to EPS Summary'!$B:$B,$B122)*Percent_rural*quadrillion</f>
        <v>411069018383874.31</v>
      </c>
      <c r="K122">
        <f>SUMIFS('Crosswalk AEO to EPS Summary'!K:K,'Crosswalk AEO to EPS Summary'!$B:$B,$B122)*Percent_rural*quadrillion</f>
        <v>416776012541730.81</v>
      </c>
      <c r="L122">
        <f>SUMIFS('Crosswalk AEO to EPS Summary'!L:L,'Crosswalk AEO to EPS Summary'!$B:$B,$B122)*Percent_rural*quadrillion</f>
        <v>421484087654173.06</v>
      </c>
      <c r="M122">
        <f>SUMIFS('Crosswalk AEO to EPS Summary'!M:M,'Crosswalk AEO to EPS Summary'!$B:$B,$B122)*Percent_rural*quadrillion</f>
        <v>425773433196146.63</v>
      </c>
      <c r="N122">
        <f>SUMIFS('Crosswalk AEO to EPS Summary'!N:N,'Crosswalk AEO to EPS Summary'!$B:$B,$B122)*Percent_rural*quadrillion</f>
        <v>430241834370274.44</v>
      </c>
      <c r="O122">
        <f>SUMIFS('Crosswalk AEO to EPS Summary'!O:O,'Crosswalk AEO to EPS Summary'!$B:$B,$B122)*Percent_rural*quadrillion</f>
        <v>434957620978223.94</v>
      </c>
      <c r="P122">
        <f>SUMIFS('Crosswalk AEO to EPS Summary'!P:P,'Crosswalk AEO to EPS Summary'!$B:$B,$B122)*Percent_rural*quadrillion</f>
        <v>440320232636606.44</v>
      </c>
      <c r="Q122">
        <f>SUMIFS('Crosswalk AEO to EPS Summary'!Q:Q,'Crosswalk AEO to EPS Summary'!$B:$B,$B122)*Percent_rural*quadrillion</f>
        <v>445990574386788.63</v>
      </c>
      <c r="R122">
        <f>SUMIFS('Crosswalk AEO to EPS Summary'!R:R,'Crosswalk AEO to EPS Summary'!$B:$B,$B122)*Percent_rural*quadrillion</f>
        <v>451771289065975.88</v>
      </c>
      <c r="S122">
        <f>SUMIFS('Crosswalk AEO to EPS Summary'!S:S,'Crosswalk AEO to EPS Summary'!$B:$B,$B122)*Percent_rural*quadrillion</f>
        <v>457772580629158.94</v>
      </c>
      <c r="T122">
        <f>SUMIFS('Crosswalk AEO to EPS Summary'!T:T,'Crosswalk AEO to EPS Summary'!$B:$B,$B122)*Percent_rural*quadrillion</f>
        <v>463970644675139.69</v>
      </c>
      <c r="U122">
        <f>SUMIFS('Crosswalk AEO to EPS Summary'!U:U,'Crosswalk AEO to EPS Summary'!$B:$B,$B122)*Percent_rural*quadrillion</f>
        <v>470147838187322.94</v>
      </c>
      <c r="V122">
        <f>SUMIFS('Crosswalk AEO to EPS Summary'!V:V,'Crosswalk AEO to EPS Summary'!$B:$B,$B122)*Percent_rural*quadrillion</f>
        <v>475596451637658.81</v>
      </c>
      <c r="W122">
        <f>SUMIFS('Crosswalk AEO to EPS Summary'!W:W,'Crosswalk AEO to EPS Summary'!$B:$B,$B122)*Percent_rural*quadrillion</f>
        <v>481546615851048.31</v>
      </c>
      <c r="X122">
        <f>SUMIFS('Crosswalk AEO to EPS Summary'!X:X,'Crosswalk AEO to EPS Summary'!$B:$B,$B122)*Percent_rural*quadrillion</f>
        <v>487857508182951.44</v>
      </c>
      <c r="Y122">
        <f>SUMIFS('Crosswalk AEO to EPS Summary'!Y:Y,'Crosswalk AEO to EPS Summary'!$B:$B,$B122)*Percent_rural*quadrillion</f>
        <v>494613556574435.38</v>
      </c>
      <c r="Z122">
        <f>SUMIFS('Crosswalk AEO to EPS Summary'!Z:Z,'Crosswalk AEO to EPS Summary'!$B:$B,$B122)*Percent_rural*quadrillion</f>
        <v>501610438544483.06</v>
      </c>
      <c r="AA122">
        <f>SUMIFS('Crosswalk AEO to EPS Summary'!AA:AA,'Crosswalk AEO to EPS Summary'!$B:$B,$B122)*Percent_rural*quadrillion</f>
        <v>507934052526187.94</v>
      </c>
      <c r="AB122">
        <f>SUMIFS('Crosswalk AEO to EPS Summary'!AB:AB,'Crosswalk AEO to EPS Summary'!$B:$B,$B122)*Percent_rural*quadrillion</f>
        <v>515008484596778.06</v>
      </c>
      <c r="AC122">
        <f>SUMIFS('Crosswalk AEO to EPS Summary'!AC:AC,'Crosswalk AEO to EPS Summary'!$B:$B,$B122)*Percent_rural*quadrillion</f>
        <v>521996467019509.31</v>
      </c>
      <c r="AD122">
        <f>SUMIFS('Crosswalk AEO to EPS Summary'!AD:AD,'Crosswalk AEO to EPS Summary'!$B:$B,$B122)*Percent_rural*quadrillion</f>
        <v>529049035647049.31</v>
      </c>
      <c r="AE122">
        <f>SUMIFS('Crosswalk AEO to EPS Summary'!AE:AE,'Crosswalk AEO to EPS Summary'!$B:$B,$B122)*Percent_rural*quadrillion</f>
        <v>536371484934833.69</v>
      </c>
      <c r="AF122">
        <f>SUMIFS('Crosswalk AEO to EPS Summary'!AF:AF,'Crosswalk AEO to EPS Summary'!$B:$B,$B122)*Percent_rural*quadrillion</f>
        <v>543869777853153.06</v>
      </c>
    </row>
    <row r="123" spans="2:32" x14ac:dyDescent="0.25">
      <c r="B123" s="53" t="str">
        <f t="shared" si="9"/>
        <v>residential-other-coal (BTU)</v>
      </c>
      <c r="C123" t="s">
        <v>1046</v>
      </c>
      <c r="D123" t="s">
        <v>1052</v>
      </c>
      <c r="E123" t="s">
        <v>1063</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25">
      <c r="B124" s="53" t="str">
        <f t="shared" si="9"/>
        <v>residential-other-natural gas (BTU)</v>
      </c>
      <c r="C124" t="s">
        <v>1046</v>
      </c>
      <c r="D124" t="s">
        <v>1052</v>
      </c>
      <c r="E124" t="s">
        <v>1055</v>
      </c>
      <c r="F124">
        <f>SUMIFS('Crosswalk AEO to EPS Summary'!F:F,'Crosswalk AEO to EPS Summary'!$B:$B,$B124)*Percent_rural*quadrillion</f>
        <v>113783437707439.48</v>
      </c>
      <c r="G124">
        <f>SUMIFS('Crosswalk AEO to EPS Summary'!G:G,'Crosswalk AEO to EPS Summary'!$B:$B,$B124)*Percent_rural*quadrillion</f>
        <v>113710838695053.84</v>
      </c>
      <c r="H124">
        <f>SUMIFS('Crosswalk AEO to EPS Summary'!H:H,'Crosswalk AEO to EPS Summary'!$B:$B,$B124)*Percent_rural*quadrillion</f>
        <v>114331466791872.41</v>
      </c>
      <c r="I124">
        <f>SUMIFS('Crosswalk AEO to EPS Summary'!I:I,'Crosswalk AEO to EPS Summary'!$B:$B,$B124)*Percent_rural*quadrillion</f>
        <v>114757711967619.2</v>
      </c>
      <c r="J124">
        <f>SUMIFS('Crosswalk AEO to EPS Summary'!J:J,'Crosswalk AEO to EPS Summary'!$B:$B,$B124)*Percent_rural*quadrillion</f>
        <v>114957214950862.14</v>
      </c>
      <c r="K124">
        <f>SUMIFS('Crosswalk AEO to EPS Summary'!K:K,'Crosswalk AEO to EPS Summary'!$B:$B,$B124)*Percent_rural*quadrillion</f>
        <v>114883715740629.8</v>
      </c>
      <c r="L124">
        <f>SUMIFS('Crosswalk AEO to EPS Summary'!L:L,'Crosswalk AEO to EPS Summary'!$B:$B,$B124)*Percent_rural*quadrillion</f>
        <v>114621025448069.31</v>
      </c>
      <c r="M124">
        <f>SUMIFS('Crosswalk AEO to EPS Summary'!M:M,'Crosswalk AEO to EPS Summary'!$B:$B,$B124)*Percent_rural*quadrillion</f>
        <v>114314455744191.69</v>
      </c>
      <c r="N124">
        <f>SUMIFS('Crosswalk AEO to EPS Summary'!N:N,'Crosswalk AEO to EPS Summary'!$B:$B,$B124)*Percent_rural*quadrillion</f>
        <v>114066754792520.03</v>
      </c>
      <c r="O124">
        <f>SUMIFS('Crosswalk AEO to EPS Summary'!O:O,'Crosswalk AEO to EPS Summary'!$B:$B,$B124)*Percent_rural*quadrillion</f>
        <v>113727084125961.3</v>
      </c>
      <c r="P124">
        <f>SUMIFS('Crosswalk AEO to EPS Summary'!P:P,'Crosswalk AEO to EPS Summary'!$B:$B,$B124)*Percent_rural*quadrillion</f>
        <v>113475854159475.42</v>
      </c>
      <c r="Q124">
        <f>SUMIFS('Crosswalk AEO to EPS Summary'!Q:Q,'Crosswalk AEO to EPS Summary'!$B:$B,$B124)*Percent_rural*quadrillion</f>
        <v>113253717630373.19</v>
      </c>
      <c r="R124">
        <f>SUMIFS('Crosswalk AEO to EPS Summary'!R:R,'Crosswalk AEO to EPS Summary'!$B:$B,$B124)*Percent_rural*quadrillion</f>
        <v>113102496354893.56</v>
      </c>
      <c r="S124">
        <f>SUMIFS('Crosswalk AEO to EPS Summary'!S:S,'Crosswalk AEO to EPS Summary'!$B:$B,$B124)*Percent_rural*quadrillion</f>
        <v>112923581285193.89</v>
      </c>
      <c r="T124">
        <f>SUMIFS('Crosswalk AEO to EPS Summary'!T:T,'Crosswalk AEO to EPS Summary'!$B:$B,$B124)*Percent_rural*quadrillion</f>
        <v>112771725983323.89</v>
      </c>
      <c r="U124">
        <f>SUMIFS('Crosswalk AEO to EPS Summary'!U:U,'Crosswalk AEO to EPS Summary'!$B:$B,$B124)*Percent_rural*quadrillion</f>
        <v>112628711162632.56</v>
      </c>
      <c r="V124">
        <f>SUMIFS('Crosswalk AEO to EPS Summary'!V:V,'Crosswalk AEO to EPS Summary'!$B:$B,$B124)*Percent_rural*quadrillion</f>
        <v>112507492494454.78</v>
      </c>
      <c r="W124">
        <f>SUMIFS('Crosswalk AEO to EPS Summary'!W:W,'Crosswalk AEO to EPS Summary'!$B:$B,$B124)*Percent_rural*quadrillion</f>
        <v>112405952569902.03</v>
      </c>
      <c r="X124">
        <f>SUMIFS('Crosswalk AEO to EPS Summary'!X:X,'Crosswalk AEO to EPS Summary'!$B:$B,$B124)*Percent_rural*quadrillion</f>
        <v>112376883058042.56</v>
      </c>
      <c r="Y124">
        <f>SUMIFS('Crosswalk AEO to EPS Summary'!Y:Y,'Crosswalk AEO to EPS Summary'!$B:$B,$B124)*Percent_rural*quadrillion</f>
        <v>112393140451712.14</v>
      </c>
      <c r="Z124">
        <f>SUMIFS('Crosswalk AEO to EPS Summary'!Z:Z,'Crosswalk AEO to EPS Summary'!$B:$B,$B124)*Percent_rural*quadrillion</f>
        <v>112446721663077.8</v>
      </c>
      <c r="AA124">
        <f>SUMIFS('Crosswalk AEO to EPS Summary'!AA:AA,'Crosswalk AEO to EPS Summary'!$B:$B,$B124)*Percent_rural*quadrillion</f>
        <v>112485744192989.55</v>
      </c>
      <c r="AB124">
        <f>SUMIFS('Crosswalk AEO to EPS Summary'!AB:AB,'Crosswalk AEO to EPS Summary'!$B:$B,$B124)*Percent_rural*quadrillion</f>
        <v>112460981275479.63</v>
      </c>
      <c r="AC124">
        <f>SUMIFS('Crosswalk AEO to EPS Summary'!AC:AC,'Crosswalk AEO to EPS Summary'!$B:$B,$B124)*Percent_rural*quadrillion</f>
        <v>112384611002347.61</v>
      </c>
      <c r="AD124">
        <f>SUMIFS('Crosswalk AEO to EPS Summary'!AD:AD,'Crosswalk AEO to EPS Summary'!$B:$B,$B124)*Percent_rural*quadrillion</f>
        <v>112292713064033.02</v>
      </c>
      <c r="AE124">
        <f>SUMIFS('Crosswalk AEO to EPS Summary'!AE:AE,'Crosswalk AEO to EPS Summary'!$B:$B,$B124)*Percent_rural*quadrillion</f>
        <v>112206042852748.33</v>
      </c>
      <c r="AF124">
        <f>SUMIFS('Crosswalk AEO to EPS Summary'!AF:AF,'Crosswalk AEO to EPS Summary'!$B:$B,$B124)*Percent_rural*quadrillion</f>
        <v>112135330966081.09</v>
      </c>
    </row>
    <row r="125" spans="2:32" x14ac:dyDescent="0.25">
      <c r="B125" s="53" t="str">
        <f t="shared" si="9"/>
        <v>residential-other-petroleum diesel (BTU)</v>
      </c>
      <c r="C125" t="s">
        <v>1046</v>
      </c>
      <c r="D125" t="s">
        <v>1052</v>
      </c>
      <c r="E125" t="s">
        <v>1056</v>
      </c>
      <c r="F125">
        <f>SUMIFS('Crosswalk AEO to EPS Summary'!F:F,'Crosswalk AEO to EPS Summary'!$B:$B,$B125)*Percent_rural*quadrillion</f>
        <v>4825292236703.6348</v>
      </c>
      <c r="G125">
        <f>SUMIFS('Crosswalk AEO to EPS Summary'!G:G,'Crosswalk AEO to EPS Summary'!$B:$B,$B125)*Percent_rural*quadrillion</f>
        <v>4870201193232.4131</v>
      </c>
      <c r="H125">
        <f>SUMIFS('Crosswalk AEO to EPS Summary'!H:H,'Crosswalk AEO to EPS Summary'!$B:$B,$B125)*Percent_rural*quadrillion</f>
        <v>4920369652877.8428</v>
      </c>
      <c r="I125">
        <f>SUMIFS('Crosswalk AEO to EPS Summary'!I:I,'Crosswalk AEO to EPS Summary'!$B:$B,$B125)*Percent_rural*quadrillion</f>
        <v>4928917046385.4932</v>
      </c>
      <c r="J125">
        <f>SUMIFS('Crosswalk AEO to EPS Summary'!J:J,'Crosswalk AEO to EPS Summary'!$B:$B,$B125)*Percent_rural*quadrillion</f>
        <v>4917792425321.7842</v>
      </c>
      <c r="K125">
        <f>SUMIFS('Crosswalk AEO to EPS Summary'!K:K,'Crosswalk AEO to EPS Summary'!$B:$B,$B125)*Percent_rural*quadrillion</f>
        <v>4898352189265.7656</v>
      </c>
      <c r="L125">
        <f>SUMIFS('Crosswalk AEO to EPS Summary'!L:L,'Crosswalk AEO to EPS Summary'!$B:$B,$B125)*Percent_rural*quadrillion</f>
        <v>4887033173318.2227</v>
      </c>
      <c r="M125">
        <f>SUMIFS('Crosswalk AEO to EPS Summary'!M:M,'Crosswalk AEO to EPS Summary'!$B:$B,$B125)*Percent_rural*quadrillion</f>
        <v>4873193379098.1953</v>
      </c>
      <c r="N125">
        <f>SUMIFS('Crosswalk AEO to EPS Summary'!N:N,'Crosswalk AEO to EPS Summary'!$B:$B,$B125)*Percent_rural*quadrillion</f>
        <v>4861814175503.9268</v>
      </c>
      <c r="O125">
        <f>SUMIFS('Crosswalk AEO to EPS Summary'!O:O,'Crosswalk AEO to EPS Summary'!$B:$B,$B125)*Percent_rural*quadrillion</f>
        <v>4849171031328.4219</v>
      </c>
      <c r="P125">
        <f>SUMIFS('Crosswalk AEO to EPS Summary'!P:P,'Crosswalk AEO to EPS Summary'!$B:$B,$B125)*Percent_rural*quadrillion</f>
        <v>4841039343803.125</v>
      </c>
      <c r="Q125">
        <f>SUMIFS('Crosswalk AEO to EPS Summary'!Q:Q,'Crosswalk AEO to EPS Summary'!$B:$B,$B125)*Percent_rural*quadrillion</f>
        <v>4831608575082.9756</v>
      </c>
      <c r="R125">
        <f>SUMIFS('Crosswalk AEO to EPS Summary'!R:R,'Crosswalk AEO to EPS Summary'!$B:$B,$B125)*Percent_rural*quadrillion</f>
        <v>4823026040961.709</v>
      </c>
      <c r="S125">
        <f>SUMIFS('Crosswalk AEO to EPS Summary'!S:S,'Crosswalk AEO to EPS Summary'!$B:$B,$B125)*Percent_rural*quadrillion</f>
        <v>4815476790415.2832</v>
      </c>
      <c r="T125">
        <f>SUMIFS('Crosswalk AEO to EPS Summary'!T:T,'Crosswalk AEO to EPS Summary'!$B:$B,$B125)*Percent_rural*quadrillion</f>
        <v>4808250160608.7588</v>
      </c>
      <c r="U125">
        <f>SUMIFS('Crosswalk AEO to EPS Summary'!U:U,'Crosswalk AEO to EPS Summary'!$B:$B,$B125)*Percent_rural*quadrillion</f>
        <v>4801887840362.665</v>
      </c>
      <c r="V125">
        <f>SUMIFS('Crosswalk AEO to EPS Summary'!V:V,'Crosswalk AEO to EPS Summary'!$B:$B,$B125)*Percent_rural*quadrillion</f>
        <v>4795700849348.3359</v>
      </c>
      <c r="W125">
        <f>SUMIFS('Crosswalk AEO to EPS Summary'!W:W,'Crosswalk AEO to EPS Summary'!$B:$B,$B125)*Percent_rural*quadrillion</f>
        <v>4788522070590.1396</v>
      </c>
      <c r="X125">
        <f>SUMIFS('Crosswalk AEO to EPS Summary'!X:X,'Crosswalk AEO to EPS Summary'!$B:$B,$B125)*Percent_rural*quadrillion</f>
        <v>4781910027685.582</v>
      </c>
      <c r="Y125">
        <f>SUMIFS('Crosswalk AEO to EPS Summary'!Y:Y,'Crosswalk AEO to EPS Summary'!$B:$B,$B125)*Percent_rural*quadrillion</f>
        <v>4775545090585.2832</v>
      </c>
      <c r="Z125">
        <f>SUMIFS('Crosswalk AEO to EPS Summary'!Z:Z,'Crosswalk AEO to EPS Summary'!$B:$B,$B125)*Percent_rural*quadrillion</f>
        <v>4769451932486.0352</v>
      </c>
      <c r="AA125">
        <f>SUMIFS('Crosswalk AEO to EPS Summary'!AA:AA,'Crosswalk AEO to EPS Summary'!$B:$B,$B125)*Percent_rural*quadrillion</f>
        <v>4762090347769.7725</v>
      </c>
      <c r="AB125">
        <f>SUMIFS('Crosswalk AEO to EPS Summary'!AB:AB,'Crosswalk AEO to EPS Summary'!$B:$B,$B125)*Percent_rural*quadrillion</f>
        <v>4754789698372.8643</v>
      </c>
      <c r="AC125">
        <f>SUMIFS('Crosswalk AEO to EPS Summary'!AC:AC,'Crosswalk AEO to EPS Summary'!$B:$B,$B125)*Percent_rural*quadrillion</f>
        <v>4746915957904.9629</v>
      </c>
      <c r="AD125">
        <f>SUMIFS('Crosswalk AEO to EPS Summary'!AD:AD,'Crosswalk AEO to EPS Summary'!$B:$B,$B125)*Percent_rural*quadrillion</f>
        <v>4738644081761.5156</v>
      </c>
      <c r="AE125">
        <f>SUMIFS('Crosswalk AEO to EPS Summary'!AE:AE,'Crosswalk AEO to EPS Summary'!$B:$B,$B125)*Percent_rural*quadrillion</f>
        <v>4730151268355.8652</v>
      </c>
      <c r="AF125">
        <f>SUMIFS('Crosswalk AEO to EPS Summary'!AF:AF,'Crosswalk AEO to EPS Summary'!$B:$B,$B125)*Percent_rural*quadrillion</f>
        <v>4723564272484.417</v>
      </c>
    </row>
    <row r="126" spans="2:32" x14ac:dyDescent="0.25">
      <c r="B126" s="53" t="str">
        <f t="shared" si="9"/>
        <v>residential-other-heat (BTU)</v>
      </c>
      <c r="C126" t="s">
        <v>1046</v>
      </c>
      <c r="D126" t="s">
        <v>1052</v>
      </c>
      <c r="E126" t="s">
        <v>1064</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25">
      <c r="B127" s="53" t="str">
        <f t="shared" si="9"/>
        <v>residential-other-biomass (BTU)</v>
      </c>
      <c r="C127" t="s">
        <v>1046</v>
      </c>
      <c r="D127" t="s">
        <v>1052</v>
      </c>
      <c r="E127" t="s">
        <v>1058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25">
      <c r="B128" s="53" t="str">
        <f t="shared" si="9"/>
        <v>residential-other-kerosene (BTU)</v>
      </c>
      <c r="C128" t="s">
        <v>1046</v>
      </c>
      <c r="D128" t="s">
        <v>1052</v>
      </c>
      <c r="E128" t="s">
        <v>1065</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25">
      <c r="B129" s="53" t="str">
        <f t="shared" si="9"/>
        <v>residential-other-heavy or residual fuel oil (BTU)</v>
      </c>
      <c r="C129" t="s">
        <v>1046</v>
      </c>
      <c r="D129" t="s">
        <v>1052</v>
      </c>
      <c r="E129" t="s">
        <v>1066</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25">
      <c r="B130" s="53" t="str">
        <f t="shared" si="9"/>
        <v>residential-other-LPG propane or butane (BTU)</v>
      </c>
      <c r="C130" t="s">
        <v>1046</v>
      </c>
      <c r="D130" t="s">
        <v>1052</v>
      </c>
      <c r="E130" t="s">
        <v>1057</v>
      </c>
      <c r="F130">
        <f>SUMIFS('Crosswalk AEO to EPS Summary'!F:F,'Crosswalk AEO to EPS Summary'!$B:$B,$B130)*Percent_rural*quadrillion</f>
        <v>14071385817210.395</v>
      </c>
      <c r="G130">
        <f>SUMIFS('Crosswalk AEO to EPS Summary'!G:G,'Crosswalk AEO to EPS Summary'!$B:$B,$B130)*Percent_rural*quadrillion</f>
        <v>14586590577835.342</v>
      </c>
      <c r="H130">
        <f>SUMIFS('Crosswalk AEO to EPS Summary'!H:H,'Crosswalk AEO to EPS Summary'!$B:$B,$B130)*Percent_rural*quadrillion</f>
        <v>15171903105642.354</v>
      </c>
      <c r="I130">
        <f>SUMIFS('Crosswalk AEO to EPS Summary'!I:I,'Crosswalk AEO to EPS Summary'!$B:$B,$B130)*Percent_rural*quadrillion</f>
        <v>15737978016676.107</v>
      </c>
      <c r="J130">
        <f>SUMIFS('Crosswalk AEO to EPS Summary'!J:J,'Crosswalk AEO to EPS Summary'!$B:$B,$B130)*Percent_rural*quadrillion</f>
        <v>16246743820610.375</v>
      </c>
      <c r="K130">
        <f>SUMIFS('Crosswalk AEO to EPS Summary'!K:K,'Crosswalk AEO to EPS Summary'!$B:$B,$B130)*Percent_rural*quadrillion</f>
        <v>16695897685744.355</v>
      </c>
      <c r="L130">
        <f>SUMIFS('Crosswalk AEO to EPS Summary'!L:L,'Crosswalk AEO to EPS Summary'!$B:$B,$B130)*Percent_rural*quadrillion</f>
        <v>17103480952643.08</v>
      </c>
      <c r="M130">
        <f>SUMIFS('Crosswalk AEO to EPS Summary'!M:M,'Crosswalk AEO to EPS Summary'!$B:$B,$B130)*Percent_rural*quadrillion</f>
        <v>17476772962033.514</v>
      </c>
      <c r="N130">
        <f>SUMIFS('Crosswalk AEO to EPS Summary'!N:N,'Crosswalk AEO to EPS Summary'!$B:$B,$B130)*Percent_rural*quadrillion</f>
        <v>17845246968995.387</v>
      </c>
      <c r="O130">
        <f>SUMIFS('Crosswalk AEO to EPS Summary'!O:O,'Crosswalk AEO to EPS Summary'!$B:$B,$B130)*Percent_rural*quadrillion</f>
        <v>18207784455274.02</v>
      </c>
      <c r="P130">
        <f>SUMIFS('Crosswalk AEO to EPS Summary'!P:P,'Crosswalk AEO to EPS Summary'!$B:$B,$B130)*Percent_rural*quadrillion</f>
        <v>18591896782967.703</v>
      </c>
      <c r="Q130">
        <f>SUMIFS('Crosswalk AEO to EPS Summary'!Q:Q,'Crosswalk AEO to EPS Summary'!$B:$B,$B130)*Percent_rural*quadrillion</f>
        <v>18993489696753.824</v>
      </c>
      <c r="R130">
        <f>SUMIFS('Crosswalk AEO to EPS Summary'!R:R,'Crosswalk AEO to EPS Summary'!$B:$B,$B130)*Percent_rural*quadrillion</f>
        <v>19406154146846.918</v>
      </c>
      <c r="S130">
        <f>SUMIFS('Crosswalk AEO to EPS Summary'!S:S,'Crosswalk AEO to EPS Summary'!$B:$B,$B130)*Percent_rural*quadrillion</f>
        <v>19817860080628.184</v>
      </c>
      <c r="T130">
        <f>SUMIFS('Crosswalk AEO to EPS Summary'!T:T,'Crosswalk AEO to EPS Summary'!$B:$B,$B130)*Percent_rural*quadrillion</f>
        <v>20227480007771.391</v>
      </c>
      <c r="U130">
        <f>SUMIFS('Crosswalk AEO to EPS Summary'!U:U,'Crosswalk AEO to EPS Summary'!$B:$B,$B130)*Percent_rural*quadrillion</f>
        <v>20633384001942.848</v>
      </c>
      <c r="V130">
        <f>SUMIFS('Crosswalk AEO to EPS Summary'!V:V,'Crosswalk AEO to EPS Summary'!$B:$B,$B130)*Percent_rural*quadrillion</f>
        <v>21042331023718.934</v>
      </c>
      <c r="W130">
        <f>SUMIFS('Crosswalk AEO to EPS Summary'!W:W,'Crosswalk AEO to EPS Summary'!$B:$B,$B130)*Percent_rural*quadrillion</f>
        <v>21460804890148.145</v>
      </c>
      <c r="X130">
        <f>SUMIFS('Crosswalk AEO to EPS Summary'!X:X,'Crosswalk AEO to EPS Summary'!$B:$B,$B130)*Percent_rural*quadrillion</f>
        <v>21897747765886.828</v>
      </c>
      <c r="Y130">
        <f>SUMIFS('Crosswalk AEO to EPS Summary'!Y:Y,'Crosswalk AEO to EPS Summary'!$B:$B,$B130)*Percent_rural*quadrillion</f>
        <v>22354287141261.23</v>
      </c>
      <c r="Z130">
        <f>SUMIFS('Crosswalk AEO to EPS Summary'!Z:Z,'Crosswalk AEO to EPS Summary'!$B:$B,$B130)*Percent_rural*quadrillion</f>
        <v>22826648764834.453</v>
      </c>
      <c r="AA130">
        <f>SUMIFS('Crosswalk AEO to EPS Summary'!AA:AA,'Crosswalk AEO to EPS Summary'!$B:$B,$B130)*Percent_rural*quadrillion</f>
        <v>23303028381121.996</v>
      </c>
      <c r="AB130">
        <f>SUMIFS('Crosswalk AEO to EPS Summary'!AB:AB,'Crosswalk AEO to EPS Summary'!$B:$B,$B130)*Percent_rural*quadrillion</f>
        <v>23772638569416.336</v>
      </c>
      <c r="AC130">
        <f>SUMIFS('Crosswalk AEO to EPS Summary'!AC:AC,'Crosswalk AEO to EPS Summary'!$B:$B,$B130)*Percent_rural*quadrillion</f>
        <v>24233643045737.875</v>
      </c>
      <c r="AD130">
        <f>SUMIFS('Crosswalk AEO to EPS Summary'!AD:AD,'Crosswalk AEO to EPS Summary'!$B:$B,$B130)*Percent_rural*quadrillion</f>
        <v>24690780559216.383</v>
      </c>
      <c r="AE130">
        <f>SUMIFS('Crosswalk AEO to EPS Summary'!AE:AE,'Crosswalk AEO to EPS Summary'!$B:$B,$B130)*Percent_rural*quadrillion</f>
        <v>25150723340403.145</v>
      </c>
      <c r="AF130">
        <f>SUMIFS('Crosswalk AEO to EPS Summary'!AF:AF,'Crosswalk AEO to EPS Summary'!$B:$B,$B130)*Percent_rural*quadrillion</f>
        <v>25616933113575.648</v>
      </c>
    </row>
    <row r="131" spans="1:32" x14ac:dyDescent="0.25">
      <c r="B131" s="53" t="str">
        <f t="shared" si="9"/>
        <v>residential-other-hydrogen (BTU)</v>
      </c>
      <c r="C131" t="s">
        <v>1046</v>
      </c>
      <c r="D131" t="s">
        <v>1052</v>
      </c>
      <c r="E131" t="s">
        <v>1067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75" customHeight="1" x14ac:dyDescent="0.3">
      <c r="A132" s="14" t="s">
        <v>1077</v>
      </c>
    </row>
    <row r="133" spans="1:32" x14ac:dyDescent="0.25">
      <c r="B133" s="1" t="s">
        <v>1078</v>
      </c>
    </row>
    <row r="134" spans="1:32" x14ac:dyDescent="0.25">
      <c r="E134" t="s">
        <v>1026</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25">
      <c r="B135" s="53" t="str">
        <f t="shared" ref="B135:B144" si="10">C135&amp;"-"&amp;D135&amp;"-"&amp;E135</f>
        <v>commercial-heating-electricity (BTU)</v>
      </c>
      <c r="C135" t="s">
        <v>1060</v>
      </c>
      <c r="D135" t="s">
        <v>1047</v>
      </c>
      <c r="E135" t="s">
        <v>1048</v>
      </c>
      <c r="F135">
        <f>SUMIFS('Crosswalk AEO to EPS Summary'!F:F,'Crosswalk AEO to EPS Summary'!$B:$B,$B135)*quadrillion</f>
        <v>186541000000000</v>
      </c>
      <c r="G135">
        <f>SUMIFS('Crosswalk AEO to EPS Summary'!G:G,'Crosswalk AEO to EPS Summary'!$B:$B,$B135)*quadrillion</f>
        <v>200859755277633.69</v>
      </c>
      <c r="H135">
        <f>SUMIFS('Crosswalk AEO to EPS Summary'!H:H,'Crosswalk AEO to EPS Summary'!$B:$B,$B135)*quadrillion</f>
        <v>193991079926490.81</v>
      </c>
      <c r="I135">
        <f>SUMIFS('Crosswalk AEO to EPS Summary'!I:I,'Crosswalk AEO to EPS Summary'!$B:$B,$B135)*quadrillion</f>
        <v>192329570651054.41</v>
      </c>
      <c r="J135">
        <f>SUMIFS('Crosswalk AEO to EPS Summary'!J:J,'Crosswalk AEO to EPS Summary'!$B:$B,$B135)*quadrillion</f>
        <v>191237300634384.22</v>
      </c>
      <c r="K135">
        <f>SUMIFS('Crosswalk AEO to EPS Summary'!K:K,'Crosswalk AEO to EPS Summary'!$B:$B,$B135)*quadrillion</f>
        <v>189690202474594.09</v>
      </c>
      <c r="L135">
        <f>SUMIFS('Crosswalk AEO to EPS Summary'!L:L,'Crosswalk AEO to EPS Summary'!$B:$B,$B135)*quadrillion</f>
        <v>187901645898819</v>
      </c>
      <c r="M135">
        <f>SUMIFS('Crosswalk AEO to EPS Summary'!M:M,'Crosswalk AEO to EPS Summary'!$B:$B,$B135)*quadrillion</f>
        <v>186030998826026.88</v>
      </c>
      <c r="N135">
        <f>SUMIFS('Crosswalk AEO to EPS Summary'!N:N,'Crosswalk AEO to EPS Summary'!$B:$B,$B135)*quadrillion</f>
        <v>184106141328811.59</v>
      </c>
      <c r="O135">
        <f>SUMIFS('Crosswalk AEO to EPS Summary'!O:O,'Crosswalk AEO to EPS Summary'!$B:$B,$B135)*quadrillion</f>
        <v>182229861617088.28</v>
      </c>
      <c r="P135">
        <f>SUMIFS('Crosswalk AEO to EPS Summary'!P:P,'Crosswalk AEO to EPS Summary'!$B:$B,$B135)*quadrillion</f>
        <v>180242359638214.13</v>
      </c>
      <c r="Q135">
        <f>SUMIFS('Crosswalk AEO to EPS Summary'!Q:Q,'Crosswalk AEO to EPS Summary'!$B:$B,$B135)*quadrillion</f>
        <v>178200364112854</v>
      </c>
      <c r="R135">
        <f>SUMIFS('Crosswalk AEO to EPS Summary'!R:R,'Crosswalk AEO to EPS Summary'!$B:$B,$B135)*quadrillion</f>
        <v>176226869225502</v>
      </c>
      <c r="S135">
        <f>SUMIFS('Crosswalk AEO to EPS Summary'!S:S,'Crosswalk AEO to EPS Summary'!$B:$B,$B135)*quadrillion</f>
        <v>174100667238235.5</v>
      </c>
      <c r="T135">
        <f>SUMIFS('Crosswalk AEO to EPS Summary'!T:T,'Crosswalk AEO to EPS Summary'!$B:$B,$B135)*quadrillion</f>
        <v>171933218836784.38</v>
      </c>
      <c r="U135">
        <f>SUMIFS('Crosswalk AEO to EPS Summary'!U:U,'Crosswalk AEO to EPS Summary'!$B:$B,$B135)*quadrillion</f>
        <v>169662579894065.91</v>
      </c>
      <c r="V135">
        <f>SUMIFS('Crosswalk AEO to EPS Summary'!V:V,'Crosswalk AEO to EPS Summary'!$B:$B,$B135)*quadrillion</f>
        <v>167366415262222.28</v>
      </c>
      <c r="W135">
        <f>SUMIFS('Crosswalk AEO to EPS Summary'!W:W,'Crosswalk AEO to EPS Summary'!$B:$B,$B135)*quadrillion</f>
        <v>165099456906318.69</v>
      </c>
      <c r="X135">
        <f>SUMIFS('Crosswalk AEO to EPS Summary'!X:X,'Crosswalk AEO to EPS Summary'!$B:$B,$B135)*quadrillion</f>
        <v>162808462977409.38</v>
      </c>
      <c r="Y135">
        <f>SUMIFS('Crosswalk AEO to EPS Summary'!Y:Y,'Crosswalk AEO to EPS Summary'!$B:$B,$B135)*quadrillion</f>
        <v>160508528351783.81</v>
      </c>
      <c r="Z135">
        <f>SUMIFS('Crosswalk AEO to EPS Summary'!Z:Z,'Crosswalk AEO to EPS Summary'!$B:$B,$B135)*quadrillion</f>
        <v>158155798912048.31</v>
      </c>
      <c r="AA135">
        <f>SUMIFS('Crosswalk AEO to EPS Summary'!AA:AA,'Crosswalk AEO to EPS Summary'!$B:$B,$B135)*quadrillion</f>
        <v>155824303627014.19</v>
      </c>
      <c r="AB135">
        <f>SUMIFS('Crosswalk AEO to EPS Summary'!AB:AB,'Crosswalk AEO to EPS Summary'!$B:$B,$B135)*quadrillion</f>
        <v>153355374932289.09</v>
      </c>
      <c r="AC135">
        <f>SUMIFS('Crosswalk AEO to EPS Summary'!AC:AC,'Crosswalk AEO to EPS Summary'!$B:$B,$B135)*quadrillion</f>
        <v>150714531540870.69</v>
      </c>
      <c r="AD135">
        <f>SUMIFS('Crosswalk AEO to EPS Summary'!AD:AD,'Crosswalk AEO to EPS Summary'!$B:$B,$B135)*quadrillion</f>
        <v>148032486438751.19</v>
      </c>
      <c r="AE135">
        <f>SUMIFS('Crosswalk AEO to EPS Summary'!AE:AE,'Crosswalk AEO to EPS Summary'!$B:$B,$B135)*quadrillion</f>
        <v>145385324954986.59</v>
      </c>
      <c r="AF135">
        <f>SUMIFS('Crosswalk AEO to EPS Summary'!AF:AF,'Crosswalk AEO to EPS Summary'!$B:$B,$B135)*quadrillion</f>
        <v>142670795321464.5</v>
      </c>
    </row>
    <row r="136" spans="1:32" x14ac:dyDescent="0.25">
      <c r="B136" s="53" t="str">
        <f t="shared" si="10"/>
        <v>commercial-heating-coal (BTU)</v>
      </c>
      <c r="C136" t="s">
        <v>1060</v>
      </c>
      <c r="D136" t="s">
        <v>1047</v>
      </c>
      <c r="E136" t="s">
        <v>1063</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25">
      <c r="B137" s="53" t="str">
        <f t="shared" si="10"/>
        <v>commercial-heating-natural gas (BTU)</v>
      </c>
      <c r="C137" t="s">
        <v>1060</v>
      </c>
      <c r="D137" t="s">
        <v>1047</v>
      </c>
      <c r="E137" t="s">
        <v>1055</v>
      </c>
      <c r="F137">
        <f>SUMIFS('Crosswalk AEO to EPS Summary'!F:F,'Crosswalk AEO to EPS Summary'!$B:$B,$B137)*quadrillion</f>
        <v>1537413000000000</v>
      </c>
      <c r="G137">
        <f>SUMIFS('Crosswalk AEO to EPS Summary'!G:G,'Crosswalk AEO to EPS Summary'!$B:$B,$B137)*quadrillion</f>
        <v>1677395462989807</v>
      </c>
      <c r="H137">
        <f>SUMIFS('Crosswalk AEO to EPS Summary'!H:H,'Crosswalk AEO to EPS Summary'!$B:$B,$B137)*quadrillion</f>
        <v>1658977389335632</v>
      </c>
      <c r="I137">
        <f>SUMIFS('Crosswalk AEO to EPS Summary'!I:I,'Crosswalk AEO to EPS Summary'!$B:$B,$B137)*quadrillion</f>
        <v>1655333399772644</v>
      </c>
      <c r="J137">
        <f>SUMIFS('Crosswalk AEO to EPS Summary'!J:J,'Crosswalk AEO to EPS Summary'!$B:$B,$B137)*quadrillion</f>
        <v>1640212893486023</v>
      </c>
      <c r="K137">
        <f>SUMIFS('Crosswalk AEO to EPS Summary'!K:K,'Crosswalk AEO to EPS Summary'!$B:$B,$B137)*quadrillion</f>
        <v>1614622712135315</v>
      </c>
      <c r="L137">
        <f>SUMIFS('Crosswalk AEO to EPS Summary'!L:L,'Crosswalk AEO to EPS Summary'!$B:$B,$B137)*quadrillion</f>
        <v>1585396289825439</v>
      </c>
      <c r="M137">
        <f>SUMIFS('Crosswalk AEO to EPS Summary'!M:M,'Crosswalk AEO to EPS Summary'!$B:$B,$B137)*quadrillion</f>
        <v>1558152914047241</v>
      </c>
      <c r="N137">
        <f>SUMIFS('Crosswalk AEO to EPS Summary'!N:N,'Crosswalk AEO to EPS Summary'!$B:$B,$B137)*quadrillion</f>
        <v>1539679050445557</v>
      </c>
      <c r="O137">
        <f>SUMIFS('Crosswalk AEO to EPS Summary'!O:O,'Crosswalk AEO to EPS Summary'!$B:$B,$B137)*quadrillion</f>
        <v>1525580048561096</v>
      </c>
      <c r="P137">
        <f>SUMIFS('Crosswalk AEO to EPS Summary'!P:P,'Crosswalk AEO to EPS Summary'!$B:$B,$B137)*quadrillion</f>
        <v>1514997720718384</v>
      </c>
      <c r="Q137">
        <f>SUMIFS('Crosswalk AEO to EPS Summary'!Q:Q,'Crosswalk AEO to EPS Summary'!$B:$B,$B137)*quadrillion</f>
        <v>1504150867462158</v>
      </c>
      <c r="R137">
        <f>SUMIFS('Crosswalk AEO to EPS Summary'!R:R,'Crosswalk AEO to EPS Summary'!$B:$B,$B137)*quadrillion</f>
        <v>1494748830795288</v>
      </c>
      <c r="S137">
        <f>SUMIFS('Crosswalk AEO to EPS Summary'!S:S,'Crosswalk AEO to EPS Summary'!$B:$B,$B137)*quadrillion</f>
        <v>1484762549400330</v>
      </c>
      <c r="T137">
        <f>SUMIFS('Crosswalk AEO to EPS Summary'!T:T,'Crosswalk AEO to EPS Summary'!$B:$B,$B137)*quadrillion</f>
        <v>1474808692932129</v>
      </c>
      <c r="U137">
        <f>SUMIFS('Crosswalk AEO to EPS Summary'!U:U,'Crosswalk AEO to EPS Summary'!$B:$B,$B137)*quadrillion</f>
        <v>1464231848716736</v>
      </c>
      <c r="V137">
        <f>SUMIFS('Crosswalk AEO to EPS Summary'!V:V,'Crosswalk AEO to EPS Summary'!$B:$B,$B137)*quadrillion</f>
        <v>1453817009925842</v>
      </c>
      <c r="W137">
        <f>SUMIFS('Crosswalk AEO to EPS Summary'!W:W,'Crosswalk AEO to EPS Summary'!$B:$B,$B137)*quadrillion</f>
        <v>1443761348724365</v>
      </c>
      <c r="X137">
        <f>SUMIFS('Crosswalk AEO to EPS Summary'!X:X,'Crosswalk AEO to EPS Summary'!$B:$B,$B137)*quadrillion</f>
        <v>1435541152954102</v>
      </c>
      <c r="Y137">
        <f>SUMIFS('Crosswalk AEO to EPS Summary'!Y:Y,'Crosswalk AEO to EPS Summary'!$B:$B,$B137)*quadrillion</f>
        <v>1427791714668274</v>
      </c>
      <c r="Z137">
        <f>SUMIFS('Crosswalk AEO to EPS Summary'!Z:Z,'Crosswalk AEO to EPS Summary'!$B:$B,$B137)*quadrillion</f>
        <v>1420771956443787</v>
      </c>
      <c r="AA137">
        <f>SUMIFS('Crosswalk AEO to EPS Summary'!AA:AA,'Crosswalk AEO to EPS Summary'!$B:$B,$B137)*quadrillion</f>
        <v>1413245201110840</v>
      </c>
      <c r="AB137">
        <f>SUMIFS('Crosswalk AEO to EPS Summary'!AB:AB,'Crosswalk AEO to EPS Summary'!$B:$B,$B137)*quadrillion</f>
        <v>1403234720230103</v>
      </c>
      <c r="AC137">
        <f>SUMIFS('Crosswalk AEO to EPS Summary'!AC:AC,'Crosswalk AEO to EPS Summary'!$B:$B,$B137)*quadrillion</f>
        <v>1391638040542603</v>
      </c>
      <c r="AD137">
        <f>SUMIFS('Crosswalk AEO to EPS Summary'!AD:AD,'Crosswalk AEO to EPS Summary'!$B:$B,$B137)*quadrillion</f>
        <v>1379733562469482</v>
      </c>
      <c r="AE137">
        <f>SUMIFS('Crosswalk AEO to EPS Summary'!AE:AE,'Crosswalk AEO to EPS Summary'!$B:$B,$B137)*quadrillion</f>
        <v>1367848515510559</v>
      </c>
      <c r="AF137">
        <f>SUMIFS('Crosswalk AEO to EPS Summary'!AF:AF,'Crosswalk AEO to EPS Summary'!$B:$B,$B137)*quadrillion</f>
        <v>1356255054473877</v>
      </c>
    </row>
    <row r="138" spans="1:32" x14ac:dyDescent="0.25">
      <c r="B138" s="53" t="str">
        <f t="shared" si="10"/>
        <v>commercial-heating-petroleum diesel (BTU)</v>
      </c>
      <c r="C138" t="s">
        <v>1060</v>
      </c>
      <c r="D138" t="s">
        <v>1047</v>
      </c>
      <c r="E138" t="s">
        <v>1056</v>
      </c>
      <c r="F138">
        <f>SUMIFS('Crosswalk AEO to EPS Summary'!F:F,'Crosswalk AEO to EPS Summary'!$B:$B,$B138)*quadrillion</f>
        <v>69269000000000</v>
      </c>
      <c r="G138">
        <f>SUMIFS('Crosswalk AEO to EPS Summary'!G:G,'Crosswalk AEO to EPS Summary'!$B:$B,$B138)*quadrillion</f>
        <v>74527919292449.953</v>
      </c>
      <c r="H138">
        <f>SUMIFS('Crosswalk AEO to EPS Summary'!H:H,'Crosswalk AEO to EPS Summary'!$B:$B,$B138)*quadrillion</f>
        <v>72813585400581.359</v>
      </c>
      <c r="I138">
        <f>SUMIFS('Crosswalk AEO to EPS Summary'!I:I,'Crosswalk AEO to EPS Summary'!$B:$B,$B138)*quadrillion</f>
        <v>72147302329540.25</v>
      </c>
      <c r="J138">
        <f>SUMIFS('Crosswalk AEO to EPS Summary'!J:J,'Crosswalk AEO to EPS Summary'!$B:$B,$B138)*quadrillion</f>
        <v>71328140795230.859</v>
      </c>
      <c r="K138">
        <f>SUMIFS('Crosswalk AEO to EPS Summary'!K:K,'Crosswalk AEO to EPS Summary'!$B:$B,$B138)*quadrillion</f>
        <v>70239558815956.117</v>
      </c>
      <c r="L138">
        <f>SUMIFS('Crosswalk AEO to EPS Summary'!L:L,'Crosswalk AEO to EPS Summary'!$B:$B,$B138)*quadrillion</f>
        <v>69390051066875.461</v>
      </c>
      <c r="M138">
        <f>SUMIFS('Crosswalk AEO to EPS Summary'!M:M,'Crosswalk AEO to EPS Summary'!$B:$B,$B138)*quadrillion</f>
        <v>68551786243915.555</v>
      </c>
      <c r="N138">
        <f>SUMIFS('Crosswalk AEO to EPS Summary'!N:N,'Crosswalk AEO to EPS Summary'!$B:$B,$B138)*quadrillion</f>
        <v>67389041185379.031</v>
      </c>
      <c r="O138">
        <f>SUMIFS('Crosswalk AEO to EPS Summary'!O:O,'Crosswalk AEO to EPS Summary'!$B:$B,$B138)*quadrillion</f>
        <v>65911509096622.469</v>
      </c>
      <c r="P138">
        <f>SUMIFS('Crosswalk AEO to EPS Summary'!P:P,'Crosswalk AEO to EPS Summary'!$B:$B,$B138)*quadrillion</f>
        <v>64452938735485.078</v>
      </c>
      <c r="Q138">
        <f>SUMIFS('Crosswalk AEO to EPS Summary'!Q:Q,'Crosswalk AEO to EPS Summary'!$B:$B,$B138)*quadrillion</f>
        <v>63008643686771.391</v>
      </c>
      <c r="R138">
        <f>SUMIFS('Crosswalk AEO to EPS Summary'!R:R,'Crosswalk AEO to EPS Summary'!$B:$B,$B138)*quadrillion</f>
        <v>61669744551181.797</v>
      </c>
      <c r="S138">
        <f>SUMIFS('Crosswalk AEO to EPS Summary'!S:S,'Crosswalk AEO to EPS Summary'!$B:$B,$B138)*quadrillion</f>
        <v>60346193611621.859</v>
      </c>
      <c r="T138">
        <f>SUMIFS('Crosswalk AEO to EPS Summary'!T:T,'Crosswalk AEO to EPS Summary'!$B:$B,$B138)*quadrillion</f>
        <v>59038575738668.445</v>
      </c>
      <c r="U138">
        <f>SUMIFS('Crosswalk AEO to EPS Summary'!U:U,'Crosswalk AEO to EPS Summary'!$B:$B,$B138)*quadrillion</f>
        <v>57779919356107.711</v>
      </c>
      <c r="V138">
        <f>SUMIFS('Crosswalk AEO to EPS Summary'!V:V,'Crosswalk AEO to EPS Summary'!$B:$B,$B138)*quadrillion</f>
        <v>56541707366704.938</v>
      </c>
      <c r="W138">
        <f>SUMIFS('Crosswalk AEO to EPS Summary'!W:W,'Crosswalk AEO to EPS Summary'!$B:$B,$B138)*quadrillion</f>
        <v>55331457406282.422</v>
      </c>
      <c r="X138">
        <f>SUMIFS('Crosswalk AEO to EPS Summary'!X:X,'Crosswalk AEO to EPS Summary'!$B:$B,$B138)*quadrillion</f>
        <v>54154399782419.195</v>
      </c>
      <c r="Y138">
        <f>SUMIFS('Crosswalk AEO to EPS Summary'!Y:Y,'Crosswalk AEO to EPS Summary'!$B:$B,$B138)*quadrillion</f>
        <v>52974898368120.188</v>
      </c>
      <c r="Z138">
        <f>SUMIFS('Crosswalk AEO to EPS Summary'!Z:Z,'Crosswalk AEO to EPS Summary'!$B:$B,$B138)*quadrillion</f>
        <v>51813665777444.836</v>
      </c>
      <c r="AA138">
        <f>SUMIFS('Crosswalk AEO to EPS Summary'!AA:AA,'Crosswalk AEO to EPS Summary'!$B:$B,$B138)*quadrillion</f>
        <v>50656583160161.969</v>
      </c>
      <c r="AB138">
        <f>SUMIFS('Crosswalk AEO to EPS Summary'!AB:AB,'Crosswalk AEO to EPS Summary'!$B:$B,$B138)*quadrillion</f>
        <v>49515556544065.484</v>
      </c>
      <c r="AC138">
        <f>SUMIFS('Crosswalk AEO to EPS Summary'!AC:AC,'Crosswalk AEO to EPS Summary'!$B:$B,$B138)*quadrillion</f>
        <v>48376400023698.805</v>
      </c>
      <c r="AD138">
        <f>SUMIFS('Crosswalk AEO to EPS Summary'!AD:AD,'Crosswalk AEO to EPS Summary'!$B:$B,$B138)*quadrillion</f>
        <v>47275986522436.141</v>
      </c>
      <c r="AE138">
        <f>SUMIFS('Crosswalk AEO to EPS Summary'!AE:AE,'Crosswalk AEO to EPS Summary'!$B:$B,$B138)*quadrillion</f>
        <v>46178881078958.508</v>
      </c>
      <c r="AF138">
        <f>SUMIFS('Crosswalk AEO to EPS Summary'!AF:AF,'Crosswalk AEO to EPS Summary'!$B:$B,$B138)*quadrillion</f>
        <v>45136269181966.781</v>
      </c>
    </row>
    <row r="139" spans="1:32" x14ac:dyDescent="0.25">
      <c r="B139" s="53" t="str">
        <f t="shared" si="10"/>
        <v>commercial-heating-heat (BTU)</v>
      </c>
      <c r="C139" t="s">
        <v>1060</v>
      </c>
      <c r="D139" t="s">
        <v>1047</v>
      </c>
      <c r="E139" t="s">
        <v>1064</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25">
      <c r="B140" s="53" t="str">
        <f t="shared" si="10"/>
        <v>commercial-heating-biomass (BTU)</v>
      </c>
      <c r="C140" t="s">
        <v>1060</v>
      </c>
      <c r="D140" t="s">
        <v>1047</v>
      </c>
      <c r="E140" t="s">
        <v>1058</v>
      </c>
      <c r="F140">
        <f>SUMIFS('Crosswalk AEO to EPS Summary'!F:F,'Crosswalk AEO to EPS Summary'!$B:$B,$B140)*quadrillion</f>
        <v>158104000000000</v>
      </c>
      <c r="G140">
        <f>SUMIFS('Crosswalk AEO to EPS Summary'!G:G,'Crosswalk AEO to EPS Summary'!$B:$B,$B140)*quadrillion</f>
        <v>143681824207305.91</v>
      </c>
      <c r="H140">
        <f>SUMIFS('Crosswalk AEO to EPS Summary'!H:H,'Crosswalk AEO to EPS Summary'!$B:$B,$B140)*quadrillion</f>
        <v>143681824207305.91</v>
      </c>
      <c r="I140">
        <f>SUMIFS('Crosswalk AEO to EPS Summary'!I:I,'Crosswalk AEO to EPS Summary'!$B:$B,$B140)*quadrillion</f>
        <v>143681824207305.91</v>
      </c>
      <c r="J140">
        <f>SUMIFS('Crosswalk AEO to EPS Summary'!J:J,'Crosswalk AEO to EPS Summary'!$B:$B,$B140)*quadrillion</f>
        <v>143681824207305.91</v>
      </c>
      <c r="K140">
        <f>SUMIFS('Crosswalk AEO to EPS Summary'!K:K,'Crosswalk AEO to EPS Summary'!$B:$B,$B140)*quadrillion</f>
        <v>143681824207305.91</v>
      </c>
      <c r="L140">
        <f>SUMIFS('Crosswalk AEO to EPS Summary'!L:L,'Crosswalk AEO to EPS Summary'!$B:$B,$B140)*quadrillion</f>
        <v>143681824207305.91</v>
      </c>
      <c r="M140">
        <f>SUMIFS('Crosswalk AEO to EPS Summary'!M:M,'Crosswalk AEO to EPS Summary'!$B:$B,$B140)*quadrillion</f>
        <v>143681824207305.91</v>
      </c>
      <c r="N140">
        <f>SUMIFS('Crosswalk AEO to EPS Summary'!N:N,'Crosswalk AEO to EPS Summary'!$B:$B,$B140)*quadrillion</f>
        <v>143681824207305.91</v>
      </c>
      <c r="O140">
        <f>SUMIFS('Crosswalk AEO to EPS Summary'!O:O,'Crosswalk AEO to EPS Summary'!$B:$B,$B140)*quadrillion</f>
        <v>143681824207305.91</v>
      </c>
      <c r="P140">
        <f>SUMIFS('Crosswalk AEO to EPS Summary'!P:P,'Crosswalk AEO to EPS Summary'!$B:$B,$B140)*quadrillion</f>
        <v>143681824207305.91</v>
      </c>
      <c r="Q140">
        <f>SUMIFS('Crosswalk AEO to EPS Summary'!Q:Q,'Crosswalk AEO to EPS Summary'!$B:$B,$B140)*quadrillion</f>
        <v>143681824207305.91</v>
      </c>
      <c r="R140">
        <f>SUMIFS('Crosswalk AEO to EPS Summary'!R:R,'Crosswalk AEO to EPS Summary'!$B:$B,$B140)*quadrillion</f>
        <v>143681824207305.91</v>
      </c>
      <c r="S140">
        <f>SUMIFS('Crosswalk AEO to EPS Summary'!S:S,'Crosswalk AEO to EPS Summary'!$B:$B,$B140)*quadrillion</f>
        <v>143681824207305.91</v>
      </c>
      <c r="T140">
        <f>SUMIFS('Crosswalk AEO to EPS Summary'!T:T,'Crosswalk AEO to EPS Summary'!$B:$B,$B140)*quadrillion</f>
        <v>143681824207305.91</v>
      </c>
      <c r="U140">
        <f>SUMIFS('Crosswalk AEO to EPS Summary'!U:U,'Crosswalk AEO to EPS Summary'!$B:$B,$B140)*quadrillion</f>
        <v>143681824207305.91</v>
      </c>
      <c r="V140">
        <f>SUMIFS('Crosswalk AEO to EPS Summary'!V:V,'Crosswalk AEO to EPS Summary'!$B:$B,$B140)*quadrillion</f>
        <v>143681824207305.91</v>
      </c>
      <c r="W140">
        <f>SUMIFS('Crosswalk AEO to EPS Summary'!W:W,'Crosswalk AEO to EPS Summary'!$B:$B,$B140)*quadrillion</f>
        <v>143681824207305.91</v>
      </c>
      <c r="X140">
        <f>SUMIFS('Crosswalk AEO to EPS Summary'!X:X,'Crosswalk AEO to EPS Summary'!$B:$B,$B140)*quadrillion</f>
        <v>143681824207305.91</v>
      </c>
      <c r="Y140">
        <f>SUMIFS('Crosswalk AEO to EPS Summary'!Y:Y,'Crosswalk AEO to EPS Summary'!$B:$B,$B140)*quadrillion</f>
        <v>143681824207305.91</v>
      </c>
      <c r="Z140">
        <f>SUMIFS('Crosswalk AEO to EPS Summary'!Z:Z,'Crosswalk AEO to EPS Summary'!$B:$B,$B140)*quadrillion</f>
        <v>143681824207305.91</v>
      </c>
      <c r="AA140">
        <f>SUMIFS('Crosswalk AEO to EPS Summary'!AA:AA,'Crosswalk AEO to EPS Summary'!$B:$B,$B140)*quadrillion</f>
        <v>143681824207305.91</v>
      </c>
      <c r="AB140">
        <f>SUMIFS('Crosswalk AEO to EPS Summary'!AB:AB,'Crosswalk AEO to EPS Summary'!$B:$B,$B140)*quadrillion</f>
        <v>143681824207305.91</v>
      </c>
      <c r="AC140">
        <f>SUMIFS('Crosswalk AEO to EPS Summary'!AC:AC,'Crosswalk AEO to EPS Summary'!$B:$B,$B140)*quadrillion</f>
        <v>143681824207305.91</v>
      </c>
      <c r="AD140">
        <f>SUMIFS('Crosswalk AEO to EPS Summary'!AD:AD,'Crosswalk AEO to EPS Summary'!$B:$B,$B140)*quadrillion</f>
        <v>143681824207305.91</v>
      </c>
      <c r="AE140">
        <f>SUMIFS('Crosswalk AEO to EPS Summary'!AE:AE,'Crosswalk AEO to EPS Summary'!$B:$B,$B140)*quadrillion</f>
        <v>143681824207305.91</v>
      </c>
      <c r="AF140">
        <f>SUMIFS('Crosswalk AEO to EPS Summary'!AF:AF,'Crosswalk AEO to EPS Summary'!$B:$B,$B140)*quadrillion</f>
        <v>143681824207305.91</v>
      </c>
    </row>
    <row r="141" spans="1:32" x14ac:dyDescent="0.25">
      <c r="B141" s="53" t="str">
        <f t="shared" si="10"/>
        <v>commercial-heating-kerosene (BTU)</v>
      </c>
      <c r="C141" t="s">
        <v>1060</v>
      </c>
      <c r="D141" t="s">
        <v>1047</v>
      </c>
      <c r="E141" t="s">
        <v>1065</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25">
      <c r="B142" s="53" t="str">
        <f t="shared" si="10"/>
        <v>commercial-heating-heavy or residual fuel oil (BTU)</v>
      </c>
      <c r="C142" t="s">
        <v>1060</v>
      </c>
      <c r="D142" t="s">
        <v>1047</v>
      </c>
      <c r="E142" t="s">
        <v>1066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25">
      <c r="B143" s="53" t="str">
        <f t="shared" si="10"/>
        <v>commercial-other-LPG propane or butane (BTU)</v>
      </c>
      <c r="C143" t="s">
        <v>1060</v>
      </c>
      <c r="D143" t="s">
        <v>1052</v>
      </c>
      <c r="E143" t="s">
        <v>1057</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146997086819761.47</v>
      </c>
      <c r="H143" s="43">
        <f>SUMIFS('Crosswalk AEO to EPS Summary'!H:H,'Crosswalk AEO to EPS Summary'!$B:$B,$B143)*(1-Fraction_coal)*quadrillion*(H138/SUM(H$138,H$177,H$190))</f>
        <v>144867923373859.69</v>
      </c>
      <c r="I143" s="43">
        <f>SUMIFS('Crosswalk AEO to EPS Summary'!I:I,'Crosswalk AEO to EPS Summary'!$B:$B,$B143)*(1-Fraction_coal)*quadrillion*(I138/SUM(I$138,I$177,I$190))</f>
        <v>141762142802616.91</v>
      </c>
      <c r="J143" s="43">
        <f>SUMIFS('Crosswalk AEO to EPS Summary'!J:J,'Crosswalk AEO to EPS Summary'!$B:$B,$B143)*(1-Fraction_coal)*quadrillion*(J138/SUM(J$138,J$177,J$190))</f>
        <v>141198726583385.22</v>
      </c>
      <c r="K143" s="43">
        <f>SUMIFS('Crosswalk AEO to EPS Summary'!K:K,'Crosswalk AEO to EPS Summary'!$B:$B,$B143)*(1-Fraction_coal)*quadrillion*(K138/SUM(K$138,K$177,K$190))</f>
        <v>140346020906107.14</v>
      </c>
      <c r="L143" s="43">
        <f>SUMIFS('Crosswalk AEO to EPS Summary'!L:L,'Crosswalk AEO to EPS Summary'!$B:$B,$B143)*(1-Fraction_coal)*quadrillion*(L138/SUM(L$138,L$177,L$190))</f>
        <v>139622098311922.13</v>
      </c>
      <c r="M143" s="43">
        <f>SUMIFS('Crosswalk AEO to EPS Summary'!M:M,'Crosswalk AEO to EPS Summary'!$B:$B,$B143)*(1-Fraction_coal)*quadrillion*(M138/SUM(M$138,M$177,M$190))</f>
        <v>138865731090591</v>
      </c>
      <c r="N143" s="43">
        <f>SUMIFS('Crosswalk AEO to EPS Summary'!N:N,'Crosswalk AEO to EPS Summary'!$B:$B,$B143)*(1-Fraction_coal)*quadrillion*(N138/SUM(N$138,N$177,N$190))</f>
        <v>138262299923856.09</v>
      </c>
      <c r="O143" s="43">
        <f>SUMIFS('Crosswalk AEO to EPS Summary'!O:O,'Crosswalk AEO to EPS Summary'!$B:$B,$B143)*(1-Fraction_coal)*quadrillion*(O138/SUM(O$138,O$177,O$190))</f>
        <v>137839522936977.34</v>
      </c>
      <c r="P143" s="43">
        <f>SUMIFS('Crosswalk AEO to EPS Summary'!P:P,'Crosswalk AEO to EPS Summary'!$B:$B,$B143)*(1-Fraction_coal)*quadrillion*(P138/SUM(P$138,P$177,P$190))</f>
        <v>137478137465549.3</v>
      </c>
      <c r="Q143" s="43">
        <f>SUMIFS('Crosswalk AEO to EPS Summary'!Q:Q,'Crosswalk AEO to EPS Summary'!$B:$B,$B143)*(1-Fraction_coal)*quadrillion*(Q138/SUM(Q$138,Q$177,Q$190))</f>
        <v>137040018788780.84</v>
      </c>
      <c r="R143" s="43">
        <f>SUMIFS('Crosswalk AEO to EPS Summary'!R:R,'Crosswalk AEO to EPS Summary'!$B:$B,$B143)*(1-Fraction_coal)*quadrillion*(R138/SUM(R$138,R$177,R$190))</f>
        <v>136634338209039.36</v>
      </c>
      <c r="S143" s="43">
        <f>SUMIFS('Crosswalk AEO to EPS Summary'!S:S,'Crosswalk AEO to EPS Summary'!$B:$B,$B143)*(1-Fraction_coal)*quadrillion*(S138/SUM(S$138,S$177,S$190))</f>
        <v>136234010762634.97</v>
      </c>
      <c r="T143" s="43">
        <f>SUMIFS('Crosswalk AEO to EPS Summary'!T:T,'Crosswalk AEO to EPS Summary'!$B:$B,$B143)*(1-Fraction_coal)*quadrillion*(T138/SUM(T$138,T$177,T$190))</f>
        <v>135754447857532.19</v>
      </c>
      <c r="U143" s="43">
        <f>SUMIFS('Crosswalk AEO to EPS Summary'!U:U,'Crosswalk AEO to EPS Summary'!$B:$B,$B143)*(1-Fraction_coal)*quadrillion*(U138/SUM(U$138,U$177,U$190))</f>
        <v>135203160266349</v>
      </c>
      <c r="V143" s="43">
        <f>SUMIFS('Crosswalk AEO to EPS Summary'!V:V,'Crosswalk AEO to EPS Summary'!$B:$B,$B143)*(1-Fraction_coal)*quadrillion*(V138/SUM(V$138,V$177,V$190))</f>
        <v>134534997286708.03</v>
      </c>
      <c r="W143" s="43">
        <f>SUMIFS('Crosswalk AEO to EPS Summary'!W:W,'Crosswalk AEO to EPS Summary'!$B:$B,$B143)*(1-Fraction_coal)*quadrillion*(W138/SUM(W$138,W$177,W$190))</f>
        <v>133787591562806.27</v>
      </c>
      <c r="X143" s="43">
        <f>SUMIFS('Crosswalk AEO to EPS Summary'!X:X,'Crosswalk AEO to EPS Summary'!$B:$B,$B143)*(1-Fraction_coal)*quadrillion*(X138/SUM(X$138,X$177,X$190))</f>
        <v>132984022188156.81</v>
      </c>
      <c r="Y143" s="43">
        <f>SUMIFS('Crosswalk AEO to EPS Summary'!Y:Y,'Crosswalk AEO to EPS Summary'!$B:$B,$B143)*(1-Fraction_coal)*quadrillion*(Y138/SUM(Y$138,Y$177,Y$190))</f>
        <v>132083615944270.09</v>
      </c>
      <c r="Z143" s="43">
        <f>SUMIFS('Crosswalk AEO to EPS Summary'!Z:Z,'Crosswalk AEO to EPS Summary'!$B:$B,$B143)*(1-Fraction_coal)*quadrillion*(Z138/SUM(Z$138,Z$177,Z$190))</f>
        <v>131137609843806.25</v>
      </c>
      <c r="AA143" s="43">
        <f>SUMIFS('Crosswalk AEO to EPS Summary'!AA:AA,'Crosswalk AEO to EPS Summary'!$B:$B,$B143)*(1-Fraction_coal)*quadrillion*(AA138/SUM(AA$138,AA$177,AA$190))</f>
        <v>130151597166497.88</v>
      </c>
      <c r="AB143" s="43">
        <f>SUMIFS('Crosswalk AEO to EPS Summary'!AB:AB,'Crosswalk AEO to EPS Summary'!$B:$B,$B143)*(1-Fraction_coal)*quadrillion*(AB138/SUM(AB$138,AB$177,AB$190))</f>
        <v>129145279997376.05</v>
      </c>
      <c r="AC143" s="43">
        <f>SUMIFS('Crosswalk AEO to EPS Summary'!AC:AC,'Crosswalk AEO to EPS Summary'!$B:$B,$B143)*(1-Fraction_coal)*quadrillion*(AC138/SUM(AC$138,AC$177,AC$190))</f>
        <v>128101827010865.91</v>
      </c>
      <c r="AD143" s="43">
        <f>SUMIFS('Crosswalk AEO to EPS Summary'!AD:AD,'Crosswalk AEO to EPS Summary'!$B:$B,$B143)*(1-Fraction_coal)*quadrillion*(AD138/SUM(AD$138,AD$177,AD$190))</f>
        <v>127044607149881.05</v>
      </c>
      <c r="AE143" s="43">
        <f>SUMIFS('Crosswalk AEO to EPS Summary'!AE:AE,'Crosswalk AEO to EPS Summary'!$B:$B,$B143)*(1-Fraction_coal)*quadrillion*(AE138/SUM(AE$138,AE$177,AE$190))</f>
        <v>125971955784598.94</v>
      </c>
      <c r="AF143" s="43">
        <f>SUMIFS('Crosswalk AEO to EPS Summary'!AF:AF,'Crosswalk AEO to EPS Summary'!$B:$B,$B143)*(1-Fraction_coal)*quadrillion*(AF138/SUM(AF$138,AF$177,AF$190))</f>
        <v>124889157386952.03</v>
      </c>
    </row>
    <row r="144" spans="1:32" x14ac:dyDescent="0.25">
      <c r="B144" s="53" t="str">
        <f t="shared" si="10"/>
        <v>commercial-heating-hydrogen (BTU)</v>
      </c>
      <c r="C144" t="s">
        <v>1060</v>
      </c>
      <c r="D144" t="s">
        <v>1047</v>
      </c>
      <c r="E144" t="s">
        <v>1067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25">
      <c r="B146" s="1" t="s">
        <v>1079</v>
      </c>
    </row>
    <row r="147" spans="2:32" x14ac:dyDescent="0.25">
      <c r="E147" t="s">
        <v>1026</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25">
      <c r="B148" s="53" t="str">
        <f t="shared" ref="B148:B157" si="11">C148&amp;"-"&amp;D148&amp;"-"&amp;E148</f>
        <v>commercial-cooling-electricity (BTU)</v>
      </c>
      <c r="C148" t="s">
        <v>1060</v>
      </c>
      <c r="D148" t="s">
        <v>1049</v>
      </c>
      <c r="E148" s="58" t="s">
        <v>1048</v>
      </c>
      <c r="F148">
        <f>SUMIFS('Crosswalk AEO to EPS Summary'!F:F,'Crosswalk AEO to EPS Summary'!$B:$B,$B148)*quadrillion-'AEO Data Center Load'!B16</f>
        <v>972882000000000.25</v>
      </c>
      <c r="G148">
        <f>SUMIFS('Crosswalk AEO to EPS Summary'!G:G,'Crosswalk AEO to EPS Summary'!$B:$B,$B148)*quadrillion-'AEO Data Center Load'!C16</f>
        <v>974730098930358.88</v>
      </c>
      <c r="H148">
        <f>SUMIFS('Crosswalk AEO to EPS Summary'!H:H,'Crosswalk AEO to EPS Summary'!$B:$B,$B148)*quadrillion-'AEO Data Center Load'!D16</f>
        <v>994491229480743.25</v>
      </c>
      <c r="I148">
        <f>SUMIFS('Crosswalk AEO to EPS Summary'!I:I,'Crosswalk AEO to EPS Summary'!$B:$B,$B148)*quadrillion-'AEO Data Center Load'!E16</f>
        <v>995146370563507.25</v>
      </c>
      <c r="J148">
        <f>SUMIFS('Crosswalk AEO to EPS Summary'!J:J,'Crosswalk AEO to EPS Summary'!$B:$B,$B148)*quadrillion-'AEO Data Center Load'!F16</f>
        <v>997171856060028.25</v>
      </c>
      <c r="K148">
        <f>SUMIFS('Crosswalk AEO to EPS Summary'!K:K,'Crosswalk AEO to EPS Summary'!$B:$B,$B148)*quadrillion-'AEO Data Center Load'!G16</f>
        <v>997005215473175</v>
      </c>
      <c r="L148">
        <f>SUMIFS('Crosswalk AEO to EPS Summary'!L:L,'Crosswalk AEO to EPS Summary'!$B:$B,$B148)*quadrillion-'AEO Data Center Load'!H16</f>
        <v>994014987110137.88</v>
      </c>
      <c r="M148">
        <f>SUMIFS('Crosswalk AEO to EPS Summary'!M:M,'Crosswalk AEO to EPS Summary'!$B:$B,$B148)*quadrillion-'AEO Data Center Load'!I16</f>
        <v>991450429004669</v>
      </c>
      <c r="N148">
        <f>SUMIFS('Crosswalk AEO to EPS Summary'!N:N,'Crosswalk AEO to EPS Summary'!$B:$B,$B148)*quadrillion-'AEO Data Center Load'!J16</f>
        <v>988857314811706.5</v>
      </c>
      <c r="O148">
        <f>SUMIFS('Crosswalk AEO to EPS Summary'!O:O,'Crosswalk AEO to EPS Summary'!$B:$B,$B148)*quadrillion-'AEO Data Center Load'!K16</f>
        <v>987074030986785.88</v>
      </c>
      <c r="P148">
        <f>SUMIFS('Crosswalk AEO to EPS Summary'!P:P,'Crosswalk AEO to EPS Summary'!$B:$B,$B148)*quadrillion-'AEO Data Center Load'!L16</f>
        <v>985903408821105.88</v>
      </c>
      <c r="Q148">
        <f>SUMIFS('Crosswalk AEO to EPS Summary'!Q:Q,'Crosswalk AEO to EPS Summary'!$B:$B,$B148)*quadrillion-'AEO Data Center Load'!M16</f>
        <v>984672406528472.75</v>
      </c>
      <c r="R148">
        <f>SUMIFS('Crosswalk AEO to EPS Summary'!R:R,'Crosswalk AEO to EPS Summary'!$B:$B,$B148)*quadrillion-'AEO Data Center Load'!N16</f>
        <v>984221530197143.5</v>
      </c>
      <c r="S148">
        <f>SUMIFS('Crosswalk AEO to EPS Summary'!S:S,'Crosswalk AEO to EPS Summary'!$B:$B,$B148)*quadrillion-'AEO Data Center Load'!O16</f>
        <v>984413560150146.5</v>
      </c>
      <c r="T148">
        <f>SUMIFS('Crosswalk AEO to EPS Summary'!T:T,'Crosswalk AEO to EPS Summary'!$B:$B,$B148)*quadrillion-'AEO Data Center Load'!P16</f>
        <v>985037296901703</v>
      </c>
      <c r="U148">
        <f>SUMIFS('Crosswalk AEO to EPS Summary'!U:U,'Crosswalk AEO to EPS Summary'!$B:$B,$B148)*quadrillion-'AEO Data Center Load'!Q16</f>
        <v>985661143360137.88</v>
      </c>
      <c r="V148">
        <f>SUMIFS('Crosswalk AEO to EPS Summary'!V:V,'Crosswalk AEO to EPS Summary'!$B:$B,$B148)*quadrillion-'AEO Data Center Load'!R16</f>
        <v>986507279224395.88</v>
      </c>
      <c r="W148">
        <f>SUMIFS('Crosswalk AEO to EPS Summary'!W:W,'Crosswalk AEO to EPS Summary'!$B:$B,$B148)*quadrillion-'AEO Data Center Load'!S16</f>
        <v>987937880737304.75</v>
      </c>
      <c r="X148">
        <f>SUMIFS('Crosswalk AEO to EPS Summary'!X:X,'Crosswalk AEO to EPS Summary'!$B:$B,$B148)*quadrillion-'AEO Data Center Load'!T16</f>
        <v>990132762294769.38</v>
      </c>
      <c r="Y148">
        <f>SUMIFS('Crosswalk AEO to EPS Summary'!Y:Y,'Crosswalk AEO to EPS Summary'!$B:$B,$B148)*quadrillion-'AEO Data Center Load'!U16</f>
        <v>993546521892547.63</v>
      </c>
      <c r="Z148">
        <f>SUMIFS('Crosswalk AEO to EPS Summary'!Z:Z,'Crosswalk AEO to EPS Summary'!$B:$B,$B148)*quadrillion-'AEO Data Center Load'!V16</f>
        <v>997574600929260.38</v>
      </c>
      <c r="AA148">
        <f>SUMIFS('Crosswalk AEO to EPS Summary'!AA:AA,'Crosswalk AEO to EPS Summary'!$B:$B,$B148)*quadrillion-'AEO Data Center Load'!W16</f>
        <v>1002362053264618</v>
      </c>
      <c r="AB148">
        <f>SUMIFS('Crosswalk AEO to EPS Summary'!AB:AB,'Crosswalk AEO to EPS Summary'!$B:$B,$B148)*quadrillion-'AEO Data Center Load'!X16</f>
        <v>1006959908668518.3</v>
      </c>
      <c r="AC148">
        <f>SUMIFS('Crosswalk AEO to EPS Summary'!AC:AC,'Crosswalk AEO to EPS Summary'!$B:$B,$B148)*quadrillion-'AEO Data Center Load'!Y16</f>
        <v>1011316285446167</v>
      </c>
      <c r="AD148">
        <f>SUMIFS('Crosswalk AEO to EPS Summary'!AD:AD,'Crosswalk AEO to EPS Summary'!$B:$B,$B148)*quadrillion-'AEO Data Center Load'!Z16</f>
        <v>1015866871974945.3</v>
      </c>
      <c r="AE148">
        <f>SUMIFS('Crosswalk AEO to EPS Summary'!AE:AE,'Crosswalk AEO to EPS Summary'!$B:$B,$B148)*quadrillion-'AEO Data Center Load'!AA16</f>
        <v>1021271761329651</v>
      </c>
      <c r="AF148">
        <f>SUMIFS('Crosswalk AEO to EPS Summary'!AF:AF,'Crosswalk AEO to EPS Summary'!$B:$B,$B148)*quadrillion-'AEO Data Center Load'!AB16</f>
        <v>1026829928939819.3</v>
      </c>
    </row>
    <row r="149" spans="2:32" x14ac:dyDescent="0.25">
      <c r="B149" s="53" t="str">
        <f t="shared" si="11"/>
        <v>commercial-cooling-coal (BTU)</v>
      </c>
      <c r="C149" t="s">
        <v>1060</v>
      </c>
      <c r="D149" t="s">
        <v>1049</v>
      </c>
      <c r="E149" t="s">
        <v>1063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25">
      <c r="B150" s="53" t="str">
        <f t="shared" si="11"/>
        <v>commercial-cooling-natural gas (BTU)</v>
      </c>
      <c r="C150" t="s">
        <v>1060</v>
      </c>
      <c r="D150" t="s">
        <v>1049</v>
      </c>
      <c r="E150" t="s">
        <v>1055</v>
      </c>
      <c r="F150">
        <f>SUMIFS('Crosswalk AEO to EPS Summary'!F:F,'Crosswalk AEO to EPS Summary'!$B:$B,$B150)*quadrillion</f>
        <v>18320000000000</v>
      </c>
      <c r="G150">
        <f>SUMIFS('Crosswalk AEO to EPS Summary'!G:G,'Crosswalk AEO to EPS Summary'!$B:$B,$B150)*quadrillion</f>
        <v>15692310407757.76</v>
      </c>
      <c r="H150">
        <f>SUMIFS('Crosswalk AEO to EPS Summary'!H:H,'Crosswalk AEO to EPS Summary'!$B:$B,$B150)*quadrillion</f>
        <v>17611738294363.02</v>
      </c>
      <c r="I150">
        <f>SUMIFS('Crosswalk AEO to EPS Summary'!I:I,'Crosswalk AEO to EPS Summary'!$B:$B,$B150)*quadrillion</f>
        <v>17944717779755.59</v>
      </c>
      <c r="J150">
        <f>SUMIFS('Crosswalk AEO to EPS Summary'!J:J,'Crosswalk AEO to EPS Summary'!$B:$B,$B150)*quadrillion</f>
        <v>18168630078434.941</v>
      </c>
      <c r="K150">
        <f>SUMIFS('Crosswalk AEO to EPS Summary'!K:K,'Crosswalk AEO to EPS Summary'!$B:$B,$B150)*quadrillion</f>
        <v>18287289887666.699</v>
      </c>
      <c r="L150">
        <f>SUMIFS('Crosswalk AEO to EPS Summary'!L:L,'Crosswalk AEO to EPS Summary'!$B:$B,$B150)*quadrillion</f>
        <v>18391733989119.531</v>
      </c>
      <c r="M150">
        <f>SUMIFS('Crosswalk AEO to EPS Summary'!M:M,'Crosswalk AEO to EPS Summary'!$B:$B,$B150)*quadrillion</f>
        <v>18555257469415.66</v>
      </c>
      <c r="N150">
        <f>SUMIFS('Crosswalk AEO to EPS Summary'!N:N,'Crosswalk AEO to EPS Summary'!$B:$B,$B150)*quadrillion</f>
        <v>18871057778596.883</v>
      </c>
      <c r="O150">
        <f>SUMIFS('Crosswalk AEO to EPS Summary'!O:O,'Crosswalk AEO to EPS Summary'!$B:$B,$B150)*quadrillion</f>
        <v>19279817119240.762</v>
      </c>
      <c r="P150">
        <f>SUMIFS('Crosswalk AEO to EPS Summary'!P:P,'Crosswalk AEO to EPS Summary'!$B:$B,$B150)*quadrillion</f>
        <v>19785426557064.059</v>
      </c>
      <c r="Q150">
        <f>SUMIFS('Crosswalk AEO to EPS Summary'!Q:Q,'Crosswalk AEO to EPS Summary'!$B:$B,$B150)*quadrillion</f>
        <v>20337725058197.98</v>
      </c>
      <c r="R150">
        <f>SUMIFS('Crosswalk AEO to EPS Summary'!R:R,'Crosswalk AEO to EPS Summary'!$B:$B,$B150)*quadrillion</f>
        <v>20947156473994.258</v>
      </c>
      <c r="S150">
        <f>SUMIFS('Crosswalk AEO to EPS Summary'!S:S,'Crosswalk AEO to EPS Summary'!$B:$B,$B150)*quadrillion</f>
        <v>21602820605039.602</v>
      </c>
      <c r="T150">
        <f>SUMIFS('Crosswalk AEO to EPS Summary'!T:T,'Crosswalk AEO to EPS Summary'!$B:$B,$B150)*quadrillion</f>
        <v>22291727364063.258</v>
      </c>
      <c r="U150">
        <f>SUMIFS('Crosswalk AEO to EPS Summary'!U:U,'Crosswalk AEO to EPS Summary'!$B:$B,$B150)*quadrillion</f>
        <v>23007044568657.879</v>
      </c>
      <c r="V150">
        <f>SUMIFS('Crosswalk AEO to EPS Summary'!V:V,'Crosswalk AEO to EPS Summary'!$B:$B,$B150)*quadrillion</f>
        <v>23771090433001.523</v>
      </c>
      <c r="W150">
        <f>SUMIFS('Crosswalk AEO to EPS Summary'!W:W,'Crosswalk AEO to EPS Summary'!$B:$B,$B150)*quadrillion</f>
        <v>24567574262619.02</v>
      </c>
      <c r="X150">
        <f>SUMIFS('Crosswalk AEO to EPS Summary'!X:X,'Crosswalk AEO to EPS Summary'!$B:$B,$B150)*quadrillion</f>
        <v>25421241298317.91</v>
      </c>
      <c r="Y150">
        <f>SUMIFS('Crosswalk AEO to EPS Summary'!Y:Y,'Crosswalk AEO to EPS Summary'!$B:$B,$B150)*quadrillion</f>
        <v>26326229795813.559</v>
      </c>
      <c r="Z150">
        <f>SUMIFS('Crosswalk AEO to EPS Summary'!Z:Z,'Crosswalk AEO to EPS Summary'!$B:$B,$B150)*quadrillion</f>
        <v>27284827083349.23</v>
      </c>
      <c r="AA150">
        <f>SUMIFS('Crosswalk AEO to EPS Summary'!AA:AA,'Crosswalk AEO to EPS Summary'!$B:$B,$B150)*quadrillion</f>
        <v>28297876939177.508</v>
      </c>
      <c r="AB150">
        <f>SUMIFS('Crosswalk AEO to EPS Summary'!AB:AB,'Crosswalk AEO to EPS Summary'!$B:$B,$B150)*quadrillion</f>
        <v>29311478137969.969</v>
      </c>
      <c r="AC150">
        <f>SUMIFS('Crosswalk AEO to EPS Summary'!AC:AC,'Crosswalk AEO to EPS Summary'!$B:$B,$B150)*quadrillion</f>
        <v>30355546623468.398</v>
      </c>
      <c r="AD150">
        <f>SUMIFS('Crosswalk AEO to EPS Summary'!AD:AD,'Crosswalk AEO to EPS Summary'!$B:$B,$B150)*quadrillion</f>
        <v>31434997916221.617</v>
      </c>
      <c r="AE150">
        <f>SUMIFS('Crosswalk AEO to EPS Summary'!AE:AE,'Crosswalk AEO to EPS Summary'!$B:$B,$B150)*quadrillion</f>
        <v>32569676637649.543</v>
      </c>
      <c r="AF150">
        <f>SUMIFS('Crosswalk AEO to EPS Summary'!AF:AF,'Crosswalk AEO to EPS Summary'!$B:$B,$B150)*quadrillion</f>
        <v>33763069659471.512</v>
      </c>
    </row>
    <row r="151" spans="2:32" x14ac:dyDescent="0.25">
      <c r="B151" s="53" t="str">
        <f t="shared" si="11"/>
        <v>commercial-cooling-petroleum diesel (BTU)</v>
      </c>
      <c r="C151" t="s">
        <v>1060</v>
      </c>
      <c r="D151" t="s">
        <v>1049</v>
      </c>
      <c r="E151" t="s">
        <v>1056</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25">
      <c r="B152" s="53" t="str">
        <f t="shared" si="11"/>
        <v>commercial-cooling-heat (BTU)</v>
      </c>
      <c r="C152" t="s">
        <v>1060</v>
      </c>
      <c r="D152" t="s">
        <v>1049</v>
      </c>
      <c r="E152" t="s">
        <v>1064</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25">
      <c r="B153" s="53" t="str">
        <f t="shared" si="11"/>
        <v>commercial-cooling-biomass (BTU)</v>
      </c>
      <c r="C153" t="s">
        <v>1060</v>
      </c>
      <c r="D153" t="s">
        <v>1049</v>
      </c>
      <c r="E153" t="s">
        <v>1058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25">
      <c r="B154" s="53" t="str">
        <f t="shared" si="11"/>
        <v>commercial-cooling-kerosene (BTU)</v>
      </c>
      <c r="C154" t="s">
        <v>1060</v>
      </c>
      <c r="D154" t="s">
        <v>1049</v>
      </c>
      <c r="E154" t="s">
        <v>1065</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25">
      <c r="B155" s="53" t="str">
        <f t="shared" si="11"/>
        <v>commercial-cooling-heavy or residual fuel oil (BTU)</v>
      </c>
      <c r="C155" t="s">
        <v>1060</v>
      </c>
      <c r="D155" t="s">
        <v>1049</v>
      </c>
      <c r="E155" t="s">
        <v>1066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25">
      <c r="B156" s="53" t="str">
        <f t="shared" si="11"/>
        <v>commercial-cooling-LPG propane or butane (BTU)</v>
      </c>
      <c r="C156" t="s">
        <v>1060</v>
      </c>
      <c r="D156" t="s">
        <v>1049</v>
      </c>
      <c r="E156" t="s">
        <v>1057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25">
      <c r="B157" s="53" t="str">
        <f t="shared" si="11"/>
        <v>commercial-cooling-hydrogen (BTU)</v>
      </c>
      <c r="C157" t="s">
        <v>1060</v>
      </c>
      <c r="D157" t="s">
        <v>1049</v>
      </c>
      <c r="E157" t="s">
        <v>1067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25">
      <c r="B159" s="1" t="s">
        <v>1080</v>
      </c>
    </row>
    <row r="160" spans="2:32" x14ac:dyDescent="0.25">
      <c r="E160" t="s">
        <v>1026</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25">
      <c r="B161" s="53" t="str">
        <f t="shared" ref="B161:B170" si="12">C161&amp;"-"&amp;D161&amp;"-"&amp;E161</f>
        <v>commercial-lighting-electricity (BTU)</v>
      </c>
      <c r="C161" t="s">
        <v>1060</v>
      </c>
      <c r="D161" t="s">
        <v>1051</v>
      </c>
      <c r="E161" t="s">
        <v>1048</v>
      </c>
      <c r="F161">
        <f>SUMIFS('Crosswalk AEO to EPS Summary'!F:F,'Crosswalk AEO to EPS Summary'!$B:$B,$B161)*quadrillion</f>
        <v>575629000000000</v>
      </c>
      <c r="G161">
        <f>SUMIFS('Crosswalk AEO to EPS Summary'!G:G,'Crosswalk AEO to EPS Summary'!$B:$B,$B161)*quadrillion</f>
        <v>564648687839508</v>
      </c>
      <c r="H161">
        <f>SUMIFS('Crosswalk AEO to EPS Summary'!H:H,'Crosswalk AEO to EPS Summary'!$B:$B,$B161)*quadrillion</f>
        <v>553327798843383.81</v>
      </c>
      <c r="I161">
        <f>SUMIFS('Crosswalk AEO to EPS Summary'!I:I,'Crosswalk AEO to EPS Summary'!$B:$B,$B161)*quadrillion</f>
        <v>547329366207122.81</v>
      </c>
      <c r="J161">
        <f>SUMIFS('Crosswalk AEO to EPS Summary'!J:J,'Crosswalk AEO to EPS Summary'!$B:$B,$B161)*quadrillion</f>
        <v>545429885387420.63</v>
      </c>
      <c r="K161">
        <f>SUMIFS('Crosswalk AEO to EPS Summary'!K:K,'Crosswalk AEO to EPS Summary'!$B:$B,$B161)*quadrillion</f>
        <v>543588042259216.31</v>
      </c>
      <c r="L161">
        <f>SUMIFS('Crosswalk AEO to EPS Summary'!L:L,'Crosswalk AEO to EPS Summary'!$B:$B,$B161)*quadrillion</f>
        <v>532318174839019.75</v>
      </c>
      <c r="M161">
        <f>SUMIFS('Crosswalk AEO to EPS Summary'!M:M,'Crosswalk AEO to EPS Summary'!$B:$B,$B161)*quadrillion</f>
        <v>522621631622314.44</v>
      </c>
      <c r="N161">
        <f>SUMIFS('Crosswalk AEO to EPS Summary'!N:N,'Crosswalk AEO to EPS Summary'!$B:$B,$B161)*quadrillion</f>
        <v>514200210571289.06</v>
      </c>
      <c r="O161">
        <f>SUMIFS('Crosswalk AEO to EPS Summary'!O:O,'Crosswalk AEO to EPS Summary'!$B:$B,$B161)*quadrillion</f>
        <v>506778657436370.88</v>
      </c>
      <c r="P161">
        <f>SUMIFS('Crosswalk AEO to EPS Summary'!P:P,'Crosswalk AEO to EPS Summary'!$B:$B,$B161)*quadrillion</f>
        <v>499777853488922.13</v>
      </c>
      <c r="Q161">
        <f>SUMIFS('Crosswalk AEO to EPS Summary'!Q:Q,'Crosswalk AEO to EPS Summary'!$B:$B,$B161)*quadrillion</f>
        <v>492951601743698.13</v>
      </c>
      <c r="R161">
        <f>SUMIFS('Crosswalk AEO to EPS Summary'!R:R,'Crosswalk AEO to EPS Summary'!$B:$B,$B161)*quadrillion</f>
        <v>487288504838943.5</v>
      </c>
      <c r="S161">
        <f>SUMIFS('Crosswalk AEO to EPS Summary'!S:S,'Crosswalk AEO to EPS Summary'!$B:$B,$B161)*quadrillion</f>
        <v>482485860586166.38</v>
      </c>
      <c r="T161">
        <f>SUMIFS('Crosswalk AEO to EPS Summary'!T:T,'Crosswalk AEO to EPS Summary'!$B:$B,$B161)*quadrillion</f>
        <v>478497922420501.69</v>
      </c>
      <c r="U161">
        <f>SUMIFS('Crosswalk AEO to EPS Summary'!U:U,'Crosswalk AEO to EPS Summary'!$B:$B,$B161)*quadrillion</f>
        <v>475118577480316.19</v>
      </c>
      <c r="V161">
        <f>SUMIFS('Crosswalk AEO to EPS Summary'!V:V,'Crosswalk AEO to EPS Summary'!$B:$B,$B161)*quadrillion</f>
        <v>470121502876281.69</v>
      </c>
      <c r="W161">
        <f>SUMIFS('Crosswalk AEO to EPS Summary'!W:W,'Crosswalk AEO to EPS Summary'!$B:$B,$B161)*quadrillion</f>
        <v>466406911611557</v>
      </c>
      <c r="X161">
        <f>SUMIFS('Crosswalk AEO to EPS Summary'!X:X,'Crosswalk AEO to EPS Summary'!$B:$B,$B161)*quadrillion</f>
        <v>463482081890106.19</v>
      </c>
      <c r="Y161">
        <f>SUMIFS('Crosswalk AEO to EPS Summary'!Y:Y,'Crosswalk AEO to EPS Summary'!$B:$B,$B161)*quadrillion</f>
        <v>461296975612640.38</v>
      </c>
      <c r="Z161">
        <f>SUMIFS('Crosswalk AEO to EPS Summary'!Z:Z,'Crosswalk AEO to EPS Summary'!$B:$B,$B161)*quadrillion</f>
        <v>459642559289932.31</v>
      </c>
      <c r="AA161">
        <f>SUMIFS('Crosswalk AEO to EPS Summary'!AA:AA,'Crosswalk AEO to EPS Summary'!$B:$B,$B161)*quadrillion</f>
        <v>458400964736938.5</v>
      </c>
      <c r="AB161">
        <f>SUMIFS('Crosswalk AEO to EPS Summary'!AB:AB,'Crosswalk AEO to EPS Summary'!$B:$B,$B161)*quadrillion</f>
        <v>457257777452468.94</v>
      </c>
      <c r="AC161">
        <f>SUMIFS('Crosswalk AEO to EPS Summary'!AC:AC,'Crosswalk AEO to EPS Summary'!$B:$B,$B161)*quadrillion</f>
        <v>455994307994842.5</v>
      </c>
      <c r="AD161">
        <f>SUMIFS('Crosswalk AEO to EPS Summary'!AD:AD,'Crosswalk AEO to EPS Summary'!$B:$B,$B161)*quadrillion</f>
        <v>454706281423568.75</v>
      </c>
      <c r="AE161">
        <f>SUMIFS('Crosswalk AEO to EPS Summary'!AE:AE,'Crosswalk AEO to EPS Summary'!$B:$B,$B161)*quadrillion</f>
        <v>453692048788070.69</v>
      </c>
      <c r="AF161">
        <f>SUMIFS('Crosswalk AEO to EPS Summary'!AF:AF,'Crosswalk AEO to EPS Summary'!$B:$B,$B161)*quadrillion</f>
        <v>452695429325103.81</v>
      </c>
    </row>
    <row r="162" spans="2:32" x14ac:dyDescent="0.25">
      <c r="B162" s="53" t="str">
        <f t="shared" si="12"/>
        <v>commercial-lighting-coal (BTU)</v>
      </c>
      <c r="C162" t="s">
        <v>1060</v>
      </c>
      <c r="D162" t="s">
        <v>1051</v>
      </c>
      <c r="E162" t="s">
        <v>1063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25">
      <c r="B163" s="53" t="str">
        <f t="shared" si="12"/>
        <v>commercial-lighting-natural gas (BTU)</v>
      </c>
      <c r="C163" t="s">
        <v>1060</v>
      </c>
      <c r="D163" t="s">
        <v>1051</v>
      </c>
      <c r="E163" t="s">
        <v>1055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25">
      <c r="B164" s="53" t="str">
        <f t="shared" si="12"/>
        <v>commercial-lighting-petroleum diesel (BTU)</v>
      </c>
      <c r="C164" t="s">
        <v>1060</v>
      </c>
      <c r="D164" t="s">
        <v>1051</v>
      </c>
      <c r="E164" t="s">
        <v>1056</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25">
      <c r="B165" s="53" t="str">
        <f t="shared" si="12"/>
        <v>commercial-lighting-heat (BTU)</v>
      </c>
      <c r="C165" t="s">
        <v>1060</v>
      </c>
      <c r="D165" t="s">
        <v>1051</v>
      </c>
      <c r="E165" t="s">
        <v>1064</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25">
      <c r="B166" s="53" t="str">
        <f t="shared" si="12"/>
        <v>commercial-lighting-biomass (BTU)</v>
      </c>
      <c r="C166" t="s">
        <v>1060</v>
      </c>
      <c r="D166" t="s">
        <v>1051</v>
      </c>
      <c r="E166" t="s">
        <v>1058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25">
      <c r="B167" s="53" t="str">
        <f t="shared" si="12"/>
        <v>commercial-lighting-kerosene (BTU)</v>
      </c>
      <c r="C167" t="s">
        <v>1060</v>
      </c>
      <c r="D167" t="s">
        <v>1051</v>
      </c>
      <c r="E167" t="s">
        <v>1065</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25">
      <c r="B168" s="53" t="str">
        <f t="shared" si="12"/>
        <v>commercial-lighting-heavy or residual fuel oil (BTU)</v>
      </c>
      <c r="C168" t="s">
        <v>1060</v>
      </c>
      <c r="D168" t="s">
        <v>1051</v>
      </c>
      <c r="E168" t="s">
        <v>1066</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25">
      <c r="B169" s="53" t="str">
        <f t="shared" si="12"/>
        <v>commercial-lighting-LPG propane or butane (BTU)</v>
      </c>
      <c r="C169" t="s">
        <v>1060</v>
      </c>
      <c r="D169" t="s">
        <v>1051</v>
      </c>
      <c r="E169" t="s">
        <v>1057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25">
      <c r="B170" s="53" t="str">
        <f t="shared" si="12"/>
        <v>commercial-lighting-hydrogen (BTU)</v>
      </c>
      <c r="C170" t="s">
        <v>1060</v>
      </c>
      <c r="D170" t="s">
        <v>1051</v>
      </c>
      <c r="E170" t="s">
        <v>1067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25">
      <c r="B172" s="1" t="s">
        <v>1081</v>
      </c>
    </row>
    <row r="173" spans="2:32" x14ac:dyDescent="0.25">
      <c r="E173" t="s">
        <v>1026</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25">
      <c r="B174" s="53" t="str">
        <f t="shared" ref="B174:B183" si="13">C174&amp;"-"&amp;D174&amp;"-"&amp;E174</f>
        <v>commercial-appliances-electricity (BTU)</v>
      </c>
      <c r="C174" t="s">
        <v>1060</v>
      </c>
      <c r="D174" t="s">
        <v>1050</v>
      </c>
      <c r="E174" t="s">
        <v>1048</v>
      </c>
      <c r="F174">
        <f>SUMIFS('Crosswalk AEO to EPS Summary'!F:F,'Crosswalk AEO to EPS Summary'!$B:$B,$B174)*quadrillion</f>
        <v>526170000000000</v>
      </c>
      <c r="G174">
        <f>SUMIFS('Crosswalk AEO to EPS Summary'!G:G,'Crosswalk AEO to EPS Summary'!$B:$B,$B174)*quadrillion</f>
        <v>524522140622139</v>
      </c>
      <c r="H174">
        <f>SUMIFS('Crosswalk AEO to EPS Summary'!H:H,'Crosswalk AEO to EPS Summary'!$B:$B,$B174)*quadrillion</f>
        <v>521924689412117</v>
      </c>
      <c r="I174">
        <f>SUMIFS('Crosswalk AEO to EPS Summary'!I:I,'Crosswalk AEO to EPS Summary'!$B:$B,$B174)*quadrillion</f>
        <v>521107912063598.63</v>
      </c>
      <c r="J174">
        <f>SUMIFS('Crosswalk AEO to EPS Summary'!J:J,'Crosswalk AEO to EPS Summary'!$B:$B,$B174)*quadrillion</f>
        <v>521390438079834</v>
      </c>
      <c r="K174">
        <f>SUMIFS('Crosswalk AEO to EPS Summary'!K:K,'Crosswalk AEO to EPS Summary'!$B:$B,$B174)*quadrillion</f>
        <v>521030664443969.75</v>
      </c>
      <c r="L174">
        <f>SUMIFS('Crosswalk AEO to EPS Summary'!L:L,'Crosswalk AEO to EPS Summary'!$B:$B,$B174)*quadrillion</f>
        <v>518539123237133</v>
      </c>
      <c r="M174">
        <f>SUMIFS('Crosswalk AEO to EPS Summary'!M:M,'Crosswalk AEO to EPS Summary'!$B:$B,$B174)*quadrillion</f>
        <v>516487136483192.44</v>
      </c>
      <c r="N174">
        <f>SUMIFS('Crosswalk AEO to EPS Summary'!N:N,'Crosswalk AEO to EPS Summary'!$B:$B,$B174)*quadrillion</f>
        <v>514825910329818.75</v>
      </c>
      <c r="O174">
        <f>SUMIFS('Crosswalk AEO to EPS Summary'!O:O,'Crosswalk AEO to EPS Summary'!$B:$B,$B174)*quadrillion</f>
        <v>513661280274391.19</v>
      </c>
      <c r="P174">
        <f>SUMIFS('Crosswalk AEO to EPS Summary'!P:P,'Crosswalk AEO to EPS Summary'!$B:$B,$B174)*quadrillion</f>
        <v>512811899185180.69</v>
      </c>
      <c r="Q174">
        <f>SUMIFS('Crosswalk AEO to EPS Summary'!Q:Q,'Crosswalk AEO to EPS Summary'!$B:$B,$B174)*quadrillion</f>
        <v>512220427393913.25</v>
      </c>
      <c r="R174">
        <f>SUMIFS('Crosswalk AEO to EPS Summary'!R:R,'Crosswalk AEO to EPS Summary'!$B:$B,$B174)*quadrillion</f>
        <v>512029699981212.63</v>
      </c>
      <c r="S174">
        <f>SUMIFS('Crosswalk AEO to EPS Summary'!S:S,'Crosswalk AEO to EPS Summary'!$B:$B,$B174)*quadrillion</f>
        <v>511913426220417</v>
      </c>
      <c r="T174">
        <f>SUMIFS('Crosswalk AEO to EPS Summary'!T:T,'Crosswalk AEO to EPS Summary'!$B:$B,$B174)*quadrillion</f>
        <v>511792980134487.13</v>
      </c>
      <c r="U174">
        <f>SUMIFS('Crosswalk AEO to EPS Summary'!U:U,'Crosswalk AEO to EPS Summary'!$B:$B,$B174)*quadrillion</f>
        <v>511597983539104.44</v>
      </c>
      <c r="V174">
        <f>SUMIFS('Crosswalk AEO to EPS Summary'!V:V,'Crosswalk AEO to EPS Summary'!$B:$B,$B174)*quadrillion</f>
        <v>511340115219354.63</v>
      </c>
      <c r="W174">
        <f>SUMIFS('Crosswalk AEO to EPS Summary'!W:W,'Crosswalk AEO to EPS Summary'!$B:$B,$B174)*quadrillion</f>
        <v>511410009115934.38</v>
      </c>
      <c r="X174">
        <f>SUMIFS('Crosswalk AEO to EPS Summary'!X:X,'Crosswalk AEO to EPS Summary'!$B:$B,$B174)*quadrillion</f>
        <v>511415328830480.56</v>
      </c>
      <c r="Y174">
        <f>SUMIFS('Crosswalk AEO to EPS Summary'!Y:Y,'Crosswalk AEO to EPS Summary'!$B:$B,$B174)*quadrillion</f>
        <v>511489037424325.94</v>
      </c>
      <c r="Z174">
        <f>SUMIFS('Crosswalk AEO to EPS Summary'!Z:Z,'Crosswalk AEO to EPS Summary'!$B:$B,$B174)*quadrillion</f>
        <v>511564299464225.75</v>
      </c>
      <c r="AA174">
        <f>SUMIFS('Crosswalk AEO to EPS Summary'!AA:AA,'Crosswalk AEO to EPS Summary'!$B:$B,$B174)*quadrillion</f>
        <v>511598553508520.13</v>
      </c>
      <c r="AB174">
        <f>SUMIFS('Crosswalk AEO to EPS Summary'!AB:AB,'Crosswalk AEO to EPS Summary'!$B:$B,$B174)*quadrillion</f>
        <v>511433817446231.81</v>
      </c>
      <c r="AC174">
        <f>SUMIFS('Crosswalk AEO to EPS Summary'!AC:AC,'Crosswalk AEO to EPS Summary'!$B:$B,$B174)*quadrillion</f>
        <v>510976865887641.94</v>
      </c>
      <c r="AD174">
        <f>SUMIFS('Crosswalk AEO to EPS Summary'!AD:AD,'Crosswalk AEO to EPS Summary'!$B:$B,$B174)*quadrillion</f>
        <v>510392196476459.5</v>
      </c>
      <c r="AE174">
        <f>SUMIFS('Crosswalk AEO to EPS Summary'!AE:AE,'Crosswalk AEO to EPS Summary'!$B:$B,$B174)*quadrillion</f>
        <v>509833078831434.25</v>
      </c>
      <c r="AF174">
        <f>SUMIFS('Crosswalk AEO to EPS Summary'!AF:AF,'Crosswalk AEO to EPS Summary'!$B:$B,$B174)*quadrillion</f>
        <v>509147807955741.88</v>
      </c>
    </row>
    <row r="175" spans="2:32" x14ac:dyDescent="0.25">
      <c r="B175" s="53" t="str">
        <f t="shared" si="13"/>
        <v>commercial-appliances-coal (BTU)</v>
      </c>
      <c r="C175" t="s">
        <v>1060</v>
      </c>
      <c r="D175" t="s">
        <v>1050</v>
      </c>
      <c r="E175" t="s">
        <v>1063</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25">
      <c r="B176" s="53" t="str">
        <f t="shared" si="13"/>
        <v>commercial-appliances-natural gas (BTU)</v>
      </c>
      <c r="C176" t="s">
        <v>1060</v>
      </c>
      <c r="D176" t="s">
        <v>1050</v>
      </c>
      <c r="E176" t="s">
        <v>1055</v>
      </c>
      <c r="F176">
        <f>SUMIFS('Crosswalk AEO to EPS Summary'!F:F,'Crosswalk AEO to EPS Summary'!$B:$B,$B176)*quadrillion</f>
        <v>670828000000000</v>
      </c>
      <c r="G176">
        <f>SUMIFS('Crosswalk AEO to EPS Summary'!G:G,'Crosswalk AEO to EPS Summary'!$B:$B,$B176)*quadrillion</f>
        <v>679359853267669.63</v>
      </c>
      <c r="H176">
        <f>SUMIFS('Crosswalk AEO to EPS Summary'!H:H,'Crosswalk AEO to EPS Summary'!$B:$B,$B176)*quadrillion</f>
        <v>693039298057556.13</v>
      </c>
      <c r="I176">
        <f>SUMIFS('Crosswalk AEO to EPS Summary'!I:I,'Crosswalk AEO to EPS Summary'!$B:$B,$B176)*quadrillion</f>
        <v>699218720197677.75</v>
      </c>
      <c r="J176">
        <f>SUMIFS('Crosswalk AEO to EPS Summary'!J:J,'Crosswalk AEO to EPS Summary'!$B:$B,$B176)*quadrillion</f>
        <v>700469911098480.25</v>
      </c>
      <c r="K176">
        <f>SUMIFS('Crosswalk AEO to EPS Summary'!K:K,'Crosswalk AEO to EPS Summary'!$B:$B,$B176)*quadrillion</f>
        <v>697960644960403.5</v>
      </c>
      <c r="L176">
        <f>SUMIFS('Crosswalk AEO to EPS Summary'!L:L,'Crosswalk AEO to EPS Summary'!$B:$B,$B176)*quadrillion</f>
        <v>693925142288208</v>
      </c>
      <c r="M176">
        <f>SUMIFS('Crosswalk AEO to EPS Summary'!M:M,'Crosswalk AEO to EPS Summary'!$B:$B,$B176)*quadrillion</f>
        <v>690660059452056.88</v>
      </c>
      <c r="N176">
        <f>SUMIFS('Crosswalk AEO to EPS Summary'!N:N,'Crosswalk AEO to EPS Summary'!$B:$B,$B176)*quadrillion</f>
        <v>691471755504608.13</v>
      </c>
      <c r="O176">
        <f>SUMIFS('Crosswalk AEO to EPS Summary'!O:O,'Crosswalk AEO to EPS Summary'!$B:$B,$B176)*quadrillion</f>
        <v>693819344043731.75</v>
      </c>
      <c r="P176">
        <f>SUMIFS('Crosswalk AEO to EPS Summary'!P:P,'Crosswalk AEO to EPS Summary'!$B:$B,$B176)*quadrillion</f>
        <v>698374778032302.88</v>
      </c>
      <c r="Q176">
        <f>SUMIFS('Crosswalk AEO to EPS Summary'!Q:Q,'Crosswalk AEO to EPS Summary'!$B:$B,$B176)*quadrillion</f>
        <v>703302174806594.88</v>
      </c>
      <c r="R176">
        <f>SUMIFS('Crosswalk AEO to EPS Summary'!R:R,'Crosswalk AEO to EPS Summary'!$B:$B,$B176)*quadrillion</f>
        <v>709249109029769.88</v>
      </c>
      <c r="S176">
        <f>SUMIFS('Crosswalk AEO to EPS Summary'!S:S,'Crosswalk AEO to EPS Summary'!$B:$B,$B176)*quadrillion</f>
        <v>715122908353805.5</v>
      </c>
      <c r="T176">
        <f>SUMIFS('Crosswalk AEO to EPS Summary'!T:T,'Crosswalk AEO to EPS Summary'!$B:$B,$B176)*quadrillion</f>
        <v>720999270677566.5</v>
      </c>
      <c r="U176">
        <f>SUMIFS('Crosswalk AEO to EPS Summary'!U:U,'Crosswalk AEO to EPS Summary'!$B:$B,$B176)*quadrillion</f>
        <v>726628243923187.25</v>
      </c>
      <c r="V176">
        <f>SUMIFS('Crosswalk AEO to EPS Summary'!V:V,'Crosswalk AEO to EPS Summary'!$B:$B,$B176)*quadrillion</f>
        <v>732299923896789.5</v>
      </c>
      <c r="W176">
        <f>SUMIFS('Crosswalk AEO to EPS Summary'!W:W,'Crosswalk AEO to EPS Summary'!$B:$B,$B176)*quadrillion</f>
        <v>738408952951431.25</v>
      </c>
      <c r="X176">
        <f>SUMIFS('Crosswalk AEO to EPS Summary'!X:X,'Crosswalk AEO to EPS Summary'!$B:$B,$B176)*quadrillion</f>
        <v>745374798774719.25</v>
      </c>
      <c r="Y176">
        <f>SUMIFS('Crosswalk AEO to EPS Summary'!Y:Y,'Crosswalk AEO to EPS Summary'!$B:$B,$B176)*quadrillion</f>
        <v>752703845500946</v>
      </c>
      <c r="Z176">
        <f>SUMIFS('Crosswalk AEO to EPS Summary'!Z:Z,'Crosswalk AEO to EPS Summary'!$B:$B,$B176)*quadrillion</f>
        <v>760485827922821</v>
      </c>
      <c r="AA176">
        <f>SUMIFS('Crosswalk AEO to EPS Summary'!AA:AA,'Crosswalk AEO to EPS Summary'!$B:$B,$B176)*quadrillion</f>
        <v>767937213182449.38</v>
      </c>
      <c r="AB176">
        <f>SUMIFS('Crosswalk AEO to EPS Summary'!AB:AB,'Crosswalk AEO to EPS Summary'!$B:$B,$B176)*quadrillion</f>
        <v>774166822433471.63</v>
      </c>
      <c r="AC176">
        <f>SUMIFS('Crosswalk AEO to EPS Summary'!AC:AC,'Crosswalk AEO to EPS Summary'!$B:$B,$B176)*quadrillion</f>
        <v>779547512531280.63</v>
      </c>
      <c r="AD176">
        <f>SUMIFS('Crosswalk AEO to EPS Summary'!AD:AD,'Crosswalk AEO to EPS Summary'!$B:$B,$B176)*quadrillion</f>
        <v>784612536430358.88</v>
      </c>
      <c r="AE176">
        <f>SUMIFS('Crosswalk AEO to EPS Summary'!AE:AE,'Crosswalk AEO to EPS Summary'!$B:$B,$B176)*quadrillion</f>
        <v>789644062519073.5</v>
      </c>
      <c r="AF176">
        <f>SUMIFS('Crosswalk AEO to EPS Summary'!AF:AF,'Crosswalk AEO to EPS Summary'!$B:$B,$B176)*quadrillion</f>
        <v>794772624969482.38</v>
      </c>
    </row>
    <row r="177" spans="2:32" x14ac:dyDescent="0.25">
      <c r="B177" s="53" t="str">
        <f t="shared" si="13"/>
        <v>commercial-appliances-petroleum diesel (BTU)</v>
      </c>
      <c r="C177" t="s">
        <v>1060</v>
      </c>
      <c r="D177" t="s">
        <v>1050</v>
      </c>
      <c r="E177" t="s">
        <v>1056</v>
      </c>
      <c r="F177">
        <f>SUMIFS('Crosswalk AEO to EPS Summary'!F:F,'Crosswalk AEO to EPS Summary'!$B:$B,$B177)*quadrillion</f>
        <v>3746000000000</v>
      </c>
      <c r="G177">
        <f>SUMIFS('Crosswalk AEO to EPS Summary'!G:G,'Crosswalk AEO to EPS Summary'!$B:$B,$B177)*quadrillion</f>
        <v>3768055932596.3257</v>
      </c>
      <c r="H177">
        <f>SUMIFS('Crosswalk AEO to EPS Summary'!H:H,'Crosswalk AEO to EPS Summary'!$B:$B,$B177)*quadrillion</f>
        <v>3783274441957.4741</v>
      </c>
      <c r="I177">
        <f>SUMIFS('Crosswalk AEO to EPS Summary'!I:I,'Crosswalk AEO to EPS Summary'!$B:$B,$B177)*quadrillion</f>
        <v>3772487165406.3457</v>
      </c>
      <c r="J177">
        <f>SUMIFS('Crosswalk AEO to EPS Summary'!J:J,'Crosswalk AEO to EPS Summary'!$B:$B,$B177)*quadrillion</f>
        <v>3756418358534.5747</v>
      </c>
      <c r="K177">
        <f>SUMIFS('Crosswalk AEO to EPS Summary'!K:K,'Crosswalk AEO to EPS Summary'!$B:$B,$B177)*quadrillion</f>
        <v>3737513208761.811</v>
      </c>
      <c r="L177">
        <f>SUMIFS('Crosswalk AEO to EPS Summary'!L:L,'Crosswalk AEO to EPS Summary'!$B:$B,$B177)*quadrillion</f>
        <v>3733786055818.2002</v>
      </c>
      <c r="M177">
        <f>SUMIFS('Crosswalk AEO to EPS Summary'!M:M,'Crosswalk AEO to EPS Summary'!$B:$B,$B177)*quadrillion</f>
        <v>3729736432433.1279</v>
      </c>
      <c r="N177">
        <f>SUMIFS('Crosswalk AEO to EPS Summary'!N:N,'Crosswalk AEO to EPS Summary'!$B:$B,$B177)*quadrillion</f>
        <v>3709729760885.2393</v>
      </c>
      <c r="O177">
        <f>SUMIFS('Crosswalk AEO to EPS Summary'!O:O,'Crosswalk AEO to EPS Summary'!$B:$B,$B177)*quadrillion</f>
        <v>3671519458293.915</v>
      </c>
      <c r="P177">
        <f>SUMIFS('Crosswalk AEO to EPS Summary'!P:P,'Crosswalk AEO to EPS Summary'!$B:$B,$B177)*quadrillion</f>
        <v>3635622793808.5791</v>
      </c>
      <c r="Q177">
        <f>SUMIFS('Crosswalk AEO to EPS Summary'!Q:Q,'Crosswalk AEO to EPS Summary'!$B:$B,$B177)*quadrillion</f>
        <v>3601573407649.9941</v>
      </c>
      <c r="R177">
        <f>SUMIFS('Crosswalk AEO to EPS Summary'!R:R,'Crosswalk AEO to EPS Summary'!$B:$B,$B177)*quadrillion</f>
        <v>3573987400159.2402</v>
      </c>
      <c r="S177">
        <f>SUMIFS('Crosswalk AEO to EPS Summary'!S:S,'Crosswalk AEO to EPS Summary'!$B:$B,$B177)*quadrillion</f>
        <v>3547454252839.0879</v>
      </c>
      <c r="T177">
        <f>SUMIFS('Crosswalk AEO to EPS Summary'!T:T,'Crosswalk AEO to EPS Summary'!$B:$B,$B177)*quadrillion</f>
        <v>3520711557939.6489</v>
      </c>
      <c r="U177">
        <f>SUMIFS('Crosswalk AEO to EPS Summary'!U:U,'Crosswalk AEO to EPS Summary'!$B:$B,$B177)*quadrillion</f>
        <v>3496143501251.936</v>
      </c>
      <c r="V177">
        <f>SUMIFS('Crosswalk AEO to EPS Summary'!V:V,'Crosswalk AEO to EPS Summary'!$B:$B,$B177)*quadrillion</f>
        <v>3471773816272.6157</v>
      </c>
      <c r="W177">
        <f>SUMIFS('Crosswalk AEO to EPS Summary'!W:W,'Crosswalk AEO to EPS Summary'!$B:$B,$B177)*quadrillion</f>
        <v>3447785275056.958</v>
      </c>
      <c r="X177">
        <f>SUMIFS('Crosswalk AEO to EPS Summary'!X:X,'Crosswalk AEO to EPS Summary'!$B:$B,$B177)*quadrillion</f>
        <v>3424390219151.9741</v>
      </c>
      <c r="Y177">
        <f>SUMIFS('Crosswalk AEO to EPS Summary'!Y:Y,'Crosswalk AEO to EPS Summary'!$B:$B,$B177)*quadrillion</f>
        <v>3400481771677.7319</v>
      </c>
      <c r="Z177">
        <f>SUMIFS('Crosswalk AEO to EPS Summary'!Z:Z,'Crosswalk AEO to EPS Summary'!$B:$B,$B177)*quadrillion</f>
        <v>3375726286321.8779</v>
      </c>
      <c r="AA177">
        <f>SUMIFS('Crosswalk AEO to EPS Summary'!AA:AA,'Crosswalk AEO to EPS Summary'!$B:$B,$B177)*quadrillion</f>
        <v>3350053448230.0283</v>
      </c>
      <c r="AB177">
        <f>SUMIFS('Crosswalk AEO to EPS Summary'!AB:AB,'Crosswalk AEO to EPS Summary'!$B:$B,$B177)*quadrillion</f>
        <v>3324390854686.499</v>
      </c>
      <c r="AC177">
        <f>SUMIFS('Crosswalk AEO to EPS Summary'!AC:AC,'Crosswalk AEO to EPS Summary'!$B:$B,$B177)*quadrillion</f>
        <v>3297913121059.5371</v>
      </c>
      <c r="AD177">
        <f>SUMIFS('Crosswalk AEO to EPS Summary'!AD:AD,'Crosswalk AEO to EPS Summary'!$B:$B,$B177)*quadrillion</f>
        <v>3272620029747.4863</v>
      </c>
      <c r="AE177">
        <f>SUMIFS('Crosswalk AEO to EPS Summary'!AE:AE,'Crosswalk AEO to EPS Summary'!$B:$B,$B177)*quadrillion</f>
        <v>3246125299483.5381</v>
      </c>
      <c r="AF177">
        <f>SUMIFS('Crosswalk AEO to EPS Summary'!AF:AF,'Crosswalk AEO to EPS Summary'!$B:$B,$B177)*quadrillion</f>
        <v>3222160739824.1758</v>
      </c>
    </row>
    <row r="178" spans="2:32" x14ac:dyDescent="0.25">
      <c r="B178" s="53" t="str">
        <f t="shared" si="13"/>
        <v>commercial-appliances-heat (BTU)</v>
      </c>
      <c r="C178" t="s">
        <v>1060</v>
      </c>
      <c r="D178" t="s">
        <v>1050</v>
      </c>
      <c r="E178" t="s">
        <v>1064</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25">
      <c r="B179" s="53" t="str">
        <f t="shared" si="13"/>
        <v>commercial-appliances-biomass (BTU)</v>
      </c>
      <c r="C179" t="s">
        <v>1060</v>
      </c>
      <c r="D179" t="s">
        <v>1050</v>
      </c>
      <c r="E179" t="s">
        <v>1058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25">
      <c r="B180" s="53" t="str">
        <f t="shared" si="13"/>
        <v>commercial-appliances-kerosene (BTU)</v>
      </c>
      <c r="C180" t="s">
        <v>1060</v>
      </c>
      <c r="D180" t="s">
        <v>1050</v>
      </c>
      <c r="E180" t="s">
        <v>1065</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25">
      <c r="B181" s="53" t="str">
        <f t="shared" si="13"/>
        <v>commercial-appliances-heavy or residual fuel oil (BTU)</v>
      </c>
      <c r="C181" t="s">
        <v>1060</v>
      </c>
      <c r="D181" t="s">
        <v>1050</v>
      </c>
      <c r="E181" t="s">
        <v>1066</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25">
      <c r="B182" s="53" t="str">
        <f t="shared" si="13"/>
        <v>commercial-other-LPG propane or butane (BTU)</v>
      </c>
      <c r="C182" t="s">
        <v>1060</v>
      </c>
      <c r="D182" t="s">
        <v>1052</v>
      </c>
      <c r="E182" t="s">
        <v>1057</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7432023466160.1719</v>
      </c>
      <c r="H182" s="43">
        <f>SUMIFS('Crosswalk AEO to EPS Summary'!H:H,'Crosswalk AEO to EPS Summary'!$B:$B,$B182)*(1-Fraction_coal)*quadrillion*(H177/SUM(H$138,H$177,H$190))</f>
        <v>7527099633187.4248</v>
      </c>
      <c r="I182" s="43">
        <f>SUMIFS('Crosswalk AEO to EPS Summary'!I:I,'Crosswalk AEO to EPS Summary'!$B:$B,$B182)*(1-Fraction_coal)*quadrillion*(I177/SUM(I$138,I$177,I$190))</f>
        <v>7412555244555.625</v>
      </c>
      <c r="J182" s="43">
        <f>SUMIFS('Crosswalk AEO to EPS Summary'!J:J,'Crosswalk AEO to EPS Summary'!$B:$B,$B182)*(1-Fraction_coal)*quadrillion*(J177/SUM(J$138,J$177,J$190))</f>
        <v>7436076180118.1816</v>
      </c>
      <c r="K182" s="43">
        <f>SUMIFS('Crosswalk AEO to EPS Summary'!K:K,'Crosswalk AEO to EPS Summary'!$B:$B,$B182)*(1-Fraction_coal)*quadrillion*(K177/SUM(K$138,K$177,K$190))</f>
        <v>7467944215141.8711</v>
      </c>
      <c r="L182" s="43">
        <f>SUMIFS('Crosswalk AEO to EPS Summary'!L:L,'Crosswalk AEO to EPS Summary'!$B:$B,$B182)*(1-Fraction_coal)*quadrillion*(L177/SUM(L$138,L$177,L$190))</f>
        <v>7512878802448.2861</v>
      </c>
      <c r="M182" s="43">
        <f>SUMIFS('Crosswalk AEO to EPS Summary'!M:M,'Crosswalk AEO to EPS Summary'!$B:$B,$B182)*(1-Fraction_coal)*quadrillion*(M177/SUM(M$138,M$177,M$190))</f>
        <v>7555347640718.9766</v>
      </c>
      <c r="N182" s="43">
        <f>SUMIFS('Crosswalk AEO to EPS Summary'!N:N,'Crosswalk AEO to EPS Summary'!$B:$B,$B182)*(1-Fraction_coal)*quadrillion*(N177/SUM(N$138,N$177,N$190))</f>
        <v>7611263787312.2607</v>
      </c>
      <c r="O182" s="43">
        <f>SUMIFS('Crosswalk AEO to EPS Summary'!O:O,'Crosswalk AEO to EPS Summary'!$B:$B,$B182)*(1-Fraction_coal)*quadrillion*(O177/SUM(O$138,O$177,O$190))</f>
        <v>7678180905298.0107</v>
      </c>
      <c r="P182" s="43">
        <f>SUMIFS('Crosswalk AEO to EPS Summary'!P:P,'Crosswalk AEO to EPS Summary'!$B:$B,$B182)*(1-Fraction_coal)*quadrillion*(P177/SUM(P$138,P$177,P$190))</f>
        <v>7754784498987.0283</v>
      </c>
      <c r="Q182" s="43">
        <f>SUMIFS('Crosswalk AEO to EPS Summary'!Q:Q,'Crosswalk AEO to EPS Summary'!$B:$B,$B182)*(1-Fraction_coal)*quadrillion*(Q177/SUM(Q$138,Q$177,Q$190))</f>
        <v>7833206026574.9082</v>
      </c>
      <c r="R182" s="43">
        <f>SUMIFS('Crosswalk AEO to EPS Summary'!R:R,'Crosswalk AEO to EPS Summary'!$B:$B,$B182)*(1-Fraction_coal)*quadrillion*(R177/SUM(R$138,R$177,R$190))</f>
        <v>7918459963506.4473</v>
      </c>
      <c r="S182" s="43">
        <f>SUMIFS('Crosswalk AEO to EPS Summary'!S:S,'Crosswalk AEO to EPS Summary'!$B:$B,$B182)*(1-Fraction_coal)*quadrillion*(S177/SUM(S$138,S$177,S$190))</f>
        <v>8008523685380.5732</v>
      </c>
      <c r="T182" s="43">
        <f>SUMIFS('Crosswalk AEO to EPS Summary'!T:T,'Crosswalk AEO to EPS Summary'!$B:$B,$B182)*(1-Fraction_coal)*quadrillion*(T177/SUM(T$138,T$177,T$190))</f>
        <v>8095592544938.1221</v>
      </c>
      <c r="U182" s="43">
        <f>SUMIFS('Crosswalk AEO to EPS Summary'!U:U,'Crosswalk AEO to EPS Summary'!$B:$B,$B182)*(1-Fraction_coal)*quadrillion*(U177/SUM(U$138,U$177,U$190))</f>
        <v>8180863791114.8906</v>
      </c>
      <c r="V182" s="43">
        <f>SUMIFS('Crosswalk AEO to EPS Summary'!V:V,'Crosswalk AEO to EPS Summary'!$B:$B,$B182)*(1-Fraction_coal)*quadrillion*(V177/SUM(V$138,V$177,V$190))</f>
        <v>8260717666749.1543</v>
      </c>
      <c r="W182" s="43">
        <f>SUMIFS('Crosswalk AEO to EPS Summary'!W:W,'Crosswalk AEO to EPS Summary'!$B:$B,$B182)*(1-Fraction_coal)*quadrillion*(W177/SUM(W$138,W$177,W$190))</f>
        <v>8336503497252.9844</v>
      </c>
      <c r="X182" s="43">
        <f>SUMIFS('Crosswalk AEO to EPS Summary'!X:X,'Crosswalk AEO to EPS Summary'!$B:$B,$B182)*(1-Fraction_coal)*quadrillion*(X177/SUM(X$138,X$177,X$190))</f>
        <v>8409089320798.8574</v>
      </c>
      <c r="Y182" s="43">
        <f>SUMIFS('Crosswalk AEO to EPS Summary'!Y:Y,'Crosswalk AEO to EPS Summary'!$B:$B,$B182)*(1-Fraction_coal)*quadrillion*(Y177/SUM(Y$138,Y$177,Y$190))</f>
        <v>8478504767194.9063</v>
      </c>
      <c r="Z182" s="43">
        <f>SUMIFS('Crosswalk AEO to EPS Summary'!Z:Z,'Crosswalk AEO to EPS Summary'!$B:$B,$B182)*(1-Fraction_coal)*quadrillion*(Z177/SUM(Z$138,Z$177,Z$190))</f>
        <v>8543782224879.0947</v>
      </c>
      <c r="AA182" s="43">
        <f>SUMIFS('Crosswalk AEO to EPS Summary'!AA:AA,'Crosswalk AEO to EPS Summary'!$B:$B,$B182)*(1-Fraction_coal)*quadrillion*(AA177/SUM(AA$138,AA$177,AA$190))</f>
        <v>8607268388033.8848</v>
      </c>
      <c r="AB182" s="43">
        <f>SUMIFS('Crosswalk AEO to EPS Summary'!AB:AB,'Crosswalk AEO to EPS Summary'!$B:$B,$B182)*(1-Fraction_coal)*quadrillion*(AB177/SUM(AB$138,AB$177,AB$190))</f>
        <v>8670596025051.8477</v>
      </c>
      <c r="AC182" s="43">
        <f>SUMIFS('Crosswalk AEO to EPS Summary'!AC:AC,'Crosswalk AEO to EPS Summary'!$B:$B,$B182)*(1-Fraction_coal)*quadrillion*(AC177/SUM(AC$138,AC$177,AC$190))</f>
        <v>8732950279968.6045</v>
      </c>
      <c r="AD182" s="43">
        <f>SUMIFS('Crosswalk AEO to EPS Summary'!AD:AD,'Crosswalk AEO to EPS Summary'!$B:$B,$B182)*(1-Fraction_coal)*quadrillion*(AD177/SUM(AD$138,AD$177,AD$190))</f>
        <v>8794501323262.4297</v>
      </c>
      <c r="AE182" s="43">
        <f>SUMIFS('Crosswalk AEO to EPS Summary'!AE:AE,'Crosswalk AEO to EPS Summary'!$B:$B,$B182)*(1-Fraction_coal)*quadrillion*(AE177/SUM(AE$138,AE$177,AE$190))</f>
        <v>8855146403366.0547</v>
      </c>
      <c r="AF182" s="43">
        <f>SUMIFS('Crosswalk AEO to EPS Summary'!AF:AF,'Crosswalk AEO to EPS Summary'!$B:$B,$B182)*(1-Fraction_coal)*quadrillion*(AF177/SUM(AF$138,AF$177,AF$190))</f>
        <v>8915511783653.0156</v>
      </c>
    </row>
    <row r="183" spans="2:32" x14ac:dyDescent="0.25">
      <c r="B183" s="53" t="str">
        <f t="shared" si="13"/>
        <v>commercial-appliances-hydrogen (BTU)</v>
      </c>
      <c r="C183" t="s">
        <v>1060</v>
      </c>
      <c r="D183" t="s">
        <v>1050</v>
      </c>
      <c r="E183" t="s">
        <v>1067</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25">
      <c r="B185" s="1" t="s">
        <v>1082</v>
      </c>
    </row>
    <row r="186" spans="2:32" x14ac:dyDescent="0.25">
      <c r="E186" t="s">
        <v>1026</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25">
      <c r="B187" s="53" t="str">
        <f t="shared" ref="B187:B196" si="14">C187&amp;"-"&amp;D187&amp;"-"&amp;E187</f>
        <v>commercial-other-electricity (BTU)</v>
      </c>
      <c r="C187" t="s">
        <v>1060</v>
      </c>
      <c r="D187" t="s">
        <v>1052</v>
      </c>
      <c r="E187" s="58" t="s">
        <v>1048</v>
      </c>
      <c r="F187">
        <f>SUMIFS('Crosswalk AEO to EPS Summary'!F:F,'Crosswalk AEO to EPS Summary'!$B:$B,$B187)*quadrillion-'AEO Data Center Load'!B17</f>
        <v>2001871651877133</v>
      </c>
      <c r="G187">
        <f>SUMIFS('Crosswalk AEO to EPS Summary'!G:G,'Crosswalk AEO to EPS Summary'!$B:$B,$B187)*quadrillion-'AEO Data Center Load'!C17</f>
        <v>1984165651877133</v>
      </c>
      <c r="H187">
        <f>SUMIFS('Crosswalk AEO to EPS Summary'!H:H,'Crosswalk AEO to EPS Summary'!$B:$B,$B187)*quadrillion-'AEO Data Center Load'!D17</f>
        <v>1973073651877133</v>
      </c>
      <c r="I187">
        <f>SUMIFS('Crosswalk AEO to EPS Summary'!I:I,'Crosswalk AEO to EPS Summary'!$B:$B,$B187)*quadrillion-'AEO Data Center Load'!E17</f>
        <v>1965880651877133.5</v>
      </c>
      <c r="J187">
        <f>SUMIFS('Crosswalk AEO to EPS Summary'!J:J,'Crosswalk AEO to EPS Summary'!$B:$B,$B187)*quadrillion-'AEO Data Center Load'!F17</f>
        <v>1972296651877133.3</v>
      </c>
      <c r="K187">
        <f>SUMIFS('Crosswalk AEO to EPS Summary'!K:K,'Crosswalk AEO to EPS Summary'!$B:$B,$B187)*quadrillion-'AEO Data Center Load'!G17</f>
        <v>1977791651877133.5</v>
      </c>
      <c r="L187">
        <f>SUMIFS('Crosswalk AEO to EPS Summary'!L:L,'Crosswalk AEO to EPS Summary'!$B:$B,$B187)*quadrillion-'AEO Data Center Load'!H17</f>
        <v>2007203651877133.3</v>
      </c>
      <c r="M187">
        <f>SUMIFS('Crosswalk AEO to EPS Summary'!M:M,'Crosswalk AEO to EPS Summary'!$B:$B,$B187)*quadrillion-'AEO Data Center Load'!I17</f>
        <v>2038276651877133.5</v>
      </c>
      <c r="N187">
        <f>SUMIFS('Crosswalk AEO to EPS Summary'!N:N,'Crosswalk AEO to EPS Summary'!$B:$B,$B187)*quadrillion-'AEO Data Center Load'!J17</f>
        <v>2070520651877133</v>
      </c>
      <c r="O187">
        <f>SUMIFS('Crosswalk AEO to EPS Summary'!O:O,'Crosswalk AEO to EPS Summary'!$B:$B,$B187)*quadrillion-'AEO Data Center Load'!K17</f>
        <v>2103382651877133</v>
      </c>
      <c r="P187">
        <f>SUMIFS('Crosswalk AEO to EPS Summary'!P:P,'Crosswalk AEO to EPS Summary'!$B:$B,$B187)*quadrillion-'AEO Data Center Load'!L17</f>
        <v>2136443651877133.3</v>
      </c>
      <c r="Q187">
        <f>SUMIFS('Crosswalk AEO to EPS Summary'!Q:Q,'Crosswalk AEO to EPS Summary'!$B:$B,$B187)*quadrillion-'AEO Data Center Load'!M17</f>
        <v>2168108651877133</v>
      </c>
      <c r="R187">
        <f>SUMIFS('Crosswalk AEO to EPS Summary'!R:R,'Crosswalk AEO to EPS Summary'!$B:$B,$B187)*quadrillion-'AEO Data Center Load'!N17</f>
        <v>2199529651877133.3</v>
      </c>
      <c r="S187">
        <f>SUMIFS('Crosswalk AEO to EPS Summary'!S:S,'Crosswalk AEO to EPS Summary'!$B:$B,$B187)*quadrillion-'AEO Data Center Load'!O17</f>
        <v>2230101651877133.3</v>
      </c>
      <c r="T187">
        <f>SUMIFS('Crosswalk AEO to EPS Summary'!T:T,'Crosswalk AEO to EPS Summary'!$B:$B,$B187)*quadrillion-'AEO Data Center Load'!P17</f>
        <v>2261373651877133</v>
      </c>
      <c r="U187">
        <f>SUMIFS('Crosswalk AEO to EPS Summary'!U:U,'Crosswalk AEO to EPS Summary'!$B:$B,$B187)*quadrillion-'AEO Data Center Load'!Q17</f>
        <v>2291704651877133.5</v>
      </c>
      <c r="V187">
        <f>SUMIFS('Crosswalk AEO to EPS Summary'!V:V,'Crosswalk AEO to EPS Summary'!$B:$B,$B187)*quadrillion-'AEO Data Center Load'!R17</f>
        <v>2321617651877133</v>
      </c>
      <c r="W187">
        <f>SUMIFS('Crosswalk AEO to EPS Summary'!W:W,'Crosswalk AEO to EPS Summary'!$B:$B,$B187)*quadrillion-'AEO Data Center Load'!S17</f>
        <v>2351492651877133</v>
      </c>
      <c r="X187">
        <f>SUMIFS('Crosswalk AEO to EPS Summary'!X:X,'Crosswalk AEO to EPS Summary'!$B:$B,$B187)*quadrillion-'AEO Data Center Load'!T17</f>
        <v>2381838651877133.5</v>
      </c>
      <c r="Y187">
        <f>SUMIFS('Crosswalk AEO to EPS Summary'!Y:Y,'Crosswalk AEO to EPS Summary'!$B:$B,$B187)*quadrillion-'AEO Data Center Load'!U17</f>
        <v>2413647651877133</v>
      </c>
      <c r="Z187">
        <f>SUMIFS('Crosswalk AEO to EPS Summary'!Z:Z,'Crosswalk AEO to EPS Summary'!$B:$B,$B187)*quadrillion-'AEO Data Center Load'!V17</f>
        <v>2445681651877133.5</v>
      </c>
      <c r="AA187">
        <f>SUMIFS('Crosswalk AEO to EPS Summary'!AA:AA,'Crosswalk AEO to EPS Summary'!$B:$B,$B187)*quadrillion-'AEO Data Center Load'!W17</f>
        <v>2479562651877133.5</v>
      </c>
      <c r="AB187">
        <f>SUMIFS('Crosswalk AEO to EPS Summary'!AB:AB,'Crosswalk AEO to EPS Summary'!$B:$B,$B187)*quadrillion-'AEO Data Center Load'!X17</f>
        <v>2515241651877133</v>
      </c>
      <c r="AC187">
        <f>SUMIFS('Crosswalk AEO to EPS Summary'!AC:AC,'Crosswalk AEO to EPS Summary'!$B:$B,$B187)*quadrillion-'AEO Data Center Load'!Y17</f>
        <v>2552161651877133</v>
      </c>
      <c r="AD187">
        <f>SUMIFS('Crosswalk AEO to EPS Summary'!AD:AD,'Crosswalk AEO to EPS Summary'!$B:$B,$B187)*quadrillion-'AEO Data Center Load'!Z17</f>
        <v>2590821651877133</v>
      </c>
      <c r="AE187">
        <f>SUMIFS('Crosswalk AEO to EPS Summary'!AE:AE,'Crosswalk AEO to EPS Summary'!$B:$B,$B187)*quadrillion-'AEO Data Center Load'!AA17</f>
        <v>2631492651877133</v>
      </c>
      <c r="AF187">
        <f>SUMIFS('Crosswalk AEO to EPS Summary'!AF:AF,'Crosswalk AEO to EPS Summary'!$B:$B,$B187)*quadrillion-'AEO Data Center Load'!AB17</f>
        <v>2673769651877133.5</v>
      </c>
    </row>
    <row r="188" spans="2:32" x14ac:dyDescent="0.25">
      <c r="B188" s="53" t="str">
        <f t="shared" si="14"/>
        <v>commercial-other-coal (BTU)</v>
      </c>
      <c r="C188" t="s">
        <v>1060</v>
      </c>
      <c r="D188" t="s">
        <v>1052</v>
      </c>
      <c r="E188" t="s">
        <v>1063</v>
      </c>
      <c r="F188" s="43">
        <f>SUMIFS('Crosswalk AEO to EPS Summary'!F:F,'Crosswalk AEO to EPS Summary'!$B:$B,$B195)*(Fraction_coal)*quadrillion</f>
        <v>26136440000000</v>
      </c>
      <c r="G188" s="43">
        <f>SUMIFS('Crosswalk AEO to EPS Summary'!G:G,'Crosswalk AEO to EPS Summary'!$B:$B,$B195)*(Fraction_coal)*quadrillion</f>
        <v>25921943187713.625</v>
      </c>
      <c r="H188" s="43">
        <f>SUMIFS('Crosswalk AEO to EPS Summary'!H:H,'Crosswalk AEO to EPS Summary'!$B:$B,$B195)*(Fraction_coal)*quadrillion</f>
        <v>26443774700164.793</v>
      </c>
      <c r="I188" s="43">
        <f>SUMIFS('Crosswalk AEO to EPS Summary'!I:I,'Crosswalk AEO to EPS Summary'!$B:$B,$B195)*(Fraction_coal)*quadrillion</f>
        <v>26726362705230.715</v>
      </c>
      <c r="J188" s="43">
        <f>SUMIFS('Crosswalk AEO to EPS Summary'!J:J,'Crosswalk AEO to EPS Summary'!$B:$B,$B195)*(Fraction_coal)*quadrillion</f>
        <v>27012383937835.695</v>
      </c>
      <c r="K188" s="43">
        <f>SUMIFS('Crosswalk AEO to EPS Summary'!K:K,'Crosswalk AEO to EPS Summary'!$B:$B,$B195)*(Fraction_coal)*quadrillion</f>
        <v>27300610542297.363</v>
      </c>
      <c r="L188" s="43">
        <f>SUMIFS('Crosswalk AEO to EPS Summary'!L:L,'Crosswalk AEO to EPS Summary'!$B:$B,$B195)*(Fraction_coal)*quadrillion</f>
        <v>27623445987701.418</v>
      </c>
      <c r="M188" s="43">
        <f>SUMIFS('Crosswalk AEO to EPS Summary'!M:M,'Crosswalk AEO to EPS Summary'!$B:$B,$B195)*(Fraction_coal)*quadrillion</f>
        <v>27916691303253.172</v>
      </c>
      <c r="N188" s="43">
        <f>SUMIFS('Crosswalk AEO to EPS Summary'!N:N,'Crosswalk AEO to EPS Summary'!$B:$B,$B195)*(Fraction_coal)*quadrillion</f>
        <v>28238053321838.379</v>
      </c>
      <c r="O188" s="43">
        <f>SUMIFS('Crosswalk AEO to EPS Summary'!O:O,'Crosswalk AEO to EPS Summary'!$B:$B,$B195)*(Fraction_coal)*quadrillion</f>
        <v>28558847904205.324</v>
      </c>
      <c r="P188" s="43">
        <f>SUMIFS('Crosswalk AEO to EPS Summary'!P:P,'Crosswalk AEO to EPS Summary'!$B:$B,$B195)*(Fraction_coal)*quadrillion</f>
        <v>28906266689300.535</v>
      </c>
      <c r="Q188" s="43">
        <f>SUMIFS('Crosswalk AEO to EPS Summary'!Q:Q,'Crosswalk AEO to EPS Summary'!$B:$B,$B195)*(Fraction_coal)*quadrillion</f>
        <v>29253189563751.223</v>
      </c>
      <c r="R188" s="43">
        <f>SUMIFS('Crosswalk AEO to EPS Summary'!R:R,'Crosswalk AEO to EPS Summary'!$B:$B,$B195)*(Fraction_coal)*quadrillion</f>
        <v>29621410369873.047</v>
      </c>
      <c r="S188" s="43">
        <f>SUMIFS('Crosswalk AEO to EPS Summary'!S:S,'Crosswalk AEO to EPS Summary'!$B:$B,$B195)*(Fraction_coal)*quadrillion</f>
        <v>29992935657501.223</v>
      </c>
      <c r="T188" s="43">
        <f>SUMIFS('Crosswalk AEO to EPS Summary'!T:T,'Crosswalk AEO to EPS Summary'!$B:$B,$B195)*(Fraction_coal)*quadrillion</f>
        <v>30356109142303.469</v>
      </c>
      <c r="U188" s="43">
        <f>SUMIFS('Crosswalk AEO to EPS Summary'!U:U,'Crosswalk AEO to EPS Summary'!$B:$B,$B195)*(Fraction_coal)*quadrillion</f>
        <v>30714454650878.91</v>
      </c>
      <c r="V188" s="43">
        <f>SUMIFS('Crosswalk AEO to EPS Summary'!V:V,'Crosswalk AEO to EPS Summary'!$B:$B,$B195)*(Fraction_coal)*quadrillion</f>
        <v>31061232089996.336</v>
      </c>
      <c r="W188" s="43">
        <f>SUMIFS('Crosswalk AEO to EPS Summary'!W:W,'Crosswalk AEO to EPS Summary'!$B:$B,$B195)*(Fraction_coal)*quadrillion</f>
        <v>31388726234436.039</v>
      </c>
      <c r="X188" s="43">
        <f>SUMIFS('Crosswalk AEO to EPS Summary'!X:X,'Crosswalk AEO to EPS Summary'!$B:$B,$B195)*(Fraction_coal)*quadrillion</f>
        <v>31706964969635.008</v>
      </c>
      <c r="Y188" s="43">
        <f>SUMIFS('Crosswalk AEO to EPS Summary'!Y:Y,'Crosswalk AEO to EPS Summary'!$B:$B,$B195)*(Fraction_coal)*quadrillion</f>
        <v>32015733718872.07</v>
      </c>
      <c r="Z188" s="43">
        <f>SUMIFS('Crosswalk AEO to EPS Summary'!Z:Z,'Crosswalk AEO to EPS Summary'!$B:$B,$B195)*(Fraction_coal)*quadrillion</f>
        <v>32317502498626.707</v>
      </c>
      <c r="AA188" s="43">
        <f>SUMIFS('Crosswalk AEO to EPS Summary'!AA:AA,'Crosswalk AEO to EPS Summary'!$B:$B,$B195)*(Fraction_coal)*quadrillion</f>
        <v>32612516880035.398</v>
      </c>
      <c r="AB188" s="43">
        <f>SUMIFS('Crosswalk AEO to EPS Summary'!AB:AB,'Crosswalk AEO to EPS Summary'!$B:$B,$B195)*(Fraction_coal)*quadrillion</f>
        <v>32906703948974.609</v>
      </c>
      <c r="AC188" s="43">
        <f>SUMIFS('Crosswalk AEO to EPS Summary'!AC:AC,'Crosswalk AEO to EPS Summary'!$B:$B,$B195)*(Fraction_coal)*quadrillion</f>
        <v>33196177482604.984</v>
      </c>
      <c r="AD188" s="43">
        <f>SUMIFS('Crosswalk AEO to EPS Summary'!AD:AD,'Crosswalk AEO to EPS Summary'!$B:$B,$B195)*(Fraction_coal)*quadrillion</f>
        <v>33484463691711.422</v>
      </c>
      <c r="AE188" s="43">
        <f>SUMIFS('Crosswalk AEO to EPS Summary'!AE:AE,'Crosswalk AEO to EPS Summary'!$B:$B,$B195)*(Fraction_coal)*quadrillion</f>
        <v>33771786689758.305</v>
      </c>
      <c r="AF188" s="43">
        <f>SUMIFS('Crosswalk AEO to EPS Summary'!AF:AF,'Crosswalk AEO to EPS Summary'!$B:$B,$B195)*(Fraction_coal)*quadrillion</f>
        <v>34060368537902.832</v>
      </c>
    </row>
    <row r="189" spans="2:32" x14ac:dyDescent="0.25">
      <c r="B189" s="53" t="str">
        <f t="shared" si="14"/>
        <v>commercial-other-natural gas (BTU)</v>
      </c>
      <c r="C189" t="s">
        <v>1060</v>
      </c>
      <c r="D189" t="s">
        <v>1052</v>
      </c>
      <c r="E189" t="s">
        <v>1055</v>
      </c>
      <c r="F189">
        <f>SUMIFS('Crosswalk AEO to EPS Summary'!F:F,'Crosswalk AEO to EPS Summary'!$B:$B,$B189)*quadrillion</f>
        <v>1200143000000000</v>
      </c>
      <c r="G189">
        <f>SUMIFS('Crosswalk AEO to EPS Summary'!G:G,'Crosswalk AEO to EPS Summary'!$B:$B,$B189)*quadrillion</f>
        <v>1267356395721436</v>
      </c>
      <c r="H189">
        <f>SUMIFS('Crosswalk AEO to EPS Summary'!H:H,'Crosswalk AEO to EPS Summary'!$B:$B,$B189)*quadrillion</f>
        <v>1194332599639893</v>
      </c>
      <c r="I189">
        <f>SUMIFS('Crosswalk AEO to EPS Summary'!I:I,'Crosswalk AEO to EPS Summary'!$B:$B,$B189)*quadrillion</f>
        <v>1199043273925781</v>
      </c>
      <c r="J189">
        <f>SUMIFS('Crosswalk AEO to EPS Summary'!J:J,'Crosswalk AEO to EPS Summary'!$B:$B,$B189)*quadrillion</f>
        <v>1197086334228516</v>
      </c>
      <c r="K189">
        <f>SUMIFS('Crosswalk AEO to EPS Summary'!K:K,'Crosswalk AEO to EPS Summary'!$B:$B,$B189)*quadrillion</f>
        <v>1188332796096802</v>
      </c>
      <c r="L189">
        <f>SUMIFS('Crosswalk AEO to EPS Summary'!L:L,'Crosswalk AEO to EPS Summary'!$B:$B,$B189)*quadrillion</f>
        <v>1177144050598145</v>
      </c>
      <c r="M189">
        <f>SUMIFS('Crosswalk AEO to EPS Summary'!M:M,'Crosswalk AEO to EPS Summary'!$B:$B,$B189)*quadrillion</f>
        <v>1166084527969360</v>
      </c>
      <c r="N189">
        <f>SUMIFS('Crosswalk AEO to EPS Summary'!N:N,'Crosswalk AEO to EPS Summary'!$B:$B,$B189)*quadrillion</f>
        <v>1160668134689331</v>
      </c>
      <c r="O189">
        <f>SUMIFS('Crosswalk AEO to EPS Summary'!O:O,'Crosswalk AEO to EPS Summary'!$B:$B,$B189)*quadrillion</f>
        <v>1157207250595093</v>
      </c>
      <c r="P189">
        <f>SUMIFS('Crosswalk AEO to EPS Summary'!P:P,'Crosswalk AEO to EPS Summary'!$B:$B,$B189)*quadrillion</f>
        <v>1156333923339844</v>
      </c>
      <c r="Q189">
        <f>SUMIFS('Crosswalk AEO to EPS Summary'!Q:Q,'Crosswalk AEO to EPS Summary'!$B:$B,$B189)*quadrillion</f>
        <v>1155312299728394</v>
      </c>
      <c r="R189">
        <f>SUMIFS('Crosswalk AEO to EPS Summary'!R:R,'Crosswalk AEO to EPS Summary'!$B:$B,$B189)*quadrillion</f>
        <v>1155334234237671</v>
      </c>
      <c r="S189">
        <f>SUMIFS('Crosswalk AEO to EPS Summary'!S:S,'Crosswalk AEO to EPS Summary'!$B:$B,$B189)*quadrillion</f>
        <v>1155167102813721</v>
      </c>
      <c r="T189">
        <f>SUMIFS('Crosswalk AEO to EPS Summary'!T:T,'Crosswalk AEO to EPS Summary'!$B:$B,$B189)*quadrillion</f>
        <v>1155124664306641</v>
      </c>
      <c r="U189">
        <f>SUMIFS('Crosswalk AEO to EPS Summary'!U:U,'Crosswalk AEO to EPS Summary'!$B:$B,$B189)*quadrillion</f>
        <v>1154979467391968</v>
      </c>
      <c r="V189">
        <f>SUMIFS('Crosswalk AEO to EPS Summary'!V:V,'Crosswalk AEO to EPS Summary'!$B:$B,$B189)*quadrillion</f>
        <v>1155163049697876</v>
      </c>
      <c r="W189">
        <f>SUMIFS('Crosswalk AEO to EPS Summary'!W:W,'Crosswalk AEO to EPS Summary'!$B:$B,$B189)*quadrillion</f>
        <v>1155524969100952</v>
      </c>
      <c r="X189">
        <f>SUMIFS('Crosswalk AEO to EPS Summary'!X:X,'Crosswalk AEO to EPS Summary'!$B:$B,$B189)*quadrillion</f>
        <v>1157366037368774</v>
      </c>
      <c r="Y189">
        <f>SUMIFS('Crosswalk AEO to EPS Summary'!Y:Y,'Crosswalk AEO to EPS Summary'!$B:$B,$B189)*quadrillion</f>
        <v>1159725189208984</v>
      </c>
      <c r="Z189">
        <f>SUMIFS('Crosswalk AEO to EPS Summary'!Z:Z,'Crosswalk AEO to EPS Summary'!$B:$B,$B189)*quadrillion</f>
        <v>1162961244583130</v>
      </c>
      <c r="AA189">
        <f>SUMIFS('Crosswalk AEO to EPS Summary'!AA:AA,'Crosswalk AEO to EPS Summary'!$B:$B,$B189)*quadrillion</f>
        <v>1165869474411011</v>
      </c>
      <c r="AB189">
        <f>SUMIFS('Crosswalk AEO to EPS Summary'!AB:AB,'Crosswalk AEO to EPS Summary'!$B:$B,$B189)*quadrillion</f>
        <v>1167381525039673</v>
      </c>
      <c r="AC189">
        <f>SUMIFS('Crosswalk AEO to EPS Summary'!AC:AC,'Crosswalk AEO to EPS Summary'!$B:$B,$B189)*quadrillion</f>
        <v>1168018341064453</v>
      </c>
      <c r="AD189">
        <f>SUMIFS('Crosswalk AEO to EPS Summary'!AD:AD,'Crosswalk AEO to EPS Summary'!$B:$B,$B189)*quadrillion</f>
        <v>1168419599533081</v>
      </c>
      <c r="AE189">
        <f>SUMIFS('Crosswalk AEO to EPS Summary'!AE:AE,'Crosswalk AEO to EPS Summary'!$B:$B,$B189)*quadrillion</f>
        <v>1168869495391846</v>
      </c>
      <c r="AF189">
        <f>SUMIFS('Crosswalk AEO to EPS Summary'!AF:AF,'Crosswalk AEO to EPS Summary'!$B:$B,$B189)*quadrillion</f>
        <v>1169651508331299</v>
      </c>
    </row>
    <row r="190" spans="2:32" x14ac:dyDescent="0.25">
      <c r="B190" s="53" t="str">
        <f t="shared" si="14"/>
        <v>commercial-other-petroleum diesel (BTU)</v>
      </c>
      <c r="C190" t="s">
        <v>1060</v>
      </c>
      <c r="D190" t="s">
        <v>1052</v>
      </c>
      <c r="E190" t="s">
        <v>1056</v>
      </c>
      <c r="F190">
        <f>SUMIFS('Crosswalk AEO to EPS Summary'!F:F,'Crosswalk AEO to EPS Summary'!$B:$B,$B190)*quadrillion</f>
        <v>235269000000000</v>
      </c>
      <c r="G190">
        <f>SUMIFS('Crosswalk AEO to EPS Summary'!G:G,'Crosswalk AEO to EPS Summary'!$B:$B,$B190)*quadrillion</f>
        <v>237123906612396.22</v>
      </c>
      <c r="H190">
        <f>SUMIFS('Crosswalk AEO to EPS Summary'!H:H,'Crosswalk AEO to EPS Summary'!$B:$B,$B190)*quadrillion</f>
        <v>242391526699066.19</v>
      </c>
      <c r="I190">
        <f>SUMIFS('Crosswalk AEO to EPS Summary'!I:I,'Crosswalk AEO to EPS Summary'!$B:$B,$B190)*quadrillion</f>
        <v>250525891780853.31</v>
      </c>
      <c r="J190">
        <f>SUMIFS('Crosswalk AEO to EPS Summary'!J:J,'Crosswalk AEO to EPS Summary'!$B:$B,$B190)*quadrillion</f>
        <v>252410143613815.31</v>
      </c>
      <c r="K190">
        <f>SUMIFS('Crosswalk AEO to EPS Summary'!K:K,'Crosswalk AEO to EPS Summary'!$B:$B,$B190)*quadrillion</f>
        <v>253940939903259.28</v>
      </c>
      <c r="L190">
        <f>SUMIFS('Crosswalk AEO to EPS Summary'!L:L,'Crosswalk AEO to EPS Summary'!$B:$B,$B190)*quadrillion</f>
        <v>256358504295349.13</v>
      </c>
      <c r="M190">
        <f>SUMIFS('Crosswalk AEO to EPS Summary'!M:M,'Crosswalk AEO to EPS Summary'!$B:$B,$B190)*quadrillion</f>
        <v>258467733860015.94</v>
      </c>
      <c r="N190">
        <f>SUMIFS('Crosswalk AEO to EPS Summary'!N:N,'Crosswalk AEO to EPS Summary'!$B:$B,$B190)*quadrillion</f>
        <v>259218662977218.56</v>
      </c>
      <c r="O190">
        <f>SUMIFS('Crosswalk AEO to EPS Summary'!O:O,'Crosswalk AEO to EPS Summary'!$B:$B,$B190)*quadrillion</f>
        <v>258164495229721.13</v>
      </c>
      <c r="P190">
        <f>SUMIFS('Crosswalk AEO to EPS Summary'!P:P,'Crosswalk AEO to EPS Summary'!$B:$B,$B190)*quadrillion</f>
        <v>257157713174819.91</v>
      </c>
      <c r="Q190">
        <f>SUMIFS('Crosswalk AEO to EPS Summary'!Q:Q,'Crosswalk AEO to EPS Summary'!$B:$B,$B190)*quadrillion</f>
        <v>256192505359649.72</v>
      </c>
      <c r="R190">
        <f>SUMIFS('Crosswalk AEO to EPS Summary'!R:R,'Crosswalk AEO to EPS Summary'!$B:$B,$B190)*quadrillion</f>
        <v>255626380443573</v>
      </c>
      <c r="S190">
        <f>SUMIFS('Crosswalk AEO to EPS Summary'!S:S,'Crosswalk AEO to EPS Summary'!$B:$B,$B190)*quadrillion</f>
        <v>254962325096130.44</v>
      </c>
      <c r="T190">
        <f>SUMIFS('Crosswalk AEO to EPS Summary'!T:T,'Crosswalk AEO to EPS Summary'!$B:$B,$B190)*quadrillion</f>
        <v>254280090332031.19</v>
      </c>
      <c r="U190">
        <f>SUMIFS('Crosswalk AEO to EPS Summary'!U:U,'Crosswalk AEO to EPS Summary'!$B:$B,$B190)*quadrillion</f>
        <v>253748297691345.22</v>
      </c>
      <c r="V190">
        <f>SUMIFS('Crosswalk AEO to EPS Summary'!V:V,'Crosswalk AEO to EPS Summary'!$B:$B,$B190)*quadrillion</f>
        <v>253288805484771.69</v>
      </c>
      <c r="W190">
        <f>SUMIFS('Crosswalk AEO to EPS Summary'!W:W,'Crosswalk AEO to EPS Summary'!$B:$B,$B190)*quadrillion</f>
        <v>252780407667159.97</v>
      </c>
      <c r="X190">
        <f>SUMIFS('Crosswalk AEO to EPS Summary'!X:X,'Crosswalk AEO to EPS Summary'!$B:$B,$B190)*quadrillion</f>
        <v>252305954694747.94</v>
      </c>
      <c r="Y190">
        <f>SUMIFS('Crosswalk AEO to EPS Summary'!Y:Y,'Crosswalk AEO to EPS Summary'!$B:$B,$B190)*quadrillion</f>
        <v>251798540353775.03</v>
      </c>
      <c r="Z190">
        <f>SUMIFS('Crosswalk AEO to EPS Summary'!Z:Z,'Crosswalk AEO to EPS Summary'!$B:$B,$B190)*quadrillion</f>
        <v>251265168190002.38</v>
      </c>
      <c r="AA190">
        <f>SUMIFS('Crosswalk AEO to EPS Summary'!AA:AA,'Crosswalk AEO to EPS Summary'!$B:$B,$B190)*quadrillion</f>
        <v>250629872083663.88</v>
      </c>
      <c r="AB190">
        <f>SUMIFS('Crosswalk AEO to EPS Summary'!AB:AB,'Crosswalk AEO to EPS Summary'!$B:$B,$B190)*quadrillion</f>
        <v>249962061643600.5</v>
      </c>
      <c r="AC190">
        <f>SUMIFS('Crosswalk AEO to EPS Summary'!AC:AC,'Crosswalk AEO to EPS Summary'!$B:$B,$B190)*quadrillion</f>
        <v>249194756150245.69</v>
      </c>
      <c r="AD190">
        <f>SUMIFS('Crosswalk AEO to EPS Summary'!AD:AD,'Crosswalk AEO to EPS Summary'!$B:$B,$B190)*quadrillion</f>
        <v>248498052358627.28</v>
      </c>
      <c r="AE190">
        <f>SUMIFS('Crosswalk AEO to EPS Summary'!AE:AE,'Crosswalk AEO to EPS Summary'!$B:$B,$B190)*quadrillion</f>
        <v>247696995735168.5</v>
      </c>
      <c r="AF190">
        <f>SUMIFS('Crosswalk AEO to EPS Summary'!AF:AF,'Crosswalk AEO to EPS Summary'!$B:$B,$B190)*quadrillion</f>
        <v>247076272964477.5</v>
      </c>
    </row>
    <row r="191" spans="2:32" x14ac:dyDescent="0.25">
      <c r="B191" s="53" t="str">
        <f t="shared" si="14"/>
        <v>commercial-other-heat (BTU)</v>
      </c>
      <c r="C191" t="s">
        <v>1060</v>
      </c>
      <c r="D191" t="s">
        <v>1052</v>
      </c>
      <c r="E191" t="s">
        <v>1064</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25">
      <c r="B192" s="53" t="str">
        <f t="shared" si="14"/>
        <v>commercial-other-biomass (BTU)</v>
      </c>
      <c r="C192" t="s">
        <v>1060</v>
      </c>
      <c r="D192" t="s">
        <v>1052</v>
      </c>
      <c r="E192" t="s">
        <v>1058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25">
      <c r="B193" s="53" t="str">
        <f t="shared" si="14"/>
        <v>commercial-other-kerosene (BTU)</v>
      </c>
      <c r="C193" t="s">
        <v>1060</v>
      </c>
      <c r="D193" t="s">
        <v>1052</v>
      </c>
      <c r="E193" t="s">
        <v>1065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25">
      <c r="B194" s="53" t="str">
        <f t="shared" si="14"/>
        <v>commercial-other-heavy or residual fuel oil (BTU)</v>
      </c>
      <c r="C194" t="s">
        <v>1060</v>
      </c>
      <c r="D194" t="s">
        <v>1052</v>
      </c>
      <c r="E194" t="s">
        <v>1066</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25">
      <c r="B195" s="53" t="str">
        <f t="shared" si="14"/>
        <v>commercial-other-LPG propane or butane (BTU)</v>
      </c>
      <c r="C195" t="s">
        <v>1060</v>
      </c>
      <c r="D195" t="s">
        <v>1052</v>
      </c>
      <c r="E195" t="s">
        <v>1057</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467697526219205.19</v>
      </c>
      <c r="H195" s="43">
        <f>SUMIFS('Crosswalk AEO to EPS Summary'!H:H,'Crosswalk AEO to EPS Summary'!$B:$B,$B195)*(1-Fraction_coal)*quadrillion*(H190/SUM(H$138,H$177,H$190))</f>
        <v>482255569796908.06</v>
      </c>
      <c r="I195" s="43">
        <f>SUMIFS('Crosswalk AEO to EPS Summary'!I:I,'Crosswalk AEO to EPS Summary'!$B:$B,$B195)*(1-Fraction_coal)*quadrillion*(I190/SUM(I$138,I$177,I$190))</f>
        <v>492258006878364.5</v>
      </c>
      <c r="J195" s="43">
        <f>SUMIFS('Crosswalk AEO to EPS Summary'!J:J,'Crosswalk AEO to EPS Summary'!$B:$B,$B195)*(1-Fraction_coal)*quadrillion*(J190/SUM(J$138,J$177,J$190))</f>
        <v>499662411744553.19</v>
      </c>
      <c r="K195" s="43">
        <f>SUMIFS('Crosswalk AEO to EPS Summary'!K:K,'Crosswalk AEO to EPS Summary'!$B:$B,$B195)*(1-Fraction_coal)*quadrillion*(K190/SUM(K$138,K$177,K$190))</f>
        <v>507400687893887.75</v>
      </c>
      <c r="L195" s="43">
        <f>SUMIFS('Crosswalk AEO to EPS Summary'!L:L,'Crosswalk AEO to EPS Summary'!$B:$B,$B195)*(1-Fraction_coal)*quadrillion*(L190/SUM(L$138,L$177,L$190))</f>
        <v>515827726590463.63</v>
      </c>
      <c r="M195" s="43">
        <f>SUMIFS('Crosswalk AEO to EPS Summary'!M:M,'Crosswalk AEO to EPS Summary'!$B:$B,$B195)*(1-Fraction_coal)*quadrillion*(M190/SUM(M$138,M$177,M$190))</f>
        <v>523579512546766.13</v>
      </c>
      <c r="N195" s="43">
        <f>SUMIFS('Crosswalk AEO to EPS Summary'!N:N,'Crosswalk AEO to EPS Summary'!$B:$B,$B195)*(1-Fraction_coal)*quadrillion*(N190/SUM(N$138,N$177,N$190))</f>
        <v>531839716012952.75</v>
      </c>
      <c r="O195" s="43">
        <f>SUMIFS('Crosswalk AEO to EPS Summary'!O:O,'Crosswalk AEO to EPS Summary'!$B:$B,$B195)*(1-Fraction_coal)*quadrillion*(O190/SUM(O$138,O$177,O$190))</f>
        <v>539894645858652.25</v>
      </c>
      <c r="P195" s="43">
        <f>SUMIFS('Crosswalk AEO to EPS Summary'!P:P,'Crosswalk AEO to EPS Summary'!$B:$B,$B195)*(1-Fraction_coal)*quadrillion*(P190/SUM(P$138,P$177,P$190))</f>
        <v>548517478578676.56</v>
      </c>
      <c r="Q195" s="43">
        <f>SUMIFS('Crosswalk AEO to EPS Summary'!Q:Q,'Crosswalk AEO to EPS Summary'!$B:$B,$B195)*(1-Fraction_coal)*quadrillion*(Q190/SUM(Q$138,Q$177,Q$190))</f>
        <v>557203324714673.44</v>
      </c>
      <c r="R195" s="43">
        <f>SUMIFS('Crosswalk AEO to EPS Summary'!R:R,'Crosswalk AEO to EPS Summary'!$B:$B,$B195)*(1-Fraction_coal)*quadrillion*(R190/SUM(R$138,R$177,R$190))</f>
        <v>566361050704407.25</v>
      </c>
      <c r="S195" s="43">
        <f>SUMIFS('Crosswalk AEO to EPS Summary'!S:S,'Crosswalk AEO to EPS Summary'!$B:$B,$B195)*(1-Fraction_coal)*quadrillion*(S190/SUM(S$138,S$177,S$190))</f>
        <v>575587921332013.75</v>
      </c>
      <c r="T195" s="43">
        <f>SUMIFS('Crosswalk AEO to EPS Summary'!T:T,'Crosswalk AEO to EPS Summary'!$B:$B,$B195)*(1-Fraction_coal)*quadrillion*(T190/SUM(T$138,T$177,T$190))</f>
        <v>584696579012813</v>
      </c>
      <c r="U195" s="43">
        <f>SUMIFS('Crosswalk AEO to EPS Summary'!U:U,'Crosswalk AEO to EPS Summary'!$B:$B,$B195)*(1-Fraction_coal)*quadrillion*(U190/SUM(U$138,U$177,U$190))</f>
        <v>593762887563629.88</v>
      </c>
      <c r="V195" s="43">
        <f>SUMIFS('Crosswalk AEO to EPS Summary'!V:V,'Crosswalk AEO to EPS Summary'!$B:$B,$B195)*(1-Fraction_coal)*quadrillion*(V190/SUM(V$138,V$177,V$190))</f>
        <v>602673855206454.88</v>
      </c>
      <c r="W195" s="43">
        <f>SUMIFS('Crosswalk AEO to EPS Summary'!W:W,'Crosswalk AEO to EPS Summary'!$B:$B,$B195)*(1-Fraction_coal)*quadrillion*(W190/SUM(W$138,W$177,W$190))</f>
        <v>611205334566405.38</v>
      </c>
      <c r="X195" s="43">
        <f>SUMIFS('Crosswalk AEO to EPS Summary'!X:X,'Crosswalk AEO to EPS Summary'!$B:$B,$B195)*(1-Fraction_coal)*quadrillion*(X190/SUM(X$138,X$177,X$190))</f>
        <v>619574047762284.5</v>
      </c>
      <c r="Y195" s="43">
        <f>SUMIFS('Crosswalk AEO to EPS Summary'!Y:Y,'Crosswalk AEO to EPS Summary'!$B:$B,$B195)*(1-Fraction_coal)*quadrillion*(Y190/SUM(Y$138,Y$177,Y$190))</f>
        <v>627815488541464.63</v>
      </c>
      <c r="Z195" s="43">
        <f>SUMIFS('Crosswalk AEO to EPS Summary'!Z:Z,'Crosswalk AEO to EPS Summary'!$B:$B,$B195)*(1-Fraction_coal)*quadrillion*(Z190/SUM(Z$138,Z$177,Z$190))</f>
        <v>635938667898355.75</v>
      </c>
      <c r="AA195" s="43">
        <f>SUMIFS('Crosswalk AEO to EPS Summary'!AA:AA,'Crosswalk AEO to EPS Summary'!$B:$B,$B195)*(1-Fraction_coal)*quadrillion*(AA190/SUM(AA$138,AA$177,AA$190))</f>
        <v>643941539566317.88</v>
      </c>
      <c r="AB195" s="43">
        <f>SUMIFS('Crosswalk AEO to EPS Summary'!AB:AB,'Crosswalk AEO to EPS Summary'!$B:$B,$B195)*(1-Fraction_coal)*quadrillion*(AB190/SUM(AB$138,AB$177,AB$190))</f>
        <v>651945018752962.75</v>
      </c>
      <c r="AC195" s="43">
        <f>SUMIFS('Crosswalk AEO to EPS Summary'!AC:AC,'Crosswalk AEO to EPS Summary'!$B:$B,$B195)*(1-Fraction_coal)*quadrillion*(AC190/SUM(AC$138,AC$177,AC$190))</f>
        <v>659873482291685</v>
      </c>
      <c r="AD195" s="43">
        <f>SUMIFS('Crosswalk AEO to EPS Summary'!AD:AD,'Crosswalk AEO to EPS Summary'!$B:$B,$B195)*(1-Fraction_coal)*quadrillion*(AD190/SUM(AD$138,AD$177,AD$190))</f>
        <v>667788020127930.88</v>
      </c>
      <c r="AE195" s="43">
        <f>SUMIFS('Crosswalk AEO to EPS Summary'!AE:AE,'Crosswalk AEO to EPS Summary'!$B:$B,$B195)*(1-Fraction_coal)*quadrillion*(AE190/SUM(AE$138,AE$177,AE$190))</f>
        <v>675695778366234.25</v>
      </c>
      <c r="AF195" s="43">
        <f>SUMIFS('Crosswalk AEO to EPS Summary'!AF:AF,'Crosswalk AEO to EPS Summary'!$B:$B,$B195)*(1-Fraction_coal)*quadrillion*(AF190/SUM(AF$138,AF$177,AF$190))</f>
        <v>683644175739063</v>
      </c>
    </row>
    <row r="196" spans="2:32" x14ac:dyDescent="0.25">
      <c r="B196" s="53" t="str">
        <f t="shared" si="14"/>
        <v>commercial-other-hydrogen (BTU)</v>
      </c>
      <c r="C196" t="s">
        <v>1060</v>
      </c>
      <c r="D196" t="s">
        <v>1052</v>
      </c>
      <c r="E196" t="s">
        <v>1067</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25">
      <c r="B198" s="50" t="s">
        <v>1083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25">
      <c r="C199" s="49"/>
      <c r="D199" s="49" t="s">
        <v>1084</v>
      </c>
      <c r="E199" s="49"/>
    </row>
    <row r="200" spans="2:32" x14ac:dyDescent="0.25">
      <c r="C200" t="s">
        <v>1085</v>
      </c>
      <c r="E200" t="s">
        <v>1086</v>
      </c>
      <c r="F200">
        <f>Table_4._Residential_Sector_Key!F36*quadrillion</f>
        <v>5273498000000000</v>
      </c>
      <c r="G200">
        <f>'AEO 2026 Table 4'!D45*quadrillion</f>
        <v>5331621372000001</v>
      </c>
      <c r="H200">
        <f>'AEO 2026 Table 4'!E45*quadrillion</f>
        <v>5362366979999999</v>
      </c>
      <c r="I200">
        <f>'AEO 2026 Table 4'!F45*quadrillion</f>
        <v>5271736919999999</v>
      </c>
      <c r="J200">
        <f>'AEO 2026 Table 4'!G45*quadrillion</f>
        <v>5317738311999999</v>
      </c>
      <c r="K200">
        <f>'AEO 2026 Table 4'!H45*quadrillion</f>
        <v>5342727060000001</v>
      </c>
      <c r="L200">
        <f>'AEO 2026 Table 4'!I45*quadrillion</f>
        <v>5345149360000001</v>
      </c>
      <c r="M200">
        <f>'AEO 2026 Table 4'!J45*quadrillion</f>
        <v>5341567004000000</v>
      </c>
      <c r="N200">
        <f>'AEO 2026 Table 4'!K45*quadrillion</f>
        <v>5341836018000000</v>
      </c>
      <c r="O200">
        <f>'AEO 2026 Table 4'!L45*quadrillion</f>
        <v>5347222038000000</v>
      </c>
      <c r="P200">
        <f>'AEO 2026 Table 4'!M45*quadrillion</f>
        <v>5359947642000000</v>
      </c>
      <c r="Q200">
        <f>'AEO 2026 Table 4'!N45*quadrillion</f>
        <v>5378004194000001</v>
      </c>
      <c r="R200">
        <f>'AEO 2026 Table 4'!O45*quadrillion</f>
        <v>5401054326000001</v>
      </c>
      <c r="S200">
        <f>'AEO 2026 Table 4'!P45*quadrillion</f>
        <v>5428228340000000</v>
      </c>
      <c r="T200">
        <f>'AEO 2026 Table 4'!Q45*quadrillion</f>
        <v>5459922738000001</v>
      </c>
      <c r="U200">
        <f>'AEO 2026 Table 4'!R45*quadrillion</f>
        <v>5494439153999999</v>
      </c>
      <c r="V200">
        <f>'AEO 2026 Table 4'!S45*quadrillion</f>
        <v>5525149442000000</v>
      </c>
      <c r="W200">
        <f>'AEO 2026 Table 4'!T45*quadrillion</f>
        <v>5561898672000000</v>
      </c>
      <c r="X200">
        <f>'AEO 2026 Table 4'!U45*quadrillion</f>
        <v>5605565073999999</v>
      </c>
      <c r="Y200">
        <f>'AEO 2026 Table 4'!V45*quadrillion</f>
        <v>5655558193999999</v>
      </c>
      <c r="Z200">
        <f>'AEO 2026 Table 4'!W45*quadrillion</f>
        <v>5707484900000000</v>
      </c>
      <c r="AA200">
        <f>'AEO 2026 Table 4'!X45*quadrillion</f>
        <v>5757674182000001</v>
      </c>
      <c r="AB200">
        <f>'AEO 2026 Table 4'!Y45*quadrillion</f>
        <v>5810944718000000</v>
      </c>
      <c r="AC200">
        <f>'AEO 2026 Table 4'!Z45*quadrillion</f>
        <v>5862834663999999</v>
      </c>
      <c r="AD200">
        <f>'AEO 2026 Table 4'!AA45*quadrillion</f>
        <v>5914823250000000</v>
      </c>
      <c r="AE200">
        <f>'AEO 2026 Table 4'!AB45*quadrillion</f>
        <v>5969889776000000</v>
      </c>
      <c r="AF200">
        <f>'AEO 2026 Table 4'!AC45*quadrillion</f>
        <v>6025978652000001</v>
      </c>
    </row>
    <row r="201" spans="2:32" x14ac:dyDescent="0.25">
      <c r="C201" t="s">
        <v>1087</v>
      </c>
      <c r="D201" t="s">
        <v>1046</v>
      </c>
      <c r="E201" t="s">
        <v>1048</v>
      </c>
      <c r="F201">
        <f t="shared" ref="F201:AF201" si="16">SUMIFS(F$5:F$196,$C$5:$C$196,$D201,$E$5:$E$196,$E201)</f>
        <v>5273497000000000</v>
      </c>
      <c r="G201">
        <f t="shared" si="16"/>
        <v>5331621371999999</v>
      </c>
      <c r="H201">
        <f t="shared" si="16"/>
        <v>5362366980000000</v>
      </c>
      <c r="I201">
        <f t="shared" si="16"/>
        <v>5271736920000000</v>
      </c>
      <c r="J201">
        <f t="shared" si="16"/>
        <v>5317738311999999</v>
      </c>
      <c r="K201">
        <f t="shared" si="16"/>
        <v>5342727059999999</v>
      </c>
      <c r="L201">
        <f t="shared" si="16"/>
        <v>5345149360000000</v>
      </c>
      <c r="M201">
        <f t="shared" si="16"/>
        <v>5341567004000000</v>
      </c>
      <c r="N201">
        <f t="shared" si="16"/>
        <v>5341836018000000</v>
      </c>
      <c r="O201">
        <f t="shared" si="16"/>
        <v>5347222038000001</v>
      </c>
      <c r="P201">
        <f t="shared" si="16"/>
        <v>5359947641999999</v>
      </c>
      <c r="Q201">
        <f t="shared" si="16"/>
        <v>5378004194000000</v>
      </c>
      <c r="R201">
        <f t="shared" si="16"/>
        <v>5401054326000001</v>
      </c>
      <c r="S201">
        <f t="shared" si="16"/>
        <v>5428228339999999</v>
      </c>
      <c r="T201">
        <f t="shared" si="16"/>
        <v>5459922738000000</v>
      </c>
      <c r="U201">
        <f t="shared" si="16"/>
        <v>5494439154000000</v>
      </c>
      <c r="V201">
        <f t="shared" si="16"/>
        <v>5525149442000000</v>
      </c>
      <c r="W201">
        <f t="shared" si="16"/>
        <v>5561898671999998</v>
      </c>
      <c r="X201">
        <f t="shared" si="16"/>
        <v>5605565073999999</v>
      </c>
      <c r="Y201">
        <f t="shared" si="16"/>
        <v>5655558194000001</v>
      </c>
      <c r="Z201">
        <f t="shared" si="16"/>
        <v>5707484900000000</v>
      </c>
      <c r="AA201">
        <f t="shared" si="16"/>
        <v>5757674182000000</v>
      </c>
      <c r="AB201">
        <f t="shared" si="16"/>
        <v>5810944717999998</v>
      </c>
      <c r="AC201">
        <f t="shared" si="16"/>
        <v>5862834663999999</v>
      </c>
      <c r="AD201">
        <f t="shared" si="16"/>
        <v>5914823249999999</v>
      </c>
      <c r="AE201">
        <f t="shared" si="16"/>
        <v>5969889776000000</v>
      </c>
      <c r="AF201">
        <f t="shared" si="16"/>
        <v>6025978652000000</v>
      </c>
    </row>
    <row r="202" spans="2:32" x14ac:dyDescent="0.25">
      <c r="F202" s="47">
        <f t="shared" ref="F202:AF202" si="17">F201/SUM(F200:F200)</f>
        <v>0.99999981037254593</v>
      </c>
      <c r="G202" s="47">
        <f t="shared" si="17"/>
        <v>0.99999999999999967</v>
      </c>
      <c r="H202" s="47">
        <f t="shared" si="17"/>
        <v>1.0000000000000002</v>
      </c>
      <c r="I202" s="47">
        <f t="shared" si="17"/>
        <v>1.0000000000000002</v>
      </c>
      <c r="J202" s="47">
        <f t="shared" si="17"/>
        <v>1</v>
      </c>
      <c r="K202" s="47">
        <f t="shared" si="17"/>
        <v>0.99999999999999967</v>
      </c>
      <c r="L202" s="47">
        <f t="shared" si="17"/>
        <v>0.99999999999999978</v>
      </c>
      <c r="M202" s="47">
        <f t="shared" si="17"/>
        <v>1</v>
      </c>
      <c r="N202" s="47">
        <f t="shared" si="17"/>
        <v>1</v>
      </c>
      <c r="O202" s="47">
        <f t="shared" si="17"/>
        <v>1.0000000000000002</v>
      </c>
      <c r="P202" s="47">
        <f t="shared" si="17"/>
        <v>0.99999999999999978</v>
      </c>
      <c r="Q202" s="47">
        <f t="shared" si="17"/>
        <v>0.99999999999999978</v>
      </c>
      <c r="R202" s="47">
        <f t="shared" si="17"/>
        <v>1</v>
      </c>
      <c r="S202" s="47">
        <f t="shared" si="17"/>
        <v>0.99999999999999978</v>
      </c>
      <c r="T202" s="47">
        <f t="shared" si="17"/>
        <v>0.99999999999999978</v>
      </c>
      <c r="U202" s="47">
        <f t="shared" si="17"/>
        <v>1.0000000000000002</v>
      </c>
      <c r="V202" s="47">
        <f t="shared" si="17"/>
        <v>1</v>
      </c>
      <c r="W202" s="47">
        <f t="shared" si="17"/>
        <v>0.99999999999999967</v>
      </c>
      <c r="X202" s="47">
        <f t="shared" si="17"/>
        <v>1</v>
      </c>
      <c r="Y202" s="47">
        <f t="shared" si="17"/>
        <v>1.0000000000000004</v>
      </c>
      <c r="Z202" s="47">
        <f t="shared" si="17"/>
        <v>1</v>
      </c>
      <c r="AA202" s="47">
        <f t="shared" si="17"/>
        <v>0.99999999999999978</v>
      </c>
      <c r="AB202" s="47">
        <f t="shared" si="17"/>
        <v>0.99999999999999967</v>
      </c>
      <c r="AC202" s="47">
        <f t="shared" si="17"/>
        <v>1</v>
      </c>
      <c r="AD202" s="47">
        <f t="shared" si="17"/>
        <v>0.99999999999999978</v>
      </c>
      <c r="AE202" s="47">
        <f t="shared" si="17"/>
        <v>1</v>
      </c>
      <c r="AF202" s="47">
        <f t="shared" si="17"/>
        <v>0.99999999999999989</v>
      </c>
    </row>
    <row r="203" spans="2:32" x14ac:dyDescent="0.2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25">
      <c r="C204" t="s">
        <v>1085</v>
      </c>
      <c r="E204" t="s">
        <v>1055</v>
      </c>
      <c r="F204">
        <f>Table_4._Residential_Sector_Key!F47*quadrillion</f>
        <v>4603440000000000</v>
      </c>
      <c r="G204">
        <f>'AEO 2026 Table 4'!D57*quadrillion</f>
        <v>4926080226898193</v>
      </c>
      <c r="H204">
        <f>'AEO 2026 Table 4'!E57*quadrillion</f>
        <v>4756272315979004</v>
      </c>
      <c r="I204">
        <f>'AEO 2026 Table 4'!F57*quadrillion</f>
        <v>4887192726135254</v>
      </c>
      <c r="J204">
        <f>'AEO 2026 Table 4'!G57*quadrillion</f>
        <v>4880057334899902</v>
      </c>
      <c r="K204">
        <f>'AEO 2026 Table 4'!H57*quadrillion</f>
        <v>4841940879821777</v>
      </c>
      <c r="L204">
        <f>'AEO 2026 Table 4'!I57*quadrillion</f>
        <v>4792874813079834</v>
      </c>
      <c r="M204">
        <f>'AEO 2026 Table 4'!J57*quadrillion</f>
        <v>4741629123687744</v>
      </c>
      <c r="N204">
        <f>'AEO 2026 Table 4'!K57*quadrillion</f>
        <v>4695206165313721</v>
      </c>
      <c r="O204">
        <f>'AEO 2026 Table 4'!L57*quadrillion</f>
        <v>4647789001464844</v>
      </c>
      <c r="P204">
        <f>'AEO 2026 Table 4'!M57*quadrillion</f>
        <v>4605698585510254</v>
      </c>
      <c r="Q204">
        <f>'AEO 2026 Table 4'!N57*quadrillion</f>
        <v>4566593170166016</v>
      </c>
      <c r="R204">
        <f>'AEO 2026 Table 4'!O57*quadrillion</f>
        <v>4529979228973389</v>
      </c>
      <c r="S204">
        <f>'AEO 2026 Table 4'!P57*quadrillion</f>
        <v>4491732120513916</v>
      </c>
      <c r="T204">
        <f>'AEO 2026 Table 4'!Q57*quadrillion</f>
        <v>4455280303955078</v>
      </c>
      <c r="U204">
        <f>'AEO 2026 Table 4'!R57*quadrillion</f>
        <v>4419171333312988.5</v>
      </c>
      <c r="V204">
        <f>'AEO 2026 Table 4'!S57*quadrillion</f>
        <v>4384260654449463</v>
      </c>
      <c r="W204">
        <f>'AEO 2026 Table 4'!T57*quadrillion</f>
        <v>4349347591400145.5</v>
      </c>
      <c r="X204">
        <f>'AEO 2026 Table 4'!U57*quadrillion</f>
        <v>4318778038024902.5</v>
      </c>
      <c r="Y204">
        <f>'AEO 2026 Table 4'!V57*quadrillion</f>
        <v>4290055274963379</v>
      </c>
      <c r="Z204">
        <f>'AEO 2026 Table 4'!W57*quadrillion</f>
        <v>4262946128845215</v>
      </c>
      <c r="AA204">
        <f>'AEO 2026 Table 4'!X57*quadrillion</f>
        <v>4236480236053467</v>
      </c>
      <c r="AB204">
        <f>'AEO 2026 Table 4'!Y57*quadrillion</f>
        <v>4207666873931885</v>
      </c>
      <c r="AC204">
        <f>'AEO 2026 Table 4'!Z57*quadrillion</f>
        <v>4176516532897949</v>
      </c>
      <c r="AD204">
        <f>'AEO 2026 Table 4'!AA57*quadrillion</f>
        <v>4145388603210449</v>
      </c>
      <c r="AE204">
        <f>'AEO 2026 Table 4'!AB57*quadrillion</f>
        <v>4115044593811035</v>
      </c>
      <c r="AF204">
        <f>'AEO 2026 Table 4'!AC57*quadrillion</f>
        <v>4086371898651123</v>
      </c>
    </row>
    <row r="205" spans="2:32" x14ac:dyDescent="0.25">
      <c r="C205" t="s">
        <v>1087</v>
      </c>
      <c r="D205" t="s">
        <v>1046</v>
      </c>
      <c r="E205" t="s">
        <v>1055</v>
      </c>
      <c r="F205">
        <f t="shared" ref="F205:AF205" si="18">SUMIFS(F$5:F$196,$C$5:$C$196,$D205,$E$5:$E$196,$E205)</f>
        <v>4603440000000000</v>
      </c>
      <c r="G205">
        <f t="shared" si="18"/>
        <v>4926080519999999</v>
      </c>
      <c r="H205">
        <f t="shared" si="18"/>
        <v>4756271527999999</v>
      </c>
      <c r="I205">
        <f t="shared" si="18"/>
        <v>4887192012000000</v>
      </c>
      <c r="J205">
        <f t="shared" si="18"/>
        <v>4880057180000000</v>
      </c>
      <c r="K205">
        <f t="shared" si="18"/>
        <v>4841940479999999</v>
      </c>
      <c r="L205">
        <f t="shared" si="18"/>
        <v>4792874660000000</v>
      </c>
      <c r="M205">
        <f t="shared" si="18"/>
        <v>4741628832000000</v>
      </c>
      <c r="N205">
        <f t="shared" si="18"/>
        <v>4695206156000000</v>
      </c>
      <c r="O205">
        <f t="shared" si="18"/>
        <v>4647788767999999</v>
      </c>
      <c r="P205">
        <f t="shared" si="18"/>
        <v>4605698487999999</v>
      </c>
      <c r="Q205">
        <f t="shared" si="18"/>
        <v>4566592748000000</v>
      </c>
      <c r="R205">
        <f t="shared" si="18"/>
        <v>4529978528000000</v>
      </c>
      <c r="S205">
        <f t="shared" si="18"/>
        <v>4491731692000000</v>
      </c>
      <c r="T205">
        <f t="shared" si="18"/>
        <v>4455279531999999</v>
      </c>
      <c r="U205">
        <f t="shared" si="18"/>
        <v>4419171163999999.5</v>
      </c>
      <c r="V205">
        <f t="shared" si="18"/>
        <v>4384260839999999.5</v>
      </c>
      <c r="W205">
        <f t="shared" si="18"/>
        <v>4349347392000000</v>
      </c>
      <c r="X205">
        <f t="shared" si="18"/>
        <v>4318777915999999.5</v>
      </c>
      <c r="Y205">
        <f t="shared" si="18"/>
        <v>4290055083999999.5</v>
      </c>
      <c r="Z205">
        <f t="shared" si="18"/>
        <v>4262946056000000.5</v>
      </c>
      <c r="AA205">
        <f t="shared" si="18"/>
        <v>4236479624000000.5</v>
      </c>
      <c r="AB205">
        <f t="shared" si="18"/>
        <v>4207666676000000.5</v>
      </c>
      <c r="AC205">
        <f t="shared" si="18"/>
        <v>4176516440000000</v>
      </c>
      <c r="AD205">
        <f t="shared" si="18"/>
        <v>4145388400000000</v>
      </c>
      <c r="AE205">
        <f t="shared" si="18"/>
        <v>4115044219999999.5</v>
      </c>
      <c r="AF205">
        <f t="shared" si="18"/>
        <v>4086371960000000</v>
      </c>
    </row>
    <row r="206" spans="2:32" x14ac:dyDescent="0.25">
      <c r="F206" s="47">
        <f t="shared" ref="F206:AF206" si="19">F205/SUM(F204:F204)</f>
        <v>1</v>
      </c>
      <c r="G206" s="47">
        <f t="shared" si="19"/>
        <v>1.0000000595000067</v>
      </c>
      <c r="H206" s="47">
        <f t="shared" si="19"/>
        <v>0.99999983432845041</v>
      </c>
      <c r="I206" s="47">
        <f t="shared" si="19"/>
        <v>0.99999985387618329</v>
      </c>
      <c r="J206" s="47">
        <f t="shared" si="19"/>
        <v>0.99999996825858972</v>
      </c>
      <c r="K206" s="47">
        <f t="shared" si="19"/>
        <v>0.9999999174253078</v>
      </c>
      <c r="L206" s="47">
        <f t="shared" si="19"/>
        <v>0.99999996806095715</v>
      </c>
      <c r="M206" s="47">
        <f t="shared" si="19"/>
        <v>0.99999993848364421</v>
      </c>
      <c r="N206" s="47">
        <f t="shared" si="19"/>
        <v>0.99999999801633399</v>
      </c>
      <c r="O206" s="47">
        <f t="shared" si="19"/>
        <v>0.99999994976862228</v>
      </c>
      <c r="P206" s="47">
        <f t="shared" si="19"/>
        <v>0.99999997882834646</v>
      </c>
      <c r="Q206" s="47">
        <f t="shared" si="19"/>
        <v>0.99999990755339918</v>
      </c>
      <c r="R206" s="47">
        <f t="shared" si="19"/>
        <v>0.99999984525902796</v>
      </c>
      <c r="S206" s="47">
        <f t="shared" si="19"/>
        <v>0.99999990459940524</v>
      </c>
      <c r="T206" s="47">
        <f t="shared" si="19"/>
        <v>0.99999982673254517</v>
      </c>
      <c r="U206" s="47">
        <f t="shared" si="19"/>
        <v>0.9999999616867109</v>
      </c>
      <c r="V206" s="47">
        <f t="shared" si="19"/>
        <v>1.0000000423219675</v>
      </c>
      <c r="W206" s="47">
        <f t="shared" si="19"/>
        <v>0.99999995415401011</v>
      </c>
      <c r="X206" s="47">
        <f t="shared" si="19"/>
        <v>0.99999997174550259</v>
      </c>
      <c r="Y206" s="47">
        <f t="shared" si="19"/>
        <v>0.9999999554869653</v>
      </c>
      <c r="Z206" s="47">
        <f t="shared" si="19"/>
        <v>0.99999998291200209</v>
      </c>
      <c r="AA206" s="47">
        <f t="shared" si="19"/>
        <v>0.99999985552783621</v>
      </c>
      <c r="AB206" s="47">
        <f t="shared" si="19"/>
        <v>0.99999995295923128</v>
      </c>
      <c r="AC206" s="47">
        <f t="shared" si="19"/>
        <v>0.99999997775707383</v>
      </c>
      <c r="AD206" s="47">
        <f t="shared" si="19"/>
        <v>0.99999995097915573</v>
      </c>
      <c r="AE206" s="47">
        <f t="shared" si="19"/>
        <v>0.99999990915990655</v>
      </c>
      <c r="AF206" s="47">
        <f t="shared" si="19"/>
        <v>1.000000015013043</v>
      </c>
    </row>
    <row r="208" spans="2:32" x14ac:dyDescent="0.25">
      <c r="C208" t="s">
        <v>1085</v>
      </c>
      <c r="E208" t="s">
        <v>1056</v>
      </c>
      <c r="F208">
        <f>Table_4._Residential_Sector_Key!F52*quadrillion</f>
        <v>445877000000000</v>
      </c>
      <c r="G208">
        <f>'AEO 2026 Table 4'!D63*quadrillion</f>
        <v>489280015230178.75</v>
      </c>
      <c r="H208">
        <f>'AEO 2026 Table 4'!E63*quadrillion</f>
        <v>471360027790069.56</v>
      </c>
      <c r="I208">
        <f>'AEO 2026 Table 4'!F63*quadrillion</f>
        <v>464951574802398.69</v>
      </c>
      <c r="J208">
        <f>'AEO 2026 Table 4'!G63*quadrillion</f>
        <v>456499546766281.06</v>
      </c>
      <c r="K208">
        <f>'AEO 2026 Table 4'!H63*quadrillion</f>
        <v>447623699903488.19</v>
      </c>
      <c r="L208">
        <f>'AEO 2026 Table 4'!I63*quadrillion</f>
        <v>439745634794235.19</v>
      </c>
      <c r="M208">
        <f>'AEO 2026 Table 4'!J63*quadrillion</f>
        <v>431982666254043.56</v>
      </c>
      <c r="N208">
        <f>'AEO 2026 Table 4'!K63*quadrillion</f>
        <v>424811810255050.69</v>
      </c>
      <c r="O208">
        <f>'AEO 2026 Table 4'!L63*quadrillion</f>
        <v>417945146560668.88</v>
      </c>
      <c r="P208">
        <f>'AEO 2026 Table 4'!M63*quadrillion</f>
        <v>411851167678833</v>
      </c>
      <c r="Q208">
        <f>'AEO 2026 Table 4'!N63*quadrillion</f>
        <v>406072705984115.63</v>
      </c>
      <c r="R208">
        <f>'AEO 2026 Table 4'!O63*quadrillion</f>
        <v>400472760200500.5</v>
      </c>
      <c r="S208">
        <f>'AEO 2026 Table 4'!P63*quadrillion</f>
        <v>395019441843032.81</v>
      </c>
      <c r="T208">
        <f>'AEO 2026 Table 4'!Q63*quadrillion</f>
        <v>389741688966751.13</v>
      </c>
      <c r="U208">
        <f>'AEO 2026 Table 4'!R63*quadrillion</f>
        <v>384640067815780.56</v>
      </c>
      <c r="V208">
        <f>'AEO 2026 Table 4'!S63*quadrillion</f>
        <v>379594653844833.38</v>
      </c>
      <c r="W208">
        <f>'AEO 2026 Table 4'!T63*quadrillion</f>
        <v>374571681022644</v>
      </c>
      <c r="X208">
        <f>'AEO 2026 Table 4'!U63*quadrillion</f>
        <v>369740903377533</v>
      </c>
      <c r="Y208">
        <f>'AEO 2026 Table 4'!V63*quadrillion</f>
        <v>364968508481979.44</v>
      </c>
      <c r="Z208">
        <f>'AEO 2026 Table 4'!W63*quadrillion</f>
        <v>360334664583206.19</v>
      </c>
      <c r="AA208">
        <f>'AEO 2026 Table 4'!X63*quadrillion</f>
        <v>355740368366241.5</v>
      </c>
      <c r="AB208">
        <f>'AEO 2026 Table 4'!Y63*quadrillion</f>
        <v>351237565279007</v>
      </c>
      <c r="AC208">
        <f>'AEO 2026 Table 4'!Z63*quadrillion</f>
        <v>346724092960357.75</v>
      </c>
      <c r="AD208">
        <f>'AEO 2026 Table 4'!AA63*quadrillion</f>
        <v>342243611812591.63</v>
      </c>
      <c r="AE208">
        <f>'AEO 2026 Table 4'!AB63*quadrillion</f>
        <v>337804734706878.69</v>
      </c>
      <c r="AF208">
        <f>'AEO 2026 Table 4'!AC63*quadrillion</f>
        <v>333546817302703.94</v>
      </c>
    </row>
    <row r="209" spans="3:32" x14ac:dyDescent="0.25">
      <c r="C209" t="s">
        <v>1087</v>
      </c>
      <c r="D209" t="s">
        <v>1046</v>
      </c>
      <c r="E209" t="s">
        <v>1056</v>
      </c>
      <c r="F209">
        <f t="shared" ref="F209:AF209" si="20">SUMIFS(F$5:F$196,$C$5:$C$196,$D209,$E$5:$E$196,$E209)</f>
        <v>445876999999999.94</v>
      </c>
      <c r="G209">
        <f t="shared" si="20"/>
        <v>489280023999999.88</v>
      </c>
      <c r="H209">
        <f t="shared" si="20"/>
        <v>471360005999999.94</v>
      </c>
      <c r="I209">
        <f t="shared" si="20"/>
        <v>464951514000000</v>
      </c>
      <c r="J209">
        <f t="shared" si="20"/>
        <v>456499436000000</v>
      </c>
      <c r="K209">
        <f t="shared" si="20"/>
        <v>447623670000000</v>
      </c>
      <c r="L209">
        <f t="shared" si="20"/>
        <v>439745690000000</v>
      </c>
      <c r="M209">
        <f t="shared" si="20"/>
        <v>431982653999999.94</v>
      </c>
      <c r="N209">
        <f t="shared" si="20"/>
        <v>424811792000000</v>
      </c>
      <c r="O209">
        <f t="shared" si="20"/>
        <v>417945021999999.94</v>
      </c>
      <c r="P209">
        <f t="shared" si="20"/>
        <v>411851129999999.94</v>
      </c>
      <c r="Q209">
        <f t="shared" si="20"/>
        <v>406072718000000</v>
      </c>
      <c r="R209">
        <f t="shared" si="20"/>
        <v>400472703999999.94</v>
      </c>
      <c r="S209">
        <f t="shared" si="20"/>
        <v>395018556000000</v>
      </c>
      <c r="T209">
        <f t="shared" si="20"/>
        <v>389738548000000</v>
      </c>
      <c r="U209">
        <f t="shared" si="20"/>
        <v>384634610000000</v>
      </c>
      <c r="V209">
        <f t="shared" si="20"/>
        <v>379586961999999.94</v>
      </c>
      <c r="W209">
        <f t="shared" si="20"/>
        <v>374561258000000</v>
      </c>
      <c r="X209">
        <f t="shared" si="20"/>
        <v>369727694000000</v>
      </c>
      <c r="Y209">
        <f t="shared" si="20"/>
        <v>364952383999999.94</v>
      </c>
      <c r="Z209">
        <f t="shared" si="20"/>
        <v>360315328000000.06</v>
      </c>
      <c r="AA209">
        <f t="shared" si="20"/>
        <v>355717872000000</v>
      </c>
      <c r="AB209">
        <f t="shared" si="20"/>
        <v>351211830000000</v>
      </c>
      <c r="AC209">
        <f t="shared" si="20"/>
        <v>346695015999999.94</v>
      </c>
      <c r="AD209">
        <f t="shared" si="20"/>
        <v>342211379999999.94</v>
      </c>
      <c r="AE209">
        <f t="shared" si="20"/>
        <v>337769442000000</v>
      </c>
      <c r="AF209">
        <f t="shared" si="20"/>
        <v>333508871999999.94</v>
      </c>
    </row>
    <row r="210" spans="3:32" x14ac:dyDescent="0.25">
      <c r="F210" s="47">
        <f t="shared" ref="F210:AF210" si="21">F209/SUM(F208:F208)</f>
        <v>0.99999999999999989</v>
      </c>
      <c r="G210" s="47">
        <f t="shared" si="21"/>
        <v>1.0000000179239308</v>
      </c>
      <c r="H210" s="47">
        <f t="shared" si="21"/>
        <v>0.99999995377191886</v>
      </c>
      <c r="I210" s="47">
        <f t="shared" si="21"/>
        <v>0.99999986922853479</v>
      </c>
      <c r="J210" s="47">
        <f t="shared" si="21"/>
        <v>0.99999975735730329</v>
      </c>
      <c r="K210" s="47">
        <f t="shared" si="21"/>
        <v>0.99999993319502922</v>
      </c>
      <c r="L210" s="47">
        <f t="shared" si="21"/>
        <v>1.0000001255402224</v>
      </c>
      <c r="M210" s="47">
        <f t="shared" si="21"/>
        <v>0.99999997163302001</v>
      </c>
      <c r="N210" s="47">
        <f t="shared" si="21"/>
        <v>0.99999995702791156</v>
      </c>
      <c r="O210" s="47">
        <f t="shared" si="21"/>
        <v>0.9999997019688589</v>
      </c>
      <c r="P210" s="47">
        <f t="shared" si="21"/>
        <v>0.99999990851347276</v>
      </c>
      <c r="Q210" s="47">
        <f t="shared" si="21"/>
        <v>1.0000000295904754</v>
      </c>
      <c r="R210" s="47">
        <f t="shared" si="21"/>
        <v>0.99999985966461102</v>
      </c>
      <c r="S210" s="47">
        <f t="shared" si="21"/>
        <v>0.99999775746978758</v>
      </c>
      <c r="T210" s="47">
        <f t="shared" si="21"/>
        <v>0.99999194090126864</v>
      </c>
      <c r="U210" s="47">
        <f t="shared" si="21"/>
        <v>0.99998581058959468</v>
      </c>
      <c r="V210" s="47">
        <f t="shared" si="21"/>
        <v>0.99997973668818696</v>
      </c>
      <c r="W210" s="47">
        <f t="shared" si="21"/>
        <v>0.99997217348995648</v>
      </c>
      <c r="X210" s="47">
        <f t="shared" si="21"/>
        <v>0.99996427396208443</v>
      </c>
      <c r="Y210" s="47">
        <f t="shared" si="21"/>
        <v>0.9999558195252336</v>
      </c>
      <c r="Z210" s="47">
        <f t="shared" si="21"/>
        <v>0.99994633715513193</v>
      </c>
      <c r="AA210" s="47">
        <f t="shared" si="21"/>
        <v>0.99993676184025782</v>
      </c>
      <c r="AB210" s="47">
        <f t="shared" si="21"/>
        <v>0.99992672970789287</v>
      </c>
      <c r="AC210" s="47">
        <f t="shared" si="21"/>
        <v>0.99991613804477919</v>
      </c>
      <c r="AD210" s="47">
        <f t="shared" si="21"/>
        <v>0.99990582201835421</v>
      </c>
      <c r="AE210" s="47">
        <f t="shared" si="21"/>
        <v>0.99989552335046661</v>
      </c>
      <c r="AF210" s="47">
        <f t="shared" si="21"/>
        <v>0.99988623695164935</v>
      </c>
    </row>
    <row r="212" spans="3:32" x14ac:dyDescent="0.25">
      <c r="C212" t="s">
        <v>1085</v>
      </c>
      <c r="E212" t="s">
        <v>1057</v>
      </c>
      <c r="F212">
        <f>Table_4._Residential_Sector_Key!F58*quadrillion</f>
        <v>445585000000000</v>
      </c>
      <c r="G212">
        <f>'AEO 2026 Table 4'!D70*quadrillion</f>
        <v>524500012397766.13</v>
      </c>
      <c r="H212">
        <f>'AEO 2026 Table 4'!E70*quadrillion</f>
        <v>513720035552978.5</v>
      </c>
      <c r="I212">
        <f>'AEO 2026 Table 4'!F70*quadrillion</f>
        <v>495540559291839.63</v>
      </c>
      <c r="J212">
        <f>'AEO 2026 Table 4'!G70*quadrillion</f>
        <v>496211379766464.19</v>
      </c>
      <c r="K212">
        <f>'AEO 2026 Table 4'!H70*quadrillion</f>
        <v>493311166763305.75</v>
      </c>
      <c r="L212">
        <f>'AEO 2026 Table 4'!I70*quadrillion</f>
        <v>488928347826004</v>
      </c>
      <c r="M212">
        <f>'AEO 2026 Table 4'!J70*quadrillion</f>
        <v>483486443758010.94</v>
      </c>
      <c r="N212">
        <f>'AEO 2026 Table 4'!K70*quadrillion</f>
        <v>478163450956344.63</v>
      </c>
      <c r="O212">
        <f>'AEO 2026 Table 4'!L70*quadrillion</f>
        <v>473203212022781.44</v>
      </c>
      <c r="P212">
        <f>'AEO 2026 Table 4'!M70*quadrillion</f>
        <v>469062447547912.63</v>
      </c>
      <c r="Q212">
        <f>'AEO 2026 Table 4'!N70*quadrillion</f>
        <v>465621203184127.81</v>
      </c>
      <c r="R212">
        <f>'AEO 2026 Table 4'!O70*quadrillion</f>
        <v>462482601404190.13</v>
      </c>
      <c r="S212">
        <f>'AEO 2026 Table 4'!P70*quadrillion</f>
        <v>459429383277893.13</v>
      </c>
      <c r="T212">
        <f>'AEO 2026 Table 4'!Q70*quadrillion</f>
        <v>456475019454956.13</v>
      </c>
      <c r="U212">
        <f>'AEO 2026 Table 4'!R70*quadrillion</f>
        <v>453566253185272.19</v>
      </c>
      <c r="V212">
        <f>'AEO 2026 Table 4'!S70*quadrillion</f>
        <v>450898170471191.38</v>
      </c>
      <c r="W212">
        <f>'AEO 2026 Table 4'!T70*quadrillion</f>
        <v>448538690805435.19</v>
      </c>
      <c r="X212">
        <f>'AEO 2026 Table 4'!U70*quadrillion</f>
        <v>446737974882125.94</v>
      </c>
      <c r="Y212">
        <f>'AEO 2026 Table 4'!V70*quadrillion</f>
        <v>445415973663330.06</v>
      </c>
      <c r="Z212">
        <f>'AEO 2026 Table 4'!W70*quadrillion</f>
        <v>444478988647460.88</v>
      </c>
      <c r="AA212">
        <f>'AEO 2026 Table 4'!X70*quadrillion</f>
        <v>443745523691177.44</v>
      </c>
      <c r="AB212">
        <f>'AEO 2026 Table 4'!Y70*quadrillion</f>
        <v>442975938320159.94</v>
      </c>
      <c r="AC212">
        <f>'AEO 2026 Table 4'!Z70*quadrillion</f>
        <v>442012131214141.81</v>
      </c>
      <c r="AD212">
        <f>'AEO 2026 Table 4'!AA70*quadrillion</f>
        <v>440991252660751.31</v>
      </c>
      <c r="AE212">
        <f>'AEO 2026 Table 4'!AB70*quadrillion</f>
        <v>440019696950912.5</v>
      </c>
      <c r="AF212">
        <f>'AEO 2026 Table 4'!AC70*quadrillion</f>
        <v>439191281795501.69</v>
      </c>
    </row>
    <row r="213" spans="3:32" x14ac:dyDescent="0.25">
      <c r="C213" t="s">
        <v>1087</v>
      </c>
      <c r="D213" t="s">
        <v>1046</v>
      </c>
      <c r="E213" t="s">
        <v>1057</v>
      </c>
      <c r="F213">
        <f t="shared" ref="F213:AF213" si="22">SUMIFS(F$5:F$196,$C$5:$C$196,$D213,$E$5:$E$196,$E213)</f>
        <v>445584000000000</v>
      </c>
      <c r="G213">
        <f t="shared" si="22"/>
        <v>524499948999999.94</v>
      </c>
      <c r="H213">
        <f t="shared" si="22"/>
        <v>513720043000000</v>
      </c>
      <c r="I213">
        <f t="shared" si="22"/>
        <v>495540483000000</v>
      </c>
      <c r="J213">
        <f t="shared" si="22"/>
        <v>496211415999999.94</v>
      </c>
      <c r="K213">
        <f t="shared" si="22"/>
        <v>493311215999999.94</v>
      </c>
      <c r="L213">
        <f t="shared" si="22"/>
        <v>488928331000000.06</v>
      </c>
      <c r="M213">
        <f t="shared" si="22"/>
        <v>483486403000000</v>
      </c>
      <c r="N213">
        <f t="shared" si="22"/>
        <v>478163403000000</v>
      </c>
      <c r="O213">
        <f t="shared" si="22"/>
        <v>473203099000000</v>
      </c>
      <c r="P213">
        <f t="shared" si="22"/>
        <v>469062478999999.94</v>
      </c>
      <c r="Q213">
        <f t="shared" si="22"/>
        <v>465621225000000</v>
      </c>
      <c r="R213">
        <f t="shared" si="22"/>
        <v>462482607000000.06</v>
      </c>
      <c r="S213">
        <f t="shared" si="22"/>
        <v>459429414000000</v>
      </c>
      <c r="T213">
        <f t="shared" si="22"/>
        <v>456474979000000</v>
      </c>
      <c r="U213">
        <f t="shared" si="22"/>
        <v>453566208000000</v>
      </c>
      <c r="V213">
        <f t="shared" si="22"/>
        <v>450898111000000</v>
      </c>
      <c r="W213">
        <f t="shared" si="22"/>
        <v>448538648000000</v>
      </c>
      <c r="X213">
        <f t="shared" si="22"/>
        <v>446737920999999.94</v>
      </c>
      <c r="Y213">
        <f t="shared" si="22"/>
        <v>445415931000000.06</v>
      </c>
      <c r="Z213">
        <f t="shared" si="22"/>
        <v>444478982999999.94</v>
      </c>
      <c r="AA213">
        <f t="shared" si="22"/>
        <v>443745480000000</v>
      </c>
      <c r="AB213">
        <f t="shared" si="22"/>
        <v>442975922000000</v>
      </c>
      <c r="AC213">
        <f t="shared" si="22"/>
        <v>442012107999999.94</v>
      </c>
      <c r="AD213">
        <f t="shared" si="22"/>
        <v>440991234999999.94</v>
      </c>
      <c r="AE213">
        <f t="shared" si="22"/>
        <v>440019659000000</v>
      </c>
      <c r="AF213">
        <f t="shared" si="22"/>
        <v>439191259999999.94</v>
      </c>
    </row>
    <row r="214" spans="3:32" x14ac:dyDescent="0.25">
      <c r="F214" s="47">
        <f t="shared" ref="F214:AF214" si="23">F213/SUM(F212:F212)</f>
        <v>0.99999775575928274</v>
      </c>
      <c r="G214" s="47">
        <f t="shared" si="23"/>
        <v>0.99999987912723609</v>
      </c>
      <c r="H214" s="47">
        <f t="shared" si="23"/>
        <v>1.0000000144962644</v>
      </c>
      <c r="I214" s="47">
        <f t="shared" si="23"/>
        <v>0.99999984604319825</v>
      </c>
      <c r="J214" s="47">
        <f t="shared" si="23"/>
        <v>1.0000000730203644</v>
      </c>
      <c r="K214" s="47">
        <f t="shared" si="23"/>
        <v>1.0000000998085945</v>
      </c>
      <c r="L214" s="47">
        <f t="shared" si="23"/>
        <v>0.99999996558595139</v>
      </c>
      <c r="M214" s="47">
        <f t="shared" si="23"/>
        <v>0.99999991569978541</v>
      </c>
      <c r="N214" s="47">
        <f t="shared" si="23"/>
        <v>0.99999989970721403</v>
      </c>
      <c r="O214" s="47">
        <f t="shared" si="23"/>
        <v>0.99999976115381606</v>
      </c>
      <c r="P214" s="47">
        <f t="shared" si="23"/>
        <v>1.0000000670530917</v>
      </c>
      <c r="Q214" s="47">
        <f t="shared" si="23"/>
        <v>1.0000000468532619</v>
      </c>
      <c r="R214" s="47">
        <f t="shared" si="23"/>
        <v>1.0000000120995036</v>
      </c>
      <c r="S214" s="47">
        <f t="shared" si="23"/>
        <v>1.0000000668701394</v>
      </c>
      <c r="T214" s="47">
        <f t="shared" si="23"/>
        <v>0.99999991137531208</v>
      </c>
      <c r="U214" s="47">
        <f t="shared" si="23"/>
        <v>0.99999990037779074</v>
      </c>
      <c r="V214" s="47">
        <f t="shared" si="23"/>
        <v>0.99999986810505059</v>
      </c>
      <c r="W214" s="47">
        <f t="shared" si="23"/>
        <v>0.99999990456690568</v>
      </c>
      <c r="X214" s="47">
        <f t="shared" si="23"/>
        <v>0.9999998793876298</v>
      </c>
      <c r="Y214" s="47">
        <f t="shared" si="23"/>
        <v>0.99999990421688367</v>
      </c>
      <c r="Z214" s="47">
        <f t="shared" si="23"/>
        <v>0.99999998729420048</v>
      </c>
      <c r="AA214" s="47">
        <f t="shared" si="23"/>
        <v>0.99999990154001539</v>
      </c>
      <c r="AB214" s="47">
        <f t="shared" si="23"/>
        <v>0.99999996315790873</v>
      </c>
      <c r="AC214" s="47">
        <f t="shared" si="23"/>
        <v>0.99999994748075849</v>
      </c>
      <c r="AD214" s="47">
        <f t="shared" si="23"/>
        <v>0.99999995995215041</v>
      </c>
      <c r="AE214" s="47">
        <f t="shared" si="23"/>
        <v>0.9999999137517871</v>
      </c>
      <c r="AF214" s="47">
        <f t="shared" si="23"/>
        <v>0.9999999503735556</v>
      </c>
    </row>
    <row r="216" spans="3:32" x14ac:dyDescent="0.25">
      <c r="C216" t="s">
        <v>1085</v>
      </c>
      <c r="E216" t="s">
        <v>1058</v>
      </c>
      <c r="F216">
        <f>Table_4._Residential_Sector_Key!F59*quadrillion</f>
        <v>357583000000000</v>
      </c>
      <c r="G216">
        <f>'AEO 2026 Table 4'!D72*quadrillion</f>
        <v>371387392000000</v>
      </c>
      <c r="H216">
        <f>'AEO 2026 Table 4'!E72*quadrillion</f>
        <v>342900672000000</v>
      </c>
      <c r="I216">
        <f>'AEO 2026 Table 4'!F72*quadrillion</f>
        <v>334990112000000</v>
      </c>
      <c r="J216">
        <f>'AEO 2026 Table 4'!G72*quadrillion</f>
        <v>331204992000000</v>
      </c>
      <c r="K216">
        <f>'AEO 2026 Table 4'!H72*quadrillion</f>
        <v>328953920000000</v>
      </c>
      <c r="L216">
        <f>'AEO 2026 Table 4'!I72*quadrillion</f>
        <v>323626816000000</v>
      </c>
      <c r="M216">
        <f>'AEO 2026 Table 4'!J72*quadrillion</f>
        <v>319369056000000</v>
      </c>
      <c r="N216">
        <f>'AEO 2026 Table 4'!K72*quadrillion</f>
        <v>315642752000000</v>
      </c>
      <c r="O216">
        <f>'AEO 2026 Table 4'!L72*quadrillion</f>
        <v>312811968000000</v>
      </c>
      <c r="P216">
        <f>'AEO 2026 Table 4'!M72*quadrillion</f>
        <v>309125888000000</v>
      </c>
      <c r="Q216">
        <f>'AEO 2026 Table 4'!N72*quadrillion</f>
        <v>305829184000000</v>
      </c>
      <c r="R216">
        <f>'AEO 2026 Table 4'!O72*quadrillion</f>
        <v>302007648000000</v>
      </c>
      <c r="S216">
        <f>'AEO 2026 Table 4'!P72*quadrillion</f>
        <v>298093728000000</v>
      </c>
      <c r="T216">
        <f>'AEO 2026 Table 4'!Q72*quadrillion</f>
        <v>294199200000000</v>
      </c>
      <c r="U216">
        <f>'AEO 2026 Table 4'!R72*quadrillion</f>
        <v>289953856000000</v>
      </c>
      <c r="V216">
        <f>'AEO 2026 Table 4'!S72*quadrillion</f>
        <v>285538368000000</v>
      </c>
      <c r="W216">
        <f>'AEO 2026 Table 4'!T72*quadrillion</f>
        <v>281270464000000</v>
      </c>
      <c r="X216">
        <f>'AEO 2026 Table 4'!U72*quadrillion</f>
        <v>277378112000000</v>
      </c>
      <c r="Y216">
        <f>'AEO 2026 Table 4'!V72*quadrillion</f>
        <v>273630560000000.03</v>
      </c>
      <c r="Z216">
        <f>'AEO 2026 Table 4'!W72*quadrillion</f>
        <v>270077632000000</v>
      </c>
      <c r="AA216">
        <f>'AEO 2026 Table 4'!X72*quadrillion</f>
        <v>266974064000000</v>
      </c>
      <c r="AB216">
        <f>'AEO 2026 Table 4'!Y72*quadrillion</f>
        <v>263977984000000</v>
      </c>
      <c r="AC216">
        <f>'AEO 2026 Table 4'!Z72*quadrillion</f>
        <v>261289504000000</v>
      </c>
      <c r="AD216">
        <f>'AEO 2026 Table 4'!AA72*quadrillion</f>
        <v>258824192000000</v>
      </c>
      <c r="AE216">
        <f>'AEO 2026 Table 4'!AB72*quadrillion</f>
        <v>256575871999999.97</v>
      </c>
      <c r="AF216">
        <f>'AEO 2026 Table 4'!AC72*quadrillion</f>
        <v>254137424000000</v>
      </c>
    </row>
    <row r="217" spans="3:32" x14ac:dyDescent="0.25">
      <c r="C217" t="s">
        <v>1087</v>
      </c>
      <c r="D217" t="s">
        <v>1046</v>
      </c>
      <c r="E217" t="s">
        <v>1058</v>
      </c>
      <c r="F217">
        <f t="shared" ref="F217:AF217" si="24">SUMIFS(F$5:F$196,$C$5:$C$196,$D217,$E$5:$E$196,$E217)</f>
        <v>357582999999999.94</v>
      </c>
      <c r="G217">
        <f t="shared" si="24"/>
        <v>371387391999999.94</v>
      </c>
      <c r="H217">
        <f t="shared" si="24"/>
        <v>342900672000000</v>
      </c>
      <c r="I217">
        <f t="shared" si="24"/>
        <v>334990112000000</v>
      </c>
      <c r="J217">
        <f t="shared" si="24"/>
        <v>331204992000000</v>
      </c>
      <c r="K217">
        <f t="shared" si="24"/>
        <v>328953920000000</v>
      </c>
      <c r="L217">
        <f t="shared" si="24"/>
        <v>323626815999999.94</v>
      </c>
      <c r="M217">
        <f t="shared" si="24"/>
        <v>319369056000000</v>
      </c>
      <c r="N217">
        <f t="shared" si="24"/>
        <v>315642752000000</v>
      </c>
      <c r="O217">
        <f t="shared" si="24"/>
        <v>312811967999999.94</v>
      </c>
      <c r="P217">
        <f t="shared" si="24"/>
        <v>309125888000000</v>
      </c>
      <c r="Q217">
        <f t="shared" si="24"/>
        <v>305829183999999.94</v>
      </c>
      <c r="R217">
        <f t="shared" si="24"/>
        <v>302007648000000</v>
      </c>
      <c r="S217">
        <f t="shared" si="24"/>
        <v>298093728000000</v>
      </c>
      <c r="T217">
        <f t="shared" si="24"/>
        <v>294199200000000</v>
      </c>
      <c r="U217">
        <f t="shared" si="24"/>
        <v>289953856000000</v>
      </c>
      <c r="V217">
        <f t="shared" si="24"/>
        <v>285538367999999.94</v>
      </c>
      <c r="W217">
        <f t="shared" si="24"/>
        <v>281270464000000</v>
      </c>
      <c r="X217">
        <f t="shared" si="24"/>
        <v>277378112000000</v>
      </c>
      <c r="Y217">
        <f t="shared" si="24"/>
        <v>273630560000000</v>
      </c>
      <c r="Z217">
        <f t="shared" si="24"/>
        <v>270077632000000</v>
      </c>
      <c r="AA217">
        <f t="shared" si="24"/>
        <v>266974064000000</v>
      </c>
      <c r="AB217">
        <f t="shared" si="24"/>
        <v>263977983999999.97</v>
      </c>
      <c r="AC217">
        <f t="shared" si="24"/>
        <v>261289504000000</v>
      </c>
      <c r="AD217">
        <f t="shared" si="24"/>
        <v>258824192000000</v>
      </c>
      <c r="AE217">
        <f t="shared" si="24"/>
        <v>256575871999999.94</v>
      </c>
      <c r="AF217">
        <f t="shared" si="24"/>
        <v>254137424000000</v>
      </c>
    </row>
    <row r="218" spans="3:32" x14ac:dyDescent="0.25">
      <c r="F218" s="47">
        <f t="shared" ref="F218:AF218" si="25">F217/SUM(F216:F216)</f>
        <v>0.99999999999999978</v>
      </c>
      <c r="G218" s="47">
        <f t="shared" si="25"/>
        <v>0.99999999999999978</v>
      </c>
      <c r="H218" s="47">
        <f t="shared" si="25"/>
        <v>1</v>
      </c>
      <c r="I218" s="47">
        <f t="shared" si="25"/>
        <v>1</v>
      </c>
      <c r="J218" s="47">
        <f t="shared" si="25"/>
        <v>1</v>
      </c>
      <c r="K218" s="47">
        <f t="shared" si="25"/>
        <v>1</v>
      </c>
      <c r="L218" s="47">
        <f t="shared" si="25"/>
        <v>0.99999999999999978</v>
      </c>
      <c r="M218" s="47">
        <f t="shared" si="25"/>
        <v>1</v>
      </c>
      <c r="N218" s="47">
        <f t="shared" si="25"/>
        <v>1</v>
      </c>
      <c r="O218" s="47">
        <f t="shared" si="25"/>
        <v>0.99999999999999978</v>
      </c>
      <c r="P218" s="47">
        <f t="shared" si="25"/>
        <v>1</v>
      </c>
      <c r="Q218" s="47">
        <f t="shared" si="25"/>
        <v>0.99999999999999978</v>
      </c>
      <c r="R218" s="47">
        <f t="shared" si="25"/>
        <v>1</v>
      </c>
      <c r="S218" s="47">
        <f t="shared" si="25"/>
        <v>1</v>
      </c>
      <c r="T218" s="47">
        <f t="shared" si="25"/>
        <v>1</v>
      </c>
      <c r="U218" s="47">
        <f t="shared" si="25"/>
        <v>1</v>
      </c>
      <c r="V218" s="47">
        <f t="shared" si="25"/>
        <v>0.99999999999999978</v>
      </c>
      <c r="W218" s="47">
        <f t="shared" si="25"/>
        <v>1</v>
      </c>
      <c r="X218" s="47">
        <f t="shared" si="25"/>
        <v>1</v>
      </c>
      <c r="Y218" s="47">
        <f t="shared" si="25"/>
        <v>0.99999999999999989</v>
      </c>
      <c r="Z218" s="47">
        <f t="shared" si="25"/>
        <v>1</v>
      </c>
      <c r="AA218" s="47">
        <f t="shared" si="25"/>
        <v>1</v>
      </c>
      <c r="AB218" s="47">
        <f t="shared" si="25"/>
        <v>0.99999999999999989</v>
      </c>
      <c r="AC218" s="47">
        <f t="shared" si="25"/>
        <v>1</v>
      </c>
      <c r="AD218" s="47">
        <f t="shared" si="25"/>
        <v>1</v>
      </c>
      <c r="AE218" s="47">
        <f t="shared" si="25"/>
        <v>0.99999999999999989</v>
      </c>
      <c r="AF218" s="47">
        <f t="shared" si="25"/>
        <v>1</v>
      </c>
    </row>
    <row r="220" spans="3:32" s="49" customFormat="1" x14ac:dyDescent="0.25">
      <c r="D220" s="49" t="s">
        <v>1088</v>
      </c>
    </row>
    <row r="221" spans="3:32" x14ac:dyDescent="0.25">
      <c r="C221" t="s">
        <v>1085</v>
      </c>
      <c r="E221" t="s">
        <v>1086</v>
      </c>
      <c r="F221">
        <f>'AEO 2025 Table 5'!F27*quadrillion</f>
        <v>4891081000000000</v>
      </c>
      <c r="G221">
        <f>'AEO 2026 Table 5'!D36*quadrillion</f>
        <v>5153255462646484</v>
      </c>
      <c r="H221">
        <f>'AEO 2026 Table 5'!E36*quadrillion</f>
        <v>5390965938568115</v>
      </c>
      <c r="I221">
        <f>'AEO 2026 Table 5'!F36*quadrillion</f>
        <v>5448623180389404</v>
      </c>
      <c r="J221">
        <f>'AEO 2026 Table 5'!G36*quadrillion</f>
        <v>5511735439300537</v>
      </c>
      <c r="K221">
        <f>'AEO 2026 Table 5'!H36*quadrillion</f>
        <v>5571002960205078</v>
      </c>
      <c r="L221">
        <f>'AEO 2026 Table 5'!I36*quadrillion</f>
        <v>5609722137451172</v>
      </c>
      <c r="M221">
        <f>'AEO 2026 Table 5'!J36*quadrillion</f>
        <v>5652575969696045</v>
      </c>
      <c r="N221">
        <f>'AEO 2026 Table 5'!K36*quadrillion</f>
        <v>5700143337249756</v>
      </c>
      <c r="O221">
        <f>'AEO 2026 Table 5'!L36*quadrillion</f>
        <v>5753941059112549</v>
      </c>
      <c r="P221">
        <f>'AEO 2026 Table 5'!M36*quadrillion</f>
        <v>5811899185180664</v>
      </c>
      <c r="Q221">
        <f>'AEO 2026 Table 5'!N36*quadrillion</f>
        <v>5872981071472168</v>
      </c>
      <c r="R221">
        <f>'AEO 2026 Table 5'!O36*quadrillion</f>
        <v>5940314769744873</v>
      </c>
      <c r="S221">
        <f>'AEO 2026 Table 5'!P36*quadrillion</f>
        <v>6009747982025146</v>
      </c>
      <c r="T221">
        <f>'AEO 2026 Table 5'!Q36*quadrillion</f>
        <v>6080286026000977</v>
      </c>
      <c r="U221">
        <f>'AEO 2026 Table 5'!R36*quadrillion</f>
        <v>6150940895080566</v>
      </c>
      <c r="V221">
        <f>'AEO 2026 Table 5'!S36*quadrillion</f>
        <v>6218776226043701</v>
      </c>
      <c r="W221">
        <f>'AEO 2026 Table 5'!T36*quadrillion</f>
        <v>6286954879760742</v>
      </c>
      <c r="X221">
        <f>'AEO 2026 Table 5'!U36*quadrillion</f>
        <v>6354804992675781</v>
      </c>
      <c r="Y221">
        <f>'AEO 2026 Table 5'!V36*quadrillion</f>
        <v>6421802997589111</v>
      </c>
      <c r="Z221">
        <f>'AEO 2026 Table 5'!W36*quadrillion</f>
        <v>6486872673034668</v>
      </c>
      <c r="AA221">
        <f>'AEO 2026 Table 5'!X36*quadrillion</f>
        <v>6550222873687744</v>
      </c>
      <c r="AB221">
        <f>'AEO 2026 Table 5'!Y36*quadrillion</f>
        <v>6608398437500000</v>
      </c>
      <c r="AC221">
        <f>'AEO 2026 Table 5'!Z36*quadrillion</f>
        <v>6659478664398193</v>
      </c>
      <c r="AD221">
        <f>'AEO 2026 Table 5'!AA36*quadrillion</f>
        <v>6705345153808594</v>
      </c>
      <c r="AE221">
        <f>'AEO 2026 Table 5'!AB36*quadrillion</f>
        <v>6747577667236328</v>
      </c>
      <c r="AF221">
        <f>'AEO 2026 Table 5'!AC36*quadrillion</f>
        <v>6787544250488281</v>
      </c>
    </row>
    <row r="222" spans="3:32" x14ac:dyDescent="0.25">
      <c r="C222" t="s">
        <v>1089</v>
      </c>
      <c r="E222" t="s">
        <v>1086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25">
      <c r="C223" t="s">
        <v>1087</v>
      </c>
      <c r="D223" t="s">
        <v>1060</v>
      </c>
      <c r="E223" t="s">
        <v>1048</v>
      </c>
      <c r="F223">
        <f t="shared" ref="F223:AF223" si="26">SUMIFS(F$5:F$196,$C$5:$C$196,$D223,$E$5:$E$196,$E223)</f>
        <v>4263093651877133</v>
      </c>
      <c r="G223">
        <f t="shared" si="26"/>
        <v>4248926334546772.5</v>
      </c>
      <c r="H223">
        <f t="shared" si="26"/>
        <v>4236808449539868</v>
      </c>
      <c r="I223">
        <f t="shared" si="26"/>
        <v>4221793871362416.5</v>
      </c>
      <c r="J223">
        <f t="shared" si="26"/>
        <v>4227526132038800</v>
      </c>
      <c r="K223">
        <f t="shared" si="26"/>
        <v>4229105776528088.5</v>
      </c>
      <c r="L223">
        <f t="shared" si="26"/>
        <v>4239977582962243</v>
      </c>
      <c r="M223">
        <f t="shared" si="26"/>
        <v>4254866847813336.5</v>
      </c>
      <c r="N223">
        <f t="shared" si="26"/>
        <v>4272510228918759</v>
      </c>
      <c r="O223">
        <f t="shared" si="26"/>
        <v>4293126482191769</v>
      </c>
      <c r="P223">
        <f t="shared" si="26"/>
        <v>4315179173010556</v>
      </c>
      <c r="Q223">
        <f t="shared" si="26"/>
        <v>4336153451656071</v>
      </c>
      <c r="R223">
        <f t="shared" si="26"/>
        <v>4359296256119935</v>
      </c>
      <c r="S223">
        <f t="shared" si="26"/>
        <v>4383015166072099</v>
      </c>
      <c r="T223">
        <f t="shared" si="26"/>
        <v>4408635070170609.5</v>
      </c>
      <c r="U223">
        <f t="shared" si="26"/>
        <v>4433744936150758</v>
      </c>
      <c r="V223">
        <f t="shared" si="26"/>
        <v>4456952964459387.5</v>
      </c>
      <c r="W223">
        <f t="shared" si="26"/>
        <v>4482346910248248</v>
      </c>
      <c r="X223">
        <f t="shared" si="26"/>
        <v>4509677287869899</v>
      </c>
      <c r="Y223">
        <f t="shared" si="26"/>
        <v>4540488715158431</v>
      </c>
      <c r="Z223">
        <f t="shared" si="26"/>
        <v>4572618910472600</v>
      </c>
      <c r="AA223">
        <f t="shared" si="26"/>
        <v>4607748527014224</v>
      </c>
      <c r="AB223">
        <f t="shared" si="26"/>
        <v>4644248530376641</v>
      </c>
      <c r="AC223">
        <f t="shared" si="26"/>
        <v>4681163642746655</v>
      </c>
      <c r="AD223">
        <f t="shared" si="26"/>
        <v>4719819488190858</v>
      </c>
      <c r="AE223">
        <f t="shared" si="26"/>
        <v>4761674865781276</v>
      </c>
      <c r="AF223">
        <f t="shared" si="26"/>
        <v>4805113613419263</v>
      </c>
    </row>
    <row r="224" spans="3:32" x14ac:dyDescent="0.25">
      <c r="F224" s="47">
        <f t="shared" ref="F224:AF224" si="27">F223/SUM(F221:F222)</f>
        <v>0.87160561272183656</v>
      </c>
      <c r="G224" s="47">
        <f t="shared" si="27"/>
        <v>0.82451304138621373</v>
      </c>
      <c r="H224" s="47">
        <f t="shared" si="27"/>
        <v>0.78590896285002299</v>
      </c>
      <c r="I224" s="47">
        <f t="shared" si="27"/>
        <v>0.7748368223659563</v>
      </c>
      <c r="J224" s="47">
        <f t="shared" si="27"/>
        <v>0.76700454486532677</v>
      </c>
      <c r="K224" s="47">
        <f t="shared" si="27"/>
        <v>0.75912825872424383</v>
      </c>
      <c r="L224" s="47">
        <f t="shared" si="27"/>
        <v>0.75582666646813901</v>
      </c>
      <c r="M224" s="47">
        <f t="shared" si="27"/>
        <v>0.75273059055270564</v>
      </c>
      <c r="N224" s="47">
        <f t="shared" si="27"/>
        <v>0.74954434934967595</v>
      </c>
      <c r="O224" s="47">
        <f t="shared" si="27"/>
        <v>0.74611930120360204</v>
      </c>
      <c r="P224" s="47">
        <f t="shared" si="27"/>
        <v>0.74247316333592217</v>
      </c>
      <c r="Q224" s="47">
        <f t="shared" si="27"/>
        <v>0.73832239520042187</v>
      </c>
      <c r="R224" s="47">
        <f t="shared" si="27"/>
        <v>0.73384937079809998</v>
      </c>
      <c r="S224" s="47">
        <f t="shared" si="27"/>
        <v>0.72931763181775289</v>
      </c>
      <c r="T224" s="47">
        <f t="shared" si="27"/>
        <v>0.7250703423026601</v>
      </c>
      <c r="U224" s="47">
        <f t="shared" si="27"/>
        <v>0.72082385634640112</v>
      </c>
      <c r="V224" s="47">
        <f t="shared" si="27"/>
        <v>0.71669293160832048</v>
      </c>
      <c r="W224" s="47">
        <f t="shared" si="27"/>
        <v>0.71295992988243451</v>
      </c>
      <c r="X224" s="47">
        <f t="shared" si="27"/>
        <v>0.70964841455678329</v>
      </c>
      <c r="Y224" s="47">
        <f t="shared" si="27"/>
        <v>0.70704266650083047</v>
      </c>
      <c r="Z224" s="47">
        <f t="shared" si="27"/>
        <v>0.70490344746252775</v>
      </c>
      <c r="AA224" s="47">
        <f t="shared" si="27"/>
        <v>0.70344912163577777</v>
      </c>
      <c r="AB224" s="47">
        <f t="shared" si="27"/>
        <v>0.7027797391910271</v>
      </c>
      <c r="AC224" s="47">
        <f t="shared" si="27"/>
        <v>0.70293244841706914</v>
      </c>
      <c r="AD224" s="47">
        <f t="shared" si="27"/>
        <v>0.70388911829692025</v>
      </c>
      <c r="AE224" s="47">
        <f t="shared" si="27"/>
        <v>0.70568655903023669</v>
      </c>
      <c r="AF224" s="47">
        <f t="shared" si="27"/>
        <v>0.70793109202545434</v>
      </c>
    </row>
    <row r="225" spans="3:32" x14ac:dyDescent="0.2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25">
      <c r="C226" t="s">
        <v>1085</v>
      </c>
      <c r="E226" t="s">
        <v>1055</v>
      </c>
      <c r="F226">
        <f>'AEO 2025 Table 5'!F37*quadrillion</f>
        <v>3426704000000000</v>
      </c>
      <c r="G226">
        <f>'AEO 2026 Table 5'!D47*quadrillion</f>
        <v>3639803886413574</v>
      </c>
      <c r="H226">
        <f>'AEO 2026 Table 5'!E47*quadrillion</f>
        <v>3563961029052734</v>
      </c>
      <c r="I226">
        <f>'AEO 2026 Table 5'!F47*quadrillion</f>
        <v>3571540117263794</v>
      </c>
      <c r="J226">
        <f>'AEO 2026 Table 5'!G47*quadrillion</f>
        <v>3555937767028809</v>
      </c>
      <c r="K226">
        <f>'AEO 2026 Table 5'!H47*quadrillion</f>
        <v>3519203424453735</v>
      </c>
      <c r="L226">
        <f>'AEO 2026 Table 5'!I47*quadrillion</f>
        <v>3474857330322266</v>
      </c>
      <c r="M226">
        <f>'AEO 2026 Table 5'!J47*quadrillion</f>
        <v>3433452844619751</v>
      </c>
      <c r="N226">
        <f>'AEO 2026 Table 5'!K47*quadrillion</f>
        <v>3410690069198608</v>
      </c>
      <c r="O226">
        <f>'AEO 2026 Table 5'!L47*quadrillion</f>
        <v>3395886421203613</v>
      </c>
      <c r="P226">
        <f>'AEO 2026 Table 5'!M47*quadrillion</f>
        <v>3389491796493530</v>
      </c>
      <c r="Q226">
        <f>'AEO 2026 Table 5'!N47*quadrillion</f>
        <v>3383103132247925</v>
      </c>
      <c r="R226">
        <f>'AEO 2026 Table 5'!O47*quadrillion</f>
        <v>3380279302597046</v>
      </c>
      <c r="S226">
        <f>'AEO 2026 Table 5'!P47*quadrillion</f>
        <v>3376655340194702</v>
      </c>
      <c r="T226">
        <f>'AEO 2026 Table 5'!Q47*quadrillion</f>
        <v>3373224496841431</v>
      </c>
      <c r="U226">
        <f>'AEO 2026 Table 5'!R47*quadrillion</f>
        <v>3368846654891968</v>
      </c>
      <c r="V226">
        <f>'AEO 2026 Table 5'!S47*quadrillion</f>
        <v>3365051031112671</v>
      </c>
      <c r="W226">
        <f>'AEO 2026 Table 5'!T47*quadrillion</f>
        <v>3362262964248657</v>
      </c>
      <c r="X226">
        <f>'AEO 2026 Table 5'!U47*quadrillion</f>
        <v>3363703250885010</v>
      </c>
      <c r="Y226">
        <f>'AEO 2026 Table 5'!V47*quadrillion</f>
        <v>3366546869277954</v>
      </c>
      <c r="Z226">
        <f>'AEO 2026 Table 5'!W47*quadrillion</f>
        <v>3371503829956055</v>
      </c>
      <c r="AA226">
        <f>'AEO 2026 Table 5'!X47*quadrillion</f>
        <v>3375349760055542</v>
      </c>
      <c r="AB226">
        <f>'AEO 2026 Table 5'!Y47*quadrillion</f>
        <v>3374094486236572</v>
      </c>
      <c r="AC226">
        <f>'AEO 2026 Table 5'!Z47*quadrillion</f>
        <v>3369559288024902</v>
      </c>
      <c r="AD226">
        <f>'AEO 2026 Table 5'!AA47*quadrillion</f>
        <v>3364200592041016</v>
      </c>
      <c r="AE226">
        <f>'AEO 2026 Table 5'!AB47*quadrillion</f>
        <v>3358931541442871</v>
      </c>
      <c r="AF226">
        <f>'AEO 2026 Table 5'!AC47*quadrillion</f>
        <v>3354442119598389</v>
      </c>
    </row>
    <row r="227" spans="3:32" x14ac:dyDescent="0.25">
      <c r="C227" t="s">
        <v>1087</v>
      </c>
      <c r="D227" t="s">
        <v>1060</v>
      </c>
      <c r="E227" t="s">
        <v>1055</v>
      </c>
      <c r="F227">
        <f t="shared" ref="F227:AF227" si="28">SUMIFS(F$5:F$196,$C$5:$C$196,$D227,$E$5:$E$196,$E227)</f>
        <v>3426704000000000</v>
      </c>
      <c r="G227">
        <f t="shared" si="28"/>
        <v>3639804022386670.5</v>
      </c>
      <c r="H227">
        <f t="shared" si="28"/>
        <v>3563961025327444</v>
      </c>
      <c r="I227">
        <f t="shared" si="28"/>
        <v>3571540111675858</v>
      </c>
      <c r="J227">
        <f t="shared" si="28"/>
        <v>3555937768891454</v>
      </c>
      <c r="K227">
        <f t="shared" si="28"/>
        <v>3519203443080187</v>
      </c>
      <c r="L227">
        <f t="shared" si="28"/>
        <v>3474857216700911.5</v>
      </c>
      <c r="M227">
        <f t="shared" si="28"/>
        <v>3433452758938073.5</v>
      </c>
      <c r="N227">
        <f t="shared" si="28"/>
        <v>3410689998418093</v>
      </c>
      <c r="O227">
        <f t="shared" si="28"/>
        <v>3395886460319161.5</v>
      </c>
      <c r="P227">
        <f t="shared" si="28"/>
        <v>3389491848647595</v>
      </c>
      <c r="Q227">
        <f t="shared" si="28"/>
        <v>3383103067055345</v>
      </c>
      <c r="R227">
        <f t="shared" si="28"/>
        <v>3380279330536723</v>
      </c>
      <c r="S227">
        <f t="shared" si="28"/>
        <v>3376655381172896</v>
      </c>
      <c r="T227">
        <f t="shared" si="28"/>
        <v>3373224355280400</v>
      </c>
      <c r="U227">
        <f t="shared" si="28"/>
        <v>3368846604600549</v>
      </c>
      <c r="V227">
        <f t="shared" si="28"/>
        <v>3365051073953509</v>
      </c>
      <c r="W227">
        <f t="shared" si="28"/>
        <v>3362262845039367</v>
      </c>
      <c r="X227">
        <f t="shared" si="28"/>
        <v>3363703230395913</v>
      </c>
      <c r="Y227">
        <f t="shared" si="28"/>
        <v>3366546979174017.5</v>
      </c>
      <c r="Z227">
        <f t="shared" si="28"/>
        <v>3371503856033087</v>
      </c>
      <c r="AA227">
        <f t="shared" si="28"/>
        <v>3375349765643478</v>
      </c>
      <c r="AB227">
        <f t="shared" si="28"/>
        <v>3374094545841217.5</v>
      </c>
      <c r="AC227">
        <f t="shared" si="28"/>
        <v>3369559440761805</v>
      </c>
      <c r="AD227">
        <f t="shared" si="28"/>
        <v>3364200696349143.5</v>
      </c>
      <c r="AE227">
        <f t="shared" si="28"/>
        <v>3358931750059128</v>
      </c>
      <c r="AF227">
        <f t="shared" si="28"/>
        <v>3354442257434130</v>
      </c>
    </row>
    <row r="228" spans="3:32" x14ac:dyDescent="0.25">
      <c r="F228" s="47">
        <f t="shared" ref="F228:AF228" si="29">F227/SUM(F226:F226)</f>
        <v>1</v>
      </c>
      <c r="G228" s="47">
        <f t="shared" si="29"/>
        <v>1.0000000373572591</v>
      </c>
      <c r="H228" s="47">
        <f t="shared" si="29"/>
        <v>0.99999999895473324</v>
      </c>
      <c r="I228" s="47">
        <f t="shared" si="29"/>
        <v>0.99999999843542675</v>
      </c>
      <c r="J228" s="47">
        <f t="shared" si="29"/>
        <v>1.0000000005238125</v>
      </c>
      <c r="K228" s="47">
        <f t="shared" si="29"/>
        <v>1.0000000052928035</v>
      </c>
      <c r="L228" s="47">
        <f t="shared" si="29"/>
        <v>0.99999996730186491</v>
      </c>
      <c r="M228" s="47">
        <f t="shared" si="29"/>
        <v>0.99999997504504023</v>
      </c>
      <c r="N228" s="47">
        <f t="shared" si="29"/>
        <v>0.99999997924745032</v>
      </c>
      <c r="O228" s="47">
        <f t="shared" si="29"/>
        <v>1.000000011518509</v>
      </c>
      <c r="P228" s="47">
        <f t="shared" si="29"/>
        <v>1.0000000153869866</v>
      </c>
      <c r="Q228" s="47">
        <f t="shared" si="29"/>
        <v>0.999999980729946</v>
      </c>
      <c r="R228" s="47">
        <f t="shared" si="29"/>
        <v>1.0000000082654936</v>
      </c>
      <c r="S228" s="47">
        <f t="shared" si="29"/>
        <v>1.0000000121357349</v>
      </c>
      <c r="T228" s="47">
        <f t="shared" si="29"/>
        <v>0.99999995803391351</v>
      </c>
      <c r="U228" s="47">
        <f t="shared" si="29"/>
        <v>0.99999998507162124</v>
      </c>
      <c r="V228" s="47">
        <f t="shared" si="29"/>
        <v>1.0000000127311108</v>
      </c>
      <c r="W228" s="47">
        <f t="shared" si="29"/>
        <v>0.99999996454492368</v>
      </c>
      <c r="X228" s="47">
        <f t="shared" si="29"/>
        <v>0.99999999390876793</v>
      </c>
      <c r="Y228" s="47">
        <f t="shared" si="29"/>
        <v>1.0000000326435567</v>
      </c>
      <c r="Z228" s="47">
        <f t="shared" si="29"/>
        <v>1.0000000077345401</v>
      </c>
      <c r="AA228" s="47">
        <f t="shared" si="29"/>
        <v>1.0000000016555133</v>
      </c>
      <c r="AB228" s="47">
        <f t="shared" si="29"/>
        <v>1.0000000176653754</v>
      </c>
      <c r="AC228" s="47">
        <f t="shared" si="29"/>
        <v>1.000000045328451</v>
      </c>
      <c r="AD228" s="47">
        <f t="shared" si="29"/>
        <v>1.0000000310053234</v>
      </c>
      <c r="AE228" s="47">
        <f t="shared" si="29"/>
        <v>1.0000000621079217</v>
      </c>
      <c r="AF228" s="47">
        <f t="shared" si="29"/>
        <v>1.000000041090511</v>
      </c>
    </row>
    <row r="230" spans="3:32" x14ac:dyDescent="0.25">
      <c r="C230" t="s">
        <v>1085</v>
      </c>
      <c r="E230" t="s">
        <v>1056</v>
      </c>
      <c r="F230">
        <f>'AEO 2025 Table 5'!F42*quadrillion</f>
        <v>308284000000000</v>
      </c>
      <c r="G230">
        <f>'AEO 2026 Table 5'!D53*quadrillion</f>
        <v>315419882535934.38</v>
      </c>
      <c r="H230">
        <f>'AEO 2026 Table 5'!E53*quadrillion</f>
        <v>318988382816314.69</v>
      </c>
      <c r="I230">
        <f>'AEO 2026 Table 5'!F53*quadrillion</f>
        <v>326445698738098.06</v>
      </c>
      <c r="J230">
        <f>'AEO 2026 Table 5'!G53*quadrillion</f>
        <v>327494680881500.19</v>
      </c>
      <c r="K230">
        <f>'AEO 2026 Table 5'!H53*quadrillion</f>
        <v>327917993068695.13</v>
      </c>
      <c r="L230">
        <f>'AEO 2026 Table 5'!I53*quadrillion</f>
        <v>329482346773147.56</v>
      </c>
      <c r="M230">
        <f>'AEO 2026 Table 5'!J53*quadrillion</f>
        <v>330749243497848.5</v>
      </c>
      <c r="N230">
        <f>'AEO 2026 Table 5'!K53*quadrillion</f>
        <v>330317437648773.19</v>
      </c>
      <c r="O230">
        <f>'AEO 2026 Table 5'!L53*quadrillion</f>
        <v>327747523784637.5</v>
      </c>
      <c r="P230">
        <f>'AEO 2026 Table 5'!M53*quadrillion</f>
        <v>325246274471283</v>
      </c>
      <c r="Q230">
        <f>'AEO 2026 Table 5'!N53*quadrillion</f>
        <v>322802722454071</v>
      </c>
      <c r="R230">
        <f>'AEO 2026 Table 5'!O53*quadrillion</f>
        <v>320870101451873.75</v>
      </c>
      <c r="S230">
        <f>'AEO 2026 Table 5'!P53*quadrillion</f>
        <v>318855971097946.25</v>
      </c>
      <c r="T230">
        <f>'AEO 2026 Table 5'!Q53*quadrillion</f>
        <v>316839367151260.38</v>
      </c>
      <c r="U230">
        <f>'AEO 2026 Table 5'!R53*quadrillion</f>
        <v>315024346113205</v>
      </c>
      <c r="V230">
        <f>'AEO 2026 Table 5'!S53*quadrillion</f>
        <v>313302278518676.81</v>
      </c>
      <c r="W230">
        <f>'AEO 2026 Table 5'!T53*quadrillion</f>
        <v>311559647321701</v>
      </c>
      <c r="X230">
        <f>'AEO 2026 Table 5'!U53*quadrillion</f>
        <v>309884727001190.19</v>
      </c>
      <c r="Y230">
        <f>'AEO 2026 Table 5'!V53*quadrillion</f>
        <v>308173924684524.5</v>
      </c>
      <c r="Z230">
        <f>'AEO 2026 Table 5'!W53*quadrillion</f>
        <v>306454569101333.63</v>
      </c>
      <c r="AA230">
        <f>'AEO 2026 Table 5'!X53*quadrillion</f>
        <v>304636508226394.69</v>
      </c>
      <c r="AB230">
        <f>'AEO 2026 Table 5'!Y53*quadrillion</f>
        <v>302801996469497.69</v>
      </c>
      <c r="AC230">
        <f>'AEO 2026 Table 5'!Z53*quadrillion</f>
        <v>300869077444076.5</v>
      </c>
      <c r="AD230">
        <f>'AEO 2026 Table 5'!AA53*quadrillion</f>
        <v>299046665430069</v>
      </c>
      <c r="AE230">
        <f>'AEO 2026 Table 5'!AB53*quadrillion</f>
        <v>297122001647949.25</v>
      </c>
      <c r="AF230">
        <f>'AEO 2026 Table 5'!AC53*quadrillion</f>
        <v>295434713363647.5</v>
      </c>
    </row>
    <row r="231" spans="3:32" x14ac:dyDescent="0.25">
      <c r="C231" t="s">
        <v>1087</v>
      </c>
      <c r="D231" t="s">
        <v>1060</v>
      </c>
      <c r="E231" t="s">
        <v>1056</v>
      </c>
      <c r="F231">
        <f t="shared" ref="F231:AF231" si="30">SUMIFS(F$5:F$196,$C$5:$C$196,$D231,$E$5:$E$196,$E231)</f>
        <v>308284000000000</v>
      </c>
      <c r="G231">
        <f t="shared" si="30"/>
        <v>315419881837442.5</v>
      </c>
      <c r="H231">
        <f t="shared" si="30"/>
        <v>318988386541605</v>
      </c>
      <c r="I231">
        <f t="shared" si="30"/>
        <v>326445681275799.88</v>
      </c>
      <c r="J231">
        <f t="shared" si="30"/>
        <v>327494702767580.75</v>
      </c>
      <c r="K231">
        <f t="shared" si="30"/>
        <v>327918011927977.19</v>
      </c>
      <c r="L231">
        <f t="shared" si="30"/>
        <v>329482341418042.75</v>
      </c>
      <c r="M231">
        <f t="shared" si="30"/>
        <v>330749256536364.63</v>
      </c>
      <c r="N231">
        <f t="shared" si="30"/>
        <v>330317433923482.81</v>
      </c>
      <c r="O231">
        <f t="shared" si="30"/>
        <v>327747523784637.5</v>
      </c>
      <c r="P231">
        <f t="shared" si="30"/>
        <v>325246274704113.56</v>
      </c>
      <c r="Q231">
        <f t="shared" si="30"/>
        <v>322802722454071.13</v>
      </c>
      <c r="R231">
        <f t="shared" si="30"/>
        <v>320870112394914.06</v>
      </c>
      <c r="S231">
        <f t="shared" si="30"/>
        <v>318855972960591.38</v>
      </c>
      <c r="T231">
        <f t="shared" si="30"/>
        <v>316839377628639.25</v>
      </c>
      <c r="U231">
        <f t="shared" si="30"/>
        <v>315024360548704.88</v>
      </c>
      <c r="V231">
        <f t="shared" si="30"/>
        <v>313302286667749.25</v>
      </c>
      <c r="W231">
        <f t="shared" si="30"/>
        <v>311559650348499.38</v>
      </c>
      <c r="X231">
        <f t="shared" si="30"/>
        <v>309884744696319.13</v>
      </c>
      <c r="Y231">
        <f t="shared" si="30"/>
        <v>308173920493572.94</v>
      </c>
      <c r="Z231">
        <f t="shared" si="30"/>
        <v>306454560253769.06</v>
      </c>
      <c r="AA231">
        <f t="shared" si="30"/>
        <v>304636508692055.88</v>
      </c>
      <c r="AB231">
        <f t="shared" si="30"/>
        <v>302802009042352.5</v>
      </c>
      <c r="AC231">
        <f t="shared" si="30"/>
        <v>300869069295004</v>
      </c>
      <c r="AD231">
        <f t="shared" si="30"/>
        <v>299046658910810.88</v>
      </c>
      <c r="AE231">
        <f t="shared" si="30"/>
        <v>297122002113610.56</v>
      </c>
      <c r="AF231">
        <f t="shared" si="30"/>
        <v>295434702886268.44</v>
      </c>
    </row>
    <row r="232" spans="3:32" x14ac:dyDescent="0.25">
      <c r="F232" s="47">
        <f t="shared" ref="F232:AF232" si="31">F231/SUM(F230:F230)</f>
        <v>1</v>
      </c>
      <c r="G232" s="47">
        <f t="shared" si="31"/>
        <v>0.99999999778551729</v>
      </c>
      <c r="H232" s="47">
        <f t="shared" si="31"/>
        <v>1.0000000116784513</v>
      </c>
      <c r="I232" s="47">
        <f t="shared" si="31"/>
        <v>0.99999994650780133</v>
      </c>
      <c r="J232" s="47">
        <f t="shared" si="31"/>
        <v>1.0000000668288123</v>
      </c>
      <c r="K232" s="47">
        <f t="shared" si="31"/>
        <v>1.0000000575121903</v>
      </c>
      <c r="L232" s="47">
        <f t="shared" si="31"/>
        <v>0.99999998374691434</v>
      </c>
      <c r="M232" s="47">
        <f t="shared" si="31"/>
        <v>1.0000000394211517</v>
      </c>
      <c r="N232" s="47">
        <f t="shared" si="31"/>
        <v>0.99999998872208984</v>
      </c>
      <c r="O232" s="47">
        <f t="shared" si="31"/>
        <v>1</v>
      </c>
      <c r="P232" s="47">
        <f t="shared" si="31"/>
        <v>1.0000000007158594</v>
      </c>
      <c r="Q232" s="47">
        <f t="shared" si="31"/>
        <v>1.0000000000000004</v>
      </c>
      <c r="R232" s="47">
        <f t="shared" si="31"/>
        <v>1.0000000341042692</v>
      </c>
      <c r="S232" s="47">
        <f t="shared" si="31"/>
        <v>1.0000000058416505</v>
      </c>
      <c r="T232" s="47">
        <f t="shared" si="31"/>
        <v>1.0000000330684251</v>
      </c>
      <c r="U232" s="47">
        <f t="shared" si="31"/>
        <v>1.0000000458234422</v>
      </c>
      <c r="V232" s="47">
        <f t="shared" si="31"/>
        <v>1.0000000260102559</v>
      </c>
      <c r="W232" s="47">
        <f t="shared" si="31"/>
        <v>1.0000000097149884</v>
      </c>
      <c r="X232" s="47">
        <f t="shared" si="31"/>
        <v>1.0000000571022944</v>
      </c>
      <c r="Y232" s="47">
        <f t="shared" si="31"/>
        <v>0.99999998640069376</v>
      </c>
      <c r="Z232" s="47">
        <f t="shared" si="31"/>
        <v>0.9999999711292783</v>
      </c>
      <c r="AA232" s="47">
        <f t="shared" si="31"/>
        <v>1.0000000015285797</v>
      </c>
      <c r="AB232" s="47">
        <f t="shared" si="31"/>
        <v>1.0000000415217039</v>
      </c>
      <c r="AC232" s="47">
        <f t="shared" si="31"/>
        <v>0.99999997291488851</v>
      </c>
      <c r="AD232" s="47">
        <f t="shared" si="31"/>
        <v>0.99999997819986353</v>
      </c>
      <c r="AE232" s="47">
        <f t="shared" si="31"/>
        <v>1.0000000015672394</v>
      </c>
      <c r="AF232" s="47">
        <f t="shared" si="31"/>
        <v>0.99999996453572115</v>
      </c>
    </row>
    <row r="234" spans="3:32" x14ac:dyDescent="0.25">
      <c r="C234" t="s">
        <v>1085</v>
      </c>
      <c r="E234" t="s">
        <v>1057</v>
      </c>
      <c r="F234">
        <f>'AEO 2025 Table 5'!F44*(1-Fraction_coal)*quadrillion</f>
        <v>627274559999999.88</v>
      </c>
      <c r="G234">
        <f>'AEO 2026 Table 5'!D56*(1-Fraction_coal)*quadrillion</f>
        <v>622126636505126.88</v>
      </c>
      <c r="H234">
        <f>'AEO 2026 Table 5'!E56*(1-Fraction_coal)*quadrillion</f>
        <v>634650592803955.13</v>
      </c>
      <c r="I234">
        <f>'AEO 2026 Table 5'!F56*(1-Fraction_coal)*quadrillion</f>
        <v>641432704925537</v>
      </c>
      <c r="J234">
        <f>'AEO 2026 Table 5'!G56*(1-Fraction_coal)*quadrillion</f>
        <v>648297214508056.63</v>
      </c>
      <c r="K234">
        <f>'AEO 2026 Table 5'!H56*(1-Fraction_coal)*quadrillion</f>
        <v>655214653015136.75</v>
      </c>
      <c r="L234">
        <f>'AEO 2026 Table 5'!I56*(1-Fraction_coal)*quadrillion</f>
        <v>662962703704834</v>
      </c>
      <c r="M234">
        <f>'AEO 2026 Table 5'!J56*(1-Fraction_coal)*quadrillion</f>
        <v>670000591278076.13</v>
      </c>
      <c r="N234">
        <f>'AEO 2026 Table 5'!K56*(1-Fraction_coal)*quadrillion</f>
        <v>677713279724121.13</v>
      </c>
      <c r="O234">
        <f>'AEO 2026 Table 5'!L56*(1-Fraction_coal)*quadrillion</f>
        <v>685412349700927.63</v>
      </c>
      <c r="P234">
        <f>'AEO 2026 Table 5'!M56*(1-Fraction_coal)*quadrillion</f>
        <v>693750400543212.88</v>
      </c>
      <c r="Q234">
        <f>'AEO 2026 Table 5'!N56*(1-Fraction_coal)*quadrillion</f>
        <v>702076549530029.25</v>
      </c>
      <c r="R234">
        <f>'AEO 2026 Table 5'!O56*(1-Fraction_coal)*quadrillion</f>
        <v>710913848876953.13</v>
      </c>
      <c r="S234">
        <f>'AEO 2026 Table 5'!P56*(1-Fraction_coal)*quadrillion</f>
        <v>719830455780029.25</v>
      </c>
      <c r="T234">
        <f>'AEO 2026 Table 5'!Q56*(1-Fraction_coal)*quadrillion</f>
        <v>728546619415283.25</v>
      </c>
      <c r="U234">
        <f>'AEO 2026 Table 5'!R56*(1-Fraction_coal)*quadrillion</f>
        <v>737146911621093.75</v>
      </c>
      <c r="V234">
        <f>'AEO 2026 Table 5'!S56*(1-Fraction_coal)*quadrillion</f>
        <v>745469570159912.13</v>
      </c>
      <c r="W234">
        <f>'AEO 2026 Table 5'!T56*(1-Fraction_coal)*quadrillion</f>
        <v>753329429626464.75</v>
      </c>
      <c r="X234">
        <f>'AEO 2026 Table 5'!U56*(1-Fraction_coal)*quadrillion</f>
        <v>760967159271240.25</v>
      </c>
      <c r="Y234">
        <f>'AEO 2026 Table 5'!V56*(1-Fraction_coal)*quadrillion</f>
        <v>768377609252929.63</v>
      </c>
      <c r="Z234">
        <f>'AEO 2026 Table 5'!W56*(1-Fraction_coal)*quadrillion</f>
        <v>775620059967041</v>
      </c>
      <c r="AA234">
        <f>'AEO 2026 Table 5'!X56*(1-Fraction_coal)*quadrillion</f>
        <v>782700405120849.63</v>
      </c>
      <c r="AB234">
        <f>'AEO 2026 Table 5'!Y56*(1-Fraction_coal)*quadrillion</f>
        <v>789760894775390.63</v>
      </c>
      <c r="AC234">
        <f>'AEO 2026 Table 5'!Z56*(1-Fraction_coal)*quadrillion</f>
        <v>796708259582519.5</v>
      </c>
      <c r="AD234">
        <f>'AEO 2026 Table 5'!AA56*(1-Fraction_coal)*quadrillion</f>
        <v>803627128601074.25</v>
      </c>
      <c r="AE234">
        <f>'AEO 2026 Table 5'!AB56*(1-Fraction_coal)*quadrillion</f>
        <v>810522880554199.25</v>
      </c>
      <c r="AF234">
        <f>'AEO 2026 Table 5'!AC56*(1-Fraction_coal)*quadrillion</f>
        <v>817448844909668</v>
      </c>
    </row>
    <row r="235" spans="3:32" x14ac:dyDescent="0.25">
      <c r="C235" t="s">
        <v>1087</v>
      </c>
      <c r="D235" t="s">
        <v>1060</v>
      </c>
      <c r="E235" t="s">
        <v>1057</v>
      </c>
      <c r="F235">
        <f t="shared" ref="F235:AF235" si="32">SUMIFS(F$5:F$196,$C$5:$C$196,$D235,$E$5:$E$196,$E235)</f>
        <v>627274559999999.88</v>
      </c>
      <c r="G235">
        <f t="shared" si="32"/>
        <v>622126636505126.75</v>
      </c>
      <c r="H235">
        <f t="shared" si="32"/>
        <v>634650592803955.25</v>
      </c>
      <c r="I235">
        <f t="shared" si="32"/>
        <v>641432704925537</v>
      </c>
      <c r="J235">
        <f t="shared" si="32"/>
        <v>648297214508056.63</v>
      </c>
      <c r="K235">
        <f t="shared" si="32"/>
        <v>655214653015136.75</v>
      </c>
      <c r="L235">
        <f t="shared" si="32"/>
        <v>662962703704834</v>
      </c>
      <c r="M235">
        <f t="shared" si="32"/>
        <v>670000591278076.13</v>
      </c>
      <c r="N235">
        <f t="shared" si="32"/>
        <v>677713279724121.13</v>
      </c>
      <c r="O235">
        <f t="shared" si="32"/>
        <v>685412349700927.63</v>
      </c>
      <c r="P235">
        <f t="shared" si="32"/>
        <v>693750400543212.88</v>
      </c>
      <c r="Q235">
        <f t="shared" si="32"/>
        <v>702076549530029.25</v>
      </c>
      <c r="R235">
        <f t="shared" si="32"/>
        <v>710913848876953</v>
      </c>
      <c r="S235">
        <f t="shared" si="32"/>
        <v>719830455780029.25</v>
      </c>
      <c r="T235">
        <f t="shared" si="32"/>
        <v>728546619415283.25</v>
      </c>
      <c r="U235">
        <f t="shared" si="32"/>
        <v>737146911621093.75</v>
      </c>
      <c r="V235">
        <f t="shared" si="32"/>
        <v>745469570159912</v>
      </c>
      <c r="W235">
        <f t="shared" si="32"/>
        <v>753329429626464.63</v>
      </c>
      <c r="X235">
        <f t="shared" si="32"/>
        <v>760967159271240.13</v>
      </c>
      <c r="Y235">
        <f t="shared" si="32"/>
        <v>768377609252929.63</v>
      </c>
      <c r="Z235">
        <f t="shared" si="32"/>
        <v>775620059967041.13</v>
      </c>
      <c r="AA235">
        <f t="shared" si="32"/>
        <v>782700405120849.63</v>
      </c>
      <c r="AB235">
        <f t="shared" si="32"/>
        <v>789760894775390.63</v>
      </c>
      <c r="AC235">
        <f t="shared" si="32"/>
        <v>796708259582519.5</v>
      </c>
      <c r="AD235">
        <f t="shared" si="32"/>
        <v>803627128601074.38</v>
      </c>
      <c r="AE235">
        <f t="shared" si="32"/>
        <v>810522880554199.25</v>
      </c>
      <c r="AF235">
        <f t="shared" si="32"/>
        <v>817448844909668</v>
      </c>
    </row>
    <row r="236" spans="3:32" x14ac:dyDescent="0.25">
      <c r="F236" s="47">
        <f t="shared" ref="F236:AF236" si="33">F235/SUM(F234:F234)</f>
        <v>1</v>
      </c>
      <c r="G236" s="47">
        <f t="shared" si="33"/>
        <v>0.99999999999999978</v>
      </c>
      <c r="H236" s="47">
        <f t="shared" si="33"/>
        <v>1.0000000000000002</v>
      </c>
      <c r="I236" s="47">
        <f t="shared" si="33"/>
        <v>1</v>
      </c>
      <c r="J236" s="47">
        <f t="shared" si="33"/>
        <v>1</v>
      </c>
      <c r="K236" s="47">
        <f t="shared" si="33"/>
        <v>1</v>
      </c>
      <c r="L236" s="47">
        <f t="shared" si="33"/>
        <v>1</v>
      </c>
      <c r="M236" s="47">
        <f t="shared" si="33"/>
        <v>1</v>
      </c>
      <c r="N236" s="47">
        <f t="shared" si="33"/>
        <v>1</v>
      </c>
      <c r="O236" s="47">
        <f t="shared" si="33"/>
        <v>1</v>
      </c>
      <c r="P236" s="47">
        <f t="shared" si="33"/>
        <v>1</v>
      </c>
      <c r="Q236" s="47">
        <f t="shared" si="33"/>
        <v>1</v>
      </c>
      <c r="R236" s="47">
        <f t="shared" si="33"/>
        <v>0.99999999999999978</v>
      </c>
      <c r="S236" s="47">
        <f t="shared" si="33"/>
        <v>1</v>
      </c>
      <c r="T236" s="47">
        <f t="shared" si="33"/>
        <v>1</v>
      </c>
      <c r="U236" s="47">
        <f t="shared" si="33"/>
        <v>1</v>
      </c>
      <c r="V236" s="47">
        <f t="shared" si="33"/>
        <v>0.99999999999999978</v>
      </c>
      <c r="W236" s="47">
        <f t="shared" si="33"/>
        <v>0.99999999999999989</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25">
      <c r="C238" t="s">
        <v>1085</v>
      </c>
      <c r="E238" t="s">
        <v>1058</v>
      </c>
      <c r="F238">
        <f>'AEO 2025 Table 5'!F43*quadrillion</f>
        <v>158104000000000</v>
      </c>
      <c r="G238">
        <f>'AEO 2026 Table 5'!D55*quadrillion</f>
        <v>143681824207305.91</v>
      </c>
      <c r="H238">
        <f>'AEO 2026 Table 5'!E55*quadrillion</f>
        <v>143681824207305.91</v>
      </c>
      <c r="I238">
        <f>'AEO 2026 Table 5'!F55*quadrillion</f>
        <v>143681824207305.91</v>
      </c>
      <c r="J238">
        <f>'AEO 2026 Table 5'!G55*quadrillion</f>
        <v>143681824207305.91</v>
      </c>
      <c r="K238">
        <f>'AEO 2026 Table 5'!H55*quadrillion</f>
        <v>143681824207305.91</v>
      </c>
      <c r="L238">
        <f>'AEO 2026 Table 5'!I55*quadrillion</f>
        <v>143681824207305.91</v>
      </c>
      <c r="M238">
        <f>'AEO 2026 Table 5'!J55*quadrillion</f>
        <v>143681824207305.91</v>
      </c>
      <c r="N238">
        <f>'AEO 2026 Table 5'!K55*quadrillion</f>
        <v>143681824207305.91</v>
      </c>
      <c r="O238">
        <f>'AEO 2026 Table 5'!L55*quadrillion</f>
        <v>143681824207305.91</v>
      </c>
      <c r="P238">
        <f>'AEO 2026 Table 5'!M55*quadrillion</f>
        <v>143681824207305.91</v>
      </c>
      <c r="Q238">
        <f>'AEO 2026 Table 5'!N55*quadrillion</f>
        <v>143681824207305.91</v>
      </c>
      <c r="R238">
        <f>'AEO 2026 Table 5'!O55*quadrillion</f>
        <v>143681824207305.91</v>
      </c>
      <c r="S238">
        <f>'AEO 2026 Table 5'!P55*quadrillion</f>
        <v>143681824207305.91</v>
      </c>
      <c r="T238">
        <f>'AEO 2026 Table 5'!Q55*quadrillion</f>
        <v>143681824207305.91</v>
      </c>
      <c r="U238">
        <f>'AEO 2026 Table 5'!R55*quadrillion</f>
        <v>143681824207305.91</v>
      </c>
      <c r="V238">
        <f>'AEO 2026 Table 5'!S55*quadrillion</f>
        <v>143681824207305.91</v>
      </c>
      <c r="W238">
        <f>'AEO 2026 Table 5'!T55*quadrillion</f>
        <v>143681824207305.91</v>
      </c>
      <c r="X238">
        <f>'AEO 2026 Table 5'!U55*quadrillion</f>
        <v>143681824207305.91</v>
      </c>
      <c r="Y238">
        <f>'AEO 2026 Table 5'!V55*quadrillion</f>
        <v>143681824207305.91</v>
      </c>
      <c r="Z238">
        <f>'AEO 2026 Table 5'!W55*quadrillion</f>
        <v>143681824207305.91</v>
      </c>
      <c r="AA238">
        <f>'AEO 2026 Table 5'!X55*quadrillion</f>
        <v>143681824207305.91</v>
      </c>
      <c r="AB238">
        <f>'AEO 2026 Table 5'!Y55*quadrillion</f>
        <v>143681824207305.91</v>
      </c>
      <c r="AC238">
        <f>'AEO 2026 Table 5'!Z55*quadrillion</f>
        <v>143681824207305.91</v>
      </c>
      <c r="AD238">
        <f>'AEO 2026 Table 5'!AA55*quadrillion</f>
        <v>143681824207305.91</v>
      </c>
      <c r="AE238">
        <f>'AEO 2026 Table 5'!AB55*quadrillion</f>
        <v>143681824207305.91</v>
      </c>
      <c r="AF238">
        <f>'AEO 2026 Table 5'!AC55*quadrillion</f>
        <v>143681824207305.91</v>
      </c>
    </row>
    <row r="239" spans="3:32" x14ac:dyDescent="0.25">
      <c r="C239" t="s">
        <v>1087</v>
      </c>
      <c r="D239" t="s">
        <v>1060</v>
      </c>
      <c r="E239" t="s">
        <v>1058</v>
      </c>
      <c r="F239">
        <f t="shared" ref="F239:AF239" si="34">SUMIFS(F$5:F$196,$C$5:$C$196,$D239,$E$5:$E$196,$E239)</f>
        <v>158104000000000</v>
      </c>
      <c r="G239">
        <f t="shared" si="34"/>
        <v>143681824207305.91</v>
      </c>
      <c r="H239">
        <f t="shared" si="34"/>
        <v>143681824207305.91</v>
      </c>
      <c r="I239">
        <f t="shared" si="34"/>
        <v>143681824207305.91</v>
      </c>
      <c r="J239">
        <f t="shared" si="34"/>
        <v>143681824207305.91</v>
      </c>
      <c r="K239">
        <f t="shared" si="34"/>
        <v>143681824207305.91</v>
      </c>
      <c r="L239">
        <f t="shared" si="34"/>
        <v>143681824207305.91</v>
      </c>
      <c r="M239">
        <f t="shared" si="34"/>
        <v>143681824207305.91</v>
      </c>
      <c r="N239">
        <f t="shared" si="34"/>
        <v>143681824207305.91</v>
      </c>
      <c r="O239">
        <f t="shared" si="34"/>
        <v>143681824207305.91</v>
      </c>
      <c r="P239">
        <f t="shared" si="34"/>
        <v>143681824207305.91</v>
      </c>
      <c r="Q239">
        <f t="shared" si="34"/>
        <v>143681824207305.91</v>
      </c>
      <c r="R239">
        <f t="shared" si="34"/>
        <v>143681824207305.91</v>
      </c>
      <c r="S239">
        <f t="shared" si="34"/>
        <v>143681824207305.91</v>
      </c>
      <c r="T239">
        <f t="shared" si="34"/>
        <v>143681824207305.91</v>
      </c>
      <c r="U239">
        <f t="shared" si="34"/>
        <v>143681824207305.91</v>
      </c>
      <c r="V239">
        <f t="shared" si="34"/>
        <v>143681824207305.91</v>
      </c>
      <c r="W239">
        <f t="shared" si="34"/>
        <v>143681824207305.91</v>
      </c>
      <c r="X239">
        <f t="shared" si="34"/>
        <v>143681824207305.91</v>
      </c>
      <c r="Y239">
        <f t="shared" si="34"/>
        <v>143681824207305.91</v>
      </c>
      <c r="Z239">
        <f t="shared" si="34"/>
        <v>143681824207305.91</v>
      </c>
      <c r="AA239">
        <f t="shared" si="34"/>
        <v>143681824207305.91</v>
      </c>
      <c r="AB239">
        <f t="shared" si="34"/>
        <v>143681824207305.91</v>
      </c>
      <c r="AC239">
        <f t="shared" si="34"/>
        <v>143681824207305.91</v>
      </c>
      <c r="AD239">
        <f t="shared" si="34"/>
        <v>143681824207305.91</v>
      </c>
      <c r="AE239">
        <f t="shared" si="34"/>
        <v>143681824207305.91</v>
      </c>
      <c r="AF239">
        <f t="shared" si="34"/>
        <v>143681824207305.91</v>
      </c>
    </row>
    <row r="240" spans="3:32" x14ac:dyDescent="0.2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5" x14ac:dyDescent="0.25"/>
  <cols>
    <col min="1" max="1" width="29.85546875" customWidth="1"/>
    <col min="2" max="28" width="1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f>Calculations!F5</f>
        <v>429356810815186.56</v>
      </c>
      <c r="C2">
        <f>Calculations!G5</f>
        <v>483773028634339.81</v>
      </c>
      <c r="D2">
        <f>Calculations!H5</f>
        <v>459871752849024.5</v>
      </c>
      <c r="E2">
        <f>Calculations!I5</f>
        <v>460342273554278.31</v>
      </c>
      <c r="F2">
        <f>Calculations!J5</f>
        <v>460976347298308.06</v>
      </c>
      <c r="G2">
        <f>Calculations!K5</f>
        <v>460055184112685.13</v>
      </c>
      <c r="H2">
        <f>Calculations!L5</f>
        <v>457175703552497.38</v>
      </c>
      <c r="I2">
        <f>Calculations!M5</f>
        <v>453407531043147.38</v>
      </c>
      <c r="J2">
        <f>Calculations!N5</f>
        <v>449649713944143.13</v>
      </c>
      <c r="K2">
        <f>Calculations!O5</f>
        <v>446109724723063.13</v>
      </c>
      <c r="L2">
        <f>Calculations!P5</f>
        <v>442398741138185</v>
      </c>
      <c r="M2">
        <f>Calculations!Q5</f>
        <v>438760765798105.63</v>
      </c>
      <c r="N2">
        <f>Calculations!R5</f>
        <v>435309968402817.13</v>
      </c>
      <c r="O2">
        <f>Calculations!S5</f>
        <v>431623858617663.75</v>
      </c>
      <c r="P2">
        <f>Calculations!T5</f>
        <v>428109523754877.31</v>
      </c>
      <c r="Q2">
        <f>Calculations!U5</f>
        <v>424465694225532.19</v>
      </c>
      <c r="R2">
        <f>Calculations!V5</f>
        <v>420783305102890</v>
      </c>
      <c r="S2">
        <f>Calculations!W5</f>
        <v>416933538204484.69</v>
      </c>
      <c r="T2">
        <f>Calculations!X5</f>
        <v>413458205251517.81</v>
      </c>
      <c r="U2">
        <f>Calculations!Y5</f>
        <v>410108802414312.31</v>
      </c>
      <c r="V2">
        <f>Calculations!Z5</f>
        <v>406562230482635.75</v>
      </c>
      <c r="W2">
        <f>Calculations!AA5</f>
        <v>403255107901238.56</v>
      </c>
      <c r="X2">
        <f>Calculations!AB5</f>
        <v>399661051989961.88</v>
      </c>
      <c r="Y2">
        <f>Calculations!AC5</f>
        <v>395694045194527.63</v>
      </c>
      <c r="Z2">
        <f>Calculations!AD5</f>
        <v>391768225872905.31</v>
      </c>
      <c r="AA2">
        <f>Calculations!AE5</f>
        <v>387996722980328.69</v>
      </c>
      <c r="AB2">
        <f>Calculations!AF5</f>
        <v>384147840714968</v>
      </c>
      <c r="AD2" s="9"/>
    </row>
    <row r="3" spans="1:30" x14ac:dyDescent="0.25">
      <c r="A3" s="1" t="s">
        <v>1063</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25">
      <c r="A4" s="1" t="s">
        <v>1055</v>
      </c>
      <c r="B4">
        <f>Calculations!F7</f>
        <v>2258669807172347</v>
      </c>
      <c r="C4">
        <f>Calculations!G7</f>
        <v>2535213017868372</v>
      </c>
      <c r="D4">
        <f>Calculations!H7</f>
        <v>2382111970551606.5</v>
      </c>
      <c r="E4">
        <f>Calculations!I7</f>
        <v>2477515585507650</v>
      </c>
      <c r="F4">
        <f>Calculations!J7</f>
        <v>2462287408203351.5</v>
      </c>
      <c r="G4">
        <f>Calculations!K7</f>
        <v>2432708817723953.5</v>
      </c>
      <c r="H4">
        <f>Calculations!L7</f>
        <v>2396569164138913.5</v>
      </c>
      <c r="I4">
        <f>Calculations!M7</f>
        <v>2358254145859953</v>
      </c>
      <c r="J4">
        <f>Calculations!N7</f>
        <v>2322569505883267.5</v>
      </c>
      <c r="K4">
        <f>Calculations!O7</f>
        <v>2287303661597344.5</v>
      </c>
      <c r="L4">
        <f>Calculations!P7</f>
        <v>2254183624854205</v>
      </c>
      <c r="M4">
        <f>Calculations!Q7</f>
        <v>2222005253968428.8</v>
      </c>
      <c r="N4">
        <f>Calculations!R7</f>
        <v>2191835520466283.5</v>
      </c>
      <c r="O4">
        <f>Calculations!S7</f>
        <v>2161213062994252.5</v>
      </c>
      <c r="P4">
        <f>Calculations!T7</f>
        <v>2132095938740710.5</v>
      </c>
      <c r="Q4">
        <f>Calculations!U7</f>
        <v>2103556011530154.3</v>
      </c>
      <c r="R4">
        <f>Calculations!V7</f>
        <v>2076052041652068.3</v>
      </c>
      <c r="S4">
        <f>Calculations!W7</f>
        <v>2048916911716344</v>
      </c>
      <c r="T4">
        <f>Calculations!X7</f>
        <v>2024848856583502</v>
      </c>
      <c r="U4">
        <f>Calculations!Y7</f>
        <v>2002300496946814.3</v>
      </c>
      <c r="V4">
        <f>Calculations!Z7</f>
        <v>1981191071013033.5</v>
      </c>
      <c r="W4">
        <f>Calculations!AA7</f>
        <v>1961228753951914.5</v>
      </c>
      <c r="X4">
        <f>Calculations!AB7</f>
        <v>1940544992624301.8</v>
      </c>
      <c r="Y4">
        <f>Calculations!AC7</f>
        <v>1918843799220917.8</v>
      </c>
      <c r="Z4">
        <f>Calculations!AD7</f>
        <v>1897409244624625.5</v>
      </c>
      <c r="AA4">
        <f>Calculations!AE7</f>
        <v>1876330624735691.8</v>
      </c>
      <c r="AB4">
        <f>Calculations!AF7</f>
        <v>1855964706857281.5</v>
      </c>
    </row>
    <row r="5" spans="1:30" x14ac:dyDescent="0.25">
      <c r="A5" s="1" t="s">
        <v>1056</v>
      </c>
      <c r="B5">
        <f>Calculations!F8</f>
        <v>308793848295960.44</v>
      </c>
      <c r="C5">
        <f>Calculations!G8</f>
        <v>345858867073585.31</v>
      </c>
      <c r="D5">
        <f>Calculations!H8</f>
        <v>332681295185299.13</v>
      </c>
      <c r="E5">
        <f>Calculations!I8</f>
        <v>329149814052618.81</v>
      </c>
      <c r="F5">
        <f>Calculations!J8</f>
        <v>323955587056747.31</v>
      </c>
      <c r="G5">
        <f>Calculations!K8</f>
        <v>318399467089775.75</v>
      </c>
      <c r="H5">
        <f>Calculations!L8</f>
        <v>313376234457702.56</v>
      </c>
      <c r="I5">
        <f>Calculations!M8</f>
        <v>308272109939285.94</v>
      </c>
      <c r="J5">
        <f>Calculations!N8</f>
        <v>303424320854853.06</v>
      </c>
      <c r="K5">
        <f>Calculations!O8</f>
        <v>298636660798834.25</v>
      </c>
      <c r="L5">
        <f>Calculations!P8</f>
        <v>294235845569497.25</v>
      </c>
      <c r="M5">
        <f>Calculations!Q8</f>
        <v>289902418563264</v>
      </c>
      <c r="N5">
        <f>Calculations!R8</f>
        <v>285746100296284.25</v>
      </c>
      <c r="O5">
        <f>Calculations!S8</f>
        <v>281715113716829.94</v>
      </c>
      <c r="P5">
        <f>Calculations!T8</f>
        <v>277834540773577.22</v>
      </c>
      <c r="Q5">
        <f>Calculations!U8</f>
        <v>274098735426212.22</v>
      </c>
      <c r="R5">
        <f>Calculations!V8</f>
        <v>270411714989395.25</v>
      </c>
      <c r="S5">
        <f>Calculations!W8</f>
        <v>266756515323565.16</v>
      </c>
      <c r="T5">
        <f>Calculations!X8</f>
        <v>263257739594916.22</v>
      </c>
      <c r="U5">
        <f>Calculations!Y8</f>
        <v>259807306460293</v>
      </c>
      <c r="V5">
        <f>Calculations!Z8</f>
        <v>256468363107909</v>
      </c>
      <c r="W5">
        <f>Calculations!AA8</f>
        <v>253170451117623.25</v>
      </c>
      <c r="X5">
        <f>Calculations!AB8</f>
        <v>249942893473002.5</v>
      </c>
      <c r="Y5">
        <f>Calculations!AC8</f>
        <v>246704069766372.53</v>
      </c>
      <c r="Z5">
        <f>Calculations!AD8</f>
        <v>243484291688820.53</v>
      </c>
      <c r="AA5">
        <f>Calculations!AE8</f>
        <v>240284730078199.59</v>
      </c>
      <c r="AB5">
        <f>Calculations!AF8</f>
        <v>237199702428236</v>
      </c>
    </row>
    <row r="6" spans="1:30" x14ac:dyDescent="0.25">
      <c r="A6" s="1" t="s">
        <v>1064</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25">
      <c r="A7" s="1" t="s">
        <v>1058</v>
      </c>
      <c r="B7">
        <f>Calculations!F10</f>
        <v>290744244475026.25</v>
      </c>
      <c r="C7">
        <f>Calculations!G10</f>
        <v>301968344956528.75</v>
      </c>
      <c r="D7">
        <f>Calculations!H10</f>
        <v>278806310173075.38</v>
      </c>
      <c r="E7">
        <f>Calculations!I10</f>
        <v>272374377473326.31</v>
      </c>
      <c r="F7">
        <f>Calculations!J10</f>
        <v>269296765129766.03</v>
      </c>
      <c r="G7">
        <f>Calculations!K10</f>
        <v>267466459360479.25</v>
      </c>
      <c r="H7">
        <f>Calculations!L10</f>
        <v>263135087825143.66</v>
      </c>
      <c r="I7">
        <f>Calculations!M10</f>
        <v>259673180479559.63</v>
      </c>
      <c r="J7">
        <f>Calculations!N10</f>
        <v>256643390357645.94</v>
      </c>
      <c r="K7">
        <f>Calculations!O10</f>
        <v>254341731287298.59</v>
      </c>
      <c r="L7">
        <f>Calculations!P10</f>
        <v>251344646569416.34</v>
      </c>
      <c r="M7">
        <f>Calculations!Q10</f>
        <v>248664156407026.59</v>
      </c>
      <c r="N7">
        <f>Calculations!R10</f>
        <v>245556934875091.06</v>
      </c>
      <c r="O7">
        <f>Calculations!S10</f>
        <v>242374597590220.97</v>
      </c>
      <c r="P7">
        <f>Calculations!T10</f>
        <v>239208027588440.03</v>
      </c>
      <c r="Q7">
        <f>Calculations!U10</f>
        <v>235756215467012.06</v>
      </c>
      <c r="R7">
        <f>Calculations!V10</f>
        <v>232166062348579.25</v>
      </c>
      <c r="S7">
        <f>Calculations!W10</f>
        <v>228695907100785.22</v>
      </c>
      <c r="T7">
        <f>Calculations!X10</f>
        <v>225531106365093.5</v>
      </c>
      <c r="U7">
        <f>Calculations!Y10</f>
        <v>222484039880191.06</v>
      </c>
      <c r="V7">
        <f>Calculations!Z10</f>
        <v>219595218635796.97</v>
      </c>
      <c r="W7">
        <f>Calculations!AA10</f>
        <v>217071763848134.06</v>
      </c>
      <c r="X7">
        <f>Calculations!AB10</f>
        <v>214635705601554.25</v>
      </c>
      <c r="Y7">
        <f>Calculations!AC10</f>
        <v>212449751329717.47</v>
      </c>
      <c r="Z7">
        <f>Calculations!AD10</f>
        <v>210445250906500.44</v>
      </c>
      <c r="AA7">
        <f>Calculations!AE10</f>
        <v>208617182738444.06</v>
      </c>
      <c r="AB7">
        <f>Calculations!AF10</f>
        <v>206634524945843.13</v>
      </c>
    </row>
    <row r="8" spans="1:30" x14ac:dyDescent="0.25">
      <c r="A8" s="1" t="s">
        <v>1065</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25">
      <c r="A9" s="1" t="s">
        <v>1066</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25">
      <c r="A10" s="1" t="s">
        <v>1057</v>
      </c>
      <c r="B10">
        <f>Calculations!F13</f>
        <v>246564629482716.75</v>
      </c>
      <c r="C10">
        <f>Calculations!G13</f>
        <v>306955411708249</v>
      </c>
      <c r="D10">
        <f>Calculations!H13</f>
        <v>295249088647615.94</v>
      </c>
      <c r="E10">
        <f>Calculations!I13</f>
        <v>277425424009066.63</v>
      </c>
      <c r="F10">
        <f>Calculations!J13</f>
        <v>275294447079090.06</v>
      </c>
      <c r="G10">
        <f>Calculations!K13</f>
        <v>271649212544321.19</v>
      </c>
      <c r="H10">
        <f>Calculations!L13</f>
        <v>267154340007447.59</v>
      </c>
      <c r="I10">
        <f>Calculations!M13</f>
        <v>261992089894276.69</v>
      </c>
      <c r="J10">
        <f>Calculations!N13</f>
        <v>256891842150084.97</v>
      </c>
      <c r="K10">
        <f>Calculations!O13</f>
        <v>252039759993523.84</v>
      </c>
      <c r="L10">
        <f>Calculations!P13</f>
        <v>247600931561887.78</v>
      </c>
      <c r="M10">
        <f>Calculations!Q13</f>
        <v>243499512580911.5</v>
      </c>
      <c r="N10">
        <f>Calculations!R13</f>
        <v>239671653359669.72</v>
      </c>
      <c r="O10">
        <f>Calculations!S13</f>
        <v>235983618196713.34</v>
      </c>
      <c r="P10">
        <f>Calculations!T13</f>
        <v>232430671703391.88</v>
      </c>
      <c r="Q10">
        <f>Calculations!U13</f>
        <v>228974644565692.56</v>
      </c>
      <c r="R10">
        <f>Calculations!V13</f>
        <v>225713705032947.44</v>
      </c>
      <c r="S10">
        <f>Calculations!W13</f>
        <v>222660550191208.59</v>
      </c>
      <c r="T10">
        <f>Calculations!X13</f>
        <v>219954769931190.78</v>
      </c>
      <c r="U10">
        <f>Calculations!Y13</f>
        <v>217537978471950.13</v>
      </c>
      <c r="V10">
        <f>Calculations!Z13</f>
        <v>215351607902210</v>
      </c>
      <c r="W10">
        <f>Calculations!AA13</f>
        <v>213318083709544.22</v>
      </c>
      <c r="X10">
        <f>Calculations!AB13</f>
        <v>211303488062171.13</v>
      </c>
      <c r="Y10">
        <f>Calculations!AC13</f>
        <v>209181903853638.78</v>
      </c>
      <c r="Z10">
        <f>Calculations!AD13</f>
        <v>207026859701125.19</v>
      </c>
      <c r="AA10">
        <f>Calculations!AE13</f>
        <v>204873220554035.44</v>
      </c>
      <c r="AB10">
        <f>Calculations!AF13</f>
        <v>202765465241479.78</v>
      </c>
    </row>
    <row r="11" spans="1:30" x14ac:dyDescent="0.25">
      <c r="A11" s="1" t="s">
        <v>1067</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25">
      <c r="B27" s="13"/>
    </row>
    <row r="28" spans="2:2" x14ac:dyDescent="0.25">
      <c r="B28" s="13"/>
    </row>
    <row r="29" spans="2:2" x14ac:dyDescent="0.25">
      <c r="B29" s="13"/>
    </row>
    <row r="30" spans="2:2" x14ac:dyDescent="0.25">
      <c r="B30" s="13"/>
    </row>
    <row r="31" spans="2:2" x14ac:dyDescent="0.25">
      <c r="B31" s="13"/>
    </row>
    <row r="32" spans="2:2" x14ac:dyDescent="0.25">
      <c r="B32" s="13"/>
    </row>
    <row r="33" spans="2:2" x14ac:dyDescent="0.25">
      <c r="B33" s="13"/>
    </row>
    <row r="34" spans="2:2" x14ac:dyDescent="0.25">
      <c r="B34" s="13"/>
    </row>
    <row r="35" spans="2:2" x14ac:dyDescent="0.25">
      <c r="B35" s="13"/>
    </row>
    <row r="36" spans="2:2" x14ac:dyDescent="0.25">
      <c r="B36" s="13"/>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5" x14ac:dyDescent="0.25"/>
  <cols>
    <col min="1" max="1" width="29.85546875" customWidth="1"/>
    <col min="2" max="28" width="11.8554687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f>Calculations!F18</f>
        <v>922563312555654.38</v>
      </c>
      <c r="C2">
        <f>Calculations!G18</f>
        <v>879762684368169.5</v>
      </c>
      <c r="D2">
        <f>Calculations!H18</f>
        <v>924297856797862.75</v>
      </c>
      <c r="E2">
        <f>Calculations!I18</f>
        <v>936312162251113</v>
      </c>
      <c r="F2">
        <f>Calculations!J18</f>
        <v>947796676585121</v>
      </c>
      <c r="G2">
        <f>Calculations!K18</f>
        <v>956802058848862.5</v>
      </c>
      <c r="H2">
        <f>Calculations!L18</f>
        <v>962400381015785.5</v>
      </c>
      <c r="I2">
        <f>Calculations!M18</f>
        <v>967295237781915.13</v>
      </c>
      <c r="J2">
        <f>Calculations!N18</f>
        <v>973087437688011</v>
      </c>
      <c r="K2">
        <f>Calculations!O18</f>
        <v>979407178102809.13</v>
      </c>
      <c r="L2">
        <f>Calculations!P18</f>
        <v>986794475462802.38</v>
      </c>
      <c r="M2">
        <f>Calculations!Q18</f>
        <v>994883273817857.88</v>
      </c>
      <c r="N2">
        <f>Calculations!R18</f>
        <v>1003856379984781</v>
      </c>
      <c r="O2">
        <f>Calculations!S18</f>
        <v>1013187931655791.9</v>
      </c>
      <c r="P2">
        <f>Calculations!T18</f>
        <v>1022698725592811.3</v>
      </c>
      <c r="Q2">
        <f>Calculations!U18</f>
        <v>1032209532539140</v>
      </c>
      <c r="R2">
        <f>Calculations!V18</f>
        <v>1042195010160446.8</v>
      </c>
      <c r="S2">
        <f>Calculations!W18</f>
        <v>1052601482045818.9</v>
      </c>
      <c r="T2">
        <f>Calculations!X18</f>
        <v>1064472867225127.4</v>
      </c>
      <c r="U2">
        <f>Calculations!Y18</f>
        <v>1077104152189751.5</v>
      </c>
      <c r="V2">
        <f>Calculations!Z18</f>
        <v>1089750332813729.5</v>
      </c>
      <c r="W2">
        <f>Calculations!AA18</f>
        <v>1102973469808467.6</v>
      </c>
      <c r="X2">
        <f>Calculations!AB18</f>
        <v>1115401731489354.8</v>
      </c>
      <c r="Y2">
        <f>Calculations!AC18</f>
        <v>1127256347668744.5</v>
      </c>
      <c r="Z2">
        <f>Calculations!AD18</f>
        <v>1138829552970128.8</v>
      </c>
      <c r="AA2">
        <f>Calculations!AE18</f>
        <v>1151139716139561.3</v>
      </c>
      <c r="AB2">
        <f>Calculations!AF18</f>
        <v>1163439016535578.3</v>
      </c>
    </row>
    <row r="3" spans="1:30" x14ac:dyDescent="0.25">
      <c r="A3" s="1" t="s">
        <v>1063</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25">
      <c r="A4" s="1" t="s">
        <v>1055</v>
      </c>
      <c r="B4">
        <f>Calculations!F20</f>
        <v>51629883914838.5</v>
      </c>
      <c r="C4">
        <f>Calculations!G20</f>
        <v>47645269019023.719</v>
      </c>
      <c r="D4">
        <f>Calculations!H20</f>
        <v>50536822218408.484</v>
      </c>
      <c r="E4">
        <f>Calculations!I20</f>
        <v>50891016930624.141</v>
      </c>
      <c r="F4">
        <f>Calculations!J20</f>
        <v>51022664637901.719</v>
      </c>
      <c r="G4">
        <f>Calculations!K20</f>
        <v>50989565702258.555</v>
      </c>
      <c r="H4">
        <f>Calculations!L20</f>
        <v>50879292290455.758</v>
      </c>
      <c r="I4">
        <f>Calculations!M20</f>
        <v>50779566176313.438</v>
      </c>
      <c r="J4">
        <f>Calculations!N20</f>
        <v>50760751462478.75</v>
      </c>
      <c r="K4">
        <f>Calculations!O20</f>
        <v>50774030715129.922</v>
      </c>
      <c r="L4">
        <f>Calculations!P20</f>
        <v>50854200584797.219</v>
      </c>
      <c r="M4">
        <f>Calculations!Q20</f>
        <v>50953396569578.234</v>
      </c>
      <c r="N4">
        <f>Calculations!R20</f>
        <v>51104873716829.914</v>
      </c>
      <c r="O4">
        <f>Calculations!S20</f>
        <v>51280704291427.188</v>
      </c>
      <c r="P4">
        <f>Calculations!T20</f>
        <v>51474634067837.766</v>
      </c>
      <c r="Q4">
        <f>Calculations!U20</f>
        <v>51688998217113.25</v>
      </c>
      <c r="R4">
        <f>Calculations!V20</f>
        <v>51951239877600.578</v>
      </c>
      <c r="S4">
        <f>Calculations!W20</f>
        <v>52247806601149.516</v>
      </c>
      <c r="T4">
        <f>Calculations!X20</f>
        <v>52626858851453.086</v>
      </c>
      <c r="U4">
        <f>Calculations!Y20</f>
        <v>53022215018861.805</v>
      </c>
      <c r="V4">
        <f>Calculations!Z20</f>
        <v>53403937429936.047</v>
      </c>
      <c r="W4">
        <f>Calculations!AA20</f>
        <v>53795172898567.156</v>
      </c>
      <c r="X4">
        <f>Calculations!AB20</f>
        <v>54140888793329.555</v>
      </c>
      <c r="Y4">
        <f>Calculations!AC20</f>
        <v>54470886189913.383</v>
      </c>
      <c r="Z4">
        <f>Calculations!AD20</f>
        <v>54773459962114.469</v>
      </c>
      <c r="AA4">
        <f>Calculations!AE20</f>
        <v>55093222284465.313</v>
      </c>
      <c r="AB4">
        <f>Calculations!AF20</f>
        <v>55407592248036.906</v>
      </c>
    </row>
    <row r="5" spans="1:30" x14ac:dyDescent="0.25">
      <c r="A5" s="1" t="s">
        <v>1056</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25">
      <c r="A6" s="1" t="s">
        <v>1064</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25">
      <c r="A7" s="1" t="s">
        <v>1058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25">
      <c r="A8" s="1" t="s">
        <v>1065</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25">
      <c r="A9" s="1" t="s">
        <v>1066</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25">
      <c r="A10" s="1" t="s">
        <v>1057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25">
      <c r="A11" s="1" t="s">
        <v>1067</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5" x14ac:dyDescent="0.25"/>
  <cols>
    <col min="1" max="1" width="29.85546875" customWidth="1"/>
    <col min="2" max="28" width="10.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Calculations!F31</f>
        <v>152347957904962.38</v>
      </c>
      <c r="C2" s="7">
        <f>Calculations!G31</f>
        <v>148669660210151.38</v>
      </c>
      <c r="D2" s="7">
        <f>Calculations!H31</f>
        <v>148156117718448.94</v>
      </c>
      <c r="E2" s="7">
        <f>Calculations!I31</f>
        <v>149256809374888.69</v>
      </c>
      <c r="F2" s="7">
        <f>Calculations!J31</f>
        <v>150940734393912.41</v>
      </c>
      <c r="G2" s="7">
        <f>Calculations!K31</f>
        <v>152403605226260.84</v>
      </c>
      <c r="H2" s="7">
        <f>Calculations!L31</f>
        <v>152041725264470.16</v>
      </c>
      <c r="I2" s="7">
        <f>Calculations!M31</f>
        <v>151577982409455.19</v>
      </c>
      <c r="J2" s="7">
        <f>Calculations!N31</f>
        <v>151445794815834.19</v>
      </c>
      <c r="K2" s="7">
        <f>Calculations!O31</f>
        <v>151561993968104.91</v>
      </c>
      <c r="L2" s="7">
        <f>Calculations!P31</f>
        <v>151836789612239.94</v>
      </c>
      <c r="M2" s="7">
        <f>Calculations!Q31</f>
        <v>152221422856310.19</v>
      </c>
      <c r="N2" s="7">
        <f>Calculations!R31</f>
        <v>152659667464745.41</v>
      </c>
      <c r="O2" s="7">
        <f>Calculations!S31</f>
        <v>153043455103699.5</v>
      </c>
      <c r="P2" s="7">
        <f>Calculations!T31</f>
        <v>153447420181656.28</v>
      </c>
      <c r="Q2" s="7">
        <f>Calculations!U31</f>
        <v>153997818047114.03</v>
      </c>
      <c r="R2" s="7">
        <f>Calculations!V31</f>
        <v>152074794929167</v>
      </c>
      <c r="S2" s="7">
        <f>Calculations!W31</f>
        <v>150492602710272.78</v>
      </c>
      <c r="T2" s="7">
        <f>Calculations!X31</f>
        <v>149355784201408.56</v>
      </c>
      <c r="U2" s="7">
        <f>Calculations!Y31</f>
        <v>148668515390917.19</v>
      </c>
      <c r="V2" s="7">
        <f>Calculations!Z31</f>
        <v>148368702844653.13</v>
      </c>
      <c r="W2" s="7">
        <f>Calculations!AA31</f>
        <v>148292715467983.47</v>
      </c>
      <c r="X2" s="7">
        <f>Calculations!AB31</f>
        <v>148232729541973.63</v>
      </c>
      <c r="Y2" s="7">
        <f>Calculations!AC31</f>
        <v>148145059805391.38</v>
      </c>
      <c r="Z2" s="7">
        <f>Calculations!AD31</f>
        <v>148137384312798.5</v>
      </c>
      <c r="AA2" s="7">
        <f>Calculations!AE31</f>
        <v>148285820533959.38</v>
      </c>
      <c r="AB2" s="7">
        <f>Calculations!AF31</f>
        <v>148458701247632.13</v>
      </c>
    </row>
    <row r="3" spans="1:30" x14ac:dyDescent="0.25">
      <c r="A3" s="1" t="s">
        <v>1063</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25">
      <c r="A4" s="1" t="s">
        <v>1055</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25">
      <c r="A5" s="1" t="s">
        <v>1056</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25">
      <c r="A6" s="1" t="s">
        <v>1064</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25">
      <c r="A7" s="1" t="s">
        <v>1058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25">
      <c r="A8" s="1" t="s">
        <v>1065</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25">
      <c r="A9" s="1" t="s">
        <v>1066</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25">
      <c r="A10" s="1" t="s">
        <v>1057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25">
      <c r="A11" s="1" t="s">
        <v>1067</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5" x14ac:dyDescent="0.25"/>
  <cols>
    <col min="1" max="1" width="29.85546875" customWidth="1"/>
    <col min="2" max="28" width="13.57031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Calculations!F44</f>
        <v>1009091482231036.9</v>
      </c>
      <c r="C2" s="7">
        <f>Calculations!G44</f>
        <v>990293527639277.88</v>
      </c>
      <c r="D2" s="7">
        <f>Calculations!H44</f>
        <v>984232282203837.13</v>
      </c>
      <c r="E2" s="7">
        <f>Calculations!I44</f>
        <v>979726270445721.75</v>
      </c>
      <c r="F2" s="7">
        <f>Calculations!J44</f>
        <v>975919180587063.5</v>
      </c>
      <c r="G2" s="7">
        <f>Calculations!K44</f>
        <v>961864934099247</v>
      </c>
      <c r="H2" s="7">
        <f>Calculations!L44</f>
        <v>940997679713753.75</v>
      </c>
      <c r="I2" s="7">
        <f>Calculations!M44</f>
        <v>918763615237108.13</v>
      </c>
      <c r="J2" s="7">
        <f>Calculations!N44</f>
        <v>897642895596535.38</v>
      </c>
      <c r="K2" s="7">
        <f>Calculations!O44</f>
        <v>878612854923662.25</v>
      </c>
      <c r="L2" s="7">
        <f>Calculations!P44</f>
        <v>861681690709625.25</v>
      </c>
      <c r="M2" s="7">
        <f>Calculations!Q44</f>
        <v>846862070769529.5</v>
      </c>
      <c r="N2" s="7">
        <f>Calculations!R44</f>
        <v>834497427864324.5</v>
      </c>
      <c r="O2" s="7">
        <f>Calculations!S44</f>
        <v>824457667273051.13</v>
      </c>
      <c r="P2" s="7">
        <f>Calculations!T44</f>
        <v>816866206688577.63</v>
      </c>
      <c r="Q2" s="7">
        <f>Calculations!U44</f>
        <v>811643112034971.25</v>
      </c>
      <c r="R2" s="7">
        <f>Calculations!V44</f>
        <v>808531909654334.88</v>
      </c>
      <c r="S2" s="7">
        <f>Calculations!W44</f>
        <v>807554700737310.75</v>
      </c>
      <c r="T2" s="7">
        <f>Calculations!X44</f>
        <v>808347853943819.13</v>
      </c>
      <c r="U2" s="7">
        <f>Calculations!Y44</f>
        <v>811013367138670.75</v>
      </c>
      <c r="V2" s="7">
        <f>Calculations!Z44</f>
        <v>813998250750424.88</v>
      </c>
      <c r="W2" s="7">
        <f>Calculations!AA44</f>
        <v>817458907576135.38</v>
      </c>
      <c r="X2" s="7">
        <f>Calculations!AB44</f>
        <v>821224673363231.5</v>
      </c>
      <c r="Y2" s="7">
        <f>Calculations!AC44</f>
        <v>825218237037804.38</v>
      </c>
      <c r="Z2" s="7">
        <f>Calculations!AD44</f>
        <v>829171286470331.13</v>
      </c>
      <c r="AA2" s="7">
        <f>Calculations!AE44</f>
        <v>833405603678458.63</v>
      </c>
      <c r="AB2" s="7">
        <f>Calculations!AF44</f>
        <v>837770064392455.13</v>
      </c>
    </row>
    <row r="3" spans="1:30" x14ac:dyDescent="0.25">
      <c r="A3" s="1" t="s">
        <v>1063</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25">
      <c r="A4" s="1" t="s">
        <v>1055</v>
      </c>
      <c r="B4" s="7">
        <f>Calculations!F46</f>
        <v>937723223508459.38</v>
      </c>
      <c r="C4" s="7">
        <f>Calculations!G46</f>
        <v>927813577152108.63</v>
      </c>
      <c r="D4" s="7">
        <f>Calculations!H46</f>
        <v>937254771283412.88</v>
      </c>
      <c r="E4" s="7">
        <f>Calculations!I46</f>
        <v>946091891138347</v>
      </c>
      <c r="F4" s="7">
        <f>Calculations!J46</f>
        <v>954519393370355.13</v>
      </c>
      <c r="G4" s="7">
        <f>Calculations!K46</f>
        <v>953458802910386</v>
      </c>
      <c r="H4" s="7">
        <f>Calculations!L46</f>
        <v>950956888286893.88</v>
      </c>
      <c r="I4" s="7">
        <f>Calculations!M46</f>
        <v>949038138727110.63</v>
      </c>
      <c r="J4" s="7">
        <f>Calculations!N46</f>
        <v>948073641531611.75</v>
      </c>
      <c r="K4" s="7">
        <f>Calculations!O46</f>
        <v>946249534698291.88</v>
      </c>
      <c r="L4" s="7">
        <f>Calculations!P46</f>
        <v>946159393192908.5</v>
      </c>
      <c r="M4" s="7">
        <f>Calculations!Q46</f>
        <v>947408680434550.25</v>
      </c>
      <c r="N4" s="7">
        <f>Calculations!R46</f>
        <v>948314382055856.88</v>
      </c>
      <c r="O4" s="7">
        <f>Calculations!S46</f>
        <v>948441470000161.75</v>
      </c>
      <c r="P4" s="7">
        <f>Calculations!T46</f>
        <v>948386635760705.88</v>
      </c>
      <c r="Q4" s="7">
        <f>Calculations!U46</f>
        <v>947975245619363.63</v>
      </c>
      <c r="R4" s="7">
        <f>Calculations!V46</f>
        <v>947359316609730.38</v>
      </c>
      <c r="S4" s="7">
        <f>Calculations!W46</f>
        <v>946252081270622.5</v>
      </c>
      <c r="T4" s="7">
        <f>Calculations!X46</f>
        <v>945212048771958.25</v>
      </c>
      <c r="U4" s="7">
        <f>Calculations!Y46</f>
        <v>943940320471464.38</v>
      </c>
      <c r="V4" s="7">
        <f>Calculations!Z46</f>
        <v>942393090771796.25</v>
      </c>
      <c r="W4" s="7">
        <f>Calculations!AA46</f>
        <v>940275051600097.25</v>
      </c>
      <c r="X4" s="7">
        <f>Calculations!AB46</f>
        <v>937293529268679.88</v>
      </c>
      <c r="Y4" s="7">
        <f>Calculations!AC46</f>
        <v>933669239722172.75</v>
      </c>
      <c r="Z4" s="7">
        <f>Calculations!AD46</f>
        <v>929891326492350.13</v>
      </c>
      <c r="AA4" s="7">
        <f>Calculations!AE46</f>
        <v>926354892065085.38</v>
      </c>
      <c r="AB4" s="7">
        <f>Calculations!AF46</f>
        <v>923401138104751.88</v>
      </c>
    </row>
    <row r="5" spans="1:30" x14ac:dyDescent="0.25">
      <c r="A5" s="1" t="s">
        <v>1056</v>
      </c>
      <c r="B5" s="7">
        <f>Calculations!F47</f>
        <v>32750936614587.551</v>
      </c>
      <c r="C5" s="7">
        <f>Calculations!G47</f>
        <v>30780777516068.969</v>
      </c>
      <c r="D5" s="7">
        <f>Calculations!H47</f>
        <v>29169678611511.375</v>
      </c>
      <c r="E5" s="7">
        <f>Calculations!I47</f>
        <v>27453350654901.641</v>
      </c>
      <c r="F5" s="7">
        <f>Calculations!J47</f>
        <v>25823737876791.063</v>
      </c>
      <c r="G5" s="7">
        <f>Calculations!K47</f>
        <v>24247697435116.973</v>
      </c>
      <c r="H5" s="7">
        <f>Calculations!L47</f>
        <v>22914724557921.152</v>
      </c>
      <c r="I5" s="7">
        <f>Calculations!M47</f>
        <v>21767067668096.82</v>
      </c>
      <c r="J5" s="7">
        <f>Calculations!N47</f>
        <v>20833857861895.895</v>
      </c>
      <c r="K5" s="7">
        <f>Calculations!O47</f>
        <v>20093268770339.188</v>
      </c>
      <c r="L5" s="7">
        <f>Calculations!P47</f>
        <v>19574623376993.441</v>
      </c>
      <c r="M5" s="7">
        <f>Calculations!Q47</f>
        <v>19250751739010.766</v>
      </c>
      <c r="N5" s="7">
        <f>Calculations!R47</f>
        <v>18891133770905.852</v>
      </c>
      <c r="O5" s="7">
        <f>Calculations!S47</f>
        <v>18520290394883.832</v>
      </c>
      <c r="P5" s="7">
        <f>Calculations!T47</f>
        <v>18139220075447.258</v>
      </c>
      <c r="Q5" s="7">
        <f>Calculations!U47</f>
        <v>17752781789686.715</v>
      </c>
      <c r="R5" s="7">
        <f>Calculations!V47</f>
        <v>17362564299522.379</v>
      </c>
      <c r="S5" s="7">
        <f>Calculations!W47</f>
        <v>16962682518578.482</v>
      </c>
      <c r="T5" s="7">
        <f>Calculations!X47</f>
        <v>16560137081518.658</v>
      </c>
      <c r="U5" s="7">
        <f>Calculations!Y47</f>
        <v>16155539425888.445</v>
      </c>
      <c r="V5" s="7">
        <f>Calculations!Z47</f>
        <v>15750681584068.646</v>
      </c>
      <c r="W5" s="7">
        <f>Calculations!AA47</f>
        <v>15342507994495.264</v>
      </c>
      <c r="X5" s="7">
        <f>Calculations!AB47</f>
        <v>14938042058123.531</v>
      </c>
      <c r="Y5" s="7">
        <f>Calculations!AC47</f>
        <v>14538576575082.975</v>
      </c>
      <c r="Z5" s="7">
        <f>Calculations!AD47</f>
        <v>14148773756658.303</v>
      </c>
      <c r="AA5" s="7">
        <f>Calculations!AE47</f>
        <v>13773619420707.518</v>
      </c>
      <c r="AB5" s="7">
        <f>Calculations!AF47</f>
        <v>13423107969238.242</v>
      </c>
    </row>
    <row r="6" spans="1:30" x14ac:dyDescent="0.25">
      <c r="A6" s="1" t="s">
        <v>1064</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25">
      <c r="A7" s="1" t="s">
        <v>1058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25">
      <c r="A8" s="1" t="s">
        <v>1065</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25">
      <c r="A9" s="1" t="s">
        <v>1066</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25">
      <c r="A10" s="1" t="s">
        <v>1057</v>
      </c>
      <c r="B10" s="7">
        <f>Calculations!F52</f>
        <v>54522016028495.102</v>
      </c>
      <c r="C10" s="7">
        <f>Calculations!G52</f>
        <v>56055251776572.492</v>
      </c>
      <c r="D10" s="7">
        <f>Calculations!H52</f>
        <v>56450557532906.984</v>
      </c>
      <c r="E10" s="7">
        <f>Calculations!I52</f>
        <v>57030362942443.133</v>
      </c>
      <c r="F10" s="7">
        <f>Calculations!J52</f>
        <v>57493765116166.117</v>
      </c>
      <c r="G10" s="7">
        <f>Calculations!K52</f>
        <v>56827109556544.969</v>
      </c>
      <c r="H10" s="7">
        <f>Calculations!L52</f>
        <v>55985377149194.531</v>
      </c>
      <c r="I10" s="7">
        <f>Calculations!M52</f>
        <v>55099098426940.82</v>
      </c>
      <c r="J10" s="7">
        <f>Calculations!N52</f>
        <v>54268473530640.328</v>
      </c>
      <c r="K10" s="7">
        <f>Calculations!O52</f>
        <v>53510408057961.625</v>
      </c>
      <c r="L10" s="7">
        <f>Calculations!P52</f>
        <v>52911709878733.898</v>
      </c>
      <c r="M10" s="7">
        <f>Calculations!Q52</f>
        <v>52468204630777.938</v>
      </c>
      <c r="N10" s="7">
        <f>Calculations!R52</f>
        <v>51949046995871.445</v>
      </c>
      <c r="O10" s="7">
        <f>Calculations!S52</f>
        <v>51363692302760.461</v>
      </c>
      <c r="P10" s="7">
        <f>Calculations!T52</f>
        <v>50732621269974.898</v>
      </c>
      <c r="Q10" s="7">
        <f>Calculations!U52</f>
        <v>50057923517849.914</v>
      </c>
      <c r="R10" s="7">
        <f>Calculations!V52</f>
        <v>49370588847729.297</v>
      </c>
      <c r="S10" s="7">
        <f>Calculations!W52</f>
        <v>48684973032623.648</v>
      </c>
      <c r="T10" s="7">
        <f>Calculations!X52</f>
        <v>48025941741439.32</v>
      </c>
      <c r="U10" s="7">
        <f>Calculations!Y52</f>
        <v>47381930511130.898</v>
      </c>
      <c r="V10" s="7">
        <f>Calculations!Z52</f>
        <v>46751743298308.102</v>
      </c>
      <c r="W10" s="7">
        <f>Calculations!AA52</f>
        <v>46116649136566.008</v>
      </c>
      <c r="X10" s="7">
        <f>Calculations!AB52</f>
        <v>45462757335707.93</v>
      </c>
      <c r="Y10" s="7">
        <f>Calculations!AC52</f>
        <v>44795342357645.906</v>
      </c>
      <c r="Z10" s="7">
        <f>Calculations!AD52</f>
        <v>44131814723872.734</v>
      </c>
      <c r="AA10" s="7">
        <f>Calculations!AE52</f>
        <v>43494761847972.148</v>
      </c>
      <c r="AB10" s="7">
        <f>Calculations!AF52</f>
        <v>42900978748482.141</v>
      </c>
    </row>
    <row r="11" spans="1:30" x14ac:dyDescent="0.25">
      <c r="A11" s="1" t="s">
        <v>1067</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5" x14ac:dyDescent="0.25"/>
  <cols>
    <col min="1" max="1" width="29.85546875" customWidth="1"/>
    <col min="2" max="28" width="13.140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Calculations!F57</f>
        <v>1774425093499554.5</v>
      </c>
      <c r="C2" s="7">
        <f>Calculations!G57</f>
        <v>1832545627632477.8</v>
      </c>
      <c r="D2" s="7">
        <f>Calculations!H57</f>
        <v>1843485214515664</v>
      </c>
      <c r="E2" s="7">
        <f>Calculations!I57</f>
        <v>1760716052291103.5</v>
      </c>
      <c r="F2" s="7">
        <f>Calculations!J57</f>
        <v>1788123525616125.5</v>
      </c>
      <c r="G2" s="7">
        <f>Calculations!K57</f>
        <v>1812948579458269.3</v>
      </c>
      <c r="H2" s="7">
        <f>Calculations!L57</f>
        <v>1833428400345826.8</v>
      </c>
      <c r="I2" s="7">
        <f>Calculations!M57</f>
        <v>1852086774803853.3</v>
      </c>
      <c r="J2" s="7">
        <f>Calculations!N57</f>
        <v>1871524029629725.5</v>
      </c>
      <c r="K2" s="7">
        <f>Calculations!O57</f>
        <v>1892037395021776.3</v>
      </c>
      <c r="L2" s="7">
        <f>Calculations!P57</f>
        <v>1915364407363393.3</v>
      </c>
      <c r="M2" s="7">
        <f>Calculations!Q57</f>
        <v>1940030025613211.5</v>
      </c>
      <c r="N2" s="7">
        <f>Calculations!R57</f>
        <v>1965175758934024</v>
      </c>
      <c r="O2" s="7">
        <f>Calculations!S57</f>
        <v>1991280987370841</v>
      </c>
      <c r="P2" s="7">
        <f>Calculations!T57</f>
        <v>2018242163324860.5</v>
      </c>
      <c r="Q2" s="7">
        <f>Calculations!U57</f>
        <v>2045112553812677</v>
      </c>
      <c r="R2" s="7">
        <f>Calculations!V57</f>
        <v>2068813668362341</v>
      </c>
      <c r="S2" s="7">
        <f>Calculations!W57</f>
        <v>2094696496148951.3</v>
      </c>
      <c r="T2" s="7">
        <f>Calculations!X57</f>
        <v>2122148467817048</v>
      </c>
      <c r="U2" s="7">
        <f>Calculations!Y57</f>
        <v>2151536839425564.8</v>
      </c>
      <c r="V2" s="7">
        <f>Calculations!Z57</f>
        <v>2181972821455516.5</v>
      </c>
      <c r="W2" s="7">
        <f>Calculations!AA57</f>
        <v>2209480131473812</v>
      </c>
      <c r="X2" s="7">
        <f>Calculations!AB57</f>
        <v>2240253451403221.5</v>
      </c>
      <c r="Y2" s="7">
        <f>Calculations!AC57</f>
        <v>2270650720980490.5</v>
      </c>
      <c r="Z2" s="7">
        <f>Calculations!AD57</f>
        <v>2301328936352950.5</v>
      </c>
      <c r="AA2" s="7">
        <f>Calculations!AE57</f>
        <v>2333181115065166</v>
      </c>
      <c r="AB2" s="7">
        <f>Calculations!AF57</f>
        <v>2365798202146846.5</v>
      </c>
    </row>
    <row r="3" spans="1:30" x14ac:dyDescent="0.25">
      <c r="A3" s="1" t="s">
        <v>1063</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25">
      <c r="A4" s="1" t="s">
        <v>1055</v>
      </c>
      <c r="B4" s="7">
        <f>Calculations!F59</f>
        <v>494950562292560.44</v>
      </c>
      <c r="C4" s="7">
        <f>Calculations!G59</f>
        <v>494634761304946.19</v>
      </c>
      <c r="D4" s="7">
        <f>Calculations!H59</f>
        <v>497334453208127.5</v>
      </c>
      <c r="E4" s="7">
        <f>Calculations!I59</f>
        <v>499188592032380.81</v>
      </c>
      <c r="F4" s="7">
        <f>Calculations!J59</f>
        <v>500056417049137.81</v>
      </c>
      <c r="G4" s="7">
        <f>Calculations!K59</f>
        <v>499736700259370.13</v>
      </c>
      <c r="H4" s="7">
        <f>Calculations!L59</f>
        <v>498594014551930.69</v>
      </c>
      <c r="I4" s="7">
        <f>Calculations!M59</f>
        <v>497260456255808.25</v>
      </c>
      <c r="J4" s="7">
        <f>Calculations!N59</f>
        <v>496182973207479.94</v>
      </c>
      <c r="K4" s="7">
        <f>Calculations!O59</f>
        <v>494705427874038.69</v>
      </c>
      <c r="L4" s="7">
        <f>Calculations!P59</f>
        <v>493612593840524.5</v>
      </c>
      <c r="M4" s="7">
        <f>Calculations!Q59</f>
        <v>492646314369626.75</v>
      </c>
      <c r="N4" s="7">
        <f>Calculations!R59</f>
        <v>491988511645106.44</v>
      </c>
      <c r="O4" s="7">
        <f>Calculations!S59</f>
        <v>491210242714806.13</v>
      </c>
      <c r="P4" s="7">
        <f>Calculations!T59</f>
        <v>490549682016676.06</v>
      </c>
      <c r="Q4" s="7">
        <f>Calculations!U59</f>
        <v>489927576837367.44</v>
      </c>
      <c r="R4" s="7">
        <f>Calculations!V59</f>
        <v>489400283505545.19</v>
      </c>
      <c r="S4" s="7">
        <f>Calculations!W59</f>
        <v>488958591430097.88</v>
      </c>
      <c r="T4" s="7">
        <f>Calculations!X59</f>
        <v>488832140941957.38</v>
      </c>
      <c r="U4" s="7">
        <f>Calculations!Y59</f>
        <v>488902859548287.88</v>
      </c>
      <c r="V4" s="7">
        <f>Calculations!Z59</f>
        <v>489135934336922.19</v>
      </c>
      <c r="W4" s="7">
        <f>Calculations!AA59</f>
        <v>489305679807010.38</v>
      </c>
      <c r="X4" s="7">
        <f>Calculations!AB59</f>
        <v>489197962724520.31</v>
      </c>
      <c r="Y4" s="7">
        <f>Calculations!AC59</f>
        <v>488865756997652.31</v>
      </c>
      <c r="Z4" s="7">
        <f>Calculations!AD59</f>
        <v>488466006935966.94</v>
      </c>
      <c r="AA4" s="7">
        <f>Calculations!AE59</f>
        <v>488088997147251.63</v>
      </c>
      <c r="AB4" s="7">
        <f>Calculations!AF59</f>
        <v>487781405033918.81</v>
      </c>
    </row>
    <row r="5" spans="1:30" x14ac:dyDescent="0.25">
      <c r="A5" s="1" t="s">
        <v>1056</v>
      </c>
      <c r="B5" s="7">
        <f>Calculations!F60</f>
        <v>20989707763296.363</v>
      </c>
      <c r="C5" s="7">
        <f>Calculations!G60</f>
        <v>21185058806767.586</v>
      </c>
      <c r="D5" s="7">
        <f>Calculations!H60</f>
        <v>21403288347122.152</v>
      </c>
      <c r="E5" s="7">
        <f>Calculations!I60</f>
        <v>21440468953614.508</v>
      </c>
      <c r="F5" s="7">
        <f>Calculations!J60</f>
        <v>21392077574678.215</v>
      </c>
      <c r="G5" s="7">
        <f>Calculations!K60</f>
        <v>21307513810734.234</v>
      </c>
      <c r="H5" s="7">
        <f>Calculations!L60</f>
        <v>21258276826681.777</v>
      </c>
      <c r="I5" s="7">
        <f>Calculations!M60</f>
        <v>21198074620901.805</v>
      </c>
      <c r="J5" s="7">
        <f>Calculations!N60</f>
        <v>21148575824496.074</v>
      </c>
      <c r="K5" s="7">
        <f>Calculations!O60</f>
        <v>21093578968671.574</v>
      </c>
      <c r="L5" s="7">
        <f>Calculations!P60</f>
        <v>21058206656196.875</v>
      </c>
      <c r="M5" s="7">
        <f>Calculations!Q60</f>
        <v>21017183424917.023</v>
      </c>
      <c r="N5" s="7">
        <f>Calculations!R60</f>
        <v>20979849959038.289</v>
      </c>
      <c r="O5" s="7">
        <f>Calculations!S60</f>
        <v>20947011209584.715</v>
      </c>
      <c r="P5" s="7">
        <f>Calculations!T60</f>
        <v>20915575839391.242</v>
      </c>
      <c r="Q5" s="7">
        <f>Calculations!U60</f>
        <v>20887900159637.336</v>
      </c>
      <c r="R5" s="7">
        <f>Calculations!V60</f>
        <v>20860987150651.664</v>
      </c>
      <c r="S5" s="7">
        <f>Calculations!W60</f>
        <v>20829759929409.859</v>
      </c>
      <c r="T5" s="7">
        <f>Calculations!X60</f>
        <v>20800997972314.418</v>
      </c>
      <c r="U5" s="7">
        <f>Calculations!Y60</f>
        <v>20773310909414.719</v>
      </c>
      <c r="V5" s="7">
        <f>Calculations!Z60</f>
        <v>20746806067513.961</v>
      </c>
      <c r="W5" s="7">
        <f>Calculations!AA60</f>
        <v>20714783652230.227</v>
      </c>
      <c r="X5" s="7">
        <f>Calculations!AB60</f>
        <v>20683026301627.133</v>
      </c>
      <c r="Y5" s="7">
        <f>Calculations!AC60</f>
        <v>20648776042095.035</v>
      </c>
      <c r="Z5" s="7">
        <f>Calculations!AD60</f>
        <v>20612793918238.484</v>
      </c>
      <c r="AA5" s="7">
        <f>Calculations!AE60</f>
        <v>20575850731644.133</v>
      </c>
      <c r="AB5" s="7">
        <f>Calculations!AF60</f>
        <v>20547197727515.582</v>
      </c>
    </row>
    <row r="6" spans="1:30" x14ac:dyDescent="0.25">
      <c r="A6" s="1" t="s">
        <v>1064</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25">
      <c r="A7" s="1" t="s">
        <v>1058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25">
      <c r="A8" s="1" t="s">
        <v>1065</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25">
      <c r="A9" s="1" t="s">
        <v>1066</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25">
      <c r="A10" s="1" t="s">
        <v>1057</v>
      </c>
      <c r="B10" s="7">
        <f>Calculations!F65</f>
        <v>61209614182789.602</v>
      </c>
      <c r="C10" s="7">
        <f>Calculations!G65</f>
        <v>63450721422164.648</v>
      </c>
      <c r="D10" s="7">
        <f>Calculations!H65</f>
        <v>65996792894357.641</v>
      </c>
      <c r="E10" s="7">
        <f>Calculations!I65</f>
        <v>68459181983323.875</v>
      </c>
      <c r="F10" s="7">
        <f>Calculations!J65</f>
        <v>70672280179389.625</v>
      </c>
      <c r="G10" s="7">
        <f>Calculations!K65</f>
        <v>72626070314255.641</v>
      </c>
      <c r="H10" s="7">
        <f>Calculations!L65</f>
        <v>74399031047356.922</v>
      </c>
      <c r="I10" s="7">
        <f>Calculations!M65</f>
        <v>76022827037966.484</v>
      </c>
      <c r="J10" s="7">
        <f>Calculations!N65</f>
        <v>77625665031004.609</v>
      </c>
      <c r="K10" s="7">
        <f>Calculations!O65</f>
        <v>79202679544725.969</v>
      </c>
      <c r="L10" s="7">
        <f>Calculations!P65</f>
        <v>80873543217032.297</v>
      </c>
      <c r="M10" s="7">
        <f>Calculations!Q65</f>
        <v>82620446303246.172</v>
      </c>
      <c r="N10" s="7">
        <f>Calculations!R65</f>
        <v>84415509853153.078</v>
      </c>
      <c r="O10" s="7">
        <f>Calculations!S65</f>
        <v>86206403919371.797</v>
      </c>
      <c r="P10" s="7">
        <f>Calculations!T65</f>
        <v>87988223992228.594</v>
      </c>
      <c r="Q10" s="7">
        <f>Calculations!U65</f>
        <v>89753879998057.141</v>
      </c>
      <c r="R10" s="7">
        <f>Calculations!V65</f>
        <v>91532772976281.047</v>
      </c>
      <c r="S10" s="7">
        <f>Calculations!W65</f>
        <v>93353107109851.859</v>
      </c>
      <c r="T10" s="7">
        <f>Calculations!X65</f>
        <v>95253780234113.172</v>
      </c>
      <c r="U10" s="7">
        <f>Calculations!Y65</f>
        <v>97239696858738.766</v>
      </c>
      <c r="V10" s="7">
        <f>Calculations!Z65</f>
        <v>99294439235165.531</v>
      </c>
      <c r="W10" s="7">
        <f>Calculations!AA65</f>
        <v>101366659618878</v>
      </c>
      <c r="X10" s="7">
        <f>Calculations!AB65</f>
        <v>103409433430583.66</v>
      </c>
      <c r="Y10" s="7">
        <f>Calculations!AC65</f>
        <v>105414772954262.11</v>
      </c>
      <c r="Z10" s="7">
        <f>Calculations!AD65</f>
        <v>107403291440783.61</v>
      </c>
      <c r="AA10" s="7">
        <f>Calculations!AE65</f>
        <v>109404012659596.86</v>
      </c>
      <c r="AB10" s="7">
        <f>Calculations!AF65</f>
        <v>111431994886424.33</v>
      </c>
    </row>
    <row r="11" spans="1:30" x14ac:dyDescent="0.25">
      <c r="A11" s="1" t="s">
        <v>1067</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5" x14ac:dyDescent="0.25"/>
  <cols>
    <col min="1" max="1" width="29.85546875" customWidth="1"/>
    <col min="2" max="28" width="10.28515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Calculations!F70</f>
        <v>98704189184813.391</v>
      </c>
      <c r="C2" s="7">
        <f>Calculations!G70</f>
        <v>111213851365660.16</v>
      </c>
      <c r="D2" s="7">
        <f>Calculations!H70</f>
        <v>105719223150975.47</v>
      </c>
      <c r="E2" s="7">
        <f>Calculations!I70</f>
        <v>105827390445721.69</v>
      </c>
      <c r="F2" s="7">
        <f>Calculations!J70</f>
        <v>105973156701691.89</v>
      </c>
      <c r="G2" s="7">
        <f>Calculations!K70</f>
        <v>105761391887314.83</v>
      </c>
      <c r="H2" s="7">
        <f>Calculations!L70</f>
        <v>105099432447502.63</v>
      </c>
      <c r="I2" s="7">
        <f>Calculations!M70</f>
        <v>104233172956852.58</v>
      </c>
      <c r="J2" s="7">
        <f>Calculations!N70</f>
        <v>103369294055856.88</v>
      </c>
      <c r="K2" s="7">
        <f>Calculations!O70</f>
        <v>102555491276936.77</v>
      </c>
      <c r="L2" s="7">
        <f>Calculations!P70</f>
        <v>101702378861814.94</v>
      </c>
      <c r="M2" s="7">
        <f>Calculations!Q70</f>
        <v>100866050201894.27</v>
      </c>
      <c r="N2" s="7">
        <f>Calculations!R70</f>
        <v>100072751597182.86</v>
      </c>
      <c r="O2" s="7">
        <f>Calculations!S70</f>
        <v>99225357382336.281</v>
      </c>
      <c r="P2" s="7">
        <f>Calculations!T70</f>
        <v>98417452245122.641</v>
      </c>
      <c r="Q2" s="7">
        <f>Calculations!U70</f>
        <v>97579777774467.734</v>
      </c>
      <c r="R2" s="7">
        <f>Calculations!V70</f>
        <v>96733238897110.016</v>
      </c>
      <c r="S2" s="7">
        <f>Calculations!W70</f>
        <v>95848221795515.25</v>
      </c>
      <c r="T2" s="7">
        <f>Calculations!X70</f>
        <v>95049282748482.156</v>
      </c>
      <c r="U2" s="7">
        <f>Calculations!Y70</f>
        <v>94279293585687.688</v>
      </c>
      <c r="V2" s="7">
        <f>Calculations!Z70</f>
        <v>93463977517364.203</v>
      </c>
      <c r="W2" s="7">
        <f>Calculations!AA70</f>
        <v>92703708098761.438</v>
      </c>
      <c r="X2" s="7">
        <f>Calculations!AB70</f>
        <v>91877476010038.047</v>
      </c>
      <c r="Y2" s="7">
        <f>Calculations!AC70</f>
        <v>90965506805472.359</v>
      </c>
      <c r="Z2" s="7">
        <f>Calculations!AD70</f>
        <v>90063006127094.625</v>
      </c>
      <c r="AA2" s="7">
        <f>Calculations!AE70</f>
        <v>89195981019671.344</v>
      </c>
      <c r="AB2" s="7">
        <f>Calculations!AF70</f>
        <v>88311167285031.984</v>
      </c>
    </row>
    <row r="3" spans="1:30" x14ac:dyDescent="0.25">
      <c r="A3" s="1" t="s">
        <v>1063</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25">
      <c r="A4" s="1" t="s">
        <v>1055</v>
      </c>
      <c r="B4" s="7">
        <f>Calculations!F72</f>
        <v>519242192827653.25</v>
      </c>
      <c r="C4" s="7">
        <f>Calculations!G72</f>
        <v>582816294131628</v>
      </c>
      <c r="D4" s="7">
        <f>Calculations!H72</f>
        <v>547620125448393.13</v>
      </c>
      <c r="E4" s="7">
        <f>Calculations!I72</f>
        <v>569552318492350</v>
      </c>
      <c r="F4" s="7">
        <f>Calculations!J72</f>
        <v>566051535796648.63</v>
      </c>
      <c r="G4" s="7">
        <f>Calculations!K72</f>
        <v>559251758276046.25</v>
      </c>
      <c r="H4" s="7">
        <f>Calculations!L72</f>
        <v>550943667861086.38</v>
      </c>
      <c r="I4" s="7">
        <f>Calculations!M72</f>
        <v>542135486140046.94</v>
      </c>
      <c r="J4" s="7">
        <f>Calculations!N72</f>
        <v>533931998116732.75</v>
      </c>
      <c r="K4" s="7">
        <f>Calculations!O72</f>
        <v>525824786402655.19</v>
      </c>
      <c r="L4" s="7">
        <f>Calculations!P72</f>
        <v>518210871145794.56</v>
      </c>
      <c r="M4" s="7">
        <f>Calculations!Q72</f>
        <v>510813434031571.31</v>
      </c>
      <c r="N4" s="7">
        <f>Calculations!R72</f>
        <v>503877759533716.5</v>
      </c>
      <c r="O4" s="7">
        <f>Calculations!S72</f>
        <v>496838009005747.63</v>
      </c>
      <c r="P4" s="7">
        <f>Calculations!T72</f>
        <v>490144317259289.25</v>
      </c>
      <c r="Q4" s="7">
        <f>Calculations!U72</f>
        <v>483583316469845.38</v>
      </c>
      <c r="R4" s="7">
        <f>Calculations!V72</f>
        <v>477260470347931.69</v>
      </c>
      <c r="S4" s="7">
        <f>Calculations!W72</f>
        <v>471022416283655.75</v>
      </c>
      <c r="T4" s="7">
        <f>Calculations!X72</f>
        <v>465489447416497.94</v>
      </c>
      <c r="U4" s="7">
        <f>Calculations!Y72</f>
        <v>460305839053185.44</v>
      </c>
      <c r="V4" s="7">
        <f>Calculations!Z72</f>
        <v>455453024986966.75</v>
      </c>
      <c r="W4" s="7">
        <f>Calculations!AA72</f>
        <v>450863918048085.44</v>
      </c>
      <c r="X4" s="7">
        <f>Calculations!AB72</f>
        <v>446108959375698.25</v>
      </c>
      <c r="Y4" s="7">
        <f>Calculations!AC72</f>
        <v>441120104779082</v>
      </c>
      <c r="Z4" s="7">
        <f>Calculations!AD72</f>
        <v>436192547375374.38</v>
      </c>
      <c r="AA4" s="7">
        <f>Calculations!AE72</f>
        <v>431346815264308.25</v>
      </c>
      <c r="AB4" s="7">
        <f>Calculations!AF72</f>
        <v>426664925142718.38</v>
      </c>
    </row>
    <row r="5" spans="1:30" x14ac:dyDescent="0.25">
      <c r="A5" s="1" t="s">
        <v>1056</v>
      </c>
      <c r="B5" s="7">
        <f>Calculations!F73</f>
        <v>70988151704039.5</v>
      </c>
      <c r="C5" s="7">
        <f>Calculations!G73</f>
        <v>79508972926414.641</v>
      </c>
      <c r="D5" s="7">
        <f>Calculations!H73</f>
        <v>76479600814700.891</v>
      </c>
      <c r="E5" s="7">
        <f>Calculations!I73</f>
        <v>75667753947381.203</v>
      </c>
      <c r="F5" s="7">
        <f>Calculations!J73</f>
        <v>74473660943252.656</v>
      </c>
      <c r="G5" s="7">
        <f>Calculations!K73</f>
        <v>73196372910224.219</v>
      </c>
      <c r="H5" s="7">
        <f>Calculations!L73</f>
        <v>72041589542297.422</v>
      </c>
      <c r="I5" s="7">
        <f>Calculations!M73</f>
        <v>70868210060713.984</v>
      </c>
      <c r="J5" s="7">
        <f>Calculations!N73</f>
        <v>69753759145146.938</v>
      </c>
      <c r="K5" s="7">
        <f>Calculations!O73</f>
        <v>68653131201165.703</v>
      </c>
      <c r="L5" s="7">
        <f>Calculations!P73</f>
        <v>67641434430502.719</v>
      </c>
      <c r="M5" s="7">
        <f>Calculations!Q73</f>
        <v>66645229436736.008</v>
      </c>
      <c r="N5" s="7">
        <f>Calculations!R73</f>
        <v>65689739703715.695</v>
      </c>
      <c r="O5" s="7">
        <f>Calculations!S73</f>
        <v>64763062283170.078</v>
      </c>
      <c r="P5" s="7">
        <f>Calculations!T73</f>
        <v>63870963226422.734</v>
      </c>
      <c r="Q5" s="7">
        <f>Calculations!U73</f>
        <v>63012144573787.742</v>
      </c>
      <c r="R5" s="7">
        <f>Calculations!V73</f>
        <v>62164541010604.719</v>
      </c>
      <c r="S5" s="7">
        <f>Calculations!W73</f>
        <v>61324252676434.875</v>
      </c>
      <c r="T5" s="7">
        <f>Calculations!X73</f>
        <v>60519924405083.789</v>
      </c>
      <c r="U5" s="7">
        <f>Calculations!Y73</f>
        <v>59726709539706.945</v>
      </c>
      <c r="V5" s="7">
        <f>Calculations!Z73</f>
        <v>58959124892090.984</v>
      </c>
      <c r="W5" s="7">
        <f>Calculations!AA73</f>
        <v>58200972882376.75</v>
      </c>
      <c r="X5" s="7">
        <f>Calculations!AB73</f>
        <v>57458994526997.492</v>
      </c>
      <c r="Y5" s="7">
        <f>Calculations!AC73</f>
        <v>56714426233627.453</v>
      </c>
      <c r="Z5" s="7">
        <f>Calculations!AD73</f>
        <v>55974236311179.469</v>
      </c>
      <c r="AA5" s="7">
        <f>Calculations!AE73</f>
        <v>55238693921800.367</v>
      </c>
      <c r="AB5" s="7">
        <f>Calculations!AF73</f>
        <v>54529481571763.938</v>
      </c>
    </row>
    <row r="6" spans="1:30" x14ac:dyDescent="0.25">
      <c r="A6" s="1" t="s">
        <v>1064</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25">
      <c r="A7" s="1" t="s">
        <v>1058</v>
      </c>
      <c r="B7" s="7">
        <f>Calculations!F75</f>
        <v>66838755524973.688</v>
      </c>
      <c r="C7" s="7">
        <f>Calculations!G75</f>
        <v>69419047043471.211</v>
      </c>
      <c r="D7" s="7">
        <f>Calculations!H75</f>
        <v>64094361826924.625</v>
      </c>
      <c r="E7" s="7">
        <f>Calculations!I75</f>
        <v>62615734526673.68</v>
      </c>
      <c r="F7" s="7">
        <f>Calculations!J75</f>
        <v>61908226870233.945</v>
      </c>
      <c r="G7" s="7">
        <f>Calculations!K75</f>
        <v>61487460639520.766</v>
      </c>
      <c r="H7" s="7">
        <f>Calculations!L75</f>
        <v>60491728174856.305</v>
      </c>
      <c r="I7" s="7">
        <f>Calculations!M75</f>
        <v>59695875520440.375</v>
      </c>
      <c r="J7" s="7">
        <f>Calculations!N75</f>
        <v>58999361642354.086</v>
      </c>
      <c r="K7" s="7">
        <f>Calculations!O75</f>
        <v>58470236712701.367</v>
      </c>
      <c r="L7" s="7">
        <f>Calculations!P75</f>
        <v>57781241430583.664</v>
      </c>
      <c r="M7" s="7">
        <f>Calculations!Q75</f>
        <v>57165027592973.359</v>
      </c>
      <c r="N7" s="7">
        <f>Calculations!R75</f>
        <v>56450713124908.93</v>
      </c>
      <c r="O7" s="7">
        <f>Calculations!S75</f>
        <v>55719130409779</v>
      </c>
      <c r="P7" s="7">
        <f>Calculations!T75</f>
        <v>54991172411559.945</v>
      </c>
      <c r="Q7" s="7">
        <f>Calculations!U75</f>
        <v>54197640532987.938</v>
      </c>
      <c r="R7" s="7">
        <f>Calculations!V75</f>
        <v>53372305651420.703</v>
      </c>
      <c r="S7" s="7">
        <f>Calculations!W75</f>
        <v>52574556899214.766</v>
      </c>
      <c r="T7" s="7">
        <f>Calculations!X75</f>
        <v>51847005634906.508</v>
      </c>
      <c r="U7" s="7">
        <f>Calculations!Y75</f>
        <v>51146520119808.953</v>
      </c>
      <c r="V7" s="7">
        <f>Calculations!Z75</f>
        <v>50482413364203.023</v>
      </c>
      <c r="W7" s="7">
        <f>Calculations!AA75</f>
        <v>49902300151865.945</v>
      </c>
      <c r="X7" s="7">
        <f>Calculations!AB75</f>
        <v>49342278398445.719</v>
      </c>
      <c r="Y7" s="7">
        <f>Calculations!AC75</f>
        <v>48839752670282.523</v>
      </c>
      <c r="Z7" s="7">
        <f>Calculations!AD75</f>
        <v>48378941093499.555</v>
      </c>
      <c r="AA7" s="7">
        <f>Calculations!AE75</f>
        <v>47958689261555.891</v>
      </c>
      <c r="AB7" s="7">
        <f>Calculations!AF75</f>
        <v>47502899054156.883</v>
      </c>
    </row>
    <row r="8" spans="1:30" x14ac:dyDescent="0.25">
      <c r="A8" s="1" t="s">
        <v>1065</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25">
      <c r="A9" s="1" t="s">
        <v>1066</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25">
      <c r="A10" s="1" t="s">
        <v>1057</v>
      </c>
      <c r="B10" s="7">
        <f>Calculations!F78</f>
        <v>56682370517283.25</v>
      </c>
      <c r="C10" s="7">
        <f>Calculations!G78</f>
        <v>70565516291750.984</v>
      </c>
      <c r="D10" s="7">
        <f>Calculations!H78</f>
        <v>67874367352384.047</v>
      </c>
      <c r="E10" s="7">
        <f>Calculations!I78</f>
        <v>63776911990933.367</v>
      </c>
      <c r="F10" s="7">
        <f>Calculations!J78</f>
        <v>63287024920909.898</v>
      </c>
      <c r="G10" s="7">
        <f>Calculations!K78</f>
        <v>62449027455678.773</v>
      </c>
      <c r="H10" s="7">
        <f>Calculations!L78</f>
        <v>61415707992552.414</v>
      </c>
      <c r="I10" s="7">
        <f>Calculations!M78</f>
        <v>60228966105723.305</v>
      </c>
      <c r="J10" s="7">
        <f>Calculations!N78</f>
        <v>59056477849915</v>
      </c>
      <c r="K10" s="7">
        <f>Calculations!O78</f>
        <v>57941040006476.156</v>
      </c>
      <c r="L10" s="7">
        <f>Calculations!P78</f>
        <v>56920604438112.195</v>
      </c>
      <c r="M10" s="7">
        <f>Calculations!Q78</f>
        <v>55977735419088.477</v>
      </c>
      <c r="N10" s="7">
        <f>Calculations!R78</f>
        <v>55097754640330.289</v>
      </c>
      <c r="O10" s="7">
        <f>Calculations!S78</f>
        <v>54249917803286.656</v>
      </c>
      <c r="P10" s="7">
        <f>Calculations!T78</f>
        <v>53433136296608.109</v>
      </c>
      <c r="Q10" s="7">
        <f>Calculations!U78</f>
        <v>52638635434307.461</v>
      </c>
      <c r="R10" s="7">
        <f>Calculations!V78</f>
        <v>51888982967052.539</v>
      </c>
      <c r="S10" s="7">
        <f>Calculations!W78</f>
        <v>51187097808791.383</v>
      </c>
      <c r="T10" s="7">
        <f>Calculations!X78</f>
        <v>50565070068809.195</v>
      </c>
      <c r="U10" s="7">
        <f>Calculations!Y78</f>
        <v>50009477528049.875</v>
      </c>
      <c r="V10" s="7">
        <f>Calculations!Z78</f>
        <v>49506856097790.016</v>
      </c>
      <c r="W10" s="7">
        <f>Calculations!AA78</f>
        <v>49039372290455.758</v>
      </c>
      <c r="X10" s="7">
        <f>Calculations!AB78</f>
        <v>48576239937828.867</v>
      </c>
      <c r="Y10" s="7">
        <f>Calculations!AC78</f>
        <v>48088512146361.211</v>
      </c>
      <c r="Z10" s="7">
        <f>Calculations!AD78</f>
        <v>47593092298874.766</v>
      </c>
      <c r="AA10" s="7">
        <f>Calculations!AE78</f>
        <v>47097995445964.539</v>
      </c>
      <c r="AB10" s="7">
        <f>Calculations!AF78</f>
        <v>46613446758520.203</v>
      </c>
    </row>
    <row r="11" spans="1:30" x14ac:dyDescent="0.25">
      <c r="A11" s="1" t="s">
        <v>1067</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5" x14ac:dyDescent="0.25"/>
  <cols>
    <col min="1" max="1" width="29.85546875" customWidth="1"/>
    <col min="2" max="28" width="12.28515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Calculations!F83</f>
        <v>212086687444345.47</v>
      </c>
      <c r="C2" s="7">
        <f>Calculations!G83</f>
        <v>202247315631830.28</v>
      </c>
      <c r="D2" s="7">
        <f>Calculations!H83</f>
        <v>212485439202137.13</v>
      </c>
      <c r="E2" s="7">
        <f>Calculations!I83</f>
        <v>215247389748886.88</v>
      </c>
      <c r="F2" s="7">
        <f>Calculations!J83</f>
        <v>217887547414878.97</v>
      </c>
      <c r="G2" s="7">
        <f>Calculations!K83</f>
        <v>219957781151137.34</v>
      </c>
      <c r="H2" s="7">
        <f>Calculations!L83</f>
        <v>221244770984214.34</v>
      </c>
      <c r="I2" s="7">
        <f>Calculations!M83</f>
        <v>222370042218084.63</v>
      </c>
      <c r="J2" s="7">
        <f>Calculations!N83</f>
        <v>223701602311989</v>
      </c>
      <c r="K2" s="7">
        <f>Calculations!O83</f>
        <v>225154437897190.97</v>
      </c>
      <c r="L2" s="7">
        <f>Calculations!P83</f>
        <v>226852692537197.41</v>
      </c>
      <c r="M2" s="7">
        <f>Calculations!Q83</f>
        <v>228712214182141.97</v>
      </c>
      <c r="N2" s="7">
        <f>Calculations!R83</f>
        <v>230775028015219</v>
      </c>
      <c r="O2" s="7">
        <f>Calculations!S83</f>
        <v>232920244344207.84</v>
      </c>
      <c r="P2" s="7">
        <f>Calculations!T83</f>
        <v>235106666407188.5</v>
      </c>
      <c r="Q2" s="7">
        <f>Calculations!U83</f>
        <v>237293091460859.66</v>
      </c>
      <c r="R2" s="7">
        <f>Calculations!V83</f>
        <v>239588637839553.09</v>
      </c>
      <c r="S2" s="7">
        <f>Calculations!W83</f>
        <v>241980965954181.16</v>
      </c>
      <c r="T2" s="7">
        <f>Calculations!X83</f>
        <v>244710060774872.5</v>
      </c>
      <c r="U2" s="7">
        <f>Calculations!Y83</f>
        <v>247613847810248.53</v>
      </c>
      <c r="V2" s="7">
        <f>Calculations!Z83</f>
        <v>250521059186270.53</v>
      </c>
      <c r="W2" s="7">
        <f>Calculations!AA83</f>
        <v>253560906191532.44</v>
      </c>
      <c r="X2" s="7">
        <f>Calculations!AB83</f>
        <v>256418020510645.16</v>
      </c>
      <c r="Y2" s="7">
        <f>Calculations!AC83</f>
        <v>259143260331255.56</v>
      </c>
      <c r="Z2" s="7">
        <f>Calculations!AD83</f>
        <v>261803807029871.28</v>
      </c>
      <c r="AA2" s="7">
        <f>Calculations!AE83</f>
        <v>264633771860438.78</v>
      </c>
      <c r="AB2" s="7">
        <f>Calculations!AF83</f>
        <v>267461239464421.63</v>
      </c>
    </row>
    <row r="3" spans="1:30" x14ac:dyDescent="0.25">
      <c r="A3" s="1" t="s">
        <v>1063</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25">
      <c r="A4" s="1" t="s">
        <v>1055</v>
      </c>
      <c r="B4" s="7">
        <f>Calculations!F85</f>
        <v>11869116085161.498</v>
      </c>
      <c r="C4" s="7">
        <f>Calculations!G85</f>
        <v>10953098980976.281</v>
      </c>
      <c r="D4" s="7">
        <f>Calculations!H85</f>
        <v>11617833781591.516</v>
      </c>
      <c r="E4" s="7">
        <f>Calculations!I85</f>
        <v>11699259069375.859</v>
      </c>
      <c r="F4" s="7">
        <f>Calculations!J85</f>
        <v>11729523362098.275</v>
      </c>
      <c r="G4" s="7">
        <f>Calculations!K85</f>
        <v>11721914297741.439</v>
      </c>
      <c r="H4" s="7">
        <f>Calculations!L85</f>
        <v>11696563709544.24</v>
      </c>
      <c r="I4" s="7">
        <f>Calculations!M85</f>
        <v>11673637823686.553</v>
      </c>
      <c r="J4" s="7">
        <f>Calculations!N85</f>
        <v>11669312537521.25</v>
      </c>
      <c r="K4" s="7">
        <f>Calculations!O85</f>
        <v>11672365284870.072</v>
      </c>
      <c r="L4" s="7">
        <f>Calculations!P85</f>
        <v>11690795415202.785</v>
      </c>
      <c r="M4" s="7">
        <f>Calculations!Q85</f>
        <v>11713599430421.76</v>
      </c>
      <c r="N4" s="7">
        <f>Calculations!R85</f>
        <v>11748422283170.08</v>
      </c>
      <c r="O4" s="7">
        <f>Calculations!S85</f>
        <v>11788843708572.816</v>
      </c>
      <c r="P4" s="7">
        <f>Calculations!T85</f>
        <v>11833425932162.227</v>
      </c>
      <c r="Q4" s="7">
        <f>Calculations!U85</f>
        <v>11882705782886.748</v>
      </c>
      <c r="R4" s="7">
        <f>Calculations!V85</f>
        <v>11942992122399.416</v>
      </c>
      <c r="S4" s="7">
        <f>Calculations!W85</f>
        <v>12011169398850.48</v>
      </c>
      <c r="T4" s="7">
        <f>Calculations!X85</f>
        <v>12098309148546.91</v>
      </c>
      <c r="U4" s="7">
        <f>Calculations!Y85</f>
        <v>12189196981138.184</v>
      </c>
      <c r="V4" s="7">
        <f>Calculations!Z85</f>
        <v>12276950570063.953</v>
      </c>
      <c r="W4" s="7">
        <f>Calculations!AA85</f>
        <v>12366891101432.852</v>
      </c>
      <c r="X4" s="7">
        <f>Calculations!AB85</f>
        <v>12446367206670.445</v>
      </c>
      <c r="Y4" s="7">
        <f>Calculations!AC85</f>
        <v>12522229810086.619</v>
      </c>
      <c r="Z4" s="7">
        <f>Calculations!AD85</f>
        <v>12591788037885.535</v>
      </c>
      <c r="AA4" s="7">
        <f>Calculations!AE85</f>
        <v>12665297715534.688</v>
      </c>
      <c r="AB4" s="7">
        <f>Calculations!AF85</f>
        <v>12737567751963.086</v>
      </c>
    </row>
    <row r="5" spans="1:30" x14ac:dyDescent="0.25">
      <c r="A5" s="1" t="s">
        <v>1056</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25">
      <c r="A6" s="1" t="s">
        <v>1064</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25">
      <c r="A7" s="1" t="s">
        <v>1058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25">
      <c r="A8" s="1" t="s">
        <v>1065</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25">
      <c r="A9" s="1" t="s">
        <v>1066</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25">
      <c r="A10" s="1" t="s">
        <v>1057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25">
      <c r="A11" s="1" t="s">
        <v>1067</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Calculations!F96</f>
        <v>35023042095037.641</v>
      </c>
      <c r="C2" s="7">
        <f>Calculations!G96</f>
        <v>34177443789848.617</v>
      </c>
      <c r="D2" s="7">
        <f>Calculations!H96</f>
        <v>34059386281551.035</v>
      </c>
      <c r="E2" s="7">
        <f>Calculations!I96</f>
        <v>34312422625111.305</v>
      </c>
      <c r="F2" s="7">
        <f>Calculations!J96</f>
        <v>34699537606087.586</v>
      </c>
      <c r="G2" s="7">
        <f>Calculations!K96</f>
        <v>35035834773739.172</v>
      </c>
      <c r="H2" s="7">
        <f>Calculations!L96</f>
        <v>34952642735529.832</v>
      </c>
      <c r="I2" s="7">
        <f>Calculations!M96</f>
        <v>34846033590544.805</v>
      </c>
      <c r="J2" s="7">
        <f>Calculations!N96</f>
        <v>34815645184165.785</v>
      </c>
      <c r="K2" s="7">
        <f>Calculations!O96</f>
        <v>34842358031895.086</v>
      </c>
      <c r="L2" s="7">
        <f>Calculations!P96</f>
        <v>34905530387760.059</v>
      </c>
      <c r="M2" s="7">
        <f>Calculations!Q96</f>
        <v>34993953143689.789</v>
      </c>
      <c r="N2" s="7">
        <f>Calculations!R96</f>
        <v>35094700535254.598</v>
      </c>
      <c r="O2" s="7">
        <f>Calculations!S96</f>
        <v>35182928896300.496</v>
      </c>
      <c r="P2" s="7">
        <f>Calculations!T96</f>
        <v>35275795818343.719</v>
      </c>
      <c r="Q2" s="7">
        <f>Calculations!U96</f>
        <v>35402325952885.938</v>
      </c>
      <c r="R2" s="7">
        <f>Calculations!V96</f>
        <v>34960245070833</v>
      </c>
      <c r="S2" s="7">
        <f>Calculations!W96</f>
        <v>34596517289727.188</v>
      </c>
      <c r="T2" s="7">
        <f>Calculations!X96</f>
        <v>34335175798591.43</v>
      </c>
      <c r="U2" s="7">
        <f>Calculations!Y96</f>
        <v>34177180609082.813</v>
      </c>
      <c r="V2" s="7">
        <f>Calculations!Z96</f>
        <v>34108257155346.879</v>
      </c>
      <c r="W2" s="7">
        <f>Calculations!AA96</f>
        <v>34090788532016.512</v>
      </c>
      <c r="X2" s="7">
        <f>Calculations!AB96</f>
        <v>34076998458026.391</v>
      </c>
      <c r="Y2" s="7">
        <f>Calculations!AC96</f>
        <v>34056844194608.598</v>
      </c>
      <c r="Z2" s="7">
        <f>Calculations!AD96</f>
        <v>34055079687201.484</v>
      </c>
      <c r="AA2" s="7">
        <f>Calculations!AE96</f>
        <v>34089203466040.637</v>
      </c>
      <c r="AB2" s="7">
        <f>Calculations!AF96</f>
        <v>34128946752367.844</v>
      </c>
    </row>
    <row r="3" spans="1:30" x14ac:dyDescent="0.25">
      <c r="A3" s="1" t="s">
        <v>1063</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25">
      <c r="A4" s="1" t="s">
        <v>1055</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25">
      <c r="A5" s="1" t="s">
        <v>1056</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25">
      <c r="A6" s="1" t="s">
        <v>1064</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25">
      <c r="A7" s="1" t="s">
        <v>1058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25">
      <c r="A8" s="1" t="s">
        <v>1065</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25">
      <c r="A9" s="1" t="s">
        <v>1066</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25">
      <c r="A10" s="1" t="s">
        <v>1057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25">
      <c r="A11" s="1" t="s">
        <v>1067</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5" x14ac:dyDescent="0.25"/>
  <cols>
    <col min="1" max="1" width="29.85546875" customWidth="1"/>
    <col min="2" max="26" width="9.5703125" bestFit="1" customWidth="1"/>
    <col min="27" max="27" width="10.28515625" bestFit="1" customWidth="1"/>
    <col min="28"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Calculations!F109</f>
        <v>231978517768962.97</v>
      </c>
      <c r="C2" s="7">
        <f>Calculations!G109</f>
        <v>227657084360722.09</v>
      </c>
      <c r="D2" s="7">
        <f>Calculations!H109</f>
        <v>226263673796162.88</v>
      </c>
      <c r="E2" s="7">
        <f>Calculations!I109</f>
        <v>225227793554278.31</v>
      </c>
      <c r="F2" s="7">
        <f>Calculations!J109</f>
        <v>224352587412936.06</v>
      </c>
      <c r="G2" s="7">
        <f>Calculations!K109</f>
        <v>221121677900752.81</v>
      </c>
      <c r="H2" s="7">
        <f>Calculations!L109</f>
        <v>216324536286246.25</v>
      </c>
      <c r="I2" s="7">
        <f>Calculations!M109</f>
        <v>211213180762891.56</v>
      </c>
      <c r="J2" s="7">
        <f>Calculations!N109</f>
        <v>206357770403464.75</v>
      </c>
      <c r="K2" s="7">
        <f>Calculations!O109</f>
        <v>201982983076337.72</v>
      </c>
      <c r="L2" s="7">
        <f>Calculations!P109</f>
        <v>198090703290374.81</v>
      </c>
      <c r="M2" s="7">
        <f>Calculations!Q109</f>
        <v>194683843230470.31</v>
      </c>
      <c r="N2" s="7">
        <f>Calculations!R109</f>
        <v>191841354135675.53</v>
      </c>
      <c r="O2" s="7">
        <f>Calculations!S109</f>
        <v>189533328726948.94</v>
      </c>
      <c r="P2" s="7">
        <f>Calculations!T109</f>
        <v>187788139311422.31</v>
      </c>
      <c r="Q2" s="7">
        <f>Calculations!U109</f>
        <v>186587409965028.72</v>
      </c>
      <c r="R2" s="7">
        <f>Calculations!V109</f>
        <v>185872180345665.03</v>
      </c>
      <c r="S2" s="7">
        <f>Calculations!W109</f>
        <v>185647531262689.25</v>
      </c>
      <c r="T2" s="7">
        <f>Calculations!X109</f>
        <v>185829868056180.66</v>
      </c>
      <c r="U2" s="7">
        <f>Calculations!Y109</f>
        <v>186442638861329.25</v>
      </c>
      <c r="V2" s="7">
        <f>Calculations!Z109</f>
        <v>187128829249574.97</v>
      </c>
      <c r="W2" s="7">
        <f>Calculations!AA109</f>
        <v>187924394423864.66</v>
      </c>
      <c r="X2" s="7">
        <f>Calculations!AB109</f>
        <v>188790100636768.34</v>
      </c>
      <c r="Y2" s="7">
        <f>Calculations!AC109</f>
        <v>189708174962195.38</v>
      </c>
      <c r="Z2" s="7">
        <f>Calculations!AD109</f>
        <v>190616935529668.91</v>
      </c>
      <c r="AA2" s="7">
        <f>Calculations!AE109</f>
        <v>191590356321541.34</v>
      </c>
      <c r="AB2" s="7">
        <f>Calculations!AF109</f>
        <v>192593695607544.72</v>
      </c>
    </row>
    <row r="3" spans="1:30" x14ac:dyDescent="0.25">
      <c r="A3" s="1" t="s">
        <v>1063</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25">
      <c r="A4" s="1" t="s">
        <v>1055</v>
      </c>
      <c r="B4" s="7">
        <f>Calculations!F111</f>
        <v>215571776491540.5</v>
      </c>
      <c r="C4" s="7">
        <f>Calculations!G111</f>
        <v>213293662847891.19</v>
      </c>
      <c r="D4" s="7">
        <f>Calculations!H111</f>
        <v>215464084716587.03</v>
      </c>
      <c r="E4" s="7">
        <f>Calculations!I111</f>
        <v>217495636861653.03</v>
      </c>
      <c r="F4" s="7">
        <f>Calculations!J111</f>
        <v>219433022629644.59</v>
      </c>
      <c r="G4" s="7">
        <f>Calculations!K111</f>
        <v>219189205089613.84</v>
      </c>
      <c r="H4" s="7">
        <f>Calculations!L111</f>
        <v>218614043713106.13</v>
      </c>
      <c r="I4" s="7">
        <f>Calculations!M111</f>
        <v>218172945272889.13</v>
      </c>
      <c r="J4" s="7">
        <f>Calculations!N111</f>
        <v>217951218468388.25</v>
      </c>
      <c r="K4" s="7">
        <f>Calculations!O111</f>
        <v>217531877301708.09</v>
      </c>
      <c r="L4" s="7">
        <f>Calculations!P111</f>
        <v>217511154807091.41</v>
      </c>
      <c r="M4" s="7">
        <f>Calculations!Q111</f>
        <v>217798351565449.69</v>
      </c>
      <c r="N4" s="7">
        <f>Calculations!R111</f>
        <v>218006561944143.13</v>
      </c>
      <c r="O4" s="7">
        <f>Calculations!S111</f>
        <v>218035777999838.06</v>
      </c>
      <c r="P4" s="7">
        <f>Calculations!T111</f>
        <v>218023172239294.09</v>
      </c>
      <c r="Q4" s="7">
        <f>Calculations!U111</f>
        <v>217928598380636.28</v>
      </c>
      <c r="R4" s="7">
        <f>Calculations!V111</f>
        <v>217787003390269.56</v>
      </c>
      <c r="S4" s="7">
        <f>Calculations!W111</f>
        <v>217532462729377.5</v>
      </c>
      <c r="T4" s="7">
        <f>Calculations!X111</f>
        <v>217293371228041.75</v>
      </c>
      <c r="U4" s="7">
        <f>Calculations!Y111</f>
        <v>217001015528535.56</v>
      </c>
      <c r="V4" s="7">
        <f>Calculations!Z111</f>
        <v>216645325228203.69</v>
      </c>
      <c r="W4" s="7">
        <f>Calculations!AA111</f>
        <v>216158412399902.91</v>
      </c>
      <c r="X4" s="7">
        <f>Calculations!AB111</f>
        <v>215472994731320.38</v>
      </c>
      <c r="Y4" s="7">
        <f>Calculations!AC111</f>
        <v>214639812277827.28</v>
      </c>
      <c r="Z4" s="7">
        <f>Calculations!AD111</f>
        <v>213771313507649.97</v>
      </c>
      <c r="AA4" s="7">
        <f>Calculations!AE111</f>
        <v>212958327934914.59</v>
      </c>
      <c r="AB4" s="7">
        <f>Calculations!AF111</f>
        <v>212279293895248.09</v>
      </c>
    </row>
    <row r="5" spans="1:30" x14ac:dyDescent="0.25">
      <c r="A5" s="1" t="s">
        <v>1056</v>
      </c>
      <c r="B5" s="7">
        <f>Calculations!F112</f>
        <v>7529063385412.4512</v>
      </c>
      <c r="C5" s="7">
        <f>Calculations!G112</f>
        <v>7076146483931.0293</v>
      </c>
      <c r="D5" s="7">
        <f>Calculations!H112</f>
        <v>6705773388488.627</v>
      </c>
      <c r="E5" s="7">
        <f>Calculations!I112</f>
        <v>6311209345098.3564</v>
      </c>
      <c r="F5" s="7">
        <f>Calculations!J112</f>
        <v>5936580123208.9375</v>
      </c>
      <c r="G5" s="7">
        <f>Calculations!K112</f>
        <v>5574266564883.0244</v>
      </c>
      <c r="H5" s="7">
        <f>Calculations!L112</f>
        <v>5267831442078.8477</v>
      </c>
      <c r="I5" s="7">
        <f>Calculations!M112</f>
        <v>5003998331903.1807</v>
      </c>
      <c r="J5" s="7">
        <f>Calculations!N112</f>
        <v>4789464138104.1035</v>
      </c>
      <c r="K5" s="7">
        <f>Calculations!O112</f>
        <v>4619211229660.8105</v>
      </c>
      <c r="L5" s="7">
        <f>Calculations!P112</f>
        <v>4499980623006.5566</v>
      </c>
      <c r="M5" s="7">
        <f>Calculations!Q112</f>
        <v>4425526260989.2324</v>
      </c>
      <c r="N5" s="7">
        <f>Calculations!R112</f>
        <v>4342854229094.1475</v>
      </c>
      <c r="O5" s="7">
        <f>Calculations!S112</f>
        <v>4257601605116.166</v>
      </c>
      <c r="P5" s="7">
        <f>Calculations!T112</f>
        <v>4169997924552.7397</v>
      </c>
      <c r="Q5" s="7">
        <f>Calculations!U112</f>
        <v>4081160210313.2837</v>
      </c>
      <c r="R5" s="7">
        <f>Calculations!V112</f>
        <v>3991453700477.6167</v>
      </c>
      <c r="S5" s="7">
        <f>Calculations!W112</f>
        <v>3899525481421.5166</v>
      </c>
      <c r="T5" s="7">
        <f>Calculations!X112</f>
        <v>3806984918481.3408</v>
      </c>
      <c r="U5" s="7">
        <f>Calculations!Y112</f>
        <v>3713972574111.5518</v>
      </c>
      <c r="V5" s="7">
        <f>Calculations!Z112</f>
        <v>3620900415931.3521</v>
      </c>
      <c r="W5" s="7">
        <f>Calculations!AA112</f>
        <v>3527066005504.7358</v>
      </c>
      <c r="X5" s="7">
        <f>Calculations!AB112</f>
        <v>3434083941876.4673</v>
      </c>
      <c r="Y5" s="7">
        <f>Calculations!AC112</f>
        <v>3342251424917.0244</v>
      </c>
      <c r="Z5" s="7">
        <f>Calculations!AD112</f>
        <v>3252640243341.6987</v>
      </c>
      <c r="AA5" s="7">
        <f>Calculations!AE112</f>
        <v>3166396579292.479</v>
      </c>
      <c r="AB5" s="7">
        <f>Calculations!AF112</f>
        <v>3085818030761.7583</v>
      </c>
    </row>
    <row r="6" spans="1:30" x14ac:dyDescent="0.25">
      <c r="A6" s="1" t="s">
        <v>1064</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25">
      <c r="A7" s="1" t="s">
        <v>1058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25">
      <c r="A8" s="1" t="s">
        <v>1065</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25">
      <c r="A9" s="1" t="s">
        <v>1066</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25">
      <c r="A10" s="1" t="s">
        <v>1057</v>
      </c>
      <c r="B10" s="7">
        <f>Calculations!F117</f>
        <v>12533983971504.898</v>
      </c>
      <c r="C10" s="7">
        <f>Calculations!G117</f>
        <v>12886457223427.508</v>
      </c>
      <c r="D10" s="7">
        <f>Calculations!H117</f>
        <v>12977333467093.014</v>
      </c>
      <c r="E10" s="7">
        <f>Calculations!I117</f>
        <v>13110624057556.869</v>
      </c>
      <c r="F10" s="7">
        <f>Calculations!J117</f>
        <v>13217154883833.889</v>
      </c>
      <c r="G10" s="7">
        <f>Calculations!K117</f>
        <v>13063898443455.033</v>
      </c>
      <c r="H10" s="7">
        <f>Calculations!L117</f>
        <v>12870393850805.475</v>
      </c>
      <c r="I10" s="7">
        <f>Calculations!M117</f>
        <v>12666648573059.176</v>
      </c>
      <c r="J10" s="7">
        <f>Calculations!N117</f>
        <v>12475697469359.67</v>
      </c>
      <c r="K10" s="7">
        <f>Calculations!O117</f>
        <v>12301426942038.369</v>
      </c>
      <c r="L10" s="7">
        <f>Calculations!P117</f>
        <v>12163793121266.088</v>
      </c>
      <c r="M10" s="7">
        <f>Calculations!Q117</f>
        <v>12061836369222.051</v>
      </c>
      <c r="N10" s="7">
        <f>Calculations!R117</f>
        <v>11942488004128.551</v>
      </c>
      <c r="O10" s="7">
        <f>Calculations!S117</f>
        <v>11807921697239.537</v>
      </c>
      <c r="P10" s="7">
        <f>Calculations!T117</f>
        <v>11662845730025.096</v>
      </c>
      <c r="Q10" s="7">
        <f>Calculations!U117</f>
        <v>11507740482150.084</v>
      </c>
      <c r="R10" s="7">
        <f>Calculations!V117</f>
        <v>11349730152270.703</v>
      </c>
      <c r="S10" s="7">
        <f>Calculations!W117</f>
        <v>11192114967376.346</v>
      </c>
      <c r="T10" s="7">
        <f>Calculations!X117</f>
        <v>11040611258560.674</v>
      </c>
      <c r="U10" s="7">
        <f>Calculations!Y117</f>
        <v>10892560488869.1</v>
      </c>
      <c r="V10" s="7">
        <f>Calculations!Z117</f>
        <v>10747687701691.896</v>
      </c>
      <c r="W10" s="7">
        <f>Calculations!AA117</f>
        <v>10601686863433.982</v>
      </c>
      <c r="X10" s="7">
        <f>Calculations!AB117</f>
        <v>10451364664292.076</v>
      </c>
      <c r="Y10" s="7">
        <f>Calculations!AC117</f>
        <v>10297933642354.084</v>
      </c>
      <c r="Z10" s="7">
        <f>Calculations!AD117</f>
        <v>10145396276127.256</v>
      </c>
      <c r="AA10" s="7">
        <f>Calculations!AE117</f>
        <v>9998945152027.8477</v>
      </c>
      <c r="AB10" s="7">
        <f>Calculations!AF117</f>
        <v>9862441251517.8496</v>
      </c>
    </row>
    <row r="11" spans="1:30" x14ac:dyDescent="0.25">
      <c r="A11" s="1" t="s">
        <v>1067</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Calculations!F122</f>
        <v>407919906500445.19</v>
      </c>
      <c r="C2" s="7">
        <f>Calculations!G122</f>
        <v>421281148367522</v>
      </c>
      <c r="D2" s="7">
        <f>Calculations!H122</f>
        <v>423796033484335.75</v>
      </c>
      <c r="E2" s="7">
        <f>Calculations!I122</f>
        <v>404768355708896.63</v>
      </c>
      <c r="F2" s="7">
        <f>Calculations!J122</f>
        <v>411069018383874.31</v>
      </c>
      <c r="G2" s="7">
        <f>Calculations!K122</f>
        <v>416776012541730.81</v>
      </c>
      <c r="H2" s="7">
        <f>Calculations!L122</f>
        <v>421484087654173.06</v>
      </c>
      <c r="I2" s="7">
        <f>Calculations!M122</f>
        <v>425773433196146.63</v>
      </c>
      <c r="J2" s="7">
        <f>Calculations!N122</f>
        <v>430241834370274.44</v>
      </c>
      <c r="K2" s="7">
        <f>Calculations!O122</f>
        <v>434957620978223.94</v>
      </c>
      <c r="L2" s="7">
        <f>Calculations!P122</f>
        <v>440320232636606.44</v>
      </c>
      <c r="M2" s="7">
        <f>Calculations!Q122</f>
        <v>445990574386788.63</v>
      </c>
      <c r="N2" s="7">
        <f>Calculations!R122</f>
        <v>451771289065975.88</v>
      </c>
      <c r="O2" s="7">
        <f>Calculations!S122</f>
        <v>457772580629158.94</v>
      </c>
      <c r="P2" s="7">
        <f>Calculations!T122</f>
        <v>463970644675139.69</v>
      </c>
      <c r="Q2" s="7">
        <f>Calculations!U122</f>
        <v>470147838187322.94</v>
      </c>
      <c r="R2" s="7">
        <f>Calculations!V122</f>
        <v>475596451637658.81</v>
      </c>
      <c r="S2" s="7">
        <f>Calculations!W122</f>
        <v>481546615851048.31</v>
      </c>
      <c r="T2" s="7">
        <f>Calculations!X122</f>
        <v>487857508182951.44</v>
      </c>
      <c r="U2" s="7">
        <f>Calculations!Y122</f>
        <v>494613556574435.38</v>
      </c>
      <c r="V2" s="7">
        <f>Calculations!Z122</f>
        <v>501610438544483.06</v>
      </c>
      <c r="W2" s="7">
        <f>Calculations!AA122</f>
        <v>507934052526187.94</v>
      </c>
      <c r="X2" s="7">
        <f>Calculations!AB122</f>
        <v>515008484596778.06</v>
      </c>
      <c r="Y2" s="7">
        <f>Calculations!AC122</f>
        <v>521996467019509.31</v>
      </c>
      <c r="Z2" s="7">
        <f>Calculations!AD122</f>
        <v>529049035647049.31</v>
      </c>
      <c r="AA2" s="7">
        <f>Calculations!AE122</f>
        <v>536371484934833.69</v>
      </c>
      <c r="AB2" s="7">
        <f>Calculations!AF122</f>
        <v>543869777853153.06</v>
      </c>
    </row>
    <row r="3" spans="1:30" x14ac:dyDescent="0.25">
      <c r="A3" s="1" t="s">
        <v>1063</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25">
      <c r="A4" s="1" t="s">
        <v>1055</v>
      </c>
      <c r="B4" s="7">
        <f>Calculations!F124</f>
        <v>113783437707439.48</v>
      </c>
      <c r="C4" s="7">
        <f>Calculations!G124</f>
        <v>113710838695053.84</v>
      </c>
      <c r="D4" s="7">
        <f>Calculations!H124</f>
        <v>114331466791872.41</v>
      </c>
      <c r="E4" s="7">
        <f>Calculations!I124</f>
        <v>114757711967619.2</v>
      </c>
      <c r="F4" s="7">
        <f>Calculations!J124</f>
        <v>114957214950862.14</v>
      </c>
      <c r="G4" s="7">
        <f>Calculations!K124</f>
        <v>114883715740629.8</v>
      </c>
      <c r="H4" s="7">
        <f>Calculations!L124</f>
        <v>114621025448069.31</v>
      </c>
      <c r="I4" s="7">
        <f>Calculations!M124</f>
        <v>114314455744191.69</v>
      </c>
      <c r="J4" s="7">
        <f>Calculations!N124</f>
        <v>114066754792520.03</v>
      </c>
      <c r="K4" s="7">
        <f>Calculations!O124</f>
        <v>113727084125961.3</v>
      </c>
      <c r="L4" s="7">
        <f>Calculations!P124</f>
        <v>113475854159475.42</v>
      </c>
      <c r="M4" s="7">
        <f>Calculations!Q124</f>
        <v>113253717630373.19</v>
      </c>
      <c r="N4" s="7">
        <f>Calculations!R124</f>
        <v>113102496354893.56</v>
      </c>
      <c r="O4" s="7">
        <f>Calculations!S124</f>
        <v>112923581285193.89</v>
      </c>
      <c r="P4" s="7">
        <f>Calculations!T124</f>
        <v>112771725983323.89</v>
      </c>
      <c r="Q4" s="7">
        <f>Calculations!U124</f>
        <v>112628711162632.56</v>
      </c>
      <c r="R4" s="7">
        <f>Calculations!V124</f>
        <v>112507492494454.78</v>
      </c>
      <c r="S4" s="7">
        <f>Calculations!W124</f>
        <v>112405952569902.03</v>
      </c>
      <c r="T4" s="7">
        <f>Calculations!X124</f>
        <v>112376883058042.56</v>
      </c>
      <c r="U4" s="7">
        <f>Calculations!Y124</f>
        <v>112393140451712.14</v>
      </c>
      <c r="V4" s="7">
        <f>Calculations!Z124</f>
        <v>112446721663077.8</v>
      </c>
      <c r="W4" s="7">
        <f>Calculations!AA124</f>
        <v>112485744192989.55</v>
      </c>
      <c r="X4" s="7">
        <f>Calculations!AB124</f>
        <v>112460981275479.63</v>
      </c>
      <c r="Y4" s="7">
        <f>Calculations!AC124</f>
        <v>112384611002347.61</v>
      </c>
      <c r="Z4" s="7">
        <f>Calculations!AD124</f>
        <v>112292713064033.02</v>
      </c>
      <c r="AA4" s="7">
        <f>Calculations!AE124</f>
        <v>112206042852748.33</v>
      </c>
      <c r="AB4" s="7">
        <f>Calculations!AF124</f>
        <v>112135330966081.09</v>
      </c>
    </row>
    <row r="5" spans="1:30" x14ac:dyDescent="0.25">
      <c r="A5" s="1" t="s">
        <v>1056</v>
      </c>
      <c r="B5" s="7">
        <f>Calculations!F125</f>
        <v>4825292236703.6348</v>
      </c>
      <c r="C5" s="7">
        <f>Calculations!G125</f>
        <v>4870201193232.4131</v>
      </c>
      <c r="D5" s="7">
        <f>Calculations!H125</f>
        <v>4920369652877.8428</v>
      </c>
      <c r="E5" s="7">
        <f>Calculations!I125</f>
        <v>4928917046385.4932</v>
      </c>
      <c r="F5" s="7">
        <f>Calculations!J125</f>
        <v>4917792425321.7842</v>
      </c>
      <c r="G5" s="7">
        <f>Calculations!K125</f>
        <v>4898352189265.7656</v>
      </c>
      <c r="H5" s="7">
        <f>Calculations!L125</f>
        <v>4887033173318.2227</v>
      </c>
      <c r="I5" s="7">
        <f>Calculations!M125</f>
        <v>4873193379098.1953</v>
      </c>
      <c r="J5" s="7">
        <f>Calculations!N125</f>
        <v>4861814175503.9268</v>
      </c>
      <c r="K5" s="7">
        <f>Calculations!O125</f>
        <v>4849171031328.4219</v>
      </c>
      <c r="L5" s="7">
        <f>Calculations!P125</f>
        <v>4841039343803.125</v>
      </c>
      <c r="M5" s="7">
        <f>Calculations!Q125</f>
        <v>4831608575082.9756</v>
      </c>
      <c r="N5" s="7">
        <f>Calculations!R125</f>
        <v>4823026040961.709</v>
      </c>
      <c r="O5" s="7">
        <f>Calculations!S125</f>
        <v>4815476790415.2832</v>
      </c>
      <c r="P5" s="7">
        <f>Calculations!T125</f>
        <v>4808250160608.7588</v>
      </c>
      <c r="Q5" s="7">
        <f>Calculations!U125</f>
        <v>4801887840362.665</v>
      </c>
      <c r="R5" s="7">
        <f>Calculations!V125</f>
        <v>4795700849348.3359</v>
      </c>
      <c r="S5" s="7">
        <f>Calculations!W125</f>
        <v>4788522070590.1396</v>
      </c>
      <c r="T5" s="7">
        <f>Calculations!X125</f>
        <v>4781910027685.582</v>
      </c>
      <c r="U5" s="7">
        <f>Calculations!Y125</f>
        <v>4775545090585.2832</v>
      </c>
      <c r="V5" s="7">
        <f>Calculations!Z125</f>
        <v>4769451932486.0352</v>
      </c>
      <c r="W5" s="7">
        <f>Calculations!AA125</f>
        <v>4762090347769.7725</v>
      </c>
      <c r="X5" s="7">
        <f>Calculations!AB125</f>
        <v>4754789698372.8643</v>
      </c>
      <c r="Y5" s="7">
        <f>Calculations!AC125</f>
        <v>4746915957904.9629</v>
      </c>
      <c r="Z5" s="7">
        <f>Calculations!AD125</f>
        <v>4738644081761.5156</v>
      </c>
      <c r="AA5" s="7">
        <f>Calculations!AE125</f>
        <v>4730151268355.8652</v>
      </c>
      <c r="AB5" s="7">
        <f>Calculations!AF125</f>
        <v>4723564272484.417</v>
      </c>
    </row>
    <row r="6" spans="1:30" x14ac:dyDescent="0.25">
      <c r="A6" s="1" t="s">
        <v>1064</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25">
      <c r="A7" s="1" t="s">
        <v>1058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25">
      <c r="A8" s="1" t="s">
        <v>1065</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25">
      <c r="A9" s="1" t="s">
        <v>1066</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25">
      <c r="A10" s="1" t="s">
        <v>1057</v>
      </c>
      <c r="B10" s="7">
        <f>Calculations!F130</f>
        <v>14071385817210.395</v>
      </c>
      <c r="C10" s="7">
        <f>Calculations!G130</f>
        <v>14586590577835.342</v>
      </c>
      <c r="D10" s="7">
        <f>Calculations!H130</f>
        <v>15171903105642.354</v>
      </c>
      <c r="E10" s="7">
        <f>Calculations!I130</f>
        <v>15737978016676.107</v>
      </c>
      <c r="F10" s="7">
        <f>Calculations!J130</f>
        <v>16246743820610.375</v>
      </c>
      <c r="G10" s="7">
        <f>Calculations!K130</f>
        <v>16695897685744.355</v>
      </c>
      <c r="H10" s="7">
        <f>Calculations!L130</f>
        <v>17103480952643.08</v>
      </c>
      <c r="I10" s="7">
        <f>Calculations!M130</f>
        <v>17476772962033.514</v>
      </c>
      <c r="J10" s="7">
        <f>Calculations!N130</f>
        <v>17845246968995.387</v>
      </c>
      <c r="K10" s="7">
        <f>Calculations!O130</f>
        <v>18207784455274.02</v>
      </c>
      <c r="L10" s="7">
        <f>Calculations!P130</f>
        <v>18591896782967.703</v>
      </c>
      <c r="M10" s="7">
        <f>Calculations!Q130</f>
        <v>18993489696753.824</v>
      </c>
      <c r="N10" s="7">
        <f>Calculations!R130</f>
        <v>19406154146846.918</v>
      </c>
      <c r="O10" s="7">
        <f>Calculations!S130</f>
        <v>19817860080628.184</v>
      </c>
      <c r="P10" s="7">
        <f>Calculations!T130</f>
        <v>20227480007771.391</v>
      </c>
      <c r="Q10" s="7">
        <f>Calculations!U130</f>
        <v>20633384001942.848</v>
      </c>
      <c r="R10" s="7">
        <f>Calculations!V130</f>
        <v>21042331023718.934</v>
      </c>
      <c r="S10" s="7">
        <f>Calculations!W130</f>
        <v>21460804890148.145</v>
      </c>
      <c r="T10" s="7">
        <f>Calculations!X130</f>
        <v>21897747765886.828</v>
      </c>
      <c r="U10" s="7">
        <f>Calculations!Y130</f>
        <v>22354287141261.23</v>
      </c>
      <c r="V10" s="7">
        <f>Calculations!Z130</f>
        <v>22826648764834.453</v>
      </c>
      <c r="W10" s="7">
        <f>Calculations!AA130</f>
        <v>23303028381121.996</v>
      </c>
      <c r="X10" s="7">
        <f>Calculations!AB130</f>
        <v>23772638569416.336</v>
      </c>
      <c r="Y10" s="7">
        <f>Calculations!AC130</f>
        <v>24233643045737.875</v>
      </c>
      <c r="Z10" s="7">
        <f>Calculations!AD130</f>
        <v>24690780559216.383</v>
      </c>
      <c r="AA10" s="7">
        <f>Calculations!AE130</f>
        <v>25150723340403.145</v>
      </c>
      <c r="AB10" s="7">
        <f>Calculations!AF130</f>
        <v>25616933113575.648</v>
      </c>
    </row>
    <row r="11" spans="1:30" x14ac:dyDescent="0.25">
      <c r="A11" s="1" t="s">
        <v>1067</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5" x14ac:dyDescent="0.25"/>
  <cols>
    <col min="1" max="1" width="29.85546875" customWidth="1"/>
    <col min="2" max="27" width="9.5703125" bestFit="1" customWidth="1"/>
    <col min="28" max="28" width="11.8554687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Calculations!F135</f>
        <v>186541000000000</v>
      </c>
      <c r="C2" s="7">
        <f>Calculations!G135</f>
        <v>200859755277633.69</v>
      </c>
      <c r="D2" s="7">
        <f>Calculations!H135</f>
        <v>193991079926490.81</v>
      </c>
      <c r="E2" s="7">
        <f>Calculations!I135</f>
        <v>192329570651054.41</v>
      </c>
      <c r="F2" s="7">
        <f>Calculations!J135</f>
        <v>191237300634384.22</v>
      </c>
      <c r="G2" s="7">
        <f>Calculations!K135</f>
        <v>189690202474594.09</v>
      </c>
      <c r="H2" s="7">
        <f>Calculations!L135</f>
        <v>187901645898819</v>
      </c>
      <c r="I2" s="7">
        <f>Calculations!M135</f>
        <v>186030998826026.88</v>
      </c>
      <c r="J2" s="7">
        <f>Calculations!N135</f>
        <v>184106141328811.59</v>
      </c>
      <c r="K2" s="7">
        <f>Calculations!O135</f>
        <v>182229861617088.28</v>
      </c>
      <c r="L2" s="7">
        <f>Calculations!P135</f>
        <v>180242359638214.13</v>
      </c>
      <c r="M2" s="7">
        <f>Calculations!Q135</f>
        <v>178200364112854</v>
      </c>
      <c r="N2" s="7">
        <f>Calculations!R135</f>
        <v>176226869225502</v>
      </c>
      <c r="O2" s="7">
        <f>Calculations!S135</f>
        <v>174100667238235.5</v>
      </c>
      <c r="P2" s="7">
        <f>Calculations!T135</f>
        <v>171933218836784.38</v>
      </c>
      <c r="Q2" s="7">
        <f>Calculations!U135</f>
        <v>169662579894065.91</v>
      </c>
      <c r="R2" s="7">
        <f>Calculations!V135</f>
        <v>167366415262222.28</v>
      </c>
      <c r="S2" s="7">
        <f>Calculations!W135</f>
        <v>165099456906318.69</v>
      </c>
      <c r="T2" s="7">
        <f>Calculations!X135</f>
        <v>162808462977409.38</v>
      </c>
      <c r="U2" s="7">
        <f>Calculations!Y135</f>
        <v>160508528351783.81</v>
      </c>
      <c r="V2" s="7">
        <f>Calculations!Z135</f>
        <v>158155798912048.31</v>
      </c>
      <c r="W2" s="7">
        <f>Calculations!AA135</f>
        <v>155824303627014.19</v>
      </c>
      <c r="X2" s="7">
        <f>Calculations!AB135</f>
        <v>153355374932289.09</v>
      </c>
      <c r="Y2" s="7">
        <f>Calculations!AC135</f>
        <v>150714531540870.69</v>
      </c>
      <c r="Z2" s="7">
        <f>Calculations!AD135</f>
        <v>148032486438751.19</v>
      </c>
      <c r="AA2" s="7">
        <f>Calculations!AE135</f>
        <v>145385324954986.59</v>
      </c>
      <c r="AB2" s="7">
        <f>Calculations!AF135</f>
        <v>142670795321464.5</v>
      </c>
    </row>
    <row r="3" spans="1:30" x14ac:dyDescent="0.25">
      <c r="A3" s="1" t="s">
        <v>1063</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25">
      <c r="A4" s="1" t="s">
        <v>1055</v>
      </c>
      <c r="B4" s="7">
        <f>Calculations!F137</f>
        <v>1537413000000000</v>
      </c>
      <c r="C4" s="7">
        <f>Calculations!G137</f>
        <v>1677395462989807</v>
      </c>
      <c r="D4" s="7">
        <f>Calculations!H137</f>
        <v>1658977389335632</v>
      </c>
      <c r="E4" s="7">
        <f>Calculations!I137</f>
        <v>1655333399772644</v>
      </c>
      <c r="F4" s="7">
        <f>Calculations!J137</f>
        <v>1640212893486023</v>
      </c>
      <c r="G4" s="7">
        <f>Calculations!K137</f>
        <v>1614622712135315</v>
      </c>
      <c r="H4" s="7">
        <f>Calculations!L137</f>
        <v>1585396289825439</v>
      </c>
      <c r="I4" s="7">
        <f>Calculations!M137</f>
        <v>1558152914047241</v>
      </c>
      <c r="J4" s="7">
        <f>Calculations!N137</f>
        <v>1539679050445557</v>
      </c>
      <c r="K4" s="7">
        <f>Calculations!O137</f>
        <v>1525580048561096</v>
      </c>
      <c r="L4" s="7">
        <f>Calculations!P137</f>
        <v>1514997720718384</v>
      </c>
      <c r="M4" s="7">
        <f>Calculations!Q137</f>
        <v>1504150867462158</v>
      </c>
      <c r="N4" s="7">
        <f>Calculations!R137</f>
        <v>1494748830795288</v>
      </c>
      <c r="O4" s="7">
        <f>Calculations!S137</f>
        <v>1484762549400330</v>
      </c>
      <c r="P4" s="7">
        <f>Calculations!T137</f>
        <v>1474808692932129</v>
      </c>
      <c r="Q4" s="7">
        <f>Calculations!U137</f>
        <v>1464231848716736</v>
      </c>
      <c r="R4" s="7">
        <f>Calculations!V137</f>
        <v>1453817009925842</v>
      </c>
      <c r="S4" s="7">
        <f>Calculations!W137</f>
        <v>1443761348724365</v>
      </c>
      <c r="T4" s="7">
        <f>Calculations!X137</f>
        <v>1435541152954102</v>
      </c>
      <c r="U4" s="7">
        <f>Calculations!Y137</f>
        <v>1427791714668274</v>
      </c>
      <c r="V4" s="7">
        <f>Calculations!Z137</f>
        <v>1420771956443787</v>
      </c>
      <c r="W4" s="7">
        <f>Calculations!AA137</f>
        <v>1413245201110840</v>
      </c>
      <c r="X4" s="7">
        <f>Calculations!AB137</f>
        <v>1403234720230103</v>
      </c>
      <c r="Y4" s="7">
        <f>Calculations!AC137</f>
        <v>1391638040542603</v>
      </c>
      <c r="Z4" s="7">
        <f>Calculations!AD137</f>
        <v>1379733562469482</v>
      </c>
      <c r="AA4" s="7">
        <f>Calculations!AE137</f>
        <v>1367848515510559</v>
      </c>
      <c r="AB4" s="7">
        <f>Calculations!AF137</f>
        <v>1356255054473877</v>
      </c>
    </row>
    <row r="5" spans="1:30" x14ac:dyDescent="0.25">
      <c r="A5" s="1" t="s">
        <v>1056</v>
      </c>
      <c r="B5" s="7">
        <f>Calculations!F138</f>
        <v>69269000000000</v>
      </c>
      <c r="C5" s="7">
        <f>Calculations!G138</f>
        <v>74527919292449.953</v>
      </c>
      <c r="D5" s="7">
        <f>Calculations!H138</f>
        <v>72813585400581.359</v>
      </c>
      <c r="E5" s="7">
        <f>Calculations!I138</f>
        <v>72147302329540.25</v>
      </c>
      <c r="F5" s="7">
        <f>Calculations!J138</f>
        <v>71328140795230.859</v>
      </c>
      <c r="G5" s="7">
        <f>Calculations!K138</f>
        <v>70239558815956.117</v>
      </c>
      <c r="H5" s="7">
        <f>Calculations!L138</f>
        <v>69390051066875.461</v>
      </c>
      <c r="I5" s="7">
        <f>Calculations!M138</f>
        <v>68551786243915.555</v>
      </c>
      <c r="J5" s="7">
        <f>Calculations!N138</f>
        <v>67389041185379.031</v>
      </c>
      <c r="K5" s="7">
        <f>Calculations!O138</f>
        <v>65911509096622.469</v>
      </c>
      <c r="L5" s="7">
        <f>Calculations!P138</f>
        <v>64452938735485.078</v>
      </c>
      <c r="M5" s="7">
        <f>Calculations!Q138</f>
        <v>63008643686771.391</v>
      </c>
      <c r="N5" s="7">
        <f>Calculations!R138</f>
        <v>61669744551181.797</v>
      </c>
      <c r="O5" s="7">
        <f>Calculations!S138</f>
        <v>60346193611621.859</v>
      </c>
      <c r="P5" s="7">
        <f>Calculations!T138</f>
        <v>59038575738668.445</v>
      </c>
      <c r="Q5" s="7">
        <f>Calculations!U138</f>
        <v>57779919356107.711</v>
      </c>
      <c r="R5" s="7">
        <f>Calculations!V138</f>
        <v>56541707366704.938</v>
      </c>
      <c r="S5" s="7">
        <f>Calculations!W138</f>
        <v>55331457406282.422</v>
      </c>
      <c r="T5" s="7">
        <f>Calculations!X138</f>
        <v>54154399782419.195</v>
      </c>
      <c r="U5" s="7">
        <f>Calculations!Y138</f>
        <v>52974898368120.188</v>
      </c>
      <c r="V5" s="7">
        <f>Calculations!Z138</f>
        <v>51813665777444.836</v>
      </c>
      <c r="W5" s="7">
        <f>Calculations!AA138</f>
        <v>50656583160161.969</v>
      </c>
      <c r="X5" s="7">
        <f>Calculations!AB138</f>
        <v>49515556544065.484</v>
      </c>
      <c r="Y5" s="7">
        <f>Calculations!AC138</f>
        <v>48376400023698.805</v>
      </c>
      <c r="Z5" s="7">
        <f>Calculations!AD138</f>
        <v>47275986522436.141</v>
      </c>
      <c r="AA5" s="7">
        <f>Calculations!AE138</f>
        <v>46178881078958.508</v>
      </c>
      <c r="AB5" s="7">
        <f>Calculations!AF138</f>
        <v>45136269181966.781</v>
      </c>
    </row>
    <row r="6" spans="1:30" x14ac:dyDescent="0.25">
      <c r="A6" s="1" t="s">
        <v>1064</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25">
      <c r="A7" s="1" t="s">
        <v>1058</v>
      </c>
      <c r="B7" s="7">
        <f>Calculations!F140</f>
        <v>158104000000000</v>
      </c>
      <c r="C7" s="7">
        <f>Calculations!G140</f>
        <v>143681824207305.91</v>
      </c>
      <c r="D7" s="7">
        <f>Calculations!H140</f>
        <v>143681824207305.91</v>
      </c>
      <c r="E7" s="7">
        <f>Calculations!I140</f>
        <v>143681824207305.91</v>
      </c>
      <c r="F7" s="7">
        <f>Calculations!J140</f>
        <v>143681824207305.91</v>
      </c>
      <c r="G7" s="7">
        <f>Calculations!K140</f>
        <v>143681824207305.91</v>
      </c>
      <c r="H7" s="7">
        <f>Calculations!L140</f>
        <v>143681824207305.91</v>
      </c>
      <c r="I7" s="7">
        <f>Calculations!M140</f>
        <v>143681824207305.91</v>
      </c>
      <c r="J7" s="7">
        <f>Calculations!N140</f>
        <v>143681824207305.91</v>
      </c>
      <c r="K7" s="7">
        <f>Calculations!O140</f>
        <v>143681824207305.91</v>
      </c>
      <c r="L7" s="7">
        <f>Calculations!P140</f>
        <v>143681824207305.91</v>
      </c>
      <c r="M7" s="7">
        <f>Calculations!Q140</f>
        <v>143681824207305.91</v>
      </c>
      <c r="N7" s="7">
        <f>Calculations!R140</f>
        <v>143681824207305.91</v>
      </c>
      <c r="O7" s="7">
        <f>Calculations!S140</f>
        <v>143681824207305.91</v>
      </c>
      <c r="P7" s="7">
        <f>Calculations!T140</f>
        <v>143681824207305.91</v>
      </c>
      <c r="Q7" s="7">
        <f>Calculations!U140</f>
        <v>143681824207305.91</v>
      </c>
      <c r="R7" s="7">
        <f>Calculations!V140</f>
        <v>143681824207305.91</v>
      </c>
      <c r="S7" s="7">
        <f>Calculations!W140</f>
        <v>143681824207305.91</v>
      </c>
      <c r="T7" s="7">
        <f>Calculations!X140</f>
        <v>143681824207305.91</v>
      </c>
      <c r="U7" s="7">
        <f>Calculations!Y140</f>
        <v>143681824207305.91</v>
      </c>
      <c r="V7" s="7">
        <f>Calculations!Z140</f>
        <v>143681824207305.91</v>
      </c>
      <c r="W7" s="7">
        <f>Calculations!AA140</f>
        <v>143681824207305.91</v>
      </c>
      <c r="X7" s="7">
        <f>Calculations!AB140</f>
        <v>143681824207305.91</v>
      </c>
      <c r="Y7" s="7">
        <f>Calculations!AC140</f>
        <v>143681824207305.91</v>
      </c>
      <c r="Z7" s="7">
        <f>Calculations!AD140</f>
        <v>143681824207305.91</v>
      </c>
      <c r="AA7" s="7">
        <f>Calculations!AE140</f>
        <v>143681824207305.91</v>
      </c>
      <c r="AB7" s="7">
        <f>Calculations!AF140</f>
        <v>143681824207305.91</v>
      </c>
    </row>
    <row r="8" spans="1:30" x14ac:dyDescent="0.25">
      <c r="A8" s="1" t="s">
        <v>1065</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25">
      <c r="A9" s="1" t="s">
        <v>1066</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25">
      <c r="A10" s="1" t="s">
        <v>1057</v>
      </c>
      <c r="B10" s="7">
        <f>Calculations!F143</f>
        <v>140943680167118.59</v>
      </c>
      <c r="C10" s="7">
        <f>Calculations!G143</f>
        <v>146997086819761.47</v>
      </c>
      <c r="D10" s="7">
        <f>Calculations!H143</f>
        <v>144867923373859.69</v>
      </c>
      <c r="E10" s="7">
        <f>Calculations!I143</f>
        <v>141762142802616.91</v>
      </c>
      <c r="F10" s="7">
        <f>Calculations!J143</f>
        <v>141198726583385.22</v>
      </c>
      <c r="G10" s="7">
        <f>Calculations!K143</f>
        <v>140346020906107.14</v>
      </c>
      <c r="H10" s="7">
        <f>Calculations!L143</f>
        <v>139622098311922.13</v>
      </c>
      <c r="I10" s="7">
        <f>Calculations!M143</f>
        <v>138865731090591</v>
      </c>
      <c r="J10" s="7">
        <f>Calculations!N143</f>
        <v>138262299923856.09</v>
      </c>
      <c r="K10" s="7">
        <f>Calculations!O143</f>
        <v>137839522936977.34</v>
      </c>
      <c r="L10" s="7">
        <f>Calculations!P143</f>
        <v>137478137465549.3</v>
      </c>
      <c r="M10" s="7">
        <f>Calculations!Q143</f>
        <v>137040018788780.84</v>
      </c>
      <c r="N10" s="7">
        <f>Calculations!R143</f>
        <v>136634338209039.36</v>
      </c>
      <c r="O10" s="7">
        <f>Calculations!S143</f>
        <v>136234010762634.97</v>
      </c>
      <c r="P10" s="7">
        <f>Calculations!T143</f>
        <v>135754447857532.19</v>
      </c>
      <c r="Q10" s="7">
        <f>Calculations!U143</f>
        <v>135203160266349</v>
      </c>
      <c r="R10" s="7">
        <f>Calculations!V143</f>
        <v>134534997286708.03</v>
      </c>
      <c r="S10" s="7">
        <f>Calculations!W143</f>
        <v>133787591562806.27</v>
      </c>
      <c r="T10" s="7">
        <f>Calculations!X143</f>
        <v>132984022188156.81</v>
      </c>
      <c r="U10" s="7">
        <f>Calculations!Y143</f>
        <v>132083615944270.09</v>
      </c>
      <c r="V10" s="7">
        <f>Calculations!Z143</f>
        <v>131137609843806.25</v>
      </c>
      <c r="W10" s="7">
        <f>Calculations!AA143</f>
        <v>130151597166497.88</v>
      </c>
      <c r="X10" s="7">
        <f>Calculations!AB143</f>
        <v>129145279997376.05</v>
      </c>
      <c r="Y10" s="7">
        <f>Calculations!AC143</f>
        <v>128101827010865.91</v>
      </c>
      <c r="Z10" s="7">
        <f>Calculations!AD143</f>
        <v>127044607149881.05</v>
      </c>
      <c r="AA10" s="7">
        <f>Calculations!AE143</f>
        <v>125971955784598.94</v>
      </c>
      <c r="AB10" s="7">
        <f>Calculations!AF143</f>
        <v>124889157386952.03</v>
      </c>
    </row>
    <row r="11" spans="1:30" x14ac:dyDescent="0.25">
      <c r="A11" s="1" t="s">
        <v>1067</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B14" sqref="B14"/>
    </sheetView>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Calculations!F148</f>
        <v>972882000000000.25</v>
      </c>
      <c r="C2" s="7">
        <f>Calculations!G148</f>
        <v>974730098930358.88</v>
      </c>
      <c r="D2" s="7">
        <f>Calculations!H148</f>
        <v>994491229480743.25</v>
      </c>
      <c r="E2" s="7">
        <f>Calculations!I148</f>
        <v>995146370563507.25</v>
      </c>
      <c r="F2" s="7">
        <f>Calculations!J148</f>
        <v>997171856060028.25</v>
      </c>
      <c r="G2" s="7">
        <f>Calculations!K148</f>
        <v>997005215473175</v>
      </c>
      <c r="H2" s="7">
        <f>Calculations!L148</f>
        <v>994014987110137.88</v>
      </c>
      <c r="I2" s="7">
        <f>Calculations!M148</f>
        <v>991450429004669</v>
      </c>
      <c r="J2" s="7">
        <f>Calculations!N148</f>
        <v>988857314811706.5</v>
      </c>
      <c r="K2" s="7">
        <f>Calculations!O148</f>
        <v>987074030986785.88</v>
      </c>
      <c r="L2" s="7">
        <f>Calculations!P148</f>
        <v>985903408821105.88</v>
      </c>
      <c r="M2" s="7">
        <f>Calculations!Q148</f>
        <v>984672406528472.75</v>
      </c>
      <c r="N2" s="7">
        <f>Calculations!R148</f>
        <v>984221530197143.5</v>
      </c>
      <c r="O2" s="7">
        <f>Calculations!S148</f>
        <v>984413560150146.5</v>
      </c>
      <c r="P2" s="7">
        <f>Calculations!T148</f>
        <v>985037296901703</v>
      </c>
      <c r="Q2" s="7">
        <f>Calculations!U148</f>
        <v>985661143360137.88</v>
      </c>
      <c r="R2" s="7">
        <f>Calculations!V148</f>
        <v>986507279224395.88</v>
      </c>
      <c r="S2" s="7">
        <f>Calculations!W148</f>
        <v>987937880737304.75</v>
      </c>
      <c r="T2" s="7">
        <f>Calculations!X148</f>
        <v>990132762294769.38</v>
      </c>
      <c r="U2" s="7">
        <f>Calculations!Y148</f>
        <v>993546521892547.63</v>
      </c>
      <c r="V2" s="7">
        <f>Calculations!Z148</f>
        <v>997574600929260.38</v>
      </c>
      <c r="W2" s="7">
        <f>Calculations!AA148</f>
        <v>1002362053264618</v>
      </c>
      <c r="X2" s="7">
        <f>Calculations!AB148</f>
        <v>1006959908668518.3</v>
      </c>
      <c r="Y2" s="7">
        <f>Calculations!AC148</f>
        <v>1011316285446167</v>
      </c>
      <c r="Z2" s="7">
        <f>Calculations!AD148</f>
        <v>1015866871974945.3</v>
      </c>
      <c r="AA2" s="7">
        <f>Calculations!AE148</f>
        <v>1021271761329651</v>
      </c>
      <c r="AB2" s="7">
        <f>Calculations!AF148</f>
        <v>1026829928939819.3</v>
      </c>
    </row>
    <row r="3" spans="1:30" x14ac:dyDescent="0.25">
      <c r="A3" s="1" t="s">
        <v>1063</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25">
      <c r="A4" s="1" t="s">
        <v>1055</v>
      </c>
      <c r="B4" s="7">
        <f>Calculations!F150</f>
        <v>18320000000000</v>
      </c>
      <c r="C4" s="7">
        <f>Calculations!G150</f>
        <v>15692310407757.76</v>
      </c>
      <c r="D4" s="7">
        <f>Calculations!H150</f>
        <v>17611738294363.02</v>
      </c>
      <c r="E4" s="7">
        <f>Calculations!I150</f>
        <v>17944717779755.59</v>
      </c>
      <c r="F4" s="7">
        <f>Calculations!J150</f>
        <v>18168630078434.941</v>
      </c>
      <c r="G4" s="7">
        <f>Calculations!K150</f>
        <v>18287289887666.699</v>
      </c>
      <c r="H4" s="7">
        <f>Calculations!L150</f>
        <v>18391733989119.531</v>
      </c>
      <c r="I4" s="7">
        <f>Calculations!M150</f>
        <v>18555257469415.66</v>
      </c>
      <c r="J4" s="7">
        <f>Calculations!N150</f>
        <v>18871057778596.883</v>
      </c>
      <c r="K4" s="7">
        <f>Calculations!O150</f>
        <v>19279817119240.762</v>
      </c>
      <c r="L4" s="7">
        <f>Calculations!P150</f>
        <v>19785426557064.059</v>
      </c>
      <c r="M4" s="7">
        <f>Calculations!Q150</f>
        <v>20337725058197.98</v>
      </c>
      <c r="N4" s="7">
        <f>Calculations!R150</f>
        <v>20947156473994.258</v>
      </c>
      <c r="O4" s="7">
        <f>Calculations!S150</f>
        <v>21602820605039.602</v>
      </c>
      <c r="P4" s="7">
        <f>Calculations!T150</f>
        <v>22291727364063.258</v>
      </c>
      <c r="Q4" s="7">
        <f>Calculations!U150</f>
        <v>23007044568657.879</v>
      </c>
      <c r="R4" s="7">
        <f>Calculations!V150</f>
        <v>23771090433001.523</v>
      </c>
      <c r="S4" s="7">
        <f>Calculations!W150</f>
        <v>24567574262619.02</v>
      </c>
      <c r="T4" s="7">
        <f>Calculations!X150</f>
        <v>25421241298317.91</v>
      </c>
      <c r="U4" s="7">
        <f>Calculations!Y150</f>
        <v>26326229795813.559</v>
      </c>
      <c r="V4" s="7">
        <f>Calculations!Z150</f>
        <v>27284827083349.23</v>
      </c>
      <c r="W4" s="7">
        <f>Calculations!AA150</f>
        <v>28297876939177.508</v>
      </c>
      <c r="X4" s="7">
        <f>Calculations!AB150</f>
        <v>29311478137969.969</v>
      </c>
      <c r="Y4" s="7">
        <f>Calculations!AC150</f>
        <v>30355546623468.398</v>
      </c>
      <c r="Z4" s="7">
        <f>Calculations!AD150</f>
        <v>31434997916221.617</v>
      </c>
      <c r="AA4" s="7">
        <f>Calculations!AE150</f>
        <v>32569676637649.543</v>
      </c>
      <c r="AB4" s="7">
        <f>Calculations!AF150</f>
        <v>33763069659471.512</v>
      </c>
    </row>
    <row r="5" spans="1:30" x14ac:dyDescent="0.25">
      <c r="A5" s="1" t="s">
        <v>1056</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25">
      <c r="A6" s="1" t="s">
        <v>1064</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25">
      <c r="A7" s="1" t="s">
        <v>1058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25">
      <c r="A8" s="1" t="s">
        <v>1065</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25">
      <c r="A9" s="1" t="s">
        <v>1066</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25">
      <c r="A10" s="1" t="s">
        <v>1057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25">
      <c r="A11" s="1" t="s">
        <v>1067</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Calculations!F161</f>
        <v>575629000000000</v>
      </c>
      <c r="C2" s="7">
        <f>Calculations!G161</f>
        <v>564648687839508</v>
      </c>
      <c r="D2" s="7">
        <f>Calculations!H161</f>
        <v>553327798843383.81</v>
      </c>
      <c r="E2" s="7">
        <f>Calculations!I161</f>
        <v>547329366207122.81</v>
      </c>
      <c r="F2" s="7">
        <f>Calculations!J161</f>
        <v>545429885387420.63</v>
      </c>
      <c r="G2" s="7">
        <f>Calculations!K161</f>
        <v>543588042259216.31</v>
      </c>
      <c r="H2" s="7">
        <f>Calculations!L161</f>
        <v>532318174839019.75</v>
      </c>
      <c r="I2" s="7">
        <f>Calculations!M161</f>
        <v>522621631622314.44</v>
      </c>
      <c r="J2" s="7">
        <f>Calculations!N161</f>
        <v>514200210571289.06</v>
      </c>
      <c r="K2" s="7">
        <f>Calculations!O161</f>
        <v>506778657436370.88</v>
      </c>
      <c r="L2" s="7">
        <f>Calculations!P161</f>
        <v>499777853488922.13</v>
      </c>
      <c r="M2" s="7">
        <f>Calculations!Q161</f>
        <v>492951601743698.13</v>
      </c>
      <c r="N2" s="7">
        <f>Calculations!R161</f>
        <v>487288504838943.5</v>
      </c>
      <c r="O2" s="7">
        <f>Calculations!S161</f>
        <v>482485860586166.38</v>
      </c>
      <c r="P2" s="7">
        <f>Calculations!T161</f>
        <v>478497922420501.69</v>
      </c>
      <c r="Q2" s="7">
        <f>Calculations!U161</f>
        <v>475118577480316.19</v>
      </c>
      <c r="R2" s="7">
        <f>Calculations!V161</f>
        <v>470121502876281.69</v>
      </c>
      <c r="S2" s="7">
        <f>Calculations!W161</f>
        <v>466406911611557</v>
      </c>
      <c r="T2" s="7">
        <f>Calculations!X161</f>
        <v>463482081890106.19</v>
      </c>
      <c r="U2" s="7">
        <f>Calculations!Y161</f>
        <v>461296975612640.38</v>
      </c>
      <c r="V2" s="7">
        <f>Calculations!Z161</f>
        <v>459642559289932.31</v>
      </c>
      <c r="W2" s="7">
        <f>Calculations!AA161</f>
        <v>458400964736938.5</v>
      </c>
      <c r="X2" s="7">
        <f>Calculations!AB161</f>
        <v>457257777452468.94</v>
      </c>
      <c r="Y2" s="7">
        <f>Calculations!AC161</f>
        <v>455994307994842.5</v>
      </c>
      <c r="Z2" s="7">
        <f>Calculations!AD161</f>
        <v>454706281423568.75</v>
      </c>
      <c r="AA2" s="7">
        <f>Calculations!AE161</f>
        <v>453692048788070.69</v>
      </c>
      <c r="AB2" s="7">
        <f>Calculations!AF161</f>
        <v>452695429325103.81</v>
      </c>
    </row>
    <row r="3" spans="1:30" x14ac:dyDescent="0.25">
      <c r="A3" s="1" t="s">
        <v>1063</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25">
      <c r="A4" s="1" t="s">
        <v>1055</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25">
      <c r="A5" s="1" t="s">
        <v>1056</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25">
      <c r="A6" s="1" t="s">
        <v>1064</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25">
      <c r="A7" s="1" t="s">
        <v>1058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25">
      <c r="A8" s="1" t="s">
        <v>1065</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25">
      <c r="A9" s="1" t="s">
        <v>1066</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25">
      <c r="A10" s="1" t="s">
        <v>1057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25">
      <c r="A11" s="1" t="s">
        <v>1067</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5" x14ac:dyDescent="0.25"/>
  <cols>
    <col min="1" max="1" width="29.85546875" customWidth="1"/>
    <col min="2" max="28" width="10.140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Calculations!F174</f>
        <v>526170000000000</v>
      </c>
      <c r="C2" s="7">
        <f>Calculations!G174</f>
        <v>524522140622139</v>
      </c>
      <c r="D2" s="7">
        <f>Calculations!H174</f>
        <v>521924689412117</v>
      </c>
      <c r="E2" s="7">
        <f>Calculations!I174</f>
        <v>521107912063598.63</v>
      </c>
      <c r="F2" s="7">
        <f>Calculations!J174</f>
        <v>521390438079834</v>
      </c>
      <c r="G2" s="7">
        <f>Calculations!K174</f>
        <v>521030664443969.75</v>
      </c>
      <c r="H2" s="7">
        <f>Calculations!L174</f>
        <v>518539123237133</v>
      </c>
      <c r="I2" s="7">
        <f>Calculations!M174</f>
        <v>516487136483192.44</v>
      </c>
      <c r="J2" s="7">
        <f>Calculations!N174</f>
        <v>514825910329818.75</v>
      </c>
      <c r="K2" s="7">
        <f>Calculations!O174</f>
        <v>513661280274391.19</v>
      </c>
      <c r="L2" s="7">
        <f>Calculations!P174</f>
        <v>512811899185180.69</v>
      </c>
      <c r="M2" s="7">
        <f>Calculations!Q174</f>
        <v>512220427393913.25</v>
      </c>
      <c r="N2" s="7">
        <f>Calculations!R174</f>
        <v>512029699981212.63</v>
      </c>
      <c r="O2" s="7">
        <f>Calculations!S174</f>
        <v>511913426220417</v>
      </c>
      <c r="P2" s="7">
        <f>Calculations!T174</f>
        <v>511792980134487.13</v>
      </c>
      <c r="Q2" s="7">
        <f>Calculations!U174</f>
        <v>511597983539104.44</v>
      </c>
      <c r="R2" s="7">
        <f>Calculations!V174</f>
        <v>511340115219354.63</v>
      </c>
      <c r="S2" s="7">
        <f>Calculations!W174</f>
        <v>511410009115934.38</v>
      </c>
      <c r="T2" s="7">
        <f>Calculations!X174</f>
        <v>511415328830480.56</v>
      </c>
      <c r="U2" s="7">
        <f>Calculations!Y174</f>
        <v>511489037424325.94</v>
      </c>
      <c r="V2" s="7">
        <f>Calculations!Z174</f>
        <v>511564299464225.75</v>
      </c>
      <c r="W2" s="7">
        <f>Calculations!AA174</f>
        <v>511598553508520.13</v>
      </c>
      <c r="X2" s="7">
        <f>Calculations!AB174</f>
        <v>511433817446231.81</v>
      </c>
      <c r="Y2" s="7">
        <f>Calculations!AC174</f>
        <v>510976865887641.94</v>
      </c>
      <c r="Z2" s="7">
        <f>Calculations!AD174</f>
        <v>510392196476459.5</v>
      </c>
      <c r="AA2" s="7">
        <f>Calculations!AE174</f>
        <v>509833078831434.25</v>
      </c>
      <c r="AB2" s="7">
        <f>Calculations!AF174</f>
        <v>509147807955741.88</v>
      </c>
    </row>
    <row r="3" spans="1:30" x14ac:dyDescent="0.25">
      <c r="A3" s="1" t="s">
        <v>1063</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25">
      <c r="A4" s="1" t="s">
        <v>1055</v>
      </c>
      <c r="B4" s="7">
        <f>Calculations!F176</f>
        <v>670828000000000</v>
      </c>
      <c r="C4" s="7">
        <f>Calculations!G176</f>
        <v>679359853267669.63</v>
      </c>
      <c r="D4" s="7">
        <f>Calculations!H176</f>
        <v>693039298057556.13</v>
      </c>
      <c r="E4" s="7">
        <f>Calculations!I176</f>
        <v>699218720197677.75</v>
      </c>
      <c r="F4" s="7">
        <f>Calculations!J176</f>
        <v>700469911098480.25</v>
      </c>
      <c r="G4" s="7">
        <f>Calculations!K176</f>
        <v>697960644960403.5</v>
      </c>
      <c r="H4" s="7">
        <f>Calculations!L176</f>
        <v>693925142288208</v>
      </c>
      <c r="I4" s="7">
        <f>Calculations!M176</f>
        <v>690660059452056.88</v>
      </c>
      <c r="J4" s="7">
        <f>Calculations!N176</f>
        <v>691471755504608.13</v>
      </c>
      <c r="K4" s="7">
        <f>Calculations!O176</f>
        <v>693819344043731.75</v>
      </c>
      <c r="L4" s="7">
        <f>Calculations!P176</f>
        <v>698374778032302.88</v>
      </c>
      <c r="M4" s="7">
        <f>Calculations!Q176</f>
        <v>703302174806594.88</v>
      </c>
      <c r="N4" s="7">
        <f>Calculations!R176</f>
        <v>709249109029769.88</v>
      </c>
      <c r="O4" s="7">
        <f>Calculations!S176</f>
        <v>715122908353805.5</v>
      </c>
      <c r="P4" s="7">
        <f>Calculations!T176</f>
        <v>720999270677566.5</v>
      </c>
      <c r="Q4" s="7">
        <f>Calculations!U176</f>
        <v>726628243923187.25</v>
      </c>
      <c r="R4" s="7">
        <f>Calculations!V176</f>
        <v>732299923896789.5</v>
      </c>
      <c r="S4" s="7">
        <f>Calculations!W176</f>
        <v>738408952951431.25</v>
      </c>
      <c r="T4" s="7">
        <f>Calculations!X176</f>
        <v>745374798774719.25</v>
      </c>
      <c r="U4" s="7">
        <f>Calculations!Y176</f>
        <v>752703845500946</v>
      </c>
      <c r="V4" s="7">
        <f>Calculations!Z176</f>
        <v>760485827922821</v>
      </c>
      <c r="W4" s="7">
        <f>Calculations!AA176</f>
        <v>767937213182449.38</v>
      </c>
      <c r="X4" s="7">
        <f>Calculations!AB176</f>
        <v>774166822433471.63</v>
      </c>
      <c r="Y4" s="7">
        <f>Calculations!AC176</f>
        <v>779547512531280.63</v>
      </c>
      <c r="Z4" s="7">
        <f>Calculations!AD176</f>
        <v>784612536430358.88</v>
      </c>
      <c r="AA4" s="7">
        <f>Calculations!AE176</f>
        <v>789644062519073.5</v>
      </c>
      <c r="AB4" s="7">
        <f>Calculations!AF176</f>
        <v>794772624969482.38</v>
      </c>
    </row>
    <row r="5" spans="1:30" x14ac:dyDescent="0.25">
      <c r="A5" s="1" t="s">
        <v>1056</v>
      </c>
      <c r="B5" s="7">
        <f>Calculations!F177</f>
        <v>3746000000000</v>
      </c>
      <c r="C5" s="7">
        <f>Calculations!G177</f>
        <v>3768055932596.3257</v>
      </c>
      <c r="D5" s="7">
        <f>Calculations!H177</f>
        <v>3783274441957.4741</v>
      </c>
      <c r="E5" s="7">
        <f>Calculations!I177</f>
        <v>3772487165406.3457</v>
      </c>
      <c r="F5" s="7">
        <f>Calculations!J177</f>
        <v>3756418358534.5747</v>
      </c>
      <c r="G5" s="7">
        <f>Calculations!K177</f>
        <v>3737513208761.811</v>
      </c>
      <c r="H5" s="7">
        <f>Calculations!L177</f>
        <v>3733786055818.2002</v>
      </c>
      <c r="I5" s="7">
        <f>Calculations!M177</f>
        <v>3729736432433.1279</v>
      </c>
      <c r="J5" s="7">
        <f>Calculations!N177</f>
        <v>3709729760885.2393</v>
      </c>
      <c r="K5" s="7">
        <f>Calculations!O177</f>
        <v>3671519458293.915</v>
      </c>
      <c r="L5" s="7">
        <f>Calculations!P177</f>
        <v>3635622793808.5791</v>
      </c>
      <c r="M5" s="7">
        <f>Calculations!Q177</f>
        <v>3601573407649.9941</v>
      </c>
      <c r="N5" s="7">
        <f>Calculations!R177</f>
        <v>3573987400159.2402</v>
      </c>
      <c r="O5" s="7">
        <f>Calculations!S177</f>
        <v>3547454252839.0879</v>
      </c>
      <c r="P5" s="7">
        <f>Calculations!T177</f>
        <v>3520711557939.6489</v>
      </c>
      <c r="Q5" s="7">
        <f>Calculations!U177</f>
        <v>3496143501251.936</v>
      </c>
      <c r="R5" s="7">
        <f>Calculations!V177</f>
        <v>3471773816272.6157</v>
      </c>
      <c r="S5" s="7">
        <f>Calculations!W177</f>
        <v>3447785275056.958</v>
      </c>
      <c r="T5" s="7">
        <f>Calculations!X177</f>
        <v>3424390219151.9741</v>
      </c>
      <c r="U5" s="7">
        <f>Calculations!Y177</f>
        <v>3400481771677.7319</v>
      </c>
      <c r="V5" s="7">
        <f>Calculations!Z177</f>
        <v>3375726286321.8779</v>
      </c>
      <c r="W5" s="7">
        <f>Calculations!AA177</f>
        <v>3350053448230.0283</v>
      </c>
      <c r="X5" s="7">
        <f>Calculations!AB177</f>
        <v>3324390854686.499</v>
      </c>
      <c r="Y5" s="7">
        <f>Calculations!AC177</f>
        <v>3297913121059.5371</v>
      </c>
      <c r="Z5" s="7">
        <f>Calculations!AD177</f>
        <v>3272620029747.4863</v>
      </c>
      <c r="AA5" s="7">
        <f>Calculations!AE177</f>
        <v>3246125299483.5381</v>
      </c>
      <c r="AB5" s="7">
        <f>Calculations!AF177</f>
        <v>3222160739824.1758</v>
      </c>
    </row>
    <row r="6" spans="1:30" x14ac:dyDescent="0.25">
      <c r="A6" s="1" t="s">
        <v>1064</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25">
      <c r="A7" s="1" t="s">
        <v>1058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25">
      <c r="A8" s="1" t="s">
        <v>1065</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25">
      <c r="A9" s="1" t="s">
        <v>1066</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25">
      <c r="A10" s="1" t="s">
        <v>1057</v>
      </c>
      <c r="B10" s="7">
        <f>Calculations!F182</f>
        <v>7622096838499.5635</v>
      </c>
      <c r="C10" s="7">
        <f>Calculations!G182</f>
        <v>7432023466160.1719</v>
      </c>
      <c r="D10" s="7">
        <f>Calculations!H182</f>
        <v>7527099633187.4248</v>
      </c>
      <c r="E10" s="7">
        <f>Calculations!I182</f>
        <v>7412555244555.625</v>
      </c>
      <c r="F10" s="7">
        <f>Calculations!J182</f>
        <v>7436076180118.1816</v>
      </c>
      <c r="G10" s="7">
        <f>Calculations!K182</f>
        <v>7467944215141.8711</v>
      </c>
      <c r="H10" s="7">
        <f>Calculations!L182</f>
        <v>7512878802448.2861</v>
      </c>
      <c r="I10" s="7">
        <f>Calculations!M182</f>
        <v>7555347640718.9766</v>
      </c>
      <c r="J10" s="7">
        <f>Calculations!N182</f>
        <v>7611263787312.2607</v>
      </c>
      <c r="K10" s="7">
        <f>Calculations!O182</f>
        <v>7678180905298.0107</v>
      </c>
      <c r="L10" s="7">
        <f>Calculations!P182</f>
        <v>7754784498987.0283</v>
      </c>
      <c r="M10" s="7">
        <f>Calculations!Q182</f>
        <v>7833206026574.9082</v>
      </c>
      <c r="N10" s="7">
        <f>Calculations!R182</f>
        <v>7918459963506.4473</v>
      </c>
      <c r="O10" s="7">
        <f>Calculations!S182</f>
        <v>8008523685380.5732</v>
      </c>
      <c r="P10" s="7">
        <f>Calculations!T182</f>
        <v>8095592544938.1221</v>
      </c>
      <c r="Q10" s="7">
        <f>Calculations!U182</f>
        <v>8180863791114.8906</v>
      </c>
      <c r="R10" s="7">
        <f>Calculations!V182</f>
        <v>8260717666749.1543</v>
      </c>
      <c r="S10" s="7">
        <f>Calculations!W182</f>
        <v>8336503497252.9844</v>
      </c>
      <c r="T10" s="7">
        <f>Calculations!X182</f>
        <v>8409089320798.8574</v>
      </c>
      <c r="U10" s="7">
        <f>Calculations!Y182</f>
        <v>8478504767194.9063</v>
      </c>
      <c r="V10" s="7">
        <f>Calculations!Z182</f>
        <v>8543782224879.0947</v>
      </c>
      <c r="W10" s="7">
        <f>Calculations!AA182</f>
        <v>8607268388033.8848</v>
      </c>
      <c r="X10" s="7">
        <f>Calculations!AB182</f>
        <v>8670596025051.8477</v>
      </c>
      <c r="Y10" s="7">
        <f>Calculations!AC182</f>
        <v>8732950279968.6045</v>
      </c>
      <c r="Z10" s="7">
        <f>Calculations!AD182</f>
        <v>8794501323262.4297</v>
      </c>
      <c r="AA10" s="7">
        <f>Calculations!AE182</f>
        <v>8855146403366.0547</v>
      </c>
      <c r="AB10" s="7">
        <f>Calculations!AF182</f>
        <v>8915511783653.0156</v>
      </c>
    </row>
    <row r="11" spans="1:30" x14ac:dyDescent="0.25">
      <c r="A11" s="1" t="s">
        <v>1067</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5" x14ac:dyDescent="0.25"/>
  <cols>
    <col min="1" max="1" width="29.85546875" customWidth="1"/>
    <col min="2" max="28" width="9.8554687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51">
        <f>Calculations!F187-'Water and Waste'!J9</f>
        <v>1794422051877133</v>
      </c>
      <c r="C2" s="51">
        <f>Calculations!G187-'Water and Waste'!K9</f>
        <v>1776033651877133</v>
      </c>
      <c r="D2" s="51">
        <f>Calculations!H187-'Water and Waste'!L9</f>
        <v>1764259251877133</v>
      </c>
      <c r="E2" s="51">
        <f>Calculations!I187-'Water and Waste'!M9</f>
        <v>1756383851877133.5</v>
      </c>
      <c r="F2" s="51">
        <f>Calculations!J187-'Water and Waste'!N9</f>
        <v>1762117451877133.3</v>
      </c>
      <c r="G2" s="51">
        <f>Calculations!K187-'Water and Waste'!O9</f>
        <v>1766930051877133.5</v>
      </c>
      <c r="H2" s="51">
        <f>Calculations!L187-'Water and Waste'!P9</f>
        <v>1795659651877133.3</v>
      </c>
      <c r="I2" s="51">
        <f>Calculations!M187-'Water and Waste'!Q9</f>
        <v>1826050251877133.5</v>
      </c>
      <c r="J2" s="51">
        <f>Calculations!N187-'Water and Waste'!R9</f>
        <v>1857611851877133</v>
      </c>
      <c r="K2" s="51">
        <f>Calculations!O187-'Water and Waste'!S9</f>
        <v>1889791451877133</v>
      </c>
      <c r="L2" s="51">
        <f>Calculations!P187-'Water and Waste'!T9</f>
        <v>1922170051877133.3</v>
      </c>
      <c r="M2" s="51">
        <f>Calculations!Q187-'Water and Waste'!U9</f>
        <v>1953152651877133</v>
      </c>
      <c r="N2" s="51">
        <f>Calculations!R187-'Water and Waste'!V9</f>
        <v>1983891251877133.3</v>
      </c>
      <c r="O2" s="51">
        <f>Calculations!S187-'Water and Waste'!W9</f>
        <v>2013780851877133.3</v>
      </c>
      <c r="P2" s="51">
        <f>Calculations!T187-'Water and Waste'!X9</f>
        <v>2044370451877133</v>
      </c>
      <c r="Q2" s="51">
        <f>Calculations!U187-'Water and Waste'!Y9</f>
        <v>2074019051877133.5</v>
      </c>
      <c r="R2" s="51">
        <f>Calculations!V187-'Water and Waste'!Z9</f>
        <v>2103249651877133</v>
      </c>
      <c r="S2" s="51">
        <f>Calculations!W187-'Water and Waste'!AA9</f>
        <v>2132442251877133</v>
      </c>
      <c r="T2" s="51">
        <f>Calculations!X187-'Water and Waste'!AB9</f>
        <v>2162105851877133.5</v>
      </c>
      <c r="U2" s="51">
        <f>Calculations!Y187-'Water and Waste'!AC9</f>
        <v>2193232451877133</v>
      </c>
      <c r="V2" s="51">
        <f>Calculations!Z187-'Water and Waste'!AD9</f>
        <v>2224584051877133.5</v>
      </c>
      <c r="W2" s="51">
        <f>Calculations!AA187-'Water and Waste'!AE9</f>
        <v>2257782651877133.5</v>
      </c>
      <c r="X2" s="51">
        <f>Calculations!AB187-'Water and Waste'!AF9</f>
        <v>2292779251877133</v>
      </c>
      <c r="Y2" s="51">
        <f>Calculations!AC187-'Water and Waste'!AG9</f>
        <v>2329016851877133</v>
      </c>
      <c r="Z2" s="51">
        <f>Calculations!AD187-'Water and Waste'!AH9</f>
        <v>2366994451877133</v>
      </c>
      <c r="AA2" s="51">
        <f>Calculations!AE187-'Water and Waste'!AI9</f>
        <v>2406983051877133</v>
      </c>
      <c r="AB2" s="51">
        <f>Calculations!AF187-'Water and Waste'!AJ9</f>
        <v>2448577651877133.5</v>
      </c>
    </row>
    <row r="3" spans="1:30" x14ac:dyDescent="0.25">
      <c r="A3" s="1" t="s">
        <v>1063</v>
      </c>
      <c r="B3" s="7">
        <f>Calculations!F188</f>
        <v>26136440000000</v>
      </c>
      <c r="C3" s="7">
        <f>Calculations!G188</f>
        <v>25921943187713.625</v>
      </c>
      <c r="D3" s="7">
        <f>Calculations!H188</f>
        <v>26443774700164.793</v>
      </c>
      <c r="E3" s="7">
        <f>Calculations!I188</f>
        <v>26726362705230.715</v>
      </c>
      <c r="F3" s="7">
        <f>Calculations!J188</f>
        <v>27012383937835.695</v>
      </c>
      <c r="G3" s="7">
        <f>Calculations!K188</f>
        <v>27300610542297.363</v>
      </c>
      <c r="H3" s="7">
        <f>Calculations!L188</f>
        <v>27623445987701.418</v>
      </c>
      <c r="I3" s="7">
        <f>Calculations!M188</f>
        <v>27916691303253.172</v>
      </c>
      <c r="J3" s="7">
        <f>Calculations!N188</f>
        <v>28238053321838.379</v>
      </c>
      <c r="K3" s="7">
        <f>Calculations!O188</f>
        <v>28558847904205.324</v>
      </c>
      <c r="L3" s="7">
        <f>Calculations!P188</f>
        <v>28906266689300.535</v>
      </c>
      <c r="M3" s="7">
        <f>Calculations!Q188</f>
        <v>29253189563751.223</v>
      </c>
      <c r="N3" s="7">
        <f>Calculations!R188</f>
        <v>29621410369873.047</v>
      </c>
      <c r="O3" s="7">
        <f>Calculations!S188</f>
        <v>29992935657501.223</v>
      </c>
      <c r="P3" s="7">
        <f>Calculations!T188</f>
        <v>30356109142303.469</v>
      </c>
      <c r="Q3" s="7">
        <f>Calculations!U188</f>
        <v>30714454650878.91</v>
      </c>
      <c r="R3" s="7">
        <f>Calculations!V188</f>
        <v>31061232089996.336</v>
      </c>
      <c r="S3" s="7">
        <f>Calculations!W188</f>
        <v>31388726234436.039</v>
      </c>
      <c r="T3" s="7">
        <f>Calculations!X188</f>
        <v>31706964969635.008</v>
      </c>
      <c r="U3" s="7">
        <f>Calculations!Y188</f>
        <v>32015733718872.07</v>
      </c>
      <c r="V3" s="7">
        <f>Calculations!Z188</f>
        <v>32317502498626.707</v>
      </c>
      <c r="W3" s="7">
        <f>Calculations!AA188</f>
        <v>32612516880035.398</v>
      </c>
      <c r="X3" s="7">
        <f>Calculations!AB188</f>
        <v>32906703948974.609</v>
      </c>
      <c r="Y3" s="7">
        <f>Calculations!AC188</f>
        <v>33196177482604.984</v>
      </c>
      <c r="Z3" s="7">
        <f>Calculations!AD188</f>
        <v>33484463691711.422</v>
      </c>
      <c r="AA3" s="7">
        <f>Calculations!AE188</f>
        <v>33771786689758.305</v>
      </c>
      <c r="AB3" s="7">
        <f>Calculations!AF188</f>
        <v>34060368537902.832</v>
      </c>
    </row>
    <row r="4" spans="1:30" x14ac:dyDescent="0.25">
      <c r="A4" s="1" t="s">
        <v>1055</v>
      </c>
      <c r="B4" s="7">
        <f>Calculations!F189</f>
        <v>1200143000000000</v>
      </c>
      <c r="C4" s="7">
        <f>Calculations!G189</f>
        <v>1267356395721436</v>
      </c>
      <c r="D4" s="7">
        <f>Calculations!H189</f>
        <v>1194332599639893</v>
      </c>
      <c r="E4" s="7">
        <f>Calculations!I189</f>
        <v>1199043273925781</v>
      </c>
      <c r="F4" s="7">
        <f>Calculations!J189</f>
        <v>1197086334228516</v>
      </c>
      <c r="G4" s="7">
        <f>Calculations!K189</f>
        <v>1188332796096802</v>
      </c>
      <c r="H4" s="7">
        <f>Calculations!L189</f>
        <v>1177144050598145</v>
      </c>
      <c r="I4" s="7">
        <f>Calculations!M189</f>
        <v>1166084527969360</v>
      </c>
      <c r="J4" s="7">
        <f>Calculations!N189</f>
        <v>1160668134689331</v>
      </c>
      <c r="K4" s="7">
        <f>Calculations!O189</f>
        <v>1157207250595093</v>
      </c>
      <c r="L4" s="7">
        <f>Calculations!P189</f>
        <v>1156333923339844</v>
      </c>
      <c r="M4" s="7">
        <f>Calculations!Q189</f>
        <v>1155312299728394</v>
      </c>
      <c r="N4" s="7">
        <f>Calculations!R189</f>
        <v>1155334234237671</v>
      </c>
      <c r="O4" s="7">
        <f>Calculations!S189</f>
        <v>1155167102813721</v>
      </c>
      <c r="P4" s="7">
        <f>Calculations!T189</f>
        <v>1155124664306641</v>
      </c>
      <c r="Q4" s="7">
        <f>Calculations!U189</f>
        <v>1154979467391968</v>
      </c>
      <c r="R4" s="7">
        <f>Calculations!V189</f>
        <v>1155163049697876</v>
      </c>
      <c r="S4" s="7">
        <f>Calculations!W189</f>
        <v>1155524969100952</v>
      </c>
      <c r="T4" s="7">
        <f>Calculations!X189</f>
        <v>1157366037368774</v>
      </c>
      <c r="U4" s="7">
        <f>Calculations!Y189</f>
        <v>1159725189208984</v>
      </c>
      <c r="V4" s="7">
        <f>Calculations!Z189</f>
        <v>1162961244583130</v>
      </c>
      <c r="W4" s="7">
        <f>Calculations!AA189</f>
        <v>1165869474411011</v>
      </c>
      <c r="X4" s="7">
        <f>Calculations!AB189</f>
        <v>1167381525039673</v>
      </c>
      <c r="Y4" s="7">
        <f>Calculations!AC189</f>
        <v>1168018341064453</v>
      </c>
      <c r="Z4" s="7">
        <f>Calculations!AD189</f>
        <v>1168419599533081</v>
      </c>
      <c r="AA4" s="7">
        <f>Calculations!AE189</f>
        <v>1168869495391846</v>
      </c>
      <c r="AB4" s="7">
        <f>Calculations!AF189</f>
        <v>1169651508331299</v>
      </c>
    </row>
    <row r="5" spans="1:30" x14ac:dyDescent="0.25">
      <c r="A5" s="1" t="s">
        <v>1056</v>
      </c>
      <c r="B5" s="7">
        <f>Calculations!F190</f>
        <v>235269000000000</v>
      </c>
      <c r="C5" s="7">
        <f>Calculations!G190</f>
        <v>237123906612396.22</v>
      </c>
      <c r="D5" s="7">
        <f>Calculations!H190</f>
        <v>242391526699066.19</v>
      </c>
      <c r="E5" s="7">
        <f>Calculations!I190</f>
        <v>250525891780853.31</v>
      </c>
      <c r="F5" s="7">
        <f>Calculations!J190</f>
        <v>252410143613815.31</v>
      </c>
      <c r="G5" s="7">
        <f>Calculations!K190</f>
        <v>253940939903259.28</v>
      </c>
      <c r="H5" s="7">
        <f>Calculations!L190</f>
        <v>256358504295349.13</v>
      </c>
      <c r="I5" s="7">
        <f>Calculations!M190</f>
        <v>258467733860015.94</v>
      </c>
      <c r="J5" s="7">
        <f>Calculations!N190</f>
        <v>259218662977218.56</v>
      </c>
      <c r="K5" s="7">
        <f>Calculations!O190</f>
        <v>258164495229721.13</v>
      </c>
      <c r="L5" s="7">
        <f>Calculations!P190</f>
        <v>257157713174819.91</v>
      </c>
      <c r="M5" s="7">
        <f>Calculations!Q190</f>
        <v>256192505359649.72</v>
      </c>
      <c r="N5" s="7">
        <f>Calculations!R190</f>
        <v>255626380443573</v>
      </c>
      <c r="O5" s="7">
        <f>Calculations!S190</f>
        <v>254962325096130.44</v>
      </c>
      <c r="P5" s="7">
        <f>Calculations!T190</f>
        <v>254280090332031.19</v>
      </c>
      <c r="Q5" s="7">
        <f>Calculations!U190</f>
        <v>253748297691345.22</v>
      </c>
      <c r="R5" s="7">
        <f>Calculations!V190</f>
        <v>253288805484771.69</v>
      </c>
      <c r="S5" s="7">
        <f>Calculations!W190</f>
        <v>252780407667159.97</v>
      </c>
      <c r="T5" s="7">
        <f>Calculations!X190</f>
        <v>252305954694747.94</v>
      </c>
      <c r="U5" s="7">
        <f>Calculations!Y190</f>
        <v>251798540353775.03</v>
      </c>
      <c r="V5" s="7">
        <f>Calculations!Z190</f>
        <v>251265168190002.38</v>
      </c>
      <c r="W5" s="7">
        <f>Calculations!AA190</f>
        <v>250629872083663.88</v>
      </c>
      <c r="X5" s="7">
        <f>Calculations!AB190</f>
        <v>249962061643600.5</v>
      </c>
      <c r="Y5" s="7">
        <f>Calculations!AC190</f>
        <v>249194756150245.69</v>
      </c>
      <c r="Z5" s="7">
        <f>Calculations!AD190</f>
        <v>248498052358627.28</v>
      </c>
      <c r="AA5" s="7">
        <f>Calculations!AE190</f>
        <v>247696995735168.5</v>
      </c>
      <c r="AB5" s="7">
        <f>Calculations!AF190</f>
        <v>247076272964477.5</v>
      </c>
    </row>
    <row r="6" spans="1:30" x14ac:dyDescent="0.25">
      <c r="A6" s="1" t="s">
        <v>1064</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25">
      <c r="A7" s="1" t="s">
        <v>1058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25">
      <c r="A8" s="1" t="s">
        <v>1065</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25">
      <c r="A9" s="1" t="s">
        <v>1066</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25">
      <c r="A10" s="1" t="s">
        <v>1057</v>
      </c>
      <c r="B10" s="7">
        <f>Calculations!F195</f>
        <v>478708782994381.69</v>
      </c>
      <c r="C10" s="7">
        <f>Calculations!G195</f>
        <v>467697526219205.19</v>
      </c>
      <c r="D10" s="7">
        <f>Calculations!H195</f>
        <v>482255569796908.06</v>
      </c>
      <c r="E10" s="7">
        <f>Calculations!I195</f>
        <v>492258006878364.5</v>
      </c>
      <c r="F10" s="7">
        <f>Calculations!J195</f>
        <v>499662411744553.19</v>
      </c>
      <c r="G10" s="7">
        <f>Calculations!K195</f>
        <v>507400687893887.75</v>
      </c>
      <c r="H10" s="7">
        <f>Calculations!L195</f>
        <v>515827726590463.63</v>
      </c>
      <c r="I10" s="7">
        <f>Calculations!M195</f>
        <v>523579512546766.13</v>
      </c>
      <c r="J10" s="7">
        <f>Calculations!N195</f>
        <v>531839716012952.75</v>
      </c>
      <c r="K10" s="7">
        <f>Calculations!O195</f>
        <v>539894645858652.25</v>
      </c>
      <c r="L10" s="7">
        <f>Calculations!P195</f>
        <v>548517478578676.56</v>
      </c>
      <c r="M10" s="7">
        <f>Calculations!Q195</f>
        <v>557203324714673.44</v>
      </c>
      <c r="N10" s="7">
        <f>Calculations!R195</f>
        <v>566361050704407.25</v>
      </c>
      <c r="O10" s="7">
        <f>Calculations!S195</f>
        <v>575587921332013.75</v>
      </c>
      <c r="P10" s="7">
        <f>Calculations!T195</f>
        <v>584696579012813</v>
      </c>
      <c r="Q10" s="7">
        <f>Calculations!U195</f>
        <v>593762887563629.88</v>
      </c>
      <c r="R10" s="7">
        <f>Calculations!V195</f>
        <v>602673855206454.88</v>
      </c>
      <c r="S10" s="7">
        <f>Calculations!W195</f>
        <v>611205334566405.38</v>
      </c>
      <c r="T10" s="7">
        <f>Calculations!X195</f>
        <v>619574047762284.5</v>
      </c>
      <c r="U10" s="7">
        <f>Calculations!Y195</f>
        <v>627815488541464.63</v>
      </c>
      <c r="V10" s="7">
        <f>Calculations!Z195</f>
        <v>635938667898355.75</v>
      </c>
      <c r="W10" s="7">
        <f>Calculations!AA195</f>
        <v>643941539566317.88</v>
      </c>
      <c r="X10" s="7">
        <f>Calculations!AB195</f>
        <v>651945018752962.75</v>
      </c>
      <c r="Y10" s="7">
        <f>Calculations!AC195</f>
        <v>659873482291685</v>
      </c>
      <c r="Z10" s="7">
        <f>Calculations!AD195</f>
        <v>667788020127930.88</v>
      </c>
      <c r="AA10" s="7">
        <f>Calculations!AE195</f>
        <v>675695778366234.25</v>
      </c>
      <c r="AB10" s="7">
        <f>Calculations!AF195</f>
        <v>683644175739063</v>
      </c>
    </row>
    <row r="11" spans="1:30" x14ac:dyDescent="0.25">
      <c r="A11" s="1" t="s">
        <v>1067</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71E8F-2D06-4636-8A8A-7B9F6D7C81BA}">
  <sheetPr>
    <tabColor theme="3"/>
  </sheetPr>
  <dimension ref="A1:F11"/>
  <sheetViews>
    <sheetView workbookViewId="0"/>
  </sheetViews>
  <sheetFormatPr defaultRowHeight="15" x14ac:dyDescent="0.25"/>
  <cols>
    <col min="1" max="1" width="70.7109375" customWidth="1"/>
    <col min="2" max="2" width="18.7109375" customWidth="1"/>
  </cols>
  <sheetData>
    <row r="1" spans="1:6" x14ac:dyDescent="0.25">
      <c r="A1" s="1" t="s">
        <v>1274</v>
      </c>
    </row>
    <row r="2" spans="1:6" ht="45" customHeight="1" x14ac:dyDescent="0.25">
      <c r="A2" s="87" t="s">
        <v>1275</v>
      </c>
      <c r="B2" s="87"/>
      <c r="C2" s="87"/>
      <c r="D2" s="87"/>
      <c r="E2" s="87"/>
      <c r="F2" s="87"/>
    </row>
    <row r="4" spans="1:6" x14ac:dyDescent="0.25">
      <c r="A4" s="1" t="s">
        <v>1276</v>
      </c>
      <c r="B4" s="1" t="s">
        <v>1277</v>
      </c>
    </row>
    <row r="5" spans="1:6" x14ac:dyDescent="0.25">
      <c r="A5" t="s">
        <v>1278</v>
      </c>
      <c r="B5">
        <v>52571428.571428567</v>
      </c>
    </row>
    <row r="6" spans="1:6" x14ac:dyDescent="0.25">
      <c r="A6" t="s">
        <v>1279</v>
      </c>
      <c r="B6">
        <v>131428571.42857143</v>
      </c>
    </row>
    <row r="7" spans="1:6" x14ac:dyDescent="0.25">
      <c r="A7" t="s">
        <v>1280</v>
      </c>
      <c r="B7">
        <f>1/0.0000002931</f>
        <v>3411804.8447628794</v>
      </c>
    </row>
    <row r="10" spans="1:6" x14ac:dyDescent="0.25">
      <c r="A10" t="s">
        <v>1281</v>
      </c>
      <c r="B10">
        <f>B5*B7</f>
        <v>179363454696105.66</v>
      </c>
    </row>
    <row r="11" spans="1:6" x14ac:dyDescent="0.25">
      <c r="A11" t="s">
        <v>1282</v>
      </c>
      <c r="B11">
        <f>B6*B7</f>
        <v>448408636740264.19</v>
      </c>
    </row>
  </sheetData>
  <mergeCells count="1">
    <mergeCell ref="A2:F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0F59-E299-4ECB-BBD7-9606FFFF09A2}">
  <sheetPr>
    <tabColor theme="3"/>
  </sheetPr>
  <dimension ref="A1:I35"/>
  <sheetViews>
    <sheetView workbookViewId="0">
      <pane xSplit="1" ySplit="1" topLeftCell="F2" activePane="bottomRight" state="frozen"/>
      <selection activeCell="M41" sqref="M41"/>
      <selection pane="topRight" activeCell="M41" sqref="M41"/>
      <selection pane="bottomLeft" activeCell="M41" sqref="M41"/>
      <selection pane="bottomRight" activeCell="G2" sqref="G2:G11"/>
    </sheetView>
  </sheetViews>
  <sheetFormatPr defaultRowHeight="15" x14ac:dyDescent="0.25"/>
  <cols>
    <col min="1" max="1" width="29.85546875" customWidth="1"/>
    <col min="2" max="7" width="23.85546875" customWidth="1"/>
  </cols>
  <sheetData>
    <row r="1" spans="1:9" x14ac:dyDescent="0.25">
      <c r="A1" s="1" t="s">
        <v>1271</v>
      </c>
      <c r="B1" s="75" t="s">
        <v>1047</v>
      </c>
      <c r="C1" s="75" t="s">
        <v>1272</v>
      </c>
      <c r="D1" s="75" t="s">
        <v>1273</v>
      </c>
      <c r="E1" s="75" t="s">
        <v>1051</v>
      </c>
      <c r="F1" s="75" t="s">
        <v>1050</v>
      </c>
      <c r="G1" s="75" t="s">
        <v>1052</v>
      </c>
      <c r="H1" s="1"/>
      <c r="I1" s="1"/>
    </row>
    <row r="2" spans="1:9" x14ac:dyDescent="0.25">
      <c r="A2" s="1" t="s">
        <v>1048</v>
      </c>
      <c r="B2">
        <f>'BCEU-urban-residential-heating'!B2</f>
        <v>429356810815186.56</v>
      </c>
      <c r="C2">
        <f>'BCEU-urban-residential-cooling'!B2</f>
        <v>922563312555654.38</v>
      </c>
      <c r="D2">
        <v>0</v>
      </c>
      <c r="E2">
        <f>'BCEU-urban-residential-lighting'!B2</f>
        <v>152347957904962.38</v>
      </c>
      <c r="F2">
        <f>'BCEU-urban-residential-appl'!B2</f>
        <v>1009091482231036.9</v>
      </c>
      <c r="G2">
        <f>'BCEU-urban-residential-other'!B2</f>
        <v>1774425093499554.5</v>
      </c>
      <c r="I2" s="9"/>
    </row>
    <row r="3" spans="1:9" x14ac:dyDescent="0.25">
      <c r="A3" s="1" t="s">
        <v>1063</v>
      </c>
      <c r="B3">
        <f>'BCEU-urban-residential-heating'!B3</f>
        <v>0</v>
      </c>
      <c r="C3">
        <f>'BCEU-urban-residential-cooling'!B3</f>
        <v>0</v>
      </c>
      <c r="D3">
        <v>0</v>
      </c>
      <c r="E3">
        <f>'BCEU-urban-residential-lighting'!B3</f>
        <v>0</v>
      </c>
      <c r="F3">
        <f>'BCEU-urban-residential-appl'!B3</f>
        <v>0</v>
      </c>
      <c r="G3">
        <f>'BCEU-urban-residential-other'!B3</f>
        <v>0</v>
      </c>
    </row>
    <row r="4" spans="1:9" x14ac:dyDescent="0.25">
      <c r="A4" s="1" t="s">
        <v>1055</v>
      </c>
      <c r="B4">
        <f>'BCEU-urban-residential-heating'!B4</f>
        <v>2258669807172347</v>
      </c>
      <c r="C4">
        <f>'BCEU-urban-residential-cooling'!B4</f>
        <v>51629883914838.5</v>
      </c>
      <c r="D4">
        <v>0</v>
      </c>
      <c r="E4">
        <f>'BCEU-urban-residential-lighting'!B4</f>
        <v>0</v>
      </c>
      <c r="F4">
        <f>'BCEU-urban-residential-appl'!B4</f>
        <v>937723223508459.38</v>
      </c>
      <c r="G4">
        <f>'BCEU-urban-residential-other'!B4</f>
        <v>494950562292560.44</v>
      </c>
    </row>
    <row r="5" spans="1:9" x14ac:dyDescent="0.25">
      <c r="A5" s="1" t="s">
        <v>1056</v>
      </c>
      <c r="B5">
        <f>'BCEU-urban-residential-heating'!B5</f>
        <v>308793848295960.44</v>
      </c>
      <c r="C5">
        <f>'BCEU-urban-residential-cooling'!B5</f>
        <v>0</v>
      </c>
      <c r="D5">
        <v>0</v>
      </c>
      <c r="E5">
        <f>'BCEU-urban-residential-lighting'!B5</f>
        <v>0</v>
      </c>
      <c r="F5">
        <f>'BCEU-urban-residential-appl'!B5</f>
        <v>32750936614587.551</v>
      </c>
      <c r="G5">
        <f>'BCEU-urban-residential-other'!B5</f>
        <v>20989707763296.363</v>
      </c>
    </row>
    <row r="6" spans="1:9" x14ac:dyDescent="0.25">
      <c r="A6" s="1" t="s">
        <v>1064</v>
      </c>
      <c r="B6">
        <f>'BCEU-urban-residential-heating'!B6</f>
        <v>0</v>
      </c>
      <c r="C6">
        <f>'BCEU-urban-residential-cooling'!B6</f>
        <v>0</v>
      </c>
      <c r="D6">
        <v>0</v>
      </c>
      <c r="E6">
        <f>'BCEU-urban-residential-lighting'!B6</f>
        <v>0</v>
      </c>
      <c r="F6">
        <f>'BCEU-urban-residential-appl'!B6</f>
        <v>0</v>
      </c>
      <c r="G6">
        <f>'BCEU-urban-residential-other'!B6</f>
        <v>0</v>
      </c>
    </row>
    <row r="7" spans="1:9" x14ac:dyDescent="0.25">
      <c r="A7" s="1" t="s">
        <v>1058</v>
      </c>
      <c r="B7">
        <f>'BCEU-urban-residential-heating'!B7</f>
        <v>290744244475026.25</v>
      </c>
      <c r="C7">
        <f>'BCEU-urban-residential-cooling'!B7</f>
        <v>0</v>
      </c>
      <c r="D7">
        <v>0</v>
      </c>
      <c r="E7">
        <f>'BCEU-urban-residential-lighting'!B7</f>
        <v>0</v>
      </c>
      <c r="F7">
        <f>'BCEU-urban-residential-appl'!B7</f>
        <v>0</v>
      </c>
      <c r="G7">
        <f>'BCEU-urban-residential-other'!B7</f>
        <v>0</v>
      </c>
    </row>
    <row r="8" spans="1:9" x14ac:dyDescent="0.25">
      <c r="A8" s="1" t="s">
        <v>1065</v>
      </c>
      <c r="B8">
        <f>'BCEU-urban-residential-heating'!B8</f>
        <v>0</v>
      </c>
      <c r="C8">
        <f>'BCEU-urban-residential-cooling'!B8</f>
        <v>0</v>
      </c>
      <c r="D8">
        <v>0</v>
      </c>
      <c r="E8">
        <f>'BCEU-urban-residential-lighting'!B8</f>
        <v>0</v>
      </c>
      <c r="F8">
        <f>'BCEU-urban-residential-appl'!B8</f>
        <v>0</v>
      </c>
      <c r="G8">
        <f>'BCEU-urban-residential-other'!B8</f>
        <v>0</v>
      </c>
    </row>
    <row r="9" spans="1:9" x14ac:dyDescent="0.25">
      <c r="A9" s="1" t="s">
        <v>1066</v>
      </c>
      <c r="B9">
        <f>'BCEU-urban-residential-heating'!B9</f>
        <v>0</v>
      </c>
      <c r="C9">
        <f>'BCEU-urban-residential-cooling'!B9</f>
        <v>0</v>
      </c>
      <c r="D9">
        <v>0</v>
      </c>
      <c r="E9">
        <f>'BCEU-urban-residential-lighting'!B9</f>
        <v>0</v>
      </c>
      <c r="F9">
        <f>'BCEU-urban-residential-appl'!B9</f>
        <v>0</v>
      </c>
      <c r="G9">
        <f>'BCEU-urban-residential-other'!B9</f>
        <v>0</v>
      </c>
    </row>
    <row r="10" spans="1:9" x14ac:dyDescent="0.25">
      <c r="A10" s="1" t="s">
        <v>1057</v>
      </c>
      <c r="B10">
        <f>'BCEU-urban-residential-heating'!B10</f>
        <v>246564629482716.75</v>
      </c>
      <c r="C10">
        <f>'BCEU-urban-residential-cooling'!B10</f>
        <v>0</v>
      </c>
      <c r="D10">
        <v>0</v>
      </c>
      <c r="E10">
        <f>'BCEU-urban-residential-lighting'!B10</f>
        <v>0</v>
      </c>
      <c r="F10">
        <f>'BCEU-urban-residential-appl'!B10</f>
        <v>54522016028495.102</v>
      </c>
      <c r="G10">
        <f>'BCEU-urban-residential-other'!B10</f>
        <v>61209614182789.602</v>
      </c>
    </row>
    <row r="11" spans="1:9" x14ac:dyDescent="0.25">
      <c r="A11" s="1" t="s">
        <v>1067</v>
      </c>
      <c r="B11">
        <f>'BCEU-urban-residential-heating'!B11</f>
        <v>0</v>
      </c>
      <c r="C11">
        <f>'BCEU-urban-residential-cooling'!B11</f>
        <v>0</v>
      </c>
      <c r="D11">
        <v>0</v>
      </c>
      <c r="E11">
        <f>'BCEU-urban-residential-lighting'!B11</f>
        <v>0</v>
      </c>
      <c r="F11">
        <f>'BCEU-urban-residential-appl'!B11</f>
        <v>0</v>
      </c>
      <c r="G11">
        <f>'BCEU-urban-residential-other'!B11</f>
        <v>0</v>
      </c>
    </row>
    <row r="14" spans="1:9" x14ac:dyDescent="0.25">
      <c r="B14" s="6"/>
      <c r="C14" s="6"/>
      <c r="E14" s="6"/>
      <c r="F14" s="6"/>
      <c r="G14" s="6"/>
    </row>
    <row r="16" spans="1:9" x14ac:dyDescent="0.25">
      <c r="B16" s="6"/>
      <c r="C16" s="6"/>
      <c r="F16" s="6"/>
      <c r="G16" s="6"/>
    </row>
    <row r="17" spans="2:7" x14ac:dyDescent="0.25">
      <c r="B17" s="6"/>
      <c r="F17" s="6"/>
      <c r="G17" s="6"/>
    </row>
    <row r="19" spans="2:7" x14ac:dyDescent="0.25">
      <c r="B19" s="6"/>
    </row>
    <row r="22" spans="2:7" x14ac:dyDescent="0.25">
      <c r="B22" s="6"/>
      <c r="F22" s="6"/>
      <c r="G22" s="6"/>
    </row>
    <row r="26" spans="2:7" x14ac:dyDescent="0.25">
      <c r="B26" s="76"/>
      <c r="C26" s="76"/>
      <c r="D26" s="76"/>
      <c r="E26" s="76"/>
      <c r="F26" s="76"/>
      <c r="G26" s="76"/>
    </row>
    <row r="27" spans="2:7" x14ac:dyDescent="0.25">
      <c r="B27" s="76"/>
      <c r="C27" s="76"/>
      <c r="D27" s="76"/>
      <c r="E27" s="76"/>
      <c r="F27" s="76"/>
      <c r="G27" s="76"/>
    </row>
    <row r="28" spans="2:7" x14ac:dyDescent="0.25">
      <c r="B28" s="76"/>
      <c r="C28" s="76"/>
      <c r="D28" s="76"/>
      <c r="E28" s="76"/>
      <c r="F28" s="76"/>
      <c r="G28" s="76"/>
    </row>
    <row r="29" spans="2:7" x14ac:dyDescent="0.25">
      <c r="B29" s="76"/>
      <c r="C29" s="76"/>
      <c r="D29" s="76"/>
      <c r="E29" s="76"/>
      <c r="F29" s="76"/>
      <c r="G29" s="76"/>
    </row>
    <row r="30" spans="2:7" x14ac:dyDescent="0.25">
      <c r="B30" s="76"/>
      <c r="C30" s="76"/>
      <c r="D30" s="76"/>
      <c r="E30" s="76"/>
      <c r="F30" s="76"/>
      <c r="G30" s="76"/>
    </row>
    <row r="31" spans="2:7" x14ac:dyDescent="0.25">
      <c r="B31" s="76"/>
      <c r="C31" s="76"/>
      <c r="D31" s="76"/>
      <c r="E31" s="76"/>
      <c r="F31" s="76"/>
      <c r="G31" s="76"/>
    </row>
    <row r="32" spans="2:7" x14ac:dyDescent="0.25">
      <c r="B32" s="76"/>
      <c r="C32" s="76"/>
      <c r="D32" s="76"/>
      <c r="E32" s="76"/>
      <c r="F32" s="76"/>
      <c r="G32" s="76"/>
    </row>
    <row r="33" spans="2:7" x14ac:dyDescent="0.25">
      <c r="B33" s="76"/>
      <c r="C33" s="76"/>
      <c r="D33" s="76"/>
      <c r="E33" s="76"/>
      <c r="F33" s="76"/>
      <c r="G33" s="76"/>
    </row>
    <row r="34" spans="2:7" x14ac:dyDescent="0.25">
      <c r="B34" s="76"/>
      <c r="C34" s="76"/>
      <c r="D34" s="76"/>
      <c r="E34" s="76"/>
      <c r="F34" s="76"/>
      <c r="G34" s="76"/>
    </row>
    <row r="35" spans="2:7" x14ac:dyDescent="0.25">
      <c r="B35" s="76"/>
      <c r="C35" s="76"/>
      <c r="D35" s="76"/>
      <c r="E35" s="76"/>
      <c r="F35" s="76"/>
      <c r="G35" s="76"/>
    </row>
  </sheetData>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42C49-A2B4-4A4D-A36E-7922CDFA44A5}">
  <sheetPr>
    <tabColor theme="3"/>
  </sheetPr>
  <dimension ref="A1:I35"/>
  <sheetViews>
    <sheetView workbookViewId="0">
      <pane xSplit="1" ySplit="1" topLeftCell="C2" activePane="bottomRight" state="frozen"/>
      <selection activeCell="M41" sqref="M41"/>
      <selection pane="topRight" activeCell="M41" sqref="M41"/>
      <selection pane="bottomLeft" activeCell="M41" sqref="M41"/>
      <selection pane="bottomRight" activeCell="H2" sqref="H2"/>
    </sheetView>
  </sheetViews>
  <sheetFormatPr defaultRowHeight="15" x14ac:dyDescent="0.25"/>
  <cols>
    <col min="1" max="7" width="15" customWidth="1"/>
  </cols>
  <sheetData>
    <row r="1" spans="1:9" x14ac:dyDescent="0.25">
      <c r="A1" s="1" t="s">
        <v>1271</v>
      </c>
      <c r="B1" s="75" t="s">
        <v>1047</v>
      </c>
      <c r="C1" s="75" t="s">
        <v>1272</v>
      </c>
      <c r="D1" s="75" t="s">
        <v>1273</v>
      </c>
      <c r="E1" s="75" t="s">
        <v>1051</v>
      </c>
      <c r="F1" s="75" t="s">
        <v>1050</v>
      </c>
      <c r="G1" s="75" t="s">
        <v>1052</v>
      </c>
      <c r="H1" s="1"/>
      <c r="I1" s="1"/>
    </row>
    <row r="2" spans="1:9" x14ac:dyDescent="0.25">
      <c r="A2" s="1" t="s">
        <v>1048</v>
      </c>
      <c r="B2">
        <f>'BCEU-rural-residential-heating'!B2</f>
        <v>98704189184813.391</v>
      </c>
      <c r="C2">
        <f>'BCEU-rural-residential-cooling'!B2</f>
        <v>212086687444345.47</v>
      </c>
      <c r="D2">
        <v>0</v>
      </c>
      <c r="E2">
        <f>'BCEU-rural-residential-lighting'!B2</f>
        <v>35023042095037.641</v>
      </c>
      <c r="F2">
        <f>'BCEU-rural-residential-appl'!B2</f>
        <v>231978517768962.97</v>
      </c>
      <c r="G2">
        <f>'BCEU-rural-residential-other'!B2</f>
        <v>407919906500445.19</v>
      </c>
      <c r="I2" s="9"/>
    </row>
    <row r="3" spans="1:9" x14ac:dyDescent="0.25">
      <c r="A3" s="1" t="s">
        <v>1063</v>
      </c>
      <c r="B3">
        <f>'BCEU-rural-residential-heating'!B3</f>
        <v>0</v>
      </c>
      <c r="C3">
        <f>'BCEU-rural-residential-cooling'!B3</f>
        <v>0</v>
      </c>
      <c r="D3">
        <v>0</v>
      </c>
      <c r="E3">
        <f>'BCEU-rural-residential-lighting'!B3</f>
        <v>0</v>
      </c>
      <c r="F3">
        <f>'BCEU-rural-residential-appl'!B3</f>
        <v>0</v>
      </c>
      <c r="G3">
        <f>'BCEU-rural-residential-other'!B3</f>
        <v>0</v>
      </c>
    </row>
    <row r="4" spans="1:9" x14ac:dyDescent="0.25">
      <c r="A4" s="1" t="s">
        <v>1055</v>
      </c>
      <c r="B4">
        <f>'BCEU-rural-residential-heating'!B4</f>
        <v>519242192827653.25</v>
      </c>
      <c r="C4">
        <f>'BCEU-rural-residential-cooling'!B4</f>
        <v>11869116085161.498</v>
      </c>
      <c r="D4">
        <v>0</v>
      </c>
      <c r="E4">
        <f>'BCEU-rural-residential-lighting'!B4</f>
        <v>0</v>
      </c>
      <c r="F4">
        <f>'BCEU-rural-residential-appl'!B4</f>
        <v>215571776491540.5</v>
      </c>
      <c r="G4">
        <f>'BCEU-rural-residential-other'!B4</f>
        <v>113783437707439.48</v>
      </c>
    </row>
    <row r="5" spans="1:9" x14ac:dyDescent="0.25">
      <c r="A5" s="1" t="s">
        <v>1056</v>
      </c>
      <c r="B5">
        <f>'BCEU-rural-residential-heating'!B5</f>
        <v>70988151704039.5</v>
      </c>
      <c r="C5">
        <f>'BCEU-rural-residential-cooling'!B5</f>
        <v>0</v>
      </c>
      <c r="D5">
        <v>0</v>
      </c>
      <c r="E5">
        <f>'BCEU-rural-residential-lighting'!B5</f>
        <v>0</v>
      </c>
      <c r="F5">
        <f>'BCEU-rural-residential-appl'!B5</f>
        <v>7529063385412.4512</v>
      </c>
      <c r="G5">
        <f>'BCEU-rural-residential-other'!B5</f>
        <v>4825292236703.6348</v>
      </c>
    </row>
    <row r="6" spans="1:9" x14ac:dyDescent="0.25">
      <c r="A6" s="1" t="s">
        <v>1064</v>
      </c>
      <c r="B6">
        <f>'BCEU-rural-residential-heating'!B6</f>
        <v>0</v>
      </c>
      <c r="C6">
        <f>'BCEU-rural-residential-cooling'!B6</f>
        <v>0</v>
      </c>
      <c r="D6">
        <v>0</v>
      </c>
      <c r="E6">
        <f>'BCEU-rural-residential-lighting'!B6</f>
        <v>0</v>
      </c>
      <c r="F6">
        <f>'BCEU-rural-residential-appl'!B6</f>
        <v>0</v>
      </c>
      <c r="G6">
        <f>'BCEU-rural-residential-other'!B6</f>
        <v>0</v>
      </c>
    </row>
    <row r="7" spans="1:9" x14ac:dyDescent="0.25">
      <c r="A7" s="1" t="s">
        <v>1058</v>
      </c>
      <c r="B7">
        <f>'BCEU-rural-residential-heating'!B7</f>
        <v>66838755524973.688</v>
      </c>
      <c r="C7">
        <f>'BCEU-rural-residential-cooling'!B7</f>
        <v>0</v>
      </c>
      <c r="D7">
        <v>0</v>
      </c>
      <c r="E7">
        <f>'BCEU-rural-residential-lighting'!B7</f>
        <v>0</v>
      </c>
      <c r="F7">
        <f>'BCEU-rural-residential-appl'!B7</f>
        <v>0</v>
      </c>
      <c r="G7">
        <f>'BCEU-rural-residential-other'!B7</f>
        <v>0</v>
      </c>
    </row>
    <row r="8" spans="1:9" x14ac:dyDescent="0.25">
      <c r="A8" s="1" t="s">
        <v>1065</v>
      </c>
      <c r="B8">
        <f>'BCEU-rural-residential-heating'!B8</f>
        <v>0</v>
      </c>
      <c r="C8">
        <f>'BCEU-rural-residential-cooling'!B8</f>
        <v>0</v>
      </c>
      <c r="D8">
        <v>0</v>
      </c>
      <c r="E8">
        <f>'BCEU-rural-residential-lighting'!B8</f>
        <v>0</v>
      </c>
      <c r="F8">
        <f>'BCEU-rural-residential-appl'!B8</f>
        <v>0</v>
      </c>
      <c r="G8">
        <f>'BCEU-rural-residential-other'!B8</f>
        <v>0</v>
      </c>
    </row>
    <row r="9" spans="1:9" x14ac:dyDescent="0.25">
      <c r="A9" s="1" t="s">
        <v>1066</v>
      </c>
      <c r="B9">
        <f>'BCEU-rural-residential-heating'!B9</f>
        <v>0</v>
      </c>
      <c r="C9">
        <f>'BCEU-rural-residential-cooling'!B9</f>
        <v>0</v>
      </c>
      <c r="D9">
        <v>0</v>
      </c>
      <c r="E9">
        <f>'BCEU-rural-residential-lighting'!B9</f>
        <v>0</v>
      </c>
      <c r="F9">
        <f>'BCEU-rural-residential-appl'!B9</f>
        <v>0</v>
      </c>
      <c r="G9">
        <f>'BCEU-rural-residential-other'!B9</f>
        <v>0</v>
      </c>
    </row>
    <row r="10" spans="1:9" x14ac:dyDescent="0.25">
      <c r="A10" s="1" t="s">
        <v>1057</v>
      </c>
      <c r="B10">
        <f>'BCEU-rural-residential-heating'!B10</f>
        <v>56682370517283.25</v>
      </c>
      <c r="C10">
        <f>'BCEU-rural-residential-cooling'!B10</f>
        <v>0</v>
      </c>
      <c r="D10">
        <v>0</v>
      </c>
      <c r="E10">
        <f>'BCEU-rural-residential-lighting'!B10</f>
        <v>0</v>
      </c>
      <c r="F10">
        <f>'BCEU-rural-residential-appl'!B10</f>
        <v>12533983971504.898</v>
      </c>
      <c r="G10">
        <f>'BCEU-rural-residential-other'!B10</f>
        <v>14071385817210.395</v>
      </c>
    </row>
    <row r="11" spans="1:9" x14ac:dyDescent="0.25">
      <c r="A11" s="1" t="s">
        <v>1067</v>
      </c>
      <c r="B11">
        <f>'BCEU-rural-residential-heating'!B11</f>
        <v>0</v>
      </c>
      <c r="C11">
        <f>'BCEU-rural-residential-cooling'!B11</f>
        <v>0</v>
      </c>
      <c r="D11">
        <v>0</v>
      </c>
      <c r="E11">
        <f>'BCEU-rural-residential-lighting'!B11</f>
        <v>0</v>
      </c>
      <c r="F11">
        <f>'BCEU-rural-residential-appl'!B11</f>
        <v>0</v>
      </c>
      <c r="G11">
        <f>'BCEU-rural-residential-other'!B11</f>
        <v>0</v>
      </c>
    </row>
    <row r="14" spans="1:9" x14ac:dyDescent="0.25">
      <c r="B14" s="6"/>
      <c r="C14" s="6"/>
      <c r="E14" s="6"/>
      <c r="F14" s="6"/>
      <c r="G14" s="6"/>
    </row>
    <row r="16" spans="1:9" x14ac:dyDescent="0.25">
      <c r="B16" s="6"/>
      <c r="C16" s="6"/>
      <c r="F16" s="6"/>
      <c r="G16" s="6"/>
    </row>
    <row r="17" spans="2:7" x14ac:dyDescent="0.25">
      <c r="B17" s="6"/>
      <c r="F17" s="6"/>
      <c r="G17" s="6"/>
    </row>
    <row r="19" spans="2:7" x14ac:dyDescent="0.25">
      <c r="B19" s="6"/>
    </row>
    <row r="22" spans="2:7" x14ac:dyDescent="0.25">
      <c r="B22" s="6"/>
      <c r="F22" s="6"/>
      <c r="G22" s="6"/>
    </row>
    <row r="26" spans="2:7" x14ac:dyDescent="0.25">
      <c r="B26" s="76"/>
      <c r="C26" s="76"/>
      <c r="D26" s="76"/>
      <c r="E26" s="76"/>
      <c r="F26" s="76"/>
      <c r="G26" s="76"/>
    </row>
    <row r="27" spans="2:7" x14ac:dyDescent="0.25">
      <c r="B27" s="76"/>
      <c r="C27" s="76"/>
      <c r="D27" s="76"/>
      <c r="E27" s="76"/>
      <c r="F27" s="76"/>
      <c r="G27" s="76"/>
    </row>
    <row r="28" spans="2:7" x14ac:dyDescent="0.25">
      <c r="B28" s="76"/>
      <c r="C28" s="76"/>
      <c r="D28" s="76"/>
      <c r="E28" s="76"/>
      <c r="F28" s="76"/>
      <c r="G28" s="76"/>
    </row>
    <row r="29" spans="2:7" x14ac:dyDescent="0.25">
      <c r="B29" s="76"/>
      <c r="C29" s="76"/>
      <c r="D29" s="76"/>
      <c r="E29" s="76"/>
      <c r="F29" s="76"/>
      <c r="G29" s="76"/>
    </row>
    <row r="30" spans="2:7" x14ac:dyDescent="0.25">
      <c r="B30" s="76"/>
      <c r="C30" s="76"/>
      <c r="D30" s="76"/>
      <c r="E30" s="76"/>
      <c r="F30" s="76"/>
      <c r="G30" s="76"/>
    </row>
    <row r="31" spans="2:7" x14ac:dyDescent="0.25">
      <c r="B31" s="76"/>
      <c r="C31" s="76"/>
      <c r="D31" s="76"/>
      <c r="E31" s="76"/>
      <c r="F31" s="76"/>
      <c r="G31" s="76"/>
    </row>
    <row r="32" spans="2:7" x14ac:dyDescent="0.25">
      <c r="B32" s="76"/>
      <c r="C32" s="76"/>
      <c r="D32" s="76"/>
      <c r="E32" s="76"/>
      <c r="F32" s="76"/>
      <c r="G32" s="76"/>
    </row>
    <row r="33" spans="2:7" x14ac:dyDescent="0.25">
      <c r="B33" s="76"/>
      <c r="C33" s="76"/>
      <c r="D33" s="76"/>
      <c r="E33" s="76"/>
      <c r="F33" s="76"/>
      <c r="G33" s="76"/>
    </row>
    <row r="34" spans="2:7" x14ac:dyDescent="0.25">
      <c r="B34" s="76"/>
      <c r="C34" s="76"/>
      <c r="D34" s="76"/>
      <c r="E34" s="76"/>
      <c r="F34" s="76"/>
      <c r="G34" s="76"/>
    </row>
    <row r="35" spans="2:7" x14ac:dyDescent="0.25">
      <c r="B35" s="76"/>
      <c r="C35" s="76"/>
      <c r="D35" s="76"/>
      <c r="E35" s="76"/>
      <c r="F35" s="76"/>
      <c r="G35" s="76"/>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B0C77-5CE3-486A-9592-7D0E94B21645}">
  <sheetPr>
    <tabColor theme="3"/>
  </sheetPr>
  <dimension ref="A1:I35"/>
  <sheetViews>
    <sheetView workbookViewId="0">
      <pane xSplit="1" ySplit="1" topLeftCell="E2" activePane="bottomRight" state="frozen"/>
      <selection activeCell="M41" sqref="M41"/>
      <selection pane="topRight" activeCell="M41" sqref="M41"/>
      <selection pane="bottomLeft" activeCell="M41" sqref="M41"/>
      <selection pane="bottomRight" activeCell="G3" sqref="G3"/>
    </sheetView>
  </sheetViews>
  <sheetFormatPr defaultRowHeight="15" x14ac:dyDescent="0.25"/>
  <cols>
    <col min="1" max="1" width="29.85546875" customWidth="1"/>
    <col min="2" max="7" width="23.85546875" customWidth="1"/>
  </cols>
  <sheetData>
    <row r="1" spans="1:9" x14ac:dyDescent="0.25">
      <c r="A1" s="1" t="s">
        <v>1271</v>
      </c>
      <c r="B1" s="75" t="s">
        <v>1047</v>
      </c>
      <c r="C1" s="75" t="s">
        <v>1272</v>
      </c>
      <c r="D1" s="75" t="s">
        <v>1273</v>
      </c>
      <c r="E1" s="75" t="s">
        <v>1051</v>
      </c>
      <c r="F1" s="75" t="s">
        <v>1050</v>
      </c>
      <c r="G1" s="75" t="s">
        <v>1052</v>
      </c>
      <c r="H1" s="1"/>
      <c r="I1" s="1"/>
    </row>
    <row r="2" spans="1:9" x14ac:dyDescent="0.25">
      <c r="A2" s="1" t="s">
        <v>1048</v>
      </c>
      <c r="B2">
        <f>'BCEU-commercial-heating'!B2</f>
        <v>186541000000000</v>
      </c>
      <c r="C2">
        <f>'BCEU-commercial-cooling'!B2</f>
        <v>972882000000000.25</v>
      </c>
      <c r="D2">
        <v>0</v>
      </c>
      <c r="E2">
        <f>'BCEU-commercial-lighting'!B2</f>
        <v>575629000000000</v>
      </c>
      <c r="F2">
        <f>'BCEU-commercial-appl'!B2</f>
        <v>526170000000000</v>
      </c>
      <c r="G2">
        <f>'BCEU-commercial-other'!B2</f>
        <v>1794422051877133</v>
      </c>
      <c r="I2" s="9"/>
    </row>
    <row r="3" spans="1:9" x14ac:dyDescent="0.25">
      <c r="A3" s="1" t="s">
        <v>1063</v>
      </c>
      <c r="B3">
        <f>'BCEU-commercial-heating'!B3</f>
        <v>0</v>
      </c>
      <c r="C3">
        <f>'BCEU-commercial-cooling'!B3</f>
        <v>0</v>
      </c>
      <c r="D3">
        <v>0</v>
      </c>
      <c r="E3">
        <f>'BCEU-commercial-lighting'!B3</f>
        <v>0</v>
      </c>
      <c r="F3">
        <f>'BCEU-commercial-appl'!B3</f>
        <v>0</v>
      </c>
      <c r="G3">
        <f>'BCEU-commercial-other'!B3</f>
        <v>26136440000000</v>
      </c>
    </row>
    <row r="4" spans="1:9" x14ac:dyDescent="0.25">
      <c r="A4" s="1" t="s">
        <v>1055</v>
      </c>
      <c r="B4">
        <f>'BCEU-commercial-heating'!B4</f>
        <v>1537413000000000</v>
      </c>
      <c r="C4">
        <f>'BCEU-commercial-cooling'!B4</f>
        <v>18320000000000</v>
      </c>
      <c r="D4">
        <v>0</v>
      </c>
      <c r="E4">
        <f>'BCEU-commercial-lighting'!B4</f>
        <v>0</v>
      </c>
      <c r="F4">
        <f>'BCEU-commercial-appl'!B4</f>
        <v>670828000000000</v>
      </c>
      <c r="G4">
        <f>'BCEU-commercial-other'!B4</f>
        <v>1200143000000000</v>
      </c>
    </row>
    <row r="5" spans="1:9" x14ac:dyDescent="0.25">
      <c r="A5" s="1" t="s">
        <v>1056</v>
      </c>
      <c r="B5">
        <f>'BCEU-commercial-heating'!B5</f>
        <v>69269000000000</v>
      </c>
      <c r="C5">
        <f>'BCEU-commercial-cooling'!B5</f>
        <v>0</v>
      </c>
      <c r="D5">
        <v>0</v>
      </c>
      <c r="E5">
        <f>'BCEU-commercial-lighting'!B5</f>
        <v>0</v>
      </c>
      <c r="F5">
        <f>'BCEU-commercial-appl'!B5</f>
        <v>3746000000000</v>
      </c>
      <c r="G5">
        <f>'BCEU-commercial-other'!B5</f>
        <v>235269000000000</v>
      </c>
    </row>
    <row r="6" spans="1:9" x14ac:dyDescent="0.25">
      <c r="A6" s="1" t="s">
        <v>1064</v>
      </c>
      <c r="B6">
        <f>'BCEU-commercial-heating'!B6</f>
        <v>0</v>
      </c>
      <c r="C6">
        <f>'BCEU-commercial-cooling'!B6</f>
        <v>0</v>
      </c>
      <c r="D6">
        <v>0</v>
      </c>
      <c r="E6">
        <f>'BCEU-commercial-lighting'!B6</f>
        <v>0</v>
      </c>
      <c r="F6">
        <f>'BCEU-commercial-appl'!B6</f>
        <v>0</v>
      </c>
      <c r="G6">
        <f>'BCEU-commercial-other'!B6</f>
        <v>0</v>
      </c>
    </row>
    <row r="7" spans="1:9" x14ac:dyDescent="0.25">
      <c r="A7" s="1" t="s">
        <v>1058</v>
      </c>
      <c r="B7">
        <f>'BCEU-commercial-heating'!B7</f>
        <v>158104000000000</v>
      </c>
      <c r="C7">
        <f>'BCEU-commercial-cooling'!B7</f>
        <v>0</v>
      </c>
      <c r="D7">
        <v>0</v>
      </c>
      <c r="E7">
        <f>'BCEU-commercial-lighting'!B7</f>
        <v>0</v>
      </c>
      <c r="F7">
        <f>'BCEU-commercial-appl'!B7</f>
        <v>0</v>
      </c>
      <c r="G7">
        <f>'BCEU-commercial-other'!B7</f>
        <v>0</v>
      </c>
    </row>
    <row r="8" spans="1:9" x14ac:dyDescent="0.25">
      <c r="A8" s="1" t="s">
        <v>1065</v>
      </c>
      <c r="B8">
        <f>'BCEU-commercial-heating'!B8</f>
        <v>0</v>
      </c>
      <c r="C8">
        <f>'BCEU-commercial-cooling'!B8</f>
        <v>0</v>
      </c>
      <c r="D8">
        <v>0</v>
      </c>
      <c r="E8">
        <f>'BCEU-commercial-lighting'!B8</f>
        <v>0</v>
      </c>
      <c r="F8">
        <f>'BCEU-commercial-appl'!B8</f>
        <v>0</v>
      </c>
      <c r="G8">
        <f>'BCEU-commercial-other'!B8</f>
        <v>0</v>
      </c>
    </row>
    <row r="9" spans="1:9" x14ac:dyDescent="0.25">
      <c r="A9" s="1" t="s">
        <v>1066</v>
      </c>
      <c r="B9">
        <f>'BCEU-commercial-heating'!B9</f>
        <v>0</v>
      </c>
      <c r="C9">
        <f>'BCEU-commercial-cooling'!B9</f>
        <v>0</v>
      </c>
      <c r="D9">
        <v>0</v>
      </c>
      <c r="E9">
        <f>'BCEU-commercial-lighting'!B9</f>
        <v>0</v>
      </c>
      <c r="F9">
        <f>'BCEU-commercial-appl'!B9</f>
        <v>0</v>
      </c>
      <c r="G9">
        <f>'BCEU-commercial-other'!B9</f>
        <v>0</v>
      </c>
    </row>
    <row r="10" spans="1:9" x14ac:dyDescent="0.25">
      <c r="A10" s="1" t="s">
        <v>1057</v>
      </c>
      <c r="B10">
        <f>'BCEU-commercial-heating'!B10</f>
        <v>140943680167118.59</v>
      </c>
      <c r="C10">
        <f>'BCEU-commercial-cooling'!B10</f>
        <v>0</v>
      </c>
      <c r="D10">
        <v>0</v>
      </c>
      <c r="E10">
        <f>'BCEU-commercial-lighting'!B10</f>
        <v>0</v>
      </c>
      <c r="F10">
        <f>'BCEU-commercial-appl'!B10</f>
        <v>7622096838499.5635</v>
      </c>
      <c r="G10">
        <f>'BCEU-commercial-other'!B10</f>
        <v>478708782994381.69</v>
      </c>
    </row>
    <row r="11" spans="1:9" x14ac:dyDescent="0.25">
      <c r="A11" s="1" t="s">
        <v>1067</v>
      </c>
      <c r="B11">
        <f>'BCEU-commercial-heating'!B11</f>
        <v>0</v>
      </c>
      <c r="C11">
        <f>'BCEU-commercial-cooling'!B11</f>
        <v>0</v>
      </c>
      <c r="D11">
        <v>0</v>
      </c>
      <c r="E11">
        <f>'BCEU-commercial-lighting'!B11</f>
        <v>0</v>
      </c>
      <c r="F11">
        <f>'BCEU-commercial-appl'!B11</f>
        <v>0</v>
      </c>
      <c r="G11">
        <f>'BCEU-commercial-other'!B11</f>
        <v>0</v>
      </c>
    </row>
    <row r="14" spans="1:9" x14ac:dyDescent="0.25">
      <c r="B14" s="6"/>
      <c r="C14" s="6"/>
      <c r="E14" s="6"/>
      <c r="F14" s="6"/>
      <c r="G14" s="6"/>
    </row>
    <row r="15" spans="1:9" x14ac:dyDescent="0.25">
      <c r="G15" s="6"/>
    </row>
    <row r="16" spans="1:9" x14ac:dyDescent="0.25">
      <c r="B16" s="6"/>
      <c r="C16" s="6"/>
      <c r="F16" s="6"/>
      <c r="G16" s="6"/>
    </row>
    <row r="17" spans="2:7" x14ac:dyDescent="0.25">
      <c r="B17" s="6"/>
      <c r="F17" s="6"/>
      <c r="G17" s="6"/>
    </row>
    <row r="22" spans="2:7" x14ac:dyDescent="0.25">
      <c r="B22" s="6"/>
      <c r="F22" s="6"/>
      <c r="G22" s="6"/>
    </row>
    <row r="26" spans="2:7" x14ac:dyDescent="0.25">
      <c r="B26" s="76"/>
      <c r="C26" s="76"/>
      <c r="D26" s="76"/>
      <c r="E26" s="76"/>
      <c r="F26" s="76"/>
      <c r="G26" s="76"/>
    </row>
    <row r="27" spans="2:7" x14ac:dyDescent="0.25">
      <c r="B27" s="76"/>
      <c r="C27" s="76"/>
      <c r="D27" s="76"/>
      <c r="E27" s="76"/>
      <c r="F27" s="76"/>
      <c r="G27" s="76"/>
    </row>
    <row r="28" spans="2:7" x14ac:dyDescent="0.25">
      <c r="B28" s="76"/>
      <c r="C28" s="76"/>
      <c r="D28" s="76"/>
      <c r="E28" s="76"/>
      <c r="F28" s="76"/>
      <c r="G28" s="76"/>
    </row>
    <row r="29" spans="2:7" x14ac:dyDescent="0.25">
      <c r="B29" s="76"/>
      <c r="C29" s="76"/>
      <c r="D29" s="76"/>
      <c r="E29" s="76"/>
      <c r="F29" s="76"/>
      <c r="G29" s="76"/>
    </row>
    <row r="30" spans="2:7" x14ac:dyDescent="0.25">
      <c r="B30" s="76"/>
      <c r="C30" s="76"/>
      <c r="D30" s="76"/>
      <c r="E30" s="76"/>
      <c r="F30" s="76"/>
      <c r="G30" s="76"/>
    </row>
    <row r="31" spans="2:7" x14ac:dyDescent="0.25">
      <c r="B31" s="76"/>
      <c r="C31" s="76"/>
      <c r="D31" s="76"/>
      <c r="E31" s="76"/>
      <c r="F31" s="76"/>
      <c r="G31" s="76"/>
    </row>
    <row r="32" spans="2:7" x14ac:dyDescent="0.25">
      <c r="B32" s="76"/>
      <c r="C32" s="76"/>
      <c r="D32" s="76"/>
      <c r="E32" s="76"/>
      <c r="F32" s="76"/>
      <c r="G32" s="76"/>
    </row>
    <row r="33" spans="2:7" x14ac:dyDescent="0.25">
      <c r="B33" s="76"/>
      <c r="C33" s="76"/>
      <c r="D33" s="76"/>
      <c r="E33" s="76"/>
      <c r="F33" s="76"/>
      <c r="G33" s="76"/>
    </row>
    <row r="34" spans="2:7" x14ac:dyDescent="0.25">
      <c r="B34" s="76"/>
      <c r="C34" s="76"/>
      <c r="D34" s="76"/>
      <c r="E34" s="76"/>
      <c r="F34" s="76"/>
      <c r="G34" s="76"/>
    </row>
    <row r="35" spans="2:7" x14ac:dyDescent="0.25">
      <c r="B35" s="76"/>
      <c r="C35" s="76"/>
      <c r="D35" s="76"/>
      <c r="E35" s="76"/>
      <c r="F35" s="76"/>
      <c r="G35" s="76"/>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595B8-87C7-4E48-A666-2178E90E0A6E}">
  <sheetPr>
    <tabColor rgb="FF1F3864"/>
  </sheetPr>
  <dimension ref="A1:G11"/>
  <sheetViews>
    <sheetView tabSelected="1" workbookViewId="0"/>
  </sheetViews>
  <sheetFormatPr defaultRowHeight="15" x14ac:dyDescent="0.25"/>
  <sheetData>
    <row r="1" spans="1:7" x14ac:dyDescent="0.25">
      <c r="A1" t="s">
        <v>1271</v>
      </c>
      <c r="B1" t="s">
        <v>1047</v>
      </c>
      <c r="C1" t="s">
        <v>1272</v>
      </c>
      <c r="D1" t="s">
        <v>1273</v>
      </c>
      <c r="E1" t="s">
        <v>1051</v>
      </c>
      <c r="F1" t="s">
        <v>1050</v>
      </c>
      <c r="G1" t="s">
        <v>1052</v>
      </c>
    </row>
    <row r="2" spans="1:7" x14ac:dyDescent="0.25">
      <c r="A2" t="s">
        <v>1048</v>
      </c>
      <c r="B2">
        <v>0</v>
      </c>
      <c r="C2">
        <f>'Data Centers'!$B$10</f>
        <v>179363454696105.66</v>
      </c>
      <c r="D2">
        <v>0</v>
      </c>
      <c r="E2">
        <v>0</v>
      </c>
      <c r="F2">
        <v>0</v>
      </c>
      <c r="G2">
        <f>'Data Centers'!$B$11</f>
        <v>448408636740264.19</v>
      </c>
    </row>
    <row r="3" spans="1:7" x14ac:dyDescent="0.25">
      <c r="A3" t="s">
        <v>1063</v>
      </c>
      <c r="B3">
        <v>0</v>
      </c>
      <c r="C3">
        <v>0</v>
      </c>
      <c r="D3">
        <v>0</v>
      </c>
      <c r="E3">
        <v>0</v>
      </c>
      <c r="F3">
        <v>0</v>
      </c>
      <c r="G3">
        <v>0</v>
      </c>
    </row>
    <row r="4" spans="1:7" x14ac:dyDescent="0.25">
      <c r="A4" t="s">
        <v>1055</v>
      </c>
      <c r="B4">
        <v>0</v>
      </c>
      <c r="C4">
        <v>0</v>
      </c>
      <c r="D4">
        <v>0</v>
      </c>
      <c r="E4">
        <v>0</v>
      </c>
      <c r="F4">
        <v>0</v>
      </c>
      <c r="G4">
        <v>0</v>
      </c>
    </row>
    <row r="5" spans="1:7" x14ac:dyDescent="0.25">
      <c r="A5" t="s">
        <v>1056</v>
      </c>
      <c r="B5">
        <v>0</v>
      </c>
      <c r="C5">
        <v>0</v>
      </c>
      <c r="D5">
        <v>0</v>
      </c>
      <c r="E5">
        <v>0</v>
      </c>
      <c r="F5">
        <v>0</v>
      </c>
      <c r="G5">
        <v>0</v>
      </c>
    </row>
    <row r="6" spans="1:7" x14ac:dyDescent="0.25">
      <c r="A6" t="s">
        <v>1064</v>
      </c>
      <c r="B6">
        <v>0</v>
      </c>
      <c r="C6">
        <v>0</v>
      </c>
      <c r="D6">
        <v>0</v>
      </c>
      <c r="E6">
        <v>0</v>
      </c>
      <c r="F6">
        <v>0</v>
      </c>
      <c r="G6">
        <v>0</v>
      </c>
    </row>
    <row r="7" spans="1:7" x14ac:dyDescent="0.25">
      <c r="A7" t="s">
        <v>1058</v>
      </c>
      <c r="B7">
        <v>0</v>
      </c>
      <c r="C7">
        <v>0</v>
      </c>
      <c r="D7">
        <v>0</v>
      </c>
      <c r="E7">
        <v>0</v>
      </c>
      <c r="F7">
        <v>0</v>
      </c>
      <c r="G7">
        <v>0</v>
      </c>
    </row>
    <row r="8" spans="1:7" x14ac:dyDescent="0.25">
      <c r="A8" t="s">
        <v>1065</v>
      </c>
      <c r="B8">
        <v>0</v>
      </c>
      <c r="C8">
        <v>0</v>
      </c>
      <c r="D8">
        <v>0</v>
      </c>
      <c r="E8">
        <v>0</v>
      </c>
      <c r="F8">
        <v>0</v>
      </c>
      <c r="G8">
        <v>0</v>
      </c>
    </row>
    <row r="9" spans="1:7" x14ac:dyDescent="0.25">
      <c r="A9" t="s">
        <v>1066</v>
      </c>
      <c r="B9">
        <v>0</v>
      </c>
      <c r="C9">
        <v>0</v>
      </c>
      <c r="D9">
        <v>0</v>
      </c>
      <c r="E9">
        <v>0</v>
      </c>
      <c r="F9">
        <v>0</v>
      </c>
      <c r="G9">
        <v>0</v>
      </c>
    </row>
    <row r="10" spans="1:7" x14ac:dyDescent="0.25">
      <c r="A10" t="s">
        <v>1057</v>
      </c>
      <c r="B10">
        <v>0</v>
      </c>
      <c r="C10">
        <v>0</v>
      </c>
      <c r="D10">
        <v>0</v>
      </c>
      <c r="E10">
        <v>0</v>
      </c>
      <c r="F10">
        <v>0</v>
      </c>
      <c r="G10">
        <v>0</v>
      </c>
    </row>
    <row r="11" spans="1:7" x14ac:dyDescent="0.25">
      <c r="A11" t="s">
        <v>1067</v>
      </c>
      <c r="B11">
        <v>0</v>
      </c>
      <c r="C11">
        <v>0</v>
      </c>
      <c r="D11">
        <v>0</v>
      </c>
      <c r="E11">
        <v>0</v>
      </c>
      <c r="F11">
        <v>0</v>
      </c>
      <c r="G1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7</vt:i4>
      </vt:variant>
    </vt:vector>
  </HeadingPairs>
  <TitlesOfParts>
    <vt:vector size="41" baseType="lpstr">
      <vt:lpstr>About</vt:lpstr>
      <vt:lpstr>Source Data&gt;</vt:lpstr>
      <vt:lpstr>RECS HC2.1</vt:lpstr>
      <vt:lpstr>Table_4._Residential_Sector_Key</vt:lpstr>
      <vt:lpstr>AEO 2025 Table 5</vt:lpstr>
      <vt:lpstr>AEO 2023 Table 5</vt:lpstr>
      <vt:lpstr>AEO Data Center Load</vt:lpstr>
      <vt:lpstr>EPRI</vt:lpstr>
      <vt:lpstr>AEO 2026 Table 5</vt:lpstr>
      <vt:lpstr>AEO 2026 Table 4</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Data Centers</vt:lpstr>
      <vt:lpstr>SYCEU-urban-residential</vt:lpstr>
      <vt:lpstr>SYCEU-rural-residential</vt:lpstr>
      <vt:lpstr>SYCEU-commercial</vt:lpstr>
      <vt:lpstr>SYCEU-data-centers</vt:lpstr>
      <vt:lpstr>'SYCEU-commercial'!Fraction_coal</vt:lpstr>
      <vt:lpstr>'SYCEU-rural-residential'!Fraction_coal</vt:lpstr>
      <vt:lpstr>'SYCEU-urban-residential'!Fraction_coal</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2014-04-18T00:48:59Z</dcterms:created>
  <dcterms:modified xsi:type="dcterms:W3CDTF">2026-10-23T18:37:46Z</dcterms:modified>
</cp:coreProperties>
</file>