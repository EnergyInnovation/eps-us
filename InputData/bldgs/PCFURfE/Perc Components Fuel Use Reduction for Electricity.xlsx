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eps-us\InputData\bldgs\PCFURfE\"/>
    </mc:Choice>
  </mc:AlternateContent>
  <xr:revisionPtr revIDLastSave="0" documentId="13_ncr:1_{9046A29B-09CC-4779-9BD6-826AC8D7A4D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bout" sheetId="1" r:id="rId1"/>
    <sheet name="AEO 2026 Table 4" sheetId="6" r:id="rId2"/>
    <sheet name="AEO 2026 Table 5" sheetId="7" r:id="rId3"/>
    <sheet name="Calculations" sheetId="4" r:id="rId4"/>
    <sheet name="PCFURf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D23" i="4"/>
  <c r="F23" i="4" s="1"/>
  <c r="D22" i="4"/>
  <c r="F22" i="4" s="1"/>
  <c r="F21" i="4"/>
  <c r="F20" i="4"/>
  <c r="F19" i="4"/>
  <c r="F18" i="4"/>
  <c r="F17" i="4"/>
  <c r="F16" i="4"/>
  <c r="F15" i="4"/>
  <c r="F14" i="4"/>
  <c r="B6" i="4" s="1"/>
  <c r="B6" i="5" s="1"/>
  <c r="F13" i="4"/>
  <c r="F12" i="4"/>
  <c r="B5" i="5"/>
  <c r="B4" i="5"/>
  <c r="B3" i="5"/>
  <c r="B7" i="4" l="1"/>
  <c r="B7" i="5" s="1"/>
  <c r="B2" i="5"/>
</calcChain>
</file>

<file path=xl/sharedStrings.xml><?xml version="1.0" encoding="utf-8"?>
<sst xmlns="http://schemas.openxmlformats.org/spreadsheetml/2006/main" count="600" uniqueCount="439">
  <si>
    <t>Perc Fuel Use Reduction (dimensionless)</t>
  </si>
  <si>
    <t>heating</t>
  </si>
  <si>
    <t>cooling and ventilation</t>
  </si>
  <si>
    <t>envelope</t>
  </si>
  <si>
    <t>lighting</t>
  </si>
  <si>
    <t>appliances</t>
  </si>
  <si>
    <t>other</t>
  </si>
  <si>
    <t>PCFURfE Percentage Components Fuel Use Reduction for Electricity</t>
  </si>
  <si>
    <t>Source:</t>
  </si>
  <si>
    <t>All efficiencies</t>
  </si>
  <si>
    <t>U.S. EIA</t>
  </si>
  <si>
    <t>Updated Buildings Sector Appliance and Equipment Costs and Efficiencies</t>
  </si>
  <si>
    <t>https://www.eia.gov/analysis/studies/buildings/equipcosts/pdf/full.pdf</t>
  </si>
  <si>
    <t>U.S. Energy Information Administration</t>
  </si>
  <si>
    <t>https://www.eia.gov/outlooks/aeo/tables_side_xls.php</t>
  </si>
  <si>
    <t>Notes:</t>
  </si>
  <si>
    <t>For building comonents that can use either electricity or other fuels (such as "heating"),</t>
  </si>
  <si>
    <t>this variable specifies the percentage reduction in fuel use (on a BTU basis) for</t>
  </si>
  <si>
    <t>electric components relative to natural gas-burning components due to the fact that</t>
  </si>
  <si>
    <t>electricity can be coverted into work more efficiently than other fuel types.</t>
  </si>
  <si>
    <t>It assumes that policy-driven electrification relies on heat pumps.</t>
  </si>
  <si>
    <t>The main type of gas-using appliance is an oven or range.</t>
  </si>
  <si>
    <t>Energy Star doesn't rate ovens or ranges intended for residential use, so we use</t>
  </si>
  <si>
    <t>commercial ovens, which are the closest proxy.</t>
  </si>
  <si>
    <t>We compare non-ENERGY STAR gas to non-ENERGY STAR electric ovens, rather</t>
  </si>
  <si>
    <t>than comparing the ENERGY STAR versions, because we are using this to</t>
  </si>
  <si>
    <t>represent residential ovens as well, and since residential ovens are not</t>
  </si>
  <si>
    <t>covered under the ENERGY STAR program, and are less frequently used,</t>
  </si>
  <si>
    <t>there is less incentive to make them very efficient.  They are more likely to</t>
  </si>
  <si>
    <t>be similar to the non-ENERGY STAR commercial models.</t>
  </si>
  <si>
    <t>Key Indicators</t>
  </si>
  <si>
    <t>Energy Consumption by Fuel</t>
  </si>
  <si>
    <t>Electricity</t>
  </si>
  <si>
    <t>Natural Gas</t>
  </si>
  <si>
    <t>Heating Degree Days</t>
  </si>
  <si>
    <t>Cooling Degree Days</t>
  </si>
  <si>
    <t>Nonmarketed Renewable Fuels</t>
  </si>
  <si>
    <t>Building Component</t>
  </si>
  <si>
    <t>Perc Change in Fuel Use</t>
  </si>
  <si>
    <t>Note</t>
  </si>
  <si>
    <t>Assumes switch to air source heat pumps. Weighted average based on heating demand in residential and commercial buildings</t>
  </si>
  <si>
    <t>Only uses electricity</t>
  </si>
  <si>
    <t>Heat loss rate through the envelope is unaffected by the fuel used to generate the heat.</t>
  </si>
  <si>
    <t>Weighted average in residential and commercial buildings evaluating water heating and clothes drying in residential and water heating and cooking in commercial</t>
  </si>
  <si>
    <t>Assumed to be like heating since this often includes thing like spa and pool heaters.</t>
  </si>
  <si>
    <t>Building/End Use</t>
  </si>
  <si>
    <t>Equipment</t>
  </si>
  <si>
    <t>Fuel</t>
  </si>
  <si>
    <t>Efficiency Rating (2030 Values)</t>
  </si>
  <si>
    <t>Efficiency Unit</t>
  </si>
  <si>
    <t>Energy Efficiency Value (BTU in/BTU out)</t>
  </si>
  <si>
    <t>Residential Heating</t>
  </si>
  <si>
    <t>Air Source Heat Pump</t>
  </si>
  <si>
    <t>HSPF</t>
  </si>
  <si>
    <t>Gas-Fired Furnace</t>
  </si>
  <si>
    <t>AFUE</t>
  </si>
  <si>
    <t>Residential Appliances</t>
  </si>
  <si>
    <t>Gas-Fired Storage Water Heater</t>
  </si>
  <si>
    <t>Uniform Energy Factor</t>
  </si>
  <si>
    <t>Heat Pump Water Heaters</t>
  </si>
  <si>
    <t>Gas Clothes Dryers</t>
  </si>
  <si>
    <t>lb/kWh</t>
  </si>
  <si>
    <t>Electric Clothes Dryers</t>
  </si>
  <si>
    <t>Commercial Heating</t>
  </si>
  <si>
    <t>Thermal Efficiency</t>
  </si>
  <si>
    <t>Rooftop Heat Pumps</t>
  </si>
  <si>
    <t>COP</t>
  </si>
  <si>
    <t>Commercial Appliances</t>
  </si>
  <si>
    <t>Natural Gas Range with Griddl and Oven</t>
  </si>
  <si>
    <t>Cooking Energy Efficiency</t>
  </si>
  <si>
    <t>Electric Gas Range with Griddle and Oven</t>
  </si>
  <si>
    <t>btu/kWh</t>
  </si>
  <si>
    <t>electrnp.d021826a</t>
  </si>
  <si>
    <t>Report</t>
  </si>
  <si>
    <t>Annual Energy Outlook 2026</t>
  </si>
  <si>
    <t>Scenario</t>
  </si>
  <si>
    <t>electrnp</t>
  </si>
  <si>
    <t>Alternative Electricity and Transportation</t>
  </si>
  <si>
    <t>Datekey</t>
  </si>
  <si>
    <t>d021826a</t>
  </si>
  <si>
    <t>Release Date</t>
  </si>
  <si>
    <t>April 2026</t>
  </si>
  <si>
    <t>4. Residential Sector Key Indicators and Consumption</t>
  </si>
  <si>
    <t>(quadrillion Btu, unless otherwise noted)</t>
  </si>
  <si>
    <t>Avg Annual Change</t>
  </si>
  <si>
    <t xml:space="preserve"> Key Indicators and Consumption</t>
  </si>
  <si>
    <t>2025-2050</t>
  </si>
  <si>
    <t xml:space="preserve"> Households (millions)</t>
  </si>
  <si>
    <t>RKI000:ba_Single-Family</t>
  </si>
  <si>
    <t xml:space="preserve">   Single-Family</t>
  </si>
  <si>
    <t>RKI000:ba_Multifamily</t>
  </si>
  <si>
    <t xml:space="preserve">   Multifamily</t>
  </si>
  <si>
    <t>RKI000:ba_MobileHomes</t>
  </si>
  <si>
    <t xml:space="preserve">   Mobile Homes</t>
  </si>
  <si>
    <t>RKI000:ba_Total</t>
  </si>
  <si>
    <t xml:space="preserve">     Total</t>
  </si>
  <si>
    <t>RKI000:ca_AverageHouseS</t>
  </si>
  <si>
    <t xml:space="preserve"> Average House Square Footage</t>
  </si>
  <si>
    <t xml:space="preserve"> Energy Intensity</t>
  </si>
  <si>
    <t xml:space="preserve"> (MMBtu per household)</t>
  </si>
  <si>
    <t>RKI000:da_DeliveredEner</t>
  </si>
  <si>
    <t xml:space="preserve">   Gross End-use Consumption 1/</t>
  </si>
  <si>
    <t>RKI000:da_TotalEnergyCo</t>
  </si>
  <si>
    <t xml:space="preserve">   Delivered Energy Consumption</t>
  </si>
  <si>
    <t xml:space="preserve"> (thousand Btu per square foot)</t>
  </si>
  <si>
    <t>RKI000:ea_DeliveredEner</t>
  </si>
  <si>
    <t>RKI000:ea_TotalEnergyCo</t>
  </si>
  <si>
    <t xml:space="preserve"> Electricity 1/</t>
  </si>
  <si>
    <t>RKI000:fa_SpaceHeating</t>
  </si>
  <si>
    <t xml:space="preserve">   Space Heating</t>
  </si>
  <si>
    <t>RKI000:fa_SpaceCooling</t>
  </si>
  <si>
    <t xml:space="preserve">   Space Cooling</t>
  </si>
  <si>
    <t>RKI000:fa_WaterHeating</t>
  </si>
  <si>
    <t xml:space="preserve">   Water Heating</t>
  </si>
  <si>
    <t>RKI000:fa_Refrigeration</t>
  </si>
  <si>
    <t xml:space="preserve">   Refrigeration</t>
  </si>
  <si>
    <t>RKI000:fa_Cooking</t>
  </si>
  <si>
    <t xml:space="preserve">   Cooking</t>
  </si>
  <si>
    <t>RKI000:fa_ClothesDryers</t>
  </si>
  <si>
    <t xml:space="preserve">   Clothes Dryers</t>
  </si>
  <si>
    <t>RKI000:fa_Freezers</t>
  </si>
  <si>
    <t xml:space="preserve">   Freezers</t>
  </si>
  <si>
    <t>RKI000:fa_Lighting</t>
  </si>
  <si>
    <t xml:space="preserve">   Lighting 2/</t>
  </si>
  <si>
    <t>RKI000:fa_ClothesWasher</t>
  </si>
  <si>
    <t xml:space="preserve">   Clothes Washers 3/</t>
  </si>
  <si>
    <t>RKI000:fa_Dishwashers</t>
  </si>
  <si>
    <t xml:space="preserve">   Dishwashers 3/</t>
  </si>
  <si>
    <t>RKI000:fa_ColorTelevisi</t>
  </si>
  <si>
    <t xml:space="preserve">   Televisions and Related Equipment 4/</t>
  </si>
  <si>
    <t>RKI000:fa_PersonalCompu</t>
  </si>
  <si>
    <t xml:space="preserve">   Computers and Related Equipment 5/</t>
  </si>
  <si>
    <t>RKI000:fa_FurnaceFans</t>
  </si>
  <si>
    <t xml:space="preserve">   Furnace Fans and Boiler Circulation Pumps</t>
  </si>
  <si>
    <t>RKI000:fa_OtherUses</t>
  </si>
  <si>
    <t xml:space="preserve">   Other Uses 6/</t>
  </si>
  <si>
    <t>RKI000:fa_DeliveredEner</t>
  </si>
  <si>
    <t xml:space="preserve">     Gross End-use Electricity Consumption</t>
  </si>
  <si>
    <t>RKI000:fa_PurchElecEVCha</t>
  </si>
  <si>
    <t xml:space="preserve">   Purchased Electricity for Electric Vehicle Charging 7/</t>
  </si>
  <si>
    <t>RKI000:fa_OwnGeneration</t>
  </si>
  <si>
    <t xml:space="preserve">   On-site Generation for Own Use</t>
  </si>
  <si>
    <t>RKI000:fa_PurchasedElec</t>
  </si>
  <si>
    <t xml:space="preserve">     Purchased Electricity at Residential Location 8/</t>
  </si>
  <si>
    <t xml:space="preserve"> Natural Gas</t>
  </si>
  <si>
    <t>RKI000:ga_SpaceHeating</t>
  </si>
  <si>
    <t>RKI000:ga_SpaceCooling</t>
  </si>
  <si>
    <t>RKI000:ga_WaterHeating</t>
  </si>
  <si>
    <t>RKI000:ga_Cooking</t>
  </si>
  <si>
    <t>RKI000:ga_ClothesDryers</t>
  </si>
  <si>
    <t>RKI000:ga_OtherNatGas</t>
  </si>
  <si>
    <t xml:space="preserve">   Other Uses 9/</t>
  </si>
  <si>
    <t>RKI000:ga_DeliveredEner</t>
  </si>
  <si>
    <t xml:space="preserve">     Delivered Energy</t>
  </si>
  <si>
    <t xml:space="preserve"> Distillate Fuel Oil 10/</t>
  </si>
  <si>
    <t>RKI000:ha_SpaceHeating</t>
  </si>
  <si>
    <t>RKI000:ha_WaterHeating</t>
  </si>
  <si>
    <t>RKI000:Other_ha_ha</t>
  </si>
  <si>
    <t xml:space="preserve">   Other Uses 11/</t>
  </si>
  <si>
    <t>RKI000:ha_DeliveredEner</t>
  </si>
  <si>
    <t xml:space="preserve"> Propane</t>
  </si>
  <si>
    <t>RKI000:ia_SpaceHeating</t>
  </si>
  <si>
    <t>RKI000:ia_WaterHeating</t>
  </si>
  <si>
    <t>RKI000:ia_Cooking</t>
  </si>
  <si>
    <t>RKI000:ia_OtherUses</t>
  </si>
  <si>
    <t xml:space="preserve">   Other Uses 12/</t>
  </si>
  <si>
    <t>RKI000:ia_DeliveredEner</t>
  </si>
  <si>
    <t>RKI000:ja_MarketedRenew</t>
  </si>
  <si>
    <t xml:space="preserve"> Marketed Renewables (wood) 13/</t>
  </si>
  <si>
    <t>Energy Consumption by End Use 1/</t>
  </si>
  <si>
    <t>RKI000:ka_SpaceHeating</t>
  </si>
  <si>
    <t xml:space="preserve"> Space Heating</t>
  </si>
  <si>
    <t>RKI000:ka_SpaceCooling</t>
  </si>
  <si>
    <t xml:space="preserve"> Space Cooling</t>
  </si>
  <si>
    <t>RKI000:ka_WaterHeating</t>
  </si>
  <si>
    <t xml:space="preserve"> Water Heating</t>
  </si>
  <si>
    <t>RKI000:ka_Refrigeration</t>
  </si>
  <si>
    <t xml:space="preserve"> Refrigeration</t>
  </si>
  <si>
    <t>RKI000:ka_Cooking</t>
  </si>
  <si>
    <t xml:space="preserve"> Cooking</t>
  </si>
  <si>
    <t>RKI000:ka_ClothesDryers</t>
  </si>
  <si>
    <t xml:space="preserve"> Clothes Dryers</t>
  </si>
  <si>
    <t>RKI000:ka_Freezers</t>
  </si>
  <si>
    <t xml:space="preserve"> Freezers</t>
  </si>
  <si>
    <t>RKI000:ka_Lighting</t>
  </si>
  <si>
    <t xml:space="preserve"> Lighting 2/</t>
  </si>
  <si>
    <t>RKI000:ka_ClothesWasher</t>
  </si>
  <si>
    <t xml:space="preserve"> Clothes Washers 3/</t>
  </si>
  <si>
    <t>RKI000:ka_Dishwashers</t>
  </si>
  <si>
    <t xml:space="preserve"> Dishwashers 3/</t>
  </si>
  <si>
    <t>RKI000:ka_ColorTelevisi</t>
  </si>
  <si>
    <t xml:space="preserve"> Televisions and Related Equipment 4/</t>
  </si>
  <si>
    <t>RKI000:ka_PersonalCompu</t>
  </si>
  <si>
    <t xml:space="preserve"> Computers and Related Equipment 5/</t>
  </si>
  <si>
    <t>RKI000:ka_FurnaceFans</t>
  </si>
  <si>
    <t xml:space="preserve"> Furnace Fans and Boiler Circulation Pumps</t>
  </si>
  <si>
    <t>RKI000:ka_OtherUses</t>
  </si>
  <si>
    <t xml:space="preserve"> Other Uses 14/</t>
  </si>
  <si>
    <t>RKI000:ka_GrsEndUseCons</t>
  </si>
  <si>
    <t xml:space="preserve">    Gross End-use Electricity Consumption</t>
  </si>
  <si>
    <t>RKI000:ka_PurElecEVCha</t>
  </si>
  <si>
    <t xml:space="preserve"> Purchased Electricity for Electric Vehicle Charging 7/</t>
  </si>
  <si>
    <t>RKI000:ka_OwnGeneration</t>
  </si>
  <si>
    <t xml:space="preserve"> On-site Generation for Own Use</t>
  </si>
  <si>
    <t>RKI000:ka_DeliveredEner</t>
  </si>
  <si>
    <t xml:space="preserve">    Delivered Energy 8/</t>
  </si>
  <si>
    <t>RKI000:la_ElectricityRe</t>
  </si>
  <si>
    <t>Electricity Related Losses 15/</t>
  </si>
  <si>
    <t>Total Energy Consumption by End Use 1/</t>
  </si>
  <si>
    <t>RKI000:ma_SpaceHeating</t>
  </si>
  <si>
    <t>RKI000:ma_SpaceCooling</t>
  </si>
  <si>
    <t>RKI000:ma_WaterHeating</t>
  </si>
  <si>
    <t>RKI000:ma_Refrigeration</t>
  </si>
  <si>
    <t>RKI000:ma_Cooking</t>
  </si>
  <si>
    <t>RKI000:ma_ClothesDryers</t>
  </si>
  <si>
    <t>RKI000:ma_Freezers</t>
  </si>
  <si>
    <t>RKI000:ma_Lighting</t>
  </si>
  <si>
    <t>RKI000:ma_ClothesWasher</t>
  </si>
  <si>
    <t>RKI000:ma_Dishwashers</t>
  </si>
  <si>
    <t>RKI000:ma_ColorTelevisi</t>
  </si>
  <si>
    <t>RKI000:ma_PersonalCompu</t>
  </si>
  <si>
    <t>RKI000:ma_FurnaceFans</t>
  </si>
  <si>
    <t>RKI000:ma_OtherUses</t>
  </si>
  <si>
    <t>RKI000:ma_Total</t>
  </si>
  <si>
    <t xml:space="preserve">   Total Gross End-use Consumption</t>
  </si>
  <si>
    <t>RKI000:ma_PurElecEVCha</t>
  </si>
  <si>
    <t>RKI000:ma_OwnGeneration</t>
  </si>
  <si>
    <t>RKI000:ma_TtllOwnUseGen</t>
  </si>
  <si>
    <t>Total Energy 8/</t>
  </si>
  <si>
    <t xml:space="preserve">Nonmarketed Renewables </t>
  </si>
  <si>
    <t>RKI000:na_SolarHotWater</t>
  </si>
  <si>
    <t xml:space="preserve">  Solar Hot Water Heating</t>
  </si>
  <si>
    <t>RKI000:na_SolarPhotovol</t>
  </si>
  <si>
    <t xml:space="preserve">  Solar Photovoltaic 16/</t>
  </si>
  <si>
    <t>RKI000:na_WindHuffPuff</t>
  </si>
  <si>
    <t xml:space="preserve">  Wind 16/</t>
  </si>
  <si>
    <t>RKI000:na_Total</t>
  </si>
  <si>
    <t xml:space="preserve">    Total</t>
  </si>
  <si>
    <t>RKI000:hdd_NewEngland</t>
  </si>
  <si>
    <t xml:space="preserve">   New England</t>
  </si>
  <si>
    <t>RKI000:hdd_MiddleAtlant</t>
  </si>
  <si>
    <t xml:space="preserve">   Middle Atlantic</t>
  </si>
  <si>
    <t>RKI000:hdd_EastNorthCen</t>
  </si>
  <si>
    <t xml:space="preserve">   East North Central</t>
  </si>
  <si>
    <t>RKI000:hdd_WestNorthCen</t>
  </si>
  <si>
    <t xml:space="preserve">   West North Central</t>
  </si>
  <si>
    <t>RKI000:hdd_SouthAtlantc</t>
  </si>
  <si>
    <t xml:space="preserve">   South Atlantic</t>
  </si>
  <si>
    <t>RKI000:hdd_EastSouthCen</t>
  </si>
  <si>
    <t xml:space="preserve">   East South Central</t>
  </si>
  <si>
    <t>RKI000:hdd_WestSouthCen</t>
  </si>
  <si>
    <t xml:space="preserve">   West South Central</t>
  </si>
  <si>
    <t>RKI000:hdd_Mountain</t>
  </si>
  <si>
    <t xml:space="preserve">   Mountain</t>
  </si>
  <si>
    <t>RKI000:hdd_Pacific</t>
  </si>
  <si>
    <t xml:space="preserve">   Pacific</t>
  </si>
  <si>
    <t>RKI000:hdd_UnitedStates</t>
  </si>
  <si>
    <t xml:space="preserve">      United States</t>
  </si>
  <si>
    <t>RKI000:cdd_NewEngland</t>
  </si>
  <si>
    <t>RKI000:cdd_MiddleAtlant</t>
  </si>
  <si>
    <t>RKI000:cdd_EastNorthCen</t>
  </si>
  <si>
    <t>RKI000:cdd_WestNorthCen</t>
  </si>
  <si>
    <t>RKI000:cdd_SouthAtlantc</t>
  </si>
  <si>
    <t>RKI000:cdd_EastSouthCen</t>
  </si>
  <si>
    <t>RKI000:cdd_WestSouthCen</t>
  </si>
  <si>
    <t>RKI000:cdd_Mountain</t>
  </si>
  <si>
    <t>RKI000:cdd_Pacific</t>
  </si>
  <si>
    <t>RKI000:cdd_UnitedStates</t>
  </si>
  <si>
    <t>Data source: U.S. Energy Information Administration (EIA), Short-Term Energy Outlook, November 2025, and EIA, Annual Energy Outlook 2026 (AEO2026)</t>
  </si>
  <si>
    <t>National Energy Modeling System (NEMS) run electrnp.d021826a. Projections: EIA, AEO2026 NEMS run electrnp.d021826a.</t>
  </si>
  <si>
    <t xml:space="preserve">Note: Totals may not equal sum of components due to independent rounding. </t>
  </si>
  <si>
    <t xml:space="preserve">1/ Unless otherwise specified, energy consumption by end use includes all electricity consumed for that end use, </t>
  </si>
  <si>
    <t>including purchased electricity and on-site generation for own use.</t>
  </si>
  <si>
    <t>2/ Does not include Wi-Fi energy consumption associated with smart lighting.</t>
  </si>
  <si>
    <t>3/ Does not include water heating portion of load.</t>
  </si>
  <si>
    <t>4/ Includes televisions, set-top boxes, home theater systems, over-the-top streaming devices, and video game consoles.</t>
  </si>
  <si>
    <t>5/ Includes desktop and laptop computers, monitors, and networking equipment.</t>
  </si>
  <si>
    <t xml:space="preserve">6/ Includes (but is not limited to) dehumidifiers, ceiling fans, non-PC rechargeables, smart speakers, smartphones, tablets, microwaves, </t>
  </si>
  <si>
    <t xml:space="preserve">coffee makers, miscellaneous refrigeration products, other small kitchen appliances, pool heaters, pool pumps, portable electric spas, and </t>
  </si>
  <si>
    <t>security systems, as well as electric and electronic devices, heating elements, and motors not listed above.</t>
  </si>
  <si>
    <t>7/ Electricity consumption when a vehicle is plugged in and charging at a residential location.</t>
  </si>
  <si>
    <t>8/ Equal to gross end-use consumption plus purchased electricity for electric vehicle charging less on-site generation for own use.</t>
  </si>
  <si>
    <t>9/ Includes such appliances as outdoor grills, natural gas-fueled lights, pool heaters, spa heaters, and backup electricity generators.</t>
  </si>
  <si>
    <t>10/ Includes kerosene use.</t>
  </si>
  <si>
    <t>11/ Includes such appliances as pool heaters, spa heaters, and backup electricity generators.</t>
  </si>
  <si>
    <t>12/ Includes such appliances as outdoor grills, propane-fueled lights, pool heaters, spa heaters, and backup electricity generators.</t>
  </si>
  <si>
    <t>13/ Includes wood used for primary and secondary heating in wood stoves or fireplaces as reported in the Residential Energy Consumption</t>
  </si>
  <si>
    <t>Survey.</t>
  </si>
  <si>
    <t>14/ Includes (but is not limited to) dehumidifiers, ceiling fans, non-PC rechargeables, smart speakers, smartphones, tables, microwaves,</t>
  </si>
  <si>
    <t>coffee makers, miscellaneous refrigeration products, other small kitchen appliances, pool heaters, pool pumps, portable electric spas,</t>
  </si>
  <si>
    <t>outdoor grills, natural gas- and propane-fueled lights, security systems, and backup electricity generators, as well as electric and</t>
  </si>
  <si>
    <t>electronic devices, heating elements, and motors not listed above.</t>
  </si>
  <si>
    <t>15/ Includes electricity losses for all electricity consumption at the residential location, including electric vehicle charging.</t>
  </si>
  <si>
    <t>16/ Consumption for solar photovoltaic and wind reflects the generation converted to Btu by multiplying by the heat content of electricity (3,412 Btu/kWh).</t>
  </si>
  <si>
    <t>Btu = British thermal unit</t>
  </si>
  <si>
    <t>kWH = kilowatthour</t>
  </si>
  <si>
    <t>-- = Not applicable</t>
  </si>
  <si>
    <t>5. Commercial Sector Key Indicators and Consumption</t>
  </si>
  <si>
    <t xml:space="preserve"> Total Floorspace (billion square feet) 1/</t>
  </si>
  <si>
    <t>CKI000:da_Surviving</t>
  </si>
  <si>
    <t xml:space="preserve">   Surviving</t>
  </si>
  <si>
    <t>CKI000:da_NewAdditions</t>
  </si>
  <si>
    <t xml:space="preserve">   New Additions</t>
  </si>
  <si>
    <t>CKI000:da_Total</t>
  </si>
  <si>
    <t xml:space="preserve"> Energy Consumption Intensity</t>
  </si>
  <si>
    <t>CKI000:ea_DeliveredEner</t>
  </si>
  <si>
    <t xml:space="preserve">   Gross End-use Consumption  2/</t>
  </si>
  <si>
    <t>CKI000:ea_ElectricityRe</t>
  </si>
  <si>
    <t xml:space="preserve"> Electricity  2/</t>
  </si>
  <si>
    <t>CKI000:ga_SpaceHeating</t>
  </si>
  <si>
    <t xml:space="preserve">   Space Heating 3/</t>
  </si>
  <si>
    <t>CKI000:ga_SpaceCooling</t>
  </si>
  <si>
    <t xml:space="preserve">   Space Cooling 3/ 4/</t>
  </si>
  <si>
    <t>CKI000:ga_WaterHeating</t>
  </si>
  <si>
    <t xml:space="preserve">   Water Heating 3/</t>
  </si>
  <si>
    <t>CKI000:ga_Ventilation</t>
  </si>
  <si>
    <t xml:space="preserve">   Ventilation 4/</t>
  </si>
  <si>
    <t>CKI000:ga_Cooking</t>
  </si>
  <si>
    <t>CKI000:ga_Lighting</t>
  </si>
  <si>
    <t xml:space="preserve">   Lighting</t>
  </si>
  <si>
    <t>CKI000:ga_Refrigeration</t>
  </si>
  <si>
    <t>CKI000:ga_DataCtrServ</t>
  </si>
  <si>
    <t xml:space="preserve">   Data Center Servers 4/</t>
  </si>
  <si>
    <t>CKI000:ha_CompOfficeEquipme</t>
  </si>
  <si>
    <t xml:space="preserve">   Computers and office equipment 5/</t>
  </si>
  <si>
    <t>CKI000:ha_OtherUses</t>
  </si>
  <si>
    <t xml:space="preserve">   Other Uses 4/ 6/</t>
  </si>
  <si>
    <t>CKI000:ha_ElecSubtotal</t>
  </si>
  <si>
    <t>CKI000:ha_PurchElecEVCha</t>
  </si>
  <si>
    <t>CKI000:ha_OwnGeneration</t>
  </si>
  <si>
    <t>CKI000:ha_PurchasedElec</t>
  </si>
  <si>
    <t xml:space="preserve">     Purchased Electricity at Commercial Location 8/</t>
  </si>
  <si>
    <t>CKI000:ia_SpaceHeating</t>
  </si>
  <si>
    <t>CKI000:ia_SpaceCooling</t>
  </si>
  <si>
    <t xml:space="preserve">   Space Cooling 3/</t>
  </si>
  <si>
    <t>CKI000:ia_WaterHeating</t>
  </si>
  <si>
    <t>CKI000:ia_Cooking</t>
  </si>
  <si>
    <t>CKI000:ia_OtherUses</t>
  </si>
  <si>
    <t>CKI000:ia_DeliveredEner</t>
  </si>
  <si>
    <t xml:space="preserve"> Distillate Fuel Oil</t>
  </si>
  <si>
    <t>CKI000:ja_SpaceHeating</t>
  </si>
  <si>
    <t>CKI000:ja_WaterHeating</t>
  </si>
  <si>
    <t>CKI000:ja_OtherUses</t>
  </si>
  <si>
    <t xml:space="preserve">   Other Uses 10/</t>
  </si>
  <si>
    <t>CKI000:ja_DeliveredEner</t>
  </si>
  <si>
    <t>CKI000:ka_MarketedRenew</t>
  </si>
  <si>
    <t xml:space="preserve"> Marketed Renewables (biomass)</t>
  </si>
  <si>
    <t>CKI000:ka_OtherFuels</t>
  </si>
  <si>
    <t xml:space="preserve"> Other Fuels 11/</t>
  </si>
  <si>
    <t>Energy Consumption by End Use 2/</t>
  </si>
  <si>
    <t>CKI000:la_SpaceHeating</t>
  </si>
  <si>
    <t>CKI000:la_SpaceCooling</t>
  </si>
  <si>
    <t>CKI000:la_WaterHeating</t>
  </si>
  <si>
    <t>CKI000:la_Ventilation</t>
  </si>
  <si>
    <t>CKI000:la_Cooking</t>
  </si>
  <si>
    <t>CKI000:la_Lighting</t>
  </si>
  <si>
    <t>CKI000:la_Refrigeration</t>
  </si>
  <si>
    <t>CKI000:la_DataCtrServ</t>
  </si>
  <si>
    <t>CKI000:ma_CompOfficeEquipme</t>
  </si>
  <si>
    <t>CKI000:ma_OtherUses</t>
  </si>
  <si>
    <t xml:space="preserve">   Other Uses 4/ 11/ 12/</t>
  </si>
  <si>
    <t>CKI000:ma_GrsEndUseCons</t>
  </si>
  <si>
    <t xml:space="preserve">     Gross End-use Consumption</t>
  </si>
  <si>
    <t>CKI000:ma_PurchElecEVCha</t>
  </si>
  <si>
    <t>CKI000:ma_OwnGeneration</t>
  </si>
  <si>
    <t>CKI000:ma_DeliveredEner</t>
  </si>
  <si>
    <t xml:space="preserve">     Delivered Energy 8/</t>
  </si>
  <si>
    <t>CKI000:na_ElectricityRe</t>
  </si>
  <si>
    <t>Electricity Related Losses 13/</t>
  </si>
  <si>
    <t>Total Energy Consumption by End Use 2/</t>
  </si>
  <si>
    <t>CKI000:oa_SpaceHeating</t>
  </si>
  <si>
    <t>CKI000:oa_SpaceCooling</t>
  </si>
  <si>
    <t>CKI000:oa_WaterHeating</t>
  </si>
  <si>
    <t>CKI000:oa_Ventilation</t>
  </si>
  <si>
    <t>CKI000:oa_Cooking</t>
  </si>
  <si>
    <t>CKI000:oa_Lighting</t>
  </si>
  <si>
    <t>CKI000:oa_Refrigeration</t>
  </si>
  <si>
    <t>CKI000:oa_DataCtrServ</t>
  </si>
  <si>
    <t>CKI000:pa_CompOfficeEquipme</t>
  </si>
  <si>
    <t>CKI000:pa_OtherUses</t>
  </si>
  <si>
    <t>CKI000:pa_Total</t>
  </si>
  <si>
    <t xml:space="preserve">     Total Gross End-use Consumption</t>
  </si>
  <si>
    <t>CKI000:pa_PurchElecEVCha</t>
  </si>
  <si>
    <t>CKI000:pa_OwnGeneration</t>
  </si>
  <si>
    <t>CKI000:pa_TtllOwnUseGen</t>
  </si>
  <si>
    <t>CKI000:qa_SolarThermal</t>
  </si>
  <si>
    <t xml:space="preserve">  Solar Thermal</t>
  </si>
  <si>
    <t>CKI000:qa_SolarPhotovol</t>
  </si>
  <si>
    <t xml:space="preserve">  Solar Photovoltaic 14/</t>
  </si>
  <si>
    <t>CKI000:qa_EKnowitzWindy</t>
  </si>
  <si>
    <t xml:space="preserve">  Wind 14/</t>
  </si>
  <si>
    <t>CKI000:qa_TotalSolar</t>
  </si>
  <si>
    <t>CKI000:hdd_NewEngland</t>
  </si>
  <si>
    <t>CKI000:hdd_MiddleAtlant</t>
  </si>
  <si>
    <t>CKI000:hdd_EastNorthCen</t>
  </si>
  <si>
    <t>CKI000:hdd_WestNorthCen</t>
  </si>
  <si>
    <t>CKI000:hdd_SouthAtlantc</t>
  </si>
  <si>
    <t>CKI000:hdd_EastSouthCen</t>
  </si>
  <si>
    <t>CKI000:hdd_WestSouthCen</t>
  </si>
  <si>
    <t>CKI000:hdd_Mountain</t>
  </si>
  <si>
    <t>CKI000:hdd_Pacific</t>
  </si>
  <si>
    <t>CKI000:hdd_UnitedStates</t>
  </si>
  <si>
    <t>CKI000:cdd_NewEngland</t>
  </si>
  <si>
    <t>CKI000:cdd_MiddleAtlant</t>
  </si>
  <si>
    <t>CKI000:cdd_EastNorthCen</t>
  </si>
  <si>
    <t>CKI000:cdd_WestNorthCen</t>
  </si>
  <si>
    <t>CKI000:cdd_SouthAtlantc</t>
  </si>
  <si>
    <t>CKI000:cdd_EastSouthCen</t>
  </si>
  <si>
    <t>CKI000:cdd_WestSouthCen</t>
  </si>
  <si>
    <t>CKI000:cdd_Mountain</t>
  </si>
  <si>
    <t>CKI000:cdd_Pacific</t>
  </si>
  <si>
    <t>CKI000:cdd_UnitedStates</t>
  </si>
  <si>
    <t>1/ Represents all floorspace in the commercial sector, including floorspace operating as on-premise data centers and</t>
  </si>
  <si>
    <t>server rooms within each applicable commercial building type. Standalone data centers are not modeled as a distinct building type in NEMS,</t>
  </si>
  <si>
    <t>but associated floorspace is implicitly represented in the "Other" building type.</t>
  </si>
  <si>
    <t>2/ Unless otherwise specified, energy consumption by end use includes all electricity consumed for that end use,</t>
  </si>
  <si>
    <t>3/ Includes fuel consumption for district services.</t>
  </si>
  <si>
    <t>4/ Includes energy consumed by all commercial buildings, including on-premise data centers and server rooms. Compared with non-data center floorspace,</t>
  </si>
  <si>
    <t>the on-premise data center proportion of floorspace exhibits a higher energy use intensity for space cooling,</t>
  </si>
  <si>
    <t>ventilation (for air exchange), computing, and other uses (miscellaneous electric loads, such as uninterruptible power supplies).</t>
  </si>
  <si>
    <t>5/ Includes energy consumed by desktop computers, monitors, laptops, video displays, copiers, scanners, faxes, printers, and multifunction devices.</t>
  </si>
  <si>
    <t>6/ Includes (but is not limited to) miscellaneous uses such as transformers, medical imaging and other medical equipment, elevators,</t>
  </si>
  <si>
    <t>escalators, off-road electric vehicles, laboratory fume hoods, laundry equipment, and coffee brewers. Also includes non-building uses</t>
  </si>
  <si>
    <t>such as telecommunication equipment, water services, parking garages, street lights, pumps, bridges, and other public services</t>
  </si>
  <si>
    <t>if the establishment operating them is classified as commercial.</t>
  </si>
  <si>
    <t>7/ Electricity consumption when a vehicle is plugged in and charging at a commercial location.</t>
  </si>
  <si>
    <t>9/ Includes miscellaneous uses, such as emergency generators, combined heat and power in commercial buildings, and manufacturing</t>
  </si>
  <si>
    <t>performed in commercial buildings.</t>
  </si>
  <si>
    <t>10/ Includes miscellaneous uses, such as cooking, emergency generators, and combined heat and power in commercial buildings.</t>
  </si>
  <si>
    <t>11/ Includes residual fuel oil, propane, coal, motor gasoline, and kerosene.</t>
  </si>
  <si>
    <t>12/ Includes (but is not limited to) miscellaneous uses such as transformers, medical imaging and other medical equipment, elevators,</t>
  </si>
  <si>
    <t>escalators, off-road electric vehicles, laboratory fume hoods, laundry equipment, coffee brewers, emergency generators, combined heat</t>
  </si>
  <si>
    <t>and power in commercial buildings, manufacturing performed in commercial buildings, and cooking (distillate). Also includes</t>
  </si>
  <si>
    <t>non-building uses such as telecommunication equipment, water services, parking garages, street lights, pumps, bridges, and other</t>
  </si>
  <si>
    <t>public services if the establishment operating them is classified as commercial.</t>
  </si>
  <si>
    <t>13/ Includes electricity losses for all electricity consumption at the commercial location, including electric vehicle charging.</t>
  </si>
  <si>
    <t>14/ Consumption for solar photovoltaic and wind reflects the generation converted to Btu by multiplying by the heat content of electricity (3,412 Btu/kWh).</t>
  </si>
  <si>
    <t>Energy</t>
  </si>
  <si>
    <t>Alternative electricity and transportation: Table 4,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</si>
</sst>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4">
    <xf numFmtId="0" fontId="0" fillId="0" borderId="0"/>
    <xf numFmtId="9" fontId="1" fillId="0" borderId="0"/>
    <xf numFmtId="0" fontId="3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4" fillId="0" borderId="0"/>
    <xf numFmtId="0" fontId="1" fillId="0" borderId="0"/>
    <xf numFmtId="0" fontId="4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8">
    <xf numFmtId="0" fontId="0" fillId="0" borderId="0" xfId="0"/>
    <xf numFmtId="0" fontId="2" fillId="0" borderId="0" xfId="0" applyFont="1"/>
    <xf numFmtId="0" fontId="3" fillId="0" borderId="0" xfId="2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/>
    <xf numFmtId="9" fontId="0" fillId="3" borderId="0" xfId="0" applyNumberFormat="1" applyFill="1" applyAlignment="1">
      <alignment horizontal="left"/>
    </xf>
    <xf numFmtId="9" fontId="0" fillId="4" borderId="0" xfId="1" applyFont="1" applyFill="1" applyAlignment="1">
      <alignment horizontal="left"/>
    </xf>
    <xf numFmtId="0" fontId="0" fillId="3" borderId="0" xfId="0" applyFill="1" applyAlignment="1">
      <alignment horizontal="left"/>
    </xf>
    <xf numFmtId="164" fontId="0" fillId="0" borderId="0" xfId="0" applyNumberForma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horizontal="right" wrapText="1"/>
    </xf>
    <xf numFmtId="10" fontId="0" fillId="0" borderId="0" xfId="0" applyNumberFormat="1"/>
    <xf numFmtId="0" fontId="0" fillId="5" borderId="0" xfId="0" applyFill="1"/>
    <xf numFmtId="10" fontId="0" fillId="5" borderId="0" xfId="0" applyNumberFormat="1" applyFill="1"/>
    <xf numFmtId="0" fontId="0" fillId="6" borderId="0" xfId="0" applyFill="1"/>
    <xf numFmtId="10" fontId="0" fillId="6" borderId="0" xfId="0" applyNumberFormat="1" applyFill="1"/>
  </cellXfs>
  <cellStyles count="34">
    <cellStyle name="Body: normal cell" xfId="13" xr:uid="{00000000-0005-0000-0000-00000D000000}"/>
    <cellStyle name="Body: normal cell 2" xfId="7" xr:uid="{00000000-0005-0000-0000-000007000000}"/>
    <cellStyle name="Body: normal cell 2 2" xfId="25" xr:uid="{00000000-0005-0000-0000-000019000000}"/>
    <cellStyle name="Body: normal cell 3" xfId="18" xr:uid="{00000000-0005-0000-0000-000012000000}"/>
    <cellStyle name="Font: Calibri, 9pt regular" xfId="9" xr:uid="{00000000-0005-0000-0000-000009000000}"/>
    <cellStyle name="Font: Calibri, 9pt regular 2" xfId="3" xr:uid="{00000000-0005-0000-0000-000003000000}"/>
    <cellStyle name="Font: Calibri, 9pt regular 2 2" xfId="26" xr:uid="{00000000-0005-0000-0000-00001A000000}"/>
    <cellStyle name="Font: Calibri, 9pt regular 3" xfId="19" xr:uid="{00000000-0005-0000-0000-000013000000}"/>
    <cellStyle name="Footnotes: top row" xfId="14" xr:uid="{00000000-0005-0000-0000-00000E000000}"/>
    <cellStyle name="Footnotes: top row 2" xfId="8" xr:uid="{00000000-0005-0000-0000-000008000000}"/>
    <cellStyle name="Footnotes: top row 2 2" xfId="27" xr:uid="{00000000-0005-0000-0000-00001B000000}"/>
    <cellStyle name="Footnotes: top row 3" xfId="20" xr:uid="{00000000-0005-0000-0000-000014000000}"/>
    <cellStyle name="Header: bottom row" xfId="10" xr:uid="{00000000-0005-0000-0000-00000A000000}"/>
    <cellStyle name="Header: bottom row 2" xfId="4" xr:uid="{00000000-0005-0000-0000-000004000000}"/>
    <cellStyle name="Header: bottom row 2 2" xfId="28" xr:uid="{00000000-0005-0000-0000-00001C000000}"/>
    <cellStyle name="Header: bottom row 3" xfId="21" xr:uid="{00000000-0005-0000-0000-000015000000}"/>
    <cellStyle name="Hyperlink" xfId="2" builtinId="8"/>
    <cellStyle name="Normal" xfId="0" builtinId="0"/>
    <cellStyle name="Normal 2" xfId="15" xr:uid="{00000000-0005-0000-0000-00000F000000}"/>
    <cellStyle name="Normal 3" xfId="24" xr:uid="{00000000-0005-0000-0000-000018000000}"/>
    <cellStyle name="Normal 3 2" xfId="32" xr:uid="{00000000-0005-0000-0000-000020000000}"/>
    <cellStyle name="Normal 4" xfId="17" xr:uid="{00000000-0005-0000-0000-000011000000}"/>
    <cellStyle name="Normal 5" xfId="16" xr:uid="{00000000-0005-0000-0000-000010000000}"/>
    <cellStyle name="Normal 5 2" xfId="33" xr:uid="{00000000-0005-0000-0000-000021000000}"/>
    <cellStyle name="Normal 6" xfId="31" xr:uid="{00000000-0005-0000-0000-00001F000000}"/>
    <cellStyle name="Parent row" xfId="12" xr:uid="{00000000-0005-0000-0000-00000C000000}"/>
    <cellStyle name="Parent row 2" xfId="6" xr:uid="{00000000-0005-0000-0000-000006000000}"/>
    <cellStyle name="Parent row 2 2" xfId="29" xr:uid="{00000000-0005-0000-0000-00001D000000}"/>
    <cellStyle name="Parent row 3" xfId="22" xr:uid="{00000000-0005-0000-0000-000016000000}"/>
    <cellStyle name="Percent" xfId="1" builtinId="5"/>
    <cellStyle name="Table title" xfId="11" xr:uid="{00000000-0005-0000-0000-00000B000000}"/>
    <cellStyle name="Table title 2" xfId="5" xr:uid="{00000000-0005-0000-0000-000005000000}"/>
    <cellStyle name="Table title 2 2" xfId="30" xr:uid="{00000000-0005-0000-0000-00001E000000}"/>
    <cellStyle name="Table title 3" xfId="23" xr:uid="{00000000-0005-0000-0000-00001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analysis/studies/buildings/equipcosts/pdf/ful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>
      <selection activeCell="B14" sqref="B14"/>
    </sheetView>
  </sheetViews>
  <sheetFormatPr defaultRowHeight="14.25" x14ac:dyDescent="0.45"/>
  <cols>
    <col min="1" max="1" width="9" customWidth="1"/>
    <col min="2" max="2" width="71.53125" customWidth="1"/>
  </cols>
  <sheetData>
    <row r="1" spans="1:2" x14ac:dyDescent="0.45">
      <c r="A1" s="1" t="s">
        <v>7</v>
      </c>
    </row>
    <row r="3" spans="1:2" x14ac:dyDescent="0.45">
      <c r="A3" t="s">
        <v>8</v>
      </c>
      <c r="B3" s="5" t="s">
        <v>9</v>
      </c>
    </row>
    <row r="4" spans="1:2" x14ac:dyDescent="0.45">
      <c r="B4" t="s">
        <v>10</v>
      </c>
    </row>
    <row r="5" spans="1:2" x14ac:dyDescent="0.45">
      <c r="B5" s="3">
        <v>2018</v>
      </c>
    </row>
    <row r="6" spans="1:2" x14ac:dyDescent="0.45">
      <c r="B6" t="s">
        <v>11</v>
      </c>
    </row>
    <row r="7" spans="1:2" x14ac:dyDescent="0.45">
      <c r="B7" s="2" t="s">
        <v>12</v>
      </c>
    </row>
    <row r="9" spans="1:2" x14ac:dyDescent="0.45">
      <c r="B9" s="5" t="s">
        <v>437</v>
      </c>
    </row>
    <row r="10" spans="1:2" x14ac:dyDescent="0.45">
      <c r="B10" t="s">
        <v>13</v>
      </c>
    </row>
    <row r="11" spans="1:2" x14ac:dyDescent="0.45">
      <c r="B11" s="3">
        <v>2026</v>
      </c>
    </row>
    <row r="12" spans="1:2" x14ac:dyDescent="0.45">
      <c r="B12" t="s">
        <v>74</v>
      </c>
    </row>
    <row r="13" spans="1:2" x14ac:dyDescent="0.45">
      <c r="B13" t="s">
        <v>438</v>
      </c>
    </row>
    <row r="14" spans="1:2" x14ac:dyDescent="0.45">
      <c r="B14" t="s">
        <v>14</v>
      </c>
    </row>
    <row r="15" spans="1:2" x14ac:dyDescent="0.45">
      <c r="A15" s="1" t="s">
        <v>15</v>
      </c>
    </row>
    <row r="16" spans="1:2" x14ac:dyDescent="0.45">
      <c r="A16" t="s">
        <v>16</v>
      </c>
    </row>
    <row r="17" spans="1:1" x14ac:dyDescent="0.45">
      <c r="A17" t="s">
        <v>17</v>
      </c>
    </row>
    <row r="18" spans="1:1" x14ac:dyDescent="0.45">
      <c r="A18" t="s">
        <v>18</v>
      </c>
    </row>
    <row r="19" spans="1:1" x14ac:dyDescent="0.45">
      <c r="A19" t="s">
        <v>19</v>
      </c>
    </row>
    <row r="20" spans="1:1" x14ac:dyDescent="0.45">
      <c r="A20" t="s">
        <v>20</v>
      </c>
    </row>
    <row r="21" spans="1:1" x14ac:dyDescent="0.45">
      <c r="A21" s="1"/>
    </row>
    <row r="22" spans="1:1" x14ac:dyDescent="0.45">
      <c r="A22" t="s">
        <v>21</v>
      </c>
    </row>
    <row r="23" spans="1:1" x14ac:dyDescent="0.45">
      <c r="A23" t="s">
        <v>22</v>
      </c>
    </row>
    <row r="24" spans="1:1" x14ac:dyDescent="0.45">
      <c r="A24" t="s">
        <v>23</v>
      </c>
    </row>
    <row r="26" spans="1:1" x14ac:dyDescent="0.45">
      <c r="A26" t="s">
        <v>24</v>
      </c>
    </row>
    <row r="27" spans="1:1" x14ac:dyDescent="0.45">
      <c r="A27" t="s">
        <v>25</v>
      </c>
    </row>
    <row r="28" spans="1:1" x14ac:dyDescent="0.45">
      <c r="A28" t="s">
        <v>26</v>
      </c>
    </row>
    <row r="29" spans="1:1" x14ac:dyDescent="0.45">
      <c r="A29" t="s">
        <v>27</v>
      </c>
    </row>
    <row r="30" spans="1:1" x14ac:dyDescent="0.45">
      <c r="A30" t="s">
        <v>28</v>
      </c>
    </row>
    <row r="31" spans="1:1" x14ac:dyDescent="0.45">
      <c r="A31" t="s">
        <v>29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74"/>
  <sheetViews>
    <sheetView topLeftCell="A54" workbookViewId="0">
      <selection activeCell="C75" sqref="C75"/>
    </sheetView>
  </sheetViews>
  <sheetFormatPr defaultRowHeight="14.25" x14ac:dyDescent="0.45"/>
  <cols>
    <col min="1" max="1" width="26.6640625" customWidth="1"/>
  </cols>
  <sheetData>
    <row r="1" spans="1:33" x14ac:dyDescent="0.45">
      <c r="B1" t="s">
        <v>72</v>
      </c>
    </row>
    <row r="3" spans="1:33" x14ac:dyDescent="0.45">
      <c r="C3" t="s">
        <v>73</v>
      </c>
      <c r="D3" t="s">
        <v>74</v>
      </c>
    </row>
    <row r="4" spans="1:33" x14ac:dyDescent="0.45">
      <c r="C4" t="s">
        <v>75</v>
      </c>
      <c r="D4" t="s">
        <v>76</v>
      </c>
      <c r="F4" t="s">
        <v>77</v>
      </c>
    </row>
    <row r="5" spans="1:33" x14ac:dyDescent="0.45">
      <c r="C5" t="s">
        <v>78</v>
      </c>
      <c r="D5" t="s">
        <v>79</v>
      </c>
    </row>
    <row r="6" spans="1:33" x14ac:dyDescent="0.45">
      <c r="C6" t="s">
        <v>80</v>
      </c>
      <c r="E6" t="s">
        <v>81</v>
      </c>
    </row>
    <row r="7" spans="1:33" x14ac:dyDescent="0.45">
      <c r="B7" t="s">
        <v>82</v>
      </c>
    </row>
    <row r="8" spans="1:33" x14ac:dyDescent="0.45">
      <c r="B8" t="s">
        <v>83</v>
      </c>
      <c r="AG8" s="13"/>
    </row>
    <row r="9" spans="1:33" x14ac:dyDescent="0.45">
      <c r="AC9" t="s">
        <v>84</v>
      </c>
      <c r="AG9" s="13"/>
    </row>
    <row r="10" spans="1:33" x14ac:dyDescent="0.45">
      <c r="B10" t="s">
        <v>85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86</v>
      </c>
      <c r="AG10" s="13"/>
    </row>
    <row r="11" spans="1:33" x14ac:dyDescent="0.45">
      <c r="AG11" s="13"/>
    </row>
    <row r="12" spans="1:33" x14ac:dyDescent="0.45">
      <c r="B12" t="s">
        <v>30</v>
      </c>
      <c r="AG12" s="13"/>
    </row>
    <row r="13" spans="1:33" x14ac:dyDescent="0.45">
      <c r="B13" t="s">
        <v>87</v>
      </c>
    </row>
    <row r="14" spans="1:33" x14ac:dyDescent="0.45">
      <c r="A14" t="s">
        <v>88</v>
      </c>
      <c r="B14" t="s">
        <v>89</v>
      </c>
      <c r="C14">
        <v>89.551807999999994</v>
      </c>
      <c r="D14">
        <v>90.499319999999997</v>
      </c>
      <c r="E14">
        <v>91.445952000000005</v>
      </c>
      <c r="F14">
        <v>92.375528000000003</v>
      </c>
      <c r="G14">
        <v>93.308328000000003</v>
      </c>
      <c r="H14">
        <v>94.243120000000005</v>
      </c>
      <c r="I14">
        <v>95.158208000000002</v>
      </c>
      <c r="J14">
        <v>96.071575999999993</v>
      </c>
      <c r="K14">
        <v>96.973696000000004</v>
      </c>
      <c r="L14">
        <v>97.853279999999998</v>
      </c>
      <c r="M14">
        <v>98.716440000000006</v>
      </c>
      <c r="N14">
        <v>99.555663999999993</v>
      </c>
      <c r="O14">
        <v>100.3796</v>
      </c>
      <c r="P14">
        <v>101.179768</v>
      </c>
      <c r="Q14">
        <v>101.948536</v>
      </c>
      <c r="R14">
        <v>102.68970400000001</v>
      </c>
      <c r="S14">
        <v>103.400256</v>
      </c>
      <c r="T14">
        <v>104.09390399999999</v>
      </c>
      <c r="U14">
        <v>104.76102400000001</v>
      </c>
      <c r="V14">
        <v>105.404848</v>
      </c>
      <c r="W14">
        <v>106.04945600000001</v>
      </c>
      <c r="X14">
        <v>106.69841599999999</v>
      </c>
      <c r="Y14">
        <v>107.34532</v>
      </c>
      <c r="Z14">
        <v>107.99104</v>
      </c>
      <c r="AA14">
        <v>108.635976</v>
      </c>
      <c r="AB14">
        <v>109.283816</v>
      </c>
      <c r="AC14">
        <v>7.9970467786396604E-3</v>
      </c>
    </row>
    <row r="15" spans="1:33" x14ac:dyDescent="0.45">
      <c r="A15" t="s">
        <v>90</v>
      </c>
      <c r="B15" t="s">
        <v>91</v>
      </c>
      <c r="C15">
        <v>34.432312000000003</v>
      </c>
      <c r="D15">
        <v>34.836668000000003</v>
      </c>
      <c r="E15">
        <v>35.242792000000001</v>
      </c>
      <c r="F15">
        <v>35.639104000000003</v>
      </c>
      <c r="G15">
        <v>36.037196000000002</v>
      </c>
      <c r="H15">
        <v>36.453671999999997</v>
      </c>
      <c r="I15">
        <v>36.903640000000003</v>
      </c>
      <c r="J15">
        <v>37.355531999999997</v>
      </c>
      <c r="K15">
        <v>37.797055999999998</v>
      </c>
      <c r="L15">
        <v>38.222763999999998</v>
      </c>
      <c r="M15">
        <v>38.636755999999998</v>
      </c>
      <c r="N15">
        <v>39.039476000000001</v>
      </c>
      <c r="O15">
        <v>39.397843999999999</v>
      </c>
      <c r="P15">
        <v>39.730519999999999</v>
      </c>
      <c r="Q15">
        <v>40.040472000000001</v>
      </c>
      <c r="R15">
        <v>40.33182</v>
      </c>
      <c r="S15">
        <v>40.601424000000002</v>
      </c>
      <c r="T15">
        <v>40.853960000000001</v>
      </c>
      <c r="U15">
        <v>41.099856000000003</v>
      </c>
      <c r="V15">
        <v>41.347656000000001</v>
      </c>
      <c r="W15">
        <v>41.597008000000002</v>
      </c>
      <c r="X15">
        <v>41.846876000000002</v>
      </c>
      <c r="Y15">
        <v>42.095095999999998</v>
      </c>
      <c r="Z15">
        <v>42.342736000000002</v>
      </c>
      <c r="AA15">
        <v>42.590232</v>
      </c>
      <c r="AB15">
        <v>42.838628</v>
      </c>
      <c r="AC15">
        <v>8.7760776558121201E-3</v>
      </c>
      <c r="AG15" s="13"/>
    </row>
    <row r="16" spans="1:33" x14ac:dyDescent="0.45">
      <c r="A16" t="s">
        <v>92</v>
      </c>
      <c r="B16" t="s">
        <v>93</v>
      </c>
      <c r="C16">
        <v>6.7450950000000001</v>
      </c>
      <c r="D16">
        <v>6.7594225000000003</v>
      </c>
      <c r="E16">
        <v>6.806991</v>
      </c>
      <c r="F16">
        <v>6.8581649999999996</v>
      </c>
      <c r="G16">
        <v>6.9037110000000004</v>
      </c>
      <c r="H16">
        <v>6.9130140000000004</v>
      </c>
      <c r="I16">
        <v>6.915089</v>
      </c>
      <c r="J16">
        <v>6.9182519999999998</v>
      </c>
      <c r="K16">
        <v>6.921087</v>
      </c>
      <c r="L16">
        <v>6.9234134999999997</v>
      </c>
      <c r="M16">
        <v>6.9269959999999999</v>
      </c>
      <c r="N16">
        <v>6.9313560000000001</v>
      </c>
      <c r="O16">
        <v>6.9329989999999997</v>
      </c>
      <c r="P16">
        <v>6.9327449999999997</v>
      </c>
      <c r="Q16">
        <v>6.9276109999999997</v>
      </c>
      <c r="R16">
        <v>6.924169</v>
      </c>
      <c r="S16">
        <v>6.9226830000000001</v>
      </c>
      <c r="T16">
        <v>6.9217560000000002</v>
      </c>
      <c r="U16">
        <v>6.9220889999999997</v>
      </c>
      <c r="V16">
        <v>6.9248770000000004</v>
      </c>
      <c r="W16">
        <v>6.9295859999999996</v>
      </c>
      <c r="X16">
        <v>6.9344039999999998</v>
      </c>
      <c r="Y16">
        <v>6.9393295000000004</v>
      </c>
      <c r="Z16">
        <v>6.9430185</v>
      </c>
      <c r="AA16">
        <v>6.9465225000000004</v>
      </c>
      <c r="AB16">
        <v>6.950291</v>
      </c>
      <c r="AC16">
        <v>1.199436955279243E-3</v>
      </c>
      <c r="AG16" s="13"/>
    </row>
    <row r="17" spans="1:33" x14ac:dyDescent="0.45">
      <c r="A17" t="s">
        <v>94</v>
      </c>
      <c r="B17" t="s">
        <v>95</v>
      </c>
      <c r="C17">
        <v>130.72921500000001</v>
      </c>
      <c r="D17">
        <v>132.09541050000001</v>
      </c>
      <c r="E17">
        <v>133.495735</v>
      </c>
      <c r="F17">
        <v>134.87279699999999</v>
      </c>
      <c r="G17">
        <v>136.249235</v>
      </c>
      <c r="H17">
        <v>137.60980599999999</v>
      </c>
      <c r="I17">
        <v>138.97693699999999</v>
      </c>
      <c r="J17">
        <v>140.34536</v>
      </c>
      <c r="K17">
        <v>141.69183899999999</v>
      </c>
      <c r="L17">
        <v>142.99945750000001</v>
      </c>
      <c r="M17">
        <v>144.280192</v>
      </c>
      <c r="N17">
        <v>145.52649600000001</v>
      </c>
      <c r="O17">
        <v>146.710443</v>
      </c>
      <c r="P17">
        <v>147.84303299999999</v>
      </c>
      <c r="Q17">
        <v>148.916619</v>
      </c>
      <c r="R17">
        <v>149.94569300000001</v>
      </c>
      <c r="S17">
        <v>150.924363</v>
      </c>
      <c r="T17">
        <v>151.86962</v>
      </c>
      <c r="U17">
        <v>152.78296900000001</v>
      </c>
      <c r="V17">
        <v>153.677381</v>
      </c>
      <c r="W17">
        <v>154.57605000000001</v>
      </c>
      <c r="X17">
        <v>155.47969599999999</v>
      </c>
      <c r="Y17">
        <v>156.37974550000001</v>
      </c>
      <c r="Z17">
        <v>157.27679449999999</v>
      </c>
      <c r="AA17">
        <v>158.1727305</v>
      </c>
      <c r="AB17">
        <v>159.07273499999999</v>
      </c>
      <c r="AC17">
        <v>7.8802239127684359E-3</v>
      </c>
    </row>
    <row r="18" spans="1:33" x14ac:dyDescent="0.45">
      <c r="AG18" s="13"/>
    </row>
    <row r="19" spans="1:33" x14ac:dyDescent="0.45">
      <c r="A19" t="s">
        <v>96</v>
      </c>
      <c r="B19" t="s">
        <v>97</v>
      </c>
      <c r="C19">
        <v>1648.580932617188</v>
      </c>
      <c r="D19">
        <v>1653.800903320312</v>
      </c>
      <c r="E19">
        <v>1658.75341796875</v>
      </c>
      <c r="F19">
        <v>1663.61962890625</v>
      </c>
      <c r="G19">
        <v>1668.383911132812</v>
      </c>
      <c r="H19">
        <v>1673.056884765625</v>
      </c>
      <c r="I19">
        <v>1677.398559570312</v>
      </c>
      <c r="J19">
        <v>1681.615356445312</v>
      </c>
      <c r="K19">
        <v>1685.791870117188</v>
      </c>
      <c r="L19">
        <v>1689.955688476562</v>
      </c>
      <c r="M19">
        <v>1694.082885742188</v>
      </c>
      <c r="N19">
        <v>1698.1728515625</v>
      </c>
      <c r="O19">
        <v>1702.468627929688</v>
      </c>
      <c r="P19">
        <v>1706.83984375</v>
      </c>
      <c r="Q19">
        <v>1711.274047851562</v>
      </c>
      <c r="R19">
        <v>1715.727783203125</v>
      </c>
      <c r="S19">
        <v>1720.223876953125</v>
      </c>
      <c r="T19">
        <v>1724.752197265625</v>
      </c>
      <c r="U19">
        <v>1729.234130859375</v>
      </c>
      <c r="V19">
        <v>1733.615600585938</v>
      </c>
      <c r="W19">
        <v>1737.918823242188</v>
      </c>
      <c r="X19">
        <v>1742.162353515625</v>
      </c>
      <c r="Y19">
        <v>1746.357177734375</v>
      </c>
      <c r="Z19">
        <v>1750.502319335938</v>
      </c>
      <c r="AA19">
        <v>1754.593017578125</v>
      </c>
      <c r="AB19">
        <v>1758.6240234375</v>
      </c>
      <c r="AC19">
        <v>2.5880160021416469E-3</v>
      </c>
      <c r="AG19" s="13"/>
    </row>
    <row r="21" spans="1:33" x14ac:dyDescent="0.45">
      <c r="B21" t="s">
        <v>98</v>
      </c>
    </row>
    <row r="22" spans="1:33" x14ac:dyDescent="0.45">
      <c r="B22" t="s">
        <v>99</v>
      </c>
      <c r="AG22" s="13"/>
    </row>
    <row r="23" spans="1:33" x14ac:dyDescent="0.45">
      <c r="A23" t="s">
        <v>100</v>
      </c>
      <c r="B23" t="s">
        <v>101</v>
      </c>
      <c r="C23">
        <v>89.060958164554123</v>
      </c>
      <c r="D23">
        <v>86.654178526512851</v>
      </c>
      <c r="E23">
        <v>85.803575732213446</v>
      </c>
      <c r="F23">
        <v>85.129928164832222</v>
      </c>
      <c r="G23">
        <v>84.07061112673405</v>
      </c>
      <c r="H23">
        <v>82.772625084581534</v>
      </c>
      <c r="I23">
        <v>81.43821978174698</v>
      </c>
      <c r="J23">
        <v>80.199732217723508</v>
      </c>
      <c r="K23">
        <v>79.037514969369553</v>
      </c>
      <c r="L23">
        <v>78.012083605282228</v>
      </c>
      <c r="M23">
        <v>77.086948276309485</v>
      </c>
      <c r="N23">
        <v>76.247253324920322</v>
      </c>
      <c r="O23">
        <v>75.471804362283876</v>
      </c>
      <c r="P23">
        <v>74.779412365004717</v>
      </c>
      <c r="Q23">
        <v>74.147297058899781</v>
      </c>
      <c r="R23">
        <v>73.529512541583998</v>
      </c>
      <c r="S23">
        <v>72.987660183134267</v>
      </c>
      <c r="T23">
        <v>72.550300988439972</v>
      </c>
      <c r="U23">
        <v>72.191370453077127</v>
      </c>
      <c r="V23">
        <v>71.873313848314496</v>
      </c>
      <c r="W23">
        <v>71.554366294131583</v>
      </c>
      <c r="X23">
        <v>71.242594184130652</v>
      </c>
      <c r="Y23">
        <v>70.912942418108727</v>
      </c>
      <c r="Z23">
        <v>70.590441350837679</v>
      </c>
      <c r="AA23">
        <v>70.298458886375485</v>
      </c>
      <c r="AB23">
        <v>70.025752911081852</v>
      </c>
      <c r="AC23">
        <v>-9.5722113258980279E-3</v>
      </c>
      <c r="AG23" s="13"/>
    </row>
    <row r="24" spans="1:33" x14ac:dyDescent="0.45">
      <c r="A24" t="s">
        <v>102</v>
      </c>
      <c r="B24" t="s">
        <v>103</v>
      </c>
      <c r="C24">
        <v>87.644801447021621</v>
      </c>
      <c r="D24">
        <v>85.169031273800385</v>
      </c>
      <c r="E24">
        <v>84.244949638278683</v>
      </c>
      <c r="F24">
        <v>83.496612471082656</v>
      </c>
      <c r="G24">
        <v>82.368483052400279</v>
      </c>
      <c r="H24">
        <v>80.999154028311025</v>
      </c>
      <c r="I24">
        <v>79.589085576119757</v>
      </c>
      <c r="J24">
        <v>78.275952193930777</v>
      </c>
      <c r="K24">
        <v>77.0362922454553</v>
      </c>
      <c r="L24">
        <v>75.928767841654249</v>
      </c>
      <c r="M24">
        <v>74.916512794770895</v>
      </c>
      <c r="N24">
        <v>73.985585401575278</v>
      </c>
      <c r="O24">
        <v>73.112307594899704</v>
      </c>
      <c r="P24">
        <v>72.317409627276788</v>
      </c>
      <c r="Q24">
        <v>71.577848231969327</v>
      </c>
      <c r="R24">
        <v>70.849099760404613</v>
      </c>
      <c r="S24">
        <v>70.192104001128058</v>
      </c>
      <c r="T24">
        <v>69.636396495889059</v>
      </c>
      <c r="U24">
        <v>69.156582144964062</v>
      </c>
      <c r="V24">
        <v>68.71355505466353</v>
      </c>
      <c r="W24">
        <v>68.267576962925361</v>
      </c>
      <c r="X24">
        <v>67.825554727094413</v>
      </c>
      <c r="Y24">
        <v>67.362432074043738</v>
      </c>
      <c r="Z24">
        <v>66.902168825675048</v>
      </c>
      <c r="AA24">
        <v>66.470930853659382</v>
      </c>
      <c r="AB24">
        <v>66.055663027356644</v>
      </c>
      <c r="AC24">
        <v>-1.1248043695201489E-2</v>
      </c>
      <c r="AG24" s="13"/>
    </row>
    <row r="25" spans="1:33" x14ac:dyDescent="0.45">
      <c r="B25" t="s">
        <v>104</v>
      </c>
      <c r="AG25" s="13"/>
    </row>
    <row r="26" spans="1:33" x14ac:dyDescent="0.45">
      <c r="A26" t="s">
        <v>105</v>
      </c>
      <c r="B26" t="s">
        <v>101</v>
      </c>
      <c r="C26">
        <v>54.022800095817153</v>
      </c>
      <c r="D26">
        <v>52.396983429225664</v>
      </c>
      <c r="E26">
        <v>51.727746151254621</v>
      </c>
      <c r="F26">
        <v>51.171509812493049</v>
      </c>
      <c r="G26">
        <v>50.390447046238371</v>
      </c>
      <c r="H26">
        <v>49.473885698857742</v>
      </c>
      <c r="I26">
        <v>48.550309833703707</v>
      </c>
      <c r="J26">
        <v>47.692078875429601</v>
      </c>
      <c r="K26">
        <v>46.884503579837087</v>
      </c>
      <c r="L26">
        <v>46.16220658164562</v>
      </c>
      <c r="M26">
        <v>45.503646205915857</v>
      </c>
      <c r="N26">
        <v>44.899583251943241</v>
      </c>
      <c r="O26">
        <v>44.330804764409962</v>
      </c>
      <c r="P26">
        <v>43.811616326410068</v>
      </c>
      <c r="Q26">
        <v>43.328710063703006</v>
      </c>
      <c r="R26">
        <v>42.856164749113262</v>
      </c>
      <c r="S26">
        <v>42.429163529813707</v>
      </c>
      <c r="T26">
        <v>42.06418817929859</v>
      </c>
      <c r="U26">
        <v>41.747597485367862</v>
      </c>
      <c r="V26">
        <v>41.458621982879208</v>
      </c>
      <c r="W26">
        <v>41.172444499244683</v>
      </c>
      <c r="X26">
        <v>40.893200361243878</v>
      </c>
      <c r="Y26">
        <v>40.606207780533857</v>
      </c>
      <c r="Z26">
        <v>40.325819949565421</v>
      </c>
      <c r="AA26">
        <v>40.065393046764108</v>
      </c>
      <c r="AB26">
        <v>39.818489897690462</v>
      </c>
      <c r="AC26">
        <v>-1.212883770197948E-2</v>
      </c>
      <c r="AG26" s="13"/>
    </row>
    <row r="27" spans="1:33" x14ac:dyDescent="0.45">
      <c r="A27" t="s">
        <v>106</v>
      </c>
      <c r="B27" t="s">
        <v>103</v>
      </c>
      <c r="C27">
        <v>53.163784508827263</v>
      </c>
      <c r="D27">
        <v>51.498962845411278</v>
      </c>
      <c r="E27">
        <v>50.788109146109271</v>
      </c>
      <c r="F27">
        <v>50.189725475875562</v>
      </c>
      <c r="G27">
        <v>49.370221387757852</v>
      </c>
      <c r="H27">
        <v>48.413867314295189</v>
      </c>
      <c r="I27">
        <v>47.447927698535487</v>
      </c>
      <c r="J27">
        <v>46.548071706121092</v>
      </c>
      <c r="K27">
        <v>45.697392193557157</v>
      </c>
      <c r="L27">
        <v>44.929443037705589</v>
      </c>
      <c r="M27">
        <v>44.222460084619499</v>
      </c>
      <c r="N27">
        <v>43.567758920124447</v>
      </c>
      <c r="O27">
        <v>42.944878040900541</v>
      </c>
      <c r="P27">
        <v>42.369182962352433</v>
      </c>
      <c r="Q27">
        <v>41.827227101253897</v>
      </c>
      <c r="R27">
        <v>41.2939048105493</v>
      </c>
      <c r="S27">
        <v>40.804051694395092</v>
      </c>
      <c r="T27">
        <v>40.374725485950208</v>
      </c>
      <c r="U27">
        <v>39.992607658394647</v>
      </c>
      <c r="V27">
        <v>39.63598102799682</v>
      </c>
      <c r="W27">
        <v>39.281223064014164</v>
      </c>
      <c r="X27">
        <v>38.931822048745772</v>
      </c>
      <c r="Y27">
        <v>38.573112610007961</v>
      </c>
      <c r="Z27">
        <v>38.218840436072519</v>
      </c>
      <c r="AA27">
        <v>37.883959520943257</v>
      </c>
      <c r="AB27">
        <v>37.560992086438539</v>
      </c>
      <c r="AC27">
        <v>-1.3800344185755259E-2</v>
      </c>
      <c r="AG27" s="13"/>
    </row>
    <row r="28" spans="1:33" x14ac:dyDescent="0.45">
      <c r="AG28" s="13"/>
    </row>
    <row r="29" spans="1:33" x14ac:dyDescent="0.45">
      <c r="B29" t="s">
        <v>31</v>
      </c>
      <c r="AG29" s="13"/>
    </row>
    <row r="30" spans="1:33" x14ac:dyDescent="0.45">
      <c r="B30" t="s">
        <v>107</v>
      </c>
      <c r="AG30" s="13"/>
    </row>
    <row r="31" spans="1:33" x14ac:dyDescent="0.45">
      <c r="A31" t="s">
        <v>108</v>
      </c>
      <c r="B31" t="s">
        <v>109</v>
      </c>
      <c r="C31">
        <v>0.59498688</v>
      </c>
      <c r="D31">
        <v>0.56559097599999997</v>
      </c>
      <c r="E31">
        <v>0.56616966400000002</v>
      </c>
      <c r="F31">
        <v>0.56694950399999999</v>
      </c>
      <c r="G31">
        <v>0.56581657600000002</v>
      </c>
      <c r="H31">
        <v>0.56227513600000001</v>
      </c>
      <c r="I31">
        <v>0.55764070399999999</v>
      </c>
      <c r="J31">
        <v>0.55301900800000003</v>
      </c>
      <c r="K31">
        <v>0.54866521599999996</v>
      </c>
      <c r="L31">
        <v>0.54410111999999999</v>
      </c>
      <c r="M31">
        <v>0.53962681599999995</v>
      </c>
      <c r="N31">
        <v>0.53538271999999998</v>
      </c>
      <c r="O31">
        <v>0.53084921600000001</v>
      </c>
      <c r="P31">
        <v>0.52652697599999998</v>
      </c>
      <c r="Q31">
        <v>0.52204547199999995</v>
      </c>
      <c r="R31">
        <v>0.51751654400000002</v>
      </c>
      <c r="S31">
        <v>0.51278175999999998</v>
      </c>
      <c r="T31">
        <v>0.50850748800000001</v>
      </c>
      <c r="U31">
        <v>0.50438809600000001</v>
      </c>
      <c r="V31">
        <v>0.50002620799999997</v>
      </c>
      <c r="W31">
        <v>0.49595881600000002</v>
      </c>
      <c r="X31">
        <v>0.49153852799999997</v>
      </c>
      <c r="Y31">
        <v>0.486659552</v>
      </c>
      <c r="Z31">
        <v>0.481831232</v>
      </c>
      <c r="AA31">
        <v>0.47719270400000002</v>
      </c>
      <c r="AB31">
        <v>0.47245900800000001</v>
      </c>
      <c r="AC31">
        <v>-9.1811283734718474E-3</v>
      </c>
      <c r="AG31" s="13"/>
    </row>
    <row r="32" spans="1:33" x14ac:dyDescent="0.45">
      <c r="A32" t="s">
        <v>110</v>
      </c>
      <c r="B32" t="s">
        <v>111</v>
      </c>
      <c r="C32">
        <v>0.92457420800000001</v>
      </c>
      <c r="D32">
        <v>0.98388595199999995</v>
      </c>
      <c r="E32">
        <v>0.99778188800000001</v>
      </c>
      <c r="F32">
        <v>1.011565056</v>
      </c>
      <c r="G32">
        <v>1.022745472</v>
      </c>
      <c r="H32">
        <v>1.0299940480000001</v>
      </c>
      <c r="I32">
        <v>1.0365953919999999</v>
      </c>
      <c r="J32">
        <v>1.0441312</v>
      </c>
      <c r="K32">
        <v>1.0523892480000001</v>
      </c>
      <c r="L32">
        <v>1.0619888639999999</v>
      </c>
      <c r="M32">
        <v>1.07257216</v>
      </c>
      <c r="N32">
        <v>1.084401792</v>
      </c>
      <c r="O32">
        <v>1.097000448</v>
      </c>
      <c r="P32">
        <v>1.1101196799999999</v>
      </c>
      <c r="Q32">
        <v>1.1235953919999999</v>
      </c>
      <c r="R32">
        <v>1.1379557119999999</v>
      </c>
      <c r="S32">
        <v>1.1531386880000001</v>
      </c>
      <c r="T32">
        <v>1.17016448</v>
      </c>
      <c r="U32">
        <v>1.188274432</v>
      </c>
      <c r="V32">
        <v>1.206452096</v>
      </c>
      <c r="W32">
        <v>1.2252771840000001</v>
      </c>
      <c r="X32">
        <v>1.243111168</v>
      </c>
      <c r="Y32">
        <v>1.260267392</v>
      </c>
      <c r="Z32">
        <v>1.2769024</v>
      </c>
      <c r="AA32">
        <v>1.2942576640000001</v>
      </c>
      <c r="AB32">
        <v>1.3113802240000001</v>
      </c>
      <c r="AC32">
        <v>1.4078264455456461E-2</v>
      </c>
      <c r="AG32" s="13"/>
    </row>
    <row r="33" spans="1:33" x14ac:dyDescent="0.45">
      <c r="A33" t="s">
        <v>112</v>
      </c>
      <c r="B33" t="s">
        <v>113</v>
      </c>
      <c r="C33">
        <v>0.45252947199999999</v>
      </c>
      <c r="D33">
        <v>0.44482867199999998</v>
      </c>
      <c r="E33">
        <v>0.43924083200000003</v>
      </c>
      <c r="F33">
        <v>0.43466864</v>
      </c>
      <c r="G33">
        <v>0.41793100799999999</v>
      </c>
      <c r="H33">
        <v>0.39681289600000003</v>
      </c>
      <c r="I33">
        <v>0.37454972800000003</v>
      </c>
      <c r="J33">
        <v>0.35388873599999998</v>
      </c>
      <c r="K33">
        <v>0.334859456</v>
      </c>
      <c r="L33">
        <v>0.31755040000000001</v>
      </c>
      <c r="M33">
        <v>0.30188588799999999</v>
      </c>
      <c r="N33">
        <v>0.28806668800000002</v>
      </c>
      <c r="O33">
        <v>0.27600831999999997</v>
      </c>
      <c r="P33">
        <v>0.26572577600000002</v>
      </c>
      <c r="Q33">
        <v>0.25716776000000002</v>
      </c>
      <c r="R33">
        <v>0.25033508799999998</v>
      </c>
      <c r="S33">
        <v>0.24518048000000001</v>
      </c>
      <c r="T33">
        <v>0.241830352</v>
      </c>
      <c r="U33">
        <v>0.24026312</v>
      </c>
      <c r="V33">
        <v>0.23862364799999999</v>
      </c>
      <c r="W33">
        <v>0.23698448</v>
      </c>
      <c r="X33">
        <v>0.23524223999999999</v>
      </c>
      <c r="Y33">
        <v>0.23340683200000001</v>
      </c>
      <c r="Z33">
        <v>0.23158044799999999</v>
      </c>
      <c r="AA33">
        <v>0.22998131199999999</v>
      </c>
      <c r="AB33">
        <v>0.22855848000000001</v>
      </c>
      <c r="AC33">
        <v>-2.6952550110391989E-2</v>
      </c>
      <c r="AG33" s="13"/>
    </row>
    <row r="34" spans="1:33" x14ac:dyDescent="0.45">
      <c r="A34" t="s">
        <v>114</v>
      </c>
      <c r="B34" t="s">
        <v>115</v>
      </c>
      <c r="C34">
        <v>0.34956310400000001</v>
      </c>
      <c r="D34">
        <v>0.34852729599999999</v>
      </c>
      <c r="E34">
        <v>0.34743289599999999</v>
      </c>
      <c r="F34">
        <v>0.34620860799999997</v>
      </c>
      <c r="G34">
        <v>0.34525900799999998</v>
      </c>
      <c r="H34">
        <v>0.34202352000000003</v>
      </c>
      <c r="I34">
        <v>0.33902982399999998</v>
      </c>
      <c r="J34">
        <v>0.33630428800000001</v>
      </c>
      <c r="K34">
        <v>0.33379897600000002</v>
      </c>
      <c r="L34">
        <v>0.33146774400000001</v>
      </c>
      <c r="M34">
        <v>0.32936582399999997</v>
      </c>
      <c r="N34">
        <v>0.327653056</v>
      </c>
      <c r="O34">
        <v>0.32634323199999998</v>
      </c>
      <c r="P34">
        <v>0.32546067200000001</v>
      </c>
      <c r="Q34">
        <v>0.32498998400000001</v>
      </c>
      <c r="R34">
        <v>0.32493840000000002</v>
      </c>
      <c r="S34">
        <v>0.32529401600000002</v>
      </c>
      <c r="T34">
        <v>0.32607193600000001</v>
      </c>
      <c r="U34">
        <v>0.32728083200000002</v>
      </c>
      <c r="V34">
        <v>0.32891251199999999</v>
      </c>
      <c r="W34">
        <v>0.33105030400000002</v>
      </c>
      <c r="X34">
        <v>0.33371427199999998</v>
      </c>
      <c r="Y34">
        <v>0.33686508799999998</v>
      </c>
      <c r="Z34">
        <v>0.34000607999999999</v>
      </c>
      <c r="AA34">
        <v>0.34312889600000002</v>
      </c>
      <c r="AB34">
        <v>0.34622892799999999</v>
      </c>
      <c r="AC34">
        <v>-3.832826310995463E-4</v>
      </c>
      <c r="AG34" s="13"/>
    </row>
    <row r="35" spans="1:33" x14ac:dyDescent="0.45">
      <c r="A35" t="s">
        <v>116</v>
      </c>
      <c r="B35" t="s">
        <v>117</v>
      </c>
      <c r="C35">
        <v>6.8362144E-2</v>
      </c>
      <c r="D35">
        <v>6.9241520000000001E-2</v>
      </c>
      <c r="E35">
        <v>7.0149848000000001E-2</v>
      </c>
      <c r="F35">
        <v>7.1052935999999997E-2</v>
      </c>
      <c r="G35">
        <v>7.1960287999999997E-2</v>
      </c>
      <c r="H35">
        <v>7.2859967999999997E-2</v>
      </c>
      <c r="I35">
        <v>7.3769767999999999E-2</v>
      </c>
      <c r="J35">
        <v>7.4686208000000004E-2</v>
      </c>
      <c r="K35">
        <v>7.5595159999999995E-2</v>
      </c>
      <c r="L35">
        <v>7.6502487999999993E-2</v>
      </c>
      <c r="M35">
        <v>7.7414912000000002E-2</v>
      </c>
      <c r="N35">
        <v>7.8332048000000001E-2</v>
      </c>
      <c r="O35">
        <v>7.9236280000000006E-2</v>
      </c>
      <c r="P35">
        <v>8.0074199999999998E-2</v>
      </c>
      <c r="Q35">
        <v>8.0822688000000004E-2</v>
      </c>
      <c r="R35">
        <v>8.1485935999999995E-2</v>
      </c>
      <c r="S35">
        <v>8.2051832000000005E-2</v>
      </c>
      <c r="T35">
        <v>8.2524719999999996E-2</v>
      </c>
      <c r="U35">
        <v>8.2964759999999999E-2</v>
      </c>
      <c r="V35">
        <v>8.3381144000000004E-2</v>
      </c>
      <c r="W35">
        <v>8.3789119999999995E-2</v>
      </c>
      <c r="X35">
        <v>8.4191208000000003E-2</v>
      </c>
      <c r="Y35">
        <v>8.4583848000000003E-2</v>
      </c>
      <c r="Z35">
        <v>8.4967135999999999E-2</v>
      </c>
      <c r="AA35">
        <v>8.5341799999999995E-2</v>
      </c>
      <c r="AB35">
        <v>8.5708984000000002E-2</v>
      </c>
      <c r="AC35">
        <v>9.0865716961421317E-3</v>
      </c>
      <c r="AG35" s="13"/>
    </row>
    <row r="36" spans="1:33" x14ac:dyDescent="0.45">
      <c r="A36" t="s">
        <v>118</v>
      </c>
      <c r="B36" t="s">
        <v>119</v>
      </c>
      <c r="C36">
        <v>0.19033324800000001</v>
      </c>
      <c r="D36">
        <v>0.19084062399999999</v>
      </c>
      <c r="E36">
        <v>0.19180299200000001</v>
      </c>
      <c r="F36">
        <v>0.193075936</v>
      </c>
      <c r="G36">
        <v>0.193740784</v>
      </c>
      <c r="H36">
        <v>0.193360848</v>
      </c>
      <c r="I36">
        <v>0.19236134399999999</v>
      </c>
      <c r="J36">
        <v>0.191028752</v>
      </c>
      <c r="K36">
        <v>0.19012039999999999</v>
      </c>
      <c r="L36">
        <v>0.18960015999999999</v>
      </c>
      <c r="M36">
        <v>0.18948328</v>
      </c>
      <c r="N36">
        <v>0.189817232</v>
      </c>
      <c r="O36">
        <v>0.19051815999999999</v>
      </c>
      <c r="P36">
        <v>0.19170820799999999</v>
      </c>
      <c r="Q36">
        <v>0.19336033599999999</v>
      </c>
      <c r="R36">
        <v>0.19552905600000001</v>
      </c>
      <c r="S36">
        <v>0.19830171199999999</v>
      </c>
      <c r="T36">
        <v>0.20107030400000001</v>
      </c>
      <c r="U36">
        <v>0.20391007999999999</v>
      </c>
      <c r="V36">
        <v>0.206757632</v>
      </c>
      <c r="W36">
        <v>0.209611248</v>
      </c>
      <c r="X36">
        <v>0.21232783999999999</v>
      </c>
      <c r="Y36">
        <v>0.214859312</v>
      </c>
      <c r="Z36">
        <v>0.217260656</v>
      </c>
      <c r="AA36">
        <v>0.21971025599999999</v>
      </c>
      <c r="AB36">
        <v>0.22207265600000001</v>
      </c>
      <c r="AC36">
        <v>6.1881936436216636E-3</v>
      </c>
      <c r="AG36" s="13"/>
    </row>
    <row r="37" spans="1:33" x14ac:dyDescent="0.45">
      <c r="A37" t="s">
        <v>120</v>
      </c>
      <c r="B37" t="s">
        <v>121</v>
      </c>
      <c r="C37">
        <v>7.9277760000000003E-2</v>
      </c>
      <c r="D37">
        <v>7.9241023999999993E-2</v>
      </c>
      <c r="E37">
        <v>7.9217047999999998E-2</v>
      </c>
      <c r="F37">
        <v>7.9159960000000001E-2</v>
      </c>
      <c r="G37">
        <v>7.9073071999999994E-2</v>
      </c>
      <c r="H37">
        <v>7.8570111999999998E-2</v>
      </c>
      <c r="I37">
        <v>7.8006560000000003E-2</v>
      </c>
      <c r="J37">
        <v>7.7403968000000004E-2</v>
      </c>
      <c r="K37">
        <v>7.6822632000000002E-2</v>
      </c>
      <c r="L37">
        <v>7.6256599999999994E-2</v>
      </c>
      <c r="M37">
        <v>7.5716071999999995E-2</v>
      </c>
      <c r="N37">
        <v>7.5195239999999997E-2</v>
      </c>
      <c r="O37">
        <v>7.4692744000000005E-2</v>
      </c>
      <c r="P37">
        <v>7.4213528000000001E-2</v>
      </c>
      <c r="Q37">
        <v>7.3757199999999995E-2</v>
      </c>
      <c r="R37">
        <v>7.3328264000000004E-2</v>
      </c>
      <c r="S37">
        <v>7.2936855999999994E-2</v>
      </c>
      <c r="T37">
        <v>7.2586367999999998E-2</v>
      </c>
      <c r="U37">
        <v>7.2277752000000001E-2</v>
      </c>
      <c r="V37">
        <v>7.2012376000000003E-2</v>
      </c>
      <c r="W37">
        <v>7.1801504000000002E-2</v>
      </c>
      <c r="X37">
        <v>7.1659855999999994E-2</v>
      </c>
      <c r="Y37">
        <v>7.1579335999999993E-2</v>
      </c>
      <c r="Z37">
        <v>7.1571248000000004E-2</v>
      </c>
      <c r="AA37">
        <v>7.1643271999999994E-2</v>
      </c>
      <c r="AB37">
        <v>7.1800048000000005E-2</v>
      </c>
      <c r="AC37">
        <v>-3.9550577058538039E-3</v>
      </c>
      <c r="AG37" s="13"/>
    </row>
    <row r="38" spans="1:33" x14ac:dyDescent="0.45">
      <c r="A38" t="s">
        <v>122</v>
      </c>
      <c r="B38" t="s">
        <v>123</v>
      </c>
      <c r="C38">
        <v>0.18284710400000001</v>
      </c>
      <c r="D38">
        <v>0.182215504</v>
      </c>
      <c r="E38">
        <v>0.183569232</v>
      </c>
      <c r="F38">
        <v>0.185640272</v>
      </c>
      <c r="G38">
        <v>0.18743944000000001</v>
      </c>
      <c r="H38">
        <v>0.18699436799999999</v>
      </c>
      <c r="I38">
        <v>0.186424016</v>
      </c>
      <c r="J38">
        <v>0.18626144</v>
      </c>
      <c r="K38">
        <v>0.186404352</v>
      </c>
      <c r="L38">
        <v>0.18674231999999999</v>
      </c>
      <c r="M38">
        <v>0.18721537599999999</v>
      </c>
      <c r="N38">
        <v>0.187754368</v>
      </c>
      <c r="O38">
        <v>0.188226384</v>
      </c>
      <c r="P38">
        <v>0.188723216</v>
      </c>
      <c r="Q38">
        <v>0.18940014399999999</v>
      </c>
      <c r="R38">
        <v>0.18703504000000001</v>
      </c>
      <c r="S38">
        <v>0.18508912</v>
      </c>
      <c r="T38">
        <v>0.18369095999999999</v>
      </c>
      <c r="U38">
        <v>0.182845696</v>
      </c>
      <c r="V38">
        <v>0.18247695999999999</v>
      </c>
      <c r="W38">
        <v>0.182383504</v>
      </c>
      <c r="X38">
        <v>0.182309728</v>
      </c>
      <c r="Y38">
        <v>0.182201904</v>
      </c>
      <c r="Z38">
        <v>0.182192464</v>
      </c>
      <c r="AA38">
        <v>0.182375024</v>
      </c>
      <c r="AB38">
        <v>0.18258764799999999</v>
      </c>
      <c r="AC38">
        <v>-5.6797811119779773E-5</v>
      </c>
      <c r="AG38" s="13"/>
    </row>
    <row r="39" spans="1:33" x14ac:dyDescent="0.45">
      <c r="A39" t="s">
        <v>124</v>
      </c>
      <c r="B39" t="s">
        <v>125</v>
      </c>
      <c r="C39">
        <v>4.0723188E-2</v>
      </c>
      <c r="D39">
        <v>3.9741315999999999E-2</v>
      </c>
      <c r="E39">
        <v>3.8750288000000001E-2</v>
      </c>
      <c r="F39">
        <v>3.7582836000000001E-2</v>
      </c>
      <c r="G39">
        <v>3.638516E-2</v>
      </c>
      <c r="H39">
        <v>3.4992292000000001E-2</v>
      </c>
      <c r="I39">
        <v>3.3539880000000001E-2</v>
      </c>
      <c r="J39">
        <v>3.2000177999999997E-2</v>
      </c>
      <c r="K39">
        <v>3.0664894000000002E-2</v>
      </c>
      <c r="L39">
        <v>2.9534002E-2</v>
      </c>
      <c r="M39">
        <v>2.8609286000000001E-2</v>
      </c>
      <c r="N39">
        <v>2.7903582E-2</v>
      </c>
      <c r="O39">
        <v>2.7428560000000001E-2</v>
      </c>
      <c r="P39">
        <v>2.7209850000000001E-2</v>
      </c>
      <c r="Q39">
        <v>2.7260937999999998E-2</v>
      </c>
      <c r="R39">
        <v>2.7310738000000001E-2</v>
      </c>
      <c r="S39">
        <v>2.7361704000000001E-2</v>
      </c>
      <c r="T39">
        <v>2.7419786000000002E-2</v>
      </c>
      <c r="U39">
        <v>2.7486282000000001E-2</v>
      </c>
      <c r="V39">
        <v>2.7564120000000001E-2</v>
      </c>
      <c r="W39">
        <v>2.7658222E-2</v>
      </c>
      <c r="X39">
        <v>2.7768014000000001E-2</v>
      </c>
      <c r="Y39">
        <v>2.7890496000000001E-2</v>
      </c>
      <c r="Z39">
        <v>2.8023998000000001E-2</v>
      </c>
      <c r="AA39">
        <v>2.8167032000000002E-2</v>
      </c>
      <c r="AB39">
        <v>2.8318728000000001E-2</v>
      </c>
      <c r="AC39">
        <v>-1.442590723214077E-2</v>
      </c>
      <c r="AG39" s="13"/>
    </row>
    <row r="40" spans="1:33" x14ac:dyDescent="0.45">
      <c r="A40" t="s">
        <v>126</v>
      </c>
      <c r="B40" t="s">
        <v>127</v>
      </c>
      <c r="C40">
        <v>3.7161696000000001E-2</v>
      </c>
      <c r="D40">
        <v>3.8075504000000003E-2</v>
      </c>
      <c r="E40">
        <v>3.8360159999999997E-2</v>
      </c>
      <c r="F40">
        <v>3.8522852000000003E-2</v>
      </c>
      <c r="G40">
        <v>3.8637291999999997E-2</v>
      </c>
      <c r="H40">
        <v>3.870258E-2</v>
      </c>
      <c r="I40">
        <v>3.8719692E-2</v>
      </c>
      <c r="J40">
        <v>3.8688536000000003E-2</v>
      </c>
      <c r="K40">
        <v>3.8734320000000003E-2</v>
      </c>
      <c r="L40">
        <v>3.8861E-2</v>
      </c>
      <c r="M40">
        <v>3.9070651999999997E-2</v>
      </c>
      <c r="N40">
        <v>3.9370936000000002E-2</v>
      </c>
      <c r="O40">
        <v>3.9763699999999999E-2</v>
      </c>
      <c r="P40">
        <v>4.0262112000000003E-2</v>
      </c>
      <c r="Q40">
        <v>4.0871616E-2</v>
      </c>
      <c r="R40">
        <v>4.1476607999999998E-2</v>
      </c>
      <c r="S40">
        <v>4.2075632000000002E-2</v>
      </c>
      <c r="T40">
        <v>4.2674256000000001E-2</v>
      </c>
      <c r="U40">
        <v>4.3273180000000001E-2</v>
      </c>
      <c r="V40">
        <v>4.3875648000000003E-2</v>
      </c>
      <c r="W40">
        <v>4.4488423999999999E-2</v>
      </c>
      <c r="X40">
        <v>4.5111343999999998E-2</v>
      </c>
      <c r="Y40">
        <v>4.5741499999999997E-2</v>
      </c>
      <c r="Z40">
        <v>4.6378655999999997E-2</v>
      </c>
      <c r="AA40">
        <v>4.7023391999999997E-2</v>
      </c>
      <c r="AB40">
        <v>4.7675936000000002E-2</v>
      </c>
      <c r="AC40">
        <v>1.001575448740288E-2</v>
      </c>
    </row>
    <row r="41" spans="1:33" x14ac:dyDescent="0.45">
      <c r="A41" t="s">
        <v>128</v>
      </c>
      <c r="B41" t="s">
        <v>129</v>
      </c>
      <c r="C41">
        <v>0.12483857600000001</v>
      </c>
      <c r="D41">
        <v>0.122177168</v>
      </c>
      <c r="E41">
        <v>0.119963032</v>
      </c>
      <c r="F41">
        <v>0.11808790399999999</v>
      </c>
      <c r="G41">
        <v>0.11609736800000001</v>
      </c>
      <c r="H41">
        <v>0.11380596</v>
      </c>
      <c r="I41">
        <v>0.111515896</v>
      </c>
      <c r="J41">
        <v>0.109399336</v>
      </c>
      <c r="K41">
        <v>0.107488504</v>
      </c>
      <c r="L41">
        <v>0.105734648</v>
      </c>
      <c r="M41">
        <v>0.10414446400000001</v>
      </c>
      <c r="N41">
        <v>0.102719456</v>
      </c>
      <c r="O41">
        <v>0.10141056</v>
      </c>
      <c r="P41">
        <v>0.10027256</v>
      </c>
      <c r="Q41">
        <v>9.9267408000000001E-2</v>
      </c>
      <c r="R41">
        <v>9.8397992000000004E-2</v>
      </c>
      <c r="S41">
        <v>9.7693543999999993E-2</v>
      </c>
      <c r="T41">
        <v>9.7154119999999997E-2</v>
      </c>
      <c r="U41">
        <v>9.6815248000000007E-2</v>
      </c>
      <c r="V41">
        <v>9.6643400000000004E-2</v>
      </c>
      <c r="W41">
        <v>9.6637704000000005E-2</v>
      </c>
      <c r="X41">
        <v>9.6759144000000005E-2</v>
      </c>
      <c r="Y41">
        <v>9.6902584E-2</v>
      </c>
      <c r="Z41">
        <v>9.7108184E-2</v>
      </c>
      <c r="AA41">
        <v>9.7404288000000006E-2</v>
      </c>
      <c r="AB41">
        <v>9.7757631999999997E-2</v>
      </c>
      <c r="AC41">
        <v>-9.7335290819186016E-3</v>
      </c>
      <c r="AG41" s="13"/>
    </row>
    <row r="42" spans="1:33" x14ac:dyDescent="0.45">
      <c r="A42" t="s">
        <v>130</v>
      </c>
      <c r="B42" t="s">
        <v>131</v>
      </c>
      <c r="C42">
        <v>9.7011752000000007E-2</v>
      </c>
      <c r="D42">
        <v>9.5323727999999996E-2</v>
      </c>
      <c r="E42">
        <v>9.3864928E-2</v>
      </c>
      <c r="F42">
        <v>9.2523648E-2</v>
      </c>
      <c r="G42">
        <v>9.0934360000000006E-2</v>
      </c>
      <c r="H42">
        <v>8.8982368000000006E-2</v>
      </c>
      <c r="I42">
        <v>8.6906232E-2</v>
      </c>
      <c r="J42">
        <v>8.4864703999999999E-2</v>
      </c>
      <c r="K42">
        <v>8.2885327999999994E-2</v>
      </c>
      <c r="L42">
        <v>8.0946472000000005E-2</v>
      </c>
      <c r="M42">
        <v>7.9061928000000004E-2</v>
      </c>
      <c r="N42">
        <v>7.7250440000000004E-2</v>
      </c>
      <c r="O42">
        <v>7.5483776000000002E-2</v>
      </c>
      <c r="P42">
        <v>7.3799192E-2</v>
      </c>
      <c r="Q42">
        <v>7.2188823999999999E-2</v>
      </c>
      <c r="R42">
        <v>7.0666976000000006E-2</v>
      </c>
      <c r="S42">
        <v>6.9257791999999999E-2</v>
      </c>
      <c r="T42">
        <v>6.7990159999999994E-2</v>
      </c>
      <c r="U42">
        <v>6.6878571999999997E-2</v>
      </c>
      <c r="V42">
        <v>6.5919443999999994E-2</v>
      </c>
      <c r="W42">
        <v>6.5113632000000005E-2</v>
      </c>
      <c r="X42">
        <v>6.4456327999999993E-2</v>
      </c>
      <c r="Y42">
        <v>6.3892571999999995E-2</v>
      </c>
      <c r="Z42">
        <v>6.3458587999999996E-2</v>
      </c>
      <c r="AA42">
        <v>6.3206232000000001E-2</v>
      </c>
      <c r="AB42">
        <v>6.3082444000000001E-2</v>
      </c>
      <c r="AC42">
        <v>-1.7068243354986471E-2</v>
      </c>
      <c r="AG42" s="13"/>
    </row>
    <row r="43" spans="1:33" x14ac:dyDescent="0.45">
      <c r="A43" t="s">
        <v>132</v>
      </c>
      <c r="B43" t="s">
        <v>133</v>
      </c>
      <c r="C43">
        <v>0.15743579199999999</v>
      </c>
      <c r="D43">
        <v>0.15289734399999999</v>
      </c>
      <c r="E43">
        <v>0.15377766400000001</v>
      </c>
      <c r="F43">
        <v>0.154119168</v>
      </c>
      <c r="G43">
        <v>0.15401436800000001</v>
      </c>
      <c r="H43">
        <v>0.15365110400000001</v>
      </c>
      <c r="I43">
        <v>0.15306988799999999</v>
      </c>
      <c r="J43">
        <v>0.15265783999999999</v>
      </c>
      <c r="K43">
        <v>0.152172368</v>
      </c>
      <c r="L43">
        <v>0.15165830399999999</v>
      </c>
      <c r="M43">
        <v>0.15102332800000001</v>
      </c>
      <c r="N43">
        <v>0.15022961600000001</v>
      </c>
      <c r="O43">
        <v>0.14910772799999999</v>
      </c>
      <c r="P43">
        <v>0.147685712</v>
      </c>
      <c r="Q43">
        <v>0.145907232</v>
      </c>
      <c r="R43">
        <v>0.14382793599999999</v>
      </c>
      <c r="S43">
        <v>0.14144376</v>
      </c>
      <c r="T43">
        <v>0.13901844799999999</v>
      </c>
      <c r="U43">
        <v>0.13644356799999999</v>
      </c>
      <c r="V43">
        <v>0.133819296</v>
      </c>
      <c r="W43">
        <v>0.13125719199999999</v>
      </c>
      <c r="X43">
        <v>0.12870858399999999</v>
      </c>
      <c r="Y43">
        <v>0.12613221599999999</v>
      </c>
      <c r="Z43">
        <v>0.12373096</v>
      </c>
      <c r="AA43">
        <v>0.12151582399999999</v>
      </c>
      <c r="AB43">
        <v>0.119520032</v>
      </c>
      <c r="AC43">
        <v>-1.096083609828913E-2</v>
      </c>
      <c r="AG43" s="13"/>
    </row>
    <row r="44" spans="1:33" x14ac:dyDescent="0.45">
      <c r="A44" t="s">
        <v>134</v>
      </c>
      <c r="B44" t="s">
        <v>135</v>
      </c>
      <c r="C44">
        <v>2.031976448</v>
      </c>
      <c r="D44">
        <v>2.049780352</v>
      </c>
      <c r="E44">
        <v>1.951656448</v>
      </c>
      <c r="F44">
        <v>1.9885809919999999</v>
      </c>
      <c r="G44">
        <v>2.0226928640000001</v>
      </c>
      <c r="H44">
        <v>2.05212416</v>
      </c>
      <c r="I44">
        <v>2.0794380800000001</v>
      </c>
      <c r="J44">
        <v>2.1075018239999999</v>
      </c>
      <c r="K44">
        <v>2.136621184</v>
      </c>
      <c r="L44">
        <v>2.16900352</v>
      </c>
      <c r="M44">
        <v>2.2028142079999999</v>
      </c>
      <c r="N44">
        <v>2.2369771520000001</v>
      </c>
      <c r="O44">
        <v>2.2721592319999999</v>
      </c>
      <c r="P44">
        <v>2.3081410560000002</v>
      </c>
      <c r="Q44">
        <v>2.3438041599999999</v>
      </c>
      <c r="R44">
        <v>2.375345152</v>
      </c>
      <c r="S44">
        <v>2.4092917759999999</v>
      </c>
      <c r="T44">
        <v>2.4448616959999998</v>
      </c>
      <c r="U44">
        <v>2.4824565760000001</v>
      </c>
      <c r="V44">
        <v>2.5210204159999998</v>
      </c>
      <c r="W44">
        <v>2.5556628479999999</v>
      </c>
      <c r="X44">
        <v>2.5940464639999998</v>
      </c>
      <c r="Y44">
        <v>2.6318520319999998</v>
      </c>
      <c r="Z44">
        <v>2.6698111999999998</v>
      </c>
      <c r="AA44">
        <v>2.7089420799999999</v>
      </c>
      <c r="AB44">
        <v>2.7488279040000001</v>
      </c>
      <c r="AC44">
        <v>1.2159965044791219E-2</v>
      </c>
      <c r="AG44" s="13"/>
    </row>
    <row r="45" spans="1:33" x14ac:dyDescent="0.45">
      <c r="A45" t="s">
        <v>136</v>
      </c>
      <c r="B45" t="s">
        <v>137</v>
      </c>
      <c r="C45">
        <v>5.3316213720000007</v>
      </c>
      <c r="D45">
        <v>5.3623669799999991</v>
      </c>
      <c r="E45">
        <v>5.2717369199999986</v>
      </c>
      <c r="F45">
        <v>5.3177383119999986</v>
      </c>
      <c r="G45">
        <v>5.3427270600000014</v>
      </c>
      <c r="H45">
        <v>5.3451493600000006</v>
      </c>
      <c r="I45">
        <v>5.3415670039999998</v>
      </c>
      <c r="J45">
        <v>5.3418360180000004</v>
      </c>
      <c r="K45">
        <v>5.347222038</v>
      </c>
      <c r="L45">
        <v>5.3599476419999998</v>
      </c>
      <c r="M45">
        <v>5.3780041940000007</v>
      </c>
      <c r="N45">
        <v>5.4010543260000006</v>
      </c>
      <c r="O45">
        <v>5.4282283400000004</v>
      </c>
      <c r="P45">
        <v>5.4599227380000013</v>
      </c>
      <c r="Q45">
        <v>5.4944391539999993</v>
      </c>
      <c r="R45">
        <v>5.525149442</v>
      </c>
      <c r="S45">
        <v>5.5618986719999999</v>
      </c>
      <c r="T45">
        <v>5.6055650739999994</v>
      </c>
      <c r="U45">
        <v>5.6555581939999993</v>
      </c>
      <c r="V45">
        <v>5.7074848999999999</v>
      </c>
      <c r="W45">
        <v>5.7576741820000006</v>
      </c>
      <c r="X45">
        <v>5.810944718</v>
      </c>
      <c r="Y45">
        <v>5.8628346639999993</v>
      </c>
      <c r="Z45">
        <v>5.9148232500000004</v>
      </c>
      <c r="AA45">
        <v>5.9698897759999996</v>
      </c>
      <c r="AB45">
        <v>6.0259786520000009</v>
      </c>
      <c r="AC45">
        <v>4.9089901546321979E-3</v>
      </c>
      <c r="AG45" s="13"/>
    </row>
    <row r="46" spans="1:33" x14ac:dyDescent="0.45">
      <c r="A46" t="s">
        <v>138</v>
      </c>
      <c r="B46" t="s">
        <v>139</v>
      </c>
      <c r="C46">
        <v>7.0134922862052917E-2</v>
      </c>
      <c r="D46">
        <v>9.1486945748329163E-2</v>
      </c>
      <c r="E46">
        <v>0.1193008199334145</v>
      </c>
      <c r="F46">
        <v>0.15019077062606809</v>
      </c>
      <c r="G46">
        <v>0.18050052225589749</v>
      </c>
      <c r="H46">
        <v>0.20873008668422699</v>
      </c>
      <c r="I46">
        <v>0.23311989009380341</v>
      </c>
      <c r="J46">
        <v>0.25518804788589478</v>
      </c>
      <c r="K46">
        <v>0.2769947350025177</v>
      </c>
      <c r="L46">
        <v>0.29923674464225769</v>
      </c>
      <c r="M46">
        <v>0.32176563143730158</v>
      </c>
      <c r="N46">
        <v>0.3443218469619751</v>
      </c>
      <c r="O46">
        <v>0.36690127849578857</v>
      </c>
      <c r="P46">
        <v>0.38932192325592041</v>
      </c>
      <c r="Q46">
        <v>0.41114059090614319</v>
      </c>
      <c r="R46">
        <v>0.43246880173683172</v>
      </c>
      <c r="S46">
        <v>0.4527735710144043</v>
      </c>
      <c r="T46">
        <v>0.47238817811012268</v>
      </c>
      <c r="U46">
        <v>0.49130412936210632</v>
      </c>
      <c r="V46">
        <v>0.50966900587081909</v>
      </c>
      <c r="W46">
        <v>0.52751326560974121</v>
      </c>
      <c r="X46">
        <v>0.54464465379714966</v>
      </c>
      <c r="Y46">
        <v>0.56095385551452637</v>
      </c>
      <c r="Z46">
        <v>0.57689332962036133</v>
      </c>
      <c r="AA46">
        <v>0.59221106767654419</v>
      </c>
      <c r="AB46">
        <v>0.60719448328018188</v>
      </c>
      <c r="AC46">
        <v>9.0173798143279749E-2</v>
      </c>
      <c r="AG46" s="13"/>
    </row>
    <row r="47" spans="1:33" x14ac:dyDescent="0.45">
      <c r="A47" t="s">
        <v>140</v>
      </c>
      <c r="B47" t="s">
        <v>141</v>
      </c>
      <c r="C47">
        <v>0.18513305485248571</v>
      </c>
      <c r="D47">
        <v>0.19618113338947299</v>
      </c>
      <c r="E47">
        <v>0.20806993544101721</v>
      </c>
      <c r="F47">
        <v>0.2202898561954498</v>
      </c>
      <c r="G47">
        <v>0.23191364109516141</v>
      </c>
      <c r="H47">
        <v>0.24404700100421911</v>
      </c>
      <c r="I47">
        <v>0.25698700547218323</v>
      </c>
      <c r="J47">
        <v>0.26999360322952271</v>
      </c>
      <c r="K47">
        <v>0.28355693817138672</v>
      </c>
      <c r="L47">
        <v>0.29791304469108582</v>
      </c>
      <c r="M47">
        <v>0.31315085291862488</v>
      </c>
      <c r="N47">
        <v>0.32913258671760559</v>
      </c>
      <c r="O47">
        <v>0.3461628258228302</v>
      </c>
      <c r="P47">
        <v>0.36398994922637939</v>
      </c>
      <c r="Q47">
        <v>0.38263362646102911</v>
      </c>
      <c r="R47">
        <v>0.40191635489463812</v>
      </c>
      <c r="S47">
        <v>0.42191752791404719</v>
      </c>
      <c r="T47">
        <v>0.44253355264663702</v>
      </c>
      <c r="U47">
        <v>0.46366396546363831</v>
      </c>
      <c r="V47">
        <v>0.48558345437049871</v>
      </c>
      <c r="W47">
        <v>0.50805890560150146</v>
      </c>
      <c r="X47">
        <v>0.53128021955490112</v>
      </c>
      <c r="Y47">
        <v>0.55522787570953369</v>
      </c>
      <c r="Z47">
        <v>0.58007967472076416</v>
      </c>
      <c r="AA47">
        <v>0.60541057586669922</v>
      </c>
      <c r="AB47">
        <v>0.63153308629989624</v>
      </c>
      <c r="AC47">
        <v>5.0307545821676403E-2</v>
      </c>
      <c r="AG47" s="13"/>
    </row>
    <row r="48" spans="1:33" x14ac:dyDescent="0.45">
      <c r="A48" t="s">
        <v>142</v>
      </c>
      <c r="B48" t="s">
        <v>143</v>
      </c>
      <c r="C48">
        <v>5.216623240009568</v>
      </c>
      <c r="D48">
        <v>5.2576727923588553</v>
      </c>
      <c r="E48">
        <v>5.1829678044923968</v>
      </c>
      <c r="F48">
        <v>5.2476392264306178</v>
      </c>
      <c r="G48">
        <v>5.2913139411607366</v>
      </c>
      <c r="H48">
        <v>5.3098324456800086</v>
      </c>
      <c r="I48">
        <v>5.31769988862162</v>
      </c>
      <c r="J48">
        <v>5.3270304626563716</v>
      </c>
      <c r="K48">
        <v>5.3406598348311309</v>
      </c>
      <c r="L48">
        <v>5.3612713419511717</v>
      </c>
      <c r="M48">
        <v>5.3866189725186766</v>
      </c>
      <c r="N48">
        <v>5.4162435862443701</v>
      </c>
      <c r="O48">
        <v>5.4489667926729588</v>
      </c>
      <c r="P48">
        <v>5.4852547120295423</v>
      </c>
      <c r="Q48">
        <v>5.5229461184451134</v>
      </c>
      <c r="R48">
        <v>5.5557018888421936</v>
      </c>
      <c r="S48">
        <v>5.5927547151003569</v>
      </c>
      <c r="T48">
        <v>5.6354196994634851</v>
      </c>
      <c r="U48">
        <v>5.6831983578984673</v>
      </c>
      <c r="V48">
        <v>5.7315704515003203</v>
      </c>
      <c r="W48">
        <v>5.7771285420082403</v>
      </c>
      <c r="X48">
        <v>5.8243091522422494</v>
      </c>
      <c r="Y48">
        <v>5.868560643804992</v>
      </c>
      <c r="Z48">
        <v>5.9116369048995976</v>
      </c>
      <c r="AA48">
        <v>5.9566902678098446</v>
      </c>
      <c r="AB48">
        <v>6.0016400489802866</v>
      </c>
      <c r="AC48">
        <v>5.6230491125790483E-3</v>
      </c>
    </row>
    <row r="49" spans="1:33" x14ac:dyDescent="0.45">
      <c r="AG49" s="13"/>
    </row>
    <row r="50" spans="1:33" x14ac:dyDescent="0.45">
      <c r="B50" t="s">
        <v>144</v>
      </c>
      <c r="AG50" s="13"/>
    </row>
    <row r="51" spans="1:33" x14ac:dyDescent="0.45">
      <c r="A51" t="s">
        <v>145</v>
      </c>
      <c r="B51" t="s">
        <v>109</v>
      </c>
      <c r="C51">
        <v>3.118029312</v>
      </c>
      <c r="D51">
        <v>2.929732096</v>
      </c>
      <c r="E51">
        <v>3.0470679039999999</v>
      </c>
      <c r="F51">
        <v>3.0283389440000001</v>
      </c>
      <c r="G51">
        <v>2.9919605759999999</v>
      </c>
      <c r="H51">
        <v>2.9475128320000001</v>
      </c>
      <c r="I51">
        <v>2.900389632</v>
      </c>
      <c r="J51">
        <v>2.8565015040000001</v>
      </c>
      <c r="K51">
        <v>2.8131284480000001</v>
      </c>
      <c r="L51">
        <v>2.772394496</v>
      </c>
      <c r="M51">
        <v>2.7328186880000001</v>
      </c>
      <c r="N51">
        <v>2.6957132800000001</v>
      </c>
      <c r="O51">
        <v>2.6580510720000001</v>
      </c>
      <c r="P51">
        <v>2.622240256</v>
      </c>
      <c r="Q51">
        <v>2.5871393280000001</v>
      </c>
      <c r="R51">
        <v>2.5533125120000002</v>
      </c>
      <c r="S51">
        <v>2.519939328</v>
      </c>
      <c r="T51">
        <v>2.4903383039999998</v>
      </c>
      <c r="U51">
        <v>2.4626063359999999</v>
      </c>
      <c r="V51">
        <v>2.4366440960000002</v>
      </c>
      <c r="W51">
        <v>2.412092672</v>
      </c>
      <c r="X51">
        <v>2.3866539520000001</v>
      </c>
      <c r="Y51">
        <v>2.3599639039999998</v>
      </c>
      <c r="Z51">
        <v>2.3336017920000001</v>
      </c>
      <c r="AA51">
        <v>2.30767744</v>
      </c>
      <c r="AB51">
        <v>2.2826296319999999</v>
      </c>
      <c r="AC51">
        <v>-1.2397432551546791E-2</v>
      </c>
      <c r="AG51" s="13"/>
    </row>
    <row r="52" spans="1:33" x14ac:dyDescent="0.45">
      <c r="A52" t="s">
        <v>146</v>
      </c>
      <c r="B52" t="s">
        <v>111</v>
      </c>
      <c r="C52">
        <v>5.8598367999999998E-2</v>
      </c>
      <c r="D52">
        <v>6.2154656000000003E-2</v>
      </c>
      <c r="E52">
        <v>6.2590276E-2</v>
      </c>
      <c r="F52">
        <v>6.2752188E-2</v>
      </c>
      <c r="G52">
        <v>6.271148E-2</v>
      </c>
      <c r="H52">
        <v>6.2575855999999999E-2</v>
      </c>
      <c r="I52">
        <v>6.2453203999999998E-2</v>
      </c>
      <c r="J52">
        <v>6.2430064E-2</v>
      </c>
      <c r="K52">
        <v>6.2446396000000001E-2</v>
      </c>
      <c r="L52">
        <v>6.2544996000000005E-2</v>
      </c>
      <c r="M52">
        <v>6.2666996000000003E-2</v>
      </c>
      <c r="N52">
        <v>6.2853296000000003E-2</v>
      </c>
      <c r="O52">
        <v>6.3069548000000003E-2</v>
      </c>
      <c r="P52">
        <v>6.3308059999999999E-2</v>
      </c>
      <c r="Q52">
        <v>6.3571704000000007E-2</v>
      </c>
      <c r="R52">
        <v>6.3894231999999995E-2</v>
      </c>
      <c r="S52">
        <v>6.4258975999999995E-2</v>
      </c>
      <c r="T52">
        <v>6.4725168E-2</v>
      </c>
      <c r="U52">
        <v>6.5211411999999996E-2</v>
      </c>
      <c r="V52">
        <v>6.5680888000000007E-2</v>
      </c>
      <c r="W52">
        <v>6.6162064000000007E-2</v>
      </c>
      <c r="X52">
        <v>6.6587255999999997E-2</v>
      </c>
      <c r="Y52">
        <v>6.6993116000000005E-2</v>
      </c>
      <c r="Z52">
        <v>6.7365248000000003E-2</v>
      </c>
      <c r="AA52">
        <v>6.7758520000000003E-2</v>
      </c>
      <c r="AB52">
        <v>6.8145159999999996E-2</v>
      </c>
      <c r="AC52">
        <v>6.055592995690473E-3</v>
      </c>
      <c r="AG52" s="13"/>
    </row>
    <row r="53" spans="1:33" x14ac:dyDescent="0.45">
      <c r="A53" t="s">
        <v>147</v>
      </c>
      <c r="B53" t="s">
        <v>113</v>
      </c>
      <c r="C53">
        <v>1.0242655359999999</v>
      </c>
      <c r="D53">
        <v>1.0351788799999999</v>
      </c>
      <c r="E53">
        <v>1.0454208</v>
      </c>
      <c r="F53">
        <v>1.05518592</v>
      </c>
      <c r="G53">
        <v>1.053344128</v>
      </c>
      <c r="H53">
        <v>1.049760896</v>
      </c>
      <c r="I53">
        <v>1.0468996479999999</v>
      </c>
      <c r="J53">
        <v>1.045200192</v>
      </c>
      <c r="K53">
        <v>1.042567424</v>
      </c>
      <c r="L53">
        <v>1.041999296</v>
      </c>
      <c r="M53">
        <v>1.04300736</v>
      </c>
      <c r="N53">
        <v>1.0435045119999999</v>
      </c>
      <c r="O53">
        <v>1.043020928</v>
      </c>
      <c r="P53">
        <v>1.0422154239999999</v>
      </c>
      <c r="Q53">
        <v>1.0409104</v>
      </c>
      <c r="R53">
        <v>1.039288896</v>
      </c>
      <c r="S53">
        <v>1.037015552</v>
      </c>
      <c r="T53">
        <v>1.034723072</v>
      </c>
      <c r="U53">
        <v>1.032110976</v>
      </c>
      <c r="V53">
        <v>1.029129344</v>
      </c>
      <c r="W53">
        <v>1.0254291200000001</v>
      </c>
      <c r="X53">
        <v>1.0206722560000001</v>
      </c>
      <c r="Y53">
        <v>1.015128832</v>
      </c>
      <c r="Z53">
        <v>1.009384064</v>
      </c>
      <c r="AA53">
        <v>1.0039144959999999</v>
      </c>
      <c r="AB53">
        <v>0.99913017599999998</v>
      </c>
      <c r="AC53">
        <v>-9.9334662499550586E-4</v>
      </c>
    </row>
    <row r="54" spans="1:33" x14ac:dyDescent="0.45">
      <c r="A54" t="s">
        <v>148</v>
      </c>
      <c r="B54" t="s">
        <v>117</v>
      </c>
      <c r="C54">
        <v>7.7267743999999999E-2</v>
      </c>
      <c r="D54">
        <v>7.7256063999999999E-2</v>
      </c>
      <c r="E54">
        <v>7.7246512000000003E-2</v>
      </c>
      <c r="F54">
        <v>7.7222351999999994E-2</v>
      </c>
      <c r="G54">
        <v>7.7195215999999997E-2</v>
      </c>
      <c r="H54">
        <v>7.7166808000000003E-2</v>
      </c>
      <c r="I54">
        <v>7.7124479999999995E-2</v>
      </c>
      <c r="J54">
        <v>7.7065343999999994E-2</v>
      </c>
      <c r="K54">
        <v>7.7005928000000001E-2</v>
      </c>
      <c r="L54">
        <v>7.6969895999999996E-2</v>
      </c>
      <c r="M54">
        <v>7.6962048000000005E-2</v>
      </c>
      <c r="N54">
        <v>7.6990775999999997E-2</v>
      </c>
      <c r="O54">
        <v>7.7060383999999996E-2</v>
      </c>
      <c r="P54">
        <v>7.7216536000000002E-2</v>
      </c>
      <c r="Q54">
        <v>7.7432303999999993E-2</v>
      </c>
      <c r="R54">
        <v>7.7711552000000003E-2</v>
      </c>
      <c r="S54">
        <v>7.8045175999999994E-2</v>
      </c>
      <c r="T54">
        <v>7.8430440000000004E-2</v>
      </c>
      <c r="U54">
        <v>7.8815583999999994E-2</v>
      </c>
      <c r="V54">
        <v>7.9202544E-2</v>
      </c>
      <c r="W54">
        <v>7.9598823999999999E-2</v>
      </c>
      <c r="X54">
        <v>8.0006376000000004E-2</v>
      </c>
      <c r="Y54">
        <v>8.0424376000000006E-2</v>
      </c>
      <c r="Z54">
        <v>8.0854527999999995E-2</v>
      </c>
      <c r="AA54">
        <v>8.1298848000000007E-2</v>
      </c>
      <c r="AB54">
        <v>8.1760856000000007E-2</v>
      </c>
      <c r="AC54">
        <v>2.263438152300123E-3</v>
      </c>
      <c r="AG54" s="13"/>
    </row>
    <row r="55" spans="1:33" x14ac:dyDescent="0.45">
      <c r="A55" t="s">
        <v>149</v>
      </c>
      <c r="B55" t="s">
        <v>119</v>
      </c>
      <c r="C55">
        <v>3.9573959999999998E-2</v>
      </c>
      <c r="D55">
        <v>4.0283911999999998E-2</v>
      </c>
      <c r="E55">
        <v>4.0920216000000002E-2</v>
      </c>
      <c r="F55">
        <v>4.1544143999999998E-2</v>
      </c>
      <c r="G55">
        <v>4.2108663999999997E-2</v>
      </c>
      <c r="H55">
        <v>4.2643227999999998E-2</v>
      </c>
      <c r="I55">
        <v>4.3186955999999999E-2</v>
      </c>
      <c r="J55">
        <v>4.3759324000000002E-2</v>
      </c>
      <c r="K55">
        <v>4.420806E-2</v>
      </c>
      <c r="L55">
        <v>4.4701355999999998E-2</v>
      </c>
      <c r="M55">
        <v>4.5237623999999997E-2</v>
      </c>
      <c r="N55">
        <v>4.5825655999999999E-2</v>
      </c>
      <c r="O55">
        <v>4.6395935999999999E-2</v>
      </c>
      <c r="P55">
        <v>4.6977848000000003E-2</v>
      </c>
      <c r="Q55">
        <v>4.7561140000000002E-2</v>
      </c>
      <c r="R55">
        <v>4.8145871999999999E-2</v>
      </c>
      <c r="S55">
        <v>4.8723816000000003E-2</v>
      </c>
      <c r="T55">
        <v>4.9351908E-2</v>
      </c>
      <c r="U55">
        <v>5.0014775999999997E-2</v>
      </c>
      <c r="V55">
        <v>5.0706528000000001E-2</v>
      </c>
      <c r="W55">
        <v>5.1405520000000003E-2</v>
      </c>
      <c r="X55">
        <v>5.2087891999999997E-2</v>
      </c>
      <c r="Y55">
        <v>5.2755844000000003E-2</v>
      </c>
      <c r="Z55">
        <v>5.3424048000000002E-2</v>
      </c>
      <c r="AA55">
        <v>5.4099875999999998E-2</v>
      </c>
      <c r="AB55">
        <v>5.4789400000000002E-2</v>
      </c>
      <c r="AC55">
        <v>1.3098054503162929E-2</v>
      </c>
      <c r="AG55" s="13"/>
    </row>
    <row r="56" spans="1:33" x14ac:dyDescent="0.45">
      <c r="A56" t="s">
        <v>150</v>
      </c>
      <c r="B56" t="s">
        <v>151</v>
      </c>
      <c r="C56">
        <v>0.60834560000000004</v>
      </c>
      <c r="D56">
        <v>0.61166591999999997</v>
      </c>
      <c r="E56">
        <v>0.61394630400000005</v>
      </c>
      <c r="F56">
        <v>0.61501363200000003</v>
      </c>
      <c r="G56">
        <v>0.61462041599999995</v>
      </c>
      <c r="H56">
        <v>0.61321504000000004</v>
      </c>
      <c r="I56">
        <v>0.61157491200000003</v>
      </c>
      <c r="J56">
        <v>0.61024972799999999</v>
      </c>
      <c r="K56">
        <v>0.60843251200000004</v>
      </c>
      <c r="L56">
        <v>0.60708844799999995</v>
      </c>
      <c r="M56">
        <v>0.60590003199999998</v>
      </c>
      <c r="N56">
        <v>0.60509100800000004</v>
      </c>
      <c r="O56">
        <v>0.60413382400000004</v>
      </c>
      <c r="P56">
        <v>0.603321408</v>
      </c>
      <c r="Q56">
        <v>0.60255628800000005</v>
      </c>
      <c r="R56">
        <v>0.60190777600000001</v>
      </c>
      <c r="S56">
        <v>0.60136454399999995</v>
      </c>
      <c r="T56">
        <v>0.60120902399999998</v>
      </c>
      <c r="U56">
        <v>0.60129600000000005</v>
      </c>
      <c r="V56">
        <v>0.60158265600000005</v>
      </c>
      <c r="W56">
        <v>0.60179142399999996</v>
      </c>
      <c r="X56">
        <v>0.60165894399999997</v>
      </c>
      <c r="Y56">
        <v>0.60125036799999998</v>
      </c>
      <c r="Z56">
        <v>0.60075871999999997</v>
      </c>
      <c r="AA56">
        <v>0.60029504</v>
      </c>
      <c r="AB56">
        <v>0.59991673599999995</v>
      </c>
      <c r="AC56">
        <v>-5.5793506734624909E-4</v>
      </c>
      <c r="AG56" s="13"/>
    </row>
    <row r="57" spans="1:33" x14ac:dyDescent="0.45">
      <c r="A57" t="s">
        <v>152</v>
      </c>
      <c r="B57" t="s">
        <v>153</v>
      </c>
      <c r="C57">
        <v>4.9260802268981934</v>
      </c>
      <c r="D57">
        <v>4.7562723159790039</v>
      </c>
      <c r="E57">
        <v>4.8871927261352539</v>
      </c>
      <c r="F57">
        <v>4.8800573348999023</v>
      </c>
      <c r="G57">
        <v>4.8419408798217773</v>
      </c>
      <c r="H57">
        <v>4.792874813079834</v>
      </c>
      <c r="I57">
        <v>4.7416291236877441</v>
      </c>
      <c r="J57">
        <v>4.6952061653137207</v>
      </c>
      <c r="K57">
        <v>4.6477890014648438</v>
      </c>
      <c r="L57">
        <v>4.6056985855102539</v>
      </c>
      <c r="M57">
        <v>4.5665931701660156</v>
      </c>
      <c r="N57">
        <v>4.5299792289733887</v>
      </c>
      <c r="O57">
        <v>4.491732120513916</v>
      </c>
      <c r="P57">
        <v>4.4552803039550781</v>
      </c>
      <c r="Q57">
        <v>4.4191713333129883</v>
      </c>
      <c r="R57">
        <v>4.3842606544494629</v>
      </c>
      <c r="S57">
        <v>4.3493475914001456</v>
      </c>
      <c r="T57">
        <v>4.3187780380249023</v>
      </c>
      <c r="U57">
        <v>4.2900552749633789</v>
      </c>
      <c r="V57">
        <v>4.2629461288452148</v>
      </c>
      <c r="W57">
        <v>4.2364802360534668</v>
      </c>
      <c r="X57">
        <v>4.2076668739318848</v>
      </c>
      <c r="Y57">
        <v>4.1765165328979492</v>
      </c>
      <c r="Z57">
        <v>4.1453886032104492</v>
      </c>
      <c r="AA57">
        <v>4.1150445938110352</v>
      </c>
      <c r="AB57">
        <v>4.086371898651123</v>
      </c>
      <c r="AC57">
        <v>-7.4475714078754418E-3</v>
      </c>
      <c r="AG57" s="13"/>
    </row>
    <row r="58" spans="1:33" x14ac:dyDescent="0.45">
      <c r="AG58" s="13"/>
    </row>
    <row r="59" spans="1:33" x14ac:dyDescent="0.45">
      <c r="B59" t="s">
        <v>154</v>
      </c>
      <c r="AG59" s="13"/>
    </row>
    <row r="60" spans="1:33" x14ac:dyDescent="0.45">
      <c r="A60" t="s">
        <v>155</v>
      </c>
      <c r="B60" t="s">
        <v>109</v>
      </c>
      <c r="C60">
        <v>0.42536784</v>
      </c>
      <c r="D60">
        <v>0.409160896</v>
      </c>
      <c r="E60">
        <v>0.40481756800000002</v>
      </c>
      <c r="F60">
        <v>0.39842924800000001</v>
      </c>
      <c r="G60">
        <v>0.39159583999999997</v>
      </c>
      <c r="H60">
        <v>0.38541782400000002</v>
      </c>
      <c r="I60">
        <v>0.37914031999999998</v>
      </c>
      <c r="J60">
        <v>0.37317808000000002</v>
      </c>
      <c r="K60">
        <v>0.367289792</v>
      </c>
      <c r="L60">
        <v>0.36187728000000002</v>
      </c>
      <c r="M60">
        <v>0.35654764799999999</v>
      </c>
      <c r="N60">
        <v>0.35143584</v>
      </c>
      <c r="O60">
        <v>0.34647817600000003</v>
      </c>
      <c r="P60">
        <v>0.34170550399999999</v>
      </c>
      <c r="Q60">
        <v>0.33711088</v>
      </c>
      <c r="R60">
        <v>0.33257625600000001</v>
      </c>
      <c r="S60">
        <v>0.32808076800000002</v>
      </c>
      <c r="T60">
        <v>0.32377766400000002</v>
      </c>
      <c r="U60">
        <v>0.31953401599999998</v>
      </c>
      <c r="V60">
        <v>0.31542748799999998</v>
      </c>
      <c r="W60">
        <v>0.31137142400000001</v>
      </c>
      <c r="X60">
        <v>0.30740188800000001</v>
      </c>
      <c r="Y60">
        <v>0.30341849599999998</v>
      </c>
      <c r="Z60">
        <v>0.299458528</v>
      </c>
      <c r="AA60">
        <v>0.29552342399999998</v>
      </c>
      <c r="AB60">
        <v>0.29172918399999997</v>
      </c>
      <c r="AC60">
        <v>-1.497192455298002E-2</v>
      </c>
    </row>
    <row r="61" spans="1:33" s="14" customFormat="1" x14ac:dyDescent="0.45">
      <c r="A61" s="14" t="s">
        <v>156</v>
      </c>
      <c r="B61" s="14" t="s">
        <v>113</v>
      </c>
      <c r="C61" s="14">
        <v>3.7856924E-2</v>
      </c>
      <c r="D61" s="14">
        <v>3.5875452000000002E-2</v>
      </c>
      <c r="E61">
        <v>3.3764559999999999E-2</v>
      </c>
      <c r="F61" s="14">
        <v>3.1760318000000003E-2</v>
      </c>
      <c r="G61" s="14">
        <v>2.9821963999999999E-2</v>
      </c>
      <c r="H61" s="14">
        <v>2.8182556000000001E-2</v>
      </c>
      <c r="I61" s="14">
        <v>2.6771066E-2</v>
      </c>
      <c r="J61" s="14">
        <v>2.5623322E-2</v>
      </c>
      <c r="K61" s="14">
        <v>2.4712479999999998E-2</v>
      </c>
      <c r="L61" s="14">
        <v>2.4074603999999999E-2</v>
      </c>
      <c r="M61" s="14">
        <v>2.3676277999999999E-2</v>
      </c>
      <c r="N61" s="14">
        <v>2.3233988000000001E-2</v>
      </c>
      <c r="O61" s="14">
        <v>2.2777892000000001E-2</v>
      </c>
      <c r="P61" s="14">
        <v>2.2309217999999999E-2</v>
      </c>
      <c r="Q61" s="14">
        <v>2.1833941999999999E-2</v>
      </c>
      <c r="R61" s="14">
        <v>2.1354017999999999E-2</v>
      </c>
      <c r="S61" s="14">
        <v>2.0862208E-2</v>
      </c>
      <c r="T61" s="14">
        <v>2.0367122000000001E-2</v>
      </c>
      <c r="U61" s="14">
        <v>1.9869511999999999E-2</v>
      </c>
      <c r="V61" s="14">
        <v>1.9371581999999998E-2</v>
      </c>
      <c r="W61" s="14">
        <v>1.8869574E-2</v>
      </c>
      <c r="X61" s="14">
        <v>1.8372125999999999E-2</v>
      </c>
      <c r="Y61" s="14">
        <v>1.7880828000000001E-2</v>
      </c>
      <c r="Z61" s="14">
        <v>1.7401414E-2</v>
      </c>
      <c r="AA61" s="14">
        <v>1.6940015999999999E-2</v>
      </c>
      <c r="AB61" s="14">
        <v>1.6508926E-2</v>
      </c>
      <c r="AC61" s="14">
        <v>-3.2651550467683747E-2</v>
      </c>
      <c r="AG61" s="15"/>
    </row>
    <row r="62" spans="1:33" s="14" customFormat="1" x14ac:dyDescent="0.45">
      <c r="A62" s="14" t="s">
        <v>157</v>
      </c>
      <c r="B62" s="14" t="s">
        <v>158</v>
      </c>
      <c r="C62" s="14">
        <v>2.605526E-2</v>
      </c>
      <c r="D62" s="14">
        <v>2.6323658E-2</v>
      </c>
      <c r="E62">
        <v>2.6369386000000002E-2</v>
      </c>
      <c r="F62" s="14">
        <v>2.6309869999999999E-2</v>
      </c>
      <c r="G62" s="14">
        <v>2.6205866000000001E-2</v>
      </c>
      <c r="H62" s="14">
        <v>2.6145310000000001E-2</v>
      </c>
      <c r="I62" s="14">
        <v>2.6071268000000002E-2</v>
      </c>
      <c r="J62" s="14">
        <v>2.6010390000000001E-2</v>
      </c>
      <c r="K62" s="14">
        <v>2.5942750000000001E-2</v>
      </c>
      <c r="L62" s="14">
        <v>2.5899246000000001E-2</v>
      </c>
      <c r="M62" s="14">
        <v>2.5848791999999999E-2</v>
      </c>
      <c r="N62" s="14">
        <v>2.5802875999999999E-2</v>
      </c>
      <c r="O62" s="14">
        <v>2.5762488E-2</v>
      </c>
      <c r="P62" s="14">
        <v>2.5723826000000002E-2</v>
      </c>
      <c r="Q62" s="14">
        <v>2.5689788000000002E-2</v>
      </c>
      <c r="R62" s="14">
        <v>2.5656688E-2</v>
      </c>
      <c r="S62" s="14">
        <v>2.5618281999999999E-2</v>
      </c>
      <c r="T62" s="14">
        <v>2.5582908000000001E-2</v>
      </c>
      <c r="U62" s="14">
        <v>2.5548856000000002E-2</v>
      </c>
      <c r="V62" s="14">
        <v>2.5516258E-2</v>
      </c>
      <c r="W62" s="14">
        <v>2.5476874E-2</v>
      </c>
      <c r="X62" s="14">
        <v>2.5437815999999999E-2</v>
      </c>
      <c r="Y62" s="14">
        <v>2.5395692000000001E-2</v>
      </c>
      <c r="Z62" s="14">
        <v>2.5351438E-2</v>
      </c>
      <c r="AA62" s="14">
        <v>2.5306002000000001E-2</v>
      </c>
      <c r="AB62" s="14">
        <v>2.5270761999999999E-2</v>
      </c>
      <c r="AC62" s="14">
        <v>-1.2221162838391699E-3</v>
      </c>
      <c r="AG62" s="15"/>
    </row>
    <row r="63" spans="1:33" s="16" customFormat="1" x14ac:dyDescent="0.45">
      <c r="A63" s="16" t="s">
        <v>159</v>
      </c>
      <c r="B63" s="16" t="s">
        <v>153</v>
      </c>
      <c r="C63" s="16">
        <v>0.48928001523017878</v>
      </c>
      <c r="D63" s="16">
        <v>0.47136002779006958</v>
      </c>
      <c r="E63">
        <v>0.46495157480239868</v>
      </c>
      <c r="F63" s="16">
        <v>0.45649954676628107</v>
      </c>
      <c r="G63" s="16">
        <v>0.44762369990348821</v>
      </c>
      <c r="H63" s="16">
        <v>0.43974563479423517</v>
      </c>
      <c r="I63" s="16">
        <v>0.43198266625404358</v>
      </c>
      <c r="J63" s="16">
        <v>0.42481181025505071</v>
      </c>
      <c r="K63" s="16">
        <v>0.41794514656066889</v>
      </c>
      <c r="L63" s="16">
        <v>0.41185116767883301</v>
      </c>
      <c r="M63" s="16">
        <v>0.4060727059841156</v>
      </c>
      <c r="N63" s="16">
        <v>0.40047276020050049</v>
      </c>
      <c r="O63" s="16">
        <v>0.39501944184303278</v>
      </c>
      <c r="P63" s="16">
        <v>0.3897416889667511</v>
      </c>
      <c r="Q63" s="16">
        <v>0.38464006781578058</v>
      </c>
      <c r="R63" s="16">
        <v>0.37959465384483337</v>
      </c>
      <c r="S63" s="16">
        <v>0.37457168102264399</v>
      </c>
      <c r="T63" s="16">
        <v>0.36974090337753301</v>
      </c>
      <c r="U63" s="16">
        <v>0.36496850848197943</v>
      </c>
      <c r="V63" s="16">
        <v>0.36033466458320618</v>
      </c>
      <c r="W63" s="16">
        <v>0.35574036836624151</v>
      </c>
      <c r="X63" s="16">
        <v>0.35123756527900701</v>
      </c>
      <c r="Y63" s="16">
        <v>0.34672409296035772</v>
      </c>
      <c r="Z63" s="16">
        <v>0.34224361181259161</v>
      </c>
      <c r="AA63" s="16">
        <v>0.33780473470687872</v>
      </c>
      <c r="AB63" s="16">
        <v>0.33354681730270391</v>
      </c>
      <c r="AC63" s="16">
        <v>-1.5209222169628391E-2</v>
      </c>
      <c r="AG63" s="17"/>
    </row>
    <row r="64" spans="1:33" x14ac:dyDescent="0.45">
      <c r="AG64" s="13"/>
    </row>
    <row r="65" spans="1:33" x14ac:dyDescent="0.45">
      <c r="B65" t="s">
        <v>160</v>
      </c>
      <c r="AG65" s="13"/>
    </row>
    <row r="66" spans="1:33" s="16" customFormat="1" x14ac:dyDescent="0.45">
      <c r="A66" s="16" t="s">
        <v>161</v>
      </c>
      <c r="B66" s="16" t="s">
        <v>109</v>
      </c>
      <c r="C66" s="16">
        <v>0.37752092799999998</v>
      </c>
      <c r="D66" s="16">
        <v>0.36312345600000001</v>
      </c>
      <c r="E66">
        <v>0.34120233599999999</v>
      </c>
      <c r="F66" s="16">
        <v>0.33858147199999999</v>
      </c>
      <c r="G66" s="16">
        <v>0.33409823999999999</v>
      </c>
      <c r="H66" s="16">
        <v>0.328570048</v>
      </c>
      <c r="I66" s="16">
        <v>0.32222105600000001</v>
      </c>
      <c r="J66" s="16">
        <v>0.31594832</v>
      </c>
      <c r="K66" s="16">
        <v>0.3099808</v>
      </c>
      <c r="L66" s="16">
        <v>0.30452153599999998</v>
      </c>
      <c r="M66" s="16">
        <v>0.29947724799999997</v>
      </c>
      <c r="N66" s="16">
        <v>0.29476940800000001</v>
      </c>
      <c r="O66" s="16">
        <v>0.29023353600000001</v>
      </c>
      <c r="P66" s="16">
        <v>0.285863808</v>
      </c>
      <c r="Q66" s="16">
        <v>0.28161328000000002</v>
      </c>
      <c r="R66" s="16">
        <v>0.27760268799999999</v>
      </c>
      <c r="S66" s="16">
        <v>0.273847648</v>
      </c>
      <c r="T66" s="16">
        <v>0.27051984000000001</v>
      </c>
      <c r="U66" s="16">
        <v>0.26754745600000002</v>
      </c>
      <c r="V66" s="16">
        <v>0.26485846400000002</v>
      </c>
      <c r="W66" s="16">
        <v>0.26235745599999999</v>
      </c>
      <c r="X66" s="16">
        <v>0.25987972799999998</v>
      </c>
      <c r="Y66" s="16">
        <v>0.257270416</v>
      </c>
      <c r="Z66" s="16">
        <v>0.25461995199999998</v>
      </c>
      <c r="AA66" s="16">
        <v>0.251971216</v>
      </c>
      <c r="AB66" s="16">
        <v>0.24937891200000001</v>
      </c>
      <c r="AC66" s="16">
        <v>-1.644930918232446E-2</v>
      </c>
      <c r="AG66" s="17"/>
    </row>
    <row r="67" spans="1:33" x14ac:dyDescent="0.45">
      <c r="A67" t="s">
        <v>162</v>
      </c>
      <c r="B67" t="s">
        <v>113</v>
      </c>
      <c r="C67">
        <v>5.8524816E-2</v>
      </c>
      <c r="D67">
        <v>5.9045232000000003E-2</v>
      </c>
      <c r="E67">
        <v>5.9788363999999997E-2</v>
      </c>
      <c r="F67">
        <v>6.0390256000000003E-2</v>
      </c>
      <c r="G67">
        <v>5.9602552000000003E-2</v>
      </c>
      <c r="H67">
        <v>5.8604436000000003E-2</v>
      </c>
      <c r="I67">
        <v>5.7557207999999999E-2</v>
      </c>
      <c r="J67">
        <v>5.6583512000000002E-2</v>
      </c>
      <c r="K67">
        <v>5.5702179999999997E-2</v>
      </c>
      <c r="L67">
        <v>5.5020607999999999E-2</v>
      </c>
      <c r="M67">
        <v>5.4533824000000002E-2</v>
      </c>
      <c r="N67">
        <v>5.3958739999999998E-2</v>
      </c>
      <c r="O67">
        <v>5.3306795999999997E-2</v>
      </c>
      <c r="P67">
        <v>5.2582360000000002E-2</v>
      </c>
      <c r="Q67">
        <v>5.1788816000000001E-2</v>
      </c>
      <c r="R67">
        <v>5.0961772000000002E-2</v>
      </c>
      <c r="S67">
        <v>5.0117759999999997E-2</v>
      </c>
      <c r="T67">
        <v>4.9286348000000001E-2</v>
      </c>
      <c r="U67">
        <v>4.8475836000000001E-2</v>
      </c>
      <c r="V67">
        <v>4.7684471999999999E-2</v>
      </c>
      <c r="W67">
        <v>4.6888052E-2</v>
      </c>
      <c r="X67">
        <v>4.6069628000000001E-2</v>
      </c>
      <c r="Y67">
        <v>4.5236156E-2</v>
      </c>
      <c r="Z67">
        <v>4.4409216000000001E-2</v>
      </c>
      <c r="AA67">
        <v>4.36164E-2</v>
      </c>
      <c r="AB67">
        <v>4.2877907999999999E-2</v>
      </c>
      <c r="AC67">
        <v>-1.2366662145239521E-2</v>
      </c>
      <c r="AG67" s="13"/>
    </row>
    <row r="68" spans="1:33" x14ac:dyDescent="0.45">
      <c r="A68" t="s">
        <v>163</v>
      </c>
      <c r="B68" t="s">
        <v>117</v>
      </c>
      <c r="C68">
        <v>1.0416893E-2</v>
      </c>
      <c r="D68">
        <v>1.0382659000000001E-2</v>
      </c>
      <c r="E68">
        <v>1.0352623E-2</v>
      </c>
      <c r="F68">
        <v>1.0320664E-2</v>
      </c>
      <c r="G68">
        <v>1.0288456E-2</v>
      </c>
      <c r="H68">
        <v>1.0251335E-2</v>
      </c>
      <c r="I68">
        <v>1.0208539000000001E-2</v>
      </c>
      <c r="J68">
        <v>1.0160659000000001E-2</v>
      </c>
      <c r="K68">
        <v>1.0109655E-2</v>
      </c>
      <c r="L68">
        <v>1.0054894999999999E-2</v>
      </c>
      <c r="M68">
        <v>9.9962169999999999E-3</v>
      </c>
      <c r="N68">
        <v>9.9327949999999995E-3</v>
      </c>
      <c r="O68">
        <v>9.8648179999999992E-3</v>
      </c>
      <c r="P68">
        <v>9.8131069999999997E-3</v>
      </c>
      <c r="Q68">
        <v>9.7768479999999994E-3</v>
      </c>
      <c r="R68">
        <v>9.7585469999999994E-3</v>
      </c>
      <c r="S68">
        <v>9.7593279999999994E-3</v>
      </c>
      <c r="T68">
        <v>9.7802050000000001E-3</v>
      </c>
      <c r="U68">
        <v>9.7986549999999999E-3</v>
      </c>
      <c r="V68">
        <v>9.8149589999999998E-3</v>
      </c>
      <c r="W68">
        <v>9.8302839999999999E-3</v>
      </c>
      <c r="X68">
        <v>9.8444940000000005E-3</v>
      </c>
      <c r="Y68">
        <v>9.8571200000000005E-3</v>
      </c>
      <c r="Z68">
        <v>9.8679949999999992E-3</v>
      </c>
      <c r="AA68">
        <v>9.8773070000000001E-3</v>
      </c>
      <c r="AB68">
        <v>9.8855120000000008E-3</v>
      </c>
      <c r="AC68">
        <v>-2.0921509687310551E-3</v>
      </c>
      <c r="AG68" s="13"/>
    </row>
    <row r="69" spans="1:33" x14ac:dyDescent="0.45">
      <c r="A69" t="s">
        <v>164</v>
      </c>
      <c r="B69" t="s">
        <v>165</v>
      </c>
      <c r="C69">
        <v>7.8037311999999998E-2</v>
      </c>
      <c r="D69">
        <v>8.1168695999999999E-2</v>
      </c>
      <c r="E69">
        <v>8.4197159999999993E-2</v>
      </c>
      <c r="F69">
        <v>8.6919023999999998E-2</v>
      </c>
      <c r="G69">
        <v>8.9321968000000002E-2</v>
      </c>
      <c r="H69">
        <v>9.1502511999999994E-2</v>
      </c>
      <c r="I69">
        <v>9.3499600000000002E-2</v>
      </c>
      <c r="J69">
        <v>9.5470912000000005E-2</v>
      </c>
      <c r="K69">
        <v>9.7410464000000002E-2</v>
      </c>
      <c r="L69">
        <v>9.9465440000000002E-2</v>
      </c>
      <c r="M69">
        <v>0.101613936</v>
      </c>
      <c r="N69">
        <v>0.10382166399999999</v>
      </c>
      <c r="O69">
        <v>0.10602426399999999</v>
      </c>
      <c r="P69">
        <v>0.108215704</v>
      </c>
      <c r="Q69">
        <v>0.110387264</v>
      </c>
      <c r="R69">
        <v>0.112575104</v>
      </c>
      <c r="S69">
        <v>0.114813912</v>
      </c>
      <c r="T69">
        <v>0.117151528</v>
      </c>
      <c r="U69">
        <v>0.119593984</v>
      </c>
      <c r="V69">
        <v>0.122121088</v>
      </c>
      <c r="W69">
        <v>0.124669688</v>
      </c>
      <c r="X69">
        <v>0.12718207200000001</v>
      </c>
      <c r="Y69">
        <v>0.12964841599999999</v>
      </c>
      <c r="Z69">
        <v>0.13209407200000001</v>
      </c>
      <c r="AA69">
        <v>0.13455473600000001</v>
      </c>
      <c r="AB69">
        <v>0.13704892799999999</v>
      </c>
      <c r="AC69">
        <v>2.2781664166767301E-2</v>
      </c>
      <c r="AG69" s="13"/>
    </row>
    <row r="70" spans="1:33" x14ac:dyDescent="0.45">
      <c r="A70" t="s">
        <v>166</v>
      </c>
      <c r="B70" t="s">
        <v>153</v>
      </c>
      <c r="C70">
        <v>0.52450001239776611</v>
      </c>
      <c r="D70">
        <v>0.51372003555297852</v>
      </c>
      <c r="E70">
        <v>0.4955405592918396</v>
      </c>
      <c r="F70">
        <v>0.49621137976646418</v>
      </c>
      <c r="G70">
        <v>0.49331116676330572</v>
      </c>
      <c r="H70">
        <v>0.48892834782600397</v>
      </c>
      <c r="I70">
        <v>0.48348644375801092</v>
      </c>
      <c r="J70">
        <v>0.4781634509563446</v>
      </c>
      <c r="K70">
        <v>0.47320321202278143</v>
      </c>
      <c r="L70">
        <v>0.4690624475479126</v>
      </c>
      <c r="M70">
        <v>0.46562120318412781</v>
      </c>
      <c r="N70">
        <v>0.46248260140419012</v>
      </c>
      <c r="O70">
        <v>0.45942938327789312</v>
      </c>
      <c r="P70">
        <v>0.45647501945495611</v>
      </c>
      <c r="Q70">
        <v>0.45356625318527222</v>
      </c>
      <c r="R70">
        <v>0.45089817047119141</v>
      </c>
      <c r="S70">
        <v>0.44853869080543518</v>
      </c>
      <c r="T70">
        <v>0.44673797488212591</v>
      </c>
      <c r="U70">
        <v>0.44541597366333008</v>
      </c>
      <c r="V70">
        <v>0.44447898864746088</v>
      </c>
      <c r="W70">
        <v>0.44374552369117742</v>
      </c>
      <c r="X70">
        <v>0.44297593832015991</v>
      </c>
      <c r="Y70">
        <v>0.44201213121414179</v>
      </c>
      <c r="Z70">
        <v>0.44099125266075129</v>
      </c>
      <c r="AA70">
        <v>0.44001969695091248</v>
      </c>
      <c r="AB70">
        <v>0.43919128179550171</v>
      </c>
      <c r="AC70">
        <v>-7.0752680662837797E-3</v>
      </c>
      <c r="AG70" s="13"/>
    </row>
    <row r="71" spans="1:33" x14ac:dyDescent="0.45">
      <c r="AG71" s="13"/>
    </row>
    <row r="72" spans="1:33" x14ac:dyDescent="0.45">
      <c r="A72" t="s">
        <v>167</v>
      </c>
      <c r="B72" t="s">
        <v>168</v>
      </c>
      <c r="C72">
        <v>0.37138739199999998</v>
      </c>
      <c r="D72">
        <v>0.34290067200000002</v>
      </c>
      <c r="E72">
        <v>0.33499011200000001</v>
      </c>
      <c r="F72">
        <v>0.33120499199999998</v>
      </c>
      <c r="G72">
        <v>0.32895392000000001</v>
      </c>
      <c r="H72">
        <v>0.32362681599999998</v>
      </c>
      <c r="I72">
        <v>0.31936905599999998</v>
      </c>
      <c r="J72">
        <v>0.31564275200000003</v>
      </c>
      <c r="K72">
        <v>0.312811968</v>
      </c>
      <c r="L72">
        <v>0.30912588800000002</v>
      </c>
      <c r="M72">
        <v>0.30582918399999998</v>
      </c>
      <c r="N72">
        <v>0.30200764800000002</v>
      </c>
      <c r="O72">
        <v>0.298093728</v>
      </c>
      <c r="P72">
        <v>0.29419919999999999</v>
      </c>
      <c r="Q72">
        <v>0.28995385600000001</v>
      </c>
      <c r="R72">
        <v>0.28553836799999999</v>
      </c>
      <c r="S72">
        <v>0.281270464</v>
      </c>
      <c r="T72">
        <v>0.27737811200000001</v>
      </c>
      <c r="U72">
        <v>0.27363056000000002</v>
      </c>
      <c r="V72">
        <v>0.27007763200000001</v>
      </c>
      <c r="W72">
        <v>0.26697406400000001</v>
      </c>
      <c r="X72">
        <v>0.263977984</v>
      </c>
      <c r="Y72">
        <v>0.26128950400000001</v>
      </c>
      <c r="Z72">
        <v>0.25882419200000001</v>
      </c>
      <c r="AA72">
        <v>0.25657587199999998</v>
      </c>
      <c r="AB72">
        <v>0.254137424</v>
      </c>
      <c r="AC72">
        <v>-1.506026423030749E-2</v>
      </c>
      <c r="AG72" s="13"/>
    </row>
    <row r="73" spans="1:33" x14ac:dyDescent="0.45">
      <c r="AG73" s="13"/>
    </row>
    <row r="74" spans="1:33" x14ac:dyDescent="0.45">
      <c r="B74" t="s">
        <v>169</v>
      </c>
      <c r="AG74" s="13"/>
    </row>
    <row r="75" spans="1:33" x14ac:dyDescent="0.45">
      <c r="A75" t="s">
        <v>170</v>
      </c>
      <c r="B75" t="s">
        <v>171</v>
      </c>
      <c r="C75">
        <v>4.8872924160000002</v>
      </c>
      <c r="D75">
        <v>4.6105082880000001</v>
      </c>
      <c r="E75">
        <v>4.694247936</v>
      </c>
      <c r="F75">
        <v>4.6635043840000003</v>
      </c>
      <c r="G75">
        <v>4.6124252160000001</v>
      </c>
      <c r="H75">
        <v>4.547402752</v>
      </c>
      <c r="I75">
        <v>4.4787609599999998</v>
      </c>
      <c r="J75">
        <v>4.4142899199999999</v>
      </c>
      <c r="K75">
        <v>4.3518760959999998</v>
      </c>
      <c r="L75">
        <v>4.2920202239999998</v>
      </c>
      <c r="M75">
        <v>4.2342993919999996</v>
      </c>
      <c r="N75">
        <v>4.1793088000000003</v>
      </c>
      <c r="O75">
        <v>4.1237058559999999</v>
      </c>
      <c r="P75">
        <v>4.0705356799999999</v>
      </c>
      <c r="Q75">
        <v>4.0178626560000001</v>
      </c>
      <c r="R75">
        <v>3.9665464319999999</v>
      </c>
      <c r="S75">
        <v>3.9159198719999999</v>
      </c>
      <c r="T75">
        <v>3.8705213440000001</v>
      </c>
      <c r="U75">
        <v>3.8277063679999999</v>
      </c>
      <c r="V75">
        <v>3.7870338559999999</v>
      </c>
      <c r="W75">
        <v>3.7487544320000001</v>
      </c>
      <c r="X75">
        <v>3.7094520320000002</v>
      </c>
      <c r="Y75">
        <v>3.6686021119999999</v>
      </c>
      <c r="Z75">
        <v>3.6283356160000002</v>
      </c>
      <c r="AA75">
        <v>3.5889408</v>
      </c>
      <c r="AB75">
        <v>3.5503339519999999</v>
      </c>
      <c r="AC75">
        <v>-1.2702504690540789E-2</v>
      </c>
      <c r="AG75" s="13"/>
    </row>
    <row r="76" spans="1:33" x14ac:dyDescent="0.45">
      <c r="A76" t="s">
        <v>172</v>
      </c>
      <c r="B76" t="s">
        <v>173</v>
      </c>
      <c r="C76">
        <v>0.98317260799999995</v>
      </c>
      <c r="D76">
        <v>1.046040576</v>
      </c>
      <c r="E76">
        <v>1.06037216</v>
      </c>
      <c r="F76">
        <v>1.0743171840000001</v>
      </c>
      <c r="G76">
        <v>1.0854568959999999</v>
      </c>
      <c r="H76">
        <v>1.0925698559999999</v>
      </c>
      <c r="I76">
        <v>1.0990485759999999</v>
      </c>
      <c r="J76">
        <v>1.10656128</v>
      </c>
      <c r="K76">
        <v>1.1148355839999999</v>
      </c>
      <c r="L76">
        <v>1.124533888</v>
      </c>
      <c r="M76">
        <v>1.135239168</v>
      </c>
      <c r="N76">
        <v>1.1472550399999999</v>
      </c>
      <c r="O76">
        <v>1.1600700159999999</v>
      </c>
      <c r="P76">
        <v>1.1734277120000001</v>
      </c>
      <c r="Q76">
        <v>1.187167104</v>
      </c>
      <c r="R76">
        <v>1.2018499840000001</v>
      </c>
      <c r="S76">
        <v>1.217397632</v>
      </c>
      <c r="T76">
        <v>1.2348896</v>
      </c>
      <c r="U76">
        <v>1.253485824</v>
      </c>
      <c r="V76">
        <v>1.272132992</v>
      </c>
      <c r="W76">
        <v>1.2914392320000001</v>
      </c>
      <c r="X76">
        <v>1.309698432</v>
      </c>
      <c r="Y76">
        <v>1.327260544</v>
      </c>
      <c r="Z76">
        <v>1.344267648</v>
      </c>
      <c r="AA76">
        <v>1.362016128</v>
      </c>
      <c r="AB76">
        <v>1.3795253759999999</v>
      </c>
      <c r="AC76">
        <v>1.364059914705784E-2</v>
      </c>
      <c r="AG76" s="13"/>
    </row>
    <row r="77" spans="1:33" x14ac:dyDescent="0.45">
      <c r="A77" t="s">
        <v>174</v>
      </c>
      <c r="B77" t="s">
        <v>175</v>
      </c>
      <c r="C77">
        <v>1.573176704</v>
      </c>
      <c r="D77">
        <v>1.574928256</v>
      </c>
      <c r="E77">
        <v>1.5782146560000001</v>
      </c>
      <c r="F77">
        <v>1.58200512</v>
      </c>
      <c r="G77">
        <v>1.5606996479999999</v>
      </c>
      <c r="H77">
        <v>1.5333607680000001</v>
      </c>
      <c r="I77">
        <v>1.505777664</v>
      </c>
      <c r="J77">
        <v>1.4812957440000001</v>
      </c>
      <c r="K77">
        <v>1.4578415360000001</v>
      </c>
      <c r="L77">
        <v>1.438644992</v>
      </c>
      <c r="M77">
        <v>1.4231032320000001</v>
      </c>
      <c r="N77">
        <v>1.4087640320000001</v>
      </c>
      <c r="O77">
        <v>1.395113856</v>
      </c>
      <c r="P77">
        <v>1.382832896</v>
      </c>
      <c r="Q77">
        <v>1.3717009920000001</v>
      </c>
      <c r="R77">
        <v>1.3619397120000001</v>
      </c>
      <c r="S77">
        <v>1.353175936</v>
      </c>
      <c r="T77">
        <v>1.3462069759999999</v>
      </c>
      <c r="U77">
        <v>1.340719488</v>
      </c>
      <c r="V77">
        <v>1.3348089599999999</v>
      </c>
      <c r="W77">
        <v>1.3281712640000001</v>
      </c>
      <c r="X77">
        <v>1.320356224</v>
      </c>
      <c r="Y77">
        <v>1.3116526079999999</v>
      </c>
      <c r="Z77">
        <v>1.3027751679999999</v>
      </c>
      <c r="AA77">
        <v>1.294452224</v>
      </c>
      <c r="AB77">
        <v>1.2870755840000001</v>
      </c>
      <c r="AC77">
        <v>-7.9968258045686191E-3</v>
      </c>
      <c r="AG77" s="13"/>
    </row>
    <row r="78" spans="1:33" x14ac:dyDescent="0.45">
      <c r="A78" t="s">
        <v>176</v>
      </c>
      <c r="B78" t="s">
        <v>177</v>
      </c>
      <c r="C78">
        <v>0.34956310400000001</v>
      </c>
      <c r="D78">
        <v>0.34852729599999999</v>
      </c>
      <c r="E78">
        <v>0.34743289599999999</v>
      </c>
      <c r="F78">
        <v>0.34620860799999997</v>
      </c>
      <c r="G78">
        <v>0.34525900799999998</v>
      </c>
      <c r="H78">
        <v>0.34202352000000003</v>
      </c>
      <c r="I78">
        <v>0.33902982399999998</v>
      </c>
      <c r="J78">
        <v>0.33630428800000001</v>
      </c>
      <c r="K78">
        <v>0.33379897600000002</v>
      </c>
      <c r="L78">
        <v>0.33146774400000001</v>
      </c>
      <c r="M78">
        <v>0.32936582399999997</v>
      </c>
      <c r="N78">
        <v>0.327653056</v>
      </c>
      <c r="O78">
        <v>0.32634323199999998</v>
      </c>
      <c r="P78">
        <v>0.32546067200000001</v>
      </c>
      <c r="Q78">
        <v>0.32498998400000001</v>
      </c>
      <c r="R78">
        <v>0.32493840000000002</v>
      </c>
      <c r="S78">
        <v>0.32529401600000002</v>
      </c>
      <c r="T78">
        <v>0.32607193600000001</v>
      </c>
      <c r="U78">
        <v>0.32728083200000002</v>
      </c>
      <c r="V78">
        <v>0.32891251199999999</v>
      </c>
      <c r="W78">
        <v>0.33105030400000002</v>
      </c>
      <c r="X78">
        <v>0.33371427199999998</v>
      </c>
      <c r="Y78">
        <v>0.33686508799999998</v>
      </c>
      <c r="Z78">
        <v>0.34000607999999999</v>
      </c>
      <c r="AA78">
        <v>0.34312889600000002</v>
      </c>
      <c r="AB78">
        <v>0.34622892799999999</v>
      </c>
      <c r="AC78">
        <v>-3.832826310995463E-4</v>
      </c>
      <c r="AG78" s="13"/>
    </row>
    <row r="79" spans="1:33" x14ac:dyDescent="0.45">
      <c r="A79" t="s">
        <v>178</v>
      </c>
      <c r="B79" t="s">
        <v>179</v>
      </c>
      <c r="C79">
        <v>0.15604678399999999</v>
      </c>
      <c r="D79">
        <v>0.15688024</v>
      </c>
      <c r="E79">
        <v>0.157748992</v>
      </c>
      <c r="F79">
        <v>0.15859595200000001</v>
      </c>
      <c r="G79">
        <v>0.15944396799999999</v>
      </c>
      <c r="H79">
        <v>0.160278112</v>
      </c>
      <c r="I79">
        <v>0.161102784</v>
      </c>
      <c r="J79">
        <v>0.161912208</v>
      </c>
      <c r="K79">
        <v>0.16271075199999999</v>
      </c>
      <c r="L79">
        <v>0.16352728</v>
      </c>
      <c r="M79">
        <v>0.16437318400000001</v>
      </c>
      <c r="N79">
        <v>0.16525561599999999</v>
      </c>
      <c r="O79">
        <v>0.166161472</v>
      </c>
      <c r="P79">
        <v>0.16710384</v>
      </c>
      <c r="Q79">
        <v>0.16803183999999999</v>
      </c>
      <c r="R79">
        <v>0.16895603200000001</v>
      </c>
      <c r="S79">
        <v>0.169856336</v>
      </c>
      <c r="T79">
        <v>0.17073536</v>
      </c>
      <c r="U79">
        <v>0.17157900800000001</v>
      </c>
      <c r="V79">
        <v>0.17239865600000001</v>
      </c>
      <c r="W79">
        <v>0.173218224</v>
      </c>
      <c r="X79">
        <v>0.17404207999999999</v>
      </c>
      <c r="Y79">
        <v>0.17486534400000001</v>
      </c>
      <c r="Z79">
        <v>0.175689664</v>
      </c>
      <c r="AA79">
        <v>0.17651795200000001</v>
      </c>
      <c r="AB79">
        <v>0.17735535999999999</v>
      </c>
      <c r="AC79">
        <v>5.1331112550536684E-3</v>
      </c>
      <c r="AG79" s="13"/>
    </row>
    <row r="80" spans="1:33" x14ac:dyDescent="0.45">
      <c r="A80" t="s">
        <v>180</v>
      </c>
      <c r="B80" t="s">
        <v>181</v>
      </c>
      <c r="C80">
        <v>0.22990720000000001</v>
      </c>
      <c r="D80">
        <v>0.23112454399999999</v>
      </c>
      <c r="E80">
        <v>0.23272319999999999</v>
      </c>
      <c r="F80">
        <v>0.23462008000000001</v>
      </c>
      <c r="G80">
        <v>0.23584943999999999</v>
      </c>
      <c r="H80">
        <v>0.23600408</v>
      </c>
      <c r="I80">
        <v>0.23554830399999999</v>
      </c>
      <c r="J80">
        <v>0.23478808000000001</v>
      </c>
      <c r="K80">
        <v>0.23432846399999999</v>
      </c>
      <c r="L80">
        <v>0.23430152000000001</v>
      </c>
      <c r="M80">
        <v>0.23472089600000001</v>
      </c>
      <c r="N80">
        <v>0.23564288</v>
      </c>
      <c r="O80">
        <v>0.23691409599999999</v>
      </c>
      <c r="P80">
        <v>0.23868604800000001</v>
      </c>
      <c r="Q80">
        <v>0.240921472</v>
      </c>
      <c r="R80">
        <v>0.24367492800000001</v>
      </c>
      <c r="S80">
        <v>0.24702553599999999</v>
      </c>
      <c r="T80">
        <v>0.25042220799999998</v>
      </c>
      <c r="U80">
        <v>0.25392486399999997</v>
      </c>
      <c r="V80">
        <v>0.25746416</v>
      </c>
      <c r="W80">
        <v>0.26101676800000001</v>
      </c>
      <c r="X80">
        <v>0.26441572800000002</v>
      </c>
      <c r="Y80">
        <v>0.26761515200000002</v>
      </c>
      <c r="Z80">
        <v>0.270684704</v>
      </c>
      <c r="AA80">
        <v>0.27381014399999998</v>
      </c>
      <c r="AB80">
        <v>0.27686204800000003</v>
      </c>
      <c r="AC80">
        <v>7.4614433203574748E-3</v>
      </c>
    </row>
    <row r="81" spans="1:33" x14ac:dyDescent="0.45">
      <c r="A81" t="s">
        <v>182</v>
      </c>
      <c r="B81" t="s">
        <v>183</v>
      </c>
      <c r="C81">
        <v>7.9277760000000003E-2</v>
      </c>
      <c r="D81">
        <v>7.9241023999999993E-2</v>
      </c>
      <c r="E81">
        <v>7.9217047999999998E-2</v>
      </c>
      <c r="F81">
        <v>7.9159960000000001E-2</v>
      </c>
      <c r="G81">
        <v>7.9073071999999994E-2</v>
      </c>
      <c r="H81">
        <v>7.8570111999999998E-2</v>
      </c>
      <c r="I81">
        <v>7.8006560000000003E-2</v>
      </c>
      <c r="J81">
        <v>7.7403968000000004E-2</v>
      </c>
      <c r="K81">
        <v>7.6822632000000002E-2</v>
      </c>
      <c r="L81">
        <v>7.6256599999999994E-2</v>
      </c>
      <c r="M81">
        <v>7.5716071999999995E-2</v>
      </c>
      <c r="N81">
        <v>7.5195239999999997E-2</v>
      </c>
      <c r="O81">
        <v>7.4692744000000005E-2</v>
      </c>
      <c r="P81">
        <v>7.4213528000000001E-2</v>
      </c>
      <c r="Q81">
        <v>7.3757199999999995E-2</v>
      </c>
      <c r="R81">
        <v>7.3328264000000004E-2</v>
      </c>
      <c r="S81">
        <v>7.2936855999999994E-2</v>
      </c>
      <c r="T81">
        <v>7.2586367999999998E-2</v>
      </c>
      <c r="U81">
        <v>7.2277752000000001E-2</v>
      </c>
      <c r="V81">
        <v>7.2012376000000003E-2</v>
      </c>
      <c r="W81">
        <v>7.1801504000000002E-2</v>
      </c>
      <c r="X81">
        <v>7.1659855999999994E-2</v>
      </c>
      <c r="Y81">
        <v>7.1579335999999993E-2</v>
      </c>
      <c r="Z81">
        <v>7.1571248000000004E-2</v>
      </c>
      <c r="AA81">
        <v>7.1643271999999994E-2</v>
      </c>
      <c r="AB81">
        <v>7.1800048000000005E-2</v>
      </c>
      <c r="AC81">
        <v>-3.9550577058538039E-3</v>
      </c>
      <c r="AG81" s="13"/>
    </row>
    <row r="82" spans="1:33" x14ac:dyDescent="0.45">
      <c r="A82" t="s">
        <v>184</v>
      </c>
      <c r="B82" t="s">
        <v>185</v>
      </c>
      <c r="C82">
        <v>0.18284710400000001</v>
      </c>
      <c r="D82">
        <v>0.182215504</v>
      </c>
      <c r="E82">
        <v>0.183569232</v>
      </c>
      <c r="F82">
        <v>0.185640272</v>
      </c>
      <c r="G82">
        <v>0.18743944000000001</v>
      </c>
      <c r="H82">
        <v>0.18699436799999999</v>
      </c>
      <c r="I82">
        <v>0.186424016</v>
      </c>
      <c r="J82">
        <v>0.18626144</v>
      </c>
      <c r="K82">
        <v>0.186404352</v>
      </c>
      <c r="L82">
        <v>0.18674231999999999</v>
      </c>
      <c r="M82">
        <v>0.18721537599999999</v>
      </c>
      <c r="N82">
        <v>0.187754368</v>
      </c>
      <c r="O82">
        <v>0.188226384</v>
      </c>
      <c r="P82">
        <v>0.188723216</v>
      </c>
      <c r="Q82">
        <v>0.18940014399999999</v>
      </c>
      <c r="R82">
        <v>0.18703504000000001</v>
      </c>
      <c r="S82">
        <v>0.18508912</v>
      </c>
      <c r="T82">
        <v>0.18369095999999999</v>
      </c>
      <c r="U82">
        <v>0.182845696</v>
      </c>
      <c r="V82">
        <v>0.18247695999999999</v>
      </c>
      <c r="W82">
        <v>0.182383504</v>
      </c>
      <c r="X82">
        <v>0.182309728</v>
      </c>
      <c r="Y82">
        <v>0.182201904</v>
      </c>
      <c r="Z82">
        <v>0.182192464</v>
      </c>
      <c r="AA82">
        <v>0.182375024</v>
      </c>
      <c r="AB82">
        <v>0.18258764799999999</v>
      </c>
      <c r="AC82">
        <v>-5.6797811119779773E-5</v>
      </c>
      <c r="AG82" s="13"/>
    </row>
    <row r="83" spans="1:33" x14ac:dyDescent="0.45">
      <c r="A83" t="s">
        <v>186</v>
      </c>
      <c r="B83" t="s">
        <v>187</v>
      </c>
      <c r="C83">
        <v>4.0723188E-2</v>
      </c>
      <c r="D83">
        <v>3.9741315999999999E-2</v>
      </c>
      <c r="E83">
        <v>3.8750288000000001E-2</v>
      </c>
      <c r="F83">
        <v>3.7582836000000001E-2</v>
      </c>
      <c r="G83">
        <v>3.638516E-2</v>
      </c>
      <c r="H83">
        <v>3.4992292000000001E-2</v>
      </c>
      <c r="I83">
        <v>3.3539880000000001E-2</v>
      </c>
      <c r="J83">
        <v>3.2000177999999997E-2</v>
      </c>
      <c r="K83">
        <v>3.0664894000000002E-2</v>
      </c>
      <c r="L83">
        <v>2.9534002E-2</v>
      </c>
      <c r="M83">
        <v>2.8609286000000001E-2</v>
      </c>
      <c r="N83">
        <v>2.7903582E-2</v>
      </c>
      <c r="O83">
        <v>2.7428560000000001E-2</v>
      </c>
      <c r="P83">
        <v>2.7209850000000001E-2</v>
      </c>
      <c r="Q83">
        <v>2.7260937999999998E-2</v>
      </c>
      <c r="R83">
        <v>2.7310738000000001E-2</v>
      </c>
      <c r="S83">
        <v>2.7361704000000001E-2</v>
      </c>
      <c r="T83">
        <v>2.7419786000000002E-2</v>
      </c>
      <c r="U83">
        <v>2.7486282000000001E-2</v>
      </c>
      <c r="V83">
        <v>2.7564120000000001E-2</v>
      </c>
      <c r="W83">
        <v>2.7658222E-2</v>
      </c>
      <c r="X83">
        <v>2.7768014000000001E-2</v>
      </c>
      <c r="Y83">
        <v>2.7890496000000001E-2</v>
      </c>
      <c r="Z83">
        <v>2.8023998000000001E-2</v>
      </c>
      <c r="AA83">
        <v>2.8167032000000002E-2</v>
      </c>
      <c r="AB83">
        <v>2.8318728000000001E-2</v>
      </c>
      <c r="AC83">
        <v>-1.442590723214077E-2</v>
      </c>
      <c r="AG83" s="13"/>
    </row>
    <row r="84" spans="1:33" x14ac:dyDescent="0.45">
      <c r="A84" t="s">
        <v>188</v>
      </c>
      <c r="B84" t="s">
        <v>189</v>
      </c>
      <c r="C84">
        <v>3.7161696000000001E-2</v>
      </c>
      <c r="D84">
        <v>3.8075504000000003E-2</v>
      </c>
      <c r="E84">
        <v>3.8360159999999997E-2</v>
      </c>
      <c r="F84">
        <v>3.8522852000000003E-2</v>
      </c>
      <c r="G84">
        <v>3.8637291999999997E-2</v>
      </c>
      <c r="H84">
        <v>3.870258E-2</v>
      </c>
      <c r="I84">
        <v>3.8719692E-2</v>
      </c>
      <c r="J84">
        <v>3.8688536000000003E-2</v>
      </c>
      <c r="K84">
        <v>3.8734320000000003E-2</v>
      </c>
      <c r="L84">
        <v>3.8861E-2</v>
      </c>
      <c r="M84">
        <v>3.9070651999999997E-2</v>
      </c>
      <c r="N84">
        <v>3.9370936000000002E-2</v>
      </c>
      <c r="O84">
        <v>3.9763699999999999E-2</v>
      </c>
      <c r="P84">
        <v>4.0262112000000003E-2</v>
      </c>
      <c r="Q84">
        <v>4.0871616E-2</v>
      </c>
      <c r="R84">
        <v>4.1476607999999998E-2</v>
      </c>
      <c r="S84">
        <v>4.2075632000000002E-2</v>
      </c>
      <c r="T84">
        <v>4.2674256000000001E-2</v>
      </c>
      <c r="U84">
        <v>4.3273180000000001E-2</v>
      </c>
      <c r="V84">
        <v>4.3875648000000003E-2</v>
      </c>
      <c r="W84">
        <v>4.4488423999999999E-2</v>
      </c>
      <c r="X84">
        <v>4.5111343999999998E-2</v>
      </c>
      <c r="Y84">
        <v>4.5741499999999997E-2</v>
      </c>
      <c r="Z84">
        <v>4.6378655999999997E-2</v>
      </c>
      <c r="AA84">
        <v>4.7023391999999997E-2</v>
      </c>
      <c r="AB84">
        <v>4.7675936000000002E-2</v>
      </c>
      <c r="AC84">
        <v>1.001575448740288E-2</v>
      </c>
      <c r="AG84" s="13"/>
    </row>
    <row r="85" spans="1:33" x14ac:dyDescent="0.45">
      <c r="A85" t="s">
        <v>190</v>
      </c>
      <c r="B85" t="s">
        <v>191</v>
      </c>
      <c r="C85">
        <v>0.12483857600000001</v>
      </c>
      <c r="D85">
        <v>0.122177168</v>
      </c>
      <c r="E85">
        <v>0.119963032</v>
      </c>
      <c r="F85">
        <v>0.11808790399999999</v>
      </c>
      <c r="G85">
        <v>0.11609736800000001</v>
      </c>
      <c r="H85">
        <v>0.11380596</v>
      </c>
      <c r="I85">
        <v>0.111515896</v>
      </c>
      <c r="J85">
        <v>0.109399336</v>
      </c>
      <c r="K85">
        <v>0.107488504</v>
      </c>
      <c r="L85">
        <v>0.105734648</v>
      </c>
      <c r="M85">
        <v>0.10414446400000001</v>
      </c>
      <c r="N85">
        <v>0.102719456</v>
      </c>
      <c r="O85">
        <v>0.10141056</v>
      </c>
      <c r="P85">
        <v>0.10027256</v>
      </c>
      <c r="Q85">
        <v>9.9267408000000001E-2</v>
      </c>
      <c r="R85">
        <v>9.8397992000000004E-2</v>
      </c>
      <c r="S85">
        <v>9.7693543999999993E-2</v>
      </c>
      <c r="T85">
        <v>9.7154119999999997E-2</v>
      </c>
      <c r="U85">
        <v>9.6815248000000007E-2</v>
      </c>
      <c r="V85">
        <v>9.6643400000000004E-2</v>
      </c>
      <c r="W85">
        <v>9.6637704000000005E-2</v>
      </c>
      <c r="X85">
        <v>9.6759144000000005E-2</v>
      </c>
      <c r="Y85">
        <v>9.6902584E-2</v>
      </c>
      <c r="Z85">
        <v>9.7108184E-2</v>
      </c>
      <c r="AA85">
        <v>9.7404288000000006E-2</v>
      </c>
      <c r="AB85">
        <v>9.7757631999999997E-2</v>
      </c>
      <c r="AC85">
        <v>-9.7335290819186016E-3</v>
      </c>
      <c r="AG85" s="13"/>
    </row>
    <row r="86" spans="1:33" x14ac:dyDescent="0.45">
      <c r="A86" t="s">
        <v>192</v>
      </c>
      <c r="B86" t="s">
        <v>193</v>
      </c>
      <c r="C86">
        <v>9.7011752000000007E-2</v>
      </c>
      <c r="D86">
        <v>9.5323727999999996E-2</v>
      </c>
      <c r="E86">
        <v>9.3864928E-2</v>
      </c>
      <c r="F86">
        <v>9.2523648E-2</v>
      </c>
      <c r="G86">
        <v>9.0934360000000006E-2</v>
      </c>
      <c r="H86">
        <v>8.8982368000000006E-2</v>
      </c>
      <c r="I86">
        <v>8.6906232E-2</v>
      </c>
      <c r="J86">
        <v>8.4864703999999999E-2</v>
      </c>
      <c r="K86">
        <v>8.2885327999999994E-2</v>
      </c>
      <c r="L86">
        <v>8.0946472000000005E-2</v>
      </c>
      <c r="M86">
        <v>7.9061928000000004E-2</v>
      </c>
      <c r="N86">
        <v>7.7250440000000004E-2</v>
      </c>
      <c r="O86">
        <v>7.5483776000000002E-2</v>
      </c>
      <c r="P86">
        <v>7.3799192E-2</v>
      </c>
      <c r="Q86">
        <v>7.2188823999999999E-2</v>
      </c>
      <c r="R86">
        <v>7.0666976000000006E-2</v>
      </c>
      <c r="S86">
        <v>6.9257791999999999E-2</v>
      </c>
      <c r="T86">
        <v>6.7990159999999994E-2</v>
      </c>
      <c r="U86">
        <v>6.6878571999999997E-2</v>
      </c>
      <c r="V86">
        <v>6.5919443999999994E-2</v>
      </c>
      <c r="W86">
        <v>6.5113632000000005E-2</v>
      </c>
      <c r="X86">
        <v>6.4456327999999993E-2</v>
      </c>
      <c r="Y86">
        <v>6.3892571999999995E-2</v>
      </c>
      <c r="Z86">
        <v>6.3458587999999996E-2</v>
      </c>
      <c r="AA86">
        <v>6.3206232000000001E-2</v>
      </c>
      <c r="AB86">
        <v>6.3082444000000001E-2</v>
      </c>
      <c r="AC86">
        <v>-1.7068243354986471E-2</v>
      </c>
      <c r="AG86" s="13"/>
    </row>
    <row r="87" spans="1:33" x14ac:dyDescent="0.45">
      <c r="A87" t="s">
        <v>194</v>
      </c>
      <c r="B87" t="s">
        <v>195</v>
      </c>
      <c r="C87">
        <v>0.15743579199999999</v>
      </c>
      <c r="D87">
        <v>0.15289734399999999</v>
      </c>
      <c r="E87">
        <v>0.15377766400000001</v>
      </c>
      <c r="F87">
        <v>0.154119168</v>
      </c>
      <c r="G87">
        <v>0.15401436800000001</v>
      </c>
      <c r="H87">
        <v>0.15365110400000001</v>
      </c>
      <c r="I87">
        <v>0.15306988799999999</v>
      </c>
      <c r="J87">
        <v>0.15265783999999999</v>
      </c>
      <c r="K87">
        <v>0.152172368</v>
      </c>
      <c r="L87">
        <v>0.15165830399999999</v>
      </c>
      <c r="M87">
        <v>0.15102332800000001</v>
      </c>
      <c r="N87">
        <v>0.15022961600000001</v>
      </c>
      <c r="O87">
        <v>0.14910772799999999</v>
      </c>
      <c r="P87">
        <v>0.147685712</v>
      </c>
      <c r="Q87">
        <v>0.145907232</v>
      </c>
      <c r="R87">
        <v>0.14382793599999999</v>
      </c>
      <c r="S87">
        <v>0.14144376</v>
      </c>
      <c r="T87">
        <v>0.13901844799999999</v>
      </c>
      <c r="U87">
        <v>0.13644356799999999</v>
      </c>
      <c r="V87">
        <v>0.133819296</v>
      </c>
      <c r="W87">
        <v>0.13125719199999999</v>
      </c>
      <c r="X87">
        <v>0.12870858399999999</v>
      </c>
      <c r="Y87">
        <v>0.12613221599999999</v>
      </c>
      <c r="Z87">
        <v>0.12373096</v>
      </c>
      <c r="AA87">
        <v>0.12151582399999999</v>
      </c>
      <c r="AB87">
        <v>0.119520032</v>
      </c>
      <c r="AC87">
        <v>-1.096083609828913E-2</v>
      </c>
      <c r="AG87" s="13"/>
    </row>
    <row r="88" spans="1:33" x14ac:dyDescent="0.45">
      <c r="A88" t="s">
        <v>196</v>
      </c>
      <c r="B88" t="s">
        <v>197</v>
      </c>
      <c r="C88">
        <v>2.7444144640000001</v>
      </c>
      <c r="D88">
        <v>2.7689384960000001</v>
      </c>
      <c r="E88">
        <v>2.6761692159999999</v>
      </c>
      <c r="F88">
        <v>2.7168235520000001</v>
      </c>
      <c r="G88">
        <v>2.7528412160000002</v>
      </c>
      <c r="H88">
        <v>2.7829870080000001</v>
      </c>
      <c r="I88">
        <v>2.8105840639999999</v>
      </c>
      <c r="J88">
        <v>2.839232768</v>
      </c>
      <c r="K88">
        <v>2.8684070400000001</v>
      </c>
      <c r="L88">
        <v>2.9014566400000001</v>
      </c>
      <c r="M88">
        <v>2.9361768960000001</v>
      </c>
      <c r="N88">
        <v>2.9716925440000002</v>
      </c>
      <c r="O88">
        <v>3.0080798720000002</v>
      </c>
      <c r="P88">
        <v>3.0454021120000001</v>
      </c>
      <c r="Q88">
        <v>3.0824373760000001</v>
      </c>
      <c r="R88">
        <v>3.115484672</v>
      </c>
      <c r="S88">
        <v>3.1510883839999999</v>
      </c>
      <c r="T88">
        <v>3.18880512</v>
      </c>
      <c r="U88">
        <v>3.2288952320000002</v>
      </c>
      <c r="V88">
        <v>3.2702402560000001</v>
      </c>
      <c r="W88">
        <v>3.3076008959999998</v>
      </c>
      <c r="X88">
        <v>3.3483251200000002</v>
      </c>
      <c r="Y88">
        <v>3.3881464320000001</v>
      </c>
      <c r="Z88">
        <v>3.4280153599999998</v>
      </c>
      <c r="AA88">
        <v>3.4690979839999998</v>
      </c>
      <c r="AB88">
        <v>3.51106432</v>
      </c>
      <c r="AC88">
        <v>9.9027700842313493E-3</v>
      </c>
      <c r="AG88" s="13"/>
    </row>
    <row r="89" spans="1:33" x14ac:dyDescent="0.45">
      <c r="A89" t="s">
        <v>198</v>
      </c>
      <c r="B89" t="s">
        <v>199</v>
      </c>
      <c r="C89">
        <v>11.642869148000001</v>
      </c>
      <c r="D89">
        <v>11.446619284000001</v>
      </c>
      <c r="E89">
        <v>11.454411408</v>
      </c>
      <c r="F89">
        <v>11.481711519999999</v>
      </c>
      <c r="G89">
        <v>11.454556452</v>
      </c>
      <c r="H89">
        <v>11.39032488</v>
      </c>
      <c r="I89">
        <v>11.318034340000001</v>
      </c>
      <c r="J89">
        <v>11.25566029</v>
      </c>
      <c r="K89">
        <v>11.198970846</v>
      </c>
      <c r="L89">
        <v>11.155685633999999</v>
      </c>
      <c r="M89">
        <v>11.122119698000001</v>
      </c>
      <c r="N89">
        <v>11.095995606000001</v>
      </c>
      <c r="O89">
        <v>11.072501852</v>
      </c>
      <c r="P89">
        <v>11.05561513</v>
      </c>
      <c r="Q89">
        <v>11.041764786</v>
      </c>
      <c r="R89">
        <v>11.025433714</v>
      </c>
      <c r="S89">
        <v>11.015616120000001</v>
      </c>
      <c r="T89">
        <v>11.018186642</v>
      </c>
      <c r="U89">
        <v>11.029611914</v>
      </c>
      <c r="V89">
        <v>11.045302636000001</v>
      </c>
      <c r="W89">
        <v>11.060591302000001</v>
      </c>
      <c r="X89">
        <v>11.076776885999999</v>
      </c>
      <c r="Y89">
        <v>11.089347888000001</v>
      </c>
      <c r="Z89">
        <v>11.102238337999999</v>
      </c>
      <c r="AA89">
        <v>11.119299192</v>
      </c>
      <c r="AB89">
        <v>11.139188036</v>
      </c>
      <c r="AC89">
        <v>-1.7674185817179171E-3</v>
      </c>
      <c r="AG89" s="13"/>
    </row>
    <row r="90" spans="1:33" x14ac:dyDescent="0.45">
      <c r="A90" t="s">
        <v>200</v>
      </c>
      <c r="B90" t="s">
        <v>201</v>
      </c>
      <c r="C90">
        <v>7.0134922862052917E-2</v>
      </c>
      <c r="D90">
        <v>9.1486945748329163E-2</v>
      </c>
      <c r="E90">
        <v>0.1193008199334145</v>
      </c>
      <c r="F90">
        <v>0.15019077062606809</v>
      </c>
      <c r="G90">
        <v>0.18050052225589749</v>
      </c>
      <c r="H90">
        <v>0.20873008668422699</v>
      </c>
      <c r="I90">
        <v>0.23311989009380341</v>
      </c>
      <c r="J90">
        <v>0.25518804788589478</v>
      </c>
      <c r="K90">
        <v>0.2769947350025177</v>
      </c>
      <c r="L90">
        <v>0.29923674464225769</v>
      </c>
      <c r="M90">
        <v>0.32176563143730158</v>
      </c>
      <c r="N90">
        <v>0.3443218469619751</v>
      </c>
      <c r="O90">
        <v>0.36690127849578857</v>
      </c>
      <c r="P90">
        <v>0.38932192325592041</v>
      </c>
      <c r="Q90">
        <v>0.41114059090614319</v>
      </c>
      <c r="R90">
        <v>0.43246880173683172</v>
      </c>
      <c r="S90">
        <v>0.4527735710144043</v>
      </c>
      <c r="T90">
        <v>0.47238817811012268</v>
      </c>
      <c r="U90">
        <v>0.49130412936210632</v>
      </c>
      <c r="V90">
        <v>0.50966900587081909</v>
      </c>
      <c r="W90">
        <v>0.52751326560974121</v>
      </c>
      <c r="X90">
        <v>0.54464465379714966</v>
      </c>
      <c r="Y90">
        <v>0.56095385551452637</v>
      </c>
      <c r="Z90">
        <v>0.57689332962036133</v>
      </c>
      <c r="AA90">
        <v>0.59221106767654419</v>
      </c>
      <c r="AB90">
        <v>0.60719448328018188</v>
      </c>
      <c r="AC90">
        <v>9.0173798143279749E-2</v>
      </c>
      <c r="AG90" s="13"/>
    </row>
    <row r="91" spans="1:33" x14ac:dyDescent="0.45">
      <c r="A91" t="s">
        <v>202</v>
      </c>
      <c r="B91" t="s">
        <v>203</v>
      </c>
      <c r="C91">
        <v>0.18513305485248571</v>
      </c>
      <c r="D91">
        <v>0.19618113338947299</v>
      </c>
      <c r="E91">
        <v>0.20806993544101721</v>
      </c>
      <c r="F91">
        <v>0.2202898561954498</v>
      </c>
      <c r="G91">
        <v>0.23191364109516141</v>
      </c>
      <c r="H91">
        <v>0.24404700100421911</v>
      </c>
      <c r="I91">
        <v>0.25698700547218323</v>
      </c>
      <c r="J91">
        <v>0.26999360322952271</v>
      </c>
      <c r="K91">
        <v>0.28355693817138672</v>
      </c>
      <c r="L91">
        <v>0.29791304469108582</v>
      </c>
      <c r="M91">
        <v>0.31315085291862488</v>
      </c>
      <c r="N91">
        <v>0.32913258671760559</v>
      </c>
      <c r="O91">
        <v>0.3461628258228302</v>
      </c>
      <c r="P91">
        <v>0.36398994922637939</v>
      </c>
      <c r="Q91">
        <v>0.38263362646102911</v>
      </c>
      <c r="R91">
        <v>0.40191635489463812</v>
      </c>
      <c r="S91">
        <v>0.42191752791404719</v>
      </c>
      <c r="T91">
        <v>0.44253355264663702</v>
      </c>
      <c r="U91">
        <v>0.46366396546363831</v>
      </c>
      <c r="V91">
        <v>0.48558345437049871</v>
      </c>
      <c r="W91">
        <v>0.50805890560150146</v>
      </c>
      <c r="X91">
        <v>0.53128021955490112</v>
      </c>
      <c r="Y91">
        <v>0.55522787570953369</v>
      </c>
      <c r="Z91">
        <v>0.58007967472076416</v>
      </c>
      <c r="AA91">
        <v>0.60541057586669922</v>
      </c>
      <c r="AB91">
        <v>0.63153308629989624</v>
      </c>
      <c r="AC91">
        <v>5.0307545821676403E-2</v>
      </c>
      <c r="AG91" s="13"/>
    </row>
    <row r="92" spans="1:33" x14ac:dyDescent="0.45">
      <c r="A92" t="s">
        <v>204</v>
      </c>
      <c r="B92" t="s">
        <v>205</v>
      </c>
      <c r="C92">
        <v>11.52787101600957</v>
      </c>
      <c r="D92">
        <v>11.34192509635886</v>
      </c>
      <c r="E92">
        <v>11.365642292492399</v>
      </c>
      <c r="F92">
        <v>11.411612434430619</v>
      </c>
      <c r="G92">
        <v>11.40314333316074</v>
      </c>
      <c r="H92">
        <v>11.355007965680009</v>
      </c>
      <c r="I92">
        <v>11.294167224621621</v>
      </c>
      <c r="J92">
        <v>11.24085473465637</v>
      </c>
      <c r="K92">
        <v>11.192408642831129</v>
      </c>
      <c r="L92">
        <v>11.157009333951169</v>
      </c>
      <c r="M92">
        <v>11.130734476518681</v>
      </c>
      <c r="N92">
        <v>11.11118486624437</v>
      </c>
      <c r="O92">
        <v>11.09324030467296</v>
      </c>
      <c r="P92">
        <v>11.080947104029541</v>
      </c>
      <c r="Q92">
        <v>11.070271750445119</v>
      </c>
      <c r="R92">
        <v>11.05598616084219</v>
      </c>
      <c r="S92">
        <v>11.04647216310036</v>
      </c>
      <c r="T92">
        <v>11.048041267463489</v>
      </c>
      <c r="U92">
        <v>11.05725207789847</v>
      </c>
      <c r="V92">
        <v>11.069388187500319</v>
      </c>
      <c r="W92">
        <v>11.08004566200824</v>
      </c>
      <c r="X92">
        <v>11.09014132024225</v>
      </c>
      <c r="Y92">
        <v>11.095073867805</v>
      </c>
      <c r="Z92">
        <v>11.0990519928996</v>
      </c>
      <c r="AA92">
        <v>11.106099683809839</v>
      </c>
      <c r="AB92">
        <v>11.114849432980289</v>
      </c>
      <c r="AC92">
        <v>-1.4583623084174491E-3</v>
      </c>
      <c r="AG92" s="13"/>
    </row>
    <row r="93" spans="1:33" x14ac:dyDescent="0.45">
      <c r="AG93" s="13"/>
    </row>
    <row r="94" spans="1:33" x14ac:dyDescent="0.45">
      <c r="A94" t="s">
        <v>206</v>
      </c>
      <c r="B94" t="s">
        <v>207</v>
      </c>
      <c r="C94">
        <v>7.1676516532897949</v>
      </c>
      <c r="D94">
        <v>7.1545977592468262</v>
      </c>
      <c r="E94">
        <v>6.514531135559082</v>
      </c>
      <c r="F94">
        <v>6.3125262260437012</v>
      </c>
      <c r="G94">
        <v>6.2211818695068359</v>
      </c>
      <c r="H94">
        <v>6.1316671371459961</v>
      </c>
      <c r="I94">
        <v>5.9451780319213867</v>
      </c>
      <c r="J94">
        <v>5.8393311500549316</v>
      </c>
      <c r="K94">
        <v>5.7834558486938477</v>
      </c>
      <c r="L94">
        <v>5.6923151016235352</v>
      </c>
      <c r="M94">
        <v>5.6339974403381348</v>
      </c>
      <c r="N94">
        <v>5.5780782699584961</v>
      </c>
      <c r="O94">
        <v>5.5564055442810059</v>
      </c>
      <c r="P94">
        <v>5.5518922805786133</v>
      </c>
      <c r="Q94">
        <v>5.5371222496032706</v>
      </c>
      <c r="R94">
        <v>5.5038857460021973</v>
      </c>
      <c r="S94">
        <v>5.4754343032836914</v>
      </c>
      <c r="T94">
        <v>5.4789481163024902</v>
      </c>
      <c r="U94">
        <v>5.4940376281738281</v>
      </c>
      <c r="V94">
        <v>5.5118722915649414</v>
      </c>
      <c r="W94">
        <v>5.5274820327758789</v>
      </c>
      <c r="X94">
        <v>5.5468564033508301</v>
      </c>
      <c r="Y94">
        <v>5.5688819885253906</v>
      </c>
      <c r="Z94">
        <v>5.5885734558105469</v>
      </c>
      <c r="AA94">
        <v>5.5896444320678711</v>
      </c>
      <c r="AB94">
        <v>5.6078219413757324</v>
      </c>
      <c r="AC94">
        <v>-9.7686013391723447E-3</v>
      </c>
      <c r="AG94" s="13"/>
    </row>
    <row r="95" spans="1:33" x14ac:dyDescent="0.45">
      <c r="AG95" s="13"/>
    </row>
    <row r="96" spans="1:33" x14ac:dyDescent="0.45">
      <c r="B96" t="s">
        <v>208</v>
      </c>
      <c r="AG96" s="13"/>
    </row>
    <row r="97" spans="1:33" x14ac:dyDescent="0.45">
      <c r="A97" t="s">
        <v>209</v>
      </c>
      <c r="B97" t="s">
        <v>171</v>
      </c>
      <c r="C97">
        <v>5.6764186818814144</v>
      </c>
      <c r="D97">
        <v>5.3520022730703909</v>
      </c>
      <c r="E97">
        <v>5.3777859240864672</v>
      </c>
      <c r="F97">
        <v>5.3172510493583598</v>
      </c>
      <c r="G97">
        <v>5.2487986956268049</v>
      </c>
      <c r="H97">
        <v>5.167058990051431</v>
      </c>
      <c r="I97">
        <v>5.0722079230264336</v>
      </c>
      <c r="J97">
        <v>4.9898533375754912</v>
      </c>
      <c r="K97">
        <v>4.9145239824052087</v>
      </c>
      <c r="L97">
        <v>4.8376088730320381</v>
      </c>
      <c r="M97">
        <v>4.7658439178703942</v>
      </c>
      <c r="N97">
        <v>4.6970881952929124</v>
      </c>
      <c r="O97">
        <v>4.6305017718172357</v>
      </c>
      <c r="P97">
        <v>4.5679314103099307</v>
      </c>
      <c r="Q97">
        <v>4.5047994521334784</v>
      </c>
      <c r="R97">
        <v>4.4419416399117067</v>
      </c>
      <c r="S97">
        <v>4.3798620123739953</v>
      </c>
      <c r="T97">
        <v>4.3258800585984778</v>
      </c>
      <c r="U97">
        <v>4.2753310281595223</v>
      </c>
      <c r="V97">
        <v>4.2269826981237903</v>
      </c>
      <c r="W97">
        <v>4.1814090215363464</v>
      </c>
      <c r="X97">
        <v>4.1347757977555712</v>
      </c>
      <c r="Y97">
        <v>4.0866757310010184</v>
      </c>
      <c r="Z97">
        <v>4.0391635229969838</v>
      </c>
      <c r="AA97">
        <v>3.991318785419872</v>
      </c>
      <c r="AB97">
        <v>3.945525484524627</v>
      </c>
      <c r="AC97">
        <v>-1.444420186604334E-2</v>
      </c>
      <c r="AG97" s="13"/>
    </row>
    <row r="98" spans="1:33" x14ac:dyDescent="0.45">
      <c r="A98" t="s">
        <v>210</v>
      </c>
      <c r="B98" t="s">
        <v>173</v>
      </c>
      <c r="C98">
        <v>2.2094278697787231</v>
      </c>
      <c r="D98">
        <v>2.335922392295553</v>
      </c>
      <c r="E98">
        <v>2.2649966173651981</v>
      </c>
      <c r="F98">
        <v>2.2407478404999521</v>
      </c>
      <c r="G98">
        <v>2.235737963038233</v>
      </c>
      <c r="H98">
        <v>2.227676489986115</v>
      </c>
      <c r="I98">
        <v>2.202204035881199</v>
      </c>
      <c r="J98">
        <v>2.1932576017821241</v>
      </c>
      <c r="K98">
        <v>2.194044851865756</v>
      </c>
      <c r="L98">
        <v>2.1894261447864389</v>
      </c>
      <c r="M98">
        <v>2.1917468198528418</v>
      </c>
      <c r="N98">
        <v>2.1960018208380321</v>
      </c>
      <c r="O98">
        <v>2.207364294562292</v>
      </c>
      <c r="P98">
        <v>2.2221276155829579</v>
      </c>
      <c r="Q98">
        <v>2.2351982998932569</v>
      </c>
      <c r="R98">
        <v>2.2471860192873159</v>
      </c>
      <c r="S98">
        <v>2.2607062533105182</v>
      </c>
      <c r="T98">
        <v>2.2827494763163059</v>
      </c>
      <c r="U98">
        <v>2.308032794910766</v>
      </c>
      <c r="V98">
        <v>2.3336317579067258</v>
      </c>
      <c r="W98">
        <v>2.3603219295338409</v>
      </c>
      <c r="X98">
        <v>2.3853510881160358</v>
      </c>
      <c r="Y98">
        <v>2.4099158567686572</v>
      </c>
      <c r="Z98">
        <v>2.4330039224294362</v>
      </c>
      <c r="AA98">
        <v>2.4533588645698998</v>
      </c>
      <c r="AB98">
        <v>2.4764382333479311</v>
      </c>
      <c r="AC98">
        <v>4.5739379489091458E-3</v>
      </c>
      <c r="AG98" s="13"/>
    </row>
    <row r="99" spans="1:33" x14ac:dyDescent="0.45">
      <c r="A99" t="s">
        <v>211</v>
      </c>
      <c r="B99" t="s">
        <v>175</v>
      </c>
      <c r="C99">
        <v>2.1733628668287461</v>
      </c>
      <c r="D99">
        <v>2.158101960445471</v>
      </c>
      <c r="E99">
        <v>2.1085111619440311</v>
      </c>
      <c r="F99">
        <v>2.083219376174485</v>
      </c>
      <c r="G99">
        <v>2.0307463399599368</v>
      </c>
      <c r="H99">
        <v>1.970669072427059</v>
      </c>
      <c r="I99">
        <v>1.9043773303973379</v>
      </c>
      <c r="J99">
        <v>1.849611131693927</v>
      </c>
      <c r="K99">
        <v>1.801234847015361</v>
      </c>
      <c r="L99">
        <v>1.757063549446791</v>
      </c>
      <c r="M99">
        <v>1.720467607613096</v>
      </c>
      <c r="N99">
        <v>1.687359119112023</v>
      </c>
      <c r="O99">
        <v>1.658615967506512</v>
      </c>
      <c r="P99">
        <v>1.633856817736715</v>
      </c>
      <c r="Q99">
        <v>1.611573669457536</v>
      </c>
      <c r="R99">
        <v>1.591899705718298</v>
      </c>
      <c r="S99">
        <v>1.575004334633219</v>
      </c>
      <c r="T99">
        <v>1.562761423744174</v>
      </c>
      <c r="U99">
        <v>1.553943587243743</v>
      </c>
      <c r="V99">
        <v>1.544762350365001</v>
      </c>
      <c r="W99">
        <v>1.53490702433556</v>
      </c>
      <c r="X99">
        <v>1.5239091698670959</v>
      </c>
      <c r="Y99">
        <v>1.5121649344359609</v>
      </c>
      <c r="Z99">
        <v>1.5002295969259849</v>
      </c>
      <c r="AA99">
        <v>1.4883768507411059</v>
      </c>
      <c r="AB99">
        <v>1.4782548703576841</v>
      </c>
      <c r="AC99">
        <v>-1.529831055305042E-2</v>
      </c>
    </row>
    <row r="100" spans="1:33" x14ac:dyDescent="0.45">
      <c r="A100" t="s">
        <v>212</v>
      </c>
      <c r="B100" t="s">
        <v>177</v>
      </c>
      <c r="C100">
        <v>0.81318580934341234</v>
      </c>
      <c r="D100">
        <v>0.8054491787438427</v>
      </c>
      <c r="E100">
        <v>0.76688946145613635</v>
      </c>
      <c r="F100">
        <v>0.7454200393559034</v>
      </c>
      <c r="G100">
        <v>0.73357155594037526</v>
      </c>
      <c r="H100">
        <v>0.718951102528402</v>
      </c>
      <c r="I100">
        <v>0.69982884384376354</v>
      </c>
      <c r="J100">
        <v>0.68631837891994962</v>
      </c>
      <c r="K100">
        <v>0.67610478080360381</v>
      </c>
      <c r="L100">
        <v>0.66384169435440743</v>
      </c>
      <c r="M100">
        <v>0.65379855336975745</v>
      </c>
      <c r="N100">
        <v>0.64453291570401583</v>
      </c>
      <c r="O100">
        <v>0.63789953112844533</v>
      </c>
      <c r="P100">
        <v>0.63291452719734675</v>
      </c>
      <c r="Q100">
        <v>0.62812369566339799</v>
      </c>
      <c r="R100">
        <v>0.62342964635230458</v>
      </c>
      <c r="S100">
        <v>0.619605580502397</v>
      </c>
      <c r="T100">
        <v>0.61806310849497992</v>
      </c>
      <c r="U100">
        <v>0.61772973902719053</v>
      </c>
      <c r="V100">
        <v>0.61830670074305749</v>
      </c>
      <c r="W100">
        <v>0.61984531836869805</v>
      </c>
      <c r="X100">
        <v>0.62247416114020382</v>
      </c>
      <c r="Y100">
        <v>0.62625508533278895</v>
      </c>
      <c r="Z100">
        <v>0.62990838797792903</v>
      </c>
      <c r="AA100">
        <v>0.63246172266414136</v>
      </c>
      <c r="AB100">
        <v>0.63583445640317271</v>
      </c>
      <c r="AC100">
        <v>-9.7925928428800324E-3</v>
      </c>
      <c r="AG100" s="13"/>
    </row>
    <row r="101" spans="1:33" x14ac:dyDescent="0.45">
      <c r="A101" t="s">
        <v>213</v>
      </c>
      <c r="B101" t="s">
        <v>179</v>
      </c>
      <c r="C101">
        <v>0.24671494028332419</v>
      </c>
      <c r="D101">
        <v>0.24765638879967811</v>
      </c>
      <c r="E101">
        <v>0.24244107109820379</v>
      </c>
      <c r="F101">
        <v>0.2405267406261436</v>
      </c>
      <c r="G101">
        <v>0.24037765006573539</v>
      </c>
      <c r="H101">
        <v>0.24057355952166959</v>
      </c>
      <c r="I101">
        <v>0.23960932857025541</v>
      </c>
      <c r="J101">
        <v>0.23964307891110259</v>
      </c>
      <c r="K101">
        <v>0.24023244602418181</v>
      </c>
      <c r="L101">
        <v>0.24023891969577879</v>
      </c>
      <c r="M101">
        <v>0.24062860992445659</v>
      </c>
      <c r="N101">
        <v>0.2410121149125822</v>
      </c>
      <c r="O101">
        <v>0.2418074782070638</v>
      </c>
      <c r="P101">
        <v>0.2427477614008732</v>
      </c>
      <c r="Q101">
        <v>0.24341902916350591</v>
      </c>
      <c r="R101">
        <v>0.24380972302828141</v>
      </c>
      <c r="S101">
        <v>0.24409318592166551</v>
      </c>
      <c r="T101">
        <v>0.24463466592683669</v>
      </c>
      <c r="U101">
        <v>0.2452069797834901</v>
      </c>
      <c r="V101">
        <v>0.2457616861189274</v>
      </c>
      <c r="W101">
        <v>0.24631249342662029</v>
      </c>
      <c r="X101">
        <v>0.24689195766019151</v>
      </c>
      <c r="Y101">
        <v>0.24752861609044899</v>
      </c>
      <c r="Z101">
        <v>0.2481359238688664</v>
      </c>
      <c r="AA101">
        <v>0.24847978475280261</v>
      </c>
      <c r="AB101">
        <v>0.2490472193244152</v>
      </c>
      <c r="AC101">
        <v>3.7642811501648049E-4</v>
      </c>
      <c r="AG101" s="13"/>
    </row>
    <row r="102" spans="1:33" x14ac:dyDescent="0.45">
      <c r="A102" t="s">
        <v>214</v>
      </c>
      <c r="B102" t="s">
        <v>181</v>
      </c>
      <c r="C102">
        <v>0.48234464075049349</v>
      </c>
      <c r="D102">
        <v>0.48131802446154109</v>
      </c>
      <c r="E102">
        <v>0.46428741051313122</v>
      </c>
      <c r="F102">
        <v>0.45725498563163808</v>
      </c>
      <c r="G102">
        <v>0.45374955478862228</v>
      </c>
      <c r="H102">
        <v>0.44909772043818319</v>
      </c>
      <c r="I102">
        <v>0.44026122144241658</v>
      </c>
      <c r="J102">
        <v>0.43360432277967131</v>
      </c>
      <c r="K102">
        <v>0.42929406069369103</v>
      </c>
      <c r="L102">
        <v>0.42442003170359338</v>
      </c>
      <c r="M102">
        <v>0.42136617981771018</v>
      </c>
      <c r="N102">
        <v>0.41921894237484508</v>
      </c>
      <c r="O102">
        <v>0.41879969075430162</v>
      </c>
      <c r="P102">
        <v>0.41978758404849331</v>
      </c>
      <c r="Q102">
        <v>0.42127791135464099</v>
      </c>
      <c r="R102">
        <v>0.42328962304228968</v>
      </c>
      <c r="S102">
        <v>0.42644010937544058</v>
      </c>
      <c r="T102">
        <v>0.43047681355453032</v>
      </c>
      <c r="U102">
        <v>0.43488706550108558</v>
      </c>
      <c r="V102">
        <v>0.43938018628687969</v>
      </c>
      <c r="W102">
        <v>0.44387321805177438</v>
      </c>
      <c r="X102">
        <v>0.44814105437674828</v>
      </c>
      <c r="Y102">
        <v>0.45219389863047571</v>
      </c>
      <c r="Z102">
        <v>0.45592952552554122</v>
      </c>
      <c r="AA102">
        <v>0.45907402051007418</v>
      </c>
      <c r="AB102">
        <v>0.46261622300866939</v>
      </c>
      <c r="AC102">
        <v>-1.669048086364366E-3</v>
      </c>
      <c r="AG102" s="13"/>
    </row>
    <row r="103" spans="1:33" x14ac:dyDescent="0.45">
      <c r="A103" t="s">
        <v>215</v>
      </c>
      <c r="B103" t="s">
        <v>183</v>
      </c>
      <c r="C103">
        <v>0.18442320911686599</v>
      </c>
      <c r="D103">
        <v>0.18312659707324941</v>
      </c>
      <c r="E103">
        <v>0.17485597932230601</v>
      </c>
      <c r="F103">
        <v>0.17043891785212839</v>
      </c>
      <c r="G103">
        <v>0.16800649690804101</v>
      </c>
      <c r="H103">
        <v>0.16515843310477599</v>
      </c>
      <c r="I103">
        <v>0.1610219421198448</v>
      </c>
      <c r="J103">
        <v>0.1579633912955985</v>
      </c>
      <c r="K103">
        <v>0.1556030800079983</v>
      </c>
      <c r="L103">
        <v>0.1527216794576135</v>
      </c>
      <c r="M103">
        <v>0.1502981023934056</v>
      </c>
      <c r="N103">
        <v>0.14791806881319991</v>
      </c>
      <c r="O103">
        <v>0.14600108629278091</v>
      </c>
      <c r="P103">
        <v>0.14432103177666589</v>
      </c>
      <c r="Q103">
        <v>0.1425540703610865</v>
      </c>
      <c r="R103">
        <v>0.14068824642808739</v>
      </c>
      <c r="S103">
        <v>0.13892688084953811</v>
      </c>
      <c r="T103">
        <v>0.13758607008865839</v>
      </c>
      <c r="U103">
        <v>0.13642142317834241</v>
      </c>
      <c r="V103">
        <v>0.13537257779122899</v>
      </c>
      <c r="W103">
        <v>0.13443825777677379</v>
      </c>
      <c r="X103">
        <v>0.13366647007242111</v>
      </c>
      <c r="Y103">
        <v>0.13307084875101211</v>
      </c>
      <c r="Z103">
        <v>0.13259565668134099</v>
      </c>
      <c r="AA103">
        <v>0.13205424478856961</v>
      </c>
      <c r="AB103">
        <v>0.13185768373982229</v>
      </c>
      <c r="AC103">
        <v>-1.333074709167059E-2</v>
      </c>
      <c r="AG103" s="13"/>
    </row>
    <row r="104" spans="1:33" x14ac:dyDescent="0.45">
      <c r="A104" t="s">
        <v>216</v>
      </c>
      <c r="B104" t="s">
        <v>185</v>
      </c>
      <c r="C104">
        <v>0.42535573277304201</v>
      </c>
      <c r="D104">
        <v>0.42110138785570289</v>
      </c>
      <c r="E104">
        <v>0.4051928043923525</v>
      </c>
      <c r="F104">
        <v>0.39970115029687708</v>
      </c>
      <c r="G104">
        <v>0.39825243790711651</v>
      </c>
      <c r="H104">
        <v>0.39307181868721108</v>
      </c>
      <c r="I104">
        <v>0.3848183680206001</v>
      </c>
      <c r="J104">
        <v>0.38011602622234619</v>
      </c>
      <c r="K104">
        <v>0.37755919763456008</v>
      </c>
      <c r="L104">
        <v>0.37399517859714559</v>
      </c>
      <c r="M104">
        <v>0.37162672347382109</v>
      </c>
      <c r="N104">
        <v>0.36933539311534691</v>
      </c>
      <c r="O104">
        <v>0.36792404537932227</v>
      </c>
      <c r="P104">
        <v>0.36700491119800399</v>
      </c>
      <c r="Q104">
        <v>0.3660627227467409</v>
      </c>
      <c r="R104">
        <v>0.35884705791217397</v>
      </c>
      <c r="S104">
        <v>0.35254952750891622</v>
      </c>
      <c r="T104">
        <v>0.34818269591905948</v>
      </c>
      <c r="U104">
        <v>0.34511408255135761</v>
      </c>
      <c r="V104">
        <v>0.3430295990054123</v>
      </c>
      <c r="W104">
        <v>0.34148756166699878</v>
      </c>
      <c r="X104">
        <v>0.34006065825227499</v>
      </c>
      <c r="Y104">
        <v>0.33872571840189208</v>
      </c>
      <c r="Z104">
        <v>0.33753679140080928</v>
      </c>
      <c r="AA104">
        <v>0.33615712111274387</v>
      </c>
      <c r="AB104">
        <v>0.33531432102638697</v>
      </c>
      <c r="AC104">
        <v>-9.4691811977454243E-3</v>
      </c>
    </row>
    <row r="105" spans="1:33" x14ac:dyDescent="0.45">
      <c r="A105" t="s">
        <v>217</v>
      </c>
      <c r="B105" t="s">
        <v>187</v>
      </c>
      <c r="C105">
        <v>9.4734021451028008E-2</v>
      </c>
      <c r="D105">
        <v>9.1842477481016399E-2</v>
      </c>
      <c r="E105">
        <v>8.5533603287784768E-2</v>
      </c>
      <c r="F105">
        <v>8.0919418070120513E-2</v>
      </c>
      <c r="G105">
        <v>7.7307522224994346E-2</v>
      </c>
      <c r="H105">
        <v>7.3555604928560989E-2</v>
      </c>
      <c r="I105">
        <v>6.9233364681977272E-2</v>
      </c>
      <c r="J105">
        <v>6.5304877379707485E-2</v>
      </c>
      <c r="K105">
        <v>6.2111279323504409E-2</v>
      </c>
      <c r="L105">
        <v>5.9148747604069907E-2</v>
      </c>
      <c r="M105">
        <v>5.6790074855312428E-2</v>
      </c>
      <c r="N105">
        <v>5.4889697305451332E-2</v>
      </c>
      <c r="O105">
        <v>5.3614304964438281E-2</v>
      </c>
      <c r="P105">
        <v>5.2914256097463988E-2</v>
      </c>
      <c r="Q105">
        <v>5.2688519544684682E-2</v>
      </c>
      <c r="R105">
        <v>5.2398619962923568E-2</v>
      </c>
      <c r="S105">
        <v>5.2117357395393221E-2</v>
      </c>
      <c r="T105">
        <v>5.1973679113025952E-2</v>
      </c>
      <c r="U105">
        <v>5.1879279647785062E-2</v>
      </c>
      <c r="V105">
        <v>5.1816454145975827E-2</v>
      </c>
      <c r="W105">
        <v>5.1786146135368381E-2</v>
      </c>
      <c r="X105">
        <v>5.1795421027661173E-2</v>
      </c>
      <c r="Y105">
        <v>5.1850326954789118E-2</v>
      </c>
      <c r="Z105">
        <v>5.1918340415785233E-2</v>
      </c>
      <c r="AA105">
        <v>5.1918010370819931E-2</v>
      </c>
      <c r="AB105">
        <v>5.2006119557720228E-2</v>
      </c>
      <c r="AC105">
        <v>-2.3703035369769251E-2</v>
      </c>
      <c r="AG105" s="13"/>
    </row>
    <row r="106" spans="1:33" x14ac:dyDescent="0.45">
      <c r="A106" t="s">
        <v>218</v>
      </c>
      <c r="B106" t="s">
        <v>189</v>
      </c>
      <c r="C106">
        <v>8.6448951541332725E-2</v>
      </c>
      <c r="D106">
        <v>8.7992773533175139E-2</v>
      </c>
      <c r="E106">
        <v>8.4672472821258754E-2</v>
      </c>
      <c r="F106">
        <v>8.2943361864479259E-2</v>
      </c>
      <c r="G106">
        <v>8.2092625400124575E-2</v>
      </c>
      <c r="H106">
        <v>8.1354821918953629E-2</v>
      </c>
      <c r="I106">
        <v>7.9925585798453602E-2</v>
      </c>
      <c r="J106">
        <v>7.8954251425738919E-2</v>
      </c>
      <c r="K106">
        <v>7.8455779724071542E-2</v>
      </c>
      <c r="L106">
        <v>7.782824287212281E-2</v>
      </c>
      <c r="M106">
        <v>7.755612117428802E-2</v>
      </c>
      <c r="N106">
        <v>7.7447359972361143E-2</v>
      </c>
      <c r="O106">
        <v>7.7725667636741935E-2</v>
      </c>
      <c r="P106">
        <v>7.8296635424038641E-2</v>
      </c>
      <c r="Q106">
        <v>7.8994528304156195E-2</v>
      </c>
      <c r="R106">
        <v>7.9577381612432274E-2</v>
      </c>
      <c r="S106">
        <v>8.0143793331769242E-2</v>
      </c>
      <c r="T106">
        <v>8.0888234785316052E-2</v>
      </c>
      <c r="U106">
        <v>8.1676430681637463E-2</v>
      </c>
      <c r="V106">
        <v>8.2479705599778852E-2</v>
      </c>
      <c r="W106">
        <v>8.3298341686469574E-2</v>
      </c>
      <c r="X106">
        <v>8.4145774905027643E-2</v>
      </c>
      <c r="Y106">
        <v>8.5036556194715451E-2</v>
      </c>
      <c r="Z106">
        <v>8.5922888312888135E-2</v>
      </c>
      <c r="AA106">
        <v>8.6674412608581941E-2</v>
      </c>
      <c r="AB106">
        <v>8.7554795103869709E-2</v>
      </c>
      <c r="AC106">
        <v>5.0855899174151453E-4</v>
      </c>
      <c r="AG106" s="13"/>
    </row>
    <row r="107" spans="1:33" x14ac:dyDescent="0.45">
      <c r="A107" t="s">
        <v>219</v>
      </c>
      <c r="B107" t="s">
        <v>191</v>
      </c>
      <c r="C107">
        <v>0.29041096528837063</v>
      </c>
      <c r="D107">
        <v>0.28235234587436298</v>
      </c>
      <c r="E107">
        <v>0.26479468715917232</v>
      </c>
      <c r="F107">
        <v>0.25425448129567058</v>
      </c>
      <c r="G107">
        <v>0.2466719909139701</v>
      </c>
      <c r="H107">
        <v>0.23922600532356139</v>
      </c>
      <c r="I107">
        <v>0.2301922575633977</v>
      </c>
      <c r="J107">
        <v>0.22325845259052679</v>
      </c>
      <c r="K107">
        <v>0.21771634025572109</v>
      </c>
      <c r="L107">
        <v>0.21175836608791371</v>
      </c>
      <c r="M107">
        <v>0.2067290985984897</v>
      </c>
      <c r="N107">
        <v>0.20206150763083491</v>
      </c>
      <c r="O107">
        <v>0.19822610776703059</v>
      </c>
      <c r="P107">
        <v>0.19499732337327561</v>
      </c>
      <c r="Q107">
        <v>0.1918588702471716</v>
      </c>
      <c r="R107">
        <v>0.18878724507271799</v>
      </c>
      <c r="S107">
        <v>0.18608231957595081</v>
      </c>
      <c r="T107">
        <v>0.18415377338788921</v>
      </c>
      <c r="U107">
        <v>0.18273498486123599</v>
      </c>
      <c r="V107">
        <v>0.18167524682852931</v>
      </c>
      <c r="W107">
        <v>0.18094056304597139</v>
      </c>
      <c r="X107">
        <v>0.18048394104656151</v>
      </c>
      <c r="Y107">
        <v>0.1801484872540064</v>
      </c>
      <c r="Z107">
        <v>0.17990637003580681</v>
      </c>
      <c r="AA107">
        <v>0.17953744059886509</v>
      </c>
      <c r="AB107">
        <v>0.17952766443011201</v>
      </c>
      <c r="AC107">
        <v>-1.9054826190392889E-2</v>
      </c>
      <c r="AG107" s="13"/>
    </row>
    <row r="108" spans="1:33" x14ac:dyDescent="0.45">
      <c r="A108" t="s">
        <v>220</v>
      </c>
      <c r="B108" t="s">
        <v>193</v>
      </c>
      <c r="C108">
        <v>0.2256776506537212</v>
      </c>
      <c r="D108">
        <v>0.22029384588689849</v>
      </c>
      <c r="E108">
        <v>0.2071882798442293</v>
      </c>
      <c r="F108">
        <v>0.1992122083039361</v>
      </c>
      <c r="G108">
        <v>0.19320816664584239</v>
      </c>
      <c r="H108">
        <v>0.1870455329481083</v>
      </c>
      <c r="I108">
        <v>0.17939273644367609</v>
      </c>
      <c r="J108">
        <v>0.17318900815442881</v>
      </c>
      <c r="K108">
        <v>0.16788297912356329</v>
      </c>
      <c r="L108">
        <v>0.16211424519331691</v>
      </c>
      <c r="M108">
        <v>0.1569397016522999</v>
      </c>
      <c r="N108">
        <v>0.15196089406417171</v>
      </c>
      <c r="O108">
        <v>0.1475473078547086</v>
      </c>
      <c r="P108">
        <v>0.14351528381354231</v>
      </c>
      <c r="Q108">
        <v>0.1395227950055058</v>
      </c>
      <c r="R108">
        <v>0.13558227607591719</v>
      </c>
      <c r="S108">
        <v>0.1319191632977173</v>
      </c>
      <c r="T108">
        <v>0.12887404586904111</v>
      </c>
      <c r="U108">
        <v>0.1262306826086019</v>
      </c>
      <c r="V108">
        <v>0.1239187700298149</v>
      </c>
      <c r="W108">
        <v>0.1219161543412516</v>
      </c>
      <c r="X108">
        <v>0.1202297955718772</v>
      </c>
      <c r="Y108">
        <v>0.11878063223337459</v>
      </c>
      <c r="Z108">
        <v>0.1175658296182102</v>
      </c>
      <c r="AA108">
        <v>0.1165029318132081</v>
      </c>
      <c r="AB108">
        <v>0.1158481809160775</v>
      </c>
      <c r="AC108">
        <v>-2.632049939931003E-2</v>
      </c>
      <c r="AG108" s="13"/>
    </row>
    <row r="109" spans="1:33" x14ac:dyDescent="0.45">
      <c r="A109" t="s">
        <v>221</v>
      </c>
      <c r="B109" t="s">
        <v>195</v>
      </c>
      <c r="C109">
        <v>0.36624160408285278</v>
      </c>
      <c r="D109">
        <v>0.35334690157787468</v>
      </c>
      <c r="E109">
        <v>0.33943380516548061</v>
      </c>
      <c r="F109">
        <v>0.33183321737644111</v>
      </c>
      <c r="G109">
        <v>0.32723421244068901</v>
      </c>
      <c r="H109">
        <v>0.32298255577717627</v>
      </c>
      <c r="I109">
        <v>0.315968434524316</v>
      </c>
      <c r="J109">
        <v>0.31153893963499218</v>
      </c>
      <c r="K109">
        <v>0.30822283142955281</v>
      </c>
      <c r="L109">
        <v>0.3037312296978007</v>
      </c>
      <c r="M109">
        <v>0.29978469585079481</v>
      </c>
      <c r="N109">
        <v>0.29551969881695428</v>
      </c>
      <c r="O109">
        <v>0.29145923816439911</v>
      </c>
      <c r="P109">
        <v>0.28720039201628489</v>
      </c>
      <c r="Q109">
        <v>0.282001890211659</v>
      </c>
      <c r="R109">
        <v>0.27594953159140889</v>
      </c>
      <c r="S109">
        <v>0.26941578606610989</v>
      </c>
      <c r="T109">
        <v>0.2635068051640842</v>
      </c>
      <c r="U109">
        <v>0.25753188519326031</v>
      </c>
      <c r="V109">
        <v>0.25156041313964561</v>
      </c>
      <c r="W109">
        <v>0.2457607045828942</v>
      </c>
      <c r="X109">
        <v>0.2400789375197698</v>
      </c>
      <c r="Y109">
        <v>0.23448835901419909</v>
      </c>
      <c r="Z109">
        <v>0.2292287524874897</v>
      </c>
      <c r="AA109">
        <v>0.2239802834267639</v>
      </c>
      <c r="AB109">
        <v>0.2194933710911926</v>
      </c>
      <c r="AC109">
        <v>-2.027058066643328E-2</v>
      </c>
      <c r="AG109" s="13"/>
    </row>
    <row r="110" spans="1:33" x14ac:dyDescent="0.45">
      <c r="A110" t="s">
        <v>222</v>
      </c>
      <c r="B110" t="s">
        <v>197</v>
      </c>
      <c r="C110">
        <v>5.4394083212918076</v>
      </c>
      <c r="D110">
        <v>5.4562158151548719</v>
      </c>
      <c r="E110">
        <v>5.0324087087289859</v>
      </c>
      <c r="F110">
        <v>5.0098464458255121</v>
      </c>
      <c r="G110">
        <v>5.0277623665602631</v>
      </c>
      <c r="H110">
        <v>5.044533812374528</v>
      </c>
      <c r="I110">
        <v>5.023543420312552</v>
      </c>
      <c r="J110">
        <v>5.0326491511996574</v>
      </c>
      <c r="K110">
        <v>5.0594797710006736</v>
      </c>
      <c r="L110">
        <v>5.0763900424942552</v>
      </c>
      <c r="M110">
        <v>5.1059983338062516</v>
      </c>
      <c r="N110">
        <v>5.135118134289165</v>
      </c>
      <c r="O110">
        <v>5.1772853340346803</v>
      </c>
      <c r="P110">
        <v>5.2258402633919907</v>
      </c>
      <c r="Q110">
        <v>5.2686156873688601</v>
      </c>
      <c r="R110">
        <v>5.2974974317642634</v>
      </c>
      <c r="S110">
        <v>5.3309084761633887</v>
      </c>
      <c r="T110">
        <v>5.378131935304661</v>
      </c>
      <c r="U110">
        <v>5.431978116003612</v>
      </c>
      <c r="V110">
        <v>5.4883640168042263</v>
      </c>
      <c r="W110">
        <v>5.5370587155273547</v>
      </c>
      <c r="X110">
        <v>5.5929296581276891</v>
      </c>
      <c r="Y110">
        <v>5.6490861365050131</v>
      </c>
      <c r="Z110">
        <v>5.7043994433238163</v>
      </c>
      <c r="AA110">
        <v>5.7533295902936246</v>
      </c>
      <c r="AB110">
        <v>5.8103400108726753</v>
      </c>
      <c r="AC110">
        <v>2.6422365836791251E-3</v>
      </c>
      <c r="AG110" s="13"/>
    </row>
    <row r="111" spans="1:33" x14ac:dyDescent="0.45">
      <c r="A111" t="s">
        <v>223</v>
      </c>
      <c r="B111" t="s">
        <v>224</v>
      </c>
      <c r="C111">
        <v>18.714155265065131</v>
      </c>
      <c r="D111">
        <v>18.476722362253629</v>
      </c>
      <c r="E111">
        <v>17.818991987184742</v>
      </c>
      <c r="F111">
        <v>17.613569232531649</v>
      </c>
      <c r="G111">
        <v>17.463517578420749</v>
      </c>
      <c r="H111">
        <v>17.280955520015741</v>
      </c>
      <c r="I111">
        <v>17.002584792626219</v>
      </c>
      <c r="J111">
        <v>16.815261949565262</v>
      </c>
      <c r="K111">
        <v>16.682466227307451</v>
      </c>
      <c r="L111">
        <v>16.530286945023281</v>
      </c>
      <c r="M111">
        <v>16.419574540252921</v>
      </c>
      <c r="N111">
        <v>16.319463862241889</v>
      </c>
      <c r="O111">
        <v>16.254771826069948</v>
      </c>
      <c r="P111">
        <v>16.213455813367581</v>
      </c>
      <c r="Q111">
        <v>16.166691141455679</v>
      </c>
      <c r="R111">
        <v>16.100884147760119</v>
      </c>
      <c r="S111">
        <v>16.047774780306021</v>
      </c>
      <c r="T111">
        <v>16.037862786267041</v>
      </c>
      <c r="U111">
        <v>16.048698079351631</v>
      </c>
      <c r="V111">
        <v>16.067042162888988</v>
      </c>
      <c r="W111">
        <v>16.083355450015919</v>
      </c>
      <c r="X111">
        <v>16.104933885439131</v>
      </c>
      <c r="Y111">
        <v>16.125921187568348</v>
      </c>
      <c r="Z111">
        <v>16.14544495200089</v>
      </c>
      <c r="AA111">
        <v>16.153224063671079</v>
      </c>
      <c r="AB111">
        <v>16.17965863370436</v>
      </c>
      <c r="AC111">
        <v>-5.8041063217070246E-3</v>
      </c>
      <c r="AG111" s="13"/>
    </row>
    <row r="112" spans="1:33" x14ac:dyDescent="0.45">
      <c r="A112" t="s">
        <v>225</v>
      </c>
      <c r="B112" t="s">
        <v>201</v>
      </c>
      <c r="C112">
        <v>0.16650426387786871</v>
      </c>
      <c r="D112">
        <v>0.21598678827285769</v>
      </c>
      <c r="E112">
        <v>0.26925423741340643</v>
      </c>
      <c r="F112">
        <v>0.33086007833480829</v>
      </c>
      <c r="G112">
        <v>0.39272016286849981</v>
      </c>
      <c r="H112">
        <v>0.44976556301116938</v>
      </c>
      <c r="I112">
        <v>0.49374240636825562</v>
      </c>
      <c r="J112">
        <v>0.53491902351379395</v>
      </c>
      <c r="K112">
        <v>0.57697665691375732</v>
      </c>
      <c r="L112">
        <v>0.61697202920913696</v>
      </c>
      <c r="M112">
        <v>0.65833103656768799</v>
      </c>
      <c r="N112">
        <v>0.69895559549331665</v>
      </c>
      <c r="O112">
        <v>0.74106138944625854</v>
      </c>
      <c r="P112">
        <v>0.78339946269989014</v>
      </c>
      <c r="Q112">
        <v>0.82336235046386719</v>
      </c>
      <c r="R112">
        <v>0.86093109846115112</v>
      </c>
      <c r="S112">
        <v>0.89607590436935425</v>
      </c>
      <c r="T112">
        <v>0.93168854713439941</v>
      </c>
      <c r="U112">
        <v>0.96628403663635254</v>
      </c>
      <c r="V112">
        <v>0.99982988834381104</v>
      </c>
      <c r="W112">
        <v>1.0322592258453369</v>
      </c>
      <c r="X112">
        <v>1.0633754730224609</v>
      </c>
      <c r="Y112">
        <v>1.093294620513916</v>
      </c>
      <c r="Z112">
        <v>1.122296094894409</v>
      </c>
      <c r="AA112">
        <v>1.147966623306274</v>
      </c>
      <c r="AB112">
        <v>1.174582958221436</v>
      </c>
      <c r="AC112">
        <v>8.1280406684162143E-2</v>
      </c>
      <c r="AG112" s="13"/>
    </row>
    <row r="113" spans="1:33" x14ac:dyDescent="0.45">
      <c r="A113" t="s">
        <v>226</v>
      </c>
      <c r="B113" t="s">
        <v>203</v>
      </c>
      <c r="C113">
        <v>0.18513305485248571</v>
      </c>
      <c r="D113">
        <v>0.19618113338947299</v>
      </c>
      <c r="E113">
        <v>0.20806993544101721</v>
      </c>
      <c r="F113">
        <v>0.2202898561954498</v>
      </c>
      <c r="G113">
        <v>0.23191364109516141</v>
      </c>
      <c r="H113">
        <v>0.24404700100421911</v>
      </c>
      <c r="I113">
        <v>0.25698700547218323</v>
      </c>
      <c r="J113">
        <v>0.26999360322952271</v>
      </c>
      <c r="K113">
        <v>0.28355693817138672</v>
      </c>
      <c r="L113">
        <v>0.29791304469108582</v>
      </c>
      <c r="M113">
        <v>0.31315085291862488</v>
      </c>
      <c r="N113">
        <v>0.32913258671760559</v>
      </c>
      <c r="O113">
        <v>0.3461628258228302</v>
      </c>
      <c r="P113">
        <v>0.36398994922637939</v>
      </c>
      <c r="Q113">
        <v>0.38263362646102911</v>
      </c>
      <c r="R113">
        <v>0.40191635489463812</v>
      </c>
      <c r="S113">
        <v>0.42191752791404719</v>
      </c>
      <c r="T113">
        <v>0.44253355264663702</v>
      </c>
      <c r="U113">
        <v>0.46366396546363831</v>
      </c>
      <c r="V113">
        <v>0.48558345437049871</v>
      </c>
      <c r="W113">
        <v>0.50805890560150146</v>
      </c>
      <c r="X113">
        <v>0.53128021955490112</v>
      </c>
      <c r="Y113">
        <v>0.55522787570953369</v>
      </c>
      <c r="Z113">
        <v>0.58007967472076416</v>
      </c>
      <c r="AA113">
        <v>0.60541057586669922</v>
      </c>
      <c r="AB113">
        <v>0.63153308629989624</v>
      </c>
      <c r="AC113">
        <v>5.0307545821676403E-2</v>
      </c>
      <c r="AG113" s="13"/>
    </row>
    <row r="114" spans="1:33" x14ac:dyDescent="0.45">
      <c r="A114" t="s">
        <v>227</v>
      </c>
      <c r="B114" t="s">
        <v>228</v>
      </c>
      <c r="C114">
        <v>18.695526474090521</v>
      </c>
      <c r="D114">
        <v>18.49652801713701</v>
      </c>
      <c r="E114">
        <v>17.880176289157131</v>
      </c>
      <c r="F114">
        <v>17.724139454671011</v>
      </c>
      <c r="G114">
        <v>17.624324100194091</v>
      </c>
      <c r="H114">
        <v>17.486674082022692</v>
      </c>
      <c r="I114">
        <v>17.239340193522299</v>
      </c>
      <c r="J114">
        <v>17.080187369849529</v>
      </c>
      <c r="K114">
        <v>16.975885946049821</v>
      </c>
      <c r="L114">
        <v>16.849345929541339</v>
      </c>
      <c r="M114">
        <v>16.76475472390198</v>
      </c>
      <c r="N114">
        <v>16.6892868710176</v>
      </c>
      <c r="O114">
        <v>16.64967038969338</v>
      </c>
      <c r="P114">
        <v>16.632865326841092</v>
      </c>
      <c r="Q114">
        <v>16.607419865458521</v>
      </c>
      <c r="R114">
        <v>16.55989889132664</v>
      </c>
      <c r="S114">
        <v>16.521933156761321</v>
      </c>
      <c r="T114">
        <v>16.5270177807548</v>
      </c>
      <c r="U114">
        <v>16.551318150524349</v>
      </c>
      <c r="V114">
        <v>16.581288596862301</v>
      </c>
      <c r="W114">
        <v>16.607555770259761</v>
      </c>
      <c r="X114">
        <v>16.637029138906691</v>
      </c>
      <c r="Y114">
        <v>16.663987932372731</v>
      </c>
      <c r="Z114">
        <v>16.687661372174539</v>
      </c>
      <c r="AA114">
        <v>16.695780111110651</v>
      </c>
      <c r="AB114">
        <v>16.722708505625899</v>
      </c>
      <c r="AC114">
        <v>-4.4507333100763944E-3</v>
      </c>
      <c r="AG114" s="13"/>
    </row>
    <row r="116" spans="1:33" x14ac:dyDescent="0.45">
      <c r="B116" t="s">
        <v>229</v>
      </c>
      <c r="AG116" s="13"/>
    </row>
    <row r="117" spans="1:33" x14ac:dyDescent="0.45">
      <c r="A117" t="s">
        <v>230</v>
      </c>
      <c r="B117" t="s">
        <v>231</v>
      </c>
      <c r="C117">
        <v>4.9685503999999998E-2</v>
      </c>
      <c r="D117">
        <v>4.8801575999999999E-2</v>
      </c>
      <c r="E117">
        <v>4.9416995999999998E-2</v>
      </c>
      <c r="F117">
        <v>4.8901359999999998E-2</v>
      </c>
      <c r="G117">
        <v>4.8594643999999999E-2</v>
      </c>
      <c r="H117">
        <v>4.8425808000000001E-2</v>
      </c>
      <c r="I117">
        <v>4.8258632000000003E-2</v>
      </c>
      <c r="J117">
        <v>4.7826232000000003E-2</v>
      </c>
      <c r="K117">
        <v>4.7666991999999998E-2</v>
      </c>
      <c r="L117">
        <v>4.7592375999999999E-2</v>
      </c>
      <c r="M117">
        <v>4.7389559999999997E-2</v>
      </c>
      <c r="N117">
        <v>4.7232855999999997E-2</v>
      </c>
      <c r="O117">
        <v>4.7174232000000003E-2</v>
      </c>
      <c r="P117">
        <v>4.7139920000000002E-2</v>
      </c>
      <c r="Q117">
        <v>4.7047671999999999E-2</v>
      </c>
      <c r="R117">
        <v>4.7018655999999999E-2</v>
      </c>
      <c r="S117">
        <v>4.6748188000000003E-2</v>
      </c>
      <c r="T117">
        <v>4.6572684000000003E-2</v>
      </c>
      <c r="U117">
        <v>4.6285883999999999E-2</v>
      </c>
      <c r="V117">
        <v>4.6040240000000003E-2</v>
      </c>
      <c r="W117">
        <v>4.5849444000000003E-2</v>
      </c>
      <c r="X117">
        <v>4.5748400000000002E-2</v>
      </c>
      <c r="Y117">
        <v>4.5539695999999998E-2</v>
      </c>
      <c r="Z117">
        <v>4.5423287999999999E-2</v>
      </c>
      <c r="AA117">
        <v>4.5241115999999998E-2</v>
      </c>
      <c r="AB117">
        <v>4.4973751999999999E-2</v>
      </c>
      <c r="AC117">
        <v>-3.9774365555526048E-3</v>
      </c>
      <c r="AG117" s="13"/>
    </row>
    <row r="118" spans="1:33" x14ac:dyDescent="0.45">
      <c r="A118" t="s">
        <v>232</v>
      </c>
      <c r="B118" t="s">
        <v>233</v>
      </c>
      <c r="C118">
        <v>0.22438438236713409</v>
      </c>
      <c r="D118">
        <v>0.23718477785587311</v>
      </c>
      <c r="E118">
        <v>0.25163364410400391</v>
      </c>
      <c r="F118">
        <v>0.26653721928596502</v>
      </c>
      <c r="G118">
        <v>0.28042688965797419</v>
      </c>
      <c r="H118">
        <v>0.29501697421073908</v>
      </c>
      <c r="I118">
        <v>0.31080970168113708</v>
      </c>
      <c r="J118">
        <v>0.32653322815895081</v>
      </c>
      <c r="K118">
        <v>0.34300875663757319</v>
      </c>
      <c r="L118">
        <v>0.36046761274337769</v>
      </c>
      <c r="M118">
        <v>0.37908229231834412</v>
      </c>
      <c r="N118">
        <v>0.39858260750770569</v>
      </c>
      <c r="O118">
        <v>0.41947066783905029</v>
      </c>
      <c r="P118">
        <v>0.4413415789604187</v>
      </c>
      <c r="Q118">
        <v>0.46438413858413702</v>
      </c>
      <c r="R118">
        <v>0.48823532462120062</v>
      </c>
      <c r="S118">
        <v>0.51302868127822876</v>
      </c>
      <c r="T118">
        <v>0.53851747512817383</v>
      </c>
      <c r="U118">
        <v>0.56479382514953613</v>
      </c>
      <c r="V118">
        <v>0.5920870304107666</v>
      </c>
      <c r="W118">
        <v>0.61999595165252686</v>
      </c>
      <c r="X118">
        <v>0.64872235059738159</v>
      </c>
      <c r="Y118">
        <v>0.67828959226608276</v>
      </c>
      <c r="Z118">
        <v>0.70909136533737183</v>
      </c>
      <c r="AA118">
        <v>0.74038064479827881</v>
      </c>
      <c r="AB118">
        <v>0.7727934718132019</v>
      </c>
      <c r="AC118">
        <v>5.0709920490154207E-2</v>
      </c>
      <c r="AG118" s="13"/>
    </row>
    <row r="119" spans="1:33" x14ac:dyDescent="0.45">
      <c r="A119" t="s">
        <v>234</v>
      </c>
      <c r="B119" t="s">
        <v>235</v>
      </c>
      <c r="C119">
        <v>5.8779853861778975E-4</v>
      </c>
      <c r="D119">
        <v>5.883243284188211E-4</v>
      </c>
      <c r="E119">
        <v>5.8896513655781746E-4</v>
      </c>
      <c r="F119">
        <v>5.8960117166861892E-4</v>
      </c>
      <c r="G119">
        <v>5.9062830405309796E-4</v>
      </c>
      <c r="H119">
        <v>5.9240957489237189E-4</v>
      </c>
      <c r="I119">
        <v>5.9563992545008659E-4</v>
      </c>
      <c r="J119">
        <v>6.006661569699645E-4</v>
      </c>
      <c r="K119">
        <v>6.0838687932118773E-4</v>
      </c>
      <c r="L119">
        <v>6.1899487627670169E-4</v>
      </c>
      <c r="M119">
        <v>6.3164823222905397E-4</v>
      </c>
      <c r="N119">
        <v>6.4583314815536141E-4</v>
      </c>
      <c r="O119">
        <v>6.6153763327747583E-4</v>
      </c>
      <c r="P119">
        <v>6.7802233388647437E-4</v>
      </c>
      <c r="Q119">
        <v>6.9491489557549357E-4</v>
      </c>
      <c r="R119">
        <v>7.1281311102211475E-4</v>
      </c>
      <c r="S119">
        <v>7.3276489274576306E-4</v>
      </c>
      <c r="T119">
        <v>7.5405789539217949E-4</v>
      </c>
      <c r="U119">
        <v>7.7602959936484694E-4</v>
      </c>
      <c r="V119">
        <v>7.985290139913559E-4</v>
      </c>
      <c r="W119">
        <v>8.2174333510920405E-4</v>
      </c>
      <c r="X119">
        <v>8.4689923096448183E-4</v>
      </c>
      <c r="Y119">
        <v>8.7301706662401557E-4</v>
      </c>
      <c r="Z119">
        <v>9.0274040121585131E-4</v>
      </c>
      <c r="AA119">
        <v>9.3279540305957198E-4</v>
      </c>
      <c r="AB119">
        <v>9.6316100098192692E-4</v>
      </c>
      <c r="AC119">
        <v>1.99498431218279E-2</v>
      </c>
      <c r="AG119" s="13"/>
    </row>
    <row r="120" spans="1:33" x14ac:dyDescent="0.45">
      <c r="A120" t="s">
        <v>236</v>
      </c>
      <c r="B120" t="s">
        <v>237</v>
      </c>
      <c r="C120">
        <v>0.27465768490575188</v>
      </c>
      <c r="D120">
        <v>0.28657467818429189</v>
      </c>
      <c r="E120">
        <v>0.30163960524056171</v>
      </c>
      <c r="F120">
        <v>0.31602818045763359</v>
      </c>
      <c r="G120">
        <v>0.32961216196202742</v>
      </c>
      <c r="H120">
        <v>0.34403519178563152</v>
      </c>
      <c r="I120">
        <v>0.3596639736065872</v>
      </c>
      <c r="J120">
        <v>0.37496012631592079</v>
      </c>
      <c r="K120">
        <v>0.39128413551689439</v>
      </c>
      <c r="L120">
        <v>0.40867898361965438</v>
      </c>
      <c r="M120">
        <v>0.42710350055057322</v>
      </c>
      <c r="N120">
        <v>0.44646129665586098</v>
      </c>
      <c r="O120">
        <v>0.46730643747232781</v>
      </c>
      <c r="P120">
        <v>0.48915952129430518</v>
      </c>
      <c r="Q120">
        <v>0.5121267254797125</v>
      </c>
      <c r="R120">
        <v>0.53596679373222267</v>
      </c>
      <c r="S120">
        <v>0.56050963417097455</v>
      </c>
      <c r="T120">
        <v>0.58584421702356604</v>
      </c>
      <c r="U120">
        <v>0.61185573874890098</v>
      </c>
      <c r="V120">
        <v>0.63892579942475791</v>
      </c>
      <c r="W120">
        <v>0.66666713898763608</v>
      </c>
      <c r="X120">
        <v>0.6953176498283461</v>
      </c>
      <c r="Y120">
        <v>0.72470230533270674</v>
      </c>
      <c r="Z120">
        <v>0.75541739373858763</v>
      </c>
      <c r="AA120">
        <v>0.78655455620133841</v>
      </c>
      <c r="AB120">
        <v>0.81873038481418381</v>
      </c>
      <c r="AC120">
        <v>4.4657595130769501E-2</v>
      </c>
      <c r="AG120" s="13"/>
    </row>
    <row r="121" spans="1:33" x14ac:dyDescent="0.45">
      <c r="AG121" s="13"/>
    </row>
    <row r="122" spans="1:33" x14ac:dyDescent="0.45">
      <c r="B122" t="s">
        <v>34</v>
      </c>
      <c r="AG122" s="13"/>
    </row>
    <row r="123" spans="1:33" x14ac:dyDescent="0.45">
      <c r="A123" t="s">
        <v>238</v>
      </c>
      <c r="B123" t="s">
        <v>239</v>
      </c>
      <c r="C123">
        <v>6045</v>
      </c>
      <c r="D123">
        <v>5873</v>
      </c>
      <c r="E123">
        <v>5850</v>
      </c>
      <c r="F123">
        <v>5826</v>
      </c>
      <c r="G123">
        <v>5803</v>
      </c>
      <c r="H123">
        <v>5779</v>
      </c>
      <c r="I123">
        <v>5755</v>
      </c>
      <c r="J123">
        <v>5732</v>
      </c>
      <c r="K123">
        <v>5708</v>
      </c>
      <c r="L123">
        <v>5684</v>
      </c>
      <c r="M123">
        <v>5661</v>
      </c>
      <c r="N123">
        <v>5637</v>
      </c>
      <c r="O123">
        <v>5613</v>
      </c>
      <c r="P123">
        <v>5589</v>
      </c>
      <c r="Q123">
        <v>5566</v>
      </c>
      <c r="R123">
        <v>5542</v>
      </c>
      <c r="S123">
        <v>5518</v>
      </c>
      <c r="T123">
        <v>5495</v>
      </c>
      <c r="U123">
        <v>5471</v>
      </c>
      <c r="V123">
        <v>5447</v>
      </c>
      <c r="W123">
        <v>5423</v>
      </c>
      <c r="X123">
        <v>5400</v>
      </c>
      <c r="Y123">
        <v>5376</v>
      </c>
      <c r="Z123">
        <v>5352</v>
      </c>
      <c r="AA123">
        <v>5328</v>
      </c>
      <c r="AB123">
        <v>5305</v>
      </c>
      <c r="AC123">
        <v>-5.2096509329098151E-3</v>
      </c>
      <c r="AG123" s="13"/>
    </row>
    <row r="124" spans="1:33" x14ac:dyDescent="0.45">
      <c r="A124" t="s">
        <v>240</v>
      </c>
      <c r="B124" t="s">
        <v>241</v>
      </c>
      <c r="C124">
        <v>5404</v>
      </c>
      <c r="D124">
        <v>5271</v>
      </c>
      <c r="E124">
        <v>5249</v>
      </c>
      <c r="F124">
        <v>5228</v>
      </c>
      <c r="G124">
        <v>5207</v>
      </c>
      <c r="H124">
        <v>5185</v>
      </c>
      <c r="I124">
        <v>5164</v>
      </c>
      <c r="J124">
        <v>5142</v>
      </c>
      <c r="K124">
        <v>5121</v>
      </c>
      <c r="L124">
        <v>5100</v>
      </c>
      <c r="M124">
        <v>5078</v>
      </c>
      <c r="N124">
        <v>5057</v>
      </c>
      <c r="O124">
        <v>5035</v>
      </c>
      <c r="P124">
        <v>5014</v>
      </c>
      <c r="Q124">
        <v>4993</v>
      </c>
      <c r="R124">
        <v>4971</v>
      </c>
      <c r="S124">
        <v>4950</v>
      </c>
      <c r="T124">
        <v>4929</v>
      </c>
      <c r="U124">
        <v>4907</v>
      </c>
      <c r="V124">
        <v>4886</v>
      </c>
      <c r="W124">
        <v>4865</v>
      </c>
      <c r="X124">
        <v>4843</v>
      </c>
      <c r="Y124">
        <v>4822</v>
      </c>
      <c r="Z124">
        <v>4801</v>
      </c>
      <c r="AA124">
        <v>4780</v>
      </c>
      <c r="AB124">
        <v>4758</v>
      </c>
      <c r="AC124">
        <v>-5.0795356335953112E-3</v>
      </c>
      <c r="AG124" s="13"/>
    </row>
    <row r="125" spans="1:33" x14ac:dyDescent="0.45">
      <c r="A125" t="s">
        <v>242</v>
      </c>
      <c r="B125" t="s">
        <v>243</v>
      </c>
      <c r="C125">
        <v>5984</v>
      </c>
      <c r="D125">
        <v>5836</v>
      </c>
      <c r="E125">
        <v>5817</v>
      </c>
      <c r="F125">
        <v>5798</v>
      </c>
      <c r="G125">
        <v>5779</v>
      </c>
      <c r="H125">
        <v>5760</v>
      </c>
      <c r="I125">
        <v>5741</v>
      </c>
      <c r="J125">
        <v>5722</v>
      </c>
      <c r="K125">
        <v>5703</v>
      </c>
      <c r="L125">
        <v>5683</v>
      </c>
      <c r="M125">
        <v>5664</v>
      </c>
      <c r="N125">
        <v>5645</v>
      </c>
      <c r="O125">
        <v>5626</v>
      </c>
      <c r="P125">
        <v>5607</v>
      </c>
      <c r="Q125">
        <v>5588</v>
      </c>
      <c r="R125">
        <v>5569</v>
      </c>
      <c r="S125">
        <v>5549</v>
      </c>
      <c r="T125">
        <v>5530</v>
      </c>
      <c r="U125">
        <v>5511</v>
      </c>
      <c r="V125">
        <v>5492</v>
      </c>
      <c r="W125">
        <v>5473</v>
      </c>
      <c r="X125">
        <v>5453</v>
      </c>
      <c r="Y125">
        <v>5434</v>
      </c>
      <c r="Z125">
        <v>5415</v>
      </c>
      <c r="AA125">
        <v>5396</v>
      </c>
      <c r="AB125">
        <v>5377</v>
      </c>
      <c r="AC125">
        <v>-4.2692066307929988E-3</v>
      </c>
      <c r="AG125" s="13"/>
    </row>
    <row r="126" spans="1:33" x14ac:dyDescent="0.45">
      <c r="A126" t="s">
        <v>244</v>
      </c>
      <c r="B126" t="s">
        <v>245</v>
      </c>
      <c r="C126">
        <v>6267</v>
      </c>
      <c r="D126">
        <v>6263</v>
      </c>
      <c r="E126">
        <v>6251</v>
      </c>
      <c r="F126">
        <v>6239</v>
      </c>
      <c r="G126">
        <v>6227</v>
      </c>
      <c r="H126">
        <v>6215</v>
      </c>
      <c r="I126">
        <v>6203</v>
      </c>
      <c r="J126">
        <v>6191</v>
      </c>
      <c r="K126">
        <v>6178</v>
      </c>
      <c r="L126">
        <v>6166</v>
      </c>
      <c r="M126">
        <v>6153</v>
      </c>
      <c r="N126">
        <v>6141</v>
      </c>
      <c r="O126">
        <v>6128</v>
      </c>
      <c r="P126">
        <v>6116</v>
      </c>
      <c r="Q126">
        <v>6103</v>
      </c>
      <c r="R126">
        <v>6091</v>
      </c>
      <c r="S126">
        <v>6078</v>
      </c>
      <c r="T126">
        <v>6066</v>
      </c>
      <c r="U126">
        <v>6053</v>
      </c>
      <c r="V126">
        <v>6040</v>
      </c>
      <c r="W126">
        <v>6028</v>
      </c>
      <c r="X126">
        <v>6015</v>
      </c>
      <c r="Y126">
        <v>6002</v>
      </c>
      <c r="Z126">
        <v>5990</v>
      </c>
      <c r="AA126">
        <v>5977</v>
      </c>
      <c r="AB126">
        <v>5964</v>
      </c>
      <c r="AC126">
        <v>-1.980291603725814E-3</v>
      </c>
    </row>
    <row r="127" spans="1:33" x14ac:dyDescent="0.45">
      <c r="A127" t="s">
        <v>246</v>
      </c>
      <c r="B127" t="s">
        <v>247</v>
      </c>
      <c r="C127">
        <v>2431</v>
      </c>
      <c r="D127">
        <v>2296</v>
      </c>
      <c r="E127">
        <v>2280</v>
      </c>
      <c r="F127">
        <v>2263</v>
      </c>
      <c r="G127">
        <v>2245</v>
      </c>
      <c r="H127">
        <v>2228</v>
      </c>
      <c r="I127">
        <v>2210</v>
      </c>
      <c r="J127">
        <v>2192</v>
      </c>
      <c r="K127">
        <v>2175</v>
      </c>
      <c r="L127">
        <v>2157</v>
      </c>
      <c r="M127">
        <v>2139</v>
      </c>
      <c r="N127">
        <v>2122</v>
      </c>
      <c r="O127">
        <v>2104</v>
      </c>
      <c r="P127">
        <v>2087</v>
      </c>
      <c r="Q127">
        <v>2069</v>
      </c>
      <c r="R127">
        <v>2052</v>
      </c>
      <c r="S127">
        <v>2034</v>
      </c>
      <c r="T127">
        <v>2017</v>
      </c>
      <c r="U127">
        <v>2000</v>
      </c>
      <c r="V127">
        <v>1982</v>
      </c>
      <c r="W127">
        <v>1965</v>
      </c>
      <c r="X127">
        <v>1948</v>
      </c>
      <c r="Y127">
        <v>1930</v>
      </c>
      <c r="Z127">
        <v>1913</v>
      </c>
      <c r="AA127">
        <v>1896</v>
      </c>
      <c r="AB127">
        <v>1879</v>
      </c>
      <c r="AC127">
        <v>-1.024962983363786E-2</v>
      </c>
    </row>
    <row r="128" spans="1:33" x14ac:dyDescent="0.45">
      <c r="A128" t="s">
        <v>248</v>
      </c>
      <c r="B128" t="s">
        <v>249</v>
      </c>
      <c r="C128">
        <v>3231</v>
      </c>
      <c r="D128">
        <v>3099</v>
      </c>
      <c r="E128">
        <v>3084</v>
      </c>
      <c r="F128">
        <v>3069</v>
      </c>
      <c r="G128">
        <v>3053</v>
      </c>
      <c r="H128">
        <v>3038</v>
      </c>
      <c r="I128">
        <v>3023</v>
      </c>
      <c r="J128">
        <v>3008</v>
      </c>
      <c r="K128">
        <v>2992</v>
      </c>
      <c r="L128">
        <v>2977</v>
      </c>
      <c r="M128">
        <v>2961</v>
      </c>
      <c r="N128">
        <v>2946</v>
      </c>
      <c r="O128">
        <v>2930</v>
      </c>
      <c r="P128">
        <v>2915</v>
      </c>
      <c r="Q128">
        <v>2900</v>
      </c>
      <c r="R128">
        <v>2884</v>
      </c>
      <c r="S128">
        <v>2869</v>
      </c>
      <c r="T128">
        <v>2853</v>
      </c>
      <c r="U128">
        <v>2838</v>
      </c>
      <c r="V128">
        <v>2822</v>
      </c>
      <c r="W128">
        <v>2807</v>
      </c>
      <c r="X128">
        <v>2791</v>
      </c>
      <c r="Y128">
        <v>2776</v>
      </c>
      <c r="Z128">
        <v>2760</v>
      </c>
      <c r="AA128">
        <v>2745</v>
      </c>
      <c r="AB128">
        <v>2730</v>
      </c>
      <c r="AC128">
        <v>-6.7169429162804439E-3</v>
      </c>
    </row>
    <row r="129" spans="1:29" x14ac:dyDescent="0.45">
      <c r="A129" t="s">
        <v>250</v>
      </c>
      <c r="B129" t="s">
        <v>251</v>
      </c>
      <c r="C129">
        <v>1966</v>
      </c>
      <c r="D129">
        <v>1889</v>
      </c>
      <c r="E129">
        <v>1880</v>
      </c>
      <c r="F129">
        <v>1870</v>
      </c>
      <c r="G129">
        <v>1860</v>
      </c>
      <c r="H129">
        <v>1851</v>
      </c>
      <c r="I129">
        <v>1841</v>
      </c>
      <c r="J129">
        <v>1831</v>
      </c>
      <c r="K129">
        <v>1822</v>
      </c>
      <c r="L129">
        <v>1812</v>
      </c>
      <c r="M129">
        <v>1803</v>
      </c>
      <c r="N129">
        <v>1793</v>
      </c>
      <c r="O129">
        <v>1784</v>
      </c>
      <c r="P129">
        <v>1774</v>
      </c>
      <c r="Q129">
        <v>1765</v>
      </c>
      <c r="R129">
        <v>1756</v>
      </c>
      <c r="S129">
        <v>1746</v>
      </c>
      <c r="T129">
        <v>1737</v>
      </c>
      <c r="U129">
        <v>1728</v>
      </c>
      <c r="V129">
        <v>1718</v>
      </c>
      <c r="W129">
        <v>1709</v>
      </c>
      <c r="X129">
        <v>1700</v>
      </c>
      <c r="Y129">
        <v>1690</v>
      </c>
      <c r="Z129">
        <v>1681</v>
      </c>
      <c r="AA129">
        <v>1672</v>
      </c>
      <c r="AB129">
        <v>1663</v>
      </c>
      <c r="AC129">
        <v>-6.6727505264080333E-3</v>
      </c>
    </row>
    <row r="130" spans="1:29" x14ac:dyDescent="0.45">
      <c r="A130" t="s">
        <v>252</v>
      </c>
      <c r="B130" t="s">
        <v>253</v>
      </c>
      <c r="C130">
        <v>4734</v>
      </c>
      <c r="D130">
        <v>4833</v>
      </c>
      <c r="E130">
        <v>4825</v>
      </c>
      <c r="F130">
        <v>4816</v>
      </c>
      <c r="G130">
        <v>4807</v>
      </c>
      <c r="H130">
        <v>4799</v>
      </c>
      <c r="I130">
        <v>4790</v>
      </c>
      <c r="J130">
        <v>4782</v>
      </c>
      <c r="K130">
        <v>4774</v>
      </c>
      <c r="L130">
        <v>4766</v>
      </c>
      <c r="M130">
        <v>4758</v>
      </c>
      <c r="N130">
        <v>4750</v>
      </c>
      <c r="O130">
        <v>4742</v>
      </c>
      <c r="P130">
        <v>4734</v>
      </c>
      <c r="Q130">
        <v>4726</v>
      </c>
      <c r="R130">
        <v>4718</v>
      </c>
      <c r="S130">
        <v>4710</v>
      </c>
      <c r="T130">
        <v>4702</v>
      </c>
      <c r="U130">
        <v>4694</v>
      </c>
      <c r="V130">
        <v>4687</v>
      </c>
      <c r="W130">
        <v>4679</v>
      </c>
      <c r="X130">
        <v>4671</v>
      </c>
      <c r="Y130">
        <v>4664</v>
      </c>
      <c r="Z130">
        <v>4656</v>
      </c>
      <c r="AA130">
        <v>4648</v>
      </c>
      <c r="AB130">
        <v>4641</v>
      </c>
      <c r="AC130">
        <v>-7.9331119546310891E-4</v>
      </c>
    </row>
    <row r="131" spans="1:29" x14ac:dyDescent="0.45">
      <c r="A131" t="s">
        <v>254</v>
      </c>
      <c r="B131" t="s">
        <v>255</v>
      </c>
      <c r="C131">
        <v>3251</v>
      </c>
      <c r="D131">
        <v>3291</v>
      </c>
      <c r="E131">
        <v>3285</v>
      </c>
      <c r="F131">
        <v>3279</v>
      </c>
      <c r="G131">
        <v>3272</v>
      </c>
      <c r="H131">
        <v>3266</v>
      </c>
      <c r="I131">
        <v>3259</v>
      </c>
      <c r="J131">
        <v>3252</v>
      </c>
      <c r="K131">
        <v>3245</v>
      </c>
      <c r="L131">
        <v>3238</v>
      </c>
      <c r="M131">
        <v>3231</v>
      </c>
      <c r="N131">
        <v>3224</v>
      </c>
      <c r="O131">
        <v>3216</v>
      </c>
      <c r="P131">
        <v>3209</v>
      </c>
      <c r="Q131">
        <v>3202</v>
      </c>
      <c r="R131">
        <v>3195</v>
      </c>
      <c r="S131">
        <v>3187</v>
      </c>
      <c r="T131">
        <v>3180</v>
      </c>
      <c r="U131">
        <v>3173</v>
      </c>
      <c r="V131">
        <v>3165</v>
      </c>
      <c r="W131">
        <v>3158</v>
      </c>
      <c r="X131">
        <v>3151</v>
      </c>
      <c r="Y131">
        <v>3143</v>
      </c>
      <c r="Z131">
        <v>3136</v>
      </c>
      <c r="AA131">
        <v>3129</v>
      </c>
      <c r="AB131">
        <v>3122</v>
      </c>
      <c r="AC131">
        <v>-1.61824200126981E-3</v>
      </c>
    </row>
    <row r="132" spans="1:29" x14ac:dyDescent="0.45">
      <c r="A132" t="s">
        <v>256</v>
      </c>
      <c r="B132" t="s">
        <v>257</v>
      </c>
      <c r="C132">
        <v>3989.572265625</v>
      </c>
      <c r="D132">
        <v>3910.10595703125</v>
      </c>
      <c r="E132">
        <v>3891.6015625</v>
      </c>
      <c r="F132">
        <v>3872.8251953125</v>
      </c>
      <c r="G132">
        <v>3853.715576171875</v>
      </c>
      <c r="H132">
        <v>3835.1279296875</v>
      </c>
      <c r="I132">
        <v>3816.111328125</v>
      </c>
      <c r="J132">
        <v>3797.1376953125</v>
      </c>
      <c r="K132">
        <v>3778.5009765625</v>
      </c>
      <c r="L132">
        <v>3759.552734375</v>
      </c>
      <c r="M132">
        <v>3740.7109375</v>
      </c>
      <c r="N132">
        <v>3722.160888671875</v>
      </c>
      <c r="O132">
        <v>3703.157470703125</v>
      </c>
      <c r="P132">
        <v>3684.65234375</v>
      </c>
      <c r="Q132">
        <v>3666.06494140625</v>
      </c>
      <c r="R132">
        <v>3647.55615234375</v>
      </c>
      <c r="S132">
        <v>3628.5244140625</v>
      </c>
      <c r="T132">
        <v>3610.19921875</v>
      </c>
      <c r="U132">
        <v>3591.732177734375</v>
      </c>
      <c r="V132">
        <v>3572.9052734375</v>
      </c>
      <c r="W132">
        <v>3554.652587890625</v>
      </c>
      <c r="X132">
        <v>3536.15771484375</v>
      </c>
      <c r="Y132">
        <v>3517.5849609375</v>
      </c>
      <c r="Z132">
        <v>3499.5966796875</v>
      </c>
      <c r="AA132">
        <v>3481.78857421875</v>
      </c>
      <c r="AB132">
        <v>3464.1162109375</v>
      </c>
      <c r="AC132">
        <v>-5.6331334759734952E-3</v>
      </c>
    </row>
    <row r="134" spans="1:29" x14ac:dyDescent="0.45">
      <c r="B134" t="s">
        <v>35</v>
      </c>
    </row>
    <row r="135" spans="1:29" x14ac:dyDescent="0.45">
      <c r="A135" t="s">
        <v>258</v>
      </c>
      <c r="B135" t="s">
        <v>239</v>
      </c>
      <c r="C135">
        <v>530</v>
      </c>
      <c r="D135">
        <v>626</v>
      </c>
      <c r="E135">
        <v>633</v>
      </c>
      <c r="F135">
        <v>640</v>
      </c>
      <c r="G135">
        <v>647</v>
      </c>
      <c r="H135">
        <v>654</v>
      </c>
      <c r="I135">
        <v>662</v>
      </c>
      <c r="J135">
        <v>669</v>
      </c>
      <c r="K135">
        <v>676</v>
      </c>
      <c r="L135">
        <v>683</v>
      </c>
      <c r="M135">
        <v>690</v>
      </c>
      <c r="N135">
        <v>697</v>
      </c>
      <c r="O135">
        <v>704</v>
      </c>
      <c r="P135">
        <v>712</v>
      </c>
      <c r="Q135">
        <v>719</v>
      </c>
      <c r="R135">
        <v>726</v>
      </c>
      <c r="S135">
        <v>733</v>
      </c>
      <c r="T135">
        <v>740</v>
      </c>
      <c r="U135">
        <v>747</v>
      </c>
      <c r="V135">
        <v>754</v>
      </c>
      <c r="W135">
        <v>761</v>
      </c>
      <c r="X135">
        <v>769</v>
      </c>
      <c r="Y135">
        <v>776</v>
      </c>
      <c r="Z135">
        <v>783</v>
      </c>
      <c r="AA135">
        <v>790</v>
      </c>
      <c r="AB135">
        <v>797</v>
      </c>
      <c r="AC135">
        <v>1.6452990811785199E-2</v>
      </c>
    </row>
    <row r="136" spans="1:29" x14ac:dyDescent="0.45">
      <c r="A136" t="s">
        <v>259</v>
      </c>
      <c r="B136" t="s">
        <v>241</v>
      </c>
      <c r="C136">
        <v>766</v>
      </c>
      <c r="D136">
        <v>858</v>
      </c>
      <c r="E136">
        <v>866</v>
      </c>
      <c r="F136">
        <v>874</v>
      </c>
      <c r="G136">
        <v>883</v>
      </c>
      <c r="H136">
        <v>891</v>
      </c>
      <c r="I136">
        <v>899</v>
      </c>
      <c r="J136">
        <v>907</v>
      </c>
      <c r="K136">
        <v>915</v>
      </c>
      <c r="L136">
        <v>923</v>
      </c>
      <c r="M136">
        <v>932</v>
      </c>
      <c r="N136">
        <v>940</v>
      </c>
      <c r="O136">
        <v>948</v>
      </c>
      <c r="P136">
        <v>956</v>
      </c>
      <c r="Q136">
        <v>964</v>
      </c>
      <c r="R136">
        <v>973</v>
      </c>
      <c r="S136">
        <v>981</v>
      </c>
      <c r="T136">
        <v>989</v>
      </c>
      <c r="U136">
        <v>997</v>
      </c>
      <c r="V136">
        <v>1005</v>
      </c>
      <c r="W136">
        <v>1014</v>
      </c>
      <c r="X136">
        <v>1022</v>
      </c>
      <c r="Y136">
        <v>1030</v>
      </c>
      <c r="Z136">
        <v>1038</v>
      </c>
      <c r="AA136">
        <v>1046</v>
      </c>
      <c r="AB136">
        <v>1055</v>
      </c>
      <c r="AC136">
        <v>1.2886884383320311E-2</v>
      </c>
    </row>
    <row r="137" spans="1:29" x14ac:dyDescent="0.45">
      <c r="A137" t="s">
        <v>260</v>
      </c>
      <c r="B137" t="s">
        <v>243</v>
      </c>
      <c r="C137">
        <v>873</v>
      </c>
      <c r="D137">
        <v>857</v>
      </c>
      <c r="E137">
        <v>862</v>
      </c>
      <c r="F137">
        <v>867</v>
      </c>
      <c r="G137">
        <v>871</v>
      </c>
      <c r="H137">
        <v>876</v>
      </c>
      <c r="I137">
        <v>881</v>
      </c>
      <c r="J137">
        <v>886</v>
      </c>
      <c r="K137">
        <v>890</v>
      </c>
      <c r="L137">
        <v>895</v>
      </c>
      <c r="M137">
        <v>900</v>
      </c>
      <c r="N137">
        <v>905</v>
      </c>
      <c r="O137">
        <v>909</v>
      </c>
      <c r="P137">
        <v>914</v>
      </c>
      <c r="Q137">
        <v>919</v>
      </c>
      <c r="R137">
        <v>924</v>
      </c>
      <c r="S137">
        <v>928</v>
      </c>
      <c r="T137">
        <v>933</v>
      </c>
      <c r="U137">
        <v>938</v>
      </c>
      <c r="V137">
        <v>943</v>
      </c>
      <c r="W137">
        <v>948</v>
      </c>
      <c r="X137">
        <v>952</v>
      </c>
      <c r="Y137">
        <v>957</v>
      </c>
      <c r="Z137">
        <v>962</v>
      </c>
      <c r="AA137">
        <v>967</v>
      </c>
      <c r="AB137">
        <v>972</v>
      </c>
      <c r="AC137">
        <v>4.3060544685959989E-3</v>
      </c>
    </row>
    <row r="138" spans="1:29" x14ac:dyDescent="0.45">
      <c r="A138" t="s">
        <v>261</v>
      </c>
      <c r="B138" t="s">
        <v>245</v>
      </c>
      <c r="C138">
        <v>1052</v>
      </c>
      <c r="D138">
        <v>1048</v>
      </c>
      <c r="E138">
        <v>1053</v>
      </c>
      <c r="F138">
        <v>1057</v>
      </c>
      <c r="G138">
        <v>1062</v>
      </c>
      <c r="H138">
        <v>1067</v>
      </c>
      <c r="I138">
        <v>1071</v>
      </c>
      <c r="J138">
        <v>1076</v>
      </c>
      <c r="K138">
        <v>1081</v>
      </c>
      <c r="L138">
        <v>1086</v>
      </c>
      <c r="M138">
        <v>1090</v>
      </c>
      <c r="N138">
        <v>1095</v>
      </c>
      <c r="O138">
        <v>1100</v>
      </c>
      <c r="P138">
        <v>1105</v>
      </c>
      <c r="Q138">
        <v>1109</v>
      </c>
      <c r="R138">
        <v>1114</v>
      </c>
      <c r="S138">
        <v>1119</v>
      </c>
      <c r="T138">
        <v>1124</v>
      </c>
      <c r="U138">
        <v>1129</v>
      </c>
      <c r="V138">
        <v>1133</v>
      </c>
      <c r="W138">
        <v>1138</v>
      </c>
      <c r="X138">
        <v>1143</v>
      </c>
      <c r="Y138">
        <v>1148</v>
      </c>
      <c r="Z138">
        <v>1153</v>
      </c>
      <c r="AA138">
        <v>1158</v>
      </c>
      <c r="AB138">
        <v>1162</v>
      </c>
      <c r="AC138">
        <v>3.9859044359582541E-3</v>
      </c>
    </row>
    <row r="139" spans="1:29" x14ac:dyDescent="0.45">
      <c r="A139" t="s">
        <v>262</v>
      </c>
      <c r="B139" t="s">
        <v>247</v>
      </c>
      <c r="C139">
        <v>2319</v>
      </c>
      <c r="D139">
        <v>2427</v>
      </c>
      <c r="E139">
        <v>2442</v>
      </c>
      <c r="F139">
        <v>2458</v>
      </c>
      <c r="G139">
        <v>2473</v>
      </c>
      <c r="H139">
        <v>2489</v>
      </c>
      <c r="I139">
        <v>2505</v>
      </c>
      <c r="J139">
        <v>2522</v>
      </c>
      <c r="K139">
        <v>2538</v>
      </c>
      <c r="L139">
        <v>2554</v>
      </c>
      <c r="M139">
        <v>2570</v>
      </c>
      <c r="N139">
        <v>2586</v>
      </c>
      <c r="O139">
        <v>2603</v>
      </c>
      <c r="P139">
        <v>2619</v>
      </c>
      <c r="Q139">
        <v>2635</v>
      </c>
      <c r="R139">
        <v>2652</v>
      </c>
      <c r="S139">
        <v>2668</v>
      </c>
      <c r="T139">
        <v>2684</v>
      </c>
      <c r="U139">
        <v>2701</v>
      </c>
      <c r="V139">
        <v>2717</v>
      </c>
      <c r="W139">
        <v>2734</v>
      </c>
      <c r="X139">
        <v>2750</v>
      </c>
      <c r="Y139">
        <v>2767</v>
      </c>
      <c r="Z139">
        <v>2783</v>
      </c>
      <c r="AA139">
        <v>2800</v>
      </c>
      <c r="AB139">
        <v>2816</v>
      </c>
      <c r="AC139">
        <v>7.7974985795448148E-3</v>
      </c>
    </row>
    <row r="140" spans="1:29" x14ac:dyDescent="0.45">
      <c r="A140" t="s">
        <v>263</v>
      </c>
      <c r="B140" t="s">
        <v>249</v>
      </c>
      <c r="C140">
        <v>1790</v>
      </c>
      <c r="D140">
        <v>1783</v>
      </c>
      <c r="E140">
        <v>1790</v>
      </c>
      <c r="F140">
        <v>1797</v>
      </c>
      <c r="G140">
        <v>1804</v>
      </c>
      <c r="H140">
        <v>1811</v>
      </c>
      <c r="I140">
        <v>1819</v>
      </c>
      <c r="J140">
        <v>1826</v>
      </c>
      <c r="K140">
        <v>1833</v>
      </c>
      <c r="L140">
        <v>1840</v>
      </c>
      <c r="M140">
        <v>1847</v>
      </c>
      <c r="N140">
        <v>1854</v>
      </c>
      <c r="O140">
        <v>1862</v>
      </c>
      <c r="P140">
        <v>1869</v>
      </c>
      <c r="Q140">
        <v>1876</v>
      </c>
      <c r="R140">
        <v>1883</v>
      </c>
      <c r="S140">
        <v>1890</v>
      </c>
      <c r="T140">
        <v>1898</v>
      </c>
      <c r="U140">
        <v>1905</v>
      </c>
      <c r="V140">
        <v>1912</v>
      </c>
      <c r="W140">
        <v>1919</v>
      </c>
      <c r="X140">
        <v>1926</v>
      </c>
      <c r="Y140">
        <v>1934</v>
      </c>
      <c r="Z140">
        <v>1941</v>
      </c>
      <c r="AA140">
        <v>1948</v>
      </c>
      <c r="AB140">
        <v>1955</v>
      </c>
      <c r="AC140">
        <v>3.533210066561487E-3</v>
      </c>
    </row>
    <row r="141" spans="1:29" x14ac:dyDescent="0.45">
      <c r="A141" t="s">
        <v>264</v>
      </c>
      <c r="B141" t="s">
        <v>251</v>
      </c>
      <c r="C141">
        <v>2916</v>
      </c>
      <c r="D141">
        <v>2946</v>
      </c>
      <c r="E141">
        <v>2961</v>
      </c>
      <c r="F141">
        <v>2976</v>
      </c>
      <c r="G141">
        <v>2990</v>
      </c>
      <c r="H141">
        <v>3005</v>
      </c>
      <c r="I141">
        <v>3020</v>
      </c>
      <c r="J141">
        <v>3035</v>
      </c>
      <c r="K141">
        <v>3049</v>
      </c>
      <c r="L141">
        <v>3064</v>
      </c>
      <c r="M141">
        <v>3079</v>
      </c>
      <c r="N141">
        <v>3093</v>
      </c>
      <c r="O141">
        <v>3108</v>
      </c>
      <c r="P141">
        <v>3123</v>
      </c>
      <c r="Q141">
        <v>3138</v>
      </c>
      <c r="R141">
        <v>3152</v>
      </c>
      <c r="S141">
        <v>3167</v>
      </c>
      <c r="T141">
        <v>3182</v>
      </c>
      <c r="U141">
        <v>3197</v>
      </c>
      <c r="V141">
        <v>3211</v>
      </c>
      <c r="W141">
        <v>3226</v>
      </c>
      <c r="X141">
        <v>3241</v>
      </c>
      <c r="Y141">
        <v>3255</v>
      </c>
      <c r="Z141">
        <v>3270</v>
      </c>
      <c r="AA141">
        <v>3285</v>
      </c>
      <c r="AB141">
        <v>3299</v>
      </c>
      <c r="AC141">
        <v>4.9484665423147334E-3</v>
      </c>
    </row>
    <row r="142" spans="1:29" x14ac:dyDescent="0.45">
      <c r="A142" t="s">
        <v>265</v>
      </c>
      <c r="B142" t="s">
        <v>253</v>
      </c>
      <c r="C142">
        <v>1515</v>
      </c>
      <c r="D142">
        <v>1608</v>
      </c>
      <c r="E142">
        <v>1617</v>
      </c>
      <c r="F142">
        <v>1627</v>
      </c>
      <c r="G142">
        <v>1636</v>
      </c>
      <c r="H142">
        <v>1645</v>
      </c>
      <c r="I142">
        <v>1655</v>
      </c>
      <c r="J142">
        <v>1664</v>
      </c>
      <c r="K142">
        <v>1673</v>
      </c>
      <c r="L142">
        <v>1682</v>
      </c>
      <c r="M142">
        <v>1691</v>
      </c>
      <c r="N142">
        <v>1701</v>
      </c>
      <c r="O142">
        <v>1710</v>
      </c>
      <c r="P142">
        <v>1719</v>
      </c>
      <c r="Q142">
        <v>1728</v>
      </c>
      <c r="R142">
        <v>1737</v>
      </c>
      <c r="S142">
        <v>1746</v>
      </c>
      <c r="T142">
        <v>1755</v>
      </c>
      <c r="U142">
        <v>1764</v>
      </c>
      <c r="V142">
        <v>1773</v>
      </c>
      <c r="W142">
        <v>1782</v>
      </c>
      <c r="X142">
        <v>1791</v>
      </c>
      <c r="Y142">
        <v>1800</v>
      </c>
      <c r="Z142">
        <v>1809</v>
      </c>
      <c r="AA142">
        <v>1818</v>
      </c>
      <c r="AB142">
        <v>1827</v>
      </c>
      <c r="AC142">
        <v>7.5185167090765503E-3</v>
      </c>
    </row>
    <row r="143" spans="1:29" x14ac:dyDescent="0.45">
      <c r="A143" t="s">
        <v>266</v>
      </c>
      <c r="B143" t="s">
        <v>255</v>
      </c>
      <c r="C143">
        <v>887</v>
      </c>
      <c r="D143">
        <v>1040</v>
      </c>
      <c r="E143">
        <v>1049</v>
      </c>
      <c r="F143">
        <v>1058</v>
      </c>
      <c r="G143">
        <v>1067</v>
      </c>
      <c r="H143">
        <v>1076</v>
      </c>
      <c r="I143">
        <v>1085</v>
      </c>
      <c r="J143">
        <v>1094</v>
      </c>
      <c r="K143">
        <v>1103</v>
      </c>
      <c r="L143">
        <v>1112</v>
      </c>
      <c r="M143">
        <v>1121</v>
      </c>
      <c r="N143">
        <v>1131</v>
      </c>
      <c r="O143">
        <v>1140</v>
      </c>
      <c r="P143">
        <v>1149</v>
      </c>
      <c r="Q143">
        <v>1158</v>
      </c>
      <c r="R143">
        <v>1167</v>
      </c>
      <c r="S143">
        <v>1177</v>
      </c>
      <c r="T143">
        <v>1186</v>
      </c>
      <c r="U143">
        <v>1195</v>
      </c>
      <c r="V143">
        <v>1204</v>
      </c>
      <c r="W143">
        <v>1213</v>
      </c>
      <c r="X143">
        <v>1223</v>
      </c>
      <c r="Y143">
        <v>1232</v>
      </c>
      <c r="Z143">
        <v>1241</v>
      </c>
      <c r="AA143">
        <v>1250</v>
      </c>
      <c r="AB143">
        <v>1259</v>
      </c>
      <c r="AC143">
        <v>1.4107709657196651E-2</v>
      </c>
    </row>
    <row r="144" spans="1:29" x14ac:dyDescent="0.45">
      <c r="A144" t="s">
        <v>267</v>
      </c>
      <c r="B144" t="s">
        <v>257</v>
      </c>
      <c r="C144">
        <v>1516.423583984375</v>
      </c>
      <c r="D144">
        <v>1589.852905273438</v>
      </c>
      <c r="E144">
        <v>1602.154052734375</v>
      </c>
      <c r="F144">
        <v>1614.68994140625</v>
      </c>
      <c r="G144">
        <v>1626.874267578125</v>
      </c>
      <c r="H144">
        <v>1639.42919921875</v>
      </c>
      <c r="I144">
        <v>1652.126586914062</v>
      </c>
      <c r="J144">
        <v>1664.94091796875</v>
      </c>
      <c r="K144">
        <v>1677.306884765625</v>
      </c>
      <c r="L144">
        <v>1689.963012695312</v>
      </c>
      <c r="M144">
        <v>1702.697631835938</v>
      </c>
      <c r="N144">
        <v>1715.52587890625</v>
      </c>
      <c r="O144">
        <v>1728.397705078125</v>
      </c>
      <c r="P144">
        <v>1741.199096679688</v>
      </c>
      <c r="Q144">
        <v>1753.922607421875</v>
      </c>
      <c r="R144">
        <v>1766.92138671875</v>
      </c>
      <c r="S144">
        <v>1779.796142578125</v>
      </c>
      <c r="T144">
        <v>1792.711669921875</v>
      </c>
      <c r="U144">
        <v>1805.81201171875</v>
      </c>
      <c r="V144">
        <v>1818.522705078125</v>
      </c>
      <c r="W144">
        <v>1831.7783203125</v>
      </c>
      <c r="X144">
        <v>1844.803100585938</v>
      </c>
      <c r="Y144">
        <v>1857.8740234375</v>
      </c>
      <c r="Z144">
        <v>1870.785278320312</v>
      </c>
      <c r="AA144">
        <v>1883.8203125</v>
      </c>
      <c r="AB144">
        <v>1896.469848632812</v>
      </c>
      <c r="AC144">
        <v>8.9857123444541109E-3</v>
      </c>
    </row>
    <row r="146" spans="2:2" x14ac:dyDescent="0.45">
      <c r="B146" t="s">
        <v>268</v>
      </c>
    </row>
    <row r="147" spans="2:2" x14ac:dyDescent="0.45">
      <c r="B147" t="s">
        <v>269</v>
      </c>
    </row>
    <row r="148" spans="2:2" x14ac:dyDescent="0.45">
      <c r="B148" t="s">
        <v>270</v>
      </c>
    </row>
    <row r="149" spans="2:2" x14ac:dyDescent="0.45">
      <c r="B149" t="s">
        <v>271</v>
      </c>
    </row>
    <row r="150" spans="2:2" x14ac:dyDescent="0.45">
      <c r="B150" t="s">
        <v>272</v>
      </c>
    </row>
    <row r="151" spans="2:2" x14ac:dyDescent="0.45">
      <c r="B151" t="s">
        <v>273</v>
      </c>
    </row>
    <row r="152" spans="2:2" x14ac:dyDescent="0.45">
      <c r="B152" t="s">
        <v>274</v>
      </c>
    </row>
    <row r="153" spans="2:2" x14ac:dyDescent="0.45">
      <c r="B153" t="s">
        <v>275</v>
      </c>
    </row>
    <row r="154" spans="2:2" x14ac:dyDescent="0.45">
      <c r="B154" t="s">
        <v>276</v>
      </c>
    </row>
    <row r="155" spans="2:2" x14ac:dyDescent="0.45">
      <c r="B155" t="s">
        <v>277</v>
      </c>
    </row>
    <row r="156" spans="2:2" x14ac:dyDescent="0.45">
      <c r="B156" t="s">
        <v>278</v>
      </c>
    </row>
    <row r="157" spans="2:2" x14ac:dyDescent="0.45">
      <c r="B157" t="s">
        <v>279</v>
      </c>
    </row>
    <row r="158" spans="2:2" x14ac:dyDescent="0.45">
      <c r="B158" t="s">
        <v>280</v>
      </c>
    </row>
    <row r="159" spans="2:2" x14ac:dyDescent="0.45">
      <c r="B159" t="s">
        <v>281</v>
      </c>
    </row>
    <row r="160" spans="2:2" x14ac:dyDescent="0.45">
      <c r="B160" t="s">
        <v>282</v>
      </c>
    </row>
    <row r="161" spans="2:2" x14ac:dyDescent="0.45">
      <c r="B161" t="s">
        <v>283</v>
      </c>
    </row>
    <row r="162" spans="2:2" x14ac:dyDescent="0.45">
      <c r="B162" t="s">
        <v>284</v>
      </c>
    </row>
    <row r="163" spans="2:2" x14ac:dyDescent="0.45">
      <c r="B163" t="s">
        <v>285</v>
      </c>
    </row>
    <row r="164" spans="2:2" x14ac:dyDescent="0.45">
      <c r="B164" t="s">
        <v>286</v>
      </c>
    </row>
    <row r="165" spans="2:2" x14ac:dyDescent="0.45">
      <c r="B165" t="s">
        <v>287</v>
      </c>
    </row>
    <row r="166" spans="2:2" x14ac:dyDescent="0.45">
      <c r="B166" t="s">
        <v>288</v>
      </c>
    </row>
    <row r="167" spans="2:2" x14ac:dyDescent="0.45">
      <c r="B167" t="s">
        <v>289</v>
      </c>
    </row>
    <row r="168" spans="2:2" x14ac:dyDescent="0.45">
      <c r="B168" t="s">
        <v>290</v>
      </c>
    </row>
    <row r="169" spans="2:2" x14ac:dyDescent="0.45">
      <c r="B169" t="s">
        <v>291</v>
      </c>
    </row>
    <row r="170" spans="2:2" x14ac:dyDescent="0.45">
      <c r="B170" t="s">
        <v>292</v>
      </c>
    </row>
    <row r="171" spans="2:2" x14ac:dyDescent="0.45">
      <c r="B171" t="s">
        <v>293</v>
      </c>
    </row>
    <row r="172" spans="2:2" x14ac:dyDescent="0.45">
      <c r="B172" t="s">
        <v>294</v>
      </c>
    </row>
    <row r="173" spans="2:2" x14ac:dyDescent="0.45">
      <c r="B173" t="s">
        <v>295</v>
      </c>
    </row>
    <row r="174" spans="2:2" x14ac:dyDescent="0.45">
      <c r="B174" t="s">
        <v>296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53"/>
  <sheetViews>
    <sheetView workbookViewId="0"/>
  </sheetViews>
  <sheetFormatPr defaultRowHeight="14.25" x14ac:dyDescent="0.45"/>
  <cols>
    <col min="1" max="1" width="25.59765625" customWidth="1"/>
  </cols>
  <sheetData>
    <row r="1" spans="1:33" x14ac:dyDescent="0.45">
      <c r="B1" t="s">
        <v>72</v>
      </c>
    </row>
    <row r="3" spans="1:33" x14ac:dyDescent="0.45">
      <c r="C3" t="s">
        <v>73</v>
      </c>
      <c r="D3" t="s">
        <v>74</v>
      </c>
    </row>
    <row r="4" spans="1:33" x14ac:dyDescent="0.45">
      <c r="C4" t="s">
        <v>75</v>
      </c>
      <c r="D4" t="s">
        <v>76</v>
      </c>
      <c r="F4" t="s">
        <v>77</v>
      </c>
    </row>
    <row r="5" spans="1:33" x14ac:dyDescent="0.45">
      <c r="C5" t="s">
        <v>78</v>
      </c>
      <c r="D5" t="s">
        <v>79</v>
      </c>
    </row>
    <row r="6" spans="1:33" x14ac:dyDescent="0.45">
      <c r="C6" t="s">
        <v>80</v>
      </c>
      <c r="E6" t="s">
        <v>81</v>
      </c>
    </row>
    <row r="7" spans="1:33" x14ac:dyDescent="0.45">
      <c r="B7" t="s">
        <v>297</v>
      </c>
    </row>
    <row r="8" spans="1:33" x14ac:dyDescent="0.45">
      <c r="B8" t="s">
        <v>83</v>
      </c>
      <c r="AG8" s="13"/>
    </row>
    <row r="9" spans="1:33" x14ac:dyDescent="0.45">
      <c r="AC9" t="s">
        <v>84</v>
      </c>
      <c r="AG9" s="13"/>
    </row>
    <row r="10" spans="1:33" x14ac:dyDescent="0.45">
      <c r="B10" t="s">
        <v>85</v>
      </c>
      <c r="C10">
        <v>2025</v>
      </c>
      <c r="D10">
        <v>2026</v>
      </c>
      <c r="E10">
        <v>2027</v>
      </c>
      <c r="F10">
        <v>2028</v>
      </c>
      <c r="G10">
        <v>2029</v>
      </c>
      <c r="H10">
        <v>2030</v>
      </c>
      <c r="I10">
        <v>2031</v>
      </c>
      <c r="J10">
        <v>2032</v>
      </c>
      <c r="K10">
        <v>2033</v>
      </c>
      <c r="L10">
        <v>2034</v>
      </c>
      <c r="M10">
        <v>2035</v>
      </c>
      <c r="N10">
        <v>2036</v>
      </c>
      <c r="O10">
        <v>2037</v>
      </c>
      <c r="P10">
        <v>2038</v>
      </c>
      <c r="Q10">
        <v>2039</v>
      </c>
      <c r="R10">
        <v>2040</v>
      </c>
      <c r="S10">
        <v>2041</v>
      </c>
      <c r="T10">
        <v>2042</v>
      </c>
      <c r="U10">
        <v>2043</v>
      </c>
      <c r="V10">
        <v>2044</v>
      </c>
      <c r="W10">
        <v>2045</v>
      </c>
      <c r="X10">
        <v>2046</v>
      </c>
      <c r="Y10">
        <v>2047</v>
      </c>
      <c r="Z10">
        <v>2048</v>
      </c>
      <c r="AA10">
        <v>2049</v>
      </c>
      <c r="AB10">
        <v>2050</v>
      </c>
      <c r="AC10" t="s">
        <v>86</v>
      </c>
      <c r="AG10" s="13"/>
    </row>
    <row r="12" spans="1:33" x14ac:dyDescent="0.45">
      <c r="B12" t="s">
        <v>30</v>
      </c>
    </row>
    <row r="13" spans="1:33" x14ac:dyDescent="0.45">
      <c r="AG13" s="13"/>
    </row>
    <row r="14" spans="1:33" x14ac:dyDescent="0.45">
      <c r="B14" t="s">
        <v>298</v>
      </c>
      <c r="AG14" s="13"/>
    </row>
    <row r="15" spans="1:33" x14ac:dyDescent="0.45">
      <c r="A15" t="s">
        <v>299</v>
      </c>
      <c r="B15" t="s">
        <v>300</v>
      </c>
      <c r="C15">
        <v>101.8455047607422</v>
      </c>
      <c r="D15">
        <v>103.1044235229492</v>
      </c>
      <c r="E15">
        <v>104.3142471313477</v>
      </c>
      <c r="F15">
        <v>105.48232269287109</v>
      </c>
      <c r="G15">
        <v>106.62843322753911</v>
      </c>
      <c r="H15">
        <v>107.7598419189453</v>
      </c>
      <c r="I15">
        <v>108.9023132324219</v>
      </c>
      <c r="J15">
        <v>110.0705871582031</v>
      </c>
      <c r="K15">
        <v>111.2677459716797</v>
      </c>
      <c r="L15">
        <v>112.5000076293945</v>
      </c>
      <c r="M15">
        <v>113.7686767578125</v>
      </c>
      <c r="N15">
        <v>115.07391357421881</v>
      </c>
      <c r="O15">
        <v>116.4143600463867</v>
      </c>
      <c r="P15">
        <v>117.7805099487305</v>
      </c>
      <c r="Q15">
        <v>119.1147384643555</v>
      </c>
      <c r="R15">
        <v>120.41529846191411</v>
      </c>
      <c r="S15">
        <v>121.68447113037109</v>
      </c>
      <c r="T15">
        <v>122.8978652954102</v>
      </c>
      <c r="U15">
        <v>124.0641784667969</v>
      </c>
      <c r="V15">
        <v>125.19847106933589</v>
      </c>
      <c r="W15">
        <v>126.3077087402344</v>
      </c>
      <c r="X15">
        <v>127.40098571777339</v>
      </c>
      <c r="Y15">
        <v>128.4819641113281</v>
      </c>
      <c r="Z15">
        <v>129.55204772949219</v>
      </c>
      <c r="AA15">
        <v>130.61297607421881</v>
      </c>
      <c r="AB15">
        <v>131.6655578613281</v>
      </c>
      <c r="AC15">
        <v>1.03252633839257E-2</v>
      </c>
    </row>
    <row r="16" spans="1:33" x14ac:dyDescent="0.45">
      <c r="A16" t="s">
        <v>301</v>
      </c>
      <c r="B16" t="s">
        <v>302</v>
      </c>
      <c r="C16">
        <v>2.7983536720275879</v>
      </c>
      <c r="D16">
        <v>2.7631325721740718</v>
      </c>
      <c r="E16">
        <v>2.735620498657227</v>
      </c>
      <c r="F16">
        <v>2.7281327247619629</v>
      </c>
      <c r="G16">
        <v>2.728127002716064</v>
      </c>
      <c r="H16">
        <v>2.7541439533233638</v>
      </c>
      <c r="I16">
        <v>2.795398473739624</v>
      </c>
      <c r="J16">
        <v>2.840164422988892</v>
      </c>
      <c r="K16">
        <v>2.891743659973145</v>
      </c>
      <c r="L16">
        <v>2.9451780319213872</v>
      </c>
      <c r="M16">
        <v>2.9993841648101811</v>
      </c>
      <c r="N16">
        <v>3.0528368949890141</v>
      </c>
      <c r="O16">
        <v>3.0973126888275151</v>
      </c>
      <c r="P16">
        <v>3.0842866897583008</v>
      </c>
      <c r="Q16">
        <v>3.069424152374268</v>
      </c>
      <c r="R16">
        <v>3.0566568374633789</v>
      </c>
      <c r="S16">
        <v>3.0191318988800049</v>
      </c>
      <c r="T16">
        <v>2.989726066589355</v>
      </c>
      <c r="U16">
        <v>2.974995613098145</v>
      </c>
      <c r="V16">
        <v>2.9668219089508061</v>
      </c>
      <c r="W16">
        <v>2.967410564422607</v>
      </c>
      <c r="X16">
        <v>2.9713459014892578</v>
      </c>
      <c r="Y16">
        <v>2.9764959812164311</v>
      </c>
      <c r="Z16">
        <v>2.983036994934082</v>
      </c>
      <c r="AA16">
        <v>2.990272045135498</v>
      </c>
      <c r="AB16">
        <v>2.9985415935516362</v>
      </c>
      <c r="AC16">
        <v>2.7676133903273841E-3</v>
      </c>
    </row>
    <row r="17" spans="1:33" x14ac:dyDescent="0.45">
      <c r="A17" t="s">
        <v>303</v>
      </c>
      <c r="B17" t="s">
        <v>95</v>
      </c>
      <c r="C17">
        <v>104.64385986328119</v>
      </c>
      <c r="D17">
        <v>105.8675537109375</v>
      </c>
      <c r="E17">
        <v>107.04986572265619</v>
      </c>
      <c r="F17">
        <v>108.2104568481445</v>
      </c>
      <c r="G17">
        <v>109.356559753418</v>
      </c>
      <c r="H17">
        <v>110.5139846801758</v>
      </c>
      <c r="I17">
        <v>111.6977081298828</v>
      </c>
      <c r="J17">
        <v>112.91075134277339</v>
      </c>
      <c r="K17">
        <v>114.1594924926758</v>
      </c>
      <c r="L17">
        <v>115.445182800293</v>
      </c>
      <c r="M17">
        <v>116.7680587768555</v>
      </c>
      <c r="N17">
        <v>118.1267471313477</v>
      </c>
      <c r="O17">
        <v>119.5116729736328</v>
      </c>
      <c r="P17">
        <v>120.8647994995117</v>
      </c>
      <c r="Q17">
        <v>122.1841659545898</v>
      </c>
      <c r="R17">
        <v>123.4719543457031</v>
      </c>
      <c r="S17">
        <v>124.7036056518555</v>
      </c>
      <c r="T17">
        <v>125.88758850097661</v>
      </c>
      <c r="U17">
        <v>127.039176940918</v>
      </c>
      <c r="V17">
        <v>128.16529846191409</v>
      </c>
      <c r="W17">
        <v>129.2751159667969</v>
      </c>
      <c r="X17">
        <v>130.37232971191409</v>
      </c>
      <c r="Y17">
        <v>131.4584655761719</v>
      </c>
      <c r="Z17">
        <v>132.53507995605469</v>
      </c>
      <c r="AA17">
        <v>133.6032409667969</v>
      </c>
      <c r="AB17">
        <v>134.6640930175781</v>
      </c>
      <c r="AC17">
        <v>1.013989195705056E-2</v>
      </c>
      <c r="AG17" s="13"/>
    </row>
    <row r="18" spans="1:33" x14ac:dyDescent="0.45">
      <c r="AG18" s="13"/>
    </row>
    <row r="19" spans="1:33" x14ac:dyDescent="0.45">
      <c r="B19" t="s">
        <v>304</v>
      </c>
      <c r="AG19" s="13"/>
    </row>
    <row r="20" spans="1:33" x14ac:dyDescent="0.45">
      <c r="B20" t="s">
        <v>104</v>
      </c>
      <c r="AG20" s="13"/>
    </row>
    <row r="21" spans="1:33" x14ac:dyDescent="0.45">
      <c r="A21" t="s">
        <v>305</v>
      </c>
      <c r="B21" t="s">
        <v>306</v>
      </c>
      <c r="C21">
        <v>94.608612060546875</v>
      </c>
      <c r="D21">
        <v>95.200950622558594</v>
      </c>
      <c r="E21">
        <v>94.894546508789063</v>
      </c>
      <c r="F21">
        <v>94.391609191894531</v>
      </c>
      <c r="G21">
        <v>93.678153991699219</v>
      </c>
      <c r="H21">
        <v>92.733329772949219</v>
      </c>
      <c r="I21">
        <v>91.840522766113281</v>
      </c>
      <c r="J21">
        <v>91.140853881835938</v>
      </c>
      <c r="K21">
        <v>90.533226013183594</v>
      </c>
      <c r="L21">
        <v>90.025192260742188</v>
      </c>
      <c r="M21">
        <v>89.52703857421875</v>
      </c>
      <c r="N21">
        <v>89.104965209960938</v>
      </c>
      <c r="O21">
        <v>88.683937072753906</v>
      </c>
      <c r="P21">
        <v>88.304733276367188</v>
      </c>
      <c r="Q21">
        <v>87.952102661132813</v>
      </c>
      <c r="R21">
        <v>87.609710693359375</v>
      </c>
      <c r="S21">
        <v>87.320465087890625</v>
      </c>
      <c r="T21">
        <v>87.099517822265625</v>
      </c>
      <c r="U21">
        <v>86.907028198242188</v>
      </c>
      <c r="V21">
        <v>86.735260009765625</v>
      </c>
      <c r="W21">
        <v>86.553421020507813</v>
      </c>
      <c r="X21">
        <v>86.303924560546875</v>
      </c>
      <c r="Y21">
        <v>85.985275268554688</v>
      </c>
      <c r="Z21">
        <v>85.633079528808594</v>
      </c>
      <c r="AA21">
        <v>85.264457702636719</v>
      </c>
      <c r="AB21">
        <v>84.897254943847656</v>
      </c>
      <c r="AC21">
        <v>-4.3228991963574206E-3</v>
      </c>
      <c r="AG21" s="13"/>
    </row>
    <row r="22" spans="1:33" x14ac:dyDescent="0.45">
      <c r="A22" t="s">
        <v>307</v>
      </c>
      <c r="B22" t="s">
        <v>103</v>
      </c>
      <c r="C22">
        <v>93.084304809570313</v>
      </c>
      <c r="D22">
        <v>93.513206481933594</v>
      </c>
      <c r="E22">
        <v>93.074775695800781</v>
      </c>
      <c r="F22">
        <v>92.519630432128906</v>
      </c>
      <c r="G22">
        <v>91.78271484375</v>
      </c>
      <c r="H22">
        <v>90.809181213378906</v>
      </c>
      <c r="I22">
        <v>89.899635314941406</v>
      </c>
      <c r="J22">
        <v>89.191780090332031</v>
      </c>
      <c r="K22">
        <v>88.573188781738281</v>
      </c>
      <c r="L22">
        <v>88.0384521484375</v>
      </c>
      <c r="M22">
        <v>87.524017333984375</v>
      </c>
      <c r="N22">
        <v>87.092613220214844</v>
      </c>
      <c r="O22">
        <v>86.638893127441406</v>
      </c>
      <c r="P22">
        <v>86.2286376953125</v>
      </c>
      <c r="Q22">
        <v>85.833717346191406</v>
      </c>
      <c r="R22">
        <v>85.458236694335938</v>
      </c>
      <c r="S22">
        <v>85.16070556640625</v>
      </c>
      <c r="T22">
        <v>84.916267395019531</v>
      </c>
      <c r="U22">
        <v>84.720146179199219</v>
      </c>
      <c r="V22">
        <v>84.54144287109375</v>
      </c>
      <c r="W22">
        <v>84.357269287109375</v>
      </c>
      <c r="X22">
        <v>84.093650817871094</v>
      </c>
      <c r="Y22">
        <v>83.753242492675781</v>
      </c>
      <c r="Z22">
        <v>83.378761291503906</v>
      </c>
      <c r="AA22">
        <v>82.997833251953125</v>
      </c>
      <c r="AB22">
        <v>82.609664916992188</v>
      </c>
      <c r="AC22">
        <v>-4.7637732073034789E-3</v>
      </c>
      <c r="AG22" s="13"/>
    </row>
    <row r="23" spans="1:33" x14ac:dyDescent="0.45">
      <c r="AG23" s="13"/>
    </row>
    <row r="24" spans="1:33" x14ac:dyDescent="0.45">
      <c r="B24" t="s">
        <v>31</v>
      </c>
      <c r="AG24" s="13"/>
    </row>
    <row r="25" spans="1:33" x14ac:dyDescent="0.45">
      <c r="B25" t="s">
        <v>308</v>
      </c>
      <c r="AG25" s="13"/>
    </row>
    <row r="26" spans="1:33" x14ac:dyDescent="0.45">
      <c r="A26" t="s">
        <v>309</v>
      </c>
      <c r="B26" t="s">
        <v>310</v>
      </c>
      <c r="C26">
        <v>0.20085975527763369</v>
      </c>
      <c r="D26">
        <v>0.19399107992649081</v>
      </c>
      <c r="E26">
        <v>0.19232957065105441</v>
      </c>
      <c r="F26">
        <v>0.19123730063438421</v>
      </c>
      <c r="G26">
        <v>0.18969020247459409</v>
      </c>
      <c r="H26">
        <v>0.187901645898819</v>
      </c>
      <c r="I26">
        <v>0.18603099882602689</v>
      </c>
      <c r="J26">
        <v>0.18410614132881159</v>
      </c>
      <c r="K26">
        <v>0.18222986161708829</v>
      </c>
      <c r="L26">
        <v>0.18024235963821411</v>
      </c>
      <c r="M26">
        <v>0.178200364112854</v>
      </c>
      <c r="N26">
        <v>0.17622686922550199</v>
      </c>
      <c r="O26">
        <v>0.1741006672382355</v>
      </c>
      <c r="P26">
        <v>0.17193321883678439</v>
      </c>
      <c r="Q26">
        <v>0.16966257989406591</v>
      </c>
      <c r="R26">
        <v>0.16736641526222229</v>
      </c>
      <c r="S26">
        <v>0.16509945690631869</v>
      </c>
      <c r="T26">
        <v>0.16280846297740939</v>
      </c>
      <c r="U26">
        <v>0.16050852835178381</v>
      </c>
      <c r="V26">
        <v>0.15815579891204831</v>
      </c>
      <c r="W26">
        <v>0.15582430362701419</v>
      </c>
      <c r="X26">
        <v>0.1533553749322891</v>
      </c>
      <c r="Y26">
        <v>0.15071453154087069</v>
      </c>
      <c r="Z26">
        <v>0.14803248643875119</v>
      </c>
      <c r="AA26">
        <v>0.1453853249549866</v>
      </c>
      <c r="AB26">
        <v>0.14267079532146451</v>
      </c>
      <c r="AC26">
        <v>-1.358950092456224E-2</v>
      </c>
      <c r="AG26" s="13"/>
    </row>
    <row r="27" spans="1:33" x14ac:dyDescent="0.45">
      <c r="A27" t="s">
        <v>311</v>
      </c>
      <c r="B27" t="s">
        <v>312</v>
      </c>
      <c r="C27">
        <v>0.56683909893035889</v>
      </c>
      <c r="D27">
        <v>0.59447222948074341</v>
      </c>
      <c r="E27">
        <v>0.60086137056350708</v>
      </c>
      <c r="F27">
        <v>0.60903185606002808</v>
      </c>
      <c r="G27">
        <v>0.61581021547317505</v>
      </c>
      <c r="H27">
        <v>0.62006598711013794</v>
      </c>
      <c r="I27">
        <v>0.62495642900466919</v>
      </c>
      <c r="J27">
        <v>0.63044631481170654</v>
      </c>
      <c r="K27">
        <v>0.63640803098678589</v>
      </c>
      <c r="L27">
        <v>0.64294540882110596</v>
      </c>
      <c r="M27">
        <v>0.6497994065284729</v>
      </c>
      <c r="N27">
        <v>0.65744853019714355</v>
      </c>
      <c r="O27">
        <v>0.66526556015014648</v>
      </c>
      <c r="P27">
        <v>0.67322629690170288</v>
      </c>
      <c r="Q27">
        <v>0.68110114336013794</v>
      </c>
      <c r="R27">
        <v>0.68931227922439575</v>
      </c>
      <c r="S27">
        <v>0.69798088073730469</v>
      </c>
      <c r="T27">
        <v>0.70710176229476929</v>
      </c>
      <c r="U27">
        <v>0.71693152189254761</v>
      </c>
      <c r="V27">
        <v>0.72700560092926025</v>
      </c>
      <c r="W27">
        <v>0.73754805326461792</v>
      </c>
      <c r="X27">
        <v>0.74766790866851807</v>
      </c>
      <c r="Y27">
        <v>0.75733828544616699</v>
      </c>
      <c r="Z27">
        <v>0.76694387197494507</v>
      </c>
      <c r="AA27">
        <v>0.77708876132965088</v>
      </c>
      <c r="AB27">
        <v>0.78723692893981934</v>
      </c>
      <c r="AC27">
        <v>1.3224835475628799E-2</v>
      </c>
      <c r="AG27" s="13"/>
    </row>
    <row r="28" spans="1:33" x14ac:dyDescent="0.45">
      <c r="A28" t="s">
        <v>313</v>
      </c>
      <c r="B28" t="s">
        <v>314</v>
      </c>
      <c r="C28">
        <v>7.3797442018985748E-2</v>
      </c>
      <c r="D28">
        <v>7.2725929319858551E-2</v>
      </c>
      <c r="E28">
        <v>7.2052367031574249E-2</v>
      </c>
      <c r="F28">
        <v>7.1639999747276306E-2</v>
      </c>
      <c r="G28">
        <v>7.1071445941925049E-2</v>
      </c>
      <c r="H28">
        <v>7.0186875760555267E-2</v>
      </c>
      <c r="I28">
        <v>6.9283425807952881E-2</v>
      </c>
      <c r="J28">
        <v>6.8399414420127869E-2</v>
      </c>
      <c r="K28">
        <v>6.7566446959972382E-2</v>
      </c>
      <c r="L28">
        <v>6.674639880657196E-2</v>
      </c>
      <c r="M28">
        <v>6.5931566059589386E-2</v>
      </c>
      <c r="N28">
        <v>6.5183967351913452E-2</v>
      </c>
      <c r="O28">
        <v>6.442539393901825E-2</v>
      </c>
      <c r="P28">
        <v>6.3673168420791626E-2</v>
      </c>
      <c r="Q28">
        <v>6.291624903678894E-2</v>
      </c>
      <c r="R28">
        <v>6.2152568250894553E-2</v>
      </c>
      <c r="S28">
        <v>6.1431121081113822E-2</v>
      </c>
      <c r="T28">
        <v>6.0715850442647927E-2</v>
      </c>
      <c r="U28">
        <v>6.0034144669771188E-2</v>
      </c>
      <c r="V28">
        <v>5.9363886713981628E-2</v>
      </c>
      <c r="W28">
        <v>5.8695036917924881E-2</v>
      </c>
      <c r="X28">
        <v>5.800233781337738E-2</v>
      </c>
      <c r="Y28">
        <v>5.7258345186710358E-2</v>
      </c>
      <c r="Z28">
        <v>5.6503459811210632E-2</v>
      </c>
      <c r="AA28">
        <v>5.5764075368642807E-2</v>
      </c>
      <c r="AB28">
        <v>5.5011309683322913E-2</v>
      </c>
      <c r="AC28">
        <v>-1.1682632859364441E-2</v>
      </c>
      <c r="AG28" s="13"/>
    </row>
    <row r="29" spans="1:33" x14ac:dyDescent="0.45">
      <c r="A29" t="s">
        <v>315</v>
      </c>
      <c r="B29" t="s">
        <v>316</v>
      </c>
      <c r="C29">
        <v>0.7725786566734314</v>
      </c>
      <c r="D29">
        <v>0.77808070182800293</v>
      </c>
      <c r="E29">
        <v>0.78721636533737183</v>
      </c>
      <c r="F29">
        <v>0.79894798994064331</v>
      </c>
      <c r="G29">
        <v>0.80861729383468628</v>
      </c>
      <c r="H29">
        <v>0.81284761428833008</v>
      </c>
      <c r="I29">
        <v>0.81740254163742065</v>
      </c>
      <c r="J29">
        <v>0.82248866558074951</v>
      </c>
      <c r="K29">
        <v>0.82842159271240234</v>
      </c>
      <c r="L29">
        <v>0.83473402261734009</v>
      </c>
      <c r="M29">
        <v>0.84140819311141968</v>
      </c>
      <c r="N29">
        <v>0.84894019365310669</v>
      </c>
      <c r="O29">
        <v>0.85649627447128296</v>
      </c>
      <c r="P29">
        <v>0.86420577764511108</v>
      </c>
      <c r="Q29">
        <v>0.87185335159301758</v>
      </c>
      <c r="R29">
        <v>0.87961149215698242</v>
      </c>
      <c r="S29">
        <v>0.88787376880645752</v>
      </c>
      <c r="T29">
        <v>0.89625650644302368</v>
      </c>
      <c r="U29">
        <v>0.90508544445037842</v>
      </c>
      <c r="V29">
        <v>0.91416382789611816</v>
      </c>
      <c r="W29">
        <v>0.92337268590927124</v>
      </c>
      <c r="X29">
        <v>0.93216902017593384</v>
      </c>
      <c r="Y29">
        <v>0.94026070833206177</v>
      </c>
      <c r="Z29">
        <v>0.94815254211425781</v>
      </c>
      <c r="AA29">
        <v>0.9564245343208313</v>
      </c>
      <c r="AB29">
        <v>0.96451842784881592</v>
      </c>
      <c r="AC29">
        <v>8.9153113016047225E-3</v>
      </c>
      <c r="AG29" s="13"/>
    </row>
    <row r="30" spans="1:33" x14ac:dyDescent="0.45">
      <c r="A30" t="s">
        <v>317</v>
      </c>
      <c r="B30" t="s">
        <v>117</v>
      </c>
      <c r="C30">
        <v>8.3990909159183502E-2</v>
      </c>
      <c r="D30">
        <v>8.3245344460010529E-2</v>
      </c>
      <c r="E30">
        <v>8.2882039248943329E-2</v>
      </c>
      <c r="F30">
        <v>8.2750335335731506E-2</v>
      </c>
      <c r="G30">
        <v>8.2395762205123901E-2</v>
      </c>
      <c r="H30">
        <v>8.1707864999771118E-2</v>
      </c>
      <c r="I30">
        <v>8.0997481942176819E-2</v>
      </c>
      <c r="J30">
        <v>8.0317422747612E-2</v>
      </c>
      <c r="K30">
        <v>7.9704485833644867E-2</v>
      </c>
      <c r="L30">
        <v>7.9115942120552063E-2</v>
      </c>
      <c r="M30">
        <v>7.8533269464969635E-2</v>
      </c>
      <c r="N30">
        <v>7.7997617423534393E-2</v>
      </c>
      <c r="O30">
        <v>7.7441923320293427E-2</v>
      </c>
      <c r="P30">
        <v>7.6880864799022675E-2</v>
      </c>
      <c r="Q30">
        <v>7.629849761724472E-2</v>
      </c>
      <c r="R30">
        <v>7.570222020149231E-2</v>
      </c>
      <c r="S30">
        <v>7.5151115655899048E-2</v>
      </c>
      <c r="T30">
        <v>7.4597328901290894E-2</v>
      </c>
      <c r="U30">
        <v>7.4064627289772034E-2</v>
      </c>
      <c r="V30">
        <v>7.3537647724151611E-2</v>
      </c>
      <c r="W30">
        <v>7.3002226650714874E-2</v>
      </c>
      <c r="X30">
        <v>7.241734117269516E-2</v>
      </c>
      <c r="Y30">
        <v>7.1763046085834503E-2</v>
      </c>
      <c r="Z30">
        <v>7.1081988513469696E-2</v>
      </c>
      <c r="AA30">
        <v>7.0414647459983826E-2</v>
      </c>
      <c r="AB30">
        <v>6.9721437990665436E-2</v>
      </c>
      <c r="AC30">
        <v>-7.4203610865809511E-3</v>
      </c>
      <c r="AG30" s="13"/>
    </row>
    <row r="31" spans="1:33" x14ac:dyDescent="0.45">
      <c r="A31" t="s">
        <v>318</v>
      </c>
      <c r="B31" t="s">
        <v>319</v>
      </c>
      <c r="C31">
        <v>0.56464868783950806</v>
      </c>
      <c r="D31">
        <v>0.55332779884338379</v>
      </c>
      <c r="E31">
        <v>0.5473293662071228</v>
      </c>
      <c r="F31">
        <v>0.54542988538742065</v>
      </c>
      <c r="G31">
        <v>0.54358804225921631</v>
      </c>
      <c r="H31">
        <v>0.53231817483901978</v>
      </c>
      <c r="I31">
        <v>0.52262163162231445</v>
      </c>
      <c r="J31">
        <v>0.51420021057128906</v>
      </c>
      <c r="K31">
        <v>0.50677865743637085</v>
      </c>
      <c r="L31">
        <v>0.49977785348892212</v>
      </c>
      <c r="M31">
        <v>0.49295160174369812</v>
      </c>
      <c r="N31">
        <v>0.48728850483894348</v>
      </c>
      <c r="O31">
        <v>0.48248586058616638</v>
      </c>
      <c r="P31">
        <v>0.47849792242050171</v>
      </c>
      <c r="Q31">
        <v>0.47511857748031622</v>
      </c>
      <c r="R31">
        <v>0.47012150287628168</v>
      </c>
      <c r="S31">
        <v>0.46640691161155701</v>
      </c>
      <c r="T31">
        <v>0.4634820818901062</v>
      </c>
      <c r="U31">
        <v>0.46129697561264038</v>
      </c>
      <c r="V31">
        <v>0.45964255928993231</v>
      </c>
      <c r="W31">
        <v>0.45840096473693848</v>
      </c>
      <c r="X31">
        <v>0.45725777745246893</v>
      </c>
      <c r="Y31">
        <v>0.45599430799484247</v>
      </c>
      <c r="Z31">
        <v>0.45470628142356873</v>
      </c>
      <c r="AA31">
        <v>0.45369204878807068</v>
      </c>
      <c r="AB31">
        <v>0.45269542932510382</v>
      </c>
      <c r="AC31">
        <v>-8.8004151828615651E-3</v>
      </c>
    </row>
    <row r="32" spans="1:33" x14ac:dyDescent="0.45">
      <c r="A32" t="s">
        <v>320</v>
      </c>
      <c r="B32" t="s">
        <v>115</v>
      </c>
      <c r="C32">
        <v>0.36673378944396973</v>
      </c>
      <c r="D32">
        <v>0.36595341563224792</v>
      </c>
      <c r="E32">
        <v>0.36617350578308111</v>
      </c>
      <c r="F32">
        <v>0.36700010299682623</v>
      </c>
      <c r="G32">
        <v>0.36756345629692078</v>
      </c>
      <c r="H32">
        <v>0.36664438247680659</v>
      </c>
      <c r="I32">
        <v>0.36620622873306269</v>
      </c>
      <c r="J32">
        <v>0.36610907316207891</v>
      </c>
      <c r="K32">
        <v>0.36639034748077393</v>
      </c>
      <c r="L32">
        <v>0.36694955825805659</v>
      </c>
      <c r="M32">
        <v>0.36775559186935419</v>
      </c>
      <c r="N32">
        <v>0.36884811520576483</v>
      </c>
      <c r="O32">
        <v>0.37004610896110529</v>
      </c>
      <c r="P32">
        <v>0.37123894691467291</v>
      </c>
      <c r="Q32">
        <v>0.3723832368850708</v>
      </c>
      <c r="R32">
        <v>0.37348532676696777</v>
      </c>
      <c r="S32">
        <v>0.37482777237892151</v>
      </c>
      <c r="T32">
        <v>0.37610214948654169</v>
      </c>
      <c r="U32">
        <v>0.37739026546478271</v>
      </c>
      <c r="V32">
        <v>0.37866276502609247</v>
      </c>
      <c r="W32">
        <v>0.37990128993988043</v>
      </c>
      <c r="X32">
        <v>0.3810141384601593</v>
      </c>
      <c r="Y32">
        <v>0.38195547461509699</v>
      </c>
      <c r="Z32">
        <v>0.38280674815177917</v>
      </c>
      <c r="AA32">
        <v>0.38365435600280762</v>
      </c>
      <c r="AB32">
        <v>0.38441506028175348</v>
      </c>
      <c r="AC32">
        <v>1.885240416076073E-3</v>
      </c>
      <c r="AG32" s="13"/>
    </row>
    <row r="33" spans="1:33" x14ac:dyDescent="0.45">
      <c r="A33" t="s">
        <v>321</v>
      </c>
      <c r="B33" t="s">
        <v>322</v>
      </c>
      <c r="C33">
        <v>0.35769146680831909</v>
      </c>
      <c r="D33">
        <v>0.40369805693626398</v>
      </c>
      <c r="E33">
        <v>0.45296800136566162</v>
      </c>
      <c r="F33">
        <v>0.50386369228363037</v>
      </c>
      <c r="G33">
        <v>0.55580109357833862</v>
      </c>
      <c r="H33">
        <v>0.60810637474060059</v>
      </c>
      <c r="I33">
        <v>0.66097623109817505</v>
      </c>
      <c r="J33">
        <v>0.71486109495162964</v>
      </c>
      <c r="K33">
        <v>0.76973402500152588</v>
      </c>
      <c r="L33">
        <v>0.82540673017501831</v>
      </c>
      <c r="M33">
        <v>0.8817182183265686</v>
      </c>
      <c r="N33">
        <v>0.93838644027709961</v>
      </c>
      <c r="O33">
        <v>0.99514853954315186</v>
      </c>
      <c r="P33">
        <v>1.051304817199707</v>
      </c>
      <c r="Q33">
        <v>1.106358528137207</v>
      </c>
      <c r="R33">
        <v>1.159801244735718</v>
      </c>
      <c r="S33">
        <v>1.211428165435791</v>
      </c>
      <c r="T33">
        <v>1.260422468185425</v>
      </c>
      <c r="U33">
        <v>1.3068299293518071</v>
      </c>
      <c r="V33">
        <v>1.3498513698577881</v>
      </c>
      <c r="W33">
        <v>1.389499306678772</v>
      </c>
      <c r="X33">
        <v>1.424822926521301</v>
      </c>
      <c r="Y33">
        <v>1.4555174112319951</v>
      </c>
      <c r="Z33">
        <v>1.4812450408935549</v>
      </c>
      <c r="AA33">
        <v>1.5018157958984379</v>
      </c>
      <c r="AB33">
        <v>1.5200847387313841</v>
      </c>
      <c r="AC33">
        <v>5.9581504241519527E-2</v>
      </c>
      <c r="AG33" s="13"/>
    </row>
    <row r="34" spans="1:33" x14ac:dyDescent="0.45">
      <c r="A34" t="s">
        <v>323</v>
      </c>
      <c r="B34" t="s">
        <v>324</v>
      </c>
      <c r="C34">
        <v>0.21695259213447571</v>
      </c>
      <c r="D34">
        <v>0.2117447704076767</v>
      </c>
      <c r="E34">
        <v>0.20712237060070041</v>
      </c>
      <c r="F34">
        <v>0.2026841789484024</v>
      </c>
      <c r="G34">
        <v>0.1982623636722565</v>
      </c>
      <c r="H34">
        <v>0.19391293823719019</v>
      </c>
      <c r="I34">
        <v>0.1898292750120163</v>
      </c>
      <c r="J34">
        <v>0.18571975827217099</v>
      </c>
      <c r="K34">
        <v>0.18246522545814511</v>
      </c>
      <c r="L34">
        <v>0.17970889806747439</v>
      </c>
      <c r="M34">
        <v>0.17706714570522311</v>
      </c>
      <c r="N34">
        <v>0.1750409007072449</v>
      </c>
      <c r="O34">
        <v>0.1731773912906647</v>
      </c>
      <c r="P34">
        <v>0.17144748568534851</v>
      </c>
      <c r="Q34">
        <v>0.17038112878799441</v>
      </c>
      <c r="R34">
        <v>0.16903424263000491</v>
      </c>
      <c r="S34">
        <v>0.16736727952957151</v>
      </c>
      <c r="T34">
        <v>0.16648046672344211</v>
      </c>
      <c r="U34">
        <v>0.1648089736700058</v>
      </c>
      <c r="V34">
        <v>0.1634516566991806</v>
      </c>
      <c r="W34">
        <v>0.1618640869855881</v>
      </c>
      <c r="X34">
        <v>0.16062961518764499</v>
      </c>
      <c r="Y34">
        <v>0.15854467451572421</v>
      </c>
      <c r="Z34">
        <v>0.1562098562717438</v>
      </c>
      <c r="AA34">
        <v>0.1536378413438797</v>
      </c>
      <c r="AB34">
        <v>0.15080669522285459</v>
      </c>
      <c r="AC34">
        <v>-1.4441901008480749E-2</v>
      </c>
      <c r="AG34" s="13"/>
    </row>
    <row r="35" spans="1:33" x14ac:dyDescent="0.45">
      <c r="A35" t="s">
        <v>325</v>
      </c>
      <c r="B35" t="s">
        <v>326</v>
      </c>
      <c r="C35">
        <v>1.9491628408432009</v>
      </c>
      <c r="D35">
        <v>2.1337265968322749</v>
      </c>
      <c r="E35">
        <v>2.1396884918212891</v>
      </c>
      <c r="F35">
        <v>2.1391499042510991</v>
      </c>
      <c r="G35">
        <v>2.1382029056549068</v>
      </c>
      <c r="H35">
        <v>2.1360304355621338</v>
      </c>
      <c r="I35">
        <v>2.134271621704102</v>
      </c>
      <c r="J35">
        <v>2.1334948539733891</v>
      </c>
      <c r="K35">
        <v>2.1342422962188721</v>
      </c>
      <c r="L35">
        <v>2.136271715164185</v>
      </c>
      <c r="M35">
        <v>2.1396157741546631</v>
      </c>
      <c r="N35">
        <v>2.1449534893035889</v>
      </c>
      <c r="O35">
        <v>2.1511600017547612</v>
      </c>
      <c r="P35">
        <v>2.1578776836395259</v>
      </c>
      <c r="Q35">
        <v>2.164867639541626</v>
      </c>
      <c r="R35">
        <v>2.1721892356872559</v>
      </c>
      <c r="S35">
        <v>2.1793885231018071</v>
      </c>
      <c r="T35">
        <v>2.1868374347686772</v>
      </c>
      <c r="U35">
        <v>2.1948528289794922</v>
      </c>
      <c r="V35">
        <v>2.2030379772186279</v>
      </c>
      <c r="W35">
        <v>2.212114810943604</v>
      </c>
      <c r="X35">
        <v>2.2210614681243901</v>
      </c>
      <c r="Y35">
        <v>2.230132102966309</v>
      </c>
      <c r="Z35">
        <v>2.2396624088287349</v>
      </c>
      <c r="AA35">
        <v>2.249700784683228</v>
      </c>
      <c r="AB35">
        <v>2.2603828907012939</v>
      </c>
      <c r="AC35">
        <v>5.9429597935931611E-3</v>
      </c>
      <c r="AG35" s="13"/>
    </row>
    <row r="36" spans="1:33" x14ac:dyDescent="0.45">
      <c r="A36" t="s">
        <v>327</v>
      </c>
      <c r="B36" t="s">
        <v>137</v>
      </c>
      <c r="C36">
        <v>5.1532554626464844</v>
      </c>
      <c r="D36">
        <v>5.3909659385681152</v>
      </c>
      <c r="E36">
        <v>5.4486231803894043</v>
      </c>
      <c r="F36">
        <v>5.5117354393005371</v>
      </c>
      <c r="G36">
        <v>5.5710029602050781</v>
      </c>
      <c r="H36">
        <v>5.6097221374511719</v>
      </c>
      <c r="I36">
        <v>5.6525759696960449</v>
      </c>
      <c r="J36">
        <v>5.7001433372497559</v>
      </c>
      <c r="K36">
        <v>5.7539410591125488</v>
      </c>
      <c r="L36">
        <v>5.8118991851806641</v>
      </c>
      <c r="M36">
        <v>5.872981071472168</v>
      </c>
      <c r="N36">
        <v>5.940314769744873</v>
      </c>
      <c r="O36">
        <v>6.0097479820251456</v>
      </c>
      <c r="P36">
        <v>6.0802860260009766</v>
      </c>
      <c r="Q36">
        <v>6.1509408950805664</v>
      </c>
      <c r="R36">
        <v>6.2187762260437012</v>
      </c>
      <c r="S36">
        <v>6.2869548797607422</v>
      </c>
      <c r="T36">
        <v>6.3548049926757813</v>
      </c>
      <c r="U36">
        <v>6.4218029975891113</v>
      </c>
      <c r="V36">
        <v>6.486872673034668</v>
      </c>
      <c r="W36">
        <v>6.5502228736877441</v>
      </c>
      <c r="X36">
        <v>6.6083984375</v>
      </c>
      <c r="Y36">
        <v>6.6594786643981934</v>
      </c>
      <c r="Z36">
        <v>6.7053451538085938</v>
      </c>
      <c r="AA36">
        <v>6.7475776672363281</v>
      </c>
      <c r="AB36">
        <v>6.7875442504882813</v>
      </c>
      <c r="AC36">
        <v>1.1079348822274239E-2</v>
      </c>
      <c r="AG36" s="13"/>
    </row>
    <row r="37" spans="1:33" x14ac:dyDescent="0.45">
      <c r="A37" t="s">
        <v>328</v>
      </c>
      <c r="B37" t="s">
        <v>139</v>
      </c>
      <c r="C37">
        <v>3.1625282019376748E-2</v>
      </c>
      <c r="D37">
        <v>4.134933277964592E-2</v>
      </c>
      <c r="E37">
        <v>5.3095277398824692E-2</v>
      </c>
      <c r="F37">
        <v>6.6244311630725861E-2</v>
      </c>
      <c r="G37">
        <v>7.9602524638175964E-2</v>
      </c>
      <c r="H37">
        <v>9.2542998492717743E-2</v>
      </c>
      <c r="I37">
        <v>0.1044155731797218</v>
      </c>
      <c r="J37">
        <v>0.11564316600561141</v>
      </c>
      <c r="K37">
        <v>0.126972422003746</v>
      </c>
      <c r="L37">
        <v>0.13850162923336029</v>
      </c>
      <c r="M37">
        <v>0.1503918915987015</v>
      </c>
      <c r="N37">
        <v>0.1624611169099808</v>
      </c>
      <c r="O37">
        <v>0.17480400204658511</v>
      </c>
      <c r="P37">
        <v>0.18723900616168981</v>
      </c>
      <c r="Q37">
        <v>0.19958958029747009</v>
      </c>
      <c r="R37">
        <v>0.21228790283203119</v>
      </c>
      <c r="S37">
        <v>0.22536417841911319</v>
      </c>
      <c r="T37">
        <v>0.2392434626817703</v>
      </c>
      <c r="U37">
        <v>0.25397318601608282</v>
      </c>
      <c r="V37">
        <v>0.26994425058364868</v>
      </c>
      <c r="W37">
        <v>0.28712135553359991</v>
      </c>
      <c r="X37">
        <v>0.30473798513412481</v>
      </c>
      <c r="Y37">
        <v>0.32270422577857971</v>
      </c>
      <c r="Z37">
        <v>0.34103548526763922</v>
      </c>
      <c r="AA37">
        <v>0.35960790514945978</v>
      </c>
      <c r="AB37">
        <v>0.37826317548751831</v>
      </c>
      <c r="AC37">
        <v>0.10435928343752671</v>
      </c>
      <c r="AG37" s="13"/>
    </row>
    <row r="38" spans="1:33" x14ac:dyDescent="0.45">
      <c r="A38" t="s">
        <v>329</v>
      </c>
      <c r="B38" t="s">
        <v>141</v>
      </c>
      <c r="C38">
        <v>0.15950858592987061</v>
      </c>
      <c r="D38">
        <v>0.1786766201257706</v>
      </c>
      <c r="E38">
        <v>0.1948061287403107</v>
      </c>
      <c r="F38">
        <v>0.20256760716438291</v>
      </c>
      <c r="G38">
        <v>0.20727863907814029</v>
      </c>
      <c r="H38">
        <v>0.21264529228210449</v>
      </c>
      <c r="I38">
        <v>0.2167929410934448</v>
      </c>
      <c r="J38">
        <v>0.22007113695144651</v>
      </c>
      <c r="K38">
        <v>0.22375722229480741</v>
      </c>
      <c r="L38">
        <v>0.22935956716537481</v>
      </c>
      <c r="M38">
        <v>0.23388862609863281</v>
      </c>
      <c r="N38">
        <v>0.23771291971206671</v>
      </c>
      <c r="O38">
        <v>0.24440619349479681</v>
      </c>
      <c r="P38">
        <v>0.25092688202857971</v>
      </c>
      <c r="Q38">
        <v>0.25883272290229797</v>
      </c>
      <c r="R38">
        <v>0.26564681529998779</v>
      </c>
      <c r="S38">
        <v>0.26932963728904719</v>
      </c>
      <c r="T38">
        <v>0.27484393119812012</v>
      </c>
      <c r="U38">
        <v>0.27782019972801208</v>
      </c>
      <c r="V38">
        <v>0.28117102384567261</v>
      </c>
      <c r="W38">
        <v>0.28390690684318542</v>
      </c>
      <c r="X38">
        <v>0.28815773129463201</v>
      </c>
      <c r="Y38">
        <v>0.29341936111450201</v>
      </c>
      <c r="Z38">
        <v>0.29877597093582148</v>
      </c>
      <c r="AA38">
        <v>0.30282855033874512</v>
      </c>
      <c r="AB38">
        <v>0.30805617570877081</v>
      </c>
      <c r="AC38">
        <v>2.667700303508402E-2</v>
      </c>
    </row>
    <row r="39" spans="1:33" x14ac:dyDescent="0.45">
      <c r="A39" t="s">
        <v>330</v>
      </c>
      <c r="B39" t="s">
        <v>331</v>
      </c>
      <c r="C39">
        <v>5.0253725051879883</v>
      </c>
      <c r="D39">
        <v>5.2536382675170898</v>
      </c>
      <c r="E39">
        <v>5.3069119453430176</v>
      </c>
      <c r="F39">
        <v>5.3754119873046884</v>
      </c>
      <c r="G39">
        <v>5.4433269500732422</v>
      </c>
      <c r="H39">
        <v>5.4896197319030762</v>
      </c>
      <c r="I39">
        <v>5.540198802947998</v>
      </c>
      <c r="J39">
        <v>5.5957150459289551</v>
      </c>
      <c r="K39">
        <v>5.6571564674377441</v>
      </c>
      <c r="L39">
        <v>5.7210402488708496</v>
      </c>
      <c r="M39">
        <v>5.7894845008850098</v>
      </c>
      <c r="N39">
        <v>5.8650627136230469</v>
      </c>
      <c r="O39">
        <v>5.9401464462280273</v>
      </c>
      <c r="P39">
        <v>6.0165977478027344</v>
      </c>
      <c r="Q39">
        <v>6.0916976928710938</v>
      </c>
      <c r="R39">
        <v>6.1654171943664551</v>
      </c>
      <c r="S39">
        <v>6.2429895401000977</v>
      </c>
      <c r="T39">
        <v>6.3192043304443359</v>
      </c>
      <c r="U39">
        <v>6.3979558944702148</v>
      </c>
      <c r="V39">
        <v>6.4756464958190918</v>
      </c>
      <c r="W39">
        <v>6.5534367561340332</v>
      </c>
      <c r="X39">
        <v>6.6249785423278809</v>
      </c>
      <c r="Y39">
        <v>6.6887631416320801</v>
      </c>
      <c r="Z39">
        <v>6.7476053237915039</v>
      </c>
      <c r="AA39">
        <v>6.8043575286865234</v>
      </c>
      <c r="AB39">
        <v>6.8577513694763184</v>
      </c>
      <c r="AC39">
        <v>1.251283930028224E-2</v>
      </c>
      <c r="AG39" s="13"/>
    </row>
    <row r="40" spans="1:33" x14ac:dyDescent="0.45">
      <c r="AG40" s="13"/>
    </row>
    <row r="41" spans="1:33" x14ac:dyDescent="0.45">
      <c r="B41" t="s">
        <v>144</v>
      </c>
      <c r="AG41" s="13"/>
    </row>
    <row r="42" spans="1:33" x14ac:dyDescent="0.45">
      <c r="A42" t="s">
        <v>332</v>
      </c>
      <c r="B42" t="s">
        <v>310</v>
      </c>
      <c r="C42">
        <v>1.6773954629898069</v>
      </c>
      <c r="D42">
        <v>1.6589773893356321</v>
      </c>
      <c r="E42">
        <v>1.655333399772644</v>
      </c>
      <c r="F42">
        <v>1.6402128934860229</v>
      </c>
      <c r="G42">
        <v>1.6146227121353149</v>
      </c>
      <c r="H42">
        <v>1.585396289825439</v>
      </c>
      <c r="I42">
        <v>1.558152914047241</v>
      </c>
      <c r="J42">
        <v>1.5396790504455571</v>
      </c>
      <c r="K42">
        <v>1.525580048561096</v>
      </c>
      <c r="L42">
        <v>1.514997720718384</v>
      </c>
      <c r="M42">
        <v>1.504150867462158</v>
      </c>
      <c r="N42">
        <v>1.4947488307952881</v>
      </c>
      <c r="O42">
        <v>1.48476254940033</v>
      </c>
      <c r="P42">
        <v>1.4748086929321289</v>
      </c>
      <c r="Q42">
        <v>1.4642318487167361</v>
      </c>
      <c r="R42">
        <v>1.4538170099258421</v>
      </c>
      <c r="S42">
        <v>1.443761348724365</v>
      </c>
      <c r="T42">
        <v>1.435541152954102</v>
      </c>
      <c r="U42">
        <v>1.4277917146682739</v>
      </c>
      <c r="V42">
        <v>1.4207719564437871</v>
      </c>
      <c r="W42">
        <v>1.4132452011108401</v>
      </c>
      <c r="X42">
        <v>1.403234720230103</v>
      </c>
      <c r="Y42">
        <v>1.391638040542603</v>
      </c>
      <c r="Z42">
        <v>1.379733562469482</v>
      </c>
      <c r="AA42">
        <v>1.3678485155105591</v>
      </c>
      <c r="AB42">
        <v>1.356255054473877</v>
      </c>
      <c r="AC42">
        <v>-8.4645722836076409E-3</v>
      </c>
      <c r="AG42" s="13"/>
    </row>
    <row r="43" spans="1:33" x14ac:dyDescent="0.45">
      <c r="A43" t="s">
        <v>333</v>
      </c>
      <c r="B43" t="s">
        <v>334</v>
      </c>
      <c r="C43">
        <v>1.5692310407757759E-2</v>
      </c>
      <c r="D43">
        <v>1.7611738294363018E-2</v>
      </c>
      <c r="E43">
        <v>1.7944717779755589E-2</v>
      </c>
      <c r="F43">
        <v>1.8168630078434941E-2</v>
      </c>
      <c r="G43">
        <v>1.8287289887666699E-2</v>
      </c>
      <c r="H43">
        <v>1.839173398911953E-2</v>
      </c>
      <c r="I43">
        <v>1.8555257469415661E-2</v>
      </c>
      <c r="J43">
        <v>1.8871057778596882E-2</v>
      </c>
      <c r="K43">
        <v>1.9279817119240761E-2</v>
      </c>
      <c r="L43">
        <v>1.978542655706406E-2</v>
      </c>
      <c r="M43">
        <v>2.0337725058197979E-2</v>
      </c>
      <c r="N43">
        <v>2.0947156473994259E-2</v>
      </c>
      <c r="O43">
        <v>2.16028206050396E-2</v>
      </c>
      <c r="P43">
        <v>2.2291727364063259E-2</v>
      </c>
      <c r="Q43">
        <v>2.3007044568657879E-2</v>
      </c>
      <c r="R43">
        <v>2.3771090433001522E-2</v>
      </c>
      <c r="S43">
        <v>2.4567574262619019E-2</v>
      </c>
      <c r="T43">
        <v>2.5421241298317909E-2</v>
      </c>
      <c r="U43">
        <v>2.632622979581356E-2</v>
      </c>
      <c r="V43">
        <v>2.7284827083349231E-2</v>
      </c>
      <c r="W43">
        <v>2.829787693917751E-2</v>
      </c>
      <c r="X43">
        <v>2.9311478137969971E-2</v>
      </c>
      <c r="Y43">
        <v>3.0355546623468399E-2</v>
      </c>
      <c r="Z43">
        <v>3.1434997916221619E-2</v>
      </c>
      <c r="AA43">
        <v>3.2569676637649543E-2</v>
      </c>
      <c r="AB43">
        <v>3.3763069659471512E-2</v>
      </c>
      <c r="AC43">
        <v>3.1122352162310959E-2</v>
      </c>
      <c r="AG43" s="13"/>
    </row>
    <row r="44" spans="1:33" x14ac:dyDescent="0.45">
      <c r="A44" t="s">
        <v>335</v>
      </c>
      <c r="B44" t="s">
        <v>314</v>
      </c>
      <c r="C44">
        <v>0.27396970987319952</v>
      </c>
      <c r="D44">
        <v>0.28034082055091858</v>
      </c>
      <c r="E44">
        <v>0.28301820158958441</v>
      </c>
      <c r="F44">
        <v>0.28370055556297302</v>
      </c>
      <c r="G44">
        <v>0.28280740976333618</v>
      </c>
      <c r="H44">
        <v>0.28132256865501398</v>
      </c>
      <c r="I44">
        <v>0.28013831377029419</v>
      </c>
      <c r="J44">
        <v>0.28065657615661621</v>
      </c>
      <c r="K44">
        <v>0.28179177641868591</v>
      </c>
      <c r="L44">
        <v>0.28385654091835022</v>
      </c>
      <c r="M44">
        <v>0.28609967231750488</v>
      </c>
      <c r="N44">
        <v>0.28878262639045721</v>
      </c>
      <c r="O44">
        <v>0.29144948720932012</v>
      </c>
      <c r="P44">
        <v>0.29413104057312012</v>
      </c>
      <c r="Q44">
        <v>0.29673013091087341</v>
      </c>
      <c r="R44">
        <v>0.299366295337677</v>
      </c>
      <c r="S44">
        <v>0.30216354131698608</v>
      </c>
      <c r="T44">
        <v>0.30531713366508478</v>
      </c>
      <c r="U44">
        <v>0.30862829089164728</v>
      </c>
      <c r="V44">
        <v>0.31213518977165222</v>
      </c>
      <c r="W44">
        <v>0.31552162766456598</v>
      </c>
      <c r="X44">
        <v>0.31842884421348572</v>
      </c>
      <c r="Y44">
        <v>0.32100528478622442</v>
      </c>
      <c r="Z44">
        <v>0.3234659731388092</v>
      </c>
      <c r="AA44">
        <v>0.32592290639877319</v>
      </c>
      <c r="AB44">
        <v>0.32842874526977539</v>
      </c>
      <c r="AC44">
        <v>7.2784542239763272E-3</v>
      </c>
      <c r="AG44" s="13"/>
    </row>
    <row r="45" spans="1:33" x14ac:dyDescent="0.45">
      <c r="A45" t="s">
        <v>336</v>
      </c>
      <c r="B45" t="s">
        <v>117</v>
      </c>
      <c r="C45">
        <v>0.40539014339447021</v>
      </c>
      <c r="D45">
        <v>0.41269847750663757</v>
      </c>
      <c r="E45">
        <v>0.41620051860809332</v>
      </c>
      <c r="F45">
        <v>0.4167693555355072</v>
      </c>
      <c r="G45">
        <v>0.41515323519706732</v>
      </c>
      <c r="H45">
        <v>0.41260257363319403</v>
      </c>
      <c r="I45">
        <v>0.4105217456817627</v>
      </c>
      <c r="J45">
        <v>0.41081517934799189</v>
      </c>
      <c r="K45">
        <v>0.41202756762504578</v>
      </c>
      <c r="L45">
        <v>0.41451823711395258</v>
      </c>
      <c r="M45">
        <v>0.41720250248909002</v>
      </c>
      <c r="N45">
        <v>0.42046648263931269</v>
      </c>
      <c r="O45">
        <v>0.42367342114448547</v>
      </c>
      <c r="P45">
        <v>0.42686823010444641</v>
      </c>
      <c r="Q45">
        <v>0.42989811301231379</v>
      </c>
      <c r="R45">
        <v>0.43293362855911249</v>
      </c>
      <c r="S45">
        <v>0.43624541163444519</v>
      </c>
      <c r="T45">
        <v>0.4400576651096344</v>
      </c>
      <c r="U45">
        <v>0.44407555460929871</v>
      </c>
      <c r="V45">
        <v>0.44835063815116882</v>
      </c>
      <c r="W45">
        <v>0.4524155855178833</v>
      </c>
      <c r="X45">
        <v>0.45573797821998602</v>
      </c>
      <c r="Y45">
        <v>0.45854222774505621</v>
      </c>
      <c r="Z45">
        <v>0.46114656329154968</v>
      </c>
      <c r="AA45">
        <v>0.46372115612030029</v>
      </c>
      <c r="AB45">
        <v>0.46634387969970698</v>
      </c>
      <c r="AC45">
        <v>5.6186610306712126E-3</v>
      </c>
    </row>
    <row r="46" spans="1:33" x14ac:dyDescent="0.45">
      <c r="A46" t="s">
        <v>337</v>
      </c>
      <c r="B46" t="s">
        <v>151</v>
      </c>
      <c r="C46">
        <v>1.267356395721436</v>
      </c>
      <c r="D46">
        <v>1.194332599639893</v>
      </c>
      <c r="E46">
        <v>1.199043273925781</v>
      </c>
      <c r="F46">
        <v>1.1970863342285161</v>
      </c>
      <c r="G46">
        <v>1.188332796096802</v>
      </c>
      <c r="H46">
        <v>1.177144050598145</v>
      </c>
      <c r="I46">
        <v>1.1660845279693599</v>
      </c>
      <c r="J46">
        <v>1.1606681346893311</v>
      </c>
      <c r="K46">
        <v>1.157207250595093</v>
      </c>
      <c r="L46">
        <v>1.156333923339844</v>
      </c>
      <c r="M46">
        <v>1.155312299728394</v>
      </c>
      <c r="N46">
        <v>1.1553342342376709</v>
      </c>
      <c r="O46">
        <v>1.1551671028137209</v>
      </c>
      <c r="P46">
        <v>1.1551246643066411</v>
      </c>
      <c r="Q46">
        <v>1.154979467391968</v>
      </c>
      <c r="R46">
        <v>1.155163049697876</v>
      </c>
      <c r="S46">
        <v>1.1555249691009519</v>
      </c>
      <c r="T46">
        <v>1.157366037368774</v>
      </c>
      <c r="U46">
        <v>1.1597251892089839</v>
      </c>
      <c r="V46">
        <v>1.1629612445831301</v>
      </c>
      <c r="W46">
        <v>1.165869474411011</v>
      </c>
      <c r="X46">
        <v>1.1673815250396731</v>
      </c>
      <c r="Y46">
        <v>1.1680183410644529</v>
      </c>
      <c r="Z46">
        <v>1.1684195995330811</v>
      </c>
      <c r="AA46">
        <v>1.1688694953918459</v>
      </c>
      <c r="AB46">
        <v>1.1696515083312991</v>
      </c>
      <c r="AC46">
        <v>-3.203948546843693E-3</v>
      </c>
      <c r="AG46" s="13"/>
    </row>
    <row r="47" spans="1:33" x14ac:dyDescent="0.45">
      <c r="A47" t="s">
        <v>338</v>
      </c>
      <c r="B47" t="s">
        <v>153</v>
      </c>
      <c r="C47">
        <v>3.6398038864135742</v>
      </c>
      <c r="D47">
        <v>3.5639610290527339</v>
      </c>
      <c r="E47">
        <v>3.5715401172637939</v>
      </c>
      <c r="F47">
        <v>3.555937767028809</v>
      </c>
      <c r="G47">
        <v>3.5192034244537349</v>
      </c>
      <c r="H47">
        <v>3.4748573303222661</v>
      </c>
      <c r="I47">
        <v>3.433452844619751</v>
      </c>
      <c r="J47">
        <v>3.410690069198608</v>
      </c>
      <c r="K47">
        <v>3.3958864212036128</v>
      </c>
      <c r="L47">
        <v>3.3894917964935298</v>
      </c>
      <c r="M47">
        <v>3.3831031322479248</v>
      </c>
      <c r="N47">
        <v>3.3802793025970459</v>
      </c>
      <c r="O47">
        <v>3.3766553401947021</v>
      </c>
      <c r="P47">
        <v>3.3732244968414311</v>
      </c>
      <c r="Q47">
        <v>3.3688466548919682</v>
      </c>
      <c r="R47">
        <v>3.3650510311126709</v>
      </c>
      <c r="S47">
        <v>3.3622629642486568</v>
      </c>
      <c r="T47">
        <v>3.3637032508850102</v>
      </c>
      <c r="U47">
        <v>3.3665468692779541</v>
      </c>
      <c r="V47">
        <v>3.3715038299560551</v>
      </c>
      <c r="W47">
        <v>3.375349760055542</v>
      </c>
      <c r="X47">
        <v>3.3740944862365718</v>
      </c>
      <c r="Y47">
        <v>3.3695592880249019</v>
      </c>
      <c r="Z47">
        <v>3.3642005920410161</v>
      </c>
      <c r="AA47">
        <v>3.3589315414428711</v>
      </c>
      <c r="AB47">
        <v>3.3544421195983891</v>
      </c>
      <c r="AC47">
        <v>-3.2604463439075419E-3</v>
      </c>
      <c r="AG47" s="13"/>
    </row>
    <row r="48" spans="1:33" x14ac:dyDescent="0.45">
      <c r="AG48" s="13"/>
    </row>
    <row r="49" spans="1:33" x14ac:dyDescent="0.45">
      <c r="B49" t="s">
        <v>339</v>
      </c>
      <c r="AG49" s="13"/>
    </row>
    <row r="50" spans="1:33" x14ac:dyDescent="0.45">
      <c r="A50" t="s">
        <v>340</v>
      </c>
      <c r="B50" t="s">
        <v>310</v>
      </c>
      <c r="C50">
        <v>7.4527919292449951E-2</v>
      </c>
      <c r="D50">
        <v>7.281358540058136E-2</v>
      </c>
      <c r="E50">
        <v>7.2147302329540253E-2</v>
      </c>
      <c r="F50">
        <v>7.1328140795230865E-2</v>
      </c>
      <c r="G50">
        <v>7.0239558815956116E-2</v>
      </c>
      <c r="H50">
        <v>6.9390051066875458E-2</v>
      </c>
      <c r="I50">
        <v>6.8551786243915558E-2</v>
      </c>
      <c r="J50">
        <v>6.7389041185379028E-2</v>
      </c>
      <c r="K50">
        <v>6.5911509096622467E-2</v>
      </c>
      <c r="L50">
        <v>6.4452938735485077E-2</v>
      </c>
      <c r="M50">
        <v>6.3008643686771393E-2</v>
      </c>
      <c r="N50">
        <v>6.1669744551181793E-2</v>
      </c>
      <c r="O50">
        <v>6.0346193611621857E-2</v>
      </c>
      <c r="P50">
        <v>5.9038575738668442E-2</v>
      </c>
      <c r="Q50">
        <v>5.7779919356107712E-2</v>
      </c>
      <c r="R50">
        <v>5.6541707366704941E-2</v>
      </c>
      <c r="S50">
        <v>5.5331457406282418E-2</v>
      </c>
      <c r="T50">
        <v>5.4154399782419198E-2</v>
      </c>
      <c r="U50">
        <v>5.2974898368120187E-2</v>
      </c>
      <c r="V50">
        <v>5.1813665777444839E-2</v>
      </c>
      <c r="W50">
        <v>5.0656583160161972E-2</v>
      </c>
      <c r="X50">
        <v>4.9515556544065482E-2</v>
      </c>
      <c r="Y50">
        <v>4.8376400023698807E-2</v>
      </c>
      <c r="Z50">
        <v>4.7275986522436142E-2</v>
      </c>
      <c r="AA50">
        <v>4.6178881078958511E-2</v>
      </c>
      <c r="AB50">
        <v>4.5136269181966782E-2</v>
      </c>
      <c r="AC50">
        <v>-1.9859654335996121E-2</v>
      </c>
      <c r="AG50" s="13"/>
    </row>
    <row r="51" spans="1:33" x14ac:dyDescent="0.45">
      <c r="A51" t="s">
        <v>341</v>
      </c>
      <c r="B51" t="s">
        <v>314</v>
      </c>
      <c r="C51">
        <v>3.7680559325963259E-3</v>
      </c>
      <c r="D51">
        <v>3.7832744419574742E-3</v>
      </c>
      <c r="E51">
        <v>3.7724871654063459E-3</v>
      </c>
      <c r="F51">
        <v>3.7564183585345749E-3</v>
      </c>
      <c r="G51">
        <v>3.7375132087618108E-3</v>
      </c>
      <c r="H51">
        <v>3.7337860558182001E-3</v>
      </c>
      <c r="I51">
        <v>3.7297364324331279E-3</v>
      </c>
      <c r="J51">
        <v>3.7097297608852391E-3</v>
      </c>
      <c r="K51">
        <v>3.6715194582939148E-3</v>
      </c>
      <c r="L51">
        <v>3.635622793808579E-3</v>
      </c>
      <c r="M51">
        <v>3.6015734076499939E-3</v>
      </c>
      <c r="N51">
        <v>3.5739874001592402E-3</v>
      </c>
      <c r="O51">
        <v>3.547454252839088E-3</v>
      </c>
      <c r="P51">
        <v>3.5207115579396491E-3</v>
      </c>
      <c r="Q51">
        <v>3.496143501251936E-3</v>
      </c>
      <c r="R51">
        <v>3.471773816272616E-3</v>
      </c>
      <c r="S51">
        <v>3.4477852750569582E-3</v>
      </c>
      <c r="T51">
        <v>3.4243902191519742E-3</v>
      </c>
      <c r="U51">
        <v>3.400481771677732E-3</v>
      </c>
      <c r="V51">
        <v>3.375726286321878E-3</v>
      </c>
      <c r="W51">
        <v>3.3500534482300282E-3</v>
      </c>
      <c r="X51">
        <v>3.3243908546864991E-3</v>
      </c>
      <c r="Y51">
        <v>3.2979131210595369E-3</v>
      </c>
      <c r="Z51">
        <v>3.2726200297474861E-3</v>
      </c>
      <c r="AA51">
        <v>3.2461252994835381E-3</v>
      </c>
      <c r="AB51">
        <v>3.2221607398241758E-3</v>
      </c>
      <c r="AC51">
        <v>-6.2407264267132501E-3</v>
      </c>
      <c r="AG51" s="13"/>
    </row>
    <row r="52" spans="1:33" x14ac:dyDescent="0.45">
      <c r="A52" t="s">
        <v>342</v>
      </c>
      <c r="B52" t="s">
        <v>343</v>
      </c>
      <c r="C52">
        <v>0.23712390661239621</v>
      </c>
      <c r="D52">
        <v>0.24239152669906619</v>
      </c>
      <c r="E52">
        <v>0.25052589178085333</v>
      </c>
      <c r="F52">
        <v>0.25241014361381531</v>
      </c>
      <c r="G52">
        <v>0.25394093990325928</v>
      </c>
      <c r="H52">
        <v>0.25635850429534912</v>
      </c>
      <c r="I52">
        <v>0.25846773386001592</v>
      </c>
      <c r="J52">
        <v>0.25921866297721857</v>
      </c>
      <c r="K52">
        <v>0.25816449522972112</v>
      </c>
      <c r="L52">
        <v>0.25715771317481989</v>
      </c>
      <c r="M52">
        <v>0.25619250535964971</v>
      </c>
      <c r="N52">
        <v>0.255626380443573</v>
      </c>
      <c r="O52">
        <v>0.25496232509613043</v>
      </c>
      <c r="P52">
        <v>0.25428009033203119</v>
      </c>
      <c r="Q52">
        <v>0.25374829769134521</v>
      </c>
      <c r="R52">
        <v>0.25328880548477167</v>
      </c>
      <c r="S52">
        <v>0.25278040766715998</v>
      </c>
      <c r="T52">
        <v>0.25230595469474792</v>
      </c>
      <c r="U52">
        <v>0.25179854035377502</v>
      </c>
      <c r="V52">
        <v>0.25126516819000239</v>
      </c>
      <c r="W52">
        <v>0.25062987208366388</v>
      </c>
      <c r="X52">
        <v>0.24996206164360049</v>
      </c>
      <c r="Y52">
        <v>0.24919475615024569</v>
      </c>
      <c r="Z52">
        <v>0.24849805235862729</v>
      </c>
      <c r="AA52">
        <v>0.24769699573516851</v>
      </c>
      <c r="AB52">
        <v>0.24707627296447751</v>
      </c>
      <c r="AC52">
        <v>1.6459238145363211E-3</v>
      </c>
      <c r="AG52" s="13"/>
    </row>
    <row r="53" spans="1:33" x14ac:dyDescent="0.45">
      <c r="A53" t="s">
        <v>344</v>
      </c>
      <c r="B53" t="s">
        <v>153</v>
      </c>
      <c r="C53">
        <v>0.31541988253593439</v>
      </c>
      <c r="D53">
        <v>0.3189883828163147</v>
      </c>
      <c r="E53">
        <v>0.32644569873809809</v>
      </c>
      <c r="F53">
        <v>0.32749468088150019</v>
      </c>
      <c r="G53">
        <v>0.32791799306869512</v>
      </c>
      <c r="H53">
        <v>0.32948234677314758</v>
      </c>
      <c r="I53">
        <v>0.33074924349784851</v>
      </c>
      <c r="J53">
        <v>0.33031743764877319</v>
      </c>
      <c r="K53">
        <v>0.32774752378463751</v>
      </c>
      <c r="L53">
        <v>0.32524627447128301</v>
      </c>
      <c r="M53">
        <v>0.32280272245407099</v>
      </c>
      <c r="N53">
        <v>0.32087010145187378</v>
      </c>
      <c r="O53">
        <v>0.31885597109794622</v>
      </c>
      <c r="P53">
        <v>0.31683936715126038</v>
      </c>
      <c r="Q53">
        <v>0.31502434611320501</v>
      </c>
      <c r="R53">
        <v>0.31330227851867681</v>
      </c>
      <c r="S53">
        <v>0.31155964732170099</v>
      </c>
      <c r="T53">
        <v>0.30988472700119019</v>
      </c>
      <c r="U53">
        <v>0.30817392468452448</v>
      </c>
      <c r="V53">
        <v>0.30645456910133362</v>
      </c>
      <c r="W53">
        <v>0.30463650822639471</v>
      </c>
      <c r="X53">
        <v>0.30280199646949768</v>
      </c>
      <c r="Y53">
        <v>0.30086907744407648</v>
      </c>
      <c r="Z53">
        <v>0.29904666543006903</v>
      </c>
      <c r="AA53">
        <v>0.29712200164794922</v>
      </c>
      <c r="AB53">
        <v>0.29543471336364752</v>
      </c>
      <c r="AC53">
        <v>-2.6148487269990191E-3</v>
      </c>
      <c r="AG53" s="13"/>
    </row>
    <row r="54" spans="1:33" x14ac:dyDescent="0.45">
      <c r="AG54" s="13"/>
    </row>
    <row r="55" spans="1:33" x14ac:dyDescent="0.45">
      <c r="A55" t="s">
        <v>345</v>
      </c>
      <c r="B55" t="s">
        <v>346</v>
      </c>
      <c r="C55">
        <v>0.14368182420730591</v>
      </c>
      <c r="D55">
        <v>0.14368182420730591</v>
      </c>
      <c r="E55">
        <v>0.14368182420730591</v>
      </c>
      <c r="F55">
        <v>0.14368182420730591</v>
      </c>
      <c r="G55">
        <v>0.14368182420730591</v>
      </c>
      <c r="H55">
        <v>0.14368182420730591</v>
      </c>
      <c r="I55">
        <v>0.14368182420730591</v>
      </c>
      <c r="J55">
        <v>0.14368182420730591</v>
      </c>
      <c r="K55">
        <v>0.14368182420730591</v>
      </c>
      <c r="L55">
        <v>0.14368182420730591</v>
      </c>
      <c r="M55">
        <v>0.14368182420730591</v>
      </c>
      <c r="N55">
        <v>0.14368182420730591</v>
      </c>
      <c r="O55">
        <v>0.14368182420730591</v>
      </c>
      <c r="P55">
        <v>0.14368182420730591</v>
      </c>
      <c r="Q55">
        <v>0.14368182420730591</v>
      </c>
      <c r="R55">
        <v>0.14368182420730591</v>
      </c>
      <c r="S55">
        <v>0.14368182420730591</v>
      </c>
      <c r="T55">
        <v>0.14368182420730591</v>
      </c>
      <c r="U55">
        <v>0.14368182420730591</v>
      </c>
      <c r="V55">
        <v>0.14368182420730591</v>
      </c>
      <c r="W55">
        <v>0.14368182420730591</v>
      </c>
      <c r="X55">
        <v>0.14368182420730591</v>
      </c>
      <c r="Y55">
        <v>0.14368182420730591</v>
      </c>
      <c r="Z55">
        <v>0.14368182420730591</v>
      </c>
      <c r="AA55">
        <v>0.14368182420730591</v>
      </c>
      <c r="AB55">
        <v>0.14368182420730591</v>
      </c>
      <c r="AC55">
        <v>0</v>
      </c>
      <c r="AG55" s="13"/>
    </row>
    <row r="56" spans="1:33" x14ac:dyDescent="0.45">
      <c r="A56" t="s">
        <v>347</v>
      </c>
      <c r="B56" t="s">
        <v>348</v>
      </c>
      <c r="C56">
        <v>0.64804857969284058</v>
      </c>
      <c r="D56">
        <v>0.66109436750411987</v>
      </c>
      <c r="E56">
        <v>0.66815906763076782</v>
      </c>
      <c r="F56">
        <v>0.67530959844589233</v>
      </c>
      <c r="G56">
        <v>0.68251526355743408</v>
      </c>
      <c r="H56">
        <v>0.6905861496925354</v>
      </c>
      <c r="I56">
        <v>0.69791728258132935</v>
      </c>
      <c r="J56">
        <v>0.70595133304595947</v>
      </c>
      <c r="K56">
        <v>0.71397119760513306</v>
      </c>
      <c r="L56">
        <v>0.72265666723251343</v>
      </c>
      <c r="M56">
        <v>0.73132973909378052</v>
      </c>
      <c r="N56">
        <v>0.74053525924682617</v>
      </c>
      <c r="O56">
        <v>0.74982339143753052</v>
      </c>
      <c r="P56">
        <v>0.75890272855758667</v>
      </c>
      <c r="Q56">
        <v>0.76786136627197266</v>
      </c>
      <c r="R56">
        <v>0.77653080224990845</v>
      </c>
      <c r="S56">
        <v>0.78471815586090088</v>
      </c>
      <c r="T56">
        <v>0.79267412424087524</v>
      </c>
      <c r="U56">
        <v>0.80039334297180176</v>
      </c>
      <c r="V56">
        <v>0.80793756246566772</v>
      </c>
      <c r="W56">
        <v>0.81531292200088501</v>
      </c>
      <c r="X56">
        <v>0.82266759872436523</v>
      </c>
      <c r="Y56">
        <v>0.82990443706512451</v>
      </c>
      <c r="Z56">
        <v>0.83711159229278564</v>
      </c>
      <c r="AA56">
        <v>0.84429466724395752</v>
      </c>
      <c r="AB56">
        <v>0.8515092134475708</v>
      </c>
      <c r="AC56">
        <v>1.0981646761222709E-2</v>
      </c>
      <c r="AG56" s="13"/>
    </row>
    <row r="57" spans="1:33" x14ac:dyDescent="0.45">
      <c r="AG57" s="13"/>
    </row>
    <row r="58" spans="1:33" x14ac:dyDescent="0.45">
      <c r="B58" t="s">
        <v>349</v>
      </c>
      <c r="AG58" s="13"/>
    </row>
    <row r="59" spans="1:33" x14ac:dyDescent="0.45">
      <c r="A59" t="s">
        <v>350</v>
      </c>
      <c r="B59" t="s">
        <v>310</v>
      </c>
      <c r="C59">
        <v>1.9527831077575679</v>
      </c>
      <c r="D59">
        <v>1.9257820844650271</v>
      </c>
      <c r="E59">
        <v>1.9198101758956909</v>
      </c>
      <c r="F59">
        <v>1.9027783870697019</v>
      </c>
      <c r="G59">
        <v>1.8745524883270259</v>
      </c>
      <c r="H59">
        <v>1.8426879644393921</v>
      </c>
      <c r="I59">
        <v>1.8127356767654419</v>
      </c>
      <c r="J59">
        <v>1.791174173355103</v>
      </c>
      <c r="K59">
        <v>1.77372145652771</v>
      </c>
      <c r="L59">
        <v>1.759692907333374</v>
      </c>
      <c r="M59">
        <v>1.7453598976135249</v>
      </c>
      <c r="N59">
        <v>1.7326453924179079</v>
      </c>
      <c r="O59">
        <v>1.7192094326019289</v>
      </c>
      <c r="P59">
        <v>1.7057803869247441</v>
      </c>
      <c r="Q59">
        <v>1.6916743516921999</v>
      </c>
      <c r="R59">
        <v>1.677725076675415</v>
      </c>
      <c r="S59">
        <v>1.664192318916321</v>
      </c>
      <c r="T59">
        <v>1.652503967285156</v>
      </c>
      <c r="U59">
        <v>1.64127516746521</v>
      </c>
      <c r="V59">
        <v>1.6307414770126341</v>
      </c>
      <c r="W59">
        <v>1.6197260618209841</v>
      </c>
      <c r="X59">
        <v>1.60610568523407</v>
      </c>
      <c r="Y59">
        <v>1.5907289981842041</v>
      </c>
      <c r="Z59">
        <v>1.5750420093536379</v>
      </c>
      <c r="AA59">
        <v>1.559412837028503</v>
      </c>
      <c r="AB59">
        <v>1.54406201839447</v>
      </c>
      <c r="AC59">
        <v>-9.3495772140717026E-3</v>
      </c>
      <c r="AG59" s="13"/>
    </row>
    <row r="60" spans="1:33" x14ac:dyDescent="0.45">
      <c r="A60" t="s">
        <v>351</v>
      </c>
      <c r="B60" t="s">
        <v>312</v>
      </c>
      <c r="C60">
        <v>0.5825313925743103</v>
      </c>
      <c r="D60">
        <v>0.61208397150039673</v>
      </c>
      <c r="E60">
        <v>0.61880606412887573</v>
      </c>
      <c r="F60">
        <v>0.62720048427581787</v>
      </c>
      <c r="G60">
        <v>0.63409751653671265</v>
      </c>
      <c r="H60">
        <v>0.63845771551132202</v>
      </c>
      <c r="I60">
        <v>0.64351171255111694</v>
      </c>
      <c r="J60">
        <v>0.64931738376617432</v>
      </c>
      <c r="K60">
        <v>0.65568786859512329</v>
      </c>
      <c r="L60">
        <v>0.66273081302642822</v>
      </c>
      <c r="M60">
        <v>0.67013710737228394</v>
      </c>
      <c r="N60">
        <v>0.67839568853378296</v>
      </c>
      <c r="O60">
        <v>0.68686836957931519</v>
      </c>
      <c r="P60">
        <v>0.69551801681518555</v>
      </c>
      <c r="Q60">
        <v>0.70410817861557007</v>
      </c>
      <c r="R60">
        <v>0.71308338642120361</v>
      </c>
      <c r="S60">
        <v>0.72254848480224609</v>
      </c>
      <c r="T60">
        <v>0.73252302408218384</v>
      </c>
      <c r="U60">
        <v>0.74325776100158691</v>
      </c>
      <c r="V60">
        <v>0.75429040193557739</v>
      </c>
      <c r="W60">
        <v>0.76584595441818237</v>
      </c>
      <c r="X60">
        <v>0.77697938680648804</v>
      </c>
      <c r="Y60">
        <v>0.78769385814666748</v>
      </c>
      <c r="Z60">
        <v>0.79837888479232788</v>
      </c>
      <c r="AA60">
        <v>0.80965840816497803</v>
      </c>
      <c r="AB60">
        <v>0.82099997997283936</v>
      </c>
      <c r="AC60">
        <v>1.382022883046452E-2</v>
      </c>
      <c r="AG60" s="13"/>
    </row>
    <row r="61" spans="1:33" x14ac:dyDescent="0.45">
      <c r="A61" t="s">
        <v>352</v>
      </c>
      <c r="B61" t="s">
        <v>314</v>
      </c>
      <c r="C61">
        <v>0.35153520107269293</v>
      </c>
      <c r="D61">
        <v>0.3568500280380249</v>
      </c>
      <c r="E61">
        <v>0.35884305834770203</v>
      </c>
      <c r="F61">
        <v>0.3590969443321228</v>
      </c>
      <c r="G61">
        <v>0.3576163649559021</v>
      </c>
      <c r="H61">
        <v>0.35524323582649231</v>
      </c>
      <c r="I61">
        <v>0.35315147042274481</v>
      </c>
      <c r="J61">
        <v>0.35276573896408081</v>
      </c>
      <c r="K61">
        <v>0.3530297577381134</v>
      </c>
      <c r="L61">
        <v>0.35423853993415833</v>
      </c>
      <c r="M61">
        <v>0.35563281178474432</v>
      </c>
      <c r="N61">
        <v>0.35754057765007019</v>
      </c>
      <c r="O61">
        <v>0.35942235589027399</v>
      </c>
      <c r="P61">
        <v>0.36132490634918207</v>
      </c>
      <c r="Q61">
        <v>0.36314252018928528</v>
      </c>
      <c r="R61">
        <v>0.36499062180519098</v>
      </c>
      <c r="S61">
        <v>0.3670424222946167</v>
      </c>
      <c r="T61">
        <v>0.36945736408233643</v>
      </c>
      <c r="U61">
        <v>0.37206292152404791</v>
      </c>
      <c r="V61">
        <v>0.37487480044364929</v>
      </c>
      <c r="W61">
        <v>0.37756672501564031</v>
      </c>
      <c r="X61">
        <v>0.37975555658340449</v>
      </c>
      <c r="Y61">
        <v>0.38156154751777649</v>
      </c>
      <c r="Z61">
        <v>0.38324204087257391</v>
      </c>
      <c r="AA61">
        <v>0.38493311405181879</v>
      </c>
      <c r="AB61">
        <v>0.38666221499443049</v>
      </c>
      <c r="AC61">
        <v>3.816931234072563E-3</v>
      </c>
    </row>
    <row r="62" spans="1:33" x14ac:dyDescent="0.45">
      <c r="A62" t="s">
        <v>353</v>
      </c>
      <c r="B62" t="s">
        <v>316</v>
      </c>
      <c r="C62">
        <v>0.7725786566734314</v>
      </c>
      <c r="D62">
        <v>0.77808070182800293</v>
      </c>
      <c r="E62">
        <v>0.78721636533737183</v>
      </c>
      <c r="F62">
        <v>0.79894798994064331</v>
      </c>
      <c r="G62">
        <v>0.80861729383468628</v>
      </c>
      <c r="H62">
        <v>0.81284761428833008</v>
      </c>
      <c r="I62">
        <v>0.81740254163742065</v>
      </c>
      <c r="J62">
        <v>0.82248866558074951</v>
      </c>
      <c r="K62">
        <v>0.82842159271240234</v>
      </c>
      <c r="L62">
        <v>0.83473402261734009</v>
      </c>
      <c r="M62">
        <v>0.84140819311141968</v>
      </c>
      <c r="N62">
        <v>0.84894019365310669</v>
      </c>
      <c r="O62">
        <v>0.85649627447128296</v>
      </c>
      <c r="P62">
        <v>0.86420577764511108</v>
      </c>
      <c r="Q62">
        <v>0.87185335159301758</v>
      </c>
      <c r="R62">
        <v>0.87961149215698242</v>
      </c>
      <c r="S62">
        <v>0.88787376880645752</v>
      </c>
      <c r="T62">
        <v>0.89625650644302368</v>
      </c>
      <c r="U62">
        <v>0.90508544445037842</v>
      </c>
      <c r="V62">
        <v>0.91416382789611816</v>
      </c>
      <c r="W62">
        <v>0.92337268590927124</v>
      </c>
      <c r="X62">
        <v>0.93216902017593384</v>
      </c>
      <c r="Y62">
        <v>0.94026070833206177</v>
      </c>
      <c r="Z62">
        <v>0.94815254211425781</v>
      </c>
      <c r="AA62">
        <v>0.9564245343208313</v>
      </c>
      <c r="AB62">
        <v>0.96451842784881592</v>
      </c>
      <c r="AC62">
        <v>8.9153113016047225E-3</v>
      </c>
      <c r="AG62" s="13"/>
    </row>
    <row r="63" spans="1:33" x14ac:dyDescent="0.45">
      <c r="A63" t="s">
        <v>354</v>
      </c>
      <c r="B63" t="s">
        <v>117</v>
      </c>
      <c r="C63">
        <v>0.48938104510307312</v>
      </c>
      <c r="D63">
        <v>0.4959438145160675</v>
      </c>
      <c r="E63">
        <v>0.49908256530761719</v>
      </c>
      <c r="F63">
        <v>0.4995197057723999</v>
      </c>
      <c r="G63">
        <v>0.49754899740219122</v>
      </c>
      <c r="H63">
        <v>0.49431043863296509</v>
      </c>
      <c r="I63">
        <v>0.49151921272277832</v>
      </c>
      <c r="J63">
        <v>0.49113261699676508</v>
      </c>
      <c r="K63">
        <v>0.49173206090927118</v>
      </c>
      <c r="L63">
        <v>0.49363416433334351</v>
      </c>
      <c r="M63">
        <v>0.495735764503479</v>
      </c>
      <c r="N63">
        <v>0.49846410751342768</v>
      </c>
      <c r="O63">
        <v>0.50111532211303711</v>
      </c>
      <c r="P63">
        <v>0.50374907255172729</v>
      </c>
      <c r="Q63">
        <v>0.50619661808013916</v>
      </c>
      <c r="R63">
        <v>0.50863587856292725</v>
      </c>
      <c r="S63">
        <v>0.51139652729034424</v>
      </c>
      <c r="T63">
        <v>0.51465499401092529</v>
      </c>
      <c r="U63">
        <v>0.51814019680023193</v>
      </c>
      <c r="V63">
        <v>0.52188825607299805</v>
      </c>
      <c r="W63">
        <v>0.52541780471801758</v>
      </c>
      <c r="X63">
        <v>0.52815532684326172</v>
      </c>
      <c r="Y63">
        <v>0.53030526638031006</v>
      </c>
      <c r="Z63">
        <v>0.53222852945327759</v>
      </c>
      <c r="AA63">
        <v>0.53413581848144531</v>
      </c>
      <c r="AB63">
        <v>0.53606534004211426</v>
      </c>
      <c r="AC63">
        <v>3.6512350709754231E-3</v>
      </c>
      <c r="AG63" s="13"/>
    </row>
    <row r="64" spans="1:33" s="16" customFormat="1" x14ac:dyDescent="0.45">
      <c r="A64" s="16" t="s">
        <v>355</v>
      </c>
      <c r="B64" s="16" t="s">
        <v>319</v>
      </c>
      <c r="C64" s="16">
        <v>0.56464868783950806</v>
      </c>
      <c r="D64" s="16">
        <v>0.55332779884338379</v>
      </c>
      <c r="E64">
        <v>0.5473293662071228</v>
      </c>
      <c r="F64" s="16">
        <v>0.54542988538742065</v>
      </c>
      <c r="G64" s="16">
        <v>0.54358804225921631</v>
      </c>
      <c r="H64" s="16">
        <v>0.53231817483901978</v>
      </c>
      <c r="I64" s="16">
        <v>0.52262163162231445</v>
      </c>
      <c r="J64" s="16">
        <v>0.51420021057128906</v>
      </c>
      <c r="K64" s="16">
        <v>0.50677865743637085</v>
      </c>
      <c r="L64" s="16">
        <v>0.49977785348892212</v>
      </c>
      <c r="M64" s="16">
        <v>0.49295160174369812</v>
      </c>
      <c r="N64" s="16">
        <v>0.48728850483894348</v>
      </c>
      <c r="O64" s="16">
        <v>0.48248586058616638</v>
      </c>
      <c r="P64" s="16">
        <v>0.47849792242050171</v>
      </c>
      <c r="Q64" s="16">
        <v>0.47511857748031622</v>
      </c>
      <c r="R64" s="16">
        <v>0.47012150287628168</v>
      </c>
      <c r="S64" s="16">
        <v>0.46640691161155701</v>
      </c>
      <c r="T64" s="16">
        <v>0.4634820818901062</v>
      </c>
      <c r="U64" s="16">
        <v>0.46129697561264038</v>
      </c>
      <c r="V64" s="16">
        <v>0.45964255928993231</v>
      </c>
      <c r="W64" s="16">
        <v>0.45840096473693848</v>
      </c>
      <c r="X64" s="16">
        <v>0.45725777745246893</v>
      </c>
      <c r="Y64" s="16">
        <v>0.45599430799484247</v>
      </c>
      <c r="Z64" s="16">
        <v>0.45470628142356873</v>
      </c>
      <c r="AA64" s="16">
        <v>0.45369204878807068</v>
      </c>
      <c r="AB64" s="16">
        <v>0.45269542932510382</v>
      </c>
      <c r="AC64" s="16">
        <v>-8.8004151828615651E-3</v>
      </c>
      <c r="AG64" s="17"/>
    </row>
    <row r="65" spans="1:33" x14ac:dyDescent="0.45">
      <c r="A65" t="s">
        <v>356</v>
      </c>
      <c r="B65" t="s">
        <v>115</v>
      </c>
      <c r="C65">
        <v>0.36673378944396973</v>
      </c>
      <c r="D65">
        <v>0.36595341563224792</v>
      </c>
      <c r="E65">
        <v>0.36617350578308111</v>
      </c>
      <c r="F65">
        <v>0.36700010299682623</v>
      </c>
      <c r="G65">
        <v>0.36756345629692078</v>
      </c>
      <c r="H65">
        <v>0.36664438247680659</v>
      </c>
      <c r="I65">
        <v>0.36620622873306269</v>
      </c>
      <c r="J65">
        <v>0.36610907316207891</v>
      </c>
      <c r="K65">
        <v>0.36639034748077393</v>
      </c>
      <c r="L65">
        <v>0.36694955825805659</v>
      </c>
      <c r="M65">
        <v>0.36775559186935419</v>
      </c>
      <c r="N65">
        <v>0.36884811520576483</v>
      </c>
      <c r="O65">
        <v>0.37004610896110529</v>
      </c>
      <c r="P65">
        <v>0.37123894691467291</v>
      </c>
      <c r="Q65">
        <v>0.3723832368850708</v>
      </c>
      <c r="R65">
        <v>0.37348532676696777</v>
      </c>
      <c r="S65">
        <v>0.37482777237892151</v>
      </c>
      <c r="T65">
        <v>0.37610214948654169</v>
      </c>
      <c r="U65">
        <v>0.37739026546478271</v>
      </c>
      <c r="V65">
        <v>0.37866276502609247</v>
      </c>
      <c r="W65">
        <v>0.37990128993988043</v>
      </c>
      <c r="X65">
        <v>0.3810141384601593</v>
      </c>
      <c r="Y65">
        <v>0.38195547461509699</v>
      </c>
      <c r="Z65">
        <v>0.38280674815177917</v>
      </c>
      <c r="AA65">
        <v>0.38365435600280762</v>
      </c>
      <c r="AB65">
        <v>0.38441506028175348</v>
      </c>
      <c r="AC65">
        <v>1.885240416076073E-3</v>
      </c>
      <c r="AG65" s="13"/>
    </row>
    <row r="66" spans="1:33" s="16" customFormat="1" x14ac:dyDescent="0.45">
      <c r="A66" s="16" t="s">
        <v>357</v>
      </c>
      <c r="B66" s="16" t="s">
        <v>322</v>
      </c>
      <c r="C66" s="16">
        <v>0.35769146680831909</v>
      </c>
      <c r="D66" s="16">
        <v>0.40369805693626398</v>
      </c>
      <c r="E66">
        <v>0.45296800136566162</v>
      </c>
      <c r="F66" s="16">
        <v>0.50386369228363037</v>
      </c>
      <c r="G66" s="16">
        <v>0.55580109357833862</v>
      </c>
      <c r="H66" s="16">
        <v>0.60810637474060059</v>
      </c>
      <c r="I66" s="16">
        <v>0.66097623109817505</v>
      </c>
      <c r="J66" s="16">
        <v>0.71486109495162964</v>
      </c>
      <c r="K66" s="16">
        <v>0.76973402500152588</v>
      </c>
      <c r="L66" s="16">
        <v>0.82540673017501831</v>
      </c>
      <c r="M66" s="16">
        <v>0.8817182183265686</v>
      </c>
      <c r="N66" s="16">
        <v>0.93838644027709961</v>
      </c>
      <c r="O66" s="16">
        <v>0.99514853954315186</v>
      </c>
      <c r="P66" s="16">
        <v>1.051304817199707</v>
      </c>
      <c r="Q66" s="16">
        <v>1.106358528137207</v>
      </c>
      <c r="R66" s="16">
        <v>1.159801244735718</v>
      </c>
      <c r="S66" s="16">
        <v>1.211428165435791</v>
      </c>
      <c r="T66" s="16">
        <v>1.260422468185425</v>
      </c>
      <c r="U66" s="16">
        <v>1.3068299293518071</v>
      </c>
      <c r="V66" s="16">
        <v>1.3498513698577881</v>
      </c>
      <c r="W66" s="16">
        <v>1.389499306678772</v>
      </c>
      <c r="X66" s="16">
        <v>1.424822926521301</v>
      </c>
      <c r="Y66" s="16">
        <v>1.4555174112319951</v>
      </c>
      <c r="Z66" s="16">
        <v>1.4812450408935549</v>
      </c>
      <c r="AA66" s="16">
        <v>1.5018157958984379</v>
      </c>
      <c r="AB66" s="16">
        <v>1.5200847387313841</v>
      </c>
      <c r="AC66" s="16">
        <v>5.9581504241519527E-2</v>
      </c>
      <c r="AG66" s="17"/>
    </row>
    <row r="67" spans="1:33" x14ac:dyDescent="0.45">
      <c r="A67" t="s">
        <v>358</v>
      </c>
      <c r="B67" t="s">
        <v>324</v>
      </c>
      <c r="C67">
        <v>0.21695259213447571</v>
      </c>
      <c r="D67">
        <v>0.2117447704076767</v>
      </c>
      <c r="E67">
        <v>0.20712237060070041</v>
      </c>
      <c r="F67">
        <v>0.2026841789484024</v>
      </c>
      <c r="G67">
        <v>0.1982623636722565</v>
      </c>
      <c r="H67">
        <v>0.19391293823719019</v>
      </c>
      <c r="I67">
        <v>0.1898292750120163</v>
      </c>
      <c r="J67">
        <v>0.18571975827217099</v>
      </c>
      <c r="K67">
        <v>0.18246522545814511</v>
      </c>
      <c r="L67">
        <v>0.17970889806747439</v>
      </c>
      <c r="M67">
        <v>0.17706714570522311</v>
      </c>
      <c r="N67">
        <v>0.1750409007072449</v>
      </c>
      <c r="O67">
        <v>0.1731773912906647</v>
      </c>
      <c r="P67">
        <v>0.17144748568534851</v>
      </c>
      <c r="Q67">
        <v>0.17038112878799441</v>
      </c>
      <c r="R67">
        <v>0.16903424263000491</v>
      </c>
      <c r="S67">
        <v>0.16736727952957151</v>
      </c>
      <c r="T67">
        <v>0.16648046672344211</v>
      </c>
      <c r="U67">
        <v>0.1648089736700058</v>
      </c>
      <c r="V67">
        <v>0.1634516566991806</v>
      </c>
      <c r="W67">
        <v>0.1618640869855881</v>
      </c>
      <c r="X67">
        <v>0.16062961518764499</v>
      </c>
      <c r="Y67">
        <v>0.15854467451572421</v>
      </c>
      <c r="Z67">
        <v>0.1562098562717438</v>
      </c>
      <c r="AA67">
        <v>0.1536378413438797</v>
      </c>
      <c r="AB67">
        <v>0.15080669522285459</v>
      </c>
      <c r="AC67">
        <v>-1.4441901008480749E-2</v>
      </c>
      <c r="AG67" s="13"/>
    </row>
    <row r="68" spans="1:33" x14ac:dyDescent="0.45">
      <c r="A68" t="s">
        <v>359</v>
      </c>
      <c r="B68" t="s">
        <v>360</v>
      </c>
      <c r="C68">
        <v>4.2453742027282706</v>
      </c>
      <c r="D68">
        <v>4.3752255439758301</v>
      </c>
      <c r="E68">
        <v>4.401097297668457</v>
      </c>
      <c r="F68">
        <v>4.4076380729675293</v>
      </c>
      <c r="G68">
        <v>4.4066743850708008</v>
      </c>
      <c r="H68">
        <v>4.4038009643554688</v>
      </c>
      <c r="I68">
        <v>4.4004230499267578</v>
      </c>
      <c r="J68">
        <v>4.4030141830444336</v>
      </c>
      <c r="K68">
        <v>4.4072675704956046</v>
      </c>
      <c r="L68">
        <v>4.4161014556884766</v>
      </c>
      <c r="M68">
        <v>4.4261331558227539</v>
      </c>
      <c r="N68">
        <v>4.4401311874389648</v>
      </c>
      <c r="O68">
        <v>4.4547953605651864</v>
      </c>
      <c r="P68">
        <v>4.4698667526245117</v>
      </c>
      <c r="Q68">
        <v>4.4851388931274414</v>
      </c>
      <c r="R68">
        <v>4.5008525848388672</v>
      </c>
      <c r="S68">
        <v>4.5160937309265137</v>
      </c>
      <c r="T68">
        <v>4.532867431640625</v>
      </c>
      <c r="U68">
        <v>4.5504508018493652</v>
      </c>
      <c r="V68">
        <v>4.5688838958740234</v>
      </c>
      <c r="W68">
        <v>4.587608814239502</v>
      </c>
      <c r="X68">
        <v>4.6047549247741699</v>
      </c>
      <c r="Y68">
        <v>4.6209311485290527</v>
      </c>
      <c r="Z68">
        <v>4.6373744010925293</v>
      </c>
      <c r="AA68">
        <v>4.6542434692382813</v>
      </c>
      <c r="AB68">
        <v>4.67230224609375</v>
      </c>
      <c r="AC68">
        <v>3.840233642889102E-3</v>
      </c>
      <c r="AG68" s="13"/>
    </row>
    <row r="69" spans="1:33" x14ac:dyDescent="0.45">
      <c r="A69" t="s">
        <v>361</v>
      </c>
      <c r="B69" t="s">
        <v>362</v>
      </c>
      <c r="C69">
        <v>9.9002103805541992</v>
      </c>
      <c r="D69">
        <v>10.078691482543951</v>
      </c>
      <c r="E69">
        <v>10.158449172973629</v>
      </c>
      <c r="F69">
        <v>10.21415996551514</v>
      </c>
      <c r="G69">
        <v>10.244320869445801</v>
      </c>
      <c r="H69">
        <v>10.248330116271971</v>
      </c>
      <c r="I69">
        <v>10.258376121521</v>
      </c>
      <c r="J69">
        <v>10.29078197479248</v>
      </c>
      <c r="K69">
        <v>10.33522796630859</v>
      </c>
      <c r="L69">
        <v>10.39297580718994</v>
      </c>
      <c r="M69">
        <v>10.453898429870611</v>
      </c>
      <c r="N69">
        <v>10.525680541992189</v>
      </c>
      <c r="O69">
        <v>10.59876537322998</v>
      </c>
      <c r="P69">
        <v>10.672934532165529</v>
      </c>
      <c r="Q69">
        <v>10.746355056762701</v>
      </c>
      <c r="R69">
        <v>10.817342758178709</v>
      </c>
      <c r="S69">
        <v>10.889177322387701</v>
      </c>
      <c r="T69">
        <v>10.964749336242679</v>
      </c>
      <c r="U69">
        <v>11.04059886932373</v>
      </c>
      <c r="V69">
        <v>11.11645030975342</v>
      </c>
      <c r="W69">
        <v>11.1892032623291</v>
      </c>
      <c r="X69">
        <v>11.25164318084717</v>
      </c>
      <c r="Y69">
        <v>11.303493499755859</v>
      </c>
      <c r="Z69">
        <v>11.349386215209959</v>
      </c>
      <c r="AA69">
        <v>11.39160823822021</v>
      </c>
      <c r="AB69">
        <v>11.43261241912842</v>
      </c>
      <c r="AC69">
        <v>5.7731609241042916E-3</v>
      </c>
      <c r="AG69" s="13"/>
    </row>
    <row r="70" spans="1:33" x14ac:dyDescent="0.45">
      <c r="A70" t="s">
        <v>363</v>
      </c>
      <c r="B70" t="s">
        <v>201</v>
      </c>
      <c r="C70">
        <v>3.1625282019376748E-2</v>
      </c>
      <c r="D70">
        <v>4.134933277964592E-2</v>
      </c>
      <c r="E70">
        <v>5.3095277398824692E-2</v>
      </c>
      <c r="F70">
        <v>6.6244311630725861E-2</v>
      </c>
      <c r="G70">
        <v>7.9602524638175964E-2</v>
      </c>
      <c r="H70">
        <v>9.2542998492717743E-2</v>
      </c>
      <c r="I70">
        <v>0.1044155731797218</v>
      </c>
      <c r="J70">
        <v>0.11564316600561141</v>
      </c>
      <c r="K70">
        <v>0.126972422003746</v>
      </c>
      <c r="L70">
        <v>0.13850162923336029</v>
      </c>
      <c r="M70">
        <v>0.1503918915987015</v>
      </c>
      <c r="N70">
        <v>0.1624611169099808</v>
      </c>
      <c r="O70">
        <v>0.17480400204658511</v>
      </c>
      <c r="P70">
        <v>0.18723900616168981</v>
      </c>
      <c r="Q70">
        <v>0.19958958029747009</v>
      </c>
      <c r="R70">
        <v>0.21228790283203119</v>
      </c>
      <c r="S70">
        <v>0.22536417841911319</v>
      </c>
      <c r="T70">
        <v>0.2392434626817703</v>
      </c>
      <c r="U70">
        <v>0.25397318601608282</v>
      </c>
      <c r="V70">
        <v>0.26994425058364868</v>
      </c>
      <c r="W70">
        <v>0.28712135553359991</v>
      </c>
      <c r="X70">
        <v>0.30473798513412481</v>
      </c>
      <c r="Y70">
        <v>0.32270422577857971</v>
      </c>
      <c r="Z70">
        <v>0.34103548526763922</v>
      </c>
      <c r="AA70">
        <v>0.35960790514945978</v>
      </c>
      <c r="AB70">
        <v>0.37826317548751831</v>
      </c>
      <c r="AC70">
        <v>0.10435928343752671</v>
      </c>
      <c r="AG70" s="13"/>
    </row>
    <row r="71" spans="1:33" x14ac:dyDescent="0.45">
      <c r="A71" t="s">
        <v>364</v>
      </c>
      <c r="B71" t="s">
        <v>203</v>
      </c>
      <c r="C71">
        <v>0.15950858592987061</v>
      </c>
      <c r="D71">
        <v>0.1786766201257706</v>
      </c>
      <c r="E71">
        <v>0.1948061287403107</v>
      </c>
      <c r="F71">
        <v>0.20256760716438291</v>
      </c>
      <c r="G71">
        <v>0.20727863907814029</v>
      </c>
      <c r="H71">
        <v>0.21264529228210449</v>
      </c>
      <c r="I71">
        <v>0.2167929410934448</v>
      </c>
      <c r="J71">
        <v>0.22007113695144651</v>
      </c>
      <c r="K71">
        <v>0.22375722229480741</v>
      </c>
      <c r="L71">
        <v>0.22935956716537481</v>
      </c>
      <c r="M71">
        <v>0.23388862609863281</v>
      </c>
      <c r="N71">
        <v>0.23771291971206671</v>
      </c>
      <c r="O71">
        <v>0.24440619349479681</v>
      </c>
      <c r="P71">
        <v>0.25092688202857971</v>
      </c>
      <c r="Q71">
        <v>0.25883272290229797</v>
      </c>
      <c r="R71">
        <v>0.26564681529998779</v>
      </c>
      <c r="S71">
        <v>0.26932963728904719</v>
      </c>
      <c r="T71">
        <v>0.27484393119812012</v>
      </c>
      <c r="U71">
        <v>0.27782019972801208</v>
      </c>
      <c r="V71">
        <v>0.28117102384567261</v>
      </c>
      <c r="W71">
        <v>0.28390690684318542</v>
      </c>
      <c r="X71">
        <v>0.28815773129463201</v>
      </c>
      <c r="Y71">
        <v>0.29341936111450201</v>
      </c>
      <c r="Z71">
        <v>0.29877597093582148</v>
      </c>
      <c r="AA71">
        <v>0.30282855033874512</v>
      </c>
      <c r="AB71">
        <v>0.30805617570877081</v>
      </c>
      <c r="AC71">
        <v>2.667700303508402E-2</v>
      </c>
      <c r="AG71" s="13"/>
    </row>
    <row r="72" spans="1:33" x14ac:dyDescent="0.45">
      <c r="A72" t="s">
        <v>365</v>
      </c>
      <c r="B72" t="s">
        <v>366</v>
      </c>
      <c r="C72">
        <v>9.7723274230957031</v>
      </c>
      <c r="D72">
        <v>9.9413642883300781</v>
      </c>
      <c r="E72">
        <v>10.01673793792725</v>
      </c>
      <c r="F72">
        <v>10.077836036682131</v>
      </c>
      <c r="G72">
        <v>10.11664485931396</v>
      </c>
      <c r="H72">
        <v>10.128227233886721</v>
      </c>
      <c r="I72">
        <v>10.145998954772949</v>
      </c>
      <c r="J72">
        <v>10.186354637146</v>
      </c>
      <c r="K72">
        <v>10.238443374633791</v>
      </c>
      <c r="L72">
        <v>10.30211734771729</v>
      </c>
      <c r="M72">
        <v>10.370401382446291</v>
      </c>
      <c r="N72">
        <v>10.45042896270752</v>
      </c>
      <c r="O72">
        <v>10.5291633605957</v>
      </c>
      <c r="P72">
        <v>10.60924625396729</v>
      </c>
      <c r="Q72">
        <v>10.687111854553221</v>
      </c>
      <c r="R72">
        <v>10.76398372650146</v>
      </c>
      <c r="S72">
        <v>10.845211029052731</v>
      </c>
      <c r="T72">
        <v>10.92914867401123</v>
      </c>
      <c r="U72">
        <v>11.016751289367679</v>
      </c>
      <c r="V72">
        <v>11.10522365570068</v>
      </c>
      <c r="W72">
        <v>11.192418098449711</v>
      </c>
      <c r="X72">
        <v>11.268223762512211</v>
      </c>
      <c r="Y72">
        <v>11.332778930664061</v>
      </c>
      <c r="Z72">
        <v>11.391646385192869</v>
      </c>
      <c r="AA72">
        <v>11.44838714599609</v>
      </c>
      <c r="AB72">
        <v>11.50282001495361</v>
      </c>
      <c r="AC72">
        <v>6.5428138966372451E-3</v>
      </c>
      <c r="AG72" s="13"/>
    </row>
    <row r="73" spans="1:33" x14ac:dyDescent="0.45">
      <c r="AG73" s="13"/>
    </row>
    <row r="74" spans="1:33" x14ac:dyDescent="0.45">
      <c r="A74" t="s">
        <v>367</v>
      </c>
      <c r="B74" t="s">
        <v>368</v>
      </c>
      <c r="C74">
        <v>6.9051451683044434</v>
      </c>
      <c r="D74">
        <v>7.1494035720825204</v>
      </c>
      <c r="E74">
        <v>6.6704459190368652</v>
      </c>
      <c r="F74">
        <v>6.4662551879882813</v>
      </c>
      <c r="G74">
        <v>6.3998751640319824</v>
      </c>
      <c r="H74">
        <v>6.3392543792724609</v>
      </c>
      <c r="I74">
        <v>6.1938114166259766</v>
      </c>
      <c r="J74">
        <v>6.133887767791748</v>
      </c>
      <c r="K74">
        <v>6.1266307830810547</v>
      </c>
      <c r="L74">
        <v>6.074709415435791</v>
      </c>
      <c r="M74">
        <v>6.0557756423950204</v>
      </c>
      <c r="N74">
        <v>6.0407123565673828</v>
      </c>
      <c r="O74">
        <v>6.0576672554016113</v>
      </c>
      <c r="P74">
        <v>6.0900907516479492</v>
      </c>
      <c r="Q74">
        <v>6.1077170372009277</v>
      </c>
      <c r="R74">
        <v>6.1082992553710938</v>
      </c>
      <c r="S74">
        <v>6.1123967170715332</v>
      </c>
      <c r="T74">
        <v>6.1441268920898438</v>
      </c>
      <c r="U74">
        <v>6.1853756904602051</v>
      </c>
      <c r="V74">
        <v>6.2277836799621582</v>
      </c>
      <c r="W74">
        <v>6.2705936431884766</v>
      </c>
      <c r="X74">
        <v>6.3097653388977051</v>
      </c>
      <c r="Y74">
        <v>6.3475842475891113</v>
      </c>
      <c r="Z74">
        <v>6.3792777061462402</v>
      </c>
      <c r="AA74">
        <v>6.385493278503418</v>
      </c>
      <c r="AB74">
        <v>6.408177375793457</v>
      </c>
      <c r="AC74">
        <v>-2.983218156668133E-3</v>
      </c>
      <c r="AG74" s="13"/>
    </row>
    <row r="75" spans="1:33" x14ac:dyDescent="0.45">
      <c r="AG75" s="13"/>
    </row>
    <row r="76" spans="1:33" x14ac:dyDescent="0.45">
      <c r="B76" t="s">
        <v>369</v>
      </c>
    </row>
    <row r="77" spans="1:33" x14ac:dyDescent="0.45">
      <c r="A77" t="s">
        <v>370</v>
      </c>
      <c r="B77" t="s">
        <v>310</v>
      </c>
      <c r="C77">
        <v>2.2202329635620122</v>
      </c>
      <c r="D77">
        <v>2.1810247898101811</v>
      </c>
      <c r="E77">
        <v>2.152912855148315</v>
      </c>
      <c r="F77">
        <v>2.1243691444396968</v>
      </c>
      <c r="G77">
        <v>2.0892786979675289</v>
      </c>
      <c r="H77">
        <v>2.0514461994171138</v>
      </c>
      <c r="I77">
        <v>2.0127372741699219</v>
      </c>
      <c r="J77">
        <v>1.9851952791213989</v>
      </c>
      <c r="K77">
        <v>1.9633995294570921</v>
      </c>
      <c r="L77">
        <v>1.943524837493896</v>
      </c>
      <c r="M77">
        <v>1.9243335723876951</v>
      </c>
      <c r="N77">
        <v>1.9068866968154909</v>
      </c>
      <c r="O77">
        <v>1.889534115791321</v>
      </c>
      <c r="P77">
        <v>1.8726315498352051</v>
      </c>
      <c r="Q77">
        <v>1.85462486743927</v>
      </c>
      <c r="R77">
        <v>1.8364578485488889</v>
      </c>
      <c r="S77">
        <v>1.818913340568542</v>
      </c>
      <c r="T77">
        <v>1.8039553165435791</v>
      </c>
      <c r="U77">
        <v>1.789737462997437</v>
      </c>
      <c r="V77">
        <v>1.776250839233398</v>
      </c>
      <c r="W77">
        <v>1.7623627185821531</v>
      </c>
      <c r="X77">
        <v>1.7457956075668331</v>
      </c>
      <c r="Y77">
        <v>1.7274540662765501</v>
      </c>
      <c r="Z77">
        <v>1.7087579965591431</v>
      </c>
      <c r="AA77">
        <v>1.689725279808044</v>
      </c>
      <c r="AB77">
        <v>1.671329021453857</v>
      </c>
      <c r="AC77">
        <v>-1.129544191571996E-2</v>
      </c>
      <c r="AG77" s="13"/>
    </row>
    <row r="78" spans="1:33" x14ac:dyDescent="0.45">
      <c r="A78" t="s">
        <v>371</v>
      </c>
      <c r="B78" t="s">
        <v>312</v>
      </c>
      <c r="C78">
        <v>1.337291955947876</v>
      </c>
      <c r="D78">
        <v>1.394257545471191</v>
      </c>
      <c r="E78">
        <v>1.3470475673675539</v>
      </c>
      <c r="F78">
        <v>1.3328989744186399</v>
      </c>
      <c r="G78">
        <v>1.3311846256256099</v>
      </c>
      <c r="H78">
        <v>1.3273496627807619</v>
      </c>
      <c r="I78">
        <v>1.315401554107666</v>
      </c>
      <c r="J78">
        <v>1.3137161731719971</v>
      </c>
      <c r="K78">
        <v>1.3181077241897581</v>
      </c>
      <c r="L78">
        <v>1.318480968475342</v>
      </c>
      <c r="M78">
        <v>1.322756290435791</v>
      </c>
      <c r="N78">
        <v>1.3284368515014651</v>
      </c>
      <c r="O78">
        <v>1.337705135345459</v>
      </c>
      <c r="P78">
        <v>1.3488450050353999</v>
      </c>
      <c r="Q78">
        <v>1.358264207839966</v>
      </c>
      <c r="R78">
        <v>1.3668372631073</v>
      </c>
      <c r="S78">
        <v>1.37665319442749</v>
      </c>
      <c r="T78">
        <v>1.390299320220947</v>
      </c>
      <c r="U78">
        <v>1.4063829183578489</v>
      </c>
      <c r="V78">
        <v>1.4231634140014651</v>
      </c>
      <c r="W78">
        <v>1.4409738779067991</v>
      </c>
      <c r="X78">
        <v>1.458022832870483</v>
      </c>
      <c r="Y78">
        <v>1.4747354984283449</v>
      </c>
      <c r="Z78">
        <v>1.49115002155304</v>
      </c>
      <c r="AA78">
        <v>1.5061824321746831</v>
      </c>
      <c r="AB78">
        <v>1.5232410430908201</v>
      </c>
      <c r="AC78">
        <v>5.2213314581857073E-3</v>
      </c>
      <c r="AG78" s="13"/>
    </row>
    <row r="79" spans="1:33" x14ac:dyDescent="0.45">
      <c r="A79" t="s">
        <v>372</v>
      </c>
      <c r="B79" t="s">
        <v>314</v>
      </c>
      <c r="C79">
        <v>0.4497983455657959</v>
      </c>
      <c r="D79">
        <v>0.45253875851631159</v>
      </c>
      <c r="E79">
        <v>0.44617024064064031</v>
      </c>
      <c r="F79">
        <v>0.44210776686668402</v>
      </c>
      <c r="G79">
        <v>0.43806809186935419</v>
      </c>
      <c r="H79">
        <v>0.43322068452835077</v>
      </c>
      <c r="I79">
        <v>0.42763799428939819</v>
      </c>
      <c r="J79">
        <v>0.42484879493713379</v>
      </c>
      <c r="K79">
        <v>0.42335784435272222</v>
      </c>
      <c r="L79">
        <v>0.42231422662734991</v>
      </c>
      <c r="M79">
        <v>0.42185047268867493</v>
      </c>
      <c r="N79">
        <v>0.42199012637138372</v>
      </c>
      <c r="O79">
        <v>0.42245045304298401</v>
      </c>
      <c r="P79">
        <v>0.42311602830886841</v>
      </c>
      <c r="Q79">
        <v>0.42356973886489868</v>
      </c>
      <c r="R79">
        <v>0.42393702268600458</v>
      </c>
      <c r="S79">
        <v>0.42461186647415161</v>
      </c>
      <c r="T79">
        <v>0.42593783140182501</v>
      </c>
      <c r="U79">
        <v>0.42759144306182861</v>
      </c>
      <c r="V79">
        <v>0.42949184775352478</v>
      </c>
      <c r="W79">
        <v>0.43129429221153259</v>
      </c>
      <c r="X79">
        <v>0.4325893223285675</v>
      </c>
      <c r="Y79">
        <v>0.43350511789321899</v>
      </c>
      <c r="Z79">
        <v>0.43428093194961548</v>
      </c>
      <c r="AA79">
        <v>0.43491584062576288</v>
      </c>
      <c r="AB79">
        <v>0.4357340931892395</v>
      </c>
      <c r="AC79">
        <v>-1.2698803016296669E-3</v>
      </c>
      <c r="AG79" s="13"/>
    </row>
    <row r="80" spans="1:33" x14ac:dyDescent="0.45">
      <c r="A80" t="s">
        <v>373</v>
      </c>
      <c r="B80" t="s">
        <v>316</v>
      </c>
      <c r="C80">
        <v>1.8012866973876951</v>
      </c>
      <c r="D80">
        <v>1.8018361330032351</v>
      </c>
      <c r="E80">
        <v>1.741319417953491</v>
      </c>
      <c r="F80">
        <v>1.7247064113616939</v>
      </c>
      <c r="G80">
        <v>1.7239587306976321</v>
      </c>
      <c r="H80">
        <v>1.715919494628906</v>
      </c>
      <c r="I80">
        <v>1.6961908340454099</v>
      </c>
      <c r="J80">
        <v>1.6892721652984619</v>
      </c>
      <c r="K80">
        <v>1.690703153610229</v>
      </c>
      <c r="L80">
        <v>1.686092257499695</v>
      </c>
      <c r="M80">
        <v>1.68646764755249</v>
      </c>
      <c r="N80">
        <v>1.6883155107498169</v>
      </c>
      <c r="O80">
        <v>1.694416284561157</v>
      </c>
      <c r="P80">
        <v>1.702867388725281</v>
      </c>
      <c r="Q80">
        <v>1.7092151641845701</v>
      </c>
      <c r="R80">
        <v>1.713847875595093</v>
      </c>
      <c r="S80">
        <v>1.719934344291687</v>
      </c>
      <c r="T80">
        <v>1.729992628097534</v>
      </c>
      <c r="U80">
        <v>1.7422435283660891</v>
      </c>
      <c r="V80">
        <v>1.7552294731140139</v>
      </c>
      <c r="W80">
        <v>1.7685985565185549</v>
      </c>
      <c r="X80">
        <v>1.781272768974304</v>
      </c>
      <c r="Y80">
        <v>1.793245673179626</v>
      </c>
      <c r="Z80">
        <v>1.8046072721481321</v>
      </c>
      <c r="AA80">
        <v>1.8136916160583501</v>
      </c>
      <c r="AB80">
        <v>1.8249003887176509</v>
      </c>
      <c r="AC80">
        <v>5.2110223088597252E-4</v>
      </c>
      <c r="AG80" s="13"/>
    </row>
    <row r="81" spans="1:33" x14ac:dyDescent="0.45">
      <c r="A81" t="s">
        <v>374</v>
      </c>
      <c r="B81" t="s">
        <v>117</v>
      </c>
      <c r="C81">
        <v>0.60121703147888184</v>
      </c>
      <c r="D81">
        <v>0.60547339916229248</v>
      </c>
      <c r="E81">
        <v>0.59953522682189941</v>
      </c>
      <c r="F81">
        <v>0.59540432691574097</v>
      </c>
      <c r="G81">
        <v>0.59081965684890747</v>
      </c>
      <c r="H81">
        <v>0.58508771657943726</v>
      </c>
      <c r="I81">
        <v>0.57859951257705688</v>
      </c>
      <c r="J81">
        <v>0.57577550411224365</v>
      </c>
      <c r="K81">
        <v>0.57469427585601807</v>
      </c>
      <c r="L81">
        <v>0.57432574033737183</v>
      </c>
      <c r="M81">
        <v>0.57460981607437134</v>
      </c>
      <c r="N81">
        <v>0.57558292150497437</v>
      </c>
      <c r="O81">
        <v>0.57687759399414063</v>
      </c>
      <c r="P81">
        <v>0.57835745811462402</v>
      </c>
      <c r="Q81">
        <v>0.57947665452957153</v>
      </c>
      <c r="R81">
        <v>0.5804329514503479</v>
      </c>
      <c r="S81">
        <v>0.58182352781295776</v>
      </c>
      <c r="T81">
        <v>0.58404862880706787</v>
      </c>
      <c r="U81">
        <v>0.58664619922637939</v>
      </c>
      <c r="V81">
        <v>0.58954572677612305</v>
      </c>
      <c r="W81">
        <v>0.59224170446395874</v>
      </c>
      <c r="X81">
        <v>0.5941196084022522</v>
      </c>
      <c r="Y81">
        <v>0.59540724754333496</v>
      </c>
      <c r="Z81">
        <v>0.5964360237121582</v>
      </c>
      <c r="AA81">
        <v>0.59725022315979004</v>
      </c>
      <c r="AB81">
        <v>0.59825915098190308</v>
      </c>
      <c r="AC81">
        <v>-1.9725908968082351E-4</v>
      </c>
    </row>
    <row r="82" spans="1:33" x14ac:dyDescent="0.45">
      <c r="A82" t="s">
        <v>375</v>
      </c>
      <c r="B82" t="s">
        <v>319</v>
      </c>
      <c r="C82">
        <v>1.316492557525635</v>
      </c>
      <c r="D82">
        <v>1.2813658714294429</v>
      </c>
      <c r="E82">
        <v>1.2106902599334719</v>
      </c>
      <c r="F82">
        <v>1.1774313449859619</v>
      </c>
      <c r="G82">
        <v>1.1589207649230959</v>
      </c>
      <c r="H82">
        <v>1.1237224340438841</v>
      </c>
      <c r="I82">
        <v>1.084491491317749</v>
      </c>
      <c r="J82">
        <v>1.056092500686646</v>
      </c>
      <c r="K82">
        <v>1.034270763397217</v>
      </c>
      <c r="L82">
        <v>1.0095090866088869</v>
      </c>
      <c r="M82">
        <v>0.98804235458374023</v>
      </c>
      <c r="N82">
        <v>0.96908682584762573</v>
      </c>
      <c r="O82">
        <v>0.95450723171234131</v>
      </c>
      <c r="P82">
        <v>0.94285237789154053</v>
      </c>
      <c r="Q82">
        <v>0.93144088983535767</v>
      </c>
      <c r="R82">
        <v>0.91599160432815552</v>
      </c>
      <c r="S82">
        <v>0.90349471569061279</v>
      </c>
      <c r="T82">
        <v>0.89463293552398682</v>
      </c>
      <c r="U82">
        <v>0.88797324895858765</v>
      </c>
      <c r="V82">
        <v>0.88253134489059448</v>
      </c>
      <c r="W82">
        <v>0.87800657749176025</v>
      </c>
      <c r="X82">
        <v>0.87376952171325684</v>
      </c>
      <c r="Y82">
        <v>0.86966288089752197</v>
      </c>
      <c r="Z82">
        <v>0.86543691158294678</v>
      </c>
      <c r="AA82">
        <v>0.86034750938415527</v>
      </c>
      <c r="AB82">
        <v>0.856514573097229</v>
      </c>
      <c r="AC82">
        <v>-1.7047223070022492E-2</v>
      </c>
      <c r="AG82" s="13"/>
    </row>
    <row r="83" spans="1:33" x14ac:dyDescent="0.45">
      <c r="A83" t="s">
        <v>376</v>
      </c>
      <c r="B83" t="s">
        <v>115</v>
      </c>
      <c r="C83">
        <v>0.85504913330078125</v>
      </c>
      <c r="D83">
        <v>0.84745460748672485</v>
      </c>
      <c r="E83">
        <v>0.8099743127822876</v>
      </c>
      <c r="F83">
        <v>0.7922511100769043</v>
      </c>
      <c r="G83">
        <v>0.78363925218582153</v>
      </c>
      <c r="H83">
        <v>0.77398544549942017</v>
      </c>
      <c r="I83">
        <v>0.75991404056549072</v>
      </c>
      <c r="J83">
        <v>0.75193488597869873</v>
      </c>
      <c r="K83">
        <v>0.74775612354278564</v>
      </c>
      <c r="L83">
        <v>0.74120712280273438</v>
      </c>
      <c r="M83">
        <v>0.7371070384979248</v>
      </c>
      <c r="N83">
        <v>0.73354047536849976</v>
      </c>
      <c r="O83">
        <v>0.73206639289855957</v>
      </c>
      <c r="P83">
        <v>0.73150479793548584</v>
      </c>
      <c r="Q83">
        <v>0.73003458976745605</v>
      </c>
      <c r="R83">
        <v>0.72770428657531738</v>
      </c>
      <c r="S83">
        <v>0.72609329223632813</v>
      </c>
      <c r="T83">
        <v>0.72596848011016846</v>
      </c>
      <c r="U83">
        <v>0.72645711898803711</v>
      </c>
      <c r="V83">
        <v>0.72704702615737915</v>
      </c>
      <c r="W83">
        <v>0.72765076160430908</v>
      </c>
      <c r="X83">
        <v>0.7280762791633606</v>
      </c>
      <c r="Y83">
        <v>0.72845757007598877</v>
      </c>
      <c r="Z83">
        <v>0.7285914421081543</v>
      </c>
      <c r="AA83">
        <v>0.72753334045410156</v>
      </c>
      <c r="AB83">
        <v>0.7273259162902832</v>
      </c>
      <c r="AC83">
        <v>-6.4504759019193836E-3</v>
      </c>
      <c r="AG83" s="13"/>
    </row>
    <row r="84" spans="1:33" x14ac:dyDescent="0.45">
      <c r="A84" t="s">
        <v>377</v>
      </c>
      <c r="B84" t="s">
        <v>322</v>
      </c>
      <c r="C84">
        <v>0.83396661281585693</v>
      </c>
      <c r="D84">
        <v>0.93486154079437256</v>
      </c>
      <c r="E84">
        <v>1.0019633769989009</v>
      </c>
      <c r="F84">
        <v>1.087701559066772</v>
      </c>
      <c r="G84">
        <v>1.184958934783936</v>
      </c>
      <c r="H84">
        <v>1.283711194992065</v>
      </c>
      <c r="I84">
        <v>1.371590852737427</v>
      </c>
      <c r="J84">
        <v>1.468220710754395</v>
      </c>
      <c r="K84">
        <v>1.570929288864136</v>
      </c>
      <c r="L84">
        <v>1.667251825332642</v>
      </c>
      <c r="M84">
        <v>1.7672625780105591</v>
      </c>
      <c r="N84">
        <v>1.86620020866394</v>
      </c>
      <c r="O84">
        <v>1.968713641166687</v>
      </c>
      <c r="P84">
        <v>2.0715351104736328</v>
      </c>
      <c r="Q84">
        <v>2.1689481735229492</v>
      </c>
      <c r="R84">
        <v>2.259773731231689</v>
      </c>
      <c r="S84">
        <v>2.3467040061950679</v>
      </c>
      <c r="T84">
        <v>2.432921409606934</v>
      </c>
      <c r="U84">
        <v>2.5155811309814449</v>
      </c>
      <c r="V84">
        <v>2.591766357421875</v>
      </c>
      <c r="W84">
        <v>2.661402702331543</v>
      </c>
      <c r="X84">
        <v>2.7226805686950679</v>
      </c>
      <c r="Y84">
        <v>2.7759325504302979</v>
      </c>
      <c r="Z84">
        <v>2.8192358016967769</v>
      </c>
      <c r="AA84">
        <v>2.8479306697845459</v>
      </c>
      <c r="AB84">
        <v>2.8760499954223628</v>
      </c>
      <c r="AC84">
        <v>5.0765755518207278E-2</v>
      </c>
      <c r="AG84" s="13"/>
    </row>
    <row r="85" spans="1:33" x14ac:dyDescent="0.45">
      <c r="A85" t="s">
        <v>378</v>
      </c>
      <c r="B85" t="s">
        <v>324</v>
      </c>
      <c r="C85">
        <v>0.50583040714263916</v>
      </c>
      <c r="D85">
        <v>0.49034678936004639</v>
      </c>
      <c r="E85">
        <v>0.45815384387969971</v>
      </c>
      <c r="F85">
        <v>0.437538743019104</v>
      </c>
      <c r="G85">
        <v>0.42269212007522577</v>
      </c>
      <c r="H85">
        <v>0.40934976935386658</v>
      </c>
      <c r="I85">
        <v>0.39391446113586431</v>
      </c>
      <c r="J85">
        <v>0.38144141435623169</v>
      </c>
      <c r="K85">
        <v>0.37238830327987671</v>
      </c>
      <c r="L85">
        <v>0.36299681663513178</v>
      </c>
      <c r="M85">
        <v>0.35490265488624573</v>
      </c>
      <c r="N85">
        <v>0.3481096625328064</v>
      </c>
      <c r="O85">
        <v>0.34259879589080811</v>
      </c>
      <c r="P85">
        <v>0.33782732486724848</v>
      </c>
      <c r="Q85">
        <v>0.33402177691459661</v>
      </c>
      <c r="R85">
        <v>0.32934880256652832</v>
      </c>
      <c r="S85">
        <v>0.32421356439590449</v>
      </c>
      <c r="T85">
        <v>0.32134771347045898</v>
      </c>
      <c r="U85">
        <v>0.3172488808631897</v>
      </c>
      <c r="V85">
        <v>0.31383344531059271</v>
      </c>
      <c r="W85">
        <v>0.3100292980670929</v>
      </c>
      <c r="X85">
        <v>0.3069455623626709</v>
      </c>
      <c r="Y85">
        <v>0.30237311124801641</v>
      </c>
      <c r="Z85">
        <v>0.29731231927871699</v>
      </c>
      <c r="AA85">
        <v>0.29134726524353027</v>
      </c>
      <c r="AB85">
        <v>0.28533118963241583</v>
      </c>
      <c r="AC85">
        <v>-2.264177401330647E-2</v>
      </c>
      <c r="AG85" s="13"/>
    </row>
    <row r="86" spans="1:33" x14ac:dyDescent="0.45">
      <c r="A86" t="s">
        <v>379</v>
      </c>
      <c r="B86" t="s">
        <v>360</v>
      </c>
      <c r="C86">
        <v>6.840733528137207</v>
      </c>
      <c r="D86">
        <v>7.1826648712158203</v>
      </c>
      <c r="E86">
        <v>6.9943914413452148</v>
      </c>
      <c r="F86">
        <v>6.8863177299499512</v>
      </c>
      <c r="G86">
        <v>6.827085018157959</v>
      </c>
      <c r="H86">
        <v>6.7769260406494141</v>
      </c>
      <c r="I86">
        <v>6.6949758529663086</v>
      </c>
      <c r="J86">
        <v>6.6514077186584473</v>
      </c>
      <c r="K86">
        <v>6.6287422180175781</v>
      </c>
      <c r="L86">
        <v>6.5949182510375977</v>
      </c>
      <c r="M86">
        <v>6.5750336647033691</v>
      </c>
      <c r="N86">
        <v>6.560917854309082</v>
      </c>
      <c r="O86">
        <v>6.5592994689941406</v>
      </c>
      <c r="P86">
        <v>6.5639619827270508</v>
      </c>
      <c r="Q86">
        <v>6.564361572265625</v>
      </c>
      <c r="R86">
        <v>6.5609884262084961</v>
      </c>
      <c r="S86">
        <v>6.5584821701049796</v>
      </c>
      <c r="T86">
        <v>6.5671572685241699</v>
      </c>
      <c r="U86">
        <v>6.5805778503417969</v>
      </c>
      <c r="V86">
        <v>6.5957632064819336</v>
      </c>
      <c r="W86">
        <v>6.6125078201293954</v>
      </c>
      <c r="X86">
        <v>6.6278986930847168</v>
      </c>
      <c r="Y86">
        <v>6.6440610885620117</v>
      </c>
      <c r="Z86">
        <v>6.6604342460632324</v>
      </c>
      <c r="AA86">
        <v>6.6707062721252441</v>
      </c>
      <c r="AB86">
        <v>6.6886377334594727</v>
      </c>
      <c r="AC86">
        <v>-8.9898529919685277E-4</v>
      </c>
      <c r="AG86" s="13"/>
    </row>
    <row r="87" spans="1:33" x14ac:dyDescent="0.45">
      <c r="A87" t="s">
        <v>380</v>
      </c>
      <c r="B87" t="s">
        <v>381</v>
      </c>
      <c r="C87">
        <v>16.761899948120121</v>
      </c>
      <c r="D87">
        <v>17.17182540893555</v>
      </c>
      <c r="E87">
        <v>16.76215934753418</v>
      </c>
      <c r="F87">
        <v>16.600727081298832</v>
      </c>
      <c r="G87">
        <v>16.550605773925781</v>
      </c>
      <c r="H87">
        <v>16.480718612670898</v>
      </c>
      <c r="I87">
        <v>16.335453033447269</v>
      </c>
      <c r="J87">
        <v>16.297904968261719</v>
      </c>
      <c r="K87">
        <v>16.324348449707031</v>
      </c>
      <c r="L87">
        <v>16.320621490478519</v>
      </c>
      <c r="M87">
        <v>16.352365493774411</v>
      </c>
      <c r="N87">
        <v>16.399066925048832</v>
      </c>
      <c r="O87">
        <v>16.478168487548832</v>
      </c>
      <c r="P87">
        <v>16.57349967956543</v>
      </c>
      <c r="Q87">
        <v>16.653957366943359</v>
      </c>
      <c r="R87">
        <v>16.7153205871582</v>
      </c>
      <c r="S87">
        <v>16.780923843383789</v>
      </c>
      <c r="T87">
        <v>16.876262664794918</v>
      </c>
      <c r="U87">
        <v>16.980440139770511</v>
      </c>
      <c r="V87">
        <v>17.084621429443359</v>
      </c>
      <c r="W87">
        <v>17.185068130493161</v>
      </c>
      <c r="X87">
        <v>17.271171569824219</v>
      </c>
      <c r="Y87">
        <v>17.344833374023441</v>
      </c>
      <c r="Z87">
        <v>17.406242370605469</v>
      </c>
      <c r="AA87">
        <v>17.439630508422852</v>
      </c>
      <c r="AB87">
        <v>17.487321853637699</v>
      </c>
      <c r="AC87">
        <v>1.6961449166039699E-3</v>
      </c>
      <c r="AG87" s="13"/>
    </row>
    <row r="88" spans="1:33" x14ac:dyDescent="0.45">
      <c r="A88" t="s">
        <v>382</v>
      </c>
      <c r="B88" t="s">
        <v>201</v>
      </c>
      <c r="C88">
        <v>7.5080201029777527E-2</v>
      </c>
      <c r="D88">
        <v>9.7619488835334778E-2</v>
      </c>
      <c r="E88">
        <v>0.11983262002468111</v>
      </c>
      <c r="F88">
        <v>0.14593172073364261</v>
      </c>
      <c r="G88">
        <v>0.173193484544754</v>
      </c>
      <c r="H88">
        <v>0.19940897822380069</v>
      </c>
      <c r="I88">
        <v>0.22114971280097959</v>
      </c>
      <c r="J88">
        <v>0.2424083948135376</v>
      </c>
      <c r="K88">
        <v>0.26448199152946472</v>
      </c>
      <c r="L88">
        <v>0.28556531667709351</v>
      </c>
      <c r="M88">
        <v>0.30770117044448853</v>
      </c>
      <c r="N88">
        <v>0.32978767156600952</v>
      </c>
      <c r="O88">
        <v>0.35306635499000549</v>
      </c>
      <c r="P88">
        <v>0.37676513195037842</v>
      </c>
      <c r="Q88">
        <v>0.39970400929450989</v>
      </c>
      <c r="R88">
        <v>0.42260909080505371</v>
      </c>
      <c r="S88">
        <v>0.44601410627365112</v>
      </c>
      <c r="T88">
        <v>0.47185853123664862</v>
      </c>
      <c r="U88">
        <v>0.49950778484344482</v>
      </c>
      <c r="V88">
        <v>0.52955609560012817</v>
      </c>
      <c r="W88">
        <v>0.56185066699981689</v>
      </c>
      <c r="X88">
        <v>0.59497666358947754</v>
      </c>
      <c r="Y88">
        <v>0.62894797325134277</v>
      </c>
      <c r="Z88">
        <v>0.66345506906509399</v>
      </c>
      <c r="AA88">
        <v>0.69707900285720825</v>
      </c>
      <c r="AB88">
        <v>0.73172849416732788</v>
      </c>
      <c r="AC88">
        <v>9.5350174108518759E-2</v>
      </c>
      <c r="AG88" s="13"/>
    </row>
    <row r="89" spans="1:33" x14ac:dyDescent="0.45">
      <c r="A89" t="s">
        <v>383</v>
      </c>
      <c r="B89" t="s">
        <v>203</v>
      </c>
      <c r="C89">
        <v>0.15950858592987061</v>
      </c>
      <c r="D89">
        <v>0.1786766201257706</v>
      </c>
      <c r="E89">
        <v>0.1948061287403107</v>
      </c>
      <c r="F89">
        <v>0.20256760716438291</v>
      </c>
      <c r="G89">
        <v>0.20727863907814029</v>
      </c>
      <c r="H89">
        <v>0.21264529228210449</v>
      </c>
      <c r="I89">
        <v>0.2167929410934448</v>
      </c>
      <c r="J89">
        <v>0.22007113695144651</v>
      </c>
      <c r="K89">
        <v>0.22375722229480741</v>
      </c>
      <c r="L89">
        <v>0.22935956716537481</v>
      </c>
      <c r="M89">
        <v>0.23388862609863281</v>
      </c>
      <c r="N89">
        <v>0.23771291971206671</v>
      </c>
      <c r="O89">
        <v>0.24440619349479681</v>
      </c>
      <c r="P89">
        <v>0.25092688202857971</v>
      </c>
      <c r="Q89">
        <v>0.25883272290229797</v>
      </c>
      <c r="R89">
        <v>0.26564681529998779</v>
      </c>
      <c r="S89">
        <v>0.26932963728904719</v>
      </c>
      <c r="T89">
        <v>0.27484393119812012</v>
      </c>
      <c r="U89">
        <v>0.27782019972801208</v>
      </c>
      <c r="V89">
        <v>0.28117102384567261</v>
      </c>
      <c r="W89">
        <v>0.28390690684318542</v>
      </c>
      <c r="X89">
        <v>0.28815773129463201</v>
      </c>
      <c r="Y89">
        <v>0.29341936111450201</v>
      </c>
      <c r="Z89">
        <v>0.29877597093582148</v>
      </c>
      <c r="AA89">
        <v>0.30282855033874512</v>
      </c>
      <c r="AB89">
        <v>0.30805617570877081</v>
      </c>
      <c r="AC89">
        <v>2.667700303508402E-2</v>
      </c>
      <c r="AG89" s="13"/>
    </row>
    <row r="90" spans="1:33" x14ac:dyDescent="0.45">
      <c r="A90" t="s">
        <v>384</v>
      </c>
      <c r="B90" t="s">
        <v>228</v>
      </c>
      <c r="C90">
        <v>16.677473068237301</v>
      </c>
      <c r="D90">
        <v>17.090768814086911</v>
      </c>
      <c r="E90">
        <v>16.687185287475589</v>
      </c>
      <c r="F90">
        <v>16.54409027099609</v>
      </c>
      <c r="G90">
        <v>16.516519546508789</v>
      </c>
      <c r="H90">
        <v>16.467483520507809</v>
      </c>
      <c r="I90">
        <v>16.339809417724609</v>
      </c>
      <c r="J90">
        <v>16.320241928100589</v>
      </c>
      <c r="K90">
        <v>16.36507415771484</v>
      </c>
      <c r="L90">
        <v>16.376827239990231</v>
      </c>
      <c r="M90">
        <v>16.426177978515621</v>
      </c>
      <c r="N90">
        <v>16.491142272949219</v>
      </c>
      <c r="O90">
        <v>16.58682823181152</v>
      </c>
      <c r="P90">
        <v>16.699337005615231</v>
      </c>
      <c r="Q90">
        <v>16.794828414916989</v>
      </c>
      <c r="R90">
        <v>16.872283935546879</v>
      </c>
      <c r="S90">
        <v>16.957609176635739</v>
      </c>
      <c r="T90">
        <v>17.07327842712402</v>
      </c>
      <c r="U90">
        <v>17.202127456665039</v>
      </c>
      <c r="V90">
        <v>17.333005905151371</v>
      </c>
      <c r="W90">
        <v>17.4630126953125</v>
      </c>
      <c r="X90">
        <v>17.57798957824707</v>
      </c>
      <c r="Y90">
        <v>17.680362701416019</v>
      </c>
      <c r="Z90">
        <v>17.77092170715332</v>
      </c>
      <c r="AA90">
        <v>17.833881378173832</v>
      </c>
      <c r="AB90">
        <v>17.910993576049801</v>
      </c>
      <c r="AC90">
        <v>2.858309191881236E-3</v>
      </c>
      <c r="AG90" s="13"/>
    </row>
    <row r="91" spans="1:33" x14ac:dyDescent="0.45">
      <c r="AG91" s="13"/>
    </row>
    <row r="92" spans="1:33" x14ac:dyDescent="0.45">
      <c r="B92" t="s">
        <v>36</v>
      </c>
    </row>
    <row r="93" spans="1:33" x14ac:dyDescent="0.45">
      <c r="A93" t="s">
        <v>385</v>
      </c>
      <c r="B93" t="s">
        <v>386</v>
      </c>
      <c r="C93">
        <v>6.5495342016220093E-2</v>
      </c>
      <c r="D93">
        <v>6.3335344195365906E-2</v>
      </c>
      <c r="E93">
        <v>6.3611052930355072E-2</v>
      </c>
      <c r="F93">
        <v>6.2601976096630096E-2</v>
      </c>
      <c r="G93">
        <v>6.1895396560430527E-2</v>
      </c>
      <c r="H93">
        <v>6.1555970460176468E-2</v>
      </c>
      <c r="I93">
        <v>6.1000552028417587E-2</v>
      </c>
      <c r="J93">
        <v>5.9719327837228782E-2</v>
      </c>
      <c r="K93">
        <v>5.9399869292974472E-2</v>
      </c>
      <c r="L93">
        <v>5.9208467602729797E-2</v>
      </c>
      <c r="M93">
        <v>5.8635268360376358E-2</v>
      </c>
      <c r="N93">
        <v>5.8118700981140137E-2</v>
      </c>
      <c r="O93">
        <v>5.7820618152618408E-2</v>
      </c>
      <c r="P93">
        <v>5.7596802711486823E-2</v>
      </c>
      <c r="Q93">
        <v>5.7361405342817313E-2</v>
      </c>
      <c r="R93">
        <v>5.7212363928556442E-2</v>
      </c>
      <c r="S93">
        <v>5.6903231889009483E-2</v>
      </c>
      <c r="T93">
        <v>5.6644070893526077E-2</v>
      </c>
      <c r="U93">
        <v>5.6243952363729477E-2</v>
      </c>
      <c r="V93">
        <v>5.5781196802854538E-2</v>
      </c>
      <c r="W93">
        <v>5.5393330752849579E-2</v>
      </c>
      <c r="X93">
        <v>5.4973375052213669E-2</v>
      </c>
      <c r="Y93">
        <v>5.4612774401903152E-2</v>
      </c>
      <c r="Z93">
        <v>5.4244145750999451E-2</v>
      </c>
      <c r="AA93">
        <v>5.3924702107906342E-2</v>
      </c>
      <c r="AB93">
        <v>5.3518615663051612E-2</v>
      </c>
      <c r="AC93">
        <v>-8.0454398495303225E-3</v>
      </c>
      <c r="AG93" s="13"/>
    </row>
    <row r="94" spans="1:33" x14ac:dyDescent="0.45">
      <c r="A94" t="s">
        <v>387</v>
      </c>
      <c r="B94" t="s">
        <v>388</v>
      </c>
      <c r="C94">
        <v>0.15757319331169131</v>
      </c>
      <c r="D94">
        <v>0.17653824388980871</v>
      </c>
      <c r="E94">
        <v>0.1926458477973938</v>
      </c>
      <c r="F94">
        <v>0.2003890722990036</v>
      </c>
      <c r="G94">
        <v>0.2050669938325882</v>
      </c>
      <c r="H94">
        <v>0.21039468050003049</v>
      </c>
      <c r="I94">
        <v>0.21450857818126681</v>
      </c>
      <c r="J94">
        <v>0.21774961054325101</v>
      </c>
      <c r="K94">
        <v>0.22139823436737061</v>
      </c>
      <c r="L94">
        <v>0.2269328981637955</v>
      </c>
      <c r="M94">
        <v>0.2314201295375824</v>
      </c>
      <c r="N94">
        <v>0.2351967841386795</v>
      </c>
      <c r="O94">
        <v>0.24181878566741941</v>
      </c>
      <c r="P94">
        <v>0.24828812479972839</v>
      </c>
      <c r="Q94">
        <v>0.25614160299301147</v>
      </c>
      <c r="R94">
        <v>0.26291728019714361</v>
      </c>
      <c r="S94">
        <v>0.26657092571258539</v>
      </c>
      <c r="T94">
        <v>0.27200782299041748</v>
      </c>
      <c r="U94">
        <v>0.27494531869888311</v>
      </c>
      <c r="V94">
        <v>0.27825099229812622</v>
      </c>
      <c r="W94">
        <v>0.28095689415931702</v>
      </c>
      <c r="X94">
        <v>0.28517109155654907</v>
      </c>
      <c r="Y94">
        <v>0.29038175940513611</v>
      </c>
      <c r="Z94">
        <v>0.29569143056869512</v>
      </c>
      <c r="AA94">
        <v>0.29971441626548773</v>
      </c>
      <c r="AB94">
        <v>0.30489730834960938</v>
      </c>
      <c r="AC94">
        <v>2.675505613431484E-2</v>
      </c>
      <c r="AG94" s="13"/>
    </row>
    <row r="95" spans="1:33" x14ac:dyDescent="0.45">
      <c r="A95" t="s">
        <v>389</v>
      </c>
      <c r="B95" t="s">
        <v>390</v>
      </c>
      <c r="C95">
        <v>2.5242581032216549E-3</v>
      </c>
      <c r="D95">
        <v>2.5274485815316439E-3</v>
      </c>
      <c r="E95">
        <v>2.5326085742563009E-3</v>
      </c>
      <c r="F95">
        <v>2.533233724534512E-3</v>
      </c>
      <c r="G95">
        <v>2.535882405936718E-3</v>
      </c>
      <c r="H95">
        <v>2.540368121117353E-3</v>
      </c>
      <c r="I95">
        <v>2.5422528851777319E-3</v>
      </c>
      <c r="J95">
        <v>2.5453937705606222E-3</v>
      </c>
      <c r="K95">
        <v>2.5490603875368829E-3</v>
      </c>
      <c r="L95">
        <v>2.551554469391704E-3</v>
      </c>
      <c r="M95">
        <v>2.5528869591653351E-3</v>
      </c>
      <c r="N95">
        <v>2.5536359753459692E-3</v>
      </c>
      <c r="O95">
        <v>2.5551239959895611E-3</v>
      </c>
      <c r="P95">
        <v>2.556521445512772E-3</v>
      </c>
      <c r="Q95">
        <v>2.5584092363715172E-3</v>
      </c>
      <c r="R95">
        <v>2.5603929534554482E-3</v>
      </c>
      <c r="S95">
        <v>2.5611117016524081E-3</v>
      </c>
      <c r="T95">
        <v>2.5649594608694311E-3</v>
      </c>
      <c r="U95">
        <v>2.566458890214562E-3</v>
      </c>
      <c r="V95">
        <v>2.567789051681757E-3</v>
      </c>
      <c r="W95">
        <v>2.5683694984763861E-3</v>
      </c>
      <c r="X95">
        <v>2.5692624039947991E-3</v>
      </c>
      <c r="Y95">
        <v>2.5717106182128191E-3</v>
      </c>
      <c r="Z95">
        <v>2.5733232032507658E-3</v>
      </c>
      <c r="AA95">
        <v>2.5739751290529971E-3</v>
      </c>
      <c r="AB95">
        <v>2.5747127365320921E-3</v>
      </c>
      <c r="AC95">
        <v>7.9194423104467226E-4</v>
      </c>
      <c r="AG95" s="13"/>
    </row>
    <row r="96" spans="1:33" x14ac:dyDescent="0.45">
      <c r="A96" t="s">
        <v>391</v>
      </c>
      <c r="B96" t="s">
        <v>237</v>
      </c>
      <c r="C96">
        <v>0.2255927920341492</v>
      </c>
      <c r="D96">
        <v>0.24240103363990781</v>
      </c>
      <c r="E96">
        <v>0.25878950953483582</v>
      </c>
      <c r="F96">
        <v>0.26552426815032959</v>
      </c>
      <c r="G96">
        <v>0.26949825882911682</v>
      </c>
      <c r="H96">
        <v>0.27449104189872742</v>
      </c>
      <c r="I96">
        <v>0.27805137634277338</v>
      </c>
      <c r="J96">
        <v>0.28001433610916138</v>
      </c>
      <c r="K96">
        <v>0.28334715962409968</v>
      </c>
      <c r="L96">
        <v>0.28869292140007019</v>
      </c>
      <c r="M96">
        <v>0.29260829091072083</v>
      </c>
      <c r="N96">
        <v>0.29586911201477051</v>
      </c>
      <c r="O96">
        <v>0.30219453573226929</v>
      </c>
      <c r="P96">
        <v>0.30844146013259888</v>
      </c>
      <c r="Q96">
        <v>0.31606140732765198</v>
      </c>
      <c r="R96">
        <v>0.32269003987312322</v>
      </c>
      <c r="S96">
        <v>0.32603529095649719</v>
      </c>
      <c r="T96">
        <v>0.33121687173843378</v>
      </c>
      <c r="U96">
        <v>0.3337557315826416</v>
      </c>
      <c r="V96">
        <v>0.33659997582435608</v>
      </c>
      <c r="W96">
        <v>0.33891859650611877</v>
      </c>
      <c r="X96">
        <v>0.34271371364593511</v>
      </c>
      <c r="Y96">
        <v>0.34756624698638922</v>
      </c>
      <c r="Z96">
        <v>0.35250890254974371</v>
      </c>
      <c r="AA96">
        <v>0.35621309280395508</v>
      </c>
      <c r="AB96">
        <v>0.36099064350128168</v>
      </c>
      <c r="AC96">
        <v>1.8982742965093061E-2</v>
      </c>
      <c r="AG96" s="13"/>
    </row>
    <row r="97" spans="1:33" x14ac:dyDescent="0.45">
      <c r="AG97" s="13"/>
    </row>
    <row r="98" spans="1:33" x14ac:dyDescent="0.45">
      <c r="B98" t="s">
        <v>34</v>
      </c>
      <c r="AG98" s="13"/>
    </row>
    <row r="99" spans="1:33" x14ac:dyDescent="0.45">
      <c r="A99" t="s">
        <v>392</v>
      </c>
      <c r="B99" t="s">
        <v>239</v>
      </c>
      <c r="C99">
        <v>6045</v>
      </c>
      <c r="D99">
        <v>5873</v>
      </c>
      <c r="E99">
        <v>5850</v>
      </c>
      <c r="F99">
        <v>5826</v>
      </c>
      <c r="G99">
        <v>5803</v>
      </c>
      <c r="H99">
        <v>5779</v>
      </c>
      <c r="I99">
        <v>5755</v>
      </c>
      <c r="J99">
        <v>5732</v>
      </c>
      <c r="K99">
        <v>5708</v>
      </c>
      <c r="L99">
        <v>5684</v>
      </c>
      <c r="M99">
        <v>5661</v>
      </c>
      <c r="N99">
        <v>5637</v>
      </c>
      <c r="O99">
        <v>5613</v>
      </c>
      <c r="P99">
        <v>5589</v>
      </c>
      <c r="Q99">
        <v>5566</v>
      </c>
      <c r="R99">
        <v>5542</v>
      </c>
      <c r="S99">
        <v>5518</v>
      </c>
      <c r="T99">
        <v>5495</v>
      </c>
      <c r="U99">
        <v>5471</v>
      </c>
      <c r="V99">
        <v>5447</v>
      </c>
      <c r="W99">
        <v>5423</v>
      </c>
      <c r="X99">
        <v>5400</v>
      </c>
      <c r="Y99">
        <v>5376</v>
      </c>
      <c r="Z99">
        <v>5352</v>
      </c>
      <c r="AA99">
        <v>5328</v>
      </c>
      <c r="AB99">
        <v>5305</v>
      </c>
      <c r="AC99">
        <v>-5.2096509329098151E-3</v>
      </c>
      <c r="AG99" s="13"/>
    </row>
    <row r="100" spans="1:33" x14ac:dyDescent="0.45">
      <c r="A100" t="s">
        <v>393</v>
      </c>
      <c r="B100" t="s">
        <v>241</v>
      </c>
      <c r="C100">
        <v>5404</v>
      </c>
      <c r="D100">
        <v>5271</v>
      </c>
      <c r="E100">
        <v>5249</v>
      </c>
      <c r="F100">
        <v>5228</v>
      </c>
      <c r="G100">
        <v>5207</v>
      </c>
      <c r="H100">
        <v>5185</v>
      </c>
      <c r="I100">
        <v>5164</v>
      </c>
      <c r="J100">
        <v>5142</v>
      </c>
      <c r="K100">
        <v>5121</v>
      </c>
      <c r="L100">
        <v>5100</v>
      </c>
      <c r="M100">
        <v>5078</v>
      </c>
      <c r="N100">
        <v>5057</v>
      </c>
      <c r="O100">
        <v>5035</v>
      </c>
      <c r="P100">
        <v>5014</v>
      </c>
      <c r="Q100">
        <v>4993</v>
      </c>
      <c r="R100">
        <v>4971</v>
      </c>
      <c r="S100">
        <v>4950</v>
      </c>
      <c r="T100">
        <v>4929</v>
      </c>
      <c r="U100">
        <v>4907</v>
      </c>
      <c r="V100">
        <v>4886</v>
      </c>
      <c r="W100">
        <v>4865</v>
      </c>
      <c r="X100">
        <v>4843</v>
      </c>
      <c r="Y100">
        <v>4822</v>
      </c>
      <c r="Z100">
        <v>4801</v>
      </c>
      <c r="AA100">
        <v>4780</v>
      </c>
      <c r="AB100">
        <v>4758</v>
      </c>
      <c r="AC100">
        <v>-5.0795356335953112E-3</v>
      </c>
      <c r="AG100" s="13"/>
    </row>
    <row r="101" spans="1:33" x14ac:dyDescent="0.45">
      <c r="A101" t="s">
        <v>394</v>
      </c>
      <c r="B101" t="s">
        <v>243</v>
      </c>
      <c r="C101">
        <v>5984</v>
      </c>
      <c r="D101">
        <v>5836</v>
      </c>
      <c r="E101">
        <v>5817</v>
      </c>
      <c r="F101">
        <v>5798</v>
      </c>
      <c r="G101">
        <v>5779</v>
      </c>
      <c r="H101">
        <v>5760</v>
      </c>
      <c r="I101">
        <v>5741</v>
      </c>
      <c r="J101">
        <v>5722</v>
      </c>
      <c r="K101">
        <v>5703</v>
      </c>
      <c r="L101">
        <v>5683</v>
      </c>
      <c r="M101">
        <v>5664</v>
      </c>
      <c r="N101">
        <v>5645</v>
      </c>
      <c r="O101">
        <v>5626</v>
      </c>
      <c r="P101">
        <v>5607</v>
      </c>
      <c r="Q101">
        <v>5588</v>
      </c>
      <c r="R101">
        <v>5569</v>
      </c>
      <c r="S101">
        <v>5549</v>
      </c>
      <c r="T101">
        <v>5530</v>
      </c>
      <c r="U101">
        <v>5511</v>
      </c>
      <c r="V101">
        <v>5492</v>
      </c>
      <c r="W101">
        <v>5473</v>
      </c>
      <c r="X101">
        <v>5453</v>
      </c>
      <c r="Y101">
        <v>5434</v>
      </c>
      <c r="Z101">
        <v>5415</v>
      </c>
      <c r="AA101">
        <v>5396</v>
      </c>
      <c r="AB101">
        <v>5377</v>
      </c>
      <c r="AC101">
        <v>-4.2692066307929988E-3</v>
      </c>
      <c r="AG101" s="13"/>
    </row>
    <row r="102" spans="1:33" x14ac:dyDescent="0.45">
      <c r="A102" t="s">
        <v>395</v>
      </c>
      <c r="B102" t="s">
        <v>245</v>
      </c>
      <c r="C102">
        <v>6267</v>
      </c>
      <c r="D102">
        <v>6263</v>
      </c>
      <c r="E102">
        <v>6251</v>
      </c>
      <c r="F102">
        <v>6239</v>
      </c>
      <c r="G102">
        <v>6227</v>
      </c>
      <c r="H102">
        <v>6215</v>
      </c>
      <c r="I102">
        <v>6203</v>
      </c>
      <c r="J102">
        <v>6191</v>
      </c>
      <c r="K102">
        <v>6178</v>
      </c>
      <c r="L102">
        <v>6166</v>
      </c>
      <c r="M102">
        <v>6153</v>
      </c>
      <c r="N102">
        <v>6141</v>
      </c>
      <c r="O102">
        <v>6128</v>
      </c>
      <c r="P102">
        <v>6116</v>
      </c>
      <c r="Q102">
        <v>6103</v>
      </c>
      <c r="R102">
        <v>6091</v>
      </c>
      <c r="S102">
        <v>6078</v>
      </c>
      <c r="T102">
        <v>6066</v>
      </c>
      <c r="U102">
        <v>6053</v>
      </c>
      <c r="V102">
        <v>6040</v>
      </c>
      <c r="W102">
        <v>6028</v>
      </c>
      <c r="X102">
        <v>6015</v>
      </c>
      <c r="Y102">
        <v>6002</v>
      </c>
      <c r="Z102">
        <v>5990</v>
      </c>
      <c r="AA102">
        <v>5977</v>
      </c>
      <c r="AB102">
        <v>5964</v>
      </c>
      <c r="AC102">
        <v>-1.980291603725814E-3</v>
      </c>
      <c r="AG102" s="13"/>
    </row>
    <row r="103" spans="1:33" x14ac:dyDescent="0.45">
      <c r="A103" t="s">
        <v>396</v>
      </c>
      <c r="B103" t="s">
        <v>247</v>
      </c>
      <c r="C103">
        <v>2431</v>
      </c>
      <c r="D103">
        <v>2296</v>
      </c>
      <c r="E103">
        <v>2280</v>
      </c>
      <c r="F103">
        <v>2263</v>
      </c>
      <c r="G103">
        <v>2245</v>
      </c>
      <c r="H103">
        <v>2228</v>
      </c>
      <c r="I103">
        <v>2210</v>
      </c>
      <c r="J103">
        <v>2192</v>
      </c>
      <c r="K103">
        <v>2175</v>
      </c>
      <c r="L103">
        <v>2157</v>
      </c>
      <c r="M103">
        <v>2139</v>
      </c>
      <c r="N103">
        <v>2122</v>
      </c>
      <c r="O103">
        <v>2104</v>
      </c>
      <c r="P103">
        <v>2087</v>
      </c>
      <c r="Q103">
        <v>2069</v>
      </c>
      <c r="R103">
        <v>2052</v>
      </c>
      <c r="S103">
        <v>2034</v>
      </c>
      <c r="T103">
        <v>2017</v>
      </c>
      <c r="U103">
        <v>2000</v>
      </c>
      <c r="V103">
        <v>1982</v>
      </c>
      <c r="W103">
        <v>1965</v>
      </c>
      <c r="X103">
        <v>1948</v>
      </c>
      <c r="Y103">
        <v>1930</v>
      </c>
      <c r="Z103">
        <v>1913</v>
      </c>
      <c r="AA103">
        <v>1896</v>
      </c>
      <c r="AB103">
        <v>1879</v>
      </c>
      <c r="AC103">
        <v>-1.024962983363786E-2</v>
      </c>
    </row>
    <row r="104" spans="1:33" x14ac:dyDescent="0.45">
      <c r="A104" t="s">
        <v>397</v>
      </c>
      <c r="B104" t="s">
        <v>249</v>
      </c>
      <c r="C104">
        <v>3231</v>
      </c>
      <c r="D104">
        <v>3099</v>
      </c>
      <c r="E104">
        <v>3084</v>
      </c>
      <c r="F104">
        <v>3069</v>
      </c>
      <c r="G104">
        <v>3053</v>
      </c>
      <c r="H104">
        <v>3038</v>
      </c>
      <c r="I104">
        <v>3023</v>
      </c>
      <c r="J104">
        <v>3008</v>
      </c>
      <c r="K104">
        <v>2992</v>
      </c>
      <c r="L104">
        <v>2977</v>
      </c>
      <c r="M104">
        <v>2961</v>
      </c>
      <c r="N104">
        <v>2946</v>
      </c>
      <c r="O104">
        <v>2930</v>
      </c>
      <c r="P104">
        <v>2915</v>
      </c>
      <c r="Q104">
        <v>2900</v>
      </c>
      <c r="R104">
        <v>2884</v>
      </c>
      <c r="S104">
        <v>2869</v>
      </c>
      <c r="T104">
        <v>2853</v>
      </c>
      <c r="U104">
        <v>2838</v>
      </c>
      <c r="V104">
        <v>2822</v>
      </c>
      <c r="W104">
        <v>2807</v>
      </c>
      <c r="X104">
        <v>2791</v>
      </c>
      <c r="Y104">
        <v>2776</v>
      </c>
      <c r="Z104">
        <v>2760</v>
      </c>
      <c r="AA104">
        <v>2745</v>
      </c>
      <c r="AB104">
        <v>2730</v>
      </c>
      <c r="AC104">
        <v>-6.7169429162804439E-3</v>
      </c>
    </row>
    <row r="105" spans="1:33" x14ac:dyDescent="0.45">
      <c r="A105" t="s">
        <v>398</v>
      </c>
      <c r="B105" t="s">
        <v>251</v>
      </c>
      <c r="C105">
        <v>1966</v>
      </c>
      <c r="D105">
        <v>1889</v>
      </c>
      <c r="E105">
        <v>1880</v>
      </c>
      <c r="F105">
        <v>1870</v>
      </c>
      <c r="G105">
        <v>1860</v>
      </c>
      <c r="H105">
        <v>1851</v>
      </c>
      <c r="I105">
        <v>1841</v>
      </c>
      <c r="J105">
        <v>1831</v>
      </c>
      <c r="K105">
        <v>1822</v>
      </c>
      <c r="L105">
        <v>1812</v>
      </c>
      <c r="M105">
        <v>1803</v>
      </c>
      <c r="N105">
        <v>1793</v>
      </c>
      <c r="O105">
        <v>1784</v>
      </c>
      <c r="P105">
        <v>1774</v>
      </c>
      <c r="Q105">
        <v>1765</v>
      </c>
      <c r="R105">
        <v>1756</v>
      </c>
      <c r="S105">
        <v>1746</v>
      </c>
      <c r="T105">
        <v>1737</v>
      </c>
      <c r="U105">
        <v>1728</v>
      </c>
      <c r="V105">
        <v>1718</v>
      </c>
      <c r="W105">
        <v>1709</v>
      </c>
      <c r="X105">
        <v>1700</v>
      </c>
      <c r="Y105">
        <v>1690</v>
      </c>
      <c r="Z105">
        <v>1681</v>
      </c>
      <c r="AA105">
        <v>1672</v>
      </c>
      <c r="AB105">
        <v>1663</v>
      </c>
      <c r="AC105">
        <v>-6.6727505264080333E-3</v>
      </c>
    </row>
    <row r="106" spans="1:33" x14ac:dyDescent="0.45">
      <c r="A106" t="s">
        <v>399</v>
      </c>
      <c r="B106" t="s">
        <v>253</v>
      </c>
      <c r="C106">
        <v>4734</v>
      </c>
      <c r="D106">
        <v>4833</v>
      </c>
      <c r="E106">
        <v>4825</v>
      </c>
      <c r="F106">
        <v>4816</v>
      </c>
      <c r="G106">
        <v>4807</v>
      </c>
      <c r="H106">
        <v>4799</v>
      </c>
      <c r="I106">
        <v>4790</v>
      </c>
      <c r="J106">
        <v>4782</v>
      </c>
      <c r="K106">
        <v>4774</v>
      </c>
      <c r="L106">
        <v>4766</v>
      </c>
      <c r="M106">
        <v>4758</v>
      </c>
      <c r="N106">
        <v>4750</v>
      </c>
      <c r="O106">
        <v>4742</v>
      </c>
      <c r="P106">
        <v>4734</v>
      </c>
      <c r="Q106">
        <v>4726</v>
      </c>
      <c r="R106">
        <v>4718</v>
      </c>
      <c r="S106">
        <v>4710</v>
      </c>
      <c r="T106">
        <v>4702</v>
      </c>
      <c r="U106">
        <v>4694</v>
      </c>
      <c r="V106">
        <v>4687</v>
      </c>
      <c r="W106">
        <v>4679</v>
      </c>
      <c r="X106">
        <v>4671</v>
      </c>
      <c r="Y106">
        <v>4664</v>
      </c>
      <c r="Z106">
        <v>4656</v>
      </c>
      <c r="AA106">
        <v>4648</v>
      </c>
      <c r="AB106">
        <v>4641</v>
      </c>
      <c r="AC106">
        <v>-7.9331119546310891E-4</v>
      </c>
    </row>
    <row r="107" spans="1:33" x14ac:dyDescent="0.45">
      <c r="A107" t="s">
        <v>400</v>
      </c>
      <c r="B107" t="s">
        <v>255</v>
      </c>
      <c r="C107">
        <v>3251</v>
      </c>
      <c r="D107">
        <v>3291</v>
      </c>
      <c r="E107">
        <v>3285</v>
      </c>
      <c r="F107">
        <v>3279</v>
      </c>
      <c r="G107">
        <v>3272</v>
      </c>
      <c r="H107">
        <v>3266</v>
      </c>
      <c r="I107">
        <v>3259</v>
      </c>
      <c r="J107">
        <v>3252</v>
      </c>
      <c r="K107">
        <v>3245</v>
      </c>
      <c r="L107">
        <v>3238</v>
      </c>
      <c r="M107">
        <v>3231</v>
      </c>
      <c r="N107">
        <v>3224</v>
      </c>
      <c r="O107">
        <v>3216</v>
      </c>
      <c r="P107">
        <v>3209</v>
      </c>
      <c r="Q107">
        <v>3202</v>
      </c>
      <c r="R107">
        <v>3195</v>
      </c>
      <c r="S107">
        <v>3187</v>
      </c>
      <c r="T107">
        <v>3180</v>
      </c>
      <c r="U107">
        <v>3173</v>
      </c>
      <c r="V107">
        <v>3165</v>
      </c>
      <c r="W107">
        <v>3158</v>
      </c>
      <c r="X107">
        <v>3151</v>
      </c>
      <c r="Y107">
        <v>3143</v>
      </c>
      <c r="Z107">
        <v>3136</v>
      </c>
      <c r="AA107">
        <v>3129</v>
      </c>
      <c r="AB107">
        <v>3122</v>
      </c>
      <c r="AC107">
        <v>-1.61824200126981E-3</v>
      </c>
    </row>
    <row r="108" spans="1:33" x14ac:dyDescent="0.45">
      <c r="A108" t="s">
        <v>401</v>
      </c>
      <c r="B108" t="s">
        <v>257</v>
      </c>
      <c r="C108">
        <v>3989.572265625</v>
      </c>
      <c r="D108">
        <v>3910.10595703125</v>
      </c>
      <c r="E108">
        <v>3891.6015625</v>
      </c>
      <c r="F108">
        <v>3872.8251953125</v>
      </c>
      <c r="G108">
        <v>3853.715576171875</v>
      </c>
      <c r="H108">
        <v>3835.1279296875</v>
      </c>
      <c r="I108">
        <v>3816.111328125</v>
      </c>
      <c r="J108">
        <v>3797.1376953125</v>
      </c>
      <c r="K108">
        <v>3778.5009765625</v>
      </c>
      <c r="L108">
        <v>3759.552734375</v>
      </c>
      <c r="M108">
        <v>3740.7109375</v>
      </c>
      <c r="N108">
        <v>3722.160888671875</v>
      </c>
      <c r="O108">
        <v>3703.157470703125</v>
      </c>
      <c r="P108">
        <v>3684.65234375</v>
      </c>
      <c r="Q108">
        <v>3666.06494140625</v>
      </c>
      <c r="R108">
        <v>3647.55615234375</v>
      </c>
      <c r="S108">
        <v>3628.5244140625</v>
      </c>
      <c r="T108">
        <v>3610.19921875</v>
      </c>
      <c r="U108">
        <v>3591.732177734375</v>
      </c>
      <c r="V108">
        <v>3572.9052734375</v>
      </c>
      <c r="W108">
        <v>3554.652587890625</v>
      </c>
      <c r="X108">
        <v>3536.15771484375</v>
      </c>
      <c r="Y108">
        <v>3517.5849609375</v>
      </c>
      <c r="Z108">
        <v>3499.5966796875</v>
      </c>
      <c r="AA108">
        <v>3481.78857421875</v>
      </c>
      <c r="AB108">
        <v>3464.1162109375</v>
      </c>
      <c r="AC108">
        <v>-5.6331334759734952E-3</v>
      </c>
    </row>
    <row r="110" spans="1:33" x14ac:dyDescent="0.45">
      <c r="B110" t="s">
        <v>35</v>
      </c>
    </row>
    <row r="111" spans="1:33" x14ac:dyDescent="0.45">
      <c r="A111" t="s">
        <v>402</v>
      </c>
      <c r="B111" t="s">
        <v>239</v>
      </c>
      <c r="C111">
        <v>530</v>
      </c>
      <c r="D111">
        <v>626</v>
      </c>
      <c r="E111">
        <v>633</v>
      </c>
      <c r="F111">
        <v>640</v>
      </c>
      <c r="G111">
        <v>647</v>
      </c>
      <c r="H111">
        <v>654</v>
      </c>
      <c r="I111">
        <v>662</v>
      </c>
      <c r="J111">
        <v>669</v>
      </c>
      <c r="K111">
        <v>676</v>
      </c>
      <c r="L111">
        <v>683</v>
      </c>
      <c r="M111">
        <v>690</v>
      </c>
      <c r="N111">
        <v>697</v>
      </c>
      <c r="O111">
        <v>704</v>
      </c>
      <c r="P111">
        <v>712</v>
      </c>
      <c r="Q111">
        <v>719</v>
      </c>
      <c r="R111">
        <v>726</v>
      </c>
      <c r="S111">
        <v>733</v>
      </c>
      <c r="T111">
        <v>740</v>
      </c>
      <c r="U111">
        <v>747</v>
      </c>
      <c r="V111">
        <v>754</v>
      </c>
      <c r="W111">
        <v>761</v>
      </c>
      <c r="X111">
        <v>769</v>
      </c>
      <c r="Y111">
        <v>776</v>
      </c>
      <c r="Z111">
        <v>783</v>
      </c>
      <c r="AA111">
        <v>790</v>
      </c>
      <c r="AB111">
        <v>797</v>
      </c>
      <c r="AC111">
        <v>1.6452990811785199E-2</v>
      </c>
    </row>
    <row r="112" spans="1:33" x14ac:dyDescent="0.45">
      <c r="A112" t="s">
        <v>403</v>
      </c>
      <c r="B112" t="s">
        <v>241</v>
      </c>
      <c r="C112">
        <v>766</v>
      </c>
      <c r="D112">
        <v>858</v>
      </c>
      <c r="E112">
        <v>866</v>
      </c>
      <c r="F112">
        <v>874</v>
      </c>
      <c r="G112">
        <v>883</v>
      </c>
      <c r="H112">
        <v>891</v>
      </c>
      <c r="I112">
        <v>899</v>
      </c>
      <c r="J112">
        <v>907</v>
      </c>
      <c r="K112">
        <v>915</v>
      </c>
      <c r="L112">
        <v>923</v>
      </c>
      <c r="M112">
        <v>932</v>
      </c>
      <c r="N112">
        <v>940</v>
      </c>
      <c r="O112">
        <v>948</v>
      </c>
      <c r="P112">
        <v>956</v>
      </c>
      <c r="Q112">
        <v>964</v>
      </c>
      <c r="R112">
        <v>973</v>
      </c>
      <c r="S112">
        <v>981</v>
      </c>
      <c r="T112">
        <v>989</v>
      </c>
      <c r="U112">
        <v>997</v>
      </c>
      <c r="V112">
        <v>1005</v>
      </c>
      <c r="W112">
        <v>1014</v>
      </c>
      <c r="X112">
        <v>1022</v>
      </c>
      <c r="Y112">
        <v>1030</v>
      </c>
      <c r="Z112">
        <v>1038</v>
      </c>
      <c r="AA112">
        <v>1046</v>
      </c>
      <c r="AB112">
        <v>1055</v>
      </c>
      <c r="AC112">
        <v>1.2886884383320311E-2</v>
      </c>
    </row>
    <row r="113" spans="1:29" x14ac:dyDescent="0.45">
      <c r="A113" t="s">
        <v>404</v>
      </c>
      <c r="B113" t="s">
        <v>243</v>
      </c>
      <c r="C113">
        <v>873</v>
      </c>
      <c r="D113">
        <v>857</v>
      </c>
      <c r="E113">
        <v>862</v>
      </c>
      <c r="F113">
        <v>867</v>
      </c>
      <c r="G113">
        <v>871</v>
      </c>
      <c r="H113">
        <v>876</v>
      </c>
      <c r="I113">
        <v>881</v>
      </c>
      <c r="J113">
        <v>886</v>
      </c>
      <c r="K113">
        <v>890</v>
      </c>
      <c r="L113">
        <v>895</v>
      </c>
      <c r="M113">
        <v>900</v>
      </c>
      <c r="N113">
        <v>905</v>
      </c>
      <c r="O113">
        <v>909</v>
      </c>
      <c r="P113">
        <v>914</v>
      </c>
      <c r="Q113">
        <v>919</v>
      </c>
      <c r="R113">
        <v>924</v>
      </c>
      <c r="S113">
        <v>928</v>
      </c>
      <c r="T113">
        <v>933</v>
      </c>
      <c r="U113">
        <v>938</v>
      </c>
      <c r="V113">
        <v>943</v>
      </c>
      <c r="W113">
        <v>948</v>
      </c>
      <c r="X113">
        <v>952</v>
      </c>
      <c r="Y113">
        <v>957</v>
      </c>
      <c r="Z113">
        <v>962</v>
      </c>
      <c r="AA113">
        <v>967</v>
      </c>
      <c r="AB113">
        <v>972</v>
      </c>
      <c r="AC113">
        <v>4.3060544685959989E-3</v>
      </c>
    </row>
    <row r="114" spans="1:29" x14ac:dyDescent="0.45">
      <c r="A114" t="s">
        <v>405</v>
      </c>
      <c r="B114" t="s">
        <v>245</v>
      </c>
      <c r="C114">
        <v>1052</v>
      </c>
      <c r="D114">
        <v>1048</v>
      </c>
      <c r="E114">
        <v>1053</v>
      </c>
      <c r="F114">
        <v>1057</v>
      </c>
      <c r="G114">
        <v>1062</v>
      </c>
      <c r="H114">
        <v>1067</v>
      </c>
      <c r="I114">
        <v>1071</v>
      </c>
      <c r="J114">
        <v>1076</v>
      </c>
      <c r="K114">
        <v>1081</v>
      </c>
      <c r="L114">
        <v>1086</v>
      </c>
      <c r="M114">
        <v>1090</v>
      </c>
      <c r="N114">
        <v>1095</v>
      </c>
      <c r="O114">
        <v>1100</v>
      </c>
      <c r="P114">
        <v>1105</v>
      </c>
      <c r="Q114">
        <v>1109</v>
      </c>
      <c r="R114">
        <v>1114</v>
      </c>
      <c r="S114">
        <v>1119</v>
      </c>
      <c r="T114">
        <v>1124</v>
      </c>
      <c r="U114">
        <v>1129</v>
      </c>
      <c r="V114">
        <v>1133</v>
      </c>
      <c r="W114">
        <v>1138</v>
      </c>
      <c r="X114">
        <v>1143</v>
      </c>
      <c r="Y114">
        <v>1148</v>
      </c>
      <c r="Z114">
        <v>1153</v>
      </c>
      <c r="AA114">
        <v>1158</v>
      </c>
      <c r="AB114">
        <v>1162</v>
      </c>
      <c r="AC114">
        <v>3.9859044359582541E-3</v>
      </c>
    </row>
    <row r="115" spans="1:29" x14ac:dyDescent="0.45">
      <c r="A115" t="s">
        <v>406</v>
      </c>
      <c r="B115" t="s">
        <v>247</v>
      </c>
      <c r="C115">
        <v>2319</v>
      </c>
      <c r="D115">
        <v>2427</v>
      </c>
      <c r="E115">
        <v>2442</v>
      </c>
      <c r="F115">
        <v>2458</v>
      </c>
      <c r="G115">
        <v>2473</v>
      </c>
      <c r="H115">
        <v>2489</v>
      </c>
      <c r="I115">
        <v>2505</v>
      </c>
      <c r="J115">
        <v>2522</v>
      </c>
      <c r="K115">
        <v>2538</v>
      </c>
      <c r="L115">
        <v>2554</v>
      </c>
      <c r="M115">
        <v>2570</v>
      </c>
      <c r="N115">
        <v>2586</v>
      </c>
      <c r="O115">
        <v>2603</v>
      </c>
      <c r="P115">
        <v>2619</v>
      </c>
      <c r="Q115">
        <v>2635</v>
      </c>
      <c r="R115">
        <v>2652</v>
      </c>
      <c r="S115">
        <v>2668</v>
      </c>
      <c r="T115">
        <v>2684</v>
      </c>
      <c r="U115">
        <v>2701</v>
      </c>
      <c r="V115">
        <v>2717</v>
      </c>
      <c r="W115">
        <v>2734</v>
      </c>
      <c r="X115">
        <v>2750</v>
      </c>
      <c r="Y115">
        <v>2767</v>
      </c>
      <c r="Z115">
        <v>2783</v>
      </c>
      <c r="AA115">
        <v>2800</v>
      </c>
      <c r="AB115">
        <v>2816</v>
      </c>
      <c r="AC115">
        <v>7.7974985795448148E-3</v>
      </c>
    </row>
    <row r="116" spans="1:29" x14ac:dyDescent="0.45">
      <c r="A116" t="s">
        <v>407</v>
      </c>
      <c r="B116" t="s">
        <v>249</v>
      </c>
      <c r="C116">
        <v>1790</v>
      </c>
      <c r="D116">
        <v>1783</v>
      </c>
      <c r="E116">
        <v>1790</v>
      </c>
      <c r="F116">
        <v>1797</v>
      </c>
      <c r="G116">
        <v>1804</v>
      </c>
      <c r="H116">
        <v>1811</v>
      </c>
      <c r="I116">
        <v>1819</v>
      </c>
      <c r="J116">
        <v>1826</v>
      </c>
      <c r="K116">
        <v>1833</v>
      </c>
      <c r="L116">
        <v>1840</v>
      </c>
      <c r="M116">
        <v>1847</v>
      </c>
      <c r="N116">
        <v>1854</v>
      </c>
      <c r="O116">
        <v>1862</v>
      </c>
      <c r="P116">
        <v>1869</v>
      </c>
      <c r="Q116">
        <v>1876</v>
      </c>
      <c r="R116">
        <v>1883</v>
      </c>
      <c r="S116">
        <v>1890</v>
      </c>
      <c r="T116">
        <v>1898</v>
      </c>
      <c r="U116">
        <v>1905</v>
      </c>
      <c r="V116">
        <v>1912</v>
      </c>
      <c r="W116">
        <v>1919</v>
      </c>
      <c r="X116">
        <v>1926</v>
      </c>
      <c r="Y116">
        <v>1934</v>
      </c>
      <c r="Z116">
        <v>1941</v>
      </c>
      <c r="AA116">
        <v>1948</v>
      </c>
      <c r="AB116">
        <v>1955</v>
      </c>
      <c r="AC116">
        <v>3.533210066561487E-3</v>
      </c>
    </row>
    <row r="117" spans="1:29" x14ac:dyDescent="0.45">
      <c r="A117" t="s">
        <v>408</v>
      </c>
      <c r="B117" t="s">
        <v>251</v>
      </c>
      <c r="C117">
        <v>2916</v>
      </c>
      <c r="D117">
        <v>2946</v>
      </c>
      <c r="E117">
        <v>2961</v>
      </c>
      <c r="F117">
        <v>2976</v>
      </c>
      <c r="G117">
        <v>2990</v>
      </c>
      <c r="H117">
        <v>3005</v>
      </c>
      <c r="I117">
        <v>3020</v>
      </c>
      <c r="J117">
        <v>3035</v>
      </c>
      <c r="K117">
        <v>3049</v>
      </c>
      <c r="L117">
        <v>3064</v>
      </c>
      <c r="M117">
        <v>3079</v>
      </c>
      <c r="N117">
        <v>3093</v>
      </c>
      <c r="O117">
        <v>3108</v>
      </c>
      <c r="P117">
        <v>3123</v>
      </c>
      <c r="Q117">
        <v>3138</v>
      </c>
      <c r="R117">
        <v>3152</v>
      </c>
      <c r="S117">
        <v>3167</v>
      </c>
      <c r="T117">
        <v>3182</v>
      </c>
      <c r="U117">
        <v>3197</v>
      </c>
      <c r="V117">
        <v>3211</v>
      </c>
      <c r="W117">
        <v>3226</v>
      </c>
      <c r="X117">
        <v>3241</v>
      </c>
      <c r="Y117">
        <v>3255</v>
      </c>
      <c r="Z117">
        <v>3270</v>
      </c>
      <c r="AA117">
        <v>3285</v>
      </c>
      <c r="AB117">
        <v>3299</v>
      </c>
      <c r="AC117">
        <v>4.9484665423147334E-3</v>
      </c>
    </row>
    <row r="118" spans="1:29" x14ac:dyDescent="0.45">
      <c r="A118" t="s">
        <v>409</v>
      </c>
      <c r="B118" t="s">
        <v>253</v>
      </c>
      <c r="C118">
        <v>1515</v>
      </c>
      <c r="D118">
        <v>1608</v>
      </c>
      <c r="E118">
        <v>1617</v>
      </c>
      <c r="F118">
        <v>1627</v>
      </c>
      <c r="G118">
        <v>1636</v>
      </c>
      <c r="H118">
        <v>1645</v>
      </c>
      <c r="I118">
        <v>1655</v>
      </c>
      <c r="J118">
        <v>1664</v>
      </c>
      <c r="K118">
        <v>1673</v>
      </c>
      <c r="L118">
        <v>1682</v>
      </c>
      <c r="M118">
        <v>1691</v>
      </c>
      <c r="N118">
        <v>1701</v>
      </c>
      <c r="O118">
        <v>1710</v>
      </c>
      <c r="P118">
        <v>1719</v>
      </c>
      <c r="Q118">
        <v>1728</v>
      </c>
      <c r="R118">
        <v>1737</v>
      </c>
      <c r="S118">
        <v>1746</v>
      </c>
      <c r="T118">
        <v>1755</v>
      </c>
      <c r="U118">
        <v>1764</v>
      </c>
      <c r="V118">
        <v>1773</v>
      </c>
      <c r="W118">
        <v>1782</v>
      </c>
      <c r="X118">
        <v>1791</v>
      </c>
      <c r="Y118">
        <v>1800</v>
      </c>
      <c r="Z118">
        <v>1809</v>
      </c>
      <c r="AA118">
        <v>1818</v>
      </c>
      <c r="AB118">
        <v>1827</v>
      </c>
      <c r="AC118">
        <v>7.5185167090765503E-3</v>
      </c>
    </row>
    <row r="119" spans="1:29" x14ac:dyDescent="0.45">
      <c r="A119" t="s">
        <v>410</v>
      </c>
      <c r="B119" t="s">
        <v>255</v>
      </c>
      <c r="C119">
        <v>887</v>
      </c>
      <c r="D119">
        <v>1040</v>
      </c>
      <c r="E119">
        <v>1049</v>
      </c>
      <c r="F119">
        <v>1058</v>
      </c>
      <c r="G119">
        <v>1067</v>
      </c>
      <c r="H119">
        <v>1076</v>
      </c>
      <c r="I119">
        <v>1085</v>
      </c>
      <c r="J119">
        <v>1094</v>
      </c>
      <c r="K119">
        <v>1103</v>
      </c>
      <c r="L119">
        <v>1112</v>
      </c>
      <c r="M119">
        <v>1121</v>
      </c>
      <c r="N119">
        <v>1131</v>
      </c>
      <c r="O119">
        <v>1140</v>
      </c>
      <c r="P119">
        <v>1149</v>
      </c>
      <c r="Q119">
        <v>1158</v>
      </c>
      <c r="R119">
        <v>1167</v>
      </c>
      <c r="S119">
        <v>1177</v>
      </c>
      <c r="T119">
        <v>1186</v>
      </c>
      <c r="U119">
        <v>1195</v>
      </c>
      <c r="V119">
        <v>1204</v>
      </c>
      <c r="W119">
        <v>1213</v>
      </c>
      <c r="X119">
        <v>1223</v>
      </c>
      <c r="Y119">
        <v>1232</v>
      </c>
      <c r="Z119">
        <v>1241</v>
      </c>
      <c r="AA119">
        <v>1250</v>
      </c>
      <c r="AB119">
        <v>1259</v>
      </c>
      <c r="AC119">
        <v>1.4107709657196651E-2</v>
      </c>
    </row>
    <row r="120" spans="1:29" x14ac:dyDescent="0.45">
      <c r="A120" t="s">
        <v>411</v>
      </c>
      <c r="B120" t="s">
        <v>257</v>
      </c>
      <c r="C120">
        <v>1516.423583984375</v>
      </c>
      <c r="D120">
        <v>1589.852905273438</v>
      </c>
      <c r="E120">
        <v>1602.154052734375</v>
      </c>
      <c r="F120">
        <v>1614.68994140625</v>
      </c>
      <c r="G120">
        <v>1626.874267578125</v>
      </c>
      <c r="H120">
        <v>1639.42919921875</v>
      </c>
      <c r="I120">
        <v>1652.126586914062</v>
      </c>
      <c r="J120">
        <v>1664.94091796875</v>
      </c>
      <c r="K120">
        <v>1677.306884765625</v>
      </c>
      <c r="L120">
        <v>1689.963012695312</v>
      </c>
      <c r="M120">
        <v>1702.697631835938</v>
      </c>
      <c r="N120">
        <v>1715.52587890625</v>
      </c>
      <c r="O120">
        <v>1728.397705078125</v>
      </c>
      <c r="P120">
        <v>1741.199096679688</v>
      </c>
      <c r="Q120">
        <v>1753.922607421875</v>
      </c>
      <c r="R120">
        <v>1766.92138671875</v>
      </c>
      <c r="S120">
        <v>1779.796142578125</v>
      </c>
      <c r="T120">
        <v>1792.711669921875</v>
      </c>
      <c r="U120">
        <v>1805.81201171875</v>
      </c>
      <c r="V120">
        <v>1818.522705078125</v>
      </c>
      <c r="W120">
        <v>1831.7783203125</v>
      </c>
      <c r="X120">
        <v>1844.803100585938</v>
      </c>
      <c r="Y120">
        <v>1857.8740234375</v>
      </c>
      <c r="Z120">
        <v>1870.785278320312</v>
      </c>
      <c r="AA120">
        <v>1883.8203125</v>
      </c>
      <c r="AB120">
        <v>1896.469848632812</v>
      </c>
      <c r="AC120">
        <v>8.9857123444541109E-3</v>
      </c>
    </row>
    <row r="122" spans="1:29" x14ac:dyDescent="0.45">
      <c r="B122" t="s">
        <v>268</v>
      </c>
    </row>
    <row r="123" spans="1:29" x14ac:dyDescent="0.45">
      <c r="B123" t="s">
        <v>269</v>
      </c>
    </row>
    <row r="124" spans="1:29" x14ac:dyDescent="0.45">
      <c r="B124" t="s">
        <v>270</v>
      </c>
    </row>
    <row r="125" spans="1:29" x14ac:dyDescent="0.45">
      <c r="B125" t="s">
        <v>412</v>
      </c>
    </row>
    <row r="126" spans="1:29" x14ac:dyDescent="0.45">
      <c r="B126" t="s">
        <v>413</v>
      </c>
    </row>
    <row r="127" spans="1:29" x14ac:dyDescent="0.45">
      <c r="B127" t="s">
        <v>414</v>
      </c>
    </row>
    <row r="128" spans="1:29" x14ac:dyDescent="0.45">
      <c r="B128" t="s">
        <v>415</v>
      </c>
    </row>
    <row r="129" spans="2:2" x14ac:dyDescent="0.45">
      <c r="B129" t="s">
        <v>272</v>
      </c>
    </row>
    <row r="130" spans="2:2" x14ac:dyDescent="0.45">
      <c r="B130" t="s">
        <v>416</v>
      </c>
    </row>
    <row r="131" spans="2:2" x14ac:dyDescent="0.45">
      <c r="B131" t="s">
        <v>417</v>
      </c>
    </row>
    <row r="132" spans="2:2" x14ac:dyDescent="0.45">
      <c r="B132" t="s">
        <v>418</v>
      </c>
    </row>
    <row r="133" spans="2:2" x14ac:dyDescent="0.45">
      <c r="B133" t="s">
        <v>419</v>
      </c>
    </row>
    <row r="134" spans="2:2" x14ac:dyDescent="0.45">
      <c r="B134" t="s">
        <v>420</v>
      </c>
    </row>
    <row r="135" spans="2:2" x14ac:dyDescent="0.45">
      <c r="B135" t="s">
        <v>421</v>
      </c>
    </row>
    <row r="136" spans="2:2" x14ac:dyDescent="0.45">
      <c r="B136" t="s">
        <v>422</v>
      </c>
    </row>
    <row r="137" spans="2:2" x14ac:dyDescent="0.45">
      <c r="B137" t="s">
        <v>423</v>
      </c>
    </row>
    <row r="138" spans="2:2" x14ac:dyDescent="0.45">
      <c r="B138" t="s">
        <v>424</v>
      </c>
    </row>
    <row r="139" spans="2:2" x14ac:dyDescent="0.45">
      <c r="B139" t="s">
        <v>425</v>
      </c>
    </row>
    <row r="140" spans="2:2" x14ac:dyDescent="0.45">
      <c r="B140" t="s">
        <v>281</v>
      </c>
    </row>
    <row r="141" spans="2:2" x14ac:dyDescent="0.45">
      <c r="B141" t="s">
        <v>426</v>
      </c>
    </row>
    <row r="142" spans="2:2" x14ac:dyDescent="0.45">
      <c r="B142" t="s">
        <v>427</v>
      </c>
    </row>
    <row r="143" spans="2:2" x14ac:dyDescent="0.45">
      <c r="B143" t="s">
        <v>428</v>
      </c>
    </row>
    <row r="144" spans="2:2" x14ac:dyDescent="0.45">
      <c r="B144" t="s">
        <v>429</v>
      </c>
    </row>
    <row r="145" spans="2:2" x14ac:dyDescent="0.45">
      <c r="B145" t="s">
        <v>430</v>
      </c>
    </row>
    <row r="146" spans="2:2" x14ac:dyDescent="0.45">
      <c r="B146" t="s">
        <v>431</v>
      </c>
    </row>
    <row r="147" spans="2:2" x14ac:dyDescent="0.45">
      <c r="B147" t="s">
        <v>432</v>
      </c>
    </row>
    <row r="148" spans="2:2" x14ac:dyDescent="0.45">
      <c r="B148" t="s">
        <v>433</v>
      </c>
    </row>
    <row r="149" spans="2:2" x14ac:dyDescent="0.45">
      <c r="B149" t="s">
        <v>434</v>
      </c>
    </row>
    <row r="150" spans="2:2" x14ac:dyDescent="0.45">
      <c r="B150" t="s">
        <v>435</v>
      </c>
    </row>
    <row r="151" spans="2:2" x14ac:dyDescent="0.45">
      <c r="B151" t="s">
        <v>436</v>
      </c>
    </row>
    <row r="152" spans="2:2" x14ac:dyDescent="0.45">
      <c r="B152" t="s">
        <v>294</v>
      </c>
    </row>
    <row r="153" spans="2:2" x14ac:dyDescent="0.45">
      <c r="B153" t="s">
        <v>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workbookViewId="0">
      <selection activeCell="B2" sqref="B2"/>
    </sheetView>
  </sheetViews>
  <sheetFormatPr defaultRowHeight="14.25" x14ac:dyDescent="0.45"/>
  <cols>
    <col min="1" max="1" width="25" customWidth="1"/>
    <col min="2" max="2" width="43.53125" customWidth="1"/>
    <col min="3" max="3" width="22" customWidth="1"/>
    <col min="4" max="4" width="25.796875" customWidth="1"/>
    <col min="5" max="5" width="28.53125" customWidth="1"/>
    <col min="6" max="6" width="22" bestFit="1" customWidth="1"/>
  </cols>
  <sheetData>
    <row r="1" spans="1:6" x14ac:dyDescent="0.45">
      <c r="A1" s="1" t="s">
        <v>37</v>
      </c>
      <c r="B1" s="4" t="s">
        <v>38</v>
      </c>
      <c r="C1" s="4" t="s">
        <v>39</v>
      </c>
    </row>
    <row r="2" spans="1:6" x14ac:dyDescent="0.45">
      <c r="A2" s="1" t="s">
        <v>1</v>
      </c>
      <c r="B2" s="7">
        <f>-((1-F12/F13)*'AEO 2026 Table 4'!C75+(1-F19/F18)*'AEO 2026 Table 4'!C76)/SUM('AEO 2026 Table 4'!C75:C76)</f>
        <v>-0.66312031379175396</v>
      </c>
      <c r="C2" s="3" t="s">
        <v>40</v>
      </c>
    </row>
    <row r="3" spans="1:6" x14ac:dyDescent="0.45">
      <c r="A3" s="1" t="s">
        <v>2</v>
      </c>
      <c r="B3" s="8">
        <v>0</v>
      </c>
      <c r="C3" s="3" t="s">
        <v>41</v>
      </c>
    </row>
    <row r="4" spans="1:6" x14ac:dyDescent="0.45">
      <c r="A4" s="1" t="s">
        <v>3</v>
      </c>
      <c r="B4" s="8">
        <v>0</v>
      </c>
      <c r="C4" s="3" t="s">
        <v>42</v>
      </c>
    </row>
    <row r="5" spans="1:6" x14ac:dyDescent="0.45">
      <c r="A5" s="1" t="s">
        <v>4</v>
      </c>
      <c r="B5" s="8">
        <v>0</v>
      </c>
      <c r="C5" s="3" t="s">
        <v>41</v>
      </c>
    </row>
    <row r="6" spans="1:6" x14ac:dyDescent="0.45">
      <c r="A6" s="1" t="s">
        <v>5</v>
      </c>
      <c r="B6" s="7">
        <f>-(((1-F15/F14)*'AEO 2026 Table 4'!C77+(1-F17/F16)*'AEO 2026 Table 4'!C80)/SUM('AEO 2026 Table 4'!C77,'AEO 2026 Table 4'!C80)*SUM('AEO 2026 Table 4'!C77,'AEO 2026 Table 4'!C80)+((1-F21/F20)*'AEO 2026 Table 5'!C79+(1-F23/F22)*'AEO 2026 Table 5'!C81)*SUM('AEO 2026 Table 5'!C79,'AEO 2026 Table 5'!C81))/SUM('AEO 2026 Table 5'!C79,'AEO 2026 Table 5'!C81,'AEO 2026 Table 4'!C77,'AEO 2026 Table 4'!C80)</f>
        <v>-0.70642655804581533</v>
      </c>
      <c r="C6" s="3" t="s">
        <v>43</v>
      </c>
    </row>
    <row r="7" spans="1:6" x14ac:dyDescent="0.45">
      <c r="A7" s="1" t="s">
        <v>6</v>
      </c>
      <c r="B7" s="6">
        <f>B2</f>
        <v>-0.66312031379175396</v>
      </c>
      <c r="C7" s="3" t="s">
        <v>44</v>
      </c>
    </row>
    <row r="11" spans="1:6" x14ac:dyDescent="0.45">
      <c r="A11" t="s">
        <v>45</v>
      </c>
      <c r="B11" t="s">
        <v>46</v>
      </c>
      <c r="C11" t="s">
        <v>47</v>
      </c>
      <c r="D11" t="s">
        <v>48</v>
      </c>
      <c r="E11" t="s">
        <v>49</v>
      </c>
      <c r="F11" t="s">
        <v>50</v>
      </c>
    </row>
    <row r="12" spans="1:6" x14ac:dyDescent="0.45">
      <c r="A12" t="s">
        <v>51</v>
      </c>
      <c r="B12" t="s">
        <v>52</v>
      </c>
      <c r="C12" t="s">
        <v>32</v>
      </c>
      <c r="D12">
        <v>8.8000000000000007</v>
      </c>
      <c r="E12" t="s">
        <v>53</v>
      </c>
      <c r="F12" s="9">
        <f>1/(D12/B26)</f>
        <v>0.38774336704545448</v>
      </c>
    </row>
    <row r="13" spans="1:6" x14ac:dyDescent="0.45">
      <c r="A13" t="s">
        <v>51</v>
      </c>
      <c r="B13" t="s">
        <v>54</v>
      </c>
      <c r="C13" t="s">
        <v>33</v>
      </c>
      <c r="D13" s="10">
        <v>0.92</v>
      </c>
      <c r="E13" t="s">
        <v>55</v>
      </c>
      <c r="F13" s="9">
        <f t="shared" ref="F13:F23" si="0">1/D13</f>
        <v>1.0869565217391304</v>
      </c>
    </row>
    <row r="14" spans="1:6" x14ac:dyDescent="0.45">
      <c r="A14" t="s">
        <v>56</v>
      </c>
      <c r="B14" t="s">
        <v>57</v>
      </c>
      <c r="C14" t="s">
        <v>33</v>
      </c>
      <c r="D14" s="10">
        <v>0.63</v>
      </c>
      <c r="E14" t="s">
        <v>58</v>
      </c>
      <c r="F14" s="9">
        <f t="shared" si="0"/>
        <v>1.5873015873015872</v>
      </c>
    </row>
    <row r="15" spans="1:6" x14ac:dyDescent="0.45">
      <c r="A15" t="s">
        <v>56</v>
      </c>
      <c r="B15" t="s">
        <v>59</v>
      </c>
      <c r="C15" t="s">
        <v>32</v>
      </c>
      <c r="D15">
        <v>3.28</v>
      </c>
      <c r="E15" t="s">
        <v>58</v>
      </c>
      <c r="F15" s="9">
        <f t="shared" si="0"/>
        <v>0.3048780487804878</v>
      </c>
    </row>
    <row r="16" spans="1:6" x14ac:dyDescent="0.45">
      <c r="A16" t="s">
        <v>56</v>
      </c>
      <c r="B16" t="s">
        <v>60</v>
      </c>
      <c r="C16" t="s">
        <v>33</v>
      </c>
      <c r="D16">
        <v>3.32</v>
      </c>
      <c r="E16" t="s">
        <v>61</v>
      </c>
      <c r="F16" s="9">
        <f t="shared" si="0"/>
        <v>0.30120481927710846</v>
      </c>
    </row>
    <row r="17" spans="1:6" x14ac:dyDescent="0.45">
      <c r="A17" t="s">
        <v>56</v>
      </c>
      <c r="B17" t="s">
        <v>62</v>
      </c>
      <c r="C17" t="s">
        <v>32</v>
      </c>
      <c r="D17">
        <v>3.74</v>
      </c>
      <c r="E17" t="s">
        <v>61</v>
      </c>
      <c r="F17" s="9">
        <f t="shared" si="0"/>
        <v>0.26737967914438499</v>
      </c>
    </row>
    <row r="18" spans="1:6" x14ac:dyDescent="0.45">
      <c r="A18" t="s">
        <v>63</v>
      </c>
      <c r="B18" t="s">
        <v>54</v>
      </c>
      <c r="C18" t="s">
        <v>33</v>
      </c>
      <c r="D18" s="11">
        <v>0.81</v>
      </c>
      <c r="E18" t="s">
        <v>64</v>
      </c>
      <c r="F18" s="9">
        <f t="shared" si="0"/>
        <v>1.2345679012345678</v>
      </c>
    </row>
    <row r="19" spans="1:6" x14ac:dyDescent="0.45">
      <c r="A19" t="s">
        <v>63</v>
      </c>
      <c r="B19" t="s">
        <v>65</v>
      </c>
      <c r="C19" t="s">
        <v>32</v>
      </c>
      <c r="D19">
        <v>3.4</v>
      </c>
      <c r="E19" t="s">
        <v>66</v>
      </c>
      <c r="F19" s="9">
        <f t="shared" si="0"/>
        <v>0.29411764705882354</v>
      </c>
    </row>
    <row r="20" spans="1:6" x14ac:dyDescent="0.45">
      <c r="A20" t="s">
        <v>67</v>
      </c>
      <c r="B20" t="s">
        <v>57</v>
      </c>
      <c r="C20" t="s">
        <v>33</v>
      </c>
      <c r="D20" s="11">
        <v>0.82</v>
      </c>
      <c r="E20" t="s">
        <v>64</v>
      </c>
      <c r="F20" s="9">
        <f t="shared" si="0"/>
        <v>1.2195121951219512</v>
      </c>
    </row>
    <row r="21" spans="1:6" x14ac:dyDescent="0.45">
      <c r="A21" t="s">
        <v>67</v>
      </c>
      <c r="B21" t="s">
        <v>59</v>
      </c>
      <c r="C21" t="s">
        <v>32</v>
      </c>
      <c r="D21">
        <v>3.9</v>
      </c>
      <c r="E21" t="s">
        <v>66</v>
      </c>
      <c r="F21" s="9">
        <f t="shared" si="0"/>
        <v>0.25641025641025644</v>
      </c>
    </row>
    <row r="22" spans="1:6" x14ac:dyDescent="0.45">
      <c r="A22" t="s">
        <v>67</v>
      </c>
      <c r="B22" t="s">
        <v>68</v>
      </c>
      <c r="C22" t="s">
        <v>33</v>
      </c>
      <c r="D22" s="11">
        <f>AVERAGE(0.3,0.3,0.35)</f>
        <v>0.31666666666666665</v>
      </c>
      <c r="E22" t="s">
        <v>69</v>
      </c>
      <c r="F22" s="9">
        <f t="shared" si="0"/>
        <v>3.1578947368421053</v>
      </c>
    </row>
    <row r="23" spans="1:6" x14ac:dyDescent="0.45">
      <c r="A23" t="s">
        <v>67</v>
      </c>
      <c r="B23" t="s">
        <v>70</v>
      </c>
      <c r="C23" t="s">
        <v>32</v>
      </c>
      <c r="D23" s="10">
        <f>AVERAGE(0.7,0.65,0.75)</f>
        <v>0.70000000000000007</v>
      </c>
      <c r="E23" t="s">
        <v>69</v>
      </c>
      <c r="F23" s="9">
        <f t="shared" si="0"/>
        <v>1.4285714285714284</v>
      </c>
    </row>
    <row r="26" spans="1:6" x14ac:dyDescent="0.45">
      <c r="A26" t="s">
        <v>71</v>
      </c>
      <c r="B26">
        <v>3.4121416299999998</v>
      </c>
    </row>
    <row r="29" spans="1:6" x14ac:dyDescent="0.45">
      <c r="B29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B7"/>
  <sheetViews>
    <sheetView workbookViewId="0">
      <selection activeCell="B3" sqref="B3"/>
    </sheetView>
  </sheetViews>
  <sheetFormatPr defaultRowHeight="14.25" x14ac:dyDescent="0.45"/>
  <cols>
    <col min="1" max="1" width="22.19921875" customWidth="1"/>
    <col min="2" max="2" width="23.796875" customWidth="1"/>
  </cols>
  <sheetData>
    <row r="1" spans="1:2" ht="29.55" customHeight="1" x14ac:dyDescent="0.45">
      <c r="B1" s="12" t="s">
        <v>0</v>
      </c>
    </row>
    <row r="2" spans="1:2" x14ac:dyDescent="0.45">
      <c r="A2" t="s">
        <v>1</v>
      </c>
      <c r="B2" s="9">
        <f>-Calculations!B2</f>
        <v>0.66312031379175396</v>
      </c>
    </row>
    <row r="3" spans="1:2" x14ac:dyDescent="0.45">
      <c r="A3" t="s">
        <v>2</v>
      </c>
      <c r="B3" s="9">
        <f>-Calculations!B3</f>
        <v>0</v>
      </c>
    </row>
    <row r="4" spans="1:2" x14ac:dyDescent="0.45">
      <c r="A4" t="s">
        <v>3</v>
      </c>
      <c r="B4" s="9">
        <f>-Calculations!B4</f>
        <v>0</v>
      </c>
    </row>
    <row r="5" spans="1:2" x14ac:dyDescent="0.45">
      <c r="A5" t="s">
        <v>4</v>
      </c>
      <c r="B5" s="9">
        <f>-Calculations!B5</f>
        <v>0</v>
      </c>
    </row>
    <row r="6" spans="1:2" x14ac:dyDescent="0.45">
      <c r="A6" t="s">
        <v>5</v>
      </c>
      <c r="B6" s="9">
        <f>-Calculations!B6</f>
        <v>0.70642655804581533</v>
      </c>
    </row>
    <row r="7" spans="1:2" x14ac:dyDescent="0.45">
      <c r="A7" t="s">
        <v>6</v>
      </c>
      <c r="B7" s="9">
        <f>-Calculations!B7</f>
        <v>0.66312031379175396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AEO 2026 Table 4</vt:lpstr>
      <vt:lpstr>AEO 2026 Table 5</vt:lpstr>
      <vt:lpstr>Calculations</vt:lpstr>
      <vt:lpstr>PCFURfE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2015-04-08T04:41:36Z</dcterms:created>
  <dcterms:modified xsi:type="dcterms:W3CDTF">2026-04-23T19:05:42Z</dcterms:modified>
</cp:coreProperties>
</file>