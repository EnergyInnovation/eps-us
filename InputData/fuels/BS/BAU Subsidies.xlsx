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C:\Users\DanOBrien\Models\EPS\US\eps-us\InputData\fuels\BS\"/>
    </mc:Choice>
  </mc:AlternateContent>
  <xr:revisionPtr revIDLastSave="0" documentId="13_ncr:1_{DE0838F0-1F2C-490A-9193-D118FB11F77E}" xr6:coauthVersionLast="47" xr6:coauthVersionMax="47" xr10:uidLastSave="{00000000-0000-0000-0000-000000000000}"/>
  <bookViews>
    <workbookView xWindow="29970" yWindow="1170" windowWidth="24150" windowHeight="12900" tabRatio="813" xr2:uid="{00000000-000D-0000-FFFF-FFFF00000000}"/>
  </bookViews>
  <sheets>
    <sheet name="About" sheetId="1" r:id="rId1"/>
    <sheet name="45Y48E Credits" sheetId="2" r:id="rId2"/>
    <sheet name="Tax Credits" sheetId="3" r:id="rId3"/>
    <sheet name="Solar - Utility PV" sheetId="4" r:id="rId4"/>
    <sheet name="Land-Based Wind" sheetId="5" r:id="rId5"/>
    <sheet name="Subsidies Paid" sheetId="6" r:id="rId6"/>
    <sheet name="AEO 2022 Table 1" sheetId="7" r:id="rId7"/>
    <sheet name="AEO 2023 Table 1" sheetId="8" r:id="rId8"/>
    <sheet name="AEO 2025 Table 1" sheetId="9" r:id="rId9"/>
    <sheet name="AEO 2022 Table 8" sheetId="10" r:id="rId10"/>
    <sheet name="AEO 2023 Table 8" sheetId="11" r:id="rId11"/>
    <sheet name="AEO 2025 Table 8" sheetId="12" r:id="rId12"/>
    <sheet name="AEO 2022 Table 11" sheetId="13" r:id="rId13"/>
    <sheet name="AEO 2023 Table 11" sheetId="14" r:id="rId14"/>
    <sheet name="AEO 2025 Table 11" sheetId="15" r:id="rId15"/>
    <sheet name="AEO 2026 Table 1" sheetId="31" r:id="rId16"/>
    <sheet name="AEO 2026 Table 8" sheetId="32" r:id="rId17"/>
    <sheet name="AEO 2026 Table 11" sheetId="33" r:id="rId18"/>
    <sheet name="Calculations" sheetId="16" r:id="rId19"/>
    <sheet name="Wind PV Calcs" sheetId="17" r:id="rId20"/>
    <sheet name="Monetizing Tax Credit Penalty" sheetId="18" r:id="rId21"/>
    <sheet name="BS-BSfTFpEUP-transportation" sheetId="19" r:id="rId22"/>
    <sheet name="BS-BSfTFpEUP-electricity" sheetId="20" r:id="rId23"/>
    <sheet name="BS-BSfTFpEUP-res-bldgs" sheetId="21" r:id="rId24"/>
    <sheet name="BS-BSfTFpEUP-com-bldgs" sheetId="22" r:id="rId25"/>
    <sheet name="BS-BSfTFpEUP-industry" sheetId="23" r:id="rId26"/>
    <sheet name="BS-BSfTFpEUP-dist-heat-hydgn" sheetId="24" r:id="rId27"/>
    <sheet name="BS-BSfTFpEUP-geoeng" sheetId="25" r:id="rId28"/>
    <sheet name="BS-BSpUEO" sheetId="26" r:id="rId29"/>
    <sheet name="BS-BSpUEOfEP" sheetId="27" r:id="rId30"/>
    <sheet name="BS-BSpUECB" sheetId="28" r:id="rId31"/>
    <sheet name="BS-DoSpUEO" sheetId="29" r:id="rId32"/>
    <sheet name="JCT Table 1_Notes" sheetId="30" r:id="rId33"/>
  </sheets>
  <definedNames>
    <definedName name="dollars_2018_to_2012">#REF!</definedName>
    <definedName name="dollars_2020_2012">About!$A$85</definedName>
    <definedName name="dollars_2021_2012">#REF!</definedName>
    <definedName name="dollars_2022_2012">#REF!</definedName>
    <definedName name="lignite_multiplier">#REF!</definedName>
    <definedName name="nonlignite_multipli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3" i="28" l="1"/>
  <c r="R23" i="28"/>
  <c r="Q23" i="28"/>
  <c r="P23" i="28"/>
  <c r="O23" i="28"/>
  <c r="N23" i="28"/>
  <c r="M23" i="28"/>
  <c r="L23" i="28"/>
  <c r="K23" i="28"/>
  <c r="J23" i="28"/>
  <c r="I23" i="28"/>
  <c r="H23" i="28"/>
  <c r="G23" i="28"/>
  <c r="F23" i="28"/>
  <c r="E23" i="28"/>
  <c r="D23" i="28"/>
  <c r="C23" i="28"/>
  <c r="B23" i="28"/>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D173" i="2" s="1"/>
  <c r="C168" i="2"/>
  <c r="C173" i="2" s="1"/>
  <c r="B168" i="2"/>
  <c r="B173" i="2" s="1"/>
  <c r="D165" i="2"/>
  <c r="C165" i="2"/>
  <c r="B165" i="2"/>
  <c r="AC164" i="2"/>
  <c r="AB164" i="2"/>
  <c r="AA164" i="2"/>
  <c r="Z164" i="2"/>
  <c r="Y164" i="2"/>
  <c r="X164" i="2"/>
  <c r="W164" i="2"/>
  <c r="V164" i="2"/>
  <c r="U164" i="2"/>
  <c r="T164" i="2"/>
  <c r="S164" i="2"/>
  <c r="R164" i="2"/>
  <c r="Q164" i="2"/>
  <c r="P164" i="2"/>
  <c r="O164" i="2"/>
  <c r="N164" i="2"/>
  <c r="M164" i="2"/>
  <c r="L164" i="2"/>
  <c r="K164" i="2"/>
  <c r="J164" i="2"/>
  <c r="I164" i="2"/>
  <c r="H164" i="2"/>
  <c r="G164" i="2"/>
  <c r="F164" i="2"/>
  <c r="E164" i="2"/>
  <c r="AC172" i="2"/>
  <c r="AB172" i="2"/>
  <c r="AA172" i="2"/>
  <c r="Z172" i="2"/>
  <c r="Y172" i="2"/>
  <c r="X172" i="2"/>
  <c r="W172" i="2"/>
  <c r="V172" i="2"/>
  <c r="U172" i="2"/>
  <c r="T172" i="2"/>
  <c r="S172" i="2"/>
  <c r="R172" i="2"/>
  <c r="Q172" i="2"/>
  <c r="P172" i="2"/>
  <c r="O172" i="2"/>
  <c r="N172" i="2"/>
  <c r="M172" i="2"/>
  <c r="L172" i="2"/>
  <c r="K172" i="2"/>
  <c r="J172" i="2"/>
  <c r="I172" i="2"/>
  <c r="H172" i="2"/>
  <c r="G172" i="2"/>
  <c r="F172" i="2"/>
  <c r="E172" i="2"/>
  <c r="AB134" i="2"/>
  <c r="AB154" i="2" s="1"/>
  <c r="AA5" i="28" s="1"/>
  <c r="Q134" i="2"/>
  <c r="Q154" i="2" s="1"/>
  <c r="P5" i="28" s="1"/>
  <c r="P134" i="2"/>
  <c r="P154" i="2" s="1"/>
  <c r="O5" i="28" s="1"/>
  <c r="O134" i="2"/>
  <c r="O154" i="2" s="1"/>
  <c r="N5" i="28" s="1"/>
  <c r="N134" i="2"/>
  <c r="N154" i="2" s="1"/>
  <c r="M5" i="28" s="1"/>
  <c r="M134" i="2"/>
  <c r="M154" i="2" s="1"/>
  <c r="L5" i="28" s="1"/>
  <c r="L134" i="2"/>
  <c r="L154" i="2" s="1"/>
  <c r="K5" i="28" s="1"/>
  <c r="K134" i="2"/>
  <c r="K154" i="2" s="1"/>
  <c r="J5" i="28" s="1"/>
  <c r="J134" i="2"/>
  <c r="J154" i="2" s="1"/>
  <c r="I5" i="28" s="1"/>
  <c r="I134" i="2"/>
  <c r="I154" i="2" s="1"/>
  <c r="H5" i="28" s="1"/>
  <c r="H134" i="2"/>
  <c r="H154" i="2" s="1"/>
  <c r="G5" i="28" s="1"/>
  <c r="G134" i="2"/>
  <c r="G154" i="2" s="1"/>
  <c r="F5" i="28" s="1"/>
  <c r="F134" i="2"/>
  <c r="F154" i="2" s="1"/>
  <c r="E5" i="28" s="1"/>
  <c r="E134" i="2"/>
  <c r="E154" i="2" s="1"/>
  <c r="D5" i="28" s="1"/>
  <c r="M133" i="2"/>
  <c r="M153" i="2" s="1"/>
  <c r="L11" i="28" s="1"/>
  <c r="L133" i="2"/>
  <c r="L153" i="2" s="1"/>
  <c r="K11" i="28" s="1"/>
  <c r="K133" i="2"/>
  <c r="K153" i="2" s="1"/>
  <c r="J11" i="28" s="1"/>
  <c r="J133" i="2"/>
  <c r="J153" i="2" s="1"/>
  <c r="I11" i="28" s="1"/>
  <c r="I133" i="2"/>
  <c r="I153" i="2" s="1"/>
  <c r="H11" i="28" s="1"/>
  <c r="H133" i="2"/>
  <c r="H153" i="2" s="1"/>
  <c r="G11" i="28" s="1"/>
  <c r="G133" i="2"/>
  <c r="G153" i="2" s="1"/>
  <c r="F11" i="28" s="1"/>
  <c r="F133" i="2"/>
  <c r="F153" i="2" s="1"/>
  <c r="E11" i="28" s="1"/>
  <c r="E133" i="2"/>
  <c r="E153" i="2" s="1"/>
  <c r="D11" i="28" s="1"/>
  <c r="D133" i="2"/>
  <c r="C133" i="2"/>
  <c r="B133" i="2"/>
  <c r="K124" i="2"/>
  <c r="J5" i="27" s="1"/>
  <c r="J124" i="2"/>
  <c r="I5" i="27" s="1"/>
  <c r="I124" i="2"/>
  <c r="H5" i="27" s="1"/>
  <c r="H124" i="2"/>
  <c r="G5" i="27" s="1"/>
  <c r="G124" i="2"/>
  <c r="F5" i="27" s="1"/>
  <c r="F124" i="2"/>
  <c r="E5" i="27" s="1"/>
  <c r="E124" i="2"/>
  <c r="D5" i="27" s="1"/>
  <c r="D124" i="2"/>
  <c r="C5" i="27" s="1"/>
  <c r="C124" i="2"/>
  <c r="B5" i="27" s="1"/>
  <c r="B124"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C114" i="2"/>
  <c r="AC135" i="2" s="1"/>
  <c r="AC157" i="2" s="1"/>
  <c r="AB15" i="28" s="1"/>
  <c r="AB114" i="2"/>
  <c r="AB135" i="2" s="1"/>
  <c r="AB157" i="2" s="1"/>
  <c r="AA15" i="28" s="1"/>
  <c r="AA114" i="2"/>
  <c r="AA135" i="2" s="1"/>
  <c r="AA157" i="2" s="1"/>
  <c r="Z15" i="28" s="1"/>
  <c r="Z114" i="2"/>
  <c r="Z135" i="2" s="1"/>
  <c r="Z157" i="2" s="1"/>
  <c r="Y15" i="28" s="1"/>
  <c r="Y114" i="2"/>
  <c r="Y135" i="2" s="1"/>
  <c r="Y157" i="2" s="1"/>
  <c r="X15" i="28" s="1"/>
  <c r="X114" i="2"/>
  <c r="X135" i="2" s="1"/>
  <c r="X157" i="2" s="1"/>
  <c r="W15" i="28" s="1"/>
  <c r="W114" i="2"/>
  <c r="W135" i="2" s="1"/>
  <c r="W157" i="2" s="1"/>
  <c r="V15" i="28" s="1"/>
  <c r="V114" i="2"/>
  <c r="V135" i="2" s="1"/>
  <c r="V157" i="2" s="1"/>
  <c r="U15" i="28" s="1"/>
  <c r="U114" i="2"/>
  <c r="U135" i="2" s="1"/>
  <c r="U157" i="2" s="1"/>
  <c r="T15" i="28" s="1"/>
  <c r="T114" i="2"/>
  <c r="T135" i="2" s="1"/>
  <c r="T157" i="2" s="1"/>
  <c r="S15" i="28" s="1"/>
  <c r="S114" i="2"/>
  <c r="S135" i="2" s="1"/>
  <c r="S157" i="2" s="1"/>
  <c r="R15" i="28" s="1"/>
  <c r="R114" i="2"/>
  <c r="R135" i="2" s="1"/>
  <c r="R157" i="2" s="1"/>
  <c r="Q15" i="28" s="1"/>
  <c r="Q114" i="2"/>
  <c r="Q135" i="2" s="1"/>
  <c r="Q157" i="2" s="1"/>
  <c r="P15" i="28" s="1"/>
  <c r="P114" i="2"/>
  <c r="P135" i="2" s="1"/>
  <c r="P157" i="2" s="1"/>
  <c r="O15" i="28" s="1"/>
  <c r="O114" i="2"/>
  <c r="O135" i="2" s="1"/>
  <c r="O157" i="2" s="1"/>
  <c r="N15" i="28" s="1"/>
  <c r="N114" i="2"/>
  <c r="N135" i="2" s="1"/>
  <c r="N157" i="2" s="1"/>
  <c r="M15" i="28" s="1"/>
  <c r="M114" i="2"/>
  <c r="M135" i="2" s="1"/>
  <c r="M157" i="2" s="1"/>
  <c r="L15" i="28" s="1"/>
  <c r="L114" i="2"/>
  <c r="L135" i="2" s="1"/>
  <c r="L157" i="2" s="1"/>
  <c r="K15" i="28" s="1"/>
  <c r="K114" i="2"/>
  <c r="K135" i="2" s="1"/>
  <c r="K157" i="2" s="1"/>
  <c r="J15" i="28" s="1"/>
  <c r="J114" i="2"/>
  <c r="J135" i="2" s="1"/>
  <c r="J157" i="2" s="1"/>
  <c r="I15" i="28" s="1"/>
  <c r="I114" i="2"/>
  <c r="I135" i="2" s="1"/>
  <c r="I157" i="2" s="1"/>
  <c r="H15" i="28" s="1"/>
  <c r="H114" i="2"/>
  <c r="H135" i="2" s="1"/>
  <c r="H157" i="2" s="1"/>
  <c r="G15" i="28" s="1"/>
  <c r="G114" i="2"/>
  <c r="G135" i="2" s="1"/>
  <c r="G157" i="2" s="1"/>
  <c r="F15" i="28" s="1"/>
  <c r="F114" i="2"/>
  <c r="F135" i="2" s="1"/>
  <c r="F157" i="2" s="1"/>
  <c r="E15" i="28" s="1"/>
  <c r="E114" i="2"/>
  <c r="E135" i="2" s="1"/>
  <c r="E157" i="2" s="1"/>
  <c r="D15" i="28" s="1"/>
  <c r="D114" i="2"/>
  <c r="D135" i="2" s="1"/>
  <c r="D157" i="2" s="1"/>
  <c r="C15" i="28" s="1"/>
  <c r="C114" i="2"/>
  <c r="C135" i="2" s="1"/>
  <c r="C157" i="2" s="1"/>
  <c r="B15" i="28" s="1"/>
  <c r="B114" i="2"/>
  <c r="B135" i="2" s="1"/>
  <c r="B157" i="2" s="1"/>
  <c r="B102" i="2"/>
  <c r="B101" i="2"/>
  <c r="B72" i="2"/>
  <c r="H81" i="2" s="1"/>
  <c r="B71" i="2"/>
  <c r="B52" i="2"/>
  <c r="B48" i="2"/>
  <c r="AG17" i="2"/>
  <c r="AF17" i="2"/>
  <c r="AE17" i="2"/>
  <c r="AC133" i="2" s="1"/>
  <c r="AC153" i="2" s="1"/>
  <c r="AB11" i="28" s="1"/>
  <c r="AD17" i="2"/>
  <c r="AB133" i="2" s="1"/>
  <c r="AB153" i="2" s="1"/>
  <c r="AA11" i="28" s="1"/>
  <c r="AC17" i="2"/>
  <c r="AA133" i="2" s="1"/>
  <c r="AA153" i="2" s="1"/>
  <c r="Z11" i="28" s="1"/>
  <c r="AB17" i="2"/>
  <c r="Z133" i="2" s="1"/>
  <c r="Z153" i="2" s="1"/>
  <c r="Y11" i="28" s="1"/>
  <c r="AA17" i="2"/>
  <c r="Z17" i="2"/>
  <c r="X133" i="2" s="1"/>
  <c r="X153" i="2" s="1"/>
  <c r="W11" i="28" s="1"/>
  <c r="Y17" i="2"/>
  <c r="X17" i="2"/>
  <c r="W17" i="2"/>
  <c r="V17" i="2"/>
  <c r="U17" i="2"/>
  <c r="T17" i="2"/>
  <c r="S17" i="2"/>
  <c r="R17" i="2"/>
  <c r="Q17" i="2"/>
  <c r="P17" i="2"/>
  <c r="A8" i="2"/>
  <c r="H82" i="16"/>
  <c r="H77" i="16"/>
  <c r="H85" i="16" s="1"/>
  <c r="H93" i="16" s="1"/>
  <c r="H101" i="16" s="1"/>
  <c r="H75" i="16"/>
  <c r="I75" i="16"/>
  <c r="D51" i="16"/>
  <c r="G51" i="16"/>
  <c r="D50" i="16"/>
  <c r="H32" i="16"/>
  <c r="L21" i="30"/>
  <c r="K21" i="30"/>
  <c r="J21" i="30"/>
  <c r="I21" i="30"/>
  <c r="H21" i="30"/>
  <c r="L20" i="30"/>
  <c r="K20" i="30"/>
  <c r="J20" i="30"/>
  <c r="I20" i="30"/>
  <c r="H20" i="30"/>
  <c r="G17" i="30"/>
  <c r="F17" i="30"/>
  <c r="E17" i="30"/>
  <c r="D17" i="30"/>
  <c r="C17" i="30"/>
  <c r="G16" i="30"/>
  <c r="F16" i="30"/>
  <c r="E16" i="30"/>
  <c r="D16" i="30"/>
  <c r="C16" i="30"/>
  <c r="L13" i="30"/>
  <c r="K13" i="30"/>
  <c r="J13" i="30"/>
  <c r="I13" i="30"/>
  <c r="H13" i="30"/>
  <c r="G13" i="30"/>
  <c r="F13" i="30"/>
  <c r="E13" i="30"/>
  <c r="D13" i="30"/>
  <c r="C13" i="30"/>
  <c r="L11" i="30"/>
  <c r="K11" i="30"/>
  <c r="J11" i="30"/>
  <c r="I11" i="30"/>
  <c r="H11" i="30"/>
  <c r="G11" i="30"/>
  <c r="F11" i="30"/>
  <c r="E11" i="30"/>
  <c r="D11" i="30"/>
  <c r="C11" i="30"/>
  <c r="J9" i="30"/>
  <c r="I9" i="30"/>
  <c r="H9" i="30"/>
  <c r="G9" i="30"/>
  <c r="F9" i="30"/>
  <c r="E9" i="30"/>
  <c r="D9" i="30"/>
  <c r="C9" i="30"/>
  <c r="C17" i="28"/>
  <c r="B17" i="28"/>
  <c r="C16" i="28"/>
  <c r="B16" i="28"/>
  <c r="AB5" i="27"/>
  <c r="AA5" i="27"/>
  <c r="Z5" i="27"/>
  <c r="Y5" i="27"/>
  <c r="X5" i="27"/>
  <c r="W5" i="27"/>
  <c r="V5" i="27"/>
  <c r="U5" i="27"/>
  <c r="T5" i="27"/>
  <c r="S5" i="27"/>
  <c r="R5" i="27"/>
  <c r="Q5" i="27"/>
  <c r="P5" i="27"/>
  <c r="O5" i="27"/>
  <c r="N5" i="27"/>
  <c r="M5" i="27"/>
  <c r="L5" i="27"/>
  <c r="K5" i="27"/>
  <c r="J10" i="26"/>
  <c r="I10" i="26"/>
  <c r="H10" i="26"/>
  <c r="G10" i="26"/>
  <c r="F10" i="26"/>
  <c r="E10" i="26"/>
  <c r="D10" i="26"/>
  <c r="C10" i="26"/>
  <c r="B10" i="26"/>
  <c r="C8" i="26"/>
  <c r="B8" i="26"/>
  <c r="J6" i="26"/>
  <c r="I6" i="26"/>
  <c r="H6" i="26"/>
  <c r="G6" i="26"/>
  <c r="F6" i="26"/>
  <c r="E6" i="26"/>
  <c r="D6" i="26"/>
  <c r="C6" i="26"/>
  <c r="B6" i="26"/>
  <c r="A30" i="18"/>
  <c r="E107" i="16"/>
  <c r="E106" i="16"/>
  <c r="E109" i="16" s="1"/>
  <c r="F109" i="16" s="1"/>
  <c r="G109" i="16" s="1"/>
  <c r="H109" i="16" s="1"/>
  <c r="I109" i="16" s="1"/>
  <c r="J109" i="16" s="1"/>
  <c r="K109" i="16" s="1"/>
  <c r="L109" i="16" s="1"/>
  <c r="M109" i="16" s="1"/>
  <c r="N109" i="16" s="1"/>
  <c r="O109" i="16" s="1"/>
  <c r="P109" i="16" s="1"/>
  <c r="Q109" i="16" s="1"/>
  <c r="R109" i="16" s="1"/>
  <c r="S109" i="16" s="1"/>
  <c r="T109" i="16" s="1"/>
  <c r="U109" i="16" s="1"/>
  <c r="V109" i="16" s="1"/>
  <c r="W109" i="16" s="1"/>
  <c r="X109" i="16" s="1"/>
  <c r="Y109" i="16" s="1"/>
  <c r="Z109" i="16" s="1"/>
  <c r="AA109" i="16" s="1"/>
  <c r="AB109" i="16" s="1"/>
  <c r="AC109" i="16" s="1"/>
  <c r="AD109" i="16" s="1"/>
  <c r="AE109" i="16" s="1"/>
  <c r="AF109" i="16" s="1"/>
  <c r="AG109" i="16" s="1"/>
  <c r="AH109" i="16" s="1"/>
  <c r="E105" i="16"/>
  <c r="AE101" i="16"/>
  <c r="E101" i="16"/>
  <c r="W100" i="16"/>
  <c r="U100" i="16"/>
  <c r="N100" i="16"/>
  <c r="M100" i="16"/>
  <c r="AA99" i="16"/>
  <c r="Z99" i="16"/>
  <c r="X99" i="16"/>
  <c r="M99" i="16"/>
  <c r="AH98" i="16"/>
  <c r="AG98" i="16"/>
  <c r="AE98" i="16"/>
  <c r="AC98" i="16"/>
  <c r="AA98" i="16"/>
  <c r="Z98" i="16"/>
  <c r="Y98" i="16"/>
  <c r="X98" i="16"/>
  <c r="S98" i="16"/>
  <c r="Q98" i="16"/>
  <c r="M98" i="16"/>
  <c r="G98" i="16"/>
  <c r="D97" i="16"/>
  <c r="E97" i="16" s="1"/>
  <c r="C97" i="16"/>
  <c r="V93" i="16"/>
  <c r="V101" i="16" s="1"/>
  <c r="U93" i="16"/>
  <c r="U101" i="16" s="1"/>
  <c r="R93" i="16"/>
  <c r="R101" i="16" s="1"/>
  <c r="N93" i="16"/>
  <c r="N101" i="16" s="1"/>
  <c r="K93" i="16"/>
  <c r="K101" i="16" s="1"/>
  <c r="J93" i="16"/>
  <c r="J101" i="16" s="1"/>
  <c r="F93" i="16"/>
  <c r="F101" i="16" s="1"/>
  <c r="R92" i="16"/>
  <c r="R100" i="16" s="1"/>
  <c r="P92" i="16"/>
  <c r="P100" i="16" s="1"/>
  <c r="O92" i="16"/>
  <c r="O100" i="16" s="1"/>
  <c r="N92" i="16"/>
  <c r="C92" i="16"/>
  <c r="C100" i="16" s="1"/>
  <c r="AB91" i="16"/>
  <c r="AB99" i="16" s="1"/>
  <c r="Z91" i="16"/>
  <c r="Y91" i="16"/>
  <c r="Y99" i="16" s="1"/>
  <c r="R91" i="16"/>
  <c r="R99" i="16" s="1"/>
  <c r="Q91" i="16"/>
  <c r="Q99" i="16" s="1"/>
  <c r="M91" i="16"/>
  <c r="AF90" i="16"/>
  <c r="AF98" i="16" s="1"/>
  <c r="AE90" i="16"/>
  <c r="AD90" i="16"/>
  <c r="AD98" i="16" s="1"/>
  <c r="AC90" i="16"/>
  <c r="AB90" i="16"/>
  <c r="AB98" i="16" s="1"/>
  <c r="AA90" i="16"/>
  <c r="W90" i="16"/>
  <c r="W98" i="16" s="1"/>
  <c r="T90" i="16"/>
  <c r="T98" i="16" s="1"/>
  <c r="R90" i="16"/>
  <c r="R98" i="16" s="1"/>
  <c r="Q90" i="16"/>
  <c r="P90" i="16"/>
  <c r="P98" i="16" s="1"/>
  <c r="O90" i="16"/>
  <c r="O98" i="16" s="1"/>
  <c r="L90" i="16"/>
  <c r="L98" i="16" s="1"/>
  <c r="K90" i="16"/>
  <c r="K98" i="16" s="1"/>
  <c r="J90" i="16"/>
  <c r="J98" i="16" s="1"/>
  <c r="I90" i="16"/>
  <c r="I98" i="16" s="1"/>
  <c r="H90" i="16"/>
  <c r="H98" i="16" s="1"/>
  <c r="G90" i="16"/>
  <c r="D89" i="16"/>
  <c r="E89" i="16" s="1"/>
  <c r="C89" i="16"/>
  <c r="AF85" i="16"/>
  <c r="AF93" i="16" s="1"/>
  <c r="AF101" i="16" s="1"/>
  <c r="AE85" i="16"/>
  <c r="AE93" i="16" s="1"/>
  <c r="AD85" i="16"/>
  <c r="AD93" i="16" s="1"/>
  <c r="AD101" i="16" s="1"/>
  <c r="AC85" i="16"/>
  <c r="AC93" i="16" s="1"/>
  <c r="AC101" i="16" s="1"/>
  <c r="AB85" i="16"/>
  <c r="AB93" i="16" s="1"/>
  <c r="AB101" i="16" s="1"/>
  <c r="U85" i="16"/>
  <c r="N85" i="16"/>
  <c r="K85" i="16"/>
  <c r="J85" i="16"/>
  <c r="G85" i="16"/>
  <c r="G93" i="16" s="1"/>
  <c r="G101" i="16" s="1"/>
  <c r="F85" i="16"/>
  <c r="E85" i="16"/>
  <c r="E93" i="16" s="1"/>
  <c r="AD84" i="16"/>
  <c r="AD92" i="16" s="1"/>
  <c r="AD100" i="16" s="1"/>
  <c r="AC84" i="16"/>
  <c r="AC92" i="16" s="1"/>
  <c r="AC100" i="16" s="1"/>
  <c r="V84" i="16"/>
  <c r="V92" i="16" s="1"/>
  <c r="V100" i="16" s="1"/>
  <c r="U84" i="16"/>
  <c r="U92" i="16" s="1"/>
  <c r="O84" i="16"/>
  <c r="N84" i="16"/>
  <c r="H84" i="16"/>
  <c r="H92" i="16" s="1"/>
  <c r="H100" i="16" s="1"/>
  <c r="G84" i="16"/>
  <c r="G92" i="16" s="1"/>
  <c r="G100" i="16" s="1"/>
  <c r="C84" i="16"/>
  <c r="AH83" i="16"/>
  <c r="AH91" i="16" s="1"/>
  <c r="AH99" i="16" s="1"/>
  <c r="AG83" i="16"/>
  <c r="AG91" i="16" s="1"/>
  <c r="AG99" i="16" s="1"/>
  <c r="AE83" i="16"/>
  <c r="AE91" i="16" s="1"/>
  <c r="AE99" i="16" s="1"/>
  <c r="AD83" i="16"/>
  <c r="AD91" i="16" s="1"/>
  <c r="AD99" i="16" s="1"/>
  <c r="AC83" i="16"/>
  <c r="AC91" i="16" s="1"/>
  <c r="AC99" i="16" s="1"/>
  <c r="R83" i="16"/>
  <c r="Q83" i="16"/>
  <c r="F83" i="16"/>
  <c r="F91" i="16" s="1"/>
  <c r="F99" i="16" s="1"/>
  <c r="E83" i="16"/>
  <c r="E91" i="16" s="1"/>
  <c r="E99" i="16" s="1"/>
  <c r="AH82" i="16"/>
  <c r="AH90" i="16" s="1"/>
  <c r="AG82" i="16"/>
  <c r="AG90" i="16" s="1"/>
  <c r="AF82" i="16"/>
  <c r="AE82" i="16"/>
  <c r="AD82" i="16"/>
  <c r="AC82" i="16"/>
  <c r="AB82" i="16"/>
  <c r="AA82" i="16"/>
  <c r="Z82" i="16"/>
  <c r="Z90" i="16" s="1"/>
  <c r="Y82" i="16"/>
  <c r="Y90" i="16" s="1"/>
  <c r="X82" i="16"/>
  <c r="X90" i="16" s="1"/>
  <c r="W82" i="16"/>
  <c r="V82" i="16"/>
  <c r="V90" i="16" s="1"/>
  <c r="V98" i="16" s="1"/>
  <c r="U82" i="16"/>
  <c r="U90" i="16" s="1"/>
  <c r="U98" i="16" s="1"/>
  <c r="T82" i="16"/>
  <c r="S82" i="16"/>
  <c r="S90" i="16" s="1"/>
  <c r="R82" i="16"/>
  <c r="Q82" i="16"/>
  <c r="P82" i="16"/>
  <c r="O82" i="16"/>
  <c r="N82" i="16"/>
  <c r="N90" i="16" s="1"/>
  <c r="N98" i="16" s="1"/>
  <c r="M82" i="16"/>
  <c r="M90" i="16" s="1"/>
  <c r="L82" i="16"/>
  <c r="K82" i="16"/>
  <c r="J82" i="16"/>
  <c r="I82" i="16"/>
  <c r="G82" i="16"/>
  <c r="F82" i="16"/>
  <c r="F90" i="16" s="1"/>
  <c r="F98" i="16" s="1"/>
  <c r="E82" i="16"/>
  <c r="E90" i="16" s="1"/>
  <c r="E98" i="16" s="1"/>
  <c r="D81" i="16"/>
  <c r="E81" i="16" s="1"/>
  <c r="C81" i="16"/>
  <c r="AH77" i="16"/>
  <c r="AH85" i="16" s="1"/>
  <c r="AH93" i="16" s="1"/>
  <c r="AH101" i="16" s="1"/>
  <c r="AG77" i="16"/>
  <c r="AG85" i="16" s="1"/>
  <c r="AG93" i="16" s="1"/>
  <c r="AG101" i="16" s="1"/>
  <c r="AF77" i="16"/>
  <c r="AE77" i="16"/>
  <c r="AD77" i="16"/>
  <c r="AC77" i="16"/>
  <c r="AB77" i="16"/>
  <c r="AA77" i="16"/>
  <c r="AA85" i="16" s="1"/>
  <c r="AA93" i="16" s="1"/>
  <c r="AA101" i="16" s="1"/>
  <c r="Z77" i="16"/>
  <c r="Z85" i="16" s="1"/>
  <c r="Z93" i="16" s="1"/>
  <c r="Z101" i="16" s="1"/>
  <c r="Y77" i="16"/>
  <c r="Y85" i="16" s="1"/>
  <c r="Y93" i="16" s="1"/>
  <c r="Y101" i="16" s="1"/>
  <c r="X77" i="16"/>
  <c r="X85" i="16" s="1"/>
  <c r="X93" i="16" s="1"/>
  <c r="X101" i="16" s="1"/>
  <c r="W77" i="16"/>
  <c r="W85" i="16" s="1"/>
  <c r="W93" i="16" s="1"/>
  <c r="W101" i="16" s="1"/>
  <c r="V77" i="16"/>
  <c r="V85" i="16" s="1"/>
  <c r="U77" i="16"/>
  <c r="T77" i="16"/>
  <c r="T85" i="16" s="1"/>
  <c r="T93" i="16" s="1"/>
  <c r="T101" i="16" s="1"/>
  <c r="S77" i="16"/>
  <c r="S85" i="16" s="1"/>
  <c r="S93" i="16" s="1"/>
  <c r="S101" i="16" s="1"/>
  <c r="R77" i="16"/>
  <c r="R85" i="16" s="1"/>
  <c r="Q77" i="16"/>
  <c r="Q85" i="16" s="1"/>
  <c r="Q93" i="16" s="1"/>
  <c r="Q101" i="16" s="1"/>
  <c r="P77" i="16"/>
  <c r="P85" i="16" s="1"/>
  <c r="P93" i="16" s="1"/>
  <c r="P101" i="16" s="1"/>
  <c r="O77" i="16"/>
  <c r="O85" i="16" s="1"/>
  <c r="O93" i="16" s="1"/>
  <c r="O101" i="16" s="1"/>
  <c r="N77" i="16"/>
  <c r="M77" i="16"/>
  <c r="M85" i="16" s="1"/>
  <c r="M93" i="16" s="1"/>
  <c r="M101" i="16" s="1"/>
  <c r="L77" i="16"/>
  <c r="L85" i="16" s="1"/>
  <c r="L93" i="16" s="1"/>
  <c r="L101" i="16" s="1"/>
  <c r="K77" i="16"/>
  <c r="J77" i="16"/>
  <c r="I77" i="16"/>
  <c r="I85" i="16" s="1"/>
  <c r="I93" i="16" s="1"/>
  <c r="I101" i="16" s="1"/>
  <c r="G77" i="16"/>
  <c r="F77" i="16"/>
  <c r="E77" i="16"/>
  <c r="E108" i="16" s="1"/>
  <c r="AH76" i="16"/>
  <c r="AH84" i="16" s="1"/>
  <c r="AH92" i="16" s="1"/>
  <c r="AH100" i="16" s="1"/>
  <c r="AG76" i="16"/>
  <c r="AG84" i="16" s="1"/>
  <c r="AG92" i="16" s="1"/>
  <c r="AG100" i="16" s="1"/>
  <c r="AF76" i="16"/>
  <c r="AF84" i="16" s="1"/>
  <c r="AF92" i="16" s="1"/>
  <c r="AF100" i="16" s="1"/>
  <c r="AE76" i="16"/>
  <c r="AE84" i="16" s="1"/>
  <c r="AE92" i="16" s="1"/>
  <c r="AE100" i="16" s="1"/>
  <c r="AD76" i="16"/>
  <c r="AC76" i="16"/>
  <c r="AB76" i="16"/>
  <c r="AB84" i="16" s="1"/>
  <c r="AB92" i="16" s="1"/>
  <c r="AB100" i="16" s="1"/>
  <c r="AA76" i="16"/>
  <c r="AA84" i="16" s="1"/>
  <c r="AA92" i="16" s="1"/>
  <c r="AA100" i="16" s="1"/>
  <c r="Z76" i="16"/>
  <c r="Z84" i="16" s="1"/>
  <c r="Z92" i="16" s="1"/>
  <c r="Z100" i="16" s="1"/>
  <c r="Y76" i="16"/>
  <c r="Y84" i="16" s="1"/>
  <c r="Y92" i="16" s="1"/>
  <c r="Y100" i="16" s="1"/>
  <c r="X76" i="16"/>
  <c r="X84" i="16" s="1"/>
  <c r="X92" i="16" s="1"/>
  <c r="X100" i="16" s="1"/>
  <c r="W76" i="16"/>
  <c r="W84" i="16" s="1"/>
  <c r="W92" i="16" s="1"/>
  <c r="V76" i="16"/>
  <c r="U76" i="16"/>
  <c r="T76" i="16"/>
  <c r="T84" i="16" s="1"/>
  <c r="T92" i="16" s="1"/>
  <c r="T100" i="16" s="1"/>
  <c r="S76" i="16"/>
  <c r="S84" i="16" s="1"/>
  <c r="S92" i="16" s="1"/>
  <c r="S100" i="16" s="1"/>
  <c r="R76" i="16"/>
  <c r="R84" i="16" s="1"/>
  <c r="Q76" i="16"/>
  <c r="Q84" i="16" s="1"/>
  <c r="Q92" i="16" s="1"/>
  <c r="Q100" i="16" s="1"/>
  <c r="P76" i="16"/>
  <c r="P84" i="16" s="1"/>
  <c r="O76" i="16"/>
  <c r="N76" i="16"/>
  <c r="M76" i="16"/>
  <c r="M84" i="16" s="1"/>
  <c r="M92" i="16" s="1"/>
  <c r="L76" i="16"/>
  <c r="L84" i="16" s="1"/>
  <c r="L92" i="16" s="1"/>
  <c r="L100" i="16" s="1"/>
  <c r="K76" i="16"/>
  <c r="K84" i="16" s="1"/>
  <c r="K92" i="16" s="1"/>
  <c r="K100" i="16" s="1"/>
  <c r="J76" i="16"/>
  <c r="J84" i="16" s="1"/>
  <c r="J92" i="16" s="1"/>
  <c r="J100" i="16" s="1"/>
  <c r="I76" i="16"/>
  <c r="I84" i="16" s="1"/>
  <c r="I92" i="16" s="1"/>
  <c r="I100" i="16" s="1"/>
  <c r="H76" i="16"/>
  <c r="G76" i="16"/>
  <c r="F76" i="16"/>
  <c r="F84" i="16" s="1"/>
  <c r="F92" i="16" s="1"/>
  <c r="F100" i="16" s="1"/>
  <c r="E76" i="16"/>
  <c r="D76" i="16"/>
  <c r="D84" i="16" s="1"/>
  <c r="D92" i="16" s="1"/>
  <c r="D100" i="16" s="1"/>
  <c r="C76" i="16"/>
  <c r="AH75" i="16"/>
  <c r="AG75" i="16"/>
  <c r="AF75" i="16"/>
  <c r="AF83" i="16" s="1"/>
  <c r="AF91" i="16" s="1"/>
  <c r="AF99" i="16" s="1"/>
  <c r="AE75" i="16"/>
  <c r="AD75" i="16"/>
  <c r="AC75" i="16"/>
  <c r="AB75" i="16"/>
  <c r="AB83" i="16" s="1"/>
  <c r="AA75" i="16"/>
  <c r="AA83" i="16" s="1"/>
  <c r="AA91" i="16" s="1"/>
  <c r="Z75" i="16"/>
  <c r="Z83" i="16" s="1"/>
  <c r="Y75" i="16"/>
  <c r="Y83" i="16" s="1"/>
  <c r="X75" i="16"/>
  <c r="X83" i="16" s="1"/>
  <c r="X91" i="16" s="1"/>
  <c r="W75" i="16"/>
  <c r="W83" i="16" s="1"/>
  <c r="W91" i="16" s="1"/>
  <c r="W99" i="16" s="1"/>
  <c r="V75" i="16"/>
  <c r="V83" i="16" s="1"/>
  <c r="V91" i="16" s="1"/>
  <c r="V99" i="16" s="1"/>
  <c r="U75" i="16"/>
  <c r="U83" i="16" s="1"/>
  <c r="U91" i="16" s="1"/>
  <c r="U99" i="16" s="1"/>
  <c r="T75" i="16"/>
  <c r="T83" i="16" s="1"/>
  <c r="T91" i="16" s="1"/>
  <c r="T99" i="16" s="1"/>
  <c r="S75" i="16"/>
  <c r="S83" i="16" s="1"/>
  <c r="S91" i="16" s="1"/>
  <c r="S99" i="16" s="1"/>
  <c r="R75" i="16"/>
  <c r="Q75" i="16"/>
  <c r="P75" i="16"/>
  <c r="P83" i="16" s="1"/>
  <c r="P91" i="16" s="1"/>
  <c r="P99" i="16" s="1"/>
  <c r="O75" i="16"/>
  <c r="O83" i="16" s="1"/>
  <c r="O91" i="16" s="1"/>
  <c r="O99" i="16" s="1"/>
  <c r="N75" i="16"/>
  <c r="N83" i="16" s="1"/>
  <c r="N91" i="16" s="1"/>
  <c r="N99" i="16" s="1"/>
  <c r="M75" i="16"/>
  <c r="M83" i="16" s="1"/>
  <c r="L75" i="16"/>
  <c r="L83" i="16" s="1"/>
  <c r="L91" i="16" s="1"/>
  <c r="L99" i="16" s="1"/>
  <c r="K75" i="16"/>
  <c r="K83" i="16" s="1"/>
  <c r="K91" i="16" s="1"/>
  <c r="K99" i="16" s="1"/>
  <c r="J75" i="16"/>
  <c r="J83" i="16" s="1"/>
  <c r="J91" i="16" s="1"/>
  <c r="J99" i="16" s="1"/>
  <c r="I83" i="16"/>
  <c r="I91" i="16" s="1"/>
  <c r="I99" i="16" s="1"/>
  <c r="H83" i="16"/>
  <c r="H91" i="16" s="1"/>
  <c r="H99" i="16" s="1"/>
  <c r="G75" i="16"/>
  <c r="G83" i="16" s="1"/>
  <c r="G91" i="16" s="1"/>
  <c r="G99" i="16" s="1"/>
  <c r="F75" i="16"/>
  <c r="E75" i="16"/>
  <c r="D74" i="16"/>
  <c r="E74" i="16" s="1"/>
  <c r="F74" i="16" s="1"/>
  <c r="C74" i="16"/>
  <c r="AD68" i="16"/>
  <c r="E68" i="16"/>
  <c r="D68" i="16"/>
  <c r="D67" i="16"/>
  <c r="O63" i="16"/>
  <c r="F63" i="16"/>
  <c r="E63" i="16"/>
  <c r="D63" i="16"/>
  <c r="J62" i="16"/>
  <c r="I62" i="16"/>
  <c r="F62" i="16"/>
  <c r="E62" i="16"/>
  <c r="D62" i="16"/>
  <c r="E61" i="16"/>
  <c r="D61" i="16"/>
  <c r="E58" i="16"/>
  <c r="D58" i="16"/>
  <c r="AG57" i="16"/>
  <c r="AF57" i="16"/>
  <c r="AE57" i="16"/>
  <c r="AD57" i="16"/>
  <c r="AC57" i="16"/>
  <c r="AB57" i="16"/>
  <c r="AA57" i="16"/>
  <c r="AA69" i="16" s="1"/>
  <c r="Z57" i="16"/>
  <c r="Z69" i="16" s="1"/>
  <c r="Y57" i="16"/>
  <c r="Y69" i="16" s="1"/>
  <c r="X57" i="16"/>
  <c r="X69" i="16" s="1"/>
  <c r="W57" i="16"/>
  <c r="W69" i="16" s="1"/>
  <c r="V57" i="16"/>
  <c r="V69" i="16" s="1"/>
  <c r="U57" i="16"/>
  <c r="U69" i="16" s="1"/>
  <c r="T57" i="16"/>
  <c r="T69" i="16" s="1"/>
  <c r="S57" i="16"/>
  <c r="S63" i="16" s="1"/>
  <c r="R57" i="16"/>
  <c r="R63" i="16" s="1"/>
  <c r="Q57" i="16"/>
  <c r="Q63" i="16" s="1"/>
  <c r="P57" i="16"/>
  <c r="P63" i="16" s="1"/>
  <c r="O57" i="16"/>
  <c r="O69" i="16" s="1"/>
  <c r="N57" i="16"/>
  <c r="N63" i="16" s="1"/>
  <c r="M57" i="16"/>
  <c r="M63" i="16" s="1"/>
  <c r="L57" i="16"/>
  <c r="L63" i="16" s="1"/>
  <c r="K57" i="16"/>
  <c r="K63" i="16" s="1"/>
  <c r="J57" i="16"/>
  <c r="I57" i="16"/>
  <c r="H57" i="16"/>
  <c r="G57" i="16"/>
  <c r="G69" i="16" s="1"/>
  <c r="F57" i="16"/>
  <c r="F69" i="16" s="1"/>
  <c r="E57" i="16"/>
  <c r="E69" i="16" s="1"/>
  <c r="D57" i="16"/>
  <c r="D69" i="16" s="1"/>
  <c r="AG56" i="16"/>
  <c r="AG68" i="16" s="1"/>
  <c r="AF56" i="16"/>
  <c r="AF68" i="16" s="1"/>
  <c r="AE56" i="16"/>
  <c r="AE68" i="16" s="1"/>
  <c r="AD56" i="16"/>
  <c r="AD62" i="16" s="1"/>
  <c r="AC56" i="16"/>
  <c r="AC68" i="16" s="1"/>
  <c r="AB56" i="16"/>
  <c r="AB68" i="16" s="1"/>
  <c r="AA56" i="16"/>
  <c r="AA68" i="16" s="1"/>
  <c r="Z56" i="16"/>
  <c r="Z68" i="16" s="1"/>
  <c r="Y56" i="16"/>
  <c r="Y68" i="16" s="1"/>
  <c r="X56" i="16"/>
  <c r="W56" i="16"/>
  <c r="W62" i="16" s="1"/>
  <c r="V56" i="16"/>
  <c r="V68" i="16" s="1"/>
  <c r="U56" i="16"/>
  <c r="T56" i="16"/>
  <c r="T68" i="16" s="1"/>
  <c r="S56" i="16"/>
  <c r="R56" i="16"/>
  <c r="Q56" i="16"/>
  <c r="P56" i="16"/>
  <c r="O56" i="16"/>
  <c r="N56" i="16"/>
  <c r="M56" i="16"/>
  <c r="M68" i="16" s="1"/>
  <c r="L56" i="16"/>
  <c r="L68" i="16" s="1"/>
  <c r="K56" i="16"/>
  <c r="K68" i="16" s="1"/>
  <c r="J56" i="16"/>
  <c r="J68" i="16" s="1"/>
  <c r="I56" i="16"/>
  <c r="I68" i="16" s="1"/>
  <c r="H56" i="16"/>
  <c r="H68" i="16" s="1"/>
  <c r="G56" i="16"/>
  <c r="G68" i="16" s="1"/>
  <c r="F56" i="16"/>
  <c r="F68" i="16" s="1"/>
  <c r="E56" i="16"/>
  <c r="D56" i="16"/>
  <c r="I55" i="16"/>
  <c r="H55" i="16"/>
  <c r="G55" i="16"/>
  <c r="D55" i="16"/>
  <c r="E55" i="16" s="1"/>
  <c r="F55" i="16" s="1"/>
  <c r="D49" i="16"/>
  <c r="F46" i="16"/>
  <c r="E46" i="16"/>
  <c r="D46" i="16"/>
  <c r="AG45" i="16"/>
  <c r="AF45" i="16"/>
  <c r="AE45" i="16"/>
  <c r="AD45" i="16"/>
  <c r="AC45" i="16"/>
  <c r="AB45" i="16"/>
  <c r="AA45" i="16"/>
  <c r="Z45" i="16"/>
  <c r="Y45" i="16"/>
  <c r="X45" i="16"/>
  <c r="W45" i="16"/>
  <c r="V45" i="16"/>
  <c r="U45" i="16"/>
  <c r="T45" i="16"/>
  <c r="S45" i="16"/>
  <c r="R45" i="16"/>
  <c r="Q45" i="16"/>
  <c r="P45" i="16"/>
  <c r="O45" i="16"/>
  <c r="N45" i="16"/>
  <c r="M45" i="16"/>
  <c r="L45" i="16"/>
  <c r="K45" i="16"/>
  <c r="J45" i="16"/>
  <c r="I45" i="16"/>
  <c r="H45" i="16"/>
  <c r="G45" i="16"/>
  <c r="G46" i="16" s="1"/>
  <c r="F45" i="16"/>
  <c r="E45" i="16"/>
  <c r="D45" i="16"/>
  <c r="G44" i="16"/>
  <c r="H44" i="16" s="1"/>
  <c r="H46" i="16" s="1"/>
  <c r="F44" i="16"/>
  <c r="E44" i="16"/>
  <c r="D44" i="16"/>
  <c r="D39" i="16"/>
  <c r="AG38" i="16"/>
  <c r="AF38" i="16"/>
  <c r="AE38" i="16"/>
  <c r="AD38" i="16"/>
  <c r="AC38" i="16"/>
  <c r="AB38" i="16"/>
  <c r="AA38" i="16"/>
  <c r="Z38" i="16"/>
  <c r="Y38" i="16"/>
  <c r="X38" i="16"/>
  <c r="W38" i="16"/>
  <c r="V38" i="16"/>
  <c r="U38" i="16"/>
  <c r="T38" i="16"/>
  <c r="S38" i="16"/>
  <c r="R38" i="16"/>
  <c r="Q38" i="16"/>
  <c r="P38" i="16"/>
  <c r="O38" i="16"/>
  <c r="N38" i="16"/>
  <c r="M38" i="16"/>
  <c r="L38" i="16"/>
  <c r="K38" i="16"/>
  <c r="J38" i="16"/>
  <c r="I38" i="16"/>
  <c r="H38" i="16"/>
  <c r="G38" i="16"/>
  <c r="F38" i="16"/>
  <c r="F39" i="16" s="1"/>
  <c r="E38" i="16"/>
  <c r="E39" i="16" s="1"/>
  <c r="D38" i="16"/>
  <c r="M37" i="16"/>
  <c r="M39" i="16" s="1"/>
  <c r="L37" i="16"/>
  <c r="L39" i="16" s="1"/>
  <c r="K37" i="16"/>
  <c r="K39" i="16" s="1"/>
  <c r="J37" i="16"/>
  <c r="I37" i="16"/>
  <c r="I39" i="16" s="1"/>
  <c r="H37" i="16"/>
  <c r="H39" i="16" s="1"/>
  <c r="G37" i="16"/>
  <c r="G39" i="16" s="1"/>
  <c r="E37" i="16"/>
  <c r="D37" i="16"/>
  <c r="AG32" i="16"/>
  <c r="AF32" i="16"/>
  <c r="AE32" i="16"/>
  <c r="AD32" i="16"/>
  <c r="AC32" i="16"/>
  <c r="AB32" i="16"/>
  <c r="AA32" i="16"/>
  <c r="Z32" i="16"/>
  <c r="Y32" i="16"/>
  <c r="X32" i="16"/>
  <c r="W32" i="16"/>
  <c r="V32" i="16"/>
  <c r="U32" i="16"/>
  <c r="T32" i="16"/>
  <c r="S32" i="16"/>
  <c r="R32" i="16"/>
  <c r="Q32" i="16"/>
  <c r="P32" i="16"/>
  <c r="O32" i="16"/>
  <c r="N32" i="16"/>
  <c r="M32" i="16"/>
  <c r="L32" i="16"/>
  <c r="K32" i="16"/>
  <c r="J32" i="16"/>
  <c r="I32" i="16"/>
  <c r="G32" i="16"/>
  <c r="F32" i="16"/>
  <c r="E32" i="16"/>
  <c r="D32" i="16"/>
  <c r="D31" i="16"/>
  <c r="E31" i="16" s="1"/>
  <c r="F31" i="16" s="1"/>
  <c r="G31" i="16" s="1"/>
  <c r="H31" i="16" s="1"/>
  <c r="I31" i="16" s="1"/>
  <c r="J31" i="16" s="1"/>
  <c r="K31" i="16" s="1"/>
  <c r="L31" i="16" s="1"/>
  <c r="M31" i="16" s="1"/>
  <c r="N31" i="16" s="1"/>
  <c r="O31" i="16" s="1"/>
  <c r="P31" i="16" s="1"/>
  <c r="Q31" i="16" s="1"/>
  <c r="R31" i="16" s="1"/>
  <c r="S31" i="16" s="1"/>
  <c r="T31" i="16" s="1"/>
  <c r="U31" i="16" s="1"/>
  <c r="V31" i="16" s="1"/>
  <c r="W31" i="16" s="1"/>
  <c r="X31" i="16" s="1"/>
  <c r="Y31" i="16" s="1"/>
  <c r="Z31" i="16" s="1"/>
  <c r="AA31" i="16" s="1"/>
  <c r="AB31" i="16" s="1"/>
  <c r="AC31" i="16" s="1"/>
  <c r="AD31" i="16" s="1"/>
  <c r="AE31" i="16" s="1"/>
  <c r="AF31" i="16" s="1"/>
  <c r="AG31" i="16" s="1"/>
  <c r="AG27" i="16"/>
  <c r="AF27" i="16"/>
  <c r="AE27" i="16"/>
  <c r="AD27" i="16"/>
  <c r="AC27" i="16"/>
  <c r="AB27" i="16"/>
  <c r="AA27" i="16"/>
  <c r="Z27" i="16"/>
  <c r="Y27" i="16"/>
  <c r="X27" i="16"/>
  <c r="W27" i="16"/>
  <c r="V27" i="16"/>
  <c r="U27" i="16"/>
  <c r="T27" i="16"/>
  <c r="S27" i="16"/>
  <c r="R27" i="16"/>
  <c r="Q27" i="16"/>
  <c r="P27" i="16"/>
  <c r="O27" i="16"/>
  <c r="N27" i="16"/>
  <c r="M27" i="16"/>
  <c r="L27" i="16"/>
  <c r="K27" i="16"/>
  <c r="J27" i="16"/>
  <c r="I27" i="16"/>
  <c r="H27" i="16"/>
  <c r="G27" i="16"/>
  <c r="F27" i="16"/>
  <c r="AG21" i="16"/>
  <c r="AF21" i="16"/>
  <c r="AE21" i="16"/>
  <c r="AD21" i="16"/>
  <c r="AC21" i="16"/>
  <c r="AB21" i="16"/>
  <c r="AA21" i="16"/>
  <c r="Z21" i="16"/>
  <c r="Y21" i="16"/>
  <c r="X21" i="16"/>
  <c r="W21" i="16"/>
  <c r="V21" i="16"/>
  <c r="U21" i="16"/>
  <c r="T21" i="16"/>
  <c r="S21" i="16"/>
  <c r="R21" i="16"/>
  <c r="Q21" i="16"/>
  <c r="P21" i="16"/>
  <c r="O21" i="16"/>
  <c r="N21" i="16"/>
  <c r="M21" i="16"/>
  <c r="L21" i="16"/>
  <c r="K21" i="16"/>
  <c r="J21" i="16"/>
  <c r="I21" i="16"/>
  <c r="H21" i="16"/>
  <c r="G21" i="16"/>
  <c r="F21" i="16"/>
  <c r="AG14" i="16"/>
  <c r="AF14" i="16"/>
  <c r="AE14" i="16"/>
  <c r="AD14" i="16"/>
  <c r="AC14" i="16"/>
  <c r="AB14" i="16"/>
  <c r="AA14" i="16"/>
  <c r="Z14" i="16"/>
  <c r="Y14" i="16"/>
  <c r="X14" i="16"/>
  <c r="W14" i="16"/>
  <c r="V14" i="16"/>
  <c r="U14" i="16"/>
  <c r="T14" i="16"/>
  <c r="S14" i="16"/>
  <c r="R14" i="16"/>
  <c r="Q14" i="16"/>
  <c r="P14" i="16"/>
  <c r="O14" i="16"/>
  <c r="N14" i="16"/>
  <c r="M14" i="16"/>
  <c r="L14" i="16"/>
  <c r="K14" i="16"/>
  <c r="J14" i="16"/>
  <c r="I14" i="16"/>
  <c r="H14" i="16"/>
  <c r="G14" i="16"/>
  <c r="F14" i="16"/>
  <c r="AG7" i="16"/>
  <c r="AF7" i="16"/>
  <c r="AE7" i="16"/>
  <c r="AD7" i="16"/>
  <c r="AC7" i="16"/>
  <c r="AB7" i="16"/>
  <c r="AA7" i="16"/>
  <c r="Z7" i="16"/>
  <c r="Y7" i="16"/>
  <c r="X7" i="16"/>
  <c r="W7" i="16"/>
  <c r="V7" i="16"/>
  <c r="U7" i="16"/>
  <c r="T7" i="16"/>
  <c r="S7" i="16"/>
  <c r="R7" i="16"/>
  <c r="Q7" i="16"/>
  <c r="P7" i="16"/>
  <c r="O7" i="16"/>
  <c r="N7" i="16"/>
  <c r="M7" i="16"/>
  <c r="L7" i="16"/>
  <c r="K7" i="16"/>
  <c r="J7" i="16"/>
  <c r="I7" i="16"/>
  <c r="H7" i="16"/>
  <c r="G7" i="16"/>
  <c r="F7" i="16"/>
  <c r="I12" i="6"/>
  <c r="H12" i="6"/>
  <c r="G12" i="6"/>
  <c r="F12" i="6"/>
  <c r="M11" i="6"/>
  <c r="L11" i="6"/>
  <c r="I11" i="6"/>
  <c r="H11" i="6"/>
  <c r="G11" i="6"/>
  <c r="F11" i="6"/>
  <c r="N10" i="6"/>
  <c r="M10" i="6"/>
  <c r="L10" i="6"/>
  <c r="K10" i="6"/>
  <c r="K11" i="6" s="1"/>
  <c r="J10" i="6"/>
  <c r="J11" i="6" s="1"/>
  <c r="S7" i="6"/>
  <c r="R7" i="6"/>
  <c r="Q7" i="6"/>
  <c r="P7" i="6"/>
  <c r="F37" i="16" s="1"/>
  <c r="O7" i="6"/>
  <c r="D174" i="2" l="1"/>
  <c r="D175" i="2"/>
  <c r="C174" i="2"/>
  <c r="C175" i="2"/>
  <c r="B174" i="2"/>
  <c r="B175" i="2"/>
  <c r="D153" i="2"/>
  <c r="C11" i="28" s="1"/>
  <c r="D134" i="2"/>
  <c r="D154" i="2" s="1"/>
  <c r="C5" i="28" s="1"/>
  <c r="C153" i="2"/>
  <c r="B11" i="28" s="1"/>
  <c r="C134" i="2"/>
  <c r="C154" i="2" s="1"/>
  <c r="B5" i="28" s="1"/>
  <c r="B153" i="2"/>
  <c r="B134" i="2"/>
  <c r="B154" i="2" s="1"/>
  <c r="AC131" i="2"/>
  <c r="AC132" i="2"/>
  <c r="AC150" i="2" s="1"/>
  <c r="AB9" i="28" s="1"/>
  <c r="AB132" i="2"/>
  <c r="AB150" i="2" s="1"/>
  <c r="AA9" i="28" s="1"/>
  <c r="AB131" i="2"/>
  <c r="AA131" i="2"/>
  <c r="AA132" i="2"/>
  <c r="AA150" i="2" s="1"/>
  <c r="Z9" i="28" s="1"/>
  <c r="Z131" i="2"/>
  <c r="Z132" i="2"/>
  <c r="Z150" i="2" s="1"/>
  <c r="Y9" i="28" s="1"/>
  <c r="Y131" i="2"/>
  <c r="Y132" i="2"/>
  <c r="Y150" i="2" s="1"/>
  <c r="X9" i="28" s="1"/>
  <c r="X131" i="2"/>
  <c r="X132" i="2"/>
  <c r="X150" i="2" s="1"/>
  <c r="W9" i="28" s="1"/>
  <c r="W131" i="2"/>
  <c r="W132" i="2"/>
  <c r="W150" i="2" s="1"/>
  <c r="V9" i="28" s="1"/>
  <c r="V131" i="2"/>
  <c r="V132" i="2"/>
  <c r="V150" i="2" s="1"/>
  <c r="U9" i="28" s="1"/>
  <c r="U132" i="2"/>
  <c r="U150" i="2" s="1"/>
  <c r="T9" i="28" s="1"/>
  <c r="U131" i="2"/>
  <c r="T131" i="2"/>
  <c r="T132" i="2"/>
  <c r="T150" i="2" s="1"/>
  <c r="S9" i="28" s="1"/>
  <c r="S131" i="2"/>
  <c r="S132" i="2"/>
  <c r="S150" i="2" s="1"/>
  <c r="R9" i="28" s="1"/>
  <c r="R131" i="2"/>
  <c r="R132" i="2"/>
  <c r="R150" i="2" s="1"/>
  <c r="Q9" i="28" s="1"/>
  <c r="Q132" i="2"/>
  <c r="Q150" i="2" s="1"/>
  <c r="P9" i="28" s="1"/>
  <c r="Q131" i="2"/>
  <c r="P132" i="2"/>
  <c r="P150" i="2" s="1"/>
  <c r="O9" i="28" s="1"/>
  <c r="P131" i="2"/>
  <c r="O131" i="2"/>
  <c r="O132" i="2"/>
  <c r="O150" i="2" s="1"/>
  <c r="N9" i="28" s="1"/>
  <c r="N131" i="2"/>
  <c r="N132" i="2"/>
  <c r="N150" i="2" s="1"/>
  <c r="M9" i="28" s="1"/>
  <c r="M132" i="2"/>
  <c r="M150" i="2" s="1"/>
  <c r="L9" i="28" s="1"/>
  <c r="M131" i="2"/>
  <c r="L132" i="2"/>
  <c r="L150" i="2" s="1"/>
  <c r="K9" i="28" s="1"/>
  <c r="L131" i="2"/>
  <c r="K131" i="2"/>
  <c r="K132" i="2"/>
  <c r="K150" i="2" s="1"/>
  <c r="J9" i="28" s="1"/>
  <c r="J131" i="2"/>
  <c r="J132" i="2"/>
  <c r="J150" i="2" s="1"/>
  <c r="I9" i="28" s="1"/>
  <c r="I132" i="2"/>
  <c r="I150" i="2" s="1"/>
  <c r="H9" i="28" s="1"/>
  <c r="I131" i="2"/>
  <c r="H132" i="2"/>
  <c r="H150" i="2" s="1"/>
  <c r="G9" i="28" s="1"/>
  <c r="H131" i="2"/>
  <c r="G131" i="2"/>
  <c r="G132" i="2"/>
  <c r="G150" i="2" s="1"/>
  <c r="F9" i="28" s="1"/>
  <c r="F132" i="2"/>
  <c r="F150" i="2" s="1"/>
  <c r="E9" i="28" s="1"/>
  <c r="F131" i="2"/>
  <c r="E132" i="2"/>
  <c r="E150" i="2" s="1"/>
  <c r="D9" i="28" s="1"/>
  <c r="E131" i="2"/>
  <c r="D131" i="2"/>
  <c r="D132" i="2"/>
  <c r="D150" i="2" s="1"/>
  <c r="C9" i="28" s="1"/>
  <c r="C131" i="2"/>
  <c r="C132" i="2"/>
  <c r="C150" i="2" s="1"/>
  <c r="B9" i="28" s="1"/>
  <c r="B131" i="2"/>
  <c r="B132" i="2"/>
  <c r="B150" i="2" s="1"/>
  <c r="AC119" i="2"/>
  <c r="AB7" i="26" s="1"/>
  <c r="AB119" i="2"/>
  <c r="AA7" i="26" s="1"/>
  <c r="AA119" i="2"/>
  <c r="Z7" i="26" s="1"/>
  <c r="Z119" i="2"/>
  <c r="Y7" i="26" s="1"/>
  <c r="Y119" i="2"/>
  <c r="X7" i="26" s="1"/>
  <c r="X119" i="2"/>
  <c r="W7" i="26" s="1"/>
  <c r="W119" i="2"/>
  <c r="V7" i="26" s="1"/>
  <c r="U119" i="2"/>
  <c r="T7" i="26" s="1"/>
  <c r="T119" i="2"/>
  <c r="S7" i="26" s="1"/>
  <c r="S119" i="2"/>
  <c r="R7" i="26" s="1"/>
  <c r="R119" i="2"/>
  <c r="Q7" i="26" s="1"/>
  <c r="Q119" i="2"/>
  <c r="P7" i="26" s="1"/>
  <c r="P119" i="2"/>
  <c r="O7" i="26" s="1"/>
  <c r="O119" i="2"/>
  <c r="N7" i="26" s="1"/>
  <c r="N119" i="2"/>
  <c r="M7" i="26" s="1"/>
  <c r="M119" i="2"/>
  <c r="L7" i="26" s="1"/>
  <c r="L119" i="2"/>
  <c r="K7" i="26" s="1"/>
  <c r="K119" i="2"/>
  <c r="J7" i="26" s="1"/>
  <c r="J119" i="2"/>
  <c r="I7" i="26" s="1"/>
  <c r="I119" i="2"/>
  <c r="H7" i="26" s="1"/>
  <c r="H119" i="2"/>
  <c r="G7" i="26" s="1"/>
  <c r="G119" i="2"/>
  <c r="F7" i="26" s="1"/>
  <c r="F119" i="2"/>
  <c r="E7" i="26" s="1"/>
  <c r="E119" i="2"/>
  <c r="D7" i="26" s="1"/>
  <c r="D119" i="2"/>
  <c r="C7" i="26" s="1"/>
  <c r="C119" i="2"/>
  <c r="B7" i="26" s="1"/>
  <c r="B119" i="2"/>
  <c r="V119" i="2"/>
  <c r="U7" i="26" s="1"/>
  <c r="M81" i="2"/>
  <c r="M82" i="2" s="1"/>
  <c r="L121" i="2" s="1"/>
  <c r="L165" i="2" s="1"/>
  <c r="L173" i="2" s="1"/>
  <c r="T81" i="2"/>
  <c r="T82" i="2" s="1"/>
  <c r="S121" i="2" s="1"/>
  <c r="S165" i="2" s="1"/>
  <c r="S173" i="2" s="1"/>
  <c r="X81" i="2"/>
  <c r="X82" i="2" s="1"/>
  <c r="W121" i="2" s="1"/>
  <c r="W165" i="2" s="1"/>
  <c r="W173" i="2" s="1"/>
  <c r="AC81" i="2"/>
  <c r="AC82" i="2" s="1"/>
  <c r="AB121" i="2" s="1"/>
  <c r="AB165" i="2" s="1"/>
  <c r="AB173" i="2" s="1"/>
  <c r="V81" i="2"/>
  <c r="V82" i="2" s="1"/>
  <c r="U121" i="2" s="1"/>
  <c r="U165" i="2" s="1"/>
  <c r="U173" i="2" s="1"/>
  <c r="L81" i="2"/>
  <c r="L82" i="2" s="1"/>
  <c r="K121" i="2" s="1"/>
  <c r="K165" i="2" s="1"/>
  <c r="K173" i="2" s="1"/>
  <c r="U81" i="2"/>
  <c r="U82" i="2" s="1"/>
  <c r="T121" i="2" s="1"/>
  <c r="T165" i="2" s="1"/>
  <c r="T173" i="2" s="1"/>
  <c r="Z81" i="2"/>
  <c r="Z82" i="2" s="1"/>
  <c r="Y121" i="2" s="1"/>
  <c r="Y165" i="2" s="1"/>
  <c r="Y173" i="2" s="1"/>
  <c r="J81" i="2"/>
  <c r="J82" i="2" s="1"/>
  <c r="I121" i="2" s="1"/>
  <c r="I165" i="2" s="1"/>
  <c r="I173" i="2" s="1"/>
  <c r="N81" i="2"/>
  <c r="N82" i="2" s="1"/>
  <c r="M121" i="2" s="1"/>
  <c r="M165" i="2" s="1"/>
  <c r="M173" i="2" s="1"/>
  <c r="P81" i="2"/>
  <c r="P82" i="2" s="1"/>
  <c r="O121" i="2" s="1"/>
  <c r="O165" i="2" s="1"/>
  <c r="O173" i="2" s="1"/>
  <c r="R81" i="2"/>
  <c r="R82" i="2" s="1"/>
  <c r="Q121" i="2" s="1"/>
  <c r="Q165" i="2" s="1"/>
  <c r="Q173" i="2" s="1"/>
  <c r="W81" i="2"/>
  <c r="W82" i="2" s="1"/>
  <c r="V121" i="2" s="1"/>
  <c r="V165" i="2" s="1"/>
  <c r="V173" i="2" s="1"/>
  <c r="AB81" i="2"/>
  <c r="AB82" i="2" s="1"/>
  <c r="AA121" i="2" s="1"/>
  <c r="AA165" i="2" s="1"/>
  <c r="AA173" i="2" s="1"/>
  <c r="H82" i="2"/>
  <c r="G121" i="2" s="1"/>
  <c r="G165" i="2" s="1"/>
  <c r="G173" i="2" s="1"/>
  <c r="I81" i="2"/>
  <c r="I82" i="2" s="1"/>
  <c r="H121" i="2" s="1"/>
  <c r="H165" i="2" s="1"/>
  <c r="H173" i="2" s="1"/>
  <c r="K81" i="2"/>
  <c r="K82" i="2" s="1"/>
  <c r="J121" i="2" s="1"/>
  <c r="J165" i="2" s="1"/>
  <c r="J173" i="2" s="1"/>
  <c r="O81" i="2"/>
  <c r="O82" i="2" s="1"/>
  <c r="N121" i="2" s="1"/>
  <c r="N165" i="2" s="1"/>
  <c r="N173" i="2" s="1"/>
  <c r="Q81" i="2"/>
  <c r="Q82" i="2" s="1"/>
  <c r="P121" i="2" s="1"/>
  <c r="P165" i="2" s="1"/>
  <c r="P173" i="2" s="1"/>
  <c r="S81" i="2"/>
  <c r="S82" i="2" s="1"/>
  <c r="R121" i="2" s="1"/>
  <c r="R165" i="2" s="1"/>
  <c r="R173" i="2" s="1"/>
  <c r="Y81" i="2"/>
  <c r="Y82" i="2" s="1"/>
  <c r="X121" i="2" s="1"/>
  <c r="X165" i="2" s="1"/>
  <c r="X173" i="2" s="1"/>
  <c r="AA81" i="2"/>
  <c r="AA82" i="2" s="1"/>
  <c r="Z121" i="2" s="1"/>
  <c r="Z165" i="2" s="1"/>
  <c r="Z173" i="2" s="1"/>
  <c r="AD81" i="2"/>
  <c r="AD82" i="2" s="1"/>
  <c r="AC121" i="2" s="1"/>
  <c r="AC165" i="2" s="1"/>
  <c r="AC173" i="2" s="1"/>
  <c r="B75" i="2"/>
  <c r="B81" i="2"/>
  <c r="AC134" i="2"/>
  <c r="AC154" i="2" s="1"/>
  <c r="AB5" i="28" s="1"/>
  <c r="Y133" i="2"/>
  <c r="Y153" i="2" s="1"/>
  <c r="X11" i="28" s="1"/>
  <c r="AA134" i="2"/>
  <c r="AA154" i="2" s="1"/>
  <c r="Z5" i="28" s="1"/>
  <c r="W133" i="2"/>
  <c r="W153" i="2" s="1"/>
  <c r="V11" i="28" s="1"/>
  <c r="V133" i="2"/>
  <c r="V153" i="2" s="1"/>
  <c r="U11" i="28" s="1"/>
  <c r="Z134" i="2"/>
  <c r="Z154" i="2" s="1"/>
  <c r="Y5" i="28" s="1"/>
  <c r="Y134" i="2"/>
  <c r="Y154" i="2" s="1"/>
  <c r="X5" i="28" s="1"/>
  <c r="U133" i="2"/>
  <c r="U153" i="2" s="1"/>
  <c r="T11" i="28" s="1"/>
  <c r="X134" i="2"/>
  <c r="X154" i="2" s="1"/>
  <c r="W5" i="28" s="1"/>
  <c r="T133" i="2"/>
  <c r="T153" i="2" s="1"/>
  <c r="S11" i="28" s="1"/>
  <c r="S133" i="2"/>
  <c r="S153" i="2" s="1"/>
  <c r="R11" i="28" s="1"/>
  <c r="W134" i="2"/>
  <c r="W154" i="2" s="1"/>
  <c r="V5" i="28" s="1"/>
  <c r="V134" i="2"/>
  <c r="V154" i="2" s="1"/>
  <c r="U5" i="28" s="1"/>
  <c r="R133" i="2"/>
  <c r="R153" i="2" s="1"/>
  <c r="Q11" i="28" s="1"/>
  <c r="U134" i="2"/>
  <c r="U154" i="2" s="1"/>
  <c r="T5" i="28" s="1"/>
  <c r="Q133" i="2"/>
  <c r="Q153" i="2" s="1"/>
  <c r="P11" i="28" s="1"/>
  <c r="T134" i="2"/>
  <c r="T154" i="2" s="1"/>
  <c r="S5" i="28" s="1"/>
  <c r="P133" i="2"/>
  <c r="P153" i="2" s="1"/>
  <c r="O11" i="28" s="1"/>
  <c r="S134" i="2"/>
  <c r="S154" i="2" s="1"/>
  <c r="R5" i="28" s="1"/>
  <c r="O133" i="2"/>
  <c r="O153" i="2" s="1"/>
  <c r="N11" i="28" s="1"/>
  <c r="R134" i="2"/>
  <c r="R154" i="2" s="1"/>
  <c r="Q5" i="28" s="1"/>
  <c r="N133" i="2"/>
  <c r="N153" i="2" s="1"/>
  <c r="M11" i="28" s="1"/>
  <c r="K62" i="16"/>
  <c r="L62" i="16"/>
  <c r="M62" i="16"/>
  <c r="K69" i="16"/>
  <c r="L69" i="16"/>
  <c r="M69" i="16"/>
  <c r="N69" i="16"/>
  <c r="T62" i="16"/>
  <c r="V62" i="16"/>
  <c r="P69" i="16"/>
  <c r="Y62" i="16"/>
  <c r="Q69" i="16"/>
  <c r="Z62" i="16"/>
  <c r="R69" i="16"/>
  <c r="AA62" i="16"/>
  <c r="S69" i="16"/>
  <c r="AB62" i="16"/>
  <c r="T63" i="16"/>
  <c r="U63" i="16"/>
  <c r="V63" i="16"/>
  <c r="W63" i="16"/>
  <c r="X63" i="16"/>
  <c r="Y63" i="16"/>
  <c r="Z63" i="16"/>
  <c r="AC62" i="16"/>
  <c r="AA63" i="16"/>
  <c r="AE62" i="16"/>
  <c r="AF62" i="16"/>
  <c r="AG62" i="16"/>
  <c r="W68" i="16"/>
  <c r="I58" i="16"/>
  <c r="G63" i="16"/>
  <c r="G62" i="16"/>
  <c r="H62" i="16"/>
  <c r="E51" i="16"/>
  <c r="F51" i="16" s="1"/>
  <c r="N62" i="16"/>
  <c r="N68" i="16"/>
  <c r="AB63" i="16"/>
  <c r="AB69" i="16"/>
  <c r="D64" i="16"/>
  <c r="N37" i="16"/>
  <c r="P62" i="16"/>
  <c r="P68" i="16"/>
  <c r="AD63" i="16"/>
  <c r="AD69" i="16"/>
  <c r="I63" i="16"/>
  <c r="I69" i="16"/>
  <c r="U68" i="16"/>
  <c r="U62" i="16"/>
  <c r="F97" i="16"/>
  <c r="E64" i="16"/>
  <c r="F61" i="16"/>
  <c r="F78" i="16"/>
  <c r="G74" i="16"/>
  <c r="F81" i="16"/>
  <c r="E86" i="16"/>
  <c r="I44" i="16"/>
  <c r="H63" i="16"/>
  <c r="H69" i="16"/>
  <c r="E94" i="16"/>
  <c r="J55" i="16"/>
  <c r="Q62" i="16"/>
  <c r="Q68" i="16"/>
  <c r="AE63" i="16"/>
  <c r="AE69" i="16"/>
  <c r="F89" i="16"/>
  <c r="R62" i="16"/>
  <c r="R68" i="16"/>
  <c r="J63" i="16"/>
  <c r="J69" i="16"/>
  <c r="AF63" i="16"/>
  <c r="AF69" i="16"/>
  <c r="S62" i="16"/>
  <c r="S68" i="16"/>
  <c r="AG63" i="16"/>
  <c r="AG69" i="16"/>
  <c r="E84" i="16"/>
  <c r="E92" i="16" s="1"/>
  <c r="E100" i="16" s="1"/>
  <c r="E102" i="16" s="1"/>
  <c r="E78" i="16"/>
  <c r="H58" i="16"/>
  <c r="O62" i="16"/>
  <c r="O68" i="16"/>
  <c r="AC69" i="16"/>
  <c r="AC63" i="16"/>
  <c r="D5" i="16"/>
  <c r="E19" i="16"/>
  <c r="D19" i="16"/>
  <c r="E26" i="16"/>
  <c r="D26" i="16"/>
  <c r="E5" i="16"/>
  <c r="E12" i="16"/>
  <c r="D12" i="16"/>
  <c r="X62" i="16"/>
  <c r="X68" i="16"/>
  <c r="D70" i="16"/>
  <c r="E67" i="16"/>
  <c r="G58" i="16"/>
  <c r="J39" i="16"/>
  <c r="F58" i="16"/>
  <c r="D33" i="16"/>
  <c r="H175" i="2" l="1"/>
  <c r="H174" i="2"/>
  <c r="H177" i="2" s="1"/>
  <c r="G175" i="2"/>
  <c r="G174" i="2"/>
  <c r="G177" i="2" s="1"/>
  <c r="K175" i="2"/>
  <c r="K174" i="2"/>
  <c r="K177" i="2" s="1"/>
  <c r="J175" i="2"/>
  <c r="J174" i="2"/>
  <c r="J177" i="2" s="1"/>
  <c r="I175" i="2"/>
  <c r="I174" i="2"/>
  <c r="I177" i="2" s="1"/>
  <c r="AC175" i="2"/>
  <c r="AC174" i="2"/>
  <c r="AC177" i="2" s="1"/>
  <c r="W175" i="2"/>
  <c r="W174" i="2"/>
  <c r="W177" i="2" s="1"/>
  <c r="Z175" i="2"/>
  <c r="Z174" i="2"/>
  <c r="Z177" i="2" s="1"/>
  <c r="AB175" i="2"/>
  <c r="AB174" i="2"/>
  <c r="AB177" i="2" s="1"/>
  <c r="Y175" i="2"/>
  <c r="Y174" i="2"/>
  <c r="Y177" i="2" s="1"/>
  <c r="X175" i="2"/>
  <c r="X174" i="2"/>
  <c r="X177" i="2" s="1"/>
  <c r="U175" i="2"/>
  <c r="U174" i="2"/>
  <c r="U177" i="2" s="1"/>
  <c r="T175" i="2"/>
  <c r="T174" i="2"/>
  <c r="T177" i="2" s="1"/>
  <c r="S175" i="2"/>
  <c r="S174" i="2"/>
  <c r="S177" i="2" s="1"/>
  <c r="AA175" i="2"/>
  <c r="AA174" i="2"/>
  <c r="AA177" i="2" s="1"/>
  <c r="V175" i="2"/>
  <c r="V174" i="2"/>
  <c r="V177" i="2" s="1"/>
  <c r="R175" i="2"/>
  <c r="R174" i="2"/>
  <c r="R177" i="2" s="1"/>
  <c r="Q175" i="2"/>
  <c r="Q174" i="2"/>
  <c r="Q177" i="2" s="1"/>
  <c r="P175" i="2"/>
  <c r="P174" i="2"/>
  <c r="P177" i="2" s="1"/>
  <c r="O175" i="2"/>
  <c r="O174" i="2"/>
  <c r="O177" i="2" s="1"/>
  <c r="N175" i="2"/>
  <c r="N174" i="2"/>
  <c r="N177" i="2" s="1"/>
  <c r="M175" i="2"/>
  <c r="M174" i="2"/>
  <c r="M177" i="2" s="1"/>
  <c r="L175" i="2"/>
  <c r="L174" i="2"/>
  <c r="L177" i="2" s="1"/>
  <c r="C75" i="2"/>
  <c r="H75" i="2"/>
  <c r="B82" i="2"/>
  <c r="C81" i="2"/>
  <c r="AA8" i="26"/>
  <c r="J8" i="26"/>
  <c r="F8" i="26"/>
  <c r="L8" i="26"/>
  <c r="H8" i="26"/>
  <c r="N8" i="26"/>
  <c r="Q8" i="26"/>
  <c r="R8" i="26"/>
  <c r="X8" i="26"/>
  <c r="S8" i="26"/>
  <c r="Y8" i="26"/>
  <c r="M8" i="26"/>
  <c r="P8" i="26"/>
  <c r="T8" i="26"/>
  <c r="Z8" i="26"/>
  <c r="W8" i="26"/>
  <c r="G89" i="16"/>
  <c r="F94" i="16"/>
  <c r="I8" i="26"/>
  <c r="U8" i="26"/>
  <c r="O8" i="26"/>
  <c r="J58" i="16"/>
  <c r="K55" i="16"/>
  <c r="I46" i="16"/>
  <c r="J44" i="16"/>
  <c r="K8" i="26"/>
  <c r="D14" i="16"/>
  <c r="G81" i="16"/>
  <c r="F86" i="16"/>
  <c r="E7" i="16"/>
  <c r="H74" i="16"/>
  <c r="G78" i="16"/>
  <c r="AB8" i="26"/>
  <c r="D27" i="16"/>
  <c r="N39" i="16"/>
  <c r="O37" i="16"/>
  <c r="E27" i="16"/>
  <c r="F102" i="16"/>
  <c r="G97" i="16"/>
  <c r="D21" i="16"/>
  <c r="F64" i="16"/>
  <c r="G61" i="16"/>
  <c r="E70" i="16"/>
  <c r="F67" i="16"/>
  <c r="G8" i="26"/>
  <c r="E33" i="16"/>
  <c r="V8" i="26"/>
  <c r="E14" i="16"/>
  <c r="E21" i="16"/>
  <c r="D7" i="16"/>
  <c r="D75" i="2" l="1"/>
  <c r="E75" i="2"/>
  <c r="F75" i="2" s="1"/>
  <c r="G75" i="2" s="1"/>
  <c r="C82" i="2"/>
  <c r="B147" i="2" s="1"/>
  <c r="B164" i="2" s="1"/>
  <c r="B172" i="2" s="1"/>
  <c r="B177" i="2" s="1"/>
  <c r="D81" i="2"/>
  <c r="G86" i="16"/>
  <c r="H81" i="16"/>
  <c r="H89" i="16"/>
  <c r="G94" i="16"/>
  <c r="I74" i="16"/>
  <c r="H78" i="16"/>
  <c r="P37" i="16"/>
  <c r="O39" i="16"/>
  <c r="F70" i="16"/>
  <c r="G67" i="16"/>
  <c r="K58" i="16"/>
  <c r="L55" i="16"/>
  <c r="G64" i="16"/>
  <c r="H61" i="16"/>
  <c r="H51" i="16"/>
  <c r="B3" i="25"/>
  <c r="B17" i="25" s="1"/>
  <c r="B3" i="21"/>
  <c r="B17" i="21" s="1"/>
  <c r="B3" i="20"/>
  <c r="B17" i="20" s="1"/>
  <c r="B3" i="19"/>
  <c r="B17" i="19" s="1"/>
  <c r="B3" i="24"/>
  <c r="B17" i="24" s="1"/>
  <c r="B3" i="22"/>
  <c r="B17" i="22" s="1"/>
  <c r="B3" i="23"/>
  <c r="B17" i="23" s="1"/>
  <c r="F33" i="16"/>
  <c r="J46" i="16"/>
  <c r="K44" i="16"/>
  <c r="G102" i="16"/>
  <c r="H97" i="16"/>
  <c r="E81" i="2" l="1"/>
  <c r="D82" i="2"/>
  <c r="C147" i="2" s="1"/>
  <c r="Q37" i="16"/>
  <c r="P39" i="16"/>
  <c r="H64" i="16"/>
  <c r="I61" i="16"/>
  <c r="I81" i="16"/>
  <c r="H86" i="16"/>
  <c r="J74" i="16"/>
  <c r="I78" i="16"/>
  <c r="K46" i="16"/>
  <c r="L44" i="16"/>
  <c r="H94" i="16"/>
  <c r="I89" i="16"/>
  <c r="G33" i="16"/>
  <c r="L58" i="16"/>
  <c r="M55" i="16"/>
  <c r="G70" i="16"/>
  <c r="B4" i="25" s="1"/>
  <c r="H67" i="16"/>
  <c r="I51" i="16"/>
  <c r="C3" i="23"/>
  <c r="C17" i="23" s="1"/>
  <c r="C3" i="25"/>
  <c r="C17" i="25" s="1"/>
  <c r="C3" i="19"/>
  <c r="C17" i="19" s="1"/>
  <c r="C3" i="24"/>
  <c r="C17" i="24" s="1"/>
  <c r="C3" i="22"/>
  <c r="C17" i="22" s="1"/>
  <c r="C3" i="20"/>
  <c r="C17" i="20" s="1"/>
  <c r="C3" i="21"/>
  <c r="C17" i="21" s="1"/>
  <c r="H102" i="16"/>
  <c r="I97" i="16"/>
  <c r="F81" i="2" l="1"/>
  <c r="E82" i="2"/>
  <c r="D147" i="2" s="1"/>
  <c r="B8" i="28"/>
  <c r="C164" i="2"/>
  <c r="C172" i="2" s="1"/>
  <c r="C177" i="2" s="1"/>
  <c r="B11" i="21"/>
  <c r="B19" i="24"/>
  <c r="B14" i="20"/>
  <c r="B19" i="21"/>
  <c r="B11" i="19"/>
  <c r="B19" i="19"/>
  <c r="B10" i="21"/>
  <c r="B10" i="24"/>
  <c r="B14" i="23"/>
  <c r="B14" i="19"/>
  <c r="B18" i="25"/>
  <c r="B10" i="20"/>
  <c r="B18" i="23"/>
  <c r="B11" i="25"/>
  <c r="B19" i="20"/>
  <c r="B10" i="23"/>
  <c r="B10" i="22"/>
  <c r="B14" i="22"/>
  <c r="B11" i="23"/>
  <c r="B18" i="20"/>
  <c r="B18" i="24"/>
  <c r="B14" i="25"/>
  <c r="B11" i="20"/>
  <c r="B14" i="21"/>
  <c r="B18" i="21"/>
  <c r="B19" i="22"/>
  <c r="B14" i="24"/>
  <c r="B11" i="24"/>
  <c r="B19" i="25"/>
  <c r="B10" i="19"/>
  <c r="B18" i="22"/>
  <c r="B19" i="23"/>
  <c r="B18" i="19"/>
  <c r="B11" i="22"/>
  <c r="B10" i="25"/>
  <c r="B4" i="19"/>
  <c r="B4" i="22"/>
  <c r="B4" i="24"/>
  <c r="L46" i="16"/>
  <c r="M44" i="16"/>
  <c r="K74" i="16"/>
  <c r="J78" i="16"/>
  <c r="I64" i="16"/>
  <c r="J61" i="16"/>
  <c r="I67" i="16"/>
  <c r="H70" i="16"/>
  <c r="C4" i="21" s="1"/>
  <c r="I102" i="16"/>
  <c r="J97" i="16"/>
  <c r="B4" i="20"/>
  <c r="N55" i="16"/>
  <c r="M58" i="16"/>
  <c r="I86" i="16"/>
  <c r="C11" i="24" s="1"/>
  <c r="J81" i="16"/>
  <c r="C18" i="19"/>
  <c r="B4" i="23"/>
  <c r="B4" i="21"/>
  <c r="R37" i="16"/>
  <c r="Q39" i="16"/>
  <c r="B2" i="27"/>
  <c r="B14" i="27" s="1"/>
  <c r="H33" i="16"/>
  <c r="J51" i="16"/>
  <c r="D3" i="19"/>
  <c r="D17" i="19" s="1"/>
  <c r="D3" i="22"/>
  <c r="D17" i="22" s="1"/>
  <c r="D3" i="20"/>
  <c r="D17" i="20" s="1"/>
  <c r="D3" i="23"/>
  <c r="D17" i="23" s="1"/>
  <c r="D3" i="25"/>
  <c r="D17" i="25" s="1"/>
  <c r="D3" i="24"/>
  <c r="D17" i="24" s="1"/>
  <c r="D3" i="21"/>
  <c r="D17" i="21" s="1"/>
  <c r="I94" i="16"/>
  <c r="J89" i="16"/>
  <c r="G81" i="2" l="1"/>
  <c r="G82" i="2" s="1"/>
  <c r="F121" i="2" s="1"/>
  <c r="F82" i="2"/>
  <c r="E121" i="2" s="1"/>
  <c r="C8" i="28"/>
  <c r="D164" i="2"/>
  <c r="D172" i="2" s="1"/>
  <c r="D177" i="2" s="1"/>
  <c r="C19" i="19"/>
  <c r="C14" i="24"/>
  <c r="C11" i="22"/>
  <c r="C10" i="21"/>
  <c r="C11" i="21"/>
  <c r="C11" i="25"/>
  <c r="C10" i="19"/>
  <c r="C14" i="22"/>
  <c r="C11" i="20"/>
  <c r="C19" i="24"/>
  <c r="C10" i="20"/>
  <c r="C14" i="23"/>
  <c r="C11" i="23"/>
  <c r="C18" i="24"/>
  <c r="C14" i="20"/>
  <c r="C14" i="21"/>
  <c r="C10" i="24"/>
  <c r="C14" i="25"/>
  <c r="C19" i="23"/>
  <c r="C18" i="21"/>
  <c r="C18" i="22"/>
  <c r="C10" i="23"/>
  <c r="C4" i="20"/>
  <c r="C4" i="25"/>
  <c r="K51" i="16"/>
  <c r="E3" i="24"/>
  <c r="E17" i="24" s="1"/>
  <c r="E3" i="25"/>
  <c r="E17" i="25" s="1"/>
  <c r="E3" i="20"/>
  <c r="E17" i="20" s="1"/>
  <c r="E3" i="19"/>
  <c r="E17" i="19" s="1"/>
  <c r="E3" i="21"/>
  <c r="E17" i="21" s="1"/>
  <c r="E3" i="22"/>
  <c r="E17" i="22" s="1"/>
  <c r="E3" i="23"/>
  <c r="E17" i="23" s="1"/>
  <c r="S37" i="16"/>
  <c r="R39" i="16"/>
  <c r="C19" i="21"/>
  <c r="C18" i="25"/>
  <c r="C18" i="20"/>
  <c r="J67" i="16"/>
  <c r="I70" i="16"/>
  <c r="D4" i="25" s="1"/>
  <c r="C18" i="23"/>
  <c r="J64" i="16"/>
  <c r="K61" i="16"/>
  <c r="O55" i="16"/>
  <c r="N58" i="16"/>
  <c r="J102" i="16"/>
  <c r="D18" i="23" s="1"/>
  <c r="K97" i="16"/>
  <c r="C10" i="22"/>
  <c r="C4" i="24"/>
  <c r="C19" i="22"/>
  <c r="C4" i="19"/>
  <c r="C14" i="19"/>
  <c r="C4" i="23"/>
  <c r="C11" i="19"/>
  <c r="C4" i="22"/>
  <c r="C19" i="20"/>
  <c r="J86" i="16"/>
  <c r="D14" i="25" s="1"/>
  <c r="K81" i="16"/>
  <c r="D10" i="22"/>
  <c r="K89" i="16"/>
  <c r="J94" i="16"/>
  <c r="C19" i="25"/>
  <c r="K78" i="16"/>
  <c r="L74" i="16"/>
  <c r="C2" i="27"/>
  <c r="C14" i="27" s="1"/>
  <c r="I33" i="16"/>
  <c r="C10" i="25"/>
  <c r="N44" i="16"/>
  <c r="M46" i="16"/>
  <c r="E8" i="26" l="1"/>
  <c r="F165" i="2"/>
  <c r="F173" i="2" s="1"/>
  <c r="D8" i="26"/>
  <c r="E165" i="2"/>
  <c r="E173" i="2" s="1"/>
  <c r="D10" i="25"/>
  <c r="D19" i="24"/>
  <c r="D10" i="24"/>
  <c r="D18" i="19"/>
  <c r="D14" i="24"/>
  <c r="D11" i="23"/>
  <c r="K86" i="16"/>
  <c r="E19" i="20" s="1"/>
  <c r="L81" i="16"/>
  <c r="P55" i="16"/>
  <c r="O58" i="16"/>
  <c r="L78" i="16"/>
  <c r="M74" i="16"/>
  <c r="E10" i="21"/>
  <c r="E10" i="23"/>
  <c r="E19" i="21"/>
  <c r="E19" i="24"/>
  <c r="E14" i="22"/>
  <c r="E14" i="19"/>
  <c r="E14" i="25"/>
  <c r="E18" i="23"/>
  <c r="E14" i="24"/>
  <c r="E14" i="20"/>
  <c r="E19" i="25"/>
  <c r="E19" i="19"/>
  <c r="E14" i="21"/>
  <c r="E19" i="23"/>
  <c r="E10" i="24"/>
  <c r="E10" i="25"/>
  <c r="E14" i="23"/>
  <c r="E11" i="23"/>
  <c r="D11" i="19"/>
  <c r="D11" i="25"/>
  <c r="K67" i="16"/>
  <c r="J70" i="16"/>
  <c r="E4" i="21" s="1"/>
  <c r="D19" i="23"/>
  <c r="T37" i="16"/>
  <c r="S39" i="16"/>
  <c r="D19" i="25"/>
  <c r="N46" i="16"/>
  <c r="O44" i="16"/>
  <c r="D18" i="21"/>
  <c r="D19" i="21"/>
  <c r="D4" i="20"/>
  <c r="D19" i="20"/>
  <c r="D10" i="23"/>
  <c r="D4" i="22"/>
  <c r="D2" i="27"/>
  <c r="D14" i="27" s="1"/>
  <c r="J33" i="16"/>
  <c r="D14" i="20"/>
  <c r="D11" i="24"/>
  <c r="D4" i="21"/>
  <c r="D11" i="20"/>
  <c r="D18" i="25"/>
  <c r="D4" i="19"/>
  <c r="D19" i="22"/>
  <c r="D11" i="21"/>
  <c r="D4" i="23"/>
  <c r="L97" i="16"/>
  <c r="K102" i="16"/>
  <c r="D14" i="19"/>
  <c r="D14" i="22"/>
  <c r="D18" i="20"/>
  <c r="K94" i="16"/>
  <c r="E18" i="21" s="1"/>
  <c r="L89" i="16"/>
  <c r="D10" i="21"/>
  <c r="D10" i="20"/>
  <c r="D14" i="23"/>
  <c r="D19" i="19"/>
  <c r="D11" i="22"/>
  <c r="D18" i="22"/>
  <c r="D4" i="24"/>
  <c r="D18" i="24"/>
  <c r="D10" i="19"/>
  <c r="K64" i="16"/>
  <c r="L61" i="16"/>
  <c r="D14" i="21"/>
  <c r="L51" i="16"/>
  <c r="F3" i="20"/>
  <c r="F17" i="20" s="1"/>
  <c r="F3" i="21"/>
  <c r="F17" i="21" s="1"/>
  <c r="F3" i="24"/>
  <c r="F17" i="24" s="1"/>
  <c r="F3" i="19"/>
  <c r="F17" i="19" s="1"/>
  <c r="F3" i="25"/>
  <c r="F17" i="25" s="1"/>
  <c r="F3" i="22"/>
  <c r="F17" i="22" s="1"/>
  <c r="F3" i="23"/>
  <c r="F17" i="23" s="1"/>
  <c r="F175" i="2" l="1"/>
  <c r="F174" i="2"/>
  <c r="F177" i="2" s="1"/>
  <c r="E175" i="2"/>
  <c r="E174" i="2"/>
  <c r="E177" i="2" s="1"/>
  <c r="L94" i="16"/>
  <c r="F11" i="23" s="1"/>
  <c r="M89" i="16"/>
  <c r="E11" i="21"/>
  <c r="M78" i="16"/>
  <c r="N74" i="16"/>
  <c r="E19" i="22"/>
  <c r="Q55" i="16"/>
  <c r="P58" i="16"/>
  <c r="L86" i="16"/>
  <c r="F14" i="22" s="1"/>
  <c r="M81" i="16"/>
  <c r="E4" i="25"/>
  <c r="E4" i="20"/>
  <c r="E11" i="22"/>
  <c r="M51" i="16"/>
  <c r="G3" i="23"/>
  <c r="G17" i="23" s="1"/>
  <c r="G3" i="25"/>
  <c r="G17" i="25" s="1"/>
  <c r="G3" i="21"/>
  <c r="G17" i="21" s="1"/>
  <c r="G3" i="22"/>
  <c r="G17" i="22" s="1"/>
  <c r="G3" i="20"/>
  <c r="G17" i="20" s="1"/>
  <c r="G3" i="19"/>
  <c r="G17" i="19" s="1"/>
  <c r="G3" i="24"/>
  <c r="G17" i="24" s="1"/>
  <c r="O46" i="16"/>
  <c r="P44" i="16"/>
  <c r="E4" i="24"/>
  <c r="E4" i="19"/>
  <c r="E18" i="24"/>
  <c r="M61" i="16"/>
  <c r="L64" i="16"/>
  <c r="E18" i="22"/>
  <c r="E11" i="19"/>
  <c r="E11" i="25"/>
  <c r="F18" i="25"/>
  <c r="F14" i="20"/>
  <c r="E4" i="22"/>
  <c r="E10" i="20"/>
  <c r="E18" i="19"/>
  <c r="U37" i="16"/>
  <c r="T39" i="16"/>
  <c r="E2" i="27"/>
  <c r="E14" i="27" s="1"/>
  <c r="K33" i="16"/>
  <c r="L67" i="16"/>
  <c r="K70" i="16"/>
  <c r="F4" i="19" s="1"/>
  <c r="E18" i="25"/>
  <c r="E10" i="19"/>
  <c r="E4" i="23"/>
  <c r="E11" i="20"/>
  <c r="E11" i="24"/>
  <c r="E18" i="20"/>
  <c r="M97" i="16"/>
  <c r="L102" i="16"/>
  <c r="E10" i="22"/>
  <c r="P46" i="16" l="1"/>
  <c r="Q44" i="16"/>
  <c r="F14" i="21"/>
  <c r="F10" i="24"/>
  <c r="F11" i="19"/>
  <c r="F10" i="23"/>
  <c r="F11" i="22"/>
  <c r="F14" i="24"/>
  <c r="N97" i="16"/>
  <c r="M102" i="16"/>
  <c r="F10" i="19"/>
  <c r="L33" i="16"/>
  <c r="F2" i="27"/>
  <c r="F14" i="27" s="1"/>
  <c r="F19" i="23"/>
  <c r="N51" i="16"/>
  <c r="H3" i="20"/>
  <c r="H17" i="20" s="1"/>
  <c r="H3" i="19"/>
  <c r="H17" i="19" s="1"/>
  <c r="H3" i="24"/>
  <c r="H17" i="24" s="1"/>
  <c r="H3" i="22"/>
  <c r="H17" i="22" s="1"/>
  <c r="H3" i="23"/>
  <c r="H17" i="23" s="1"/>
  <c r="H3" i="21"/>
  <c r="H17" i="21" s="1"/>
  <c r="H3" i="25"/>
  <c r="H17" i="25" s="1"/>
  <c r="F4" i="22"/>
  <c r="F10" i="20"/>
  <c r="F4" i="21"/>
  <c r="F18" i="20"/>
  <c r="M64" i="16"/>
  <c r="N61" i="16"/>
  <c r="F4" i="23"/>
  <c r="V37" i="16"/>
  <c r="U39" i="16"/>
  <c r="F19" i="24"/>
  <c r="F4" i="25"/>
  <c r="F10" i="21"/>
  <c r="N81" i="16"/>
  <c r="M86" i="16"/>
  <c r="G18" i="23" s="1"/>
  <c r="F4" i="24"/>
  <c r="F18" i="21"/>
  <c r="F4" i="20"/>
  <c r="F11" i="24"/>
  <c r="F18" i="22"/>
  <c r="F18" i="24"/>
  <c r="R55" i="16"/>
  <c r="Q58" i="16"/>
  <c r="F19" i="20"/>
  <c r="F14" i="19"/>
  <c r="F10" i="25"/>
  <c r="N78" i="16"/>
  <c r="O74" i="16"/>
  <c r="F11" i="21"/>
  <c r="F19" i="19"/>
  <c r="F19" i="22"/>
  <c r="F19" i="25"/>
  <c r="F11" i="25"/>
  <c r="F18" i="23"/>
  <c r="F19" i="21"/>
  <c r="L70" i="16"/>
  <c r="G4" i="23" s="1"/>
  <c r="M67" i="16"/>
  <c r="F10" i="22"/>
  <c r="F14" i="23"/>
  <c r="G10" i="25"/>
  <c r="G18" i="24"/>
  <c r="G11" i="25"/>
  <c r="G14" i="24"/>
  <c r="F18" i="19"/>
  <c r="F14" i="25"/>
  <c r="F11" i="20"/>
  <c r="N89" i="16"/>
  <c r="M94" i="16"/>
  <c r="G14" i="22" l="1"/>
  <c r="G14" i="25"/>
  <c r="O97" i="16"/>
  <c r="N102" i="16"/>
  <c r="G10" i="23"/>
  <c r="N86" i="16"/>
  <c r="H11" i="19" s="1"/>
  <c r="O81" i="16"/>
  <c r="G14" i="21"/>
  <c r="O78" i="16"/>
  <c r="P74" i="16"/>
  <c r="G18" i="25"/>
  <c r="O51" i="16"/>
  <c r="I3" i="25"/>
  <c r="I17" i="25" s="1"/>
  <c r="I3" i="21"/>
  <c r="I17" i="21" s="1"/>
  <c r="I3" i="23"/>
  <c r="I17" i="23" s="1"/>
  <c r="I3" i="22"/>
  <c r="I17" i="22" s="1"/>
  <c r="I3" i="24"/>
  <c r="I17" i="24" s="1"/>
  <c r="I3" i="20"/>
  <c r="I17" i="20" s="1"/>
  <c r="I3" i="19"/>
  <c r="I17" i="19" s="1"/>
  <c r="G19" i="21"/>
  <c r="S55" i="16"/>
  <c r="R58" i="16"/>
  <c r="G19" i="24"/>
  <c r="G11" i="20"/>
  <c r="G4" i="24"/>
  <c r="G11" i="23"/>
  <c r="G14" i="19"/>
  <c r="G4" i="19"/>
  <c r="G4" i="21"/>
  <c r="G11" i="24"/>
  <c r="G19" i="25"/>
  <c r="G19" i="22"/>
  <c r="G10" i="24"/>
  <c r="H18" i="24"/>
  <c r="H11" i="23"/>
  <c r="H10" i="22"/>
  <c r="H10" i="25"/>
  <c r="H19" i="23"/>
  <c r="H14" i="22"/>
  <c r="H14" i="25"/>
  <c r="H11" i="25"/>
  <c r="H14" i="20"/>
  <c r="H11" i="22"/>
  <c r="H11" i="24"/>
  <c r="H14" i="23"/>
  <c r="H18" i="19"/>
  <c r="H19" i="22"/>
  <c r="H19" i="21"/>
  <c r="H19" i="25"/>
  <c r="H14" i="24"/>
  <c r="H19" i="19"/>
  <c r="H11" i="21"/>
  <c r="H14" i="21"/>
  <c r="H18" i="21"/>
  <c r="H10" i="24"/>
  <c r="H10" i="21"/>
  <c r="H11" i="20"/>
  <c r="G11" i="21"/>
  <c r="G19" i="20"/>
  <c r="G10" i="22"/>
  <c r="V39" i="16"/>
  <c r="W37" i="16"/>
  <c r="G18" i="19"/>
  <c r="N67" i="16"/>
  <c r="M70" i="16"/>
  <c r="H4" i="19" s="1"/>
  <c r="N64" i="16"/>
  <c r="O61" i="16"/>
  <c r="G10" i="20"/>
  <c r="G2" i="27"/>
  <c r="G14" i="27" s="1"/>
  <c r="M33" i="16"/>
  <c r="G18" i="20"/>
  <c r="N94" i="16"/>
  <c r="H18" i="23" s="1"/>
  <c r="O89" i="16"/>
  <c r="G4" i="22"/>
  <c r="G4" i="20"/>
  <c r="G14" i="23"/>
  <c r="G11" i="22"/>
  <c r="G10" i="21"/>
  <c r="G18" i="21"/>
  <c r="G19" i="23"/>
  <c r="G14" i="20"/>
  <c r="G4" i="25"/>
  <c r="G10" i="19"/>
  <c r="G11" i="19"/>
  <c r="G18" i="22"/>
  <c r="Q46" i="16"/>
  <c r="R44" i="16"/>
  <c r="G19" i="19"/>
  <c r="H4" i="20" l="1"/>
  <c r="H4" i="24"/>
  <c r="S58" i="16"/>
  <c r="T55" i="16"/>
  <c r="P61" i="16"/>
  <c r="O64" i="16"/>
  <c r="O86" i="16"/>
  <c r="I11" i="21" s="1"/>
  <c r="P81" i="16"/>
  <c r="H4" i="25"/>
  <c r="H14" i="19"/>
  <c r="P97" i="16"/>
  <c r="O102" i="16"/>
  <c r="I10" i="22" s="1"/>
  <c r="O67" i="16"/>
  <c r="N70" i="16"/>
  <c r="I4" i="23" s="1"/>
  <c r="P51" i="16"/>
  <c r="J3" i="21"/>
  <c r="J17" i="21" s="1"/>
  <c r="J3" i="22"/>
  <c r="J17" i="22" s="1"/>
  <c r="J3" i="25"/>
  <c r="J17" i="25" s="1"/>
  <c r="J3" i="19"/>
  <c r="J17" i="19" s="1"/>
  <c r="J3" i="23"/>
  <c r="J17" i="23" s="1"/>
  <c r="J3" i="20"/>
  <c r="J17" i="20" s="1"/>
  <c r="J3" i="24"/>
  <c r="J17" i="24" s="1"/>
  <c r="P89" i="16"/>
  <c r="O94" i="16"/>
  <c r="I18" i="25" s="1"/>
  <c r="H18" i="25"/>
  <c r="N33" i="16"/>
  <c r="H2" i="27"/>
  <c r="H14" i="27" s="1"/>
  <c r="W39" i="16"/>
  <c r="X37" i="16"/>
  <c r="H10" i="20"/>
  <c r="H18" i="20"/>
  <c r="H4" i="22"/>
  <c r="H10" i="23"/>
  <c r="R46" i="16"/>
  <c r="S44" i="16"/>
  <c r="H4" i="23"/>
  <c r="H19" i="20"/>
  <c r="H18" i="22"/>
  <c r="P78" i="16"/>
  <c r="Q74" i="16"/>
  <c r="H4" i="21"/>
  <c r="H19" i="24"/>
  <c r="H10" i="19"/>
  <c r="I2" i="27" l="1"/>
  <c r="I14" i="27" s="1"/>
  <c r="O33" i="16"/>
  <c r="P102" i="16"/>
  <c r="Q97" i="16"/>
  <c r="Q78" i="16"/>
  <c r="R74" i="16"/>
  <c r="J10" i="20"/>
  <c r="J10" i="23"/>
  <c r="J19" i="24"/>
  <c r="J14" i="23"/>
  <c r="J18" i="20"/>
  <c r="J11" i="25"/>
  <c r="J18" i="22"/>
  <c r="J14" i="25"/>
  <c r="J18" i="21"/>
  <c r="J14" i="21"/>
  <c r="J19" i="25"/>
  <c r="J14" i="24"/>
  <c r="J10" i="25"/>
  <c r="J10" i="21"/>
  <c r="I11" i="24"/>
  <c r="I18" i="23"/>
  <c r="I18" i="24"/>
  <c r="I10" i="19"/>
  <c r="I14" i="21"/>
  <c r="I19" i="19"/>
  <c r="I11" i="22"/>
  <c r="P94" i="16"/>
  <c r="Q89" i="16"/>
  <c r="I14" i="25"/>
  <c r="I11" i="23"/>
  <c r="I11" i="20"/>
  <c r="I14" i="19"/>
  <c r="I19" i="20"/>
  <c r="I10" i="24"/>
  <c r="I14" i="24"/>
  <c r="I11" i="19"/>
  <c r="I19" i="25"/>
  <c r="I18" i="21"/>
  <c r="I14" i="20"/>
  <c r="I19" i="22"/>
  <c r="Q51" i="16"/>
  <c r="K3" i="21"/>
  <c r="K17" i="21" s="1"/>
  <c r="K3" i="24"/>
  <c r="K17" i="24" s="1"/>
  <c r="K3" i="19"/>
  <c r="K17" i="19" s="1"/>
  <c r="K3" i="25"/>
  <c r="K17" i="25" s="1"/>
  <c r="K3" i="22"/>
  <c r="K17" i="22" s="1"/>
  <c r="K3" i="23"/>
  <c r="K17" i="23" s="1"/>
  <c r="K3" i="20"/>
  <c r="K17" i="20" s="1"/>
  <c r="I18" i="22"/>
  <c r="I14" i="22"/>
  <c r="I10" i="20"/>
  <c r="I19" i="23"/>
  <c r="T44" i="16"/>
  <c r="S46" i="16"/>
  <c r="P67" i="16"/>
  <c r="O70" i="16"/>
  <c r="J4" i="22" s="1"/>
  <c r="I11" i="25"/>
  <c r="I10" i="25"/>
  <c r="I4" i="20"/>
  <c r="I18" i="20"/>
  <c r="I19" i="21"/>
  <c r="I4" i="19"/>
  <c r="I19" i="24"/>
  <c r="I10" i="23"/>
  <c r="I4" i="21"/>
  <c r="I14" i="23"/>
  <c r="P86" i="16"/>
  <c r="J19" i="20" s="1"/>
  <c r="Q81" i="16"/>
  <c r="I4" i="22"/>
  <c r="I4" i="25"/>
  <c r="I18" i="19"/>
  <c r="X39" i="16"/>
  <c r="Y37" i="16"/>
  <c r="I4" i="24"/>
  <c r="I10" i="21"/>
  <c r="Q61" i="16"/>
  <c r="P64" i="16"/>
  <c r="T58" i="16"/>
  <c r="U55" i="16"/>
  <c r="J4" i="19" l="1"/>
  <c r="J4" i="24"/>
  <c r="J4" i="20"/>
  <c r="R81" i="16"/>
  <c r="Q86" i="16"/>
  <c r="K18" i="22" s="1"/>
  <c r="T46" i="16"/>
  <c r="U44" i="16"/>
  <c r="J18" i="23"/>
  <c r="J14" i="20"/>
  <c r="Q94" i="16"/>
  <c r="R89" i="16"/>
  <c r="S74" i="16"/>
  <c r="R78" i="16"/>
  <c r="J19" i="19"/>
  <c r="J19" i="21"/>
  <c r="Q102" i="16"/>
  <c r="K19" i="25" s="1"/>
  <c r="R97" i="16"/>
  <c r="R61" i="16"/>
  <c r="Q64" i="16"/>
  <c r="J18" i="19"/>
  <c r="J2" i="27"/>
  <c r="J14" i="27" s="1"/>
  <c r="P33" i="16"/>
  <c r="J11" i="22"/>
  <c r="J11" i="24"/>
  <c r="J11" i="21"/>
  <c r="U58" i="16"/>
  <c r="V55" i="16"/>
  <c r="K10" i="19"/>
  <c r="K18" i="25"/>
  <c r="K18" i="21"/>
  <c r="K18" i="19"/>
  <c r="K10" i="23"/>
  <c r="K19" i="21"/>
  <c r="K19" i="19"/>
  <c r="K14" i="25"/>
  <c r="K14" i="20"/>
  <c r="K10" i="21"/>
  <c r="K19" i="20"/>
  <c r="J19" i="22"/>
  <c r="Z37" i="16"/>
  <c r="Y39" i="16"/>
  <c r="J11" i="23"/>
  <c r="J10" i="19"/>
  <c r="J4" i="21"/>
  <c r="R51" i="16"/>
  <c r="L3" i="24"/>
  <c r="L17" i="24" s="1"/>
  <c r="L3" i="25"/>
  <c r="L17" i="25" s="1"/>
  <c r="L3" i="20"/>
  <c r="L17" i="20" s="1"/>
  <c r="L3" i="22"/>
  <c r="L17" i="22" s="1"/>
  <c r="L3" i="19"/>
  <c r="L17" i="19" s="1"/>
  <c r="L3" i="21"/>
  <c r="L17" i="21" s="1"/>
  <c r="L3" i="23"/>
  <c r="L17" i="23" s="1"/>
  <c r="J10" i="22"/>
  <c r="J14" i="22"/>
  <c r="J4" i="23"/>
  <c r="J14" i="19"/>
  <c r="J10" i="24"/>
  <c r="Q67" i="16"/>
  <c r="P70" i="16"/>
  <c r="K4" i="25" s="1"/>
  <c r="J18" i="25"/>
  <c r="J11" i="20"/>
  <c r="J4" i="25"/>
  <c r="J18" i="24"/>
  <c r="J11" i="19"/>
  <c r="J19" i="23"/>
  <c r="K4" i="19" l="1"/>
  <c r="K4" i="22"/>
  <c r="K19" i="23"/>
  <c r="K11" i="22"/>
  <c r="K10" i="20"/>
  <c r="K14" i="19"/>
  <c r="AA37" i="16"/>
  <c r="Z39" i="16"/>
  <c r="K18" i="24"/>
  <c r="K10" i="22"/>
  <c r="S78" i="16"/>
  <c r="T74" i="16"/>
  <c r="K11" i="23"/>
  <c r="K10" i="25"/>
  <c r="S89" i="16"/>
  <c r="R94" i="16"/>
  <c r="S61" i="16"/>
  <c r="R64" i="16"/>
  <c r="S51" i="16"/>
  <c r="M3" i="25"/>
  <c r="M17" i="25" s="1"/>
  <c r="M3" i="19"/>
  <c r="M17" i="19" s="1"/>
  <c r="M3" i="22"/>
  <c r="M17" i="22" s="1"/>
  <c r="M3" i="21"/>
  <c r="M17" i="21" s="1"/>
  <c r="M3" i="24"/>
  <c r="M17" i="24" s="1"/>
  <c r="M3" i="23"/>
  <c r="M17" i="23" s="1"/>
  <c r="M3" i="20"/>
  <c r="M17" i="20" s="1"/>
  <c r="R102" i="16"/>
  <c r="S97" i="16"/>
  <c r="K11" i="20"/>
  <c r="K18" i="20"/>
  <c r="K11" i="24"/>
  <c r="K18" i="23"/>
  <c r="K11" i="21"/>
  <c r="K14" i="23"/>
  <c r="K4" i="21"/>
  <c r="K11" i="25"/>
  <c r="K19" i="24"/>
  <c r="R67" i="16"/>
  <c r="Q70" i="16"/>
  <c r="L4" i="21" s="1"/>
  <c r="K4" i="24"/>
  <c r="K11" i="19"/>
  <c r="K14" i="21"/>
  <c r="K4" i="23"/>
  <c r="K14" i="24"/>
  <c r="K19" i="22"/>
  <c r="U46" i="16"/>
  <c r="V44" i="16"/>
  <c r="K4" i="20"/>
  <c r="K14" i="22"/>
  <c r="K10" i="24"/>
  <c r="K2" i="27"/>
  <c r="K14" i="27" s="1"/>
  <c r="Q33" i="16"/>
  <c r="V58" i="16"/>
  <c r="W55" i="16"/>
  <c r="S81" i="16"/>
  <c r="R86" i="16"/>
  <c r="L18" i="22" s="1"/>
  <c r="L10" i="25" l="1"/>
  <c r="L10" i="22"/>
  <c r="L14" i="21"/>
  <c r="L11" i="24"/>
  <c r="L18" i="21"/>
  <c r="L14" i="22"/>
  <c r="L14" i="24"/>
  <c r="L18" i="20"/>
  <c r="T51" i="16"/>
  <c r="N3" i="25"/>
  <c r="N17" i="25" s="1"/>
  <c r="N3" i="19"/>
  <c r="N17" i="19" s="1"/>
  <c r="N3" i="24"/>
  <c r="N17" i="24" s="1"/>
  <c r="N3" i="22"/>
  <c r="N17" i="22" s="1"/>
  <c r="N3" i="20"/>
  <c r="N17" i="20" s="1"/>
  <c r="N3" i="21"/>
  <c r="N17" i="21" s="1"/>
  <c r="N3" i="23"/>
  <c r="N17" i="23" s="1"/>
  <c r="L10" i="24"/>
  <c r="L19" i="19"/>
  <c r="W58" i="16"/>
  <c r="X55" i="16"/>
  <c r="T61" i="16"/>
  <c r="S64" i="16"/>
  <c r="L11" i="23"/>
  <c r="L2" i="27"/>
  <c r="L14" i="27" s="1"/>
  <c r="R33" i="16"/>
  <c r="L19" i="24"/>
  <c r="L18" i="25"/>
  <c r="U74" i="16"/>
  <c r="T78" i="16"/>
  <c r="L14" i="23"/>
  <c r="L14" i="25"/>
  <c r="V46" i="16"/>
  <c r="W44" i="16"/>
  <c r="L11" i="22"/>
  <c r="L18" i="19"/>
  <c r="L19" i="22"/>
  <c r="L11" i="19"/>
  <c r="L10" i="21"/>
  <c r="R70" i="16"/>
  <c r="M4" i="21" s="1"/>
  <c r="S67" i="16"/>
  <c r="L11" i="25"/>
  <c r="T89" i="16"/>
  <c r="S94" i="16"/>
  <c r="M19" i="23" s="1"/>
  <c r="L11" i="20"/>
  <c r="M10" i="25"/>
  <c r="M14" i="20"/>
  <c r="M11" i="23"/>
  <c r="L10" i="20"/>
  <c r="L4" i="25"/>
  <c r="L19" i="21"/>
  <c r="L4" i="23"/>
  <c r="L10" i="23"/>
  <c r="L4" i="19"/>
  <c r="L19" i="23"/>
  <c r="L4" i="20"/>
  <c r="AB37" i="16"/>
  <c r="AA39" i="16"/>
  <c r="L10" i="19"/>
  <c r="L4" i="22"/>
  <c r="T81" i="16"/>
  <c r="S86" i="16"/>
  <c r="M19" i="25" s="1"/>
  <c r="L18" i="24"/>
  <c r="L19" i="25"/>
  <c r="L18" i="23"/>
  <c r="L11" i="21"/>
  <c r="S102" i="16"/>
  <c r="T97" i="16"/>
  <c r="L19" i="20"/>
  <c r="L14" i="20"/>
  <c r="L4" i="24"/>
  <c r="L14" i="19"/>
  <c r="M10" i="24" l="1"/>
  <c r="U89" i="16"/>
  <c r="T94" i="16"/>
  <c r="M18" i="24"/>
  <c r="S70" i="16"/>
  <c r="N4" i="24" s="1"/>
  <c r="T67" i="16"/>
  <c r="M10" i="21"/>
  <c r="U51" i="16"/>
  <c r="O3" i="25"/>
  <c r="O17" i="25" s="1"/>
  <c r="O3" i="23"/>
  <c r="O17" i="23" s="1"/>
  <c r="O3" i="21"/>
  <c r="O17" i="21" s="1"/>
  <c r="O3" i="20"/>
  <c r="O17" i="20" s="1"/>
  <c r="O3" i="19"/>
  <c r="O17" i="19" s="1"/>
  <c r="O3" i="24"/>
  <c r="O17" i="24" s="1"/>
  <c r="O3" i="22"/>
  <c r="O17" i="22" s="1"/>
  <c r="M14" i="25"/>
  <c r="M14" i="19"/>
  <c r="X44" i="16"/>
  <c r="W46" i="16"/>
  <c r="M10" i="19"/>
  <c r="M19" i="19"/>
  <c r="M4" i="22"/>
  <c r="M11" i="22"/>
  <c r="M19" i="21"/>
  <c r="M4" i="20"/>
  <c r="AC37" i="16"/>
  <c r="AB39" i="16"/>
  <c r="M11" i="20"/>
  <c r="U61" i="16"/>
  <c r="T64" i="16"/>
  <c r="M14" i="23"/>
  <c r="M11" i="25"/>
  <c r="U97" i="16"/>
  <c r="T102" i="16"/>
  <c r="M19" i="22"/>
  <c r="M18" i="21"/>
  <c r="M10" i="23"/>
  <c r="M4" i="25"/>
  <c r="M14" i="21"/>
  <c r="M18" i="20"/>
  <c r="N14" i="19"/>
  <c r="N10" i="25"/>
  <c r="N19" i="23"/>
  <c r="N14" i="22"/>
  <c r="N19" i="25"/>
  <c r="N14" i="25"/>
  <c r="N18" i="22"/>
  <c r="N11" i="21"/>
  <c r="N18" i="24"/>
  <c r="N11" i="22"/>
  <c r="N10" i="21"/>
  <c r="N11" i="23"/>
  <c r="N11" i="19"/>
  <c r="N19" i="24"/>
  <c r="N14" i="20"/>
  <c r="N18" i="21"/>
  <c r="N18" i="23"/>
  <c r="N11" i="25"/>
  <c r="N10" i="19"/>
  <c r="N10" i="20"/>
  <c r="N14" i="23"/>
  <c r="M4" i="19"/>
  <c r="M19" i="20"/>
  <c r="M19" i="24"/>
  <c r="V74" i="16"/>
  <c r="U78" i="16"/>
  <c r="M4" i="24"/>
  <c r="M10" i="22"/>
  <c r="M14" i="24"/>
  <c r="M4" i="23"/>
  <c r="U81" i="16"/>
  <c r="T86" i="16"/>
  <c r="N10" i="24" s="1"/>
  <c r="M18" i="22"/>
  <c r="M18" i="23"/>
  <c r="M18" i="19"/>
  <c r="N4" i="21"/>
  <c r="N4" i="23"/>
  <c r="N4" i="25"/>
  <c r="M18" i="25"/>
  <c r="M11" i="24"/>
  <c r="X58" i="16"/>
  <c r="Y55" i="16"/>
  <c r="M10" i="20"/>
  <c r="M11" i="19"/>
  <c r="M14" i="22"/>
  <c r="M2" i="27"/>
  <c r="M14" i="27" s="1"/>
  <c r="S33" i="16"/>
  <c r="M11" i="21"/>
  <c r="N4" i="20" l="1"/>
  <c r="N4" i="19"/>
  <c r="N4" i="22"/>
  <c r="N11" i="20"/>
  <c r="AD37" i="16"/>
  <c r="AC39" i="16"/>
  <c r="N19" i="22"/>
  <c r="N2" i="27"/>
  <c r="N14" i="27" s="1"/>
  <c r="T33" i="16"/>
  <c r="N10" i="23"/>
  <c r="N18" i="20"/>
  <c r="V51" i="16"/>
  <c r="P3" i="21"/>
  <c r="P17" i="21" s="1"/>
  <c r="P3" i="24"/>
  <c r="P17" i="24" s="1"/>
  <c r="P3" i="20"/>
  <c r="P17" i="20" s="1"/>
  <c r="P3" i="22"/>
  <c r="P17" i="22" s="1"/>
  <c r="P3" i="19"/>
  <c r="P17" i="19" s="1"/>
  <c r="P3" i="23"/>
  <c r="P17" i="23" s="1"/>
  <c r="P3" i="25"/>
  <c r="P17" i="25" s="1"/>
  <c r="V61" i="16"/>
  <c r="U64" i="16"/>
  <c r="N10" i="22"/>
  <c r="N14" i="24"/>
  <c r="N18" i="19"/>
  <c r="T70" i="16"/>
  <c r="O4" i="19" s="1"/>
  <c r="U67" i="16"/>
  <c r="V78" i="16"/>
  <c r="W74" i="16"/>
  <c r="N19" i="21"/>
  <c r="Y58" i="16"/>
  <c r="Z55" i="16"/>
  <c r="N11" i="24"/>
  <c r="N18" i="25"/>
  <c r="V97" i="16"/>
  <c r="U102" i="16"/>
  <c r="O10" i="22" s="1"/>
  <c r="Y44" i="16"/>
  <c r="X46" i="16"/>
  <c r="N19" i="20"/>
  <c r="V81" i="16"/>
  <c r="U86" i="16"/>
  <c r="O14" i="20" s="1"/>
  <c r="N19" i="19"/>
  <c r="U94" i="16"/>
  <c r="O14" i="24" s="1"/>
  <c r="V89" i="16"/>
  <c r="N14" i="21"/>
  <c r="O4" i="25" l="1"/>
  <c r="O4" i="24"/>
  <c r="O4" i="21"/>
  <c r="O4" i="22"/>
  <c r="O19" i="22"/>
  <c r="W97" i="16"/>
  <c r="V102" i="16"/>
  <c r="O18" i="23"/>
  <c r="O11" i="25"/>
  <c r="O19" i="23"/>
  <c r="O19" i="25"/>
  <c r="O19" i="19"/>
  <c r="O14" i="22"/>
  <c r="O18" i="24"/>
  <c r="O14" i="25"/>
  <c r="O10" i="24"/>
  <c r="O14" i="23"/>
  <c r="O19" i="21"/>
  <c r="O2" i="27"/>
  <c r="O14" i="27" s="1"/>
  <c r="U33" i="16"/>
  <c r="O11" i="23"/>
  <c r="O11" i="22"/>
  <c r="O11" i="24"/>
  <c r="V64" i="16"/>
  <c r="W61" i="16"/>
  <c r="AE37" i="16"/>
  <c r="AD39" i="16"/>
  <c r="V94" i="16"/>
  <c r="P19" i="20" s="1"/>
  <c r="W89" i="16"/>
  <c r="W78" i="16"/>
  <c r="X74" i="16"/>
  <c r="O18" i="19"/>
  <c r="O18" i="21"/>
  <c r="O10" i="23"/>
  <c r="O18" i="22"/>
  <c r="W51" i="16"/>
  <c r="Q3" i="21"/>
  <c r="Q17" i="21" s="1"/>
  <c r="Q3" i="20"/>
  <c r="Q17" i="20" s="1"/>
  <c r="Q3" i="24"/>
  <c r="Q17" i="24" s="1"/>
  <c r="Q3" i="22"/>
  <c r="Q17" i="22" s="1"/>
  <c r="Q3" i="25"/>
  <c r="Q17" i="25" s="1"/>
  <c r="Q3" i="19"/>
  <c r="Q17" i="19" s="1"/>
  <c r="Q3" i="23"/>
  <c r="Q17" i="23" s="1"/>
  <c r="O18" i="20"/>
  <c r="O11" i="19"/>
  <c r="O19" i="24"/>
  <c r="O11" i="21"/>
  <c r="Z58" i="16"/>
  <c r="AA55" i="16"/>
  <c r="P10" i="23"/>
  <c r="P19" i="21"/>
  <c r="P14" i="20"/>
  <c r="P19" i="24"/>
  <c r="P14" i="23"/>
  <c r="P18" i="23"/>
  <c r="P11" i="22"/>
  <c r="P18" i="19"/>
  <c r="P14" i="25"/>
  <c r="P11" i="24"/>
  <c r="P19" i="25"/>
  <c r="P11" i="19"/>
  <c r="P18" i="25"/>
  <c r="P14" i="19"/>
  <c r="O10" i="21"/>
  <c r="V67" i="16"/>
  <c r="U70" i="16"/>
  <c r="P4" i="24" s="1"/>
  <c r="O18" i="25"/>
  <c r="O14" i="21"/>
  <c r="O4" i="23"/>
  <c r="V86" i="16"/>
  <c r="P18" i="24" s="1"/>
  <c r="W81" i="16"/>
  <c r="O10" i="25"/>
  <c r="O4" i="20"/>
  <c r="O10" i="19"/>
  <c r="O11" i="20"/>
  <c r="O10" i="20"/>
  <c r="O14" i="19"/>
  <c r="O19" i="20"/>
  <c r="Z44" i="16"/>
  <c r="Y46" i="16"/>
  <c r="P4" i="23" l="1"/>
  <c r="P4" i="25"/>
  <c r="P4" i="22"/>
  <c r="Y74" i="16"/>
  <c r="X78" i="16"/>
  <c r="Q11" i="21"/>
  <c r="Q14" i="23"/>
  <c r="Q10" i="25"/>
  <c r="Q10" i="20"/>
  <c r="X89" i="16"/>
  <c r="W94" i="16"/>
  <c r="Q11" i="24" s="1"/>
  <c r="P2" i="27"/>
  <c r="P14" i="27" s="1"/>
  <c r="V33" i="16"/>
  <c r="P11" i="20"/>
  <c r="P10" i="24"/>
  <c r="AE39" i="16"/>
  <c r="AF37" i="16"/>
  <c r="P19" i="22"/>
  <c r="W64" i="16"/>
  <c r="X61" i="16"/>
  <c r="P10" i="21"/>
  <c r="P11" i="23"/>
  <c r="P18" i="20"/>
  <c r="P19" i="23"/>
  <c r="P4" i="21"/>
  <c r="V70" i="16"/>
  <c r="Q4" i="21" s="1"/>
  <c r="W67" i="16"/>
  <c r="P18" i="21"/>
  <c r="P4" i="19"/>
  <c r="AA58" i="16"/>
  <c r="AB55" i="16"/>
  <c r="W86" i="16"/>
  <c r="Q18" i="19" s="1"/>
  <c r="X81" i="16"/>
  <c r="Z46" i="16"/>
  <c r="AA44" i="16"/>
  <c r="P14" i="24"/>
  <c r="P14" i="21"/>
  <c r="P10" i="19"/>
  <c r="P10" i="22"/>
  <c r="P10" i="25"/>
  <c r="P4" i="20"/>
  <c r="P11" i="25"/>
  <c r="P10" i="20"/>
  <c r="P18" i="22"/>
  <c r="P11" i="21"/>
  <c r="P19" i="19"/>
  <c r="X51" i="16"/>
  <c r="R3" i="22"/>
  <c r="R17" i="22" s="1"/>
  <c r="R3" i="23"/>
  <c r="R17" i="23" s="1"/>
  <c r="R3" i="19"/>
  <c r="R17" i="19" s="1"/>
  <c r="R3" i="24"/>
  <c r="R17" i="24" s="1"/>
  <c r="R3" i="25"/>
  <c r="R17" i="25" s="1"/>
  <c r="R3" i="20"/>
  <c r="R17" i="20" s="1"/>
  <c r="R3" i="21"/>
  <c r="R17" i="21" s="1"/>
  <c r="X97" i="16"/>
  <c r="W102" i="16"/>
  <c r="Q14" i="21" s="1"/>
  <c r="P14" i="22"/>
  <c r="AB44" i="16" l="1"/>
  <c r="AA46" i="16"/>
  <c r="Q14" i="20"/>
  <c r="Y97" i="16"/>
  <c r="X102" i="16"/>
  <c r="Q4" i="20"/>
  <c r="Q10" i="21"/>
  <c r="Q11" i="23"/>
  <c r="Q4" i="19"/>
  <c r="Q14" i="19"/>
  <c r="Q19" i="19"/>
  <c r="Q10" i="22"/>
  <c r="Q4" i="25"/>
  <c r="Q19" i="23"/>
  <c r="Q14" i="25"/>
  <c r="Q10" i="24"/>
  <c r="Q11" i="25"/>
  <c r="Y51" i="16"/>
  <c r="S3" i="24"/>
  <c r="S17" i="24" s="1"/>
  <c r="S3" i="20"/>
  <c r="S17" i="20" s="1"/>
  <c r="S3" i="21"/>
  <c r="S17" i="21" s="1"/>
  <c r="S3" i="25"/>
  <c r="S17" i="25" s="1"/>
  <c r="S3" i="22"/>
  <c r="S17" i="22" s="1"/>
  <c r="S3" i="19"/>
  <c r="S17" i="19" s="1"/>
  <c r="S3" i="23"/>
  <c r="S17" i="23" s="1"/>
  <c r="Q18" i="20"/>
  <c r="Q19" i="24"/>
  <c r="Q2" i="27"/>
  <c r="Q14" i="27" s="1"/>
  <c r="W33" i="16"/>
  <c r="W70" i="16"/>
  <c r="R4" i="24" s="1"/>
  <c r="X67" i="16"/>
  <c r="Q19" i="20"/>
  <c r="Q10" i="19"/>
  <c r="Q14" i="22"/>
  <c r="Q4" i="23"/>
  <c r="Q18" i="24"/>
  <c r="Q4" i="24"/>
  <c r="Q18" i="22"/>
  <c r="Q19" i="22"/>
  <c r="Q11" i="22"/>
  <c r="Q18" i="25"/>
  <c r="Q18" i="23"/>
  <c r="Q11" i="19"/>
  <c r="Q18" i="21"/>
  <c r="X64" i="16"/>
  <c r="Y61" i="16"/>
  <c r="Q19" i="21"/>
  <c r="Q14" i="24"/>
  <c r="Q10" i="23"/>
  <c r="Q19" i="25"/>
  <c r="AC55" i="16"/>
  <c r="AB58" i="16"/>
  <c r="X94" i="16"/>
  <c r="Y89" i="16"/>
  <c r="Q4" i="22"/>
  <c r="Q11" i="20"/>
  <c r="Y81" i="16"/>
  <c r="X86" i="16"/>
  <c r="R14" i="19" s="1"/>
  <c r="R10" i="24"/>
  <c r="R19" i="22"/>
  <c r="R14" i="21"/>
  <c r="R19" i="25"/>
  <c r="R14" i="24"/>
  <c r="R18" i="24"/>
  <c r="R11" i="23"/>
  <c r="R11" i="24"/>
  <c r="R10" i="22"/>
  <c r="R10" i="21"/>
  <c r="R14" i="25"/>
  <c r="R10" i="23"/>
  <c r="R14" i="20"/>
  <c r="R18" i="20"/>
  <c r="R18" i="19"/>
  <c r="R18" i="21"/>
  <c r="R18" i="23"/>
  <c r="R19" i="19"/>
  <c r="R11" i="25"/>
  <c r="AF39" i="16"/>
  <c r="AG37" i="16"/>
  <c r="AG39" i="16" s="1"/>
  <c r="Z74" i="16"/>
  <c r="Y78" i="16"/>
  <c r="R4" i="23" l="1"/>
  <c r="R4" i="20"/>
  <c r="R4" i="19"/>
  <c r="R4" i="21"/>
  <c r="R10" i="25"/>
  <c r="Y94" i="16"/>
  <c r="Z89" i="16"/>
  <c r="S11" i="23"/>
  <c r="S14" i="24"/>
  <c r="S14" i="21"/>
  <c r="S18" i="23"/>
  <c r="S14" i="22"/>
  <c r="S14" i="20"/>
  <c r="S18" i="25"/>
  <c r="S11" i="20"/>
  <c r="S11" i="25"/>
  <c r="S10" i="19"/>
  <c r="S18" i="21"/>
  <c r="S11" i="19"/>
  <c r="S19" i="21"/>
  <c r="S19" i="23"/>
  <c r="S10" i="22"/>
  <c r="S14" i="19"/>
  <c r="R11" i="20"/>
  <c r="Z51" i="16"/>
  <c r="T3" i="22"/>
  <c r="T17" i="22" s="1"/>
  <c r="T3" i="24"/>
  <c r="T17" i="24" s="1"/>
  <c r="T3" i="25"/>
  <c r="T17" i="25" s="1"/>
  <c r="T3" i="23"/>
  <c r="T17" i="23" s="1"/>
  <c r="T3" i="19"/>
  <c r="T17" i="19" s="1"/>
  <c r="T3" i="21"/>
  <c r="T17" i="21" s="1"/>
  <c r="T3" i="20"/>
  <c r="T17" i="20" s="1"/>
  <c r="X70" i="16"/>
  <c r="S4" i="21" s="1"/>
  <c r="Y67" i="16"/>
  <c r="R2" i="27"/>
  <c r="R14" i="27" s="1"/>
  <c r="X33" i="16"/>
  <c r="Y86" i="16"/>
  <c r="S10" i="20" s="1"/>
  <c r="Z81" i="16"/>
  <c r="R10" i="20"/>
  <c r="AA74" i="16"/>
  <c r="Z78" i="16"/>
  <c r="R18" i="22"/>
  <c r="R18" i="25"/>
  <c r="AD55" i="16"/>
  <c r="AC58" i="16"/>
  <c r="R11" i="21"/>
  <c r="R19" i="21"/>
  <c r="R11" i="22"/>
  <c r="Y102" i="16"/>
  <c r="Z97" i="16"/>
  <c r="R19" i="20"/>
  <c r="R11" i="19"/>
  <c r="R4" i="22"/>
  <c r="Y64" i="16"/>
  <c r="Z61" i="16"/>
  <c r="R14" i="22"/>
  <c r="R19" i="24"/>
  <c r="R14" i="23"/>
  <c r="R19" i="23"/>
  <c r="R4" i="25"/>
  <c r="R10" i="19"/>
  <c r="AC44" i="16"/>
  <c r="AB46" i="16"/>
  <c r="S4" i="22" l="1"/>
  <c r="S18" i="24"/>
  <c r="AA97" i="16"/>
  <c r="Z102" i="16"/>
  <c r="S14" i="25"/>
  <c r="AD44" i="16"/>
  <c r="AC46" i="16"/>
  <c r="S11" i="24"/>
  <c r="S18" i="20"/>
  <c r="S14" i="23"/>
  <c r="T10" i="25"/>
  <c r="T19" i="23"/>
  <c r="T14" i="22"/>
  <c r="T18" i="19"/>
  <c r="T14" i="25"/>
  <c r="T18" i="22"/>
  <c r="T18" i="25"/>
  <c r="T14" i="24"/>
  <c r="T18" i="23"/>
  <c r="T19" i="20"/>
  <c r="T11" i="25"/>
  <c r="T11" i="23"/>
  <c r="T11" i="21"/>
  <c r="T14" i="20"/>
  <c r="T11" i="19"/>
  <c r="AA81" i="16"/>
  <c r="Z86" i="16"/>
  <c r="T11" i="24" s="1"/>
  <c r="S19" i="22"/>
  <c r="S11" i="21"/>
  <c r="S19" i="20"/>
  <c r="S18" i="22"/>
  <c r="S11" i="22"/>
  <c r="S10" i="23"/>
  <c r="AE55" i="16"/>
  <c r="AD58" i="16"/>
  <c r="S4" i="20"/>
  <c r="S19" i="24"/>
  <c r="S4" i="19"/>
  <c r="S10" i="25"/>
  <c r="S4" i="25"/>
  <c r="S18" i="19"/>
  <c r="S4" i="23"/>
  <c r="AA51" i="16"/>
  <c r="U3" i="20"/>
  <c r="U17" i="20" s="1"/>
  <c r="U3" i="23"/>
  <c r="U17" i="23" s="1"/>
  <c r="U3" i="24"/>
  <c r="U17" i="24" s="1"/>
  <c r="U3" i="22"/>
  <c r="U17" i="22" s="1"/>
  <c r="U3" i="21"/>
  <c r="U17" i="21" s="1"/>
  <c r="U3" i="19"/>
  <c r="U17" i="19" s="1"/>
  <c r="U3" i="25"/>
  <c r="U17" i="25" s="1"/>
  <c r="S19" i="19"/>
  <c r="S4" i="24"/>
  <c r="AA61" i="16"/>
  <c r="Z64" i="16"/>
  <c r="AB74" i="16"/>
  <c r="AA78" i="16"/>
  <c r="S10" i="24"/>
  <c r="S2" i="27"/>
  <c r="S14" i="27" s="1"/>
  <c r="Y33" i="16"/>
  <c r="Y70" i="16"/>
  <c r="T4" i="20" s="1"/>
  <c r="Z67" i="16"/>
  <c r="S19" i="25"/>
  <c r="AA89" i="16"/>
  <c r="Z94" i="16"/>
  <c r="T19" i="21" s="1"/>
  <c r="S10" i="21"/>
  <c r="T4" i="19" l="1"/>
  <c r="T4" i="25"/>
  <c r="T4" i="24"/>
  <c r="T4" i="22"/>
  <c r="T4" i="21"/>
  <c r="T4" i="23"/>
  <c r="T14" i="21"/>
  <c r="T19" i="25"/>
  <c r="AA86" i="16"/>
  <c r="AB81" i="16"/>
  <c r="T10" i="24"/>
  <c r="U18" i="23"/>
  <c r="U11" i="22"/>
  <c r="U18" i="25"/>
  <c r="U11" i="24"/>
  <c r="U14" i="24"/>
  <c r="U10" i="24"/>
  <c r="U18" i="19"/>
  <c r="U14" i="25"/>
  <c r="U19" i="21"/>
  <c r="U14" i="21"/>
  <c r="U10" i="20"/>
  <c r="U19" i="20"/>
  <c r="U10" i="19"/>
  <c r="U11" i="25"/>
  <c r="U18" i="20"/>
  <c r="U19" i="24"/>
  <c r="U11" i="21"/>
  <c r="U14" i="20"/>
  <c r="U10" i="25"/>
  <c r="U14" i="19"/>
  <c r="U19" i="22"/>
  <c r="U19" i="19"/>
  <c r="AE58" i="16"/>
  <c r="AF55" i="16"/>
  <c r="AB89" i="16"/>
  <c r="AA94" i="16"/>
  <c r="U18" i="22" s="1"/>
  <c r="T19" i="24"/>
  <c r="AB61" i="16"/>
  <c r="AA64" i="16"/>
  <c r="T10" i="20"/>
  <c r="T10" i="23"/>
  <c r="T10" i="22"/>
  <c r="AA67" i="16"/>
  <c r="Z70" i="16"/>
  <c r="U4" i="24" s="1"/>
  <c r="T11" i="22"/>
  <c r="T11" i="20"/>
  <c r="T10" i="21"/>
  <c r="AD46" i="16"/>
  <c r="AE44" i="16"/>
  <c r="Z33" i="16"/>
  <c r="T2" i="27"/>
  <c r="T14" i="27" s="1"/>
  <c r="T14" i="19"/>
  <c r="T19" i="19"/>
  <c r="AB51" i="16"/>
  <c r="V3" i="24"/>
  <c r="V17" i="24" s="1"/>
  <c r="V3" i="19"/>
  <c r="V17" i="19" s="1"/>
  <c r="V3" i="22"/>
  <c r="V17" i="22" s="1"/>
  <c r="V3" i="23"/>
  <c r="V17" i="23" s="1"/>
  <c r="V3" i="25"/>
  <c r="V17" i="25" s="1"/>
  <c r="V3" i="21"/>
  <c r="V17" i="21" s="1"/>
  <c r="V3" i="20"/>
  <c r="V17" i="20" s="1"/>
  <c r="T19" i="22"/>
  <c r="T18" i="20"/>
  <c r="AB78" i="16"/>
  <c r="AC74" i="16"/>
  <c r="U4" i="25"/>
  <c r="U4" i="22"/>
  <c r="T18" i="21"/>
  <c r="T14" i="23"/>
  <c r="T18" i="24"/>
  <c r="T10" i="19"/>
  <c r="AB97" i="16"/>
  <c r="AA102" i="16"/>
  <c r="U19" i="23" s="1"/>
  <c r="AC61" i="16" l="1"/>
  <c r="AB64" i="16"/>
  <c r="U11" i="20"/>
  <c r="U11" i="23"/>
  <c r="U10" i="23"/>
  <c r="AC51" i="16"/>
  <c r="W3" i="22"/>
  <c r="W17" i="22" s="1"/>
  <c r="W3" i="23"/>
  <c r="W17" i="23" s="1"/>
  <c r="W3" i="20"/>
  <c r="W17" i="20" s="1"/>
  <c r="W3" i="21"/>
  <c r="W17" i="21" s="1"/>
  <c r="W3" i="24"/>
  <c r="W17" i="24" s="1"/>
  <c r="W3" i="19"/>
  <c r="W17" i="19" s="1"/>
  <c r="W3" i="25"/>
  <c r="W17" i="25" s="1"/>
  <c r="U14" i="22"/>
  <c r="U4" i="21"/>
  <c r="AB94" i="16"/>
  <c r="V18" i="22" s="1"/>
  <c r="AC89" i="16"/>
  <c r="U10" i="21"/>
  <c r="U4" i="19"/>
  <c r="AE46" i="16"/>
  <c r="AF44" i="16"/>
  <c r="AF58" i="16"/>
  <c r="AG55" i="16"/>
  <c r="AG58" i="16" s="1"/>
  <c r="U18" i="24"/>
  <c r="U4" i="23"/>
  <c r="U19" i="25"/>
  <c r="AB86" i="16"/>
  <c r="V18" i="19" s="1"/>
  <c r="AC81" i="16"/>
  <c r="U4" i="20"/>
  <c r="U11" i="19"/>
  <c r="U18" i="21"/>
  <c r="AC78" i="16"/>
  <c r="AD74" i="16"/>
  <c r="V19" i="22"/>
  <c r="V19" i="23"/>
  <c r="AA70" i="16"/>
  <c r="V4" i="22" s="1"/>
  <c r="AB67" i="16"/>
  <c r="AC97" i="16"/>
  <c r="AB102" i="16"/>
  <c r="U10" i="22"/>
  <c r="U2" i="27"/>
  <c r="U14" i="27" s="1"/>
  <c r="AA33" i="16"/>
  <c r="U14" i="23"/>
  <c r="V4" i="24" l="1"/>
  <c r="V4" i="21"/>
  <c r="V19" i="25"/>
  <c r="V18" i="25"/>
  <c r="V14" i="21"/>
  <c r="V18" i="21"/>
  <c r="V14" i="19"/>
  <c r="V11" i="19"/>
  <c r="V14" i="23"/>
  <c r="V19" i="20"/>
  <c r="W4" i="20"/>
  <c r="W4" i="19"/>
  <c r="W4" i="25"/>
  <c r="W4" i="21"/>
  <c r="W4" i="22"/>
  <c r="W4" i="24"/>
  <c r="V2" i="27"/>
  <c r="V14" i="27" s="1"/>
  <c r="AB33" i="16"/>
  <c r="V14" i="24"/>
  <c r="AC64" i="16"/>
  <c r="AD61" i="16"/>
  <c r="V18" i="24"/>
  <c r="V10" i="23"/>
  <c r="V10" i="21"/>
  <c r="V10" i="24"/>
  <c r="V18" i="23"/>
  <c r="V14" i="20"/>
  <c r="V10" i="25"/>
  <c r="AD51" i="16"/>
  <c r="X3" i="24"/>
  <c r="X17" i="24" s="1"/>
  <c r="X3" i="22"/>
  <c r="X17" i="22" s="1"/>
  <c r="X3" i="23"/>
  <c r="X17" i="23" s="1"/>
  <c r="X3" i="19"/>
  <c r="X17" i="19" s="1"/>
  <c r="X3" i="21"/>
  <c r="X17" i="21" s="1"/>
  <c r="X3" i="25"/>
  <c r="X17" i="25" s="1"/>
  <c r="X3" i="20"/>
  <c r="X17" i="20" s="1"/>
  <c r="V19" i="24"/>
  <c r="V14" i="25"/>
  <c r="V11" i="20"/>
  <c r="V10" i="22"/>
  <c r="V19" i="21"/>
  <c r="AF46" i="16"/>
  <c r="AG44" i="16"/>
  <c r="AG46" i="16" s="1"/>
  <c r="V4" i="20"/>
  <c r="V11" i="21"/>
  <c r="AD81" i="16"/>
  <c r="AC86" i="16"/>
  <c r="W11" i="21" s="1"/>
  <c r="V4" i="23"/>
  <c r="AD97" i="16"/>
  <c r="AC102" i="16"/>
  <c r="V11" i="23"/>
  <c r="V4" i="19"/>
  <c r="AB70" i="16"/>
  <c r="W4" i="23" s="1"/>
  <c r="AC67" i="16"/>
  <c r="V4" i="25"/>
  <c r="V14" i="22"/>
  <c r="V10" i="20"/>
  <c r="V11" i="24"/>
  <c r="V11" i="25"/>
  <c r="V11" i="22"/>
  <c r="V19" i="19"/>
  <c r="V18" i="20"/>
  <c r="V10" i="19"/>
  <c r="AE74" i="16"/>
  <c r="AD78" i="16"/>
  <c r="W18" i="24"/>
  <c r="W11" i="23"/>
  <c r="W11" i="25"/>
  <c r="W10" i="24"/>
  <c r="W10" i="25"/>
  <c r="W19" i="19"/>
  <c r="W19" i="24"/>
  <c r="W18" i="19"/>
  <c r="W14" i="19"/>
  <c r="W10" i="23"/>
  <c r="W19" i="22"/>
  <c r="AD89" i="16"/>
  <c r="AC94" i="16"/>
  <c r="AF74" i="16" l="1"/>
  <c r="AE78" i="16"/>
  <c r="W14" i="20"/>
  <c r="W18" i="23"/>
  <c r="W10" i="20"/>
  <c r="W19" i="23"/>
  <c r="W14" i="22"/>
  <c r="W10" i="22"/>
  <c r="W14" i="24"/>
  <c r="AC70" i="16"/>
  <c r="X4" i="24" s="1"/>
  <c r="AD67" i="16"/>
  <c r="X10" i="22"/>
  <c r="X19" i="20"/>
  <c r="X10" i="23"/>
  <c r="X10" i="24"/>
  <c r="X19" i="22"/>
  <c r="X18" i="22"/>
  <c r="X18" i="20"/>
  <c r="X19" i="24"/>
  <c r="X14" i="23"/>
  <c r="X10" i="20"/>
  <c r="X11" i="19"/>
  <c r="X14" i="21"/>
  <c r="X14" i="25"/>
  <c r="AC33" i="16"/>
  <c r="W2" i="27"/>
  <c r="W14" i="27" s="1"/>
  <c r="W10" i="19"/>
  <c r="AD86" i="16"/>
  <c r="X19" i="21" s="1"/>
  <c r="AE81" i="16"/>
  <c r="AE51" i="16"/>
  <c r="Y3" i="23"/>
  <c r="Y17" i="23" s="1"/>
  <c r="Y3" i="21"/>
  <c r="Y17" i="21" s="1"/>
  <c r="Y3" i="20"/>
  <c r="Y17" i="20" s="1"/>
  <c r="Y3" i="25"/>
  <c r="Y17" i="25" s="1"/>
  <c r="Y3" i="22"/>
  <c r="Y17" i="22" s="1"/>
  <c r="Y3" i="24"/>
  <c r="Y17" i="24" s="1"/>
  <c r="Y3" i="19"/>
  <c r="Y17" i="19" s="1"/>
  <c r="AD94" i="16"/>
  <c r="X19" i="19" s="1"/>
  <c r="AE89" i="16"/>
  <c r="W19" i="25"/>
  <c r="W18" i="21"/>
  <c r="W14" i="25"/>
  <c r="W19" i="21"/>
  <c r="AE61" i="16"/>
  <c r="AD64" i="16"/>
  <c r="W11" i="24"/>
  <c r="W14" i="23"/>
  <c r="W18" i="20"/>
  <c r="W18" i="25"/>
  <c r="AD102" i="16"/>
  <c r="AE97" i="16"/>
  <c r="W11" i="22"/>
  <c r="W10" i="21"/>
  <c r="W19" i="20"/>
  <c r="W11" i="19"/>
  <c r="W11" i="20"/>
  <c r="W14" i="21"/>
  <c r="W18" i="22"/>
  <c r="X4" i="19" l="1"/>
  <c r="X4" i="21"/>
  <c r="X11" i="23"/>
  <c r="X18" i="24"/>
  <c r="X18" i="21"/>
  <c r="X19" i="23"/>
  <c r="AD70" i="16"/>
  <c r="Y4" i="22" s="1"/>
  <c r="AE67" i="16"/>
  <c r="X10" i="19"/>
  <c r="X4" i="23"/>
  <c r="X11" i="22"/>
  <c r="X4" i="22"/>
  <c r="AF51" i="16"/>
  <c r="Z3" i="24"/>
  <c r="Z17" i="24" s="1"/>
  <c r="Z3" i="21"/>
  <c r="Z17" i="21" s="1"/>
  <c r="Z3" i="23"/>
  <c r="Z17" i="23" s="1"/>
  <c r="Z3" i="19"/>
  <c r="Z17" i="19" s="1"/>
  <c r="Z3" i="20"/>
  <c r="Z17" i="20" s="1"/>
  <c r="Z3" i="22"/>
  <c r="Z17" i="22" s="1"/>
  <c r="Z3" i="25"/>
  <c r="Z17" i="25" s="1"/>
  <c r="X14" i="20"/>
  <c r="Y4" i="21"/>
  <c r="Y4" i="23"/>
  <c r="AG74" i="16"/>
  <c r="AF78" i="16"/>
  <c r="AF61" i="16"/>
  <c r="AE64" i="16"/>
  <c r="X11" i="20"/>
  <c r="X18" i="25"/>
  <c r="X14" i="24"/>
  <c r="X19" i="25"/>
  <c r="X10" i="25"/>
  <c r="AE86" i="16"/>
  <c r="Y14" i="25" s="1"/>
  <c r="AF81" i="16"/>
  <c r="X18" i="23"/>
  <c r="X4" i="20"/>
  <c r="X11" i="25"/>
  <c r="X4" i="25"/>
  <c r="X14" i="19"/>
  <c r="X10" i="21"/>
  <c r="X2" i="27"/>
  <c r="X14" i="27" s="1"/>
  <c r="AD33" i="16"/>
  <c r="X11" i="24"/>
  <c r="AE94" i="16"/>
  <c r="AF89" i="16"/>
  <c r="X18" i="19"/>
  <c r="X11" i="21"/>
  <c r="AF97" i="16"/>
  <c r="AE102" i="16"/>
  <c r="X14" i="22"/>
  <c r="Y11" i="23"/>
  <c r="Y14" i="20"/>
  <c r="Y18" i="24"/>
  <c r="Y10" i="25"/>
  <c r="Y14" i="23"/>
  <c r="Y19" i="22"/>
  <c r="Y14" i="19"/>
  <c r="Y11" i="20"/>
  <c r="Y11" i="21"/>
  <c r="Y18" i="20"/>
  <c r="Y19" i="21"/>
  <c r="Y19" i="20"/>
  <c r="Y18" i="19"/>
  <c r="Y10" i="21"/>
  <c r="Y10" i="20"/>
  <c r="Y18" i="23"/>
  <c r="Y14" i="22"/>
  <c r="Y18" i="21"/>
  <c r="Y4" i="19" l="1"/>
  <c r="Y4" i="24"/>
  <c r="Y11" i="19"/>
  <c r="Y11" i="22"/>
  <c r="Y11" i="24"/>
  <c r="Y18" i="25"/>
  <c r="Y14" i="21"/>
  <c r="AG81" i="16"/>
  <c r="AF86" i="16"/>
  <c r="Z10" i="23" s="1"/>
  <c r="Y18" i="22"/>
  <c r="Y19" i="24"/>
  <c r="AF102" i="16"/>
  <c r="AG97" i="16"/>
  <c r="Z14" i="25"/>
  <c r="Z18" i="22"/>
  <c r="Z11" i="21"/>
  <c r="Z18" i="25"/>
  <c r="Z11" i="24"/>
  <c r="Z14" i="22"/>
  <c r="Z10" i="22"/>
  <c r="Z14" i="24"/>
  <c r="Z10" i="19"/>
  <c r="Z11" i="22"/>
  <c r="Z18" i="24"/>
  <c r="AE70" i="16"/>
  <c r="Z4" i="19" s="1"/>
  <c r="AF67" i="16"/>
  <c r="Y10" i="24"/>
  <c r="AH74" i="16"/>
  <c r="AH78" i="16" s="1"/>
  <c r="AG78" i="16"/>
  <c r="Y14" i="24"/>
  <c r="AF94" i="16"/>
  <c r="Z11" i="19" s="1"/>
  <c r="AG89" i="16"/>
  <c r="Y4" i="20"/>
  <c r="Y19" i="19"/>
  <c r="Y4" i="25"/>
  <c r="Y2" i="27"/>
  <c r="Y14" i="27" s="1"/>
  <c r="AE33" i="16"/>
  <c r="Y19" i="25"/>
  <c r="Y19" i="23"/>
  <c r="Y10" i="19"/>
  <c r="AG51" i="16"/>
  <c r="AA3" i="22"/>
  <c r="AA17" i="22" s="1"/>
  <c r="AA3" i="24"/>
  <c r="AA17" i="24" s="1"/>
  <c r="AA3" i="23"/>
  <c r="AA17" i="23" s="1"/>
  <c r="AA3" i="21"/>
  <c r="AA17" i="21" s="1"/>
  <c r="AA3" i="25"/>
  <c r="AA17" i="25" s="1"/>
  <c r="AA3" i="19"/>
  <c r="AA17" i="19" s="1"/>
  <c r="AA3" i="20"/>
  <c r="AA17" i="20" s="1"/>
  <c r="Y10" i="23"/>
  <c r="Y10" i="22"/>
  <c r="AG61" i="16"/>
  <c r="AG64" i="16" s="1"/>
  <c r="AF64" i="16"/>
  <c r="Y11" i="25"/>
  <c r="Z4" i="22" l="1"/>
  <c r="Z4" i="23"/>
  <c r="AH97" i="16"/>
  <c r="AH102" i="16" s="1"/>
  <c r="AB11" i="21" s="1"/>
  <c r="AG102" i="16"/>
  <c r="AH89" i="16"/>
  <c r="AH94" i="16" s="1"/>
  <c r="AG94" i="16"/>
  <c r="AA4" i="24"/>
  <c r="AA4" i="21"/>
  <c r="AA4" i="20"/>
  <c r="AA4" i="19"/>
  <c r="AA18" i="23"/>
  <c r="AA18" i="19"/>
  <c r="AA14" i="25"/>
  <c r="AA18" i="25"/>
  <c r="AA14" i="24"/>
  <c r="AA14" i="21"/>
  <c r="AA14" i="23"/>
  <c r="AA19" i="19"/>
  <c r="AA19" i="22"/>
  <c r="AA19" i="24"/>
  <c r="AA11" i="20"/>
  <c r="AA18" i="20"/>
  <c r="AA11" i="24"/>
  <c r="AA19" i="20"/>
  <c r="AA10" i="20"/>
  <c r="AA19" i="25"/>
  <c r="Z19" i="23"/>
  <c r="AF70" i="16"/>
  <c r="AA4" i="23" s="1"/>
  <c r="AG67" i="16"/>
  <c r="AG70" i="16" s="1"/>
  <c r="AB4" i="19" s="1"/>
  <c r="Z11" i="23"/>
  <c r="Z18" i="23"/>
  <c r="Z14" i="20"/>
  <c r="Z4" i="20"/>
  <c r="Z10" i="21"/>
  <c r="Z19" i="19"/>
  <c r="Z4" i="21"/>
  <c r="Z2" i="27"/>
  <c r="Z14" i="27" s="1"/>
  <c r="AF33" i="16"/>
  <c r="AB4" i="20"/>
  <c r="AB4" i="24"/>
  <c r="AB4" i="23"/>
  <c r="AB4" i="25"/>
  <c r="AB4" i="22"/>
  <c r="AB4" i="21"/>
  <c r="Z18" i="21"/>
  <c r="Z19" i="25"/>
  <c r="Z11" i="25"/>
  <c r="Z4" i="24"/>
  <c r="Z19" i="22"/>
  <c r="Z4" i="25"/>
  <c r="Z10" i="20"/>
  <c r="Z10" i="25"/>
  <c r="Z14" i="21"/>
  <c r="Z14" i="23"/>
  <c r="AB3" i="19"/>
  <c r="AB17" i="19" s="1"/>
  <c r="AB3" i="21"/>
  <c r="AB17" i="21" s="1"/>
  <c r="AB3" i="25"/>
  <c r="AB17" i="25" s="1"/>
  <c r="AB3" i="24"/>
  <c r="AB17" i="24" s="1"/>
  <c r="AB3" i="22"/>
  <c r="AB17" i="22" s="1"/>
  <c r="AB3" i="23"/>
  <c r="AB17" i="23" s="1"/>
  <c r="AB3" i="20"/>
  <c r="AB17" i="20" s="1"/>
  <c r="Z18" i="19"/>
  <c r="Z19" i="24"/>
  <c r="Z11" i="20"/>
  <c r="Z19" i="21"/>
  <c r="Z14" i="19"/>
  <c r="Z10" i="24"/>
  <c r="AH81" i="16"/>
  <c r="AH86" i="16" s="1"/>
  <c r="AB11" i="22" s="1"/>
  <c r="AG86" i="16"/>
  <c r="AA10" i="24" s="1"/>
  <c r="Z19" i="20"/>
  <c r="Z18" i="20"/>
  <c r="AA4" i="25" l="1"/>
  <c r="AA4" i="22"/>
  <c r="AB14" i="20"/>
  <c r="AB18" i="24"/>
  <c r="AB18" i="25"/>
  <c r="AA18" i="22"/>
  <c r="AA10" i="21"/>
  <c r="AB10" i="20"/>
  <c r="AA14" i="19"/>
  <c r="AA18" i="24"/>
  <c r="AA10" i="22"/>
  <c r="AB18" i="20"/>
  <c r="AB18" i="21"/>
  <c r="AA14" i="20"/>
  <c r="AB14" i="23"/>
  <c r="AB10" i="25"/>
  <c r="AA18" i="21"/>
  <c r="AB18" i="23"/>
  <c r="AB19" i="23"/>
  <c r="AB18" i="22"/>
  <c r="AA10" i="19"/>
  <c r="AG33" i="16"/>
  <c r="AB2" i="27" s="1"/>
  <c r="AB14" i="27" s="1"/>
  <c r="AA2" i="27"/>
  <c r="AA14" i="27" s="1"/>
  <c r="AB19" i="25"/>
  <c r="AB19" i="19"/>
  <c r="AB10" i="21"/>
  <c r="AA10" i="25"/>
  <c r="AB10" i="23"/>
  <c r="AA11" i="21"/>
  <c r="AB14" i="24"/>
  <c r="AB19" i="22"/>
  <c r="AA11" i="23"/>
  <c r="AB14" i="22"/>
  <c r="AB10" i="24"/>
  <c r="AA11" i="19"/>
  <c r="AB10" i="22"/>
  <c r="AB11" i="25"/>
  <c r="AA11" i="22"/>
  <c r="AB11" i="23"/>
  <c r="AB19" i="20"/>
  <c r="AB11" i="19"/>
  <c r="AA19" i="23"/>
  <c r="AB10" i="19"/>
  <c r="AA10" i="23"/>
  <c r="AB14" i="25"/>
  <c r="AB19" i="24"/>
  <c r="AA14" i="22"/>
  <c r="AB19" i="21"/>
  <c r="AA11" i="25"/>
  <c r="AB18" i="19"/>
  <c r="AB11" i="24"/>
  <c r="AB11" i="20"/>
  <c r="AB14" i="21"/>
  <c r="AB14" i="19"/>
  <c r="AA19" i="21"/>
</calcChain>
</file>

<file path=xl/sharedStrings.xml><?xml version="1.0" encoding="utf-8"?>
<sst xmlns="http://schemas.openxmlformats.org/spreadsheetml/2006/main" count="5117" uniqueCount="1825">
  <si>
    <t>BS BAU Subsidy for Thermal Fuels per Energy Unit Produced</t>
  </si>
  <si>
    <t>BS BAU Subsidy per Unit Electricity Output</t>
  </si>
  <si>
    <t>BS BAU Subsidy per Unit Electricity Output for Exisiting Plants</t>
  </si>
  <si>
    <t>BS BAU Subsidy per Unit Electricity Capacity Built</t>
  </si>
  <si>
    <t>BS Duration of Subsidies per Unit Electricity Output</t>
  </si>
  <si>
    <t>Source:</t>
  </si>
  <si>
    <t>Tax Expenditures</t>
  </si>
  <si>
    <t>Joint Committee on Taxation, 113th Congress, 2nd Session</t>
  </si>
  <si>
    <t>Estimates of Federal Tax Expenditures for Fiscal Years 2014-2018</t>
  </si>
  <si>
    <t>https://www.jct.gov/publications.html?func=download&amp;id=4663&amp;chk=4663&amp;no_html=1</t>
  </si>
  <si>
    <t>Pages 22-34, Table 1</t>
  </si>
  <si>
    <t>Investment Tax Credit</t>
  </si>
  <si>
    <t>Database of State Incentives for Renewables &amp; Efficiency (DSIRE)</t>
  </si>
  <si>
    <t>Business Energy Investment Tax Credit</t>
  </si>
  <si>
    <t>http://programs.dsireusa.org/system/program/detail/658</t>
  </si>
  <si>
    <t>Production Tax Credit</t>
  </si>
  <si>
    <t>Congressional Research Service</t>
  </si>
  <si>
    <t>The Renewable Electricity Production Tax Credit: In Brief</t>
  </si>
  <si>
    <t>https://fas.org/sgp/crs/misc/R43453.pdf</t>
  </si>
  <si>
    <t>Tax Credit for Qualifying Advanced Coal Projects</t>
  </si>
  <si>
    <t>Legal Information Institute, Cornell University Law School</t>
  </si>
  <si>
    <t>26 U.S. Code § 48A - Qualifying advanced coal project credit</t>
  </si>
  <si>
    <t>https://www.law.cornell.edu/uscode/text/26/48A</t>
  </si>
  <si>
    <t>Capital Gains Treatment for Royalties of Coal; Inclusion of Coal in Expensing of Exploration and Development Costs for Hard Mineral Fuels; Deductions for Tertiary Injections</t>
  </si>
  <si>
    <t>U.S. Treasury</t>
  </si>
  <si>
    <t>Progress Report on Fossil Fuel Subsidies</t>
  </si>
  <si>
    <t>http://www.treasury.gov/open/Documents/USA%20FFSR%20progress%20report%20to%20G20%202014%20Final.pdf</t>
  </si>
  <si>
    <t>p.5</t>
  </si>
  <si>
    <t>Energy Production</t>
  </si>
  <si>
    <t>Energy Information Administration</t>
  </si>
  <si>
    <t>https://www.eia.gov/outlooks/aeo/tables_side.php</t>
  </si>
  <si>
    <t>Table 1, Table 8, Table 11</t>
  </si>
  <si>
    <t>2020 Tax Credit Expansions</t>
  </si>
  <si>
    <t>Jeff St. John</t>
  </si>
  <si>
    <t>Congress Passes Spending Bill With Solar, Wind Tax Credit Extensions and Energy R&amp;D Package</t>
  </si>
  <si>
    <t>https://www.greentechmedia.com/articles/read/solar-and-wind-tax-credit-extensions-energy-rd-package-in-spending-bill-before-congress#:~:text=According%20to%20a%20summary%20shared,would%20have%20under%20existing%20law.</t>
  </si>
  <si>
    <t>Penalty for Monetizing Tax Credit Incentives</t>
  </si>
  <si>
    <t>NREL</t>
  </si>
  <si>
    <t>Regional Energy Deployment System (ReEDS) Model Documentation: Version 2019</t>
  </si>
  <si>
    <t>https://www.nrel.gov/docs/fy20osti/74111.pdf</t>
  </si>
  <si>
    <t>Section 9.2.2; Section 9.2.1, second paragraph</t>
  </si>
  <si>
    <t>Notes</t>
  </si>
  <si>
    <t>The duration of subsidies per unit electricity output variable should specify the number of years</t>
  </si>
  <si>
    <t>generators will qualify for electricity production tax credits/incentives.</t>
  </si>
  <si>
    <t>Tax expenditure data is only available for years 2014-2018.</t>
  </si>
  <si>
    <t>We assume 2013 to be like 2014 in terms of rate (tax expenditure per unit energy).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</si>
  <si>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</si>
  <si>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</si>
  <si>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</si>
  <si>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</si>
  <si>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The Joint Committee on Taxation document does not specify the currency year of its data, and they report</t>
  </si>
  <si>
    <t>only 2014 and a number of future years (the document was written in 2014), so we assume the currency</t>
  </si>
  <si>
    <t>year used is 2014.</t>
  </si>
  <si>
    <t>We adjust 2014 dollars to 2012 dollars using the following conversion factor:</t>
  </si>
  <si>
    <t>See "cpi.xlsx" in the InputData folder for source information.</t>
  </si>
  <si>
    <t>We adjust 2019 dollars to 2012 dollars using the following conversion factor:</t>
  </si>
  <si>
    <t>dollars_2020_2012</t>
  </si>
  <si>
    <t>dollars_2022_2012</t>
  </si>
  <si>
    <t>2023 to 2012</t>
  </si>
  <si>
    <t>Methodology:</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</si>
  <si>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</si>
  <si>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Phase-Out:</t>
  </si>
  <si>
    <t>The IRA tax credits will begin to phase out the later of either when electricity sector emissions fall 75% below 2022 values or after 2032.</t>
  </si>
  <si>
    <t>According to the EPA Greenhouse Gas Inventory, electricity sector CO2 emissions were 1554.4 MMT in 2022.</t>
  </si>
  <si>
    <t>Therefore, we evaluate when EPS electricity sector emissions fall below:</t>
  </si>
  <si>
    <t>MMT</t>
  </si>
  <si>
    <t>Latest calibration year target passed: 2036</t>
  </si>
  <si>
    <t>https://www.nrel.gov/docs/fy25osti/92256.pdf</t>
  </si>
  <si>
    <t>First year after applicable year</t>
  </si>
  <si>
    <t>Second year following applicable year</t>
  </si>
  <si>
    <t>Third year following applicable year</t>
  </si>
  <si>
    <t>All years thereafter</t>
  </si>
  <si>
    <t>threshold reached</t>
  </si>
  <si>
    <t>first year</t>
  </si>
  <si>
    <t>second year</t>
  </si>
  <si>
    <t>third year</t>
  </si>
  <si>
    <t>Phaseout Timeline (without commenced construction provisions, covered below)</t>
  </si>
  <si>
    <t>geothermal/nuclear/other</t>
  </si>
  <si>
    <t>wind/solar*</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</si>
  <si>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</si>
  <si>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</si>
  <si>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</si>
  <si>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</si>
  <si>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</si>
  <si>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</si>
  <si>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</si>
  <si>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We assume that the rate of union membership can increase by 20% by 2025 in response to the tax credit incentives.</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</si>
  <si>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</si>
  <si>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</si>
  <si>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</si>
  <si>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</si>
  <si>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</si>
  <si>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</si>
  <si>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</si>
  <si>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</si>
  <si>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</si>
  <si>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</si>
  <si>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</si>
  <si>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</si>
  <si>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</si>
  <si>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</si>
  <si>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</si>
  <si>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</si>
  <si>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</si>
  <si>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</si>
  <si>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</si>
  <si>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</si>
  <si>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</si>
  <si>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</si>
  <si>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</si>
  <si>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</si>
  <si>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</si>
  <si>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</si>
  <si>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</si>
  <si>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</si>
  <si>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</si>
  <si>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</si>
  <si>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</si>
  <si>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</si>
  <si>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</si>
  <si>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</si>
  <si>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</si>
  <si>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</si>
  <si>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</si>
  <si>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</si>
  <si>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t>1992 to 2020 calendar year adjustment</t>
  </si>
  <si>
    <t>2020 to 2012 USD</t>
  </si>
  <si>
    <t>Duration of PTC (years)</t>
  </si>
  <si>
    <t>Base Credit (2012 USD)</t>
  </si>
  <si>
    <t>Bonus Credit (2012 USD)</t>
  </si>
  <si>
    <t>Domestic content bonus, bonus</t>
  </si>
  <si>
    <t>Discount rate</t>
  </si>
  <si>
    <t>We don't use a discount rate, in line with other factors that are part of the cost per unit new elec output</t>
  </si>
  <si>
    <t>Transferability penalty</t>
  </si>
  <si>
    <t>https://www.utilitydive.com/news/duke-avangrid-bank-of-america-ira-tax-credit-finance-clean-energy-wind-solar/696069/?s=09</t>
  </si>
  <si>
    <t>Energy community bonus</t>
  </si>
  <si>
    <t>Fraction of capacity qualifying for energy community bonus</t>
  </si>
  <si>
    <t>PTC</t>
  </si>
  <si>
    <t>wind</t>
  </si>
  <si>
    <t>solar</t>
  </si>
  <si>
    <t>safe harbor timeline</t>
  </si>
  <si>
    <t>construction period (source: NREL ATB)</t>
  </si>
  <si>
    <t>PTC Phase-out Schedule, onshore wind</t>
  </si>
  <si>
    <t>PTC Phase-out Schedule, solar PV</t>
  </si>
  <si>
    <t>Onshore Wind Credit Value 2012 $ / MWh</t>
  </si>
  <si>
    <t>Solar PV Credit Value (2020 $ / MWh)</t>
  </si>
  <si>
    <t>*see solar ITC vs. PTC determination below</t>
  </si>
  <si>
    <t>Nuclear Credit Value (2020 $ / MWh)</t>
  </si>
  <si>
    <t>ITC</t>
  </si>
  <si>
    <t>solar PV</t>
  </si>
  <si>
    <t>solar thermal</t>
  </si>
  <si>
    <t>geothermal</t>
  </si>
  <si>
    <t>offshore wind</t>
  </si>
  <si>
    <t>nuclear: https://www.eia.gov/outlooks/aeo/assumptions/pdf/EMM_Assumptions.pdf</t>
  </si>
  <si>
    <t>ITC Phase-out Schedule</t>
  </si>
  <si>
    <t>ITC Phase-out Scheulde, solar PV</t>
  </si>
  <si>
    <t>ITC Phase-out Scheulde, solar thermal</t>
  </si>
  <si>
    <t>ITC Phase-out Scheulde, geothermal</t>
  </si>
  <si>
    <t>ITC Phase-out Scheulde, nuclear</t>
  </si>
  <si>
    <t>ITC Phase-out Scheulde, offshore wind</t>
  </si>
  <si>
    <t>* geothermal and nuclear - OBBBA phaseout timeline now implemented starting in 2034</t>
  </si>
  <si>
    <t>Base Credit</t>
  </si>
  <si>
    <t>Bonus Credit</t>
  </si>
  <si>
    <t>ITC Settings</t>
  </si>
  <si>
    <t>Solar PV Credit Value % project costs</t>
  </si>
  <si>
    <t>Solar Thermal Credit Value % project costs</t>
  </si>
  <si>
    <t>Geothermal Credit Value % project costs</t>
  </si>
  <si>
    <t>Nuclear Credit Value % project costs</t>
  </si>
  <si>
    <t>Offshore Credit Value % project costs</t>
  </si>
  <si>
    <t>Solar ITC vs. PTC</t>
  </si>
  <si>
    <t>ATB Cost per Watt</t>
  </si>
  <si>
    <t>Capacity Factor Assumption</t>
  </si>
  <si>
    <t>Project Size</t>
  </si>
  <si>
    <t>Annual MWh</t>
  </si>
  <si>
    <t>Discount Rate</t>
  </si>
  <si>
    <t>PTC duration</t>
  </si>
  <si>
    <t>ITC Value</t>
  </si>
  <si>
    <t>PTC Value (annual)</t>
  </si>
  <si>
    <t>PTC Value (upfront, discounted)</t>
  </si>
  <si>
    <t>PTC Value (upfront, undiscounted)</t>
  </si>
  <si>
    <t>ITC or PTC?</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</si>
  <si>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</si>
  <si>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</si>
  <si>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</si>
  <si>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</si>
  <si>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</si>
  <si>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</si>
  <si>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</si>
  <si>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</si>
  <si>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</si>
  <si>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</si>
  <si>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</si>
  <si>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</si>
  <si>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</si>
  <si>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</si>
  <si>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</si>
  <si>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</si>
  <si>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</si>
  <si>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</si>
  <si>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</si>
  <si>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</si>
  <si>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</si>
  <si>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</si>
  <si>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</si>
  <si>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</si>
  <si>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</si>
  <si>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</si>
  <si>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</si>
  <si>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</si>
  <si>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</si>
  <si>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</si>
  <si>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</si>
  <si>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Solar Utility PV</t>
  </si>
  <si>
    <t>https://atb.nrel.gov/electricity/2023/utility-scale_pv</t>
  </si>
  <si>
    <t>Inputs</t>
  </si>
  <si>
    <t>Calculated</t>
  </si>
  <si>
    <t>Input from other tab</t>
  </si>
  <si>
    <t>X</t>
  </si>
  <si>
    <t>Assumptions</t>
  </si>
  <si>
    <t>Technology</t>
  </si>
  <si>
    <t>Base Year:</t>
  </si>
  <si>
    <t>All values are given in 2021 U.S. dollars, see references at the bottom of this worksheet for dollar year conversions where source dollar years don't match 2021.</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</si>
  <si>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</si>
  <si>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</si>
  <si>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</si>
  <si>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</si>
  <si>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</si>
  <si>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</si>
  <si>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</si>
  <si>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Technology Classification</t>
  </si>
  <si>
    <t>Name</t>
  </si>
  <si>
    <t>Tech</t>
  </si>
  <si>
    <t>Resource</t>
  </si>
  <si>
    <t>Scale</t>
  </si>
  <si>
    <t>Maturity</t>
  </si>
  <si>
    <t>Utility PV - Class 1</t>
  </si>
  <si>
    <t>Tracking PV</t>
  </si>
  <si>
    <t>Class1</t>
  </si>
  <si>
    <t>Utility</t>
  </si>
  <si>
    <t>Y</t>
  </si>
  <si>
    <t>Utility PV - Class 2</t>
  </si>
  <si>
    <t>Class2</t>
  </si>
  <si>
    <t>Utility PV - Class 3</t>
  </si>
  <si>
    <t>Class3</t>
  </si>
  <si>
    <t>Utility PV - Class 4</t>
  </si>
  <si>
    <t>Class4</t>
  </si>
  <si>
    <t>Utility PV - Class 5</t>
  </si>
  <si>
    <t>Class5</t>
  </si>
  <si>
    <t>Utility PV - Class 6</t>
  </si>
  <si>
    <t>Class6</t>
  </si>
  <si>
    <t>Utility PV - Class 7</t>
  </si>
  <si>
    <t>Class7</t>
  </si>
  <si>
    <t>Utility PV - Class 8</t>
  </si>
  <si>
    <t>Class8</t>
  </si>
  <si>
    <t>Utility PV - Class 9</t>
  </si>
  <si>
    <t>Class9</t>
  </si>
  <si>
    <t>Utility PV - Class 10</t>
  </si>
  <si>
    <t>Class10</t>
  </si>
  <si>
    <t>Finance</t>
  </si>
  <si>
    <t>Financial Assumptions:</t>
  </si>
  <si>
    <t>Capital Recovery Period (Years)</t>
  </si>
  <si>
    <t>Financial Case</t>
  </si>
  <si>
    <t>Market</t>
  </si>
  <si>
    <t>Depreciation Period</t>
  </si>
  <si>
    <t>Capital Recovery Period</t>
  </si>
  <si>
    <t>Equity Premium During Construction</t>
  </si>
  <si>
    <t>Construction Duration yrs</t>
  </si>
  <si>
    <t>Year</t>
  </si>
  <si>
    <t>Capital</t>
  </si>
  <si>
    <t>Percent of Leverage During Construction</t>
  </si>
  <si>
    <t>Percent of Equity During Construction</t>
  </si>
  <si>
    <t>Index</t>
  </si>
  <si>
    <t>Fraction</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</si>
  <si>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</si>
  <si>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</si>
  <si>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</si>
  <si>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</si>
  <si>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</si>
  <si>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</si>
  <si>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</si>
  <si>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</si>
  <si>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</si>
  <si>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</si>
  <si>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</si>
  <si>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</si>
  <si>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</si>
  <si>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</si>
  <si>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</si>
  <si>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</si>
  <si>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</si>
  <si>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</si>
  <si>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</si>
  <si>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</si>
  <si>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</si>
  <si>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</si>
  <si>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</si>
  <si>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</si>
  <si>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</si>
  <si>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</si>
  <si>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</si>
  <si>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</si>
  <si>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</si>
  <si>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</si>
  <si>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</si>
  <si>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</si>
  <si>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</si>
  <si>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</si>
  <si>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</si>
  <si>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</si>
  <si>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</si>
  <si>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</si>
  <si>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Year (Advanced)</t>
  </si>
  <si>
    <t>Depreciation Factor</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</si>
  <si>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</si>
  <si>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</si>
  <si>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</si>
  <si>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</si>
  <si>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</si>
  <si>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</si>
  <si>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</si>
  <si>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</si>
  <si>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</si>
  <si>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</si>
  <si>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</si>
  <si>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</si>
  <si>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</si>
  <si>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</si>
  <si>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</si>
  <si>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</si>
  <si>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</si>
  <si>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</si>
  <si>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</si>
  <si>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</si>
  <si>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Fixed Operating Expenses ($/kW-yr)</t>
  </si>
  <si>
    <t>Variable Operating Expenses ($/MWh)</t>
  </si>
  <si>
    <t>N/A</t>
  </si>
  <si>
    <t>Spur Line Cost ($/kW)</t>
  </si>
  <si>
    <t>Future Projections Costs:</t>
  </si>
  <si>
    <t>NREL internal modeling taking into account improvements in degradation and increases in energy yield.  See accompanying ATB presentation for more information.</t>
  </si>
  <si>
    <t>NREL internal modeling.  See accompanying ATB presentation for more information.</t>
  </si>
  <si>
    <t>2021 to 2022 overnight capital cost adjustments (%)</t>
  </si>
  <si>
    <t>Grid Connection Cost ($/kW)</t>
  </si>
  <si>
    <t>https://atb.nrel.gov/electricity/2023/land-based_wind</t>
  </si>
  <si>
    <t xml:space="preserve">                           Assumptions</t>
  </si>
  <si>
    <t>Land-Based Wind Classes</t>
  </si>
  <si>
    <t>Wind Classes</t>
  </si>
  <si>
    <t>Wind Speed Range (m/s)</t>
  </si>
  <si>
    <t>Weighted Average Wind Speed (m/s)</t>
  </si>
  <si>
    <t>Land-Based Wind - Class 1 - Technology 1</t>
  </si>
  <si>
    <t>Wind Turbine Technology 1</t>
  </si>
  <si>
    <t>&gt; 9.0</t>
  </si>
  <si>
    <t>Land-Based Wind - Class 2 - Technology 1</t>
  </si>
  <si>
    <t>8.8 - 9.0</t>
  </si>
  <si>
    <t>Land-Based Wind - Class 3 - Technology 1</t>
  </si>
  <si>
    <t>8.6 - 8.8</t>
  </si>
  <si>
    <t>Land-Based Wind - Class 4 - Technology 1</t>
  </si>
  <si>
    <t>8.4 - 8.6</t>
  </si>
  <si>
    <t>Land-Based Wind - Class 5 - Technology 1</t>
  </si>
  <si>
    <t>8.1 - 8.4</t>
  </si>
  <si>
    <t>Land-Based Wind - Class 6 - Technology 1</t>
  </si>
  <si>
    <t>7.6 - 8.1</t>
  </si>
  <si>
    <t>Land-Based Wind - Class 7 - Technology 1</t>
  </si>
  <si>
    <t>7.1 - 7.6</t>
  </si>
  <si>
    <t>Land-Based Wind - Class 8 - Technology 2</t>
  </si>
  <si>
    <t>Wind Turbine Technology 2</t>
  </si>
  <si>
    <t>6.5 - 7.1</t>
  </si>
  <si>
    <t>Land-Based Wind - Class 9 - Technology 3</t>
  </si>
  <si>
    <t>Wind Turbine Technology 3</t>
  </si>
  <si>
    <t>5.9 - 6.5</t>
  </si>
  <si>
    <t>Land-Based Wind - Class 10 - Technology 4</t>
  </si>
  <si>
    <t>Wind Turbine Technology 4</t>
  </si>
  <si>
    <t>1.7 - 5.9</t>
  </si>
  <si>
    <t xml:space="preserve">Wind speeds presented in table are assumed to be 110 meters above the surface </t>
  </si>
  <si>
    <t>Wind Speed Classes</t>
  </si>
  <si>
    <t>Lopez et al., 2021</t>
  </si>
  <si>
    <t>https://sam.nrel.gov/</t>
  </si>
  <si>
    <t>Stehly et al., 2019;2020;2022</t>
  </si>
  <si>
    <t xml:space="preserve">NREL 2015 Cost and Scaling Model*; </t>
  </si>
  <si>
    <t>Eberle et al., 2019</t>
  </si>
  <si>
    <t>Wiser et al., 2019</t>
  </si>
  <si>
    <t>*NREL's 2015 Cost and Scaling Model is used as an internal reference and is not publicly available.</t>
  </si>
  <si>
    <t>Model Energy Source</t>
  </si>
  <si>
    <t>Subsidy Name</t>
  </si>
  <si>
    <t>Source</t>
  </si>
  <si>
    <t>Fuel/Electricity</t>
  </si>
  <si>
    <t>Unit</t>
  </si>
  <si>
    <t>biomass</t>
  </si>
  <si>
    <t>Section 45: PTC</t>
  </si>
  <si>
    <t>http://programs.dsireusa.org/system/program/detail/734</t>
  </si>
  <si>
    <t>Electricity</t>
  </si>
  <si>
    <t>$/kWh (2014)</t>
  </si>
  <si>
    <t>&lt;expires in 2016</t>
  </si>
  <si>
    <t>coal</t>
  </si>
  <si>
    <t>IRC Section 48A Tax Credit for IGCC and ACBGT</t>
  </si>
  <si>
    <t>% of investments costs</t>
  </si>
  <si>
    <t>&lt;We assign this zero because no unit in our model can meet the heat rate requirements to be elgible and we assume no new IGCC units</t>
  </si>
  <si>
    <t>Amortization of air pollution control facilities</t>
  </si>
  <si>
    <t>Billion $</t>
  </si>
  <si>
    <t>n/a</t>
  </si>
  <si>
    <t>&lt;use same methodology as before</t>
  </si>
  <si>
    <t>hydro</t>
  </si>
  <si>
    <t>nuclear</t>
  </si>
  <si>
    <t>Special rules for nuclear decommissioning costs</t>
  </si>
  <si>
    <t>Civil Nuclear Credit Program</t>
  </si>
  <si>
    <t>https://www.energy.gov/ne/civil-nuclear-credit-program</t>
  </si>
  <si>
    <t>&lt;we use the assumption in the 2022 AEO, which is that funds are used between 2022-2026</t>
  </si>
  <si>
    <t>solar pv, solar thermal</t>
  </si>
  <si>
    <t>Section 48: ITC</t>
  </si>
  <si>
    <t>% of investment costs</t>
  </si>
  <si>
    <t>&lt;extended with ramp down and no phase out</t>
  </si>
  <si>
    <t>&lt;assumed offshore wind will use the ITC starting in 2021 based on a lower calculated LCOE</t>
  </si>
  <si>
    <t>onshore wind</t>
  </si>
  <si>
    <t>https://fas.org/sgp/crs/misc/R43453.pdf; https://www.greentechmedia.com/articles/read/solar-and-wind-tax-credit-extensions-energy-rd-package-in-spending-bill-before-congress#:~:text=According%20to%20a%20summary%20shared,would%20have%20under%20existing%20law.</t>
  </si>
  <si>
    <t>$/kWh (2019)</t>
  </si>
  <si>
    <t>&lt;extending with ramp down, expiring in 2021</t>
  </si>
  <si>
    <t>&lt;extended through 2020, but assumes offshore wind will use the ITC starting in 2021 based on a lower calculated LCOE</t>
  </si>
  <si>
    <t>&lt;no expiration; can be taken in lieu of PTC</t>
  </si>
  <si>
    <t>Capital gains treatment for royalties of coal</t>
  </si>
  <si>
    <t>Fuel</t>
  </si>
  <si>
    <t>$</t>
  </si>
  <si>
    <t>&lt;need to estimate based on this</t>
  </si>
  <si>
    <t>Expensing of exploration and development costs for hard mineral fuels</t>
  </si>
  <si>
    <t>http://www.treasury.gov/open/Documents/USA%20FFSR%20progress%20report%20to%20G20%202014%20Final.pdf; https://www.jct.gov/publications.html?func=download&amp;id=4663&amp;chk=4663&amp;no_html=1</t>
  </si>
  <si>
    <t>petroleum gasoline, petroleum diesel, jet fuel</t>
  </si>
  <si>
    <t>natural gas, petroleum gasoline, petroleum diesel, jet fuel</t>
  </si>
  <si>
    <t>Excess of percentage over cost depletion, fuels: Oil and gas</t>
  </si>
  <si>
    <t>Amortization of geological and geophysical expenditures associated with oil and gas exploration</t>
  </si>
  <si>
    <t>Exceptions for publicly traded partnership with qualified income derived from certain energy-related activities</t>
  </si>
  <si>
    <t>https://www.fas.org/sgp/crs/misc/R41769.pdf</t>
  </si>
  <si>
    <t>Deduction for tertiary injectants</t>
  </si>
  <si>
    <t>ref2022.d011222a</t>
  </si>
  <si>
    <t>Report</t>
  </si>
  <si>
    <t>Annual Energy Outlook 2022</t>
  </si>
  <si>
    <t>Scenario</t>
  </si>
  <si>
    <t>ref2022</t>
  </si>
  <si>
    <t>Reference</t>
  </si>
  <si>
    <t>Datekey</t>
  </si>
  <si>
    <t>d011222a</t>
  </si>
  <si>
    <t>Release Date</t>
  </si>
  <si>
    <t xml:space="preserve"> March 2022</t>
  </si>
  <si>
    <t>SUP000</t>
  </si>
  <si>
    <t>1. Total Energy Supply, Disposition, and Price Summary</t>
  </si>
  <si>
    <t>Average</t>
  </si>
  <si>
    <t>(quadrillion Btu, unless otherwise noted)</t>
  </si>
  <si>
    <t>Annual</t>
  </si>
  <si>
    <t>Change</t>
  </si>
  <si>
    <t xml:space="preserve"> Supply, Disposition, and Prices</t>
  </si>
  <si>
    <t>2021–2050</t>
  </si>
  <si>
    <t>Production</t>
  </si>
  <si>
    <t>SUP000:ba_CrudeOilLease</t>
  </si>
  <si>
    <t xml:space="preserve">   Crude Oil and Lease Condensate</t>
  </si>
  <si>
    <t>SUP000:ba_NaturalGasPla</t>
  </si>
  <si>
    <t xml:space="preserve">   Natural Gas Plant Liquids</t>
  </si>
  <si>
    <t>SUP000:ba_DryNaturalGas</t>
  </si>
  <si>
    <t xml:space="preserve">   Dry Natural Gas</t>
  </si>
  <si>
    <t>SUP000:ba_Coal</t>
  </si>
  <si>
    <t xml:space="preserve">   Coal 1/</t>
  </si>
  <si>
    <t>SUP000:ba_NuclearPower</t>
  </si>
  <si>
    <t xml:space="preserve">   Nuclear / Uranium 2/</t>
  </si>
  <si>
    <t>SUP000:ba_Hydropower</t>
  </si>
  <si>
    <t xml:space="preserve">   Conventional Hydroelectric Power</t>
  </si>
  <si>
    <t>SUP000:ba_Biomass</t>
  </si>
  <si>
    <t xml:space="preserve">   Biomass 3/</t>
  </si>
  <si>
    <t>SUP000:ba_RenewableEner</t>
  </si>
  <si>
    <t xml:space="preserve">   Other Renewable Energy 4/</t>
  </si>
  <si>
    <t>SUP000:ba_Other</t>
  </si>
  <si>
    <t xml:space="preserve">   Other 5/</t>
  </si>
  <si>
    <t>SUP000:ba_Total</t>
  </si>
  <si>
    <t xml:space="preserve">       Total</t>
  </si>
  <si>
    <t>Imports</t>
  </si>
  <si>
    <t>SUP000:ca_CrudeOil</t>
  </si>
  <si>
    <t xml:space="preserve">   Crude Oil</t>
  </si>
  <si>
    <t>SUP000:ca_PetroleumProd</t>
  </si>
  <si>
    <t xml:space="preserve">   Petroleum and Other Liquids 6/</t>
  </si>
  <si>
    <t>SUP000:ca_NaturalGas</t>
  </si>
  <si>
    <t xml:space="preserve">   Natural Gas</t>
  </si>
  <si>
    <t>SUP000:ca_OtherImports</t>
  </si>
  <si>
    <t xml:space="preserve">   Other 7/</t>
  </si>
  <si>
    <t>SUP000:ca_Total</t>
  </si>
  <si>
    <t>Exports</t>
  </si>
  <si>
    <t>SUP000:da_Petroleum</t>
  </si>
  <si>
    <t xml:space="preserve">   Petroleum and Other Liquids 8/</t>
  </si>
  <si>
    <t>SUP000:da_NaturalGas</t>
  </si>
  <si>
    <t>SUP000:da_Coal</t>
  </si>
  <si>
    <t xml:space="preserve">   Coal</t>
  </si>
  <si>
    <t>SUP000:da_Total</t>
  </si>
  <si>
    <t>SUP000:ea_Discrepancy</t>
  </si>
  <si>
    <t>Discrepancy 9/</t>
  </si>
  <si>
    <t>--</t>
  </si>
  <si>
    <t>Consumption</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</si>
  <si>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</si>
  <si>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</si>
  <si>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</si>
  <si>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</si>
  <si>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</si>
  <si>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</si>
  <si>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</si>
  <si>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</si>
  <si>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</si>
  <si>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</si>
  <si>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</si>
  <si>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</si>
  <si>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</si>
  <si>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 xml:space="preserve">     Total</t>
  </si>
  <si>
    <t>Prices (2021 dollars per unit)</t>
  </si>
  <si>
    <t>SUP000:ha_WorldOilPrice</t>
  </si>
  <si>
    <t xml:space="preserve">  Brent Spot Price (dollars per barrel)</t>
  </si>
  <si>
    <t>SUP000:ha_ForLowSulfLit</t>
  </si>
  <si>
    <t xml:space="preserve">  West Texas Intermediate Spot Price (dollars per barrel</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</si>
  <si>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</si>
  <si>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</si>
  <si>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</si>
  <si>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</si>
  <si>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</si>
  <si>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</si>
  <si>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</si>
  <si>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</si>
  <si>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</si>
  <si>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 xml:space="preserve">  Electricity (cents per kilowatthour)</t>
  </si>
  <si>
    <t>Prices (nominal dollars per unit)</t>
  </si>
  <si>
    <t>SUP000:nom_ImportRACost</t>
  </si>
  <si>
    <t>SUP000:nom_ForLowSulfLi</t>
  </si>
  <si>
    <t>SUP000:nom_Gas@HenryHub</t>
  </si>
  <si>
    <t>SUP000:nom_CoalMinemout</t>
  </si>
  <si>
    <t>SUP000:nom_CoalMineBtu</t>
  </si>
  <si>
    <t>SUP000:nom_CoalDeliverd</t>
  </si>
  <si>
    <t>SUP000:nom_Electricity</t>
  </si>
  <si>
    <t>1/ Includes waste coal.</t>
  </si>
  <si>
    <t>2/ These values represent the energy obtained from uranium when it is used in light water reactors.  The total energy content of uranium</t>
  </si>
  <si>
    <t>is much larger, but alternative processes are required to take advantage of it.</t>
  </si>
  <si>
    <t>3/ Includes grid-connected electricity from wood and wood waste; biomass, such as corn, used for liquid fuels production; and nonelectric</t>
  </si>
  <si>
    <t>energy demand from wood.  Refer to Table 17 for details.</t>
  </si>
  <si>
    <t>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</si>
  <si>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</si>
  <si>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</si>
  <si>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</si>
  <si>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</si>
  <si>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</si>
  <si>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</si>
  <si>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</si>
  <si>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</si>
  <si>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synthetic liquids.  Petroleum coke, which is a solid, is included.  Also included are hydrocarbon gas liquids and crude oil consumed as a fuel.</t>
  </si>
  <si>
    <t>Refer to Table 17 for detailed renewable liquid fuels consumption.</t>
  </si>
  <si>
    <t>11/ Excludes coal converted to coal-based synthetic liquids and natural gas.</t>
  </si>
  <si>
    <t>12/ Includes grid-connected electricity from wood and wood waste, nonelectric energy from wood, and biofuels heat and coproducts used in the</t>
  </si>
  <si>
    <t>production of liquid fuels, but excludes the energy content of the liquid fuels.</t>
  </si>
  <si>
    <t>13/ Includes non-biogenic municipal waste, hydrogen, and net electricity imports.</t>
  </si>
  <si>
    <t>14/ Includes reported prices for both open market and captive mines.  Prices weighted by production, which differs from average minemouth prices</t>
  </si>
  <si>
    <t>published in EIA data reports where it is weighted by reported sales.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</si>
  <si>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</si>
  <si>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</si>
  <si>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</si>
  <si>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</si>
  <si>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</si>
  <si>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Sources:  2021:  U.S. Energy Information Administration (EIA), Short-Term Energy Outlook, November 2021 and EIA, AEO2022</t>
  </si>
  <si>
    <t>National Energy Modeling System run ref2022.d011222a.  Projections:  EIA, AEO2022 National Energy Modeling System run ref2022.d011222a.</t>
  </si>
  <si>
    <t>ref2023.d020623a</t>
  </si>
  <si>
    <t>Annual Energy Outlook 2023</t>
  </si>
  <si>
    <t>ref2023</t>
  </si>
  <si>
    <t>d020623a</t>
  </si>
  <si>
    <t xml:space="preserve"> March 2023</t>
  </si>
  <si>
    <t>2022–2050</t>
  </si>
  <si>
    <t>Prices (2022 dollars per unit)</t>
  </si>
  <si>
    <t xml:space="preserve">  West Texas Intermediate Spot Price (dollars per barrel)</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</si>
  <si>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</si>
  <si>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</si>
  <si>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energy demand from wood. Refer to Table 17 for details on biomass use by sector.</t>
  </si>
  <si>
    <t>non-electric energy from renewable sources, such as active and passive solar systems.  Excludes electricity imports using renewable sources</t>
  </si>
  <si>
    <t>7/ Includes coal, coal coke (net), and electricity (net). Excludes imports of fuel used in nuclear power plants.</t>
  </si>
  <si>
    <t>12/ Includes grid-connected electricity from wood and wood waste, non-electric energy from wood, and biofuels heat and coproducts used in the</t>
  </si>
  <si>
    <t>Data source: 2022:  U.S. Energy Information Administration (EIA), Short-Term Energy Outlook, November 2022 and EIA, AEO2023</t>
  </si>
  <si>
    <t>National Energy Modeling System run ref2023.d020623a.  Projections:  EIA, AEO2023 National Energy Modeling System run ref2023.d020623a.</t>
  </si>
  <si>
    <t>Table 1.  Total Energy Supply, Disposition, and Price Summary</t>
  </si>
  <si>
    <t>https://www.eia.gov/outlooks/aeo/data/browser/#/?id=1-AEO2025&amp;region=0-0&amp;cases=highZTC&amp;start=2023&amp;end=2050&amp;f=A&amp;sourcekey=0</t>
  </si>
  <si>
    <t>Tue Dec 02 2025 13:12:41 GMT-0800 (Pacific Standard Time)</t>
  </si>
  <si>
    <t>Source: U.S. Energy Information Administration</t>
  </si>
  <si>
    <t>full name</t>
  </si>
  <si>
    <t>api key</t>
  </si>
  <si>
    <t>units</t>
  </si>
  <si>
    <t>Growth (2024-2050)</t>
  </si>
  <si>
    <t>Crude Oil and Lease Condensate</t>
  </si>
  <si>
    <t>Total Energy: Production: Crude Oil and Lease Condensate: High Zero-Carbon Technology Cost</t>
  </si>
  <si>
    <t>AEO.2025.HIGHZTC.SUP_PRD_TEN_NA_CLC_NA_USA_QBTU.A</t>
  </si>
  <si>
    <t>quads</t>
  </si>
  <si>
    <t>Natural Gas Plant Liquids</t>
  </si>
  <si>
    <t>Total Energy: Production: Natural Gas Plant Liquids: High Zero-Carbon Technology Cost</t>
  </si>
  <si>
    <t>AEO.2025.HIGHZTC.SUP_PRD_TEN_NA_NGP_NA_USA_QBTU.A</t>
  </si>
  <si>
    <t>Dry Natural Gas</t>
  </si>
  <si>
    <t>Total Energy: Production: Dry Natural Gas: High Zero-Carbon Technology Cost</t>
  </si>
  <si>
    <t>AEO.2025.HIGHZTC.SUP_PRD_TEN_NA_DNG_NA_USA_QBTU.A</t>
  </si>
  <si>
    <t>Coal</t>
  </si>
  <si>
    <t>Total Energy: Production: Coal: High Zero-Carbon Technology Cost</t>
  </si>
  <si>
    <t>AEO.2025.HIGHZTC.SUP_PRD_TEN_NA_CL_NA_USA_QBTU.A</t>
  </si>
  <si>
    <t>Nuclear / Uranium</t>
  </si>
  <si>
    <t>Total Energy: Production: Nuclear: High Zero-Carbon Technology Cost</t>
  </si>
  <si>
    <t>AEO.2025.HIGHZTC.SUP_PRD_TEN_NA_NUC_NA_USA_QBTU.A</t>
  </si>
  <si>
    <t>Conventional Hydroelectric Power</t>
  </si>
  <si>
    <t>Total Energy: Production: Hydropower: High Zero-Carbon Technology Cost</t>
  </si>
  <si>
    <t>AEO.2025.HIGHZTC.SUP_PRD_TEN_NA_HYD_CNV_USA_QBTU.A</t>
  </si>
  <si>
    <t>Biomass</t>
  </si>
  <si>
    <t>Total Energy: Production: Biomass: High Zero-Carbon Technology Cost</t>
  </si>
  <si>
    <t>AEO.2025.HIGHZTC.SUP_PRD_TEN_NA_BMS_NA_USA_QBTU.A</t>
  </si>
  <si>
    <t>Other Renewable Energy</t>
  </si>
  <si>
    <t>Total Energy: Production: Other Renewable Energy: High Zero-Carbon Technology Cost</t>
  </si>
  <si>
    <t>AEO.2025.HIGHZTC.SUP_PRD_TEN_NA_PRE_NA_USA_QBTU.A</t>
  </si>
  <si>
    <t>Other</t>
  </si>
  <si>
    <t>Total Energy: Production: Other: High Zero-Carbon Technology Cost</t>
  </si>
  <si>
    <t>AEO.2025.HIGHZTC.SUP_PRD_TEN_NA_OTH_NA_USA_QBTU.A</t>
  </si>
  <si>
    <t>Total</t>
  </si>
  <si>
    <t>Total Energy: Production: Total: High Zero-Carbon Technology Cost</t>
  </si>
  <si>
    <t>AEO.2025.HIGHZTC.SUP_PRD_TEN_NA_TOT_NA_USA_QBTU.A</t>
  </si>
  <si>
    <t>Crude Oil</t>
  </si>
  <si>
    <t>Total Energy: Imports: Crude Oil: High Zero-Carbon Technology Cost</t>
  </si>
  <si>
    <t>AEO.2025.HIGHZTC.TRAD_IMP_TEN_NA_CR_NA_USA_QBTU.A</t>
  </si>
  <si>
    <t>Petroleum and Other Liquids</t>
  </si>
  <si>
    <t>Total Energy: Imports: Liquid Fuels: High Zero-Carbon Technology Cost</t>
  </si>
  <si>
    <t>AEO.2025.HIGHZTC.TRAD_IMP_TEN_NA_LFL_NA_USA_QBTU.A</t>
  </si>
  <si>
    <t>Natural Gas</t>
  </si>
  <si>
    <t>Total Energy: Imports: Natural Gas: High Zero-Carbon Technology Cost</t>
  </si>
  <si>
    <t>AEO.2025.HIGHZTC.TRAD_IMP_TEN_NA_NG_NA_USA_QBTU.A</t>
  </si>
  <si>
    <t>Total Energy: Imports: Other: High Zero-Carbon Technology Cost</t>
  </si>
  <si>
    <t>AEO.2025.HIGHZTC.TRAD_IMP_TEN_NA_OTH_NA_USA_QBTU.A</t>
  </si>
  <si>
    <t>Total Energy: Imports: Total: High Zero-Carbon Technology Cost</t>
  </si>
  <si>
    <t>AEO.2025.HIGHZTC.TRAD_IMP_TEN_NA_TOT_NA_USA_QBTU.A</t>
  </si>
  <si>
    <t>Total Energy: Exports: Petroleum: High Zero-Carbon Technology Cost</t>
  </si>
  <si>
    <t>AEO.2025.HIGHZTC.TRAD_EXP_TEN_NA_PET_NA_USA_QBTU.A</t>
  </si>
  <si>
    <t>Total Energy: Exports: Natural Gas: High Zero-Carbon Technology Cost</t>
  </si>
  <si>
    <t>AEO.2025.HIGHZTC.TRAD_EXP_TEN_NA_NG_NA_USA_QBTU.A</t>
  </si>
  <si>
    <t>Total Energy: Exports: Coal: High Zero-Carbon Technology Cost</t>
  </si>
  <si>
    <t>AEO.2025.HIGHZTC.TRAD_EXP_TEN_NA_CL_NA_USA_QBTU.A</t>
  </si>
  <si>
    <t>Total Energy: Exports: Total: High Zero-Carbon Technology Cost</t>
  </si>
  <si>
    <t>AEO.2025.HIGHZTC.TRAD_EXP_TEN_NA_TOT_NA_USA_QBTU.A</t>
  </si>
  <si>
    <t>Discrepancy</t>
  </si>
  <si>
    <t>Total Energy: Discrepancy: High Zero-Carbon Technology Cost</t>
  </si>
  <si>
    <t>AEO.2025.HIGHZTC.UNC_NA_TEN_NA_DESCR_NA_USA_QBTU.A</t>
  </si>
  <si>
    <t>Total Energy: Use: Liquid Fuels: High Zero-Carbon Technology Cost</t>
  </si>
  <si>
    <t>AEO.2025.HIGHZTC.CNSM_USE_TEN_NA_LFL_NA_USA_QBTU.A</t>
  </si>
  <si>
    <t>Total Energy: Use: Natural Gas: High Zero-Carbon Technology Cost</t>
  </si>
  <si>
    <t>AEO.2025.HIGHZTC.CNSM_USE_TEN_NA_NG_NA_USA_QBTU.A</t>
  </si>
  <si>
    <t>Total Energy: Use: Coal: High Zero-Carbon Technology Cost</t>
  </si>
  <si>
    <t>AEO.2025.HIGHZTC.CNSM_USE_TEN_NA_CL_NA_USA_QBTU.A</t>
  </si>
  <si>
    <t>Total Energy: Use: Nuclear: High Zero-Carbon Technology Cost</t>
  </si>
  <si>
    <t>AEO.2025.HIGHZTC.CNSM_USE_TEN_NA_NUC_NA_USA_QBTU.A</t>
  </si>
  <si>
    <t>Total Energy: Use: Hydropower: High Zero-Carbon Technology Cost</t>
  </si>
  <si>
    <t>AEO.2025.HIGHZTC.CNSM_USE_TEN_NA_HYD_CNV_USA_QBTU.A</t>
  </si>
  <si>
    <t>Total Energy: Use: Biomass: High Zero-Carbon Technology Cost</t>
  </si>
  <si>
    <t>AEO.2025.HIGHZTC.CNSM_USE_TEN_NA_BMS_NA_USA_QBTU.A</t>
  </si>
  <si>
    <t>Total Energy: Use: Other Renewable Energy: High Zero-Carbon Technology Cost</t>
  </si>
  <si>
    <t>AEO.2025.HIGHZTC.CNSM_USE_TEN_NA_PRE_NA_USA_QBTU.A</t>
  </si>
  <si>
    <t>Total Energy: Use: Other: High Zero-Carbon Technology Cost</t>
  </si>
  <si>
    <t>AEO.2025.HIGHZTC.CNSM_USE_TEN_NA_OTH_NA_USA_QBTU.A</t>
  </si>
  <si>
    <t>Total Energy: Use: Total: High Zero-Carbon Technology Cost</t>
  </si>
  <si>
    <t>AEO.2025.HIGHZTC.CNSM_USE_TEN_NA_TOT_NA_USA_QBTU.A</t>
  </si>
  <si>
    <t>Prices (2024 dollars per unit)</t>
  </si>
  <si>
    <t>Brent Spot Price (dollars per barrel)</t>
  </si>
  <si>
    <t>Total Energy: Real Prices: Brent: High Zero-Carbon Technology Cost</t>
  </si>
  <si>
    <t>AEO.2025.HIGHZTC.PRCE_RLP_TEN_NA_BRN_NA_USA_Y13DLRPBBL.A</t>
  </si>
  <si>
    <t>2024 $/b</t>
  </si>
  <si>
    <t>West Texas Intermediate Spot Price (dollars per barrel)</t>
  </si>
  <si>
    <t>Total Energy: Real Prices: West Texas Intermediate: High Zero-Carbon Technology Cost</t>
  </si>
  <si>
    <t>AEO.2025.HIGHZTC.PRCE_RLP_TEN_NA_WTI_NA_USA_Y13DLRPBBL.A</t>
  </si>
  <si>
    <t>Natural Gas at Henry Hub (dollars per MMBtu)</t>
  </si>
  <si>
    <t>Total Energy: Real Prices: Gas Price at Henry Hub: High Zero-Carbon Technology Cost</t>
  </si>
  <si>
    <t>AEO.2025.HIGHZTC.PRCE_RLP_TEN_NA_HHP_NA_USA_Y13DLRPMMBTU.A</t>
  </si>
  <si>
    <t>2024 $/MMBtu</t>
  </si>
  <si>
    <t xml:space="preserve"> Minemouth (dollars per ton)</t>
  </si>
  <si>
    <t>Total Energy: Real Prices: Coal at Minemouth: High Zero-Carbon Technology Cost</t>
  </si>
  <si>
    <t>AEO.2025.HIGHZTC.PRCE_RLP_TEN_NA_CMN_NA_USA_Y13DLRPTN.A</t>
  </si>
  <si>
    <t>2024 $/ton</t>
  </si>
  <si>
    <t xml:space="preserve"> Minemouth (dollars per MMBtu)</t>
  </si>
  <si>
    <t>Total Energy: Real Prices: Coal Minemouth: High Zero-Carbon Technology Cost</t>
  </si>
  <si>
    <t>AEO.2025.HIGHZTC.PRCE_RLP_TEN_NA_CMN_NA_USA_Y13DLRPMMBTU.A</t>
  </si>
  <si>
    <t xml:space="preserve"> Delivered (dollars per MMBtu)</t>
  </si>
  <si>
    <t>Total Energy: Real Prices: Delivered Coal: High Zero-Carbon Technology Cost</t>
  </si>
  <si>
    <t>AEO.2025.HIGHZTC.PRCE_RLP_TEN_NA_DCL_NA_USA_Y13DLRPMMBTU.A</t>
  </si>
  <si>
    <t>Electricity (cents per kilowatthour)</t>
  </si>
  <si>
    <t>Total Energy: Real Prices: Electricity: High Zero-Carbon Technology Cost</t>
  </si>
  <si>
    <t>AEO.2025.HIGHZTC.PRCE_RLP_TEN_NA_ELC_NA_USA_Y13CNTPKWH.A</t>
  </si>
  <si>
    <t>2024 cents/kWh</t>
  </si>
  <si>
    <t>Total Energy: Nominal Prices: Brent: High Zero-Carbon Technology Cost</t>
  </si>
  <si>
    <t>AEO.2025.HIGHZTC.PRCE_NOMP_TEN_NA_BRN_NA_USA_NDLRPBRL.A</t>
  </si>
  <si>
    <t>nom $/b</t>
  </si>
  <si>
    <t>Total Energy: Nominal Prices: West Texas Intermediate: High Zero-Carbon Technology Cost</t>
  </si>
  <si>
    <t>AEO.2025.HIGHZTC.PRCE_NOMP_TEN_NA_WTI_NA_USA_NDLRPBRL.A</t>
  </si>
  <si>
    <t>Total Energy: Nominal Prices: Gas Price at Henry Hub: High Zero-Carbon Technology Cost</t>
  </si>
  <si>
    <t>AEO.2025.HIGHZTC.PRCE_NOMP_TEN_NA_HHP_NA_USA_NDLRPMBTU.A</t>
  </si>
  <si>
    <t>nom $/MMBtu</t>
  </si>
  <si>
    <t>Total Energy: Nominal Prices: Coal at Minemouth: High Zero-Carbon Technology Cost</t>
  </si>
  <si>
    <t>AEO.2025.HIGHZTC.PRCE_NOMP_TEN_NA_CAM_NA_USA_NDLRPTON.A</t>
  </si>
  <si>
    <t>nom $/ton</t>
  </si>
  <si>
    <t>Total Energy: Nominal Prices: Coal Minemouth: High Zero-Carbon Technology Cost</t>
  </si>
  <si>
    <t>AEO.2025.HIGHZTC.PRCE_NOMP_TEN_NA_CMN_NA_USA_NDLRPMBTU.A</t>
  </si>
  <si>
    <t>Total Energy: Nominal Prices: Delivered Coal: High Zero-Carbon Technology Cost</t>
  </si>
  <si>
    <t>AEO.2025.HIGHZTC.PRCE_NOMP_TEN_NA_DCL_NA_USA_NDLRPMBTU.A</t>
  </si>
  <si>
    <t>Total Energy: Nominal Prices: Electricity: High Zero-Carbon Technology Cost</t>
  </si>
  <si>
    <t>AEO.2025.HIGHZTC.PRCE_NOMP_TEN_NA_ELC_NA_USA_NCNTPKWH.A</t>
  </si>
  <si>
    <t>nom cents/kWh</t>
  </si>
  <si>
    <t>ESD000</t>
  </si>
  <si>
    <t>8. Electricity Supply, Disposition, Prices, and Emissions</t>
  </si>
  <si>
    <t>(billion kilowatthours, unless otherwise noted)</t>
  </si>
  <si>
    <t xml:space="preserve"> Supply, Disposition, Prices, and Emissions</t>
  </si>
  <si>
    <t>Net Generation by Fuel Type</t>
  </si>
  <si>
    <t>Electric Power Sector 1/</t>
  </si>
  <si>
    <t xml:space="preserve">  Power Only 2/</t>
  </si>
  <si>
    <t>ESD000:ca_Coal</t>
  </si>
  <si>
    <t xml:space="preserve">    Coal</t>
  </si>
  <si>
    <t>ESD000:ca_Petroleum</t>
  </si>
  <si>
    <t xml:space="preserve">    Petroleum</t>
  </si>
  <si>
    <t>ESD000:ca_NaturalGas</t>
  </si>
  <si>
    <t xml:space="preserve">    Natural Gas 3/</t>
  </si>
  <si>
    <t>ESD000:ca_NuclearPower</t>
  </si>
  <si>
    <t xml:space="preserve">    Nuclear Power</t>
  </si>
  <si>
    <t>ESD000:ca_PumpedStorage</t>
  </si>
  <si>
    <t xml:space="preserve">    Pumped Storage/Other 4/</t>
  </si>
  <si>
    <t>ESD000:ca_RenewableSour</t>
  </si>
  <si>
    <t xml:space="preserve">    Renewable Sources 5/</t>
  </si>
  <si>
    <t>ESD000:ca_DistributedGe</t>
  </si>
  <si>
    <t xml:space="preserve">    Distributed Generation (Natural Gas)</t>
  </si>
  <si>
    <t>ESD000:ca_Total</t>
  </si>
  <si>
    <t xml:space="preserve">      Total</t>
  </si>
  <si>
    <t xml:space="preserve">  Combined Heat and Power 6/</t>
  </si>
  <si>
    <t>ESD000:da_Coal</t>
  </si>
  <si>
    <t>ESD000:da_Petroleum</t>
  </si>
  <si>
    <t>ESD000:da_NaturalGas</t>
  </si>
  <si>
    <t xml:space="preserve">    Natural Gas</t>
  </si>
  <si>
    <t>ESD000:da_RenewableSour</t>
  </si>
  <si>
    <t xml:space="preserve">    Renewable Sources</t>
  </si>
  <si>
    <t>ESD000:da_OtherCHaP</t>
  </si>
  <si>
    <t xml:space="preserve">    Other</t>
  </si>
  <si>
    <t>ESD000:da_Total</t>
  </si>
  <si>
    <t>ESD000:da_TotalNetGener</t>
  </si>
  <si>
    <t xml:space="preserve">  Total Net Electric Power Sector Generation</t>
  </si>
  <si>
    <t>ESD000:da_LessDirectUse</t>
  </si>
  <si>
    <t xml:space="preserve">  Less Direct Use</t>
  </si>
  <si>
    <t>ESD000:ea_NetAvailablet</t>
  </si>
  <si>
    <t xml:space="preserve">  Net Available to the Grid</t>
  </si>
  <si>
    <t xml:space="preserve">  End-Use Sector 7/</t>
  </si>
  <si>
    <t>ESD000:fa_Coal</t>
  </si>
  <si>
    <t>ESD000:fa_Petroleum</t>
  </si>
  <si>
    <t>ESD000:fa_NaturalGas</t>
  </si>
  <si>
    <t>ESD000:fa_OtherGaseousF</t>
  </si>
  <si>
    <t xml:space="preserve">    Other Gaseous Fuels 8/</t>
  </si>
  <si>
    <t>ESD000:fa_RenewableSour</t>
  </si>
  <si>
    <t xml:space="preserve">    Renewable Sources 9/</t>
  </si>
  <si>
    <t>ESD000:fa_Other</t>
  </si>
  <si>
    <t xml:space="preserve">    Other 10/</t>
  </si>
  <si>
    <t>ESD000:fa_Total</t>
  </si>
  <si>
    <t xml:space="preserve">      Total End-Use Sector Net Generation</t>
  </si>
  <si>
    <t>ESD000:fa_LessDirectUse</t>
  </si>
  <si>
    <t xml:space="preserve">    Less Direct Use</t>
  </si>
  <si>
    <t>ESD000:fa_TotalSalestot</t>
  </si>
  <si>
    <t xml:space="preserve">      Total Sales to the Grid</t>
  </si>
  <si>
    <t xml:space="preserve">  Total Net Electricity Generation by Fuel</t>
  </si>
  <si>
    <t>ESD000:xx_CoalInSocks</t>
  </si>
  <si>
    <t>ESD000:xx_Petroleum</t>
  </si>
  <si>
    <t>ESD000:xx_NaturalGas</t>
  </si>
  <si>
    <t>ESD000:xx_NuclearPower</t>
  </si>
  <si>
    <t>ESD000:xx_RenewableSour</t>
  </si>
  <si>
    <t xml:space="preserve">    Renewable Sources 5,9/</t>
  </si>
  <si>
    <t>ESD000:xx_OtherWithPump</t>
  </si>
  <si>
    <t xml:space="preserve">    Other 11/</t>
  </si>
  <si>
    <t>ESD000:ga_TotalElectric</t>
  </si>
  <si>
    <t>Total Net Electricity Generation</t>
  </si>
  <si>
    <t>ESD000:ga_TotalNetGener</t>
  </si>
  <si>
    <t>Net Generation to the Grid</t>
  </si>
  <si>
    <t>ESD000:ha_NetImports</t>
  </si>
  <si>
    <t>Net Imports</t>
  </si>
  <si>
    <t>Electricity Sales by Sector</t>
  </si>
  <si>
    <t>ESD000:ia_Residential</t>
  </si>
  <si>
    <t xml:space="preserve">  Residential</t>
  </si>
  <si>
    <t>ESD000:ia_Commercial</t>
  </si>
  <si>
    <t xml:space="preserve">  Commercial</t>
  </si>
  <si>
    <t>ESD000:ia_Industrial</t>
  </si>
  <si>
    <t xml:space="preserve">  Industrial</t>
  </si>
  <si>
    <t>ESD000:ia_Transportatio</t>
  </si>
  <si>
    <t xml:space="preserve">  Transportation</t>
  </si>
  <si>
    <t>ESD000:ia_Total</t>
  </si>
  <si>
    <t xml:space="preserve">    Total</t>
  </si>
  <si>
    <t>ESD000:ia_DirectUse</t>
  </si>
  <si>
    <t>Direct Use</t>
  </si>
  <si>
    <t>ESD000:ia_TotalConsumpt</t>
  </si>
  <si>
    <t>Total Electricity Use</t>
  </si>
  <si>
    <t>End-Use Prices</t>
  </si>
  <si>
    <t>(2021 cents per kilowatthour)</t>
  </si>
  <si>
    <t>ESD000:ja_Residential</t>
  </si>
  <si>
    <t>ESD000:ja_Commercial</t>
  </si>
  <si>
    <t>ESD000:ja_Industrial</t>
  </si>
  <si>
    <t>ESD000:ja_Transportatio</t>
  </si>
  <si>
    <t>ESD000:ja_AllSectorsAve</t>
  </si>
  <si>
    <t xml:space="preserve">    All Sectors Average</t>
  </si>
  <si>
    <t>(nominal cents per kilowatthour)</t>
  </si>
  <si>
    <t>ESD000:nom_Residential</t>
  </si>
  <si>
    <t>ESD000:nom_Commercial</t>
  </si>
  <si>
    <t>ESD000:nom_Industrial</t>
  </si>
  <si>
    <t>ESD000:nom_Transportati</t>
  </si>
  <si>
    <t>ESD000:nom_AllSectorsAv</t>
  </si>
  <si>
    <t>Prices by Service Category</t>
  </si>
  <si>
    <t>ESD000:ka_Generation</t>
  </si>
  <si>
    <t xml:space="preserve">  Generation</t>
  </si>
  <si>
    <t>ESD000:ka_Transmission</t>
  </si>
  <si>
    <t xml:space="preserve">  Transmission</t>
  </si>
  <si>
    <t>ESD000:ka_Distribution</t>
  </si>
  <si>
    <t xml:space="preserve">  Distribution</t>
  </si>
  <si>
    <t>ESD000:nom_Generation</t>
  </si>
  <si>
    <t>ESD000:nom_Transmission</t>
  </si>
  <si>
    <t>ESD000:nom_Distribution</t>
  </si>
  <si>
    <t>Electric Power Sector Emissions 1/</t>
  </si>
  <si>
    <t>ESD000:la_SulfurDioxide</t>
  </si>
  <si>
    <t xml:space="preserve">  Sulfur Dioxide (million short tons)</t>
  </si>
  <si>
    <t>ESD000:la_NitrogenOxide</t>
  </si>
  <si>
    <t xml:space="preserve">  Nitrogen Oxide (million short tons)</t>
  </si>
  <si>
    <t>ESD000:la_Mercury(tons)</t>
  </si>
  <si>
    <t xml:space="preserve">  Mercury (short tons)</t>
  </si>
  <si>
    <t>1/ Includes electricity-only and combined heat and power plants that have a regulatory status.</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</si>
  <si>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</si>
  <si>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</si>
  <si>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</si>
  <si>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</si>
  <si>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</si>
  <si>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</si>
  <si>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(i.e., those that report North American Industry Classification System code 22 or that have a regulatory status).</t>
  </si>
  <si>
    <t>7/ Includes combined heat and power plants and electricity-only plants in the commercial and industrial sectors that have a non-regulatory</t>
  </si>
  <si>
    <t>status; and small on-site generating systems in the residential, commercial, and industrial sectors used primarily for own-use generation,</t>
  </si>
  <si>
    <t>but which may also sell some power to the grid.</t>
  </si>
  <si>
    <t>8/ Includes refinery gas and still gas.</t>
  </si>
  <si>
    <t>9/ Includes conventional hydroelectric, geothermal, wood, wood waste, all municipal waste, landfill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</si>
  <si>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</si>
  <si>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</si>
  <si>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</si>
  <si>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chemicals, hydrogen, pitch, purchased steam, sulfur, and miscellaneous technologies.</t>
  </si>
  <si>
    <t>Sources: 2021:  U.S. Energy Information Administration (EIA), Short-Term Energy Outlook, November 2021 and EIA,</t>
  </si>
  <si>
    <t>Projections:  EIA, AEO2022 National Energy Modeling System run ref2022.d011222a.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</si>
  <si>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</si>
  <si>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</si>
  <si>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</si>
  <si>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</si>
  <si>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</si>
  <si>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</si>
  <si>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</si>
  <si>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</si>
  <si>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</si>
  <si>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Table 8.  Electricity Supply, Disposition, Prices, and Emissions</t>
  </si>
  <si>
    <t>https://www.eia.gov/outlooks/aeo/data/browser/#/?id=8-AEO2025&amp;cases=highZTC&amp;sourcekey=0</t>
  </si>
  <si>
    <t>Tue Dec 02 2025 13:19:13 GMT-0800 (Pacific Standard Time)</t>
  </si>
  <si>
    <t>Electric Power Sector</t>
  </si>
  <si>
    <t>Power Only</t>
  </si>
  <si>
    <t>Electricity: Electric Power Sector: Power Only: Coal: High Zero-Carbon Technology Cost</t>
  </si>
  <si>
    <t>AEO.2025.HIGHZTC.GEN_NA_ELEP_POW_CL_NA_USA_BLNKWH.A</t>
  </si>
  <si>
    <t>BkWh</t>
  </si>
  <si>
    <t>Petroleum</t>
  </si>
  <si>
    <t>Electricity: Electric Power Sector: Power Only: Petroleum: High Zero-Carbon Technology Cost</t>
  </si>
  <si>
    <t>AEO.2025.HIGHZTC.GEN_NA_ELEP_POW_PET_NA_USA_BLNKWH.A</t>
  </si>
  <si>
    <t>Electricity: Electric Power Sector: Power Only: Natural Gas: High Zero-Carbon Technology Cost</t>
  </si>
  <si>
    <t>AEO.2025.HIGHZTC.GEN_NA_ELEP_POW_NG_NA_USA_BLNKWH.A</t>
  </si>
  <si>
    <t>Nuclear Power</t>
  </si>
  <si>
    <t>Electricity: Electric Power Sector: Power Only: Nuclear: High Zero-Carbon Technology Cost</t>
  </si>
  <si>
    <t>AEO.2025.HIGHZTC.GEN_NA_ELEP_POW_NUP_NA_USA_BLNKWH.A</t>
  </si>
  <si>
    <t>Pumped Storage/Other</t>
  </si>
  <si>
    <t>Electricity: Electric Power Sector: Power Only: Pumped Storage/Other: High Zero-Carbon Technology Cost</t>
  </si>
  <si>
    <t>AEO.2025.HIGHZTC.GEN_NA_ELEP_POW_PST_NA_USA_BLNKWH.A</t>
  </si>
  <si>
    <t>Hydrogen</t>
  </si>
  <si>
    <t>Electricity: Electric Power Sector: Power Only: Hydrogen: High Zero-Carbon Technology Cost</t>
  </si>
  <si>
    <t>AEO.2025.HIGHZTC.GEN_NA_ELEP_POW_HDG_NA_USA_BLNKWH.A</t>
  </si>
  <si>
    <t>- -</t>
  </si>
  <si>
    <t>Renewable Sources</t>
  </si>
  <si>
    <t>Electricity: Electric Power Sector: Power Only: Renewable Sources: High Zero-Carbon Technology Cost</t>
  </si>
  <si>
    <t>AEO.2025.HIGHZTC.GEN_NA_ELEP_POW_RNWBSRC_NA_USA_BLNKWH.A</t>
  </si>
  <si>
    <t>Distributed Generation (Natural Gas)</t>
  </si>
  <si>
    <t>Electricity: Electric Power Sector: Power Only: Distributed Generation: High Zero-Carbon Technology Cost</t>
  </si>
  <si>
    <t>AEO.2025.HIGHZTC.GEN_NA_ELEP_POW_DISTGEN_NA_USA_BLNKWH.A</t>
  </si>
  <si>
    <t>Electricity: Electric Power Sector: Power Only: Total: High Zero-Carbon Technology Cost</t>
  </si>
  <si>
    <t>AEO.2025.HIGHZTC.GEN_NA_ELEP_POW_TOT_NA_USA_BLNKWH.A</t>
  </si>
  <si>
    <t>Combined Heat and Power</t>
  </si>
  <si>
    <t>Electricity: Electric Power Sector: Combined Heat and Power: Coal: High Zero-Carbon Technology Cost</t>
  </si>
  <si>
    <t>AEO.2025.HIGHZTC.GEN_NA_ELEP_CHP_CL_NA_USA_BLNKWH.A</t>
  </si>
  <si>
    <t>Electricity: Electric Power Sector: Combined Heat and Power: Petroleum: High Zero-Carbon Technology Cost</t>
  </si>
  <si>
    <t>AEO.2025.HIGHZTC.GEN_NA_ELEP_CHP_PET_NA_USA_BLNKWH.A</t>
  </si>
  <si>
    <t>Electricity: Electric Power Sector: Combined Heat and Power: Natural Gas: High Zero-Carbon Technology Cost</t>
  </si>
  <si>
    <t>AEO.2025.HIGHZTC.GEN_NA_ELEP_CHP_NG_NA_USA_BLNKWH.A</t>
  </si>
  <si>
    <t>Electricity: Electric Power Sector: Combined Heat and Power: Renewable Sources: High Zero-Carbon Technology Cost</t>
  </si>
  <si>
    <t>AEO.2025.HIGHZTC.GEN_NA_ELEP_CHP_RNWBSRC_NA_USA_BLNKWH.A</t>
  </si>
  <si>
    <t>Electricity: Electric Power Sector: Combined Heat and Power: Other: High Zero-Carbon Technology Cost</t>
  </si>
  <si>
    <t>AEO.2025.HIGHZTC.GEN_NA_ELEP_CHP_OTH_NA_USA_BLNKWH.A</t>
  </si>
  <si>
    <t>Electricity: Electric Power Sector: Combined Heat and Power: Total: High Zero-Carbon Technology Cost</t>
  </si>
  <si>
    <t>AEO.2025.HIGHZTC.GEN_NA_ELEP_CHP_TOT_NA_USA_BLNKWH.A</t>
  </si>
  <si>
    <t>Total Net Electric Power Sector Generation</t>
  </si>
  <si>
    <t>Electricity: Electric Power Sector: Total Net Generation: High Zero-Carbon Technology Cost</t>
  </si>
  <si>
    <t>AEO.2025.HIGHZTC.GEN_NA_ELEP_CHP_TTG_NA_USA_BLNKWH.A</t>
  </si>
  <si>
    <t>Less Direct Use</t>
  </si>
  <si>
    <t>Electricity: Electric Power Sector: Less Direct Use: High Zero-Carbon Technology Cost</t>
  </si>
  <si>
    <t>AEO.2025.HIGHZTC.GEN_NA_ELEP_CHP_LDU_NA_USA_BLNKWH.A</t>
  </si>
  <si>
    <t>Net Available to the Grid</t>
  </si>
  <si>
    <t>Electricity: Electric Power Sector: Net Available to the Grid: High Zero-Carbon Technology Cost</t>
  </si>
  <si>
    <t>AEO.2025.HIGHZTC.GEN_NA_ELEP_NAG_NAG_NA_USA_BLNKWH.A</t>
  </si>
  <si>
    <t>End-Use Sector</t>
  </si>
  <si>
    <t>Electricity: End-Use Generation: Coal: High Zero-Carbon Technology Cost</t>
  </si>
  <si>
    <t>AEO.2025.HIGHZTC.GEN_NA_ELEP_EUG_CL_NA_USA_BLNKWH.A</t>
  </si>
  <si>
    <t>Electricity: End-Use Generation: Petroleum: High Zero-Carbon Technology Cost</t>
  </si>
  <si>
    <t>AEO.2025.HIGHZTC.GEN_NA_ELEP_EUG_PET_NA_USA_BLNKWH.A</t>
  </si>
  <si>
    <t>Electricity: End-Use Generation: Natural Gas: High Zero-Carbon Technology Cost</t>
  </si>
  <si>
    <t>AEO.2025.HIGHZTC.GEN_NA_ELEP_EUG_NG_NA_USA_BLNKWH.A</t>
  </si>
  <si>
    <t>Other Gaseous Fuels</t>
  </si>
  <si>
    <t>Electricity: End-Use Generation: Other Gaseous Fuels: High Zero-Carbon Technology Cost</t>
  </si>
  <si>
    <t>AEO.2025.HIGHZTC.GEN_NA_ELEP_EUG_OGF_NA_USA_BLNKWH.A</t>
  </si>
  <si>
    <t>Electricity: End-Use Generation: Renewable Sources: High Zero-Carbon Technology Cost</t>
  </si>
  <si>
    <t>AEO.2025.HIGHZTC.GEN_NA_ELEP_EUG_RNWBSRC_NA_USA_BLNKWH.A</t>
  </si>
  <si>
    <t>Electricity: End-Use Generation: Other: High Zero-Carbon Technology Cost</t>
  </si>
  <si>
    <t>AEO.2025.HIGHZTC.GEN_NA_ELEP_EUG_OTH_NA_USA_BLNKWH.A</t>
  </si>
  <si>
    <t>Total End-Use Sector Net Generation</t>
  </si>
  <si>
    <t>Electricity: End-Use Generation: Total: High Zero-Carbon Technology Cost</t>
  </si>
  <si>
    <t>AEO.2025.HIGHZTC.GEN_NA_ELEP_EUG_TOT_NA_USA_BLNKWH.A</t>
  </si>
  <si>
    <t>Electricity: End-Use Generation: Less Direct Use: High Zero-Carbon Technology Cost</t>
  </si>
  <si>
    <t>AEO.2025.HIGHZTC.GEN_NA_ELEP_EUG_LDU_NA_USA_BLNKWH.A</t>
  </si>
  <si>
    <t>Total Sales to the Grid</t>
  </si>
  <si>
    <t>Electricity: End-Use Generation: Total Sales to the Grid: High Zero-Carbon Technology Cost</t>
  </si>
  <si>
    <t>AEO.2025.HIGHZTC.GEN_NA_ELEP_EUG_TSG_NA_USA_BLNKWH.A</t>
  </si>
  <si>
    <t>Total Net Electricity Generation by Fuel</t>
  </si>
  <si>
    <t>Electricity: Total Electricity Generation by Fuel: Coal: High Zero-Carbon Technology Cost</t>
  </si>
  <si>
    <t>AEO.2025.HIGHZTC.GEN_NA_ELEP_TGE_CL_NA_USA_BLNKWH.A</t>
  </si>
  <si>
    <t>Electricity: Total Electricity Generation by Fuel: Petroleum: High Zero-Carbon Technology Cost</t>
  </si>
  <si>
    <t>AEO.2025.HIGHZTC.GEN_NA_ELEP_TGE_PET_NA_USA_BLNKWH.A</t>
  </si>
  <si>
    <t>Electricity: Total Electricity Generation by Fuel: Natural Gas: High Zero-Carbon Technology Cost</t>
  </si>
  <si>
    <t>AEO.2025.HIGHZTC.GEN_NA_ELEP_TGE_NG_NA_USA_BLNKWH.A</t>
  </si>
  <si>
    <t>Electricity: Total Electricity Generation by Fuel: Nuclear: High Zero-Carbon Technology Cost</t>
  </si>
  <si>
    <t>AEO.2025.HIGHZTC.GEN_NA_ELEP_TGE_NUP_NA_USA_BLNKWH.A</t>
  </si>
  <si>
    <t>Electricity: Total Electricity Generation by Fuel: Renewable Sources: High Zero-Carbon Technology Cost</t>
  </si>
  <si>
    <t>AEO.2025.HIGHZTC.GEN_NA_ELEP_TGE_RSU_NA_USA_BLNKWH.A</t>
  </si>
  <si>
    <t>Electricity: Total Electricity Generation by Fuel: Hydrogen: High Zero-Carbon Technology Cost</t>
  </si>
  <si>
    <t>AEO.2025.HIGHZTC.GEN_NA_ELEP_TGE_HDG_NA_USA_BLNKWH.A</t>
  </si>
  <si>
    <t>Electricity: Total Electricity Generation by Fuel: Other: High Zero-Carbon Technology Cost</t>
  </si>
  <si>
    <t>AEO.2025.HIGHZTC.GEN_NA_ELEP_TGE_OTH_NA_USA_BLNKWH.A</t>
  </si>
  <si>
    <t>Electricity: Total Electricity Generation: High Zero-Carbon Technology Cost</t>
  </si>
  <si>
    <t>AEO.2025.HIGHZTC.GEN_NA_ELEP_NA_TEG_NA_USA_BLNKWH.A</t>
  </si>
  <si>
    <t>Electricity: Total Net Generation to the Grid: High Zero-Carbon Technology Cost</t>
  </si>
  <si>
    <t>AEO.2025.HIGHZTC.GEN_NA_ELEP_NA_TGG_NA_USA_BLNKWH.A</t>
  </si>
  <si>
    <t>Electricity: Net Imports: High Zero-Carbon Technology Cost</t>
  </si>
  <si>
    <t>AEO.2025.HIGHZTC.TRAD_NA_ELEP_NA_NETIMP_NA_USA_BLNKWH.A</t>
  </si>
  <si>
    <t>Residential</t>
  </si>
  <si>
    <t>Electricity: Electricity Sales by Sector: Residential: High Zero-Carbon Technology Cost</t>
  </si>
  <si>
    <t>AEO.2025.HIGHZTC.CNSM_NA_RESD_NA_ELS_NA_USA_BLNKWH.A</t>
  </si>
  <si>
    <t>Commercial</t>
  </si>
  <si>
    <t>Electricity: Electricity Sales by Sector: Commercial: High Zero-Carbon Technology Cost</t>
  </si>
  <si>
    <t>AEO.2025.HIGHZTC.CNSM_NA_COMM_NA_ELS_NA_USA_BLNKWH.A</t>
  </si>
  <si>
    <t>Industrial</t>
  </si>
  <si>
    <t>Electricity: Electricity Sales by Sector: Industrial: High Zero-Carbon Technology Cost</t>
  </si>
  <si>
    <t>AEO.2025.HIGHZTC.CNSM_NA_IDAL_NA_ELS_NA_USA_BLNKWH.A</t>
  </si>
  <si>
    <t>Transportation</t>
  </si>
  <si>
    <t>Electricity: Electricity Sales by Sector: Transportation: High Zero-Carbon Technology Cost</t>
  </si>
  <si>
    <t>AEO.2025.HIGHZTC.CNSM_NA_TRN_NA_ELS_NA_USA_BLNKWH.A</t>
  </si>
  <si>
    <t>Electricity: Electricity Sales by Sector: Total: High Zero-Carbon Technology Cost</t>
  </si>
  <si>
    <t>AEO.2025.HIGHZTC.CNSM_NA_ELEP_NA_ELS_NA_USA_BLNKWH.A</t>
  </si>
  <si>
    <t>Electricity: Direct Use: High Zero-Carbon Technology Cost</t>
  </si>
  <si>
    <t>AEO.2025.HIGHZTC.CNSM_NA_ELEP_NA_DRU_NA_USA_BLNKWH.A</t>
  </si>
  <si>
    <t>Electricity: Total Electricity Use: High Zero-Carbon Technology Cost</t>
  </si>
  <si>
    <t>AEO.2025.HIGHZTC.CNSM_NA_ELEP_NA_TEL_NA_USA_BLNKWH.A</t>
  </si>
  <si>
    <t>(2024 cents per kilowatthour)</t>
  </si>
  <si>
    <t>Electricity: End-Use Prices: Residential: High Zero-Carbon Technology Cost</t>
  </si>
  <si>
    <t>AEO.2025.HIGHZTC.PRCE_NA_RESD_NA_EDU_NA_USA_Y13CNTPKWH.A</t>
  </si>
  <si>
    <t>Electricity: End-Use Prices: Commercial: High Zero-Carbon Technology Cost</t>
  </si>
  <si>
    <t>AEO.2025.HIGHZTC.PRCE_NA_COMM_NA_EDU_NA_USA_Y13CNTPKWH.A</t>
  </si>
  <si>
    <t>Electricity: End-Use Prices: Industrial: High Zero-Carbon Technology Cost</t>
  </si>
  <si>
    <t>AEO.2025.HIGHZTC.PRCE_NA_IDAL_NA_EDU_NA_USA_Y13CNTPKWH.A</t>
  </si>
  <si>
    <t>Electricity: End-Use Prices: Transportation: High Zero-Carbon Technology Cost</t>
  </si>
  <si>
    <t>AEO.2025.HIGHZTC.PRCE_NA_TRN_NA_EDU_NA_USA_Y13CNTPKWH.A</t>
  </si>
  <si>
    <t>All Sectors Average</t>
  </si>
  <si>
    <t>Electricity: End-Use Prices: All Sectors Average: High Zero-Carbon Technology Cost</t>
  </si>
  <si>
    <t>AEO.2025.HIGHZTC.PRCE_NA_ELEP_NA_EDU_NA_USA_Y13CNTPKWH.A</t>
  </si>
  <si>
    <t>AEO.2025.HIGHZTC.PRCE_NA_RESD_NA_EDU_NA_USA_NCNTPKWH.A</t>
  </si>
  <si>
    <t>AEO.2025.HIGHZTC.PRCE_NA_COMM_NA_EDU_NA_USA_NCNTPKWH.A</t>
  </si>
  <si>
    <t>AEO.2025.HIGHZTC.PRCE_NA_IDAL_NA_EDU_NA_USA_NCNTPKWH.A</t>
  </si>
  <si>
    <t>AEO.2025.HIGHZTC.PRCE_NA_TRN_NA_EDU_NA_USA_NCNTPKWH.A</t>
  </si>
  <si>
    <t>AEO.2025.HIGHZTC.PRCE_NA_ELEP_NA_EDU_NA_USA_NCNTPKWH.A</t>
  </si>
  <si>
    <t>Generation</t>
  </si>
  <si>
    <t>Electricity: Prices by Service Category: Generation: High Zero-Carbon Technology Cost</t>
  </si>
  <si>
    <t>AEO.2025.HIGHZTC.PRCE_NA_ELEP_NA_GEN_NA_USA_Y13CNTPKWH.A</t>
  </si>
  <si>
    <t>Transmission</t>
  </si>
  <si>
    <t>Electricity: Prices by Service Category: Transmission: High Zero-Carbon Technology Cost</t>
  </si>
  <si>
    <t>AEO.2025.HIGHZTC.PRCE_NA_ELEP_NA_TRAN_NA_USA_Y13CNTPKWH.A</t>
  </si>
  <si>
    <t>Distribution</t>
  </si>
  <si>
    <t>Electricity: Prices by Service Category: Distribution: High Zero-Carbon Technology Cost</t>
  </si>
  <si>
    <t>AEO.2025.HIGHZTC.PRCE_NA_ELEP_NA_DSE_NA_USA_Y13CNTPKWH.A</t>
  </si>
  <si>
    <t>AEO.2025.HIGHZTC.PRCE_NA_ELEP_NA_GEN_NA_USA_NCNTPKWH.A</t>
  </si>
  <si>
    <t>AEO.2025.HIGHZTC.PRCE_NA_ELEP_NA_TRAN_NA_USA_NCNTPKWH.A</t>
  </si>
  <si>
    <t>AEO.2025.HIGHZTC.PRCE_NA_ELEP_NA_DSE_NA_USA_NCNTPKWH.A</t>
  </si>
  <si>
    <t>Electric Power Sector Emissions</t>
  </si>
  <si>
    <t>Sulfur Dioxide (million short tons)</t>
  </si>
  <si>
    <t>Electricity: Electric Power Sector Emissions: Sulfur Dioxide: High Zero-Carbon Technology Cost</t>
  </si>
  <si>
    <t>AEO.2025.HIGHZTC.ENV_NA_ELEP_SDO_EMI_SDO_USA_MILLTON.A</t>
  </si>
  <si>
    <t>MMst</t>
  </si>
  <si>
    <t>Nitrogen Oxide (million short tons)</t>
  </si>
  <si>
    <t>Electricity: Electric Power Sector Emissions: Nitrogen Oxide: High Zero-Carbon Technology Cost</t>
  </si>
  <si>
    <t>AEO.2025.HIGHZTC.ENV_NA_ELEP_NIO_EMI_NIO_USA_MILLTON.A</t>
  </si>
  <si>
    <t>Mercury (short tons)</t>
  </si>
  <si>
    <t>Electricity: Electric Power Sector Emissions: Mercury: High Zero-Carbon Technology Cost</t>
  </si>
  <si>
    <t>AEO.2025.HIGHZTC.ENV_NA_ELEP_MER_EMI_MER_USA_TON.A</t>
  </si>
  <si>
    <t>st</t>
  </si>
  <si>
    <t>PSD000</t>
  </si>
  <si>
    <t>11. Petroleum and Other Liquids Supply and Disposition</t>
  </si>
  <si>
    <t>(million barrels per day, unless otherwise noted)</t>
  </si>
  <si>
    <t xml:space="preserve"> Supply and Disposition</t>
  </si>
  <si>
    <t xml:space="preserve"> Crude Oil</t>
  </si>
  <si>
    <t>PSD000:ba_DomesticCrude</t>
  </si>
  <si>
    <t xml:space="preserve">   Domestic Crude Production 1/</t>
  </si>
  <si>
    <t>PSD000:ba_Alaska</t>
  </si>
  <si>
    <t xml:space="preserve">     Alaska</t>
  </si>
  <si>
    <t>PSD000:ba_Lower48States</t>
  </si>
  <si>
    <t xml:space="preserve">     Lower 48 States</t>
  </si>
  <si>
    <t>PSD000:ba_NetImports</t>
  </si>
  <si>
    <t xml:space="preserve">   Net Imports</t>
  </si>
  <si>
    <t>PSD000:ba_GrossImports</t>
  </si>
  <si>
    <t xml:space="preserve">     Gross Imports</t>
  </si>
  <si>
    <t>PSD000:ba_Exports</t>
  </si>
  <si>
    <t xml:space="preserve">     Exports</t>
  </si>
  <si>
    <t>PSD000:ba_OtherCrudeSup</t>
  </si>
  <si>
    <t xml:space="preserve">   Other Crude Supply 2/</t>
  </si>
  <si>
    <t>PSD000:ba_TotalCrudeSup</t>
  </si>
  <si>
    <t xml:space="preserve">     Total Crude Supply</t>
  </si>
  <si>
    <t>PSD000:ca_NetProductImp</t>
  </si>
  <si>
    <t xml:space="preserve"> Net Product Imports</t>
  </si>
  <si>
    <t>PSD000:ca_GrossRefinedP</t>
  </si>
  <si>
    <t xml:space="preserve">   Gross Refined Product Imports 3/</t>
  </si>
  <si>
    <t>PSD000:ca_UnfinishedOil</t>
  </si>
  <si>
    <t xml:space="preserve">   Unfinished Oil Imports</t>
  </si>
  <si>
    <t>PSD000:ca_BlendingCompo</t>
  </si>
  <si>
    <t xml:space="preserve">   Blending Component Imports</t>
  </si>
  <si>
    <t>PSD000:ca_Exports</t>
  </si>
  <si>
    <t xml:space="preserve">   Exports</t>
  </si>
  <si>
    <t>PSD000:ca_RefineryProce</t>
  </si>
  <si>
    <t xml:space="preserve"> Refinery Processing Gain 4/</t>
  </si>
  <si>
    <t>PSD000:ProductStockDraw</t>
  </si>
  <si>
    <t xml:space="preserve"> Product Stock Withdrawal</t>
  </si>
  <si>
    <t>PSD000:ca_NaturalGasPla</t>
  </si>
  <si>
    <t xml:space="preserve"> Natural Gas Plant Liquids</t>
  </si>
  <si>
    <t>PSD000:from_Renewables</t>
  </si>
  <si>
    <t xml:space="preserve"> Biofuels</t>
  </si>
  <si>
    <t>PSD000:cb_TotalEthanol</t>
  </si>
  <si>
    <t xml:space="preserve">   Ethanol (undenatured)</t>
  </si>
  <si>
    <t>PSD000:ca_DomesticEthan</t>
  </si>
  <si>
    <t xml:space="preserve">     Domestic Production</t>
  </si>
  <si>
    <t>PSD000:ca_EthanolImport</t>
  </si>
  <si>
    <t xml:space="preserve">     Net Imports</t>
  </si>
  <si>
    <t>PSD000:ca_EthanolWithdr</t>
  </si>
  <si>
    <t xml:space="preserve">     Stock Withdrawal</t>
  </si>
  <si>
    <t>PSD000:cb_TotalBiodiesl</t>
  </si>
  <si>
    <t xml:space="preserve">   Biodiesel</t>
  </si>
  <si>
    <t>PSD000:cb_DomesticBiodi</t>
  </si>
  <si>
    <t>PSD000:cb_BiodieselImpo</t>
  </si>
  <si>
    <t>PSD000:cb_BiodieselWith</t>
  </si>
  <si>
    <t>PSD000:Other_BM-derived</t>
  </si>
  <si>
    <t xml:space="preserve">   Other Biomass-derived Liquids 5/</t>
  </si>
  <si>
    <t>PSD000:Other_BM_Dome</t>
  </si>
  <si>
    <t>PSD000:Other_BM_NetImp</t>
  </si>
  <si>
    <t>PSD000:Other_BM_Stock</t>
  </si>
  <si>
    <t>PSD000:AllLiquidsfromGa</t>
  </si>
  <si>
    <t xml:space="preserve"> Liquids from Gas</t>
  </si>
  <si>
    <t>PSD000:ca_LiquidsfromCo</t>
  </si>
  <si>
    <t xml:space="preserve"> Liquids from Coal</t>
  </si>
  <si>
    <t>PSD000:ca_OtherOther</t>
  </si>
  <si>
    <t xml:space="preserve"> Other 6/</t>
  </si>
  <si>
    <t>PSD000:da_TotalPrimaryS</t>
  </si>
  <si>
    <t xml:space="preserve"> Total Primary Supply 7/</t>
  </si>
  <si>
    <t xml:space="preserve"> Product Supplied</t>
  </si>
  <si>
    <t xml:space="preserve">   by Fuel</t>
  </si>
  <si>
    <t>PSD000:ea_LiqPetGas</t>
  </si>
  <si>
    <t xml:space="preserve">     Liquefied Petroleum Gases and Other 8/</t>
  </si>
  <si>
    <t>PSD000:ea_MotorGasoline</t>
  </si>
  <si>
    <t xml:space="preserve">     Motor Gasoline 9/</t>
  </si>
  <si>
    <t>PSD000:ea_E85E85E85E85</t>
  </si>
  <si>
    <t xml:space="preserve">        of which:  E85 10/</t>
  </si>
  <si>
    <t>PSD000:ea_JetFuel</t>
  </si>
  <si>
    <t xml:space="preserve">     Jet Fuel 11/</t>
  </si>
  <si>
    <t>PSD000:ea_DistillateFue</t>
  </si>
  <si>
    <t xml:space="preserve">     Distillate Fuel Oil 12/</t>
  </si>
  <si>
    <t>PSD000:eb_DieselAllSect</t>
  </si>
  <si>
    <t xml:space="preserve">       of which:  Diesel</t>
  </si>
  <si>
    <t>PSD000:ea_ResidualFuel</t>
  </si>
  <si>
    <t xml:space="preserve">     Residual Fuel Oil</t>
  </si>
  <si>
    <t>PSD000:ea_Other</t>
  </si>
  <si>
    <t xml:space="preserve">     Other 13/</t>
  </si>
  <si>
    <t xml:space="preserve">   by Sector</t>
  </si>
  <si>
    <t>PSD000:fa_Residentialan</t>
  </si>
  <si>
    <t xml:space="preserve">     Residential and Commercial</t>
  </si>
  <si>
    <t>PSD000:fa_Industrial</t>
  </si>
  <si>
    <t xml:space="preserve">     Industrial 14/</t>
  </si>
  <si>
    <t>PSD000:fa_Transportatio</t>
  </si>
  <si>
    <t xml:space="preserve">     Transportation</t>
  </si>
  <si>
    <t>PSD000:fa_ElectricPower</t>
  </si>
  <si>
    <t xml:space="preserve">     Electric Power 15/</t>
  </si>
  <si>
    <t>PSD000:fa_balancesector</t>
  </si>
  <si>
    <t xml:space="preserve">     Unspecified Sector 16/</t>
  </si>
  <si>
    <t>PSD000:fa_Total</t>
  </si>
  <si>
    <t xml:space="preserve">   Total</t>
  </si>
  <si>
    <t>PSD000:ga_Discrepancy</t>
  </si>
  <si>
    <t xml:space="preserve"> Discrepancy 17/</t>
  </si>
  <si>
    <t>PSD000:ha_DomesticRefin</t>
  </si>
  <si>
    <t>Domestic Refinery Distillation Capacity 18/</t>
  </si>
  <si>
    <t>PSD000:ha_CapacityUtili</t>
  </si>
  <si>
    <t>Capacity Utilization Rate (%) 19/</t>
  </si>
  <si>
    <t>PSD000:total_gross_imp</t>
  </si>
  <si>
    <t>Total Gross Imports</t>
  </si>
  <si>
    <t>PSD000:total_gross_exp</t>
  </si>
  <si>
    <t>Total Gross Exports</t>
  </si>
  <si>
    <t>PSD000:total_net_import</t>
  </si>
  <si>
    <t>Total Net Imports</t>
  </si>
  <si>
    <t>PSD000:ha_ImportShareof</t>
  </si>
  <si>
    <t>Net Import Share of Product Supplied (%)</t>
  </si>
  <si>
    <t>Expenditures for Imported Crude Oil and</t>
  </si>
  <si>
    <t>PSD000:ha_PetroleumProd</t>
  </si>
  <si>
    <t xml:space="preserve"> Petroleum Products (billion 2021 dollars)</t>
  </si>
  <si>
    <t>1/ Includes lease condensate.</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</si>
  <si>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</si>
  <si>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</si>
  <si>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</si>
  <si>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have a lower specific gravity than the crude oil processed.</t>
  </si>
  <si>
    <t>5/ Includes pyrolysis oils, biomass-derived Fischer-Tropsch liquids, biobutanol, and renewable feedstocks used for the</t>
  </si>
  <si>
    <t>on-site production of diesel and gasoline.</t>
  </si>
  <si>
    <t>6/ Includes domestic sources of other blending components, other hydrocarbons, and ethers.</t>
  </si>
  <si>
    <t>7/ Total crude supply, net product imports, refinery processing gain, product stock withdrawal, natural gas plant liquids, supply from</t>
  </si>
  <si>
    <t>renewable sources, liquids from gas, liquids from coal, and other supply.</t>
  </si>
  <si>
    <t>8/ Includes ethane, natural gasoline, and refinery olefins.</t>
  </si>
  <si>
    <t>9/ Includes ethanol and ethers blended into gasoline.</t>
  </si>
  <si>
    <t>10/ E85 refers to a blend of 85 % ethanol (renewable) and 15 % motor gasoline (nonrenewable).  To address cold starting</t>
  </si>
  <si>
    <t>issues, the percentage of ethanol varies seasonally.  The annual average ethanol content of 74 percent is used for these projections.</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</si>
  <si>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</si>
  <si>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</si>
  <si>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</si>
  <si>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coke, crude oil product supplied, methanol, miscellaneous petroleum products, and kerosene not used in the residential sector.</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</si>
  <si>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</si>
  <si>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</si>
  <si>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</si>
  <si>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</si>
  <si>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</si>
  <si>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</si>
  <si>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operable refining capacity in barrels per calendar day.</t>
  </si>
  <si>
    <t>Sources:  2021:  U.S. Energy Information Administration (EIA), Short-Term Energy Outlook, November 2021 and EIA,</t>
  </si>
  <si>
    <t xml:space="preserve">  Renewable Diesel</t>
  </si>
  <si>
    <t xml:space="preserve">     Hydrocarbon Gas Liquids 8/</t>
  </si>
  <si>
    <t>Capacity Utilization Rate (percent) 19/</t>
  </si>
  <si>
    <t>Net Import Share of Product Supplied (percent)</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</si>
  <si>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</si>
  <si>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</si>
  <si>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</si>
  <si>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</si>
  <si>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</si>
  <si>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</si>
  <si>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</si>
  <si>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</si>
  <si>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</si>
  <si>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Table 11.  Petroleum and Other Liquids Supply and Disposition</t>
  </si>
  <si>
    <t>https://www.eia.gov/outlooks/aeo/data/browser/#/?id=11-AEO2025&amp;cases=highZTC&amp;sourcekey=0</t>
  </si>
  <si>
    <t>Tue Dec 02 2025 13:19:39 GMT-0800 (Pacific Standard Time)</t>
  </si>
  <si>
    <t>Domestic Crude Production</t>
  </si>
  <si>
    <t>Liquid Fuels: Crude Oil: Domestic Production: High Zero-Carbon Technology Cost</t>
  </si>
  <si>
    <t>AEO.2025.HIGHZTC.SUP_NA_LFL_NA_DCP_NA_USA_MILLBRLPDY.A</t>
  </si>
  <si>
    <t>MMb/d</t>
  </si>
  <si>
    <t>Alaska</t>
  </si>
  <si>
    <t>Liquid Fuels: Crude Oil: Domestic Production: Alaska: High Zero-Carbon Technology Cost</t>
  </si>
  <si>
    <t>AEO.2025.HIGHZTC.SUP_NA_LFL_NA_ALK_NA_AK_MILLBRLPDY.A</t>
  </si>
  <si>
    <t>Lower 48 States</t>
  </si>
  <si>
    <t>Liquid Fuels: Crude Oil: Domestic Production: Lower 48 States: High Zero-Carbon Technology Cost</t>
  </si>
  <si>
    <t>AEO.2025.HIGHZTC.SUP_NA_LFL_NA_LES_NA_L48S_MILLBRLPDY.A</t>
  </si>
  <si>
    <t>Liquid Fuels: Crude Oil: Net Imports: High Zero-Carbon Technology Cost</t>
  </si>
  <si>
    <t>AEO.2025.HIGHZTC.TRAD_NA_LFL_NA_NETIMP_NETIMP_USA_MILLBRLPDY.A</t>
  </si>
  <si>
    <t>Gross Imports</t>
  </si>
  <si>
    <t>Liquid Fuels: Crude Oil: Gross Imports: High Zero-Carbon Technology Cost</t>
  </si>
  <si>
    <t>AEO.2025.HIGHZTC.TRAD_NA_LFL_NA_GIM_NA_USA_MILLBRLPDY.A</t>
  </si>
  <si>
    <t>Liquid Fuels: Crude Oil: Exports: High Zero-Carbon Technology Cost</t>
  </si>
  <si>
    <t>AEO.2025.HIGHZTC.TRAD_NA_LFL_NA_EXP_NA_USA_MILLBRLPDY.A</t>
  </si>
  <si>
    <t>Other Crude Supply</t>
  </si>
  <si>
    <t>Liquid Fuels: Crude Oil: Other Crude Supply: High Zero-Carbon Technology Cost</t>
  </si>
  <si>
    <t>AEO.2025.HIGHZTC.SUP_NA_LFL_NA_OCS_NA_USA_MILLBRLPDY.A</t>
  </si>
  <si>
    <t>Total Crude Supply</t>
  </si>
  <si>
    <t>Liquid Fuels: Crude Oil: Total Crude Supply: High Zero-Carbon Technology Cost</t>
  </si>
  <si>
    <t>AEO.2025.HIGHZTC.SUP_NA_LFL_NA_TCS_NA_USA_MILLBRLPDY.A</t>
  </si>
  <si>
    <t>Net Product Imports</t>
  </si>
  <si>
    <t>Liquid Fuels: Net Product Imports: High Zero-Carbon Technology Cost</t>
  </si>
  <si>
    <t>AEO.2025.HIGHZTC.SUP_NA_LFL_OPS_NPI_NA_NA_NA.A</t>
  </si>
  <si>
    <t>Gross Refined Product Imports</t>
  </si>
  <si>
    <t>Liquid Fuels: Net Product Imports: Gross Refined Product Imports: High Zero-Carbon Technology Cost</t>
  </si>
  <si>
    <t>AEO.2025.HIGHZTC.SUP_NA_LFL_OPS_GRF_NA_NA_NA.A</t>
  </si>
  <si>
    <t>Unfinished Oil Imports</t>
  </si>
  <si>
    <t>Liquid Fuels: Net Product Imports: Unfinished Oil Imports: High Zero-Carbon Technology Cost</t>
  </si>
  <si>
    <t>AEO.2025.HIGHZTC.SUP_NA_LFL_OPS_UOI_NA_NA_NA.A</t>
  </si>
  <si>
    <t>Blending Component Imports</t>
  </si>
  <si>
    <t>Liquid Fuels: Net Product Imports: Blending Component Imports: High Zero-Carbon Technology Cost</t>
  </si>
  <si>
    <t>AEO.2025.HIGHZTC.SUP_NA_LFL_OPS_BCI_NA_NA_NA.A</t>
  </si>
  <si>
    <t>Liquid Fuels: Net Product Imports: Exports: High Zero-Carbon Technology Cost</t>
  </si>
  <si>
    <t>AEO.2025.HIGHZTC.SUP_NA_LFL_OPS_EXP_NA_NA_NA.A</t>
  </si>
  <si>
    <t>Refinery Processing Gain</t>
  </si>
  <si>
    <t>Liquid Fuels: Refinery Processing Gain: High Zero-Carbon Technology Cost</t>
  </si>
  <si>
    <t>AEO.2025.HIGHZTC.SUP_NA_LFL_OPS_RPG_NA_NA_NA.A</t>
  </si>
  <si>
    <t>Product Stock Withdrawal</t>
  </si>
  <si>
    <t>Liquid Fuels: Product Stock Withdrawal: High Zero-Carbon Technology Cost</t>
  </si>
  <si>
    <t>AEO.2025.HIGHZTC.SUP_NA_LFL_OPS_NA_NA_NA_NA.A</t>
  </si>
  <si>
    <t>Liquid Fuels: Natural Gas Plant Liquids: High Zero-Carbon Technology Cost</t>
  </si>
  <si>
    <t>AEO.2025.HIGHZTC.SUP_NA_LFL_ONPS_NGP_NA_NA_NA.A</t>
  </si>
  <si>
    <t>Liquid Fuels: Hydrogen: High Zero-Carbon Technology Cost</t>
  </si>
  <si>
    <t>AEO.2025.HIGHZTC.SUP_NA_LFL_NA_OIP_NA_USA_MILLBRLPDY.A</t>
  </si>
  <si>
    <t>Biofuels</t>
  </si>
  <si>
    <t>Liquid Fuels: Biofuels: High Zero-Carbon Technology Cost</t>
  </si>
  <si>
    <t>AEO.2025.HIGHZTC.SUP_NA_LFL_ONPS_RNW_NA_NA_NA.A</t>
  </si>
  <si>
    <t>Ethanol (undenatured)</t>
  </si>
  <si>
    <t>Liquid Fuels: Biofuels: Ethanol (undenatured): High Zero-Carbon Technology Cost</t>
  </si>
  <si>
    <t>AEO.2025.HIGHZTC.SUP_NA_LFL_ONPS_ETHUND_NA_NA_NA.A</t>
  </si>
  <si>
    <t>Domestic Production</t>
  </si>
  <si>
    <t>Liquid Fuels: Biofuels: Ethanol: Domestic Production: High Zero-Carbon Technology Cost</t>
  </si>
  <si>
    <t>AEO.2025.HIGHZTC.SUP_DMS_LFL_ONPS_ETH_NA_NA_NA.A</t>
  </si>
  <si>
    <t>Liquid Fuels: Biofuels: Ethanol: Net Imports: High Zero-Carbon Technology Cost</t>
  </si>
  <si>
    <t>AEO.2025.HIGHZTC.SUP_NETIMP_LFL_ONPS_ETH_NA_NA_NA.A</t>
  </si>
  <si>
    <t>Biodiesel</t>
  </si>
  <si>
    <t>Liquid Fuels: Biofuels: Biodiesel: High Zero-Carbon Technology Cost</t>
  </si>
  <si>
    <t>AEO.2025.HIGHZTC.SUP_NA_LFL_ONPS_BDL_NA_NA_NA.A</t>
  </si>
  <si>
    <t>Liquid Fuels: Biofuels: Biodiesel: Domestic Production: High Zero-Carbon Technology Cost</t>
  </si>
  <si>
    <t>AEO.2025.HIGHZTC.SUP_DMS_LFL_ONPS_BDL_NA_NA_NA.A</t>
  </si>
  <si>
    <t>Liquid Fuels: Biofuels: Biodiesel: Net Imports: High Zero-Carbon Technology Cost</t>
  </si>
  <si>
    <t>AEO.2025.HIGHZTC.SUP_NETIMP_LFL_ONPS_BDL_NA_NA_NA.A</t>
  </si>
  <si>
    <t>Renewable Diesel</t>
  </si>
  <si>
    <t>Liquid Fuels: Biofuels: Renewable Diesel: High Zero-Carbon Technology Cost</t>
  </si>
  <si>
    <t>AEO.2025.HIGHZTC.SUP_NA_LFL_ONPS_RD_NA_NA_NA.A</t>
  </si>
  <si>
    <t>Liquid Fuels: Biofuels: Renewable Diesel: Domestic Production: High Zero-Carbon Technology Cost</t>
  </si>
  <si>
    <t>AEO.2025.HIGHZTC.SUP_DMS_LFL_ONPS_RD_NA_NA_NA.A</t>
  </si>
  <si>
    <t>Liquid Fuels: Biofuels: Renewable Diesel: Net Imports: High Zero-Carbon Technology Cost</t>
  </si>
  <si>
    <t>AEO.2025.HIGHZTC.SUP_NETIMP_LFL_ONPS_RD_NA_NA_NA.A</t>
  </si>
  <si>
    <t>Other Biomass-derived Liquids</t>
  </si>
  <si>
    <t>Liquid Fuels: Biofuels: Other Biomass-derived Liquids: High Zero-Carbon Technology Cost</t>
  </si>
  <si>
    <t>AEO.2025.HIGHZTC.SUP_NA_LFL_ONPS_OBIOL_NA_NA_NA.A</t>
  </si>
  <si>
    <t>Liquid Fuels: Biofuels: Other Biomass: Domestic Production: High Zero-Carbon Technology Cost</t>
  </si>
  <si>
    <t>AEO.2025.HIGHZTC.SUP_DMS_LFL_ONPS_OBIOL_NA_NA_NA.A</t>
  </si>
  <si>
    <t>Liquid Fuels: Biofuels: Other Biomass: Net Imports: High Zero-Carbon Technology Cost</t>
  </si>
  <si>
    <t>AEO.2025.HIGHZTC.SUP_NETIMP_LFL_ONPS_OBIOL_NA_NA_NA.A</t>
  </si>
  <si>
    <t>Stock Withdrawal</t>
  </si>
  <si>
    <t>Liquid Fuels: Biofuels: Other Biomass: Stock Withdrawal: High Zero-Carbon Technology Cost</t>
  </si>
  <si>
    <t>AEO.2025.HIGHZTC.SUP_STKW_LFL_ONPS_OBIOL_NA_NA_NA.A</t>
  </si>
  <si>
    <t>Liquid Fuels: Other: High Zero-Carbon Technology Cost</t>
  </si>
  <si>
    <t>AEO.2025.HIGHZTC.SUP_NA_LFL_ONPS_OTH_NA_USA_MILLBRLPDY.A</t>
  </si>
  <si>
    <t>Total Primary Supply</t>
  </si>
  <si>
    <t>Liquid Fuels: Total Primary Supply: High Zero-Carbon Technology Cost</t>
  </si>
  <si>
    <t>AEO.2025.HIGHZTC.SUP_NA_LFL_NA_TPS_NA_USA_MILLBRLPDY.A</t>
  </si>
  <si>
    <t>Product Supplied</t>
  </si>
  <si>
    <t>by Fuel</t>
  </si>
  <si>
    <t>Hydrocarbon Gas Liquids</t>
  </si>
  <si>
    <t>Liquid Fuels: Liquid Fuels Use: by Fuel: Hydrocarbon Gas Liquids: High Zero-Carbon Technology Cost</t>
  </si>
  <si>
    <t>AEO.2025.HIGHZTC.CNSM_NA_LFL_NA_LPG_NA_USA_MILLBRLPDY.A</t>
  </si>
  <si>
    <t>Motor Gasoline</t>
  </si>
  <si>
    <t>Liquid Fuels: Liquid Fuels Use: by Fuel: Motor Gasoline: High Zero-Carbon Technology Cost</t>
  </si>
  <si>
    <t>AEO.2025.HIGHZTC.CNSM_NA_LFL_NA_MGS_NA_USA_MILLBRLPDY.A</t>
  </si>
  <si>
    <t>of which: E85</t>
  </si>
  <si>
    <t>Liquid Fuels: Liquid Fuels Use: by Fuel: E85: High Zero-Carbon Technology Cost</t>
  </si>
  <si>
    <t>AEO.2025.HIGHZTC.CNSM_NA_LFL_NA_E85_NA_USA_MILLBRLPDY.A</t>
  </si>
  <si>
    <t>Jet Fuel</t>
  </si>
  <si>
    <t>Liquid Fuels: Liquid Fuels Use: by Fuel: Jet Fuel: High Zero-Carbon Technology Cost</t>
  </si>
  <si>
    <t>AEO.2025.HIGHZTC.CNSM_NA_LFL_NA_JFL_NA_USA_MILLBRLPDY.A</t>
  </si>
  <si>
    <t>Distillate Fuel Oil</t>
  </si>
  <si>
    <t>Liquid Fuels: Liquid Fuels Use: by Fuel: Distillate Fuel Oil: High Zero-Carbon Technology Cost</t>
  </si>
  <si>
    <t>AEO.2025.HIGHZTC.CNSM_NA_LFL_NA_DFO_NA_USA_MILLBRLPDY.A</t>
  </si>
  <si>
    <t>of which: Diesel</t>
  </si>
  <si>
    <t>Liquid Fuels: Liquid Fuels Use: by Fuel: Diesel: High Zero-Carbon Technology Cost</t>
  </si>
  <si>
    <t>AEO.2025.HIGHZTC.CNSM_NA_LFL_NA_DSL_NA_USA_MILLBRLPDY.A</t>
  </si>
  <si>
    <t>Residual Fuel Oil</t>
  </si>
  <si>
    <t>Liquid Fuels: Liquid Fuels Use: by Fuel: Residual Fuel Oil: High Zero-Carbon Technology Cost</t>
  </si>
  <si>
    <t>AEO.2025.HIGHZTC.CNSM_NA_LFL_NA_RFO_NA_USA_MILLBRLPDY.A</t>
  </si>
  <si>
    <t>Liquid Fuels: Liquid Fuels Use: by Fuel: Other: High Zero-Carbon Technology Cost</t>
  </si>
  <si>
    <t>AEO.2025.HIGHZTC.CNSM_NA_LFL_NA_LFU_OTH_USA_MILLBRLPDY.A</t>
  </si>
  <si>
    <t>by Sector</t>
  </si>
  <si>
    <t>Residential and Commercial</t>
  </si>
  <si>
    <t>Liquid Fuels: Liquid Fuels Use: by Sector: Residential and Commercial: High Zero-Carbon Technology Cost</t>
  </si>
  <si>
    <t>AEO.2025.HIGHZTC.CNSM_NA_LFL_NA_BLDG_NA_USA_MILLBRLPDY.A</t>
  </si>
  <si>
    <t>Liquid Fuels: Liquid Fuels Use: by Sector: Industrial: High Zero-Carbon Technology Cost</t>
  </si>
  <si>
    <t>AEO.2025.HIGHZTC.CNSM_NA_LFL_NA_IDAL_NA_USA_MILLBRLPDY.A</t>
  </si>
  <si>
    <t>Liquid Fuels: Liquid Fuels Use: by Sector: Transportation: High Zero-Carbon Technology Cost</t>
  </si>
  <si>
    <t>AEO.2025.HIGHZTC.CNSM_NA_LFL_NA_TRN_NA_USA_MILLBRLPDY.A</t>
  </si>
  <si>
    <t>Electric Power</t>
  </si>
  <si>
    <t>Liquid Fuels: Liquid Fuels Use: by Sector: Electric Power: High Zero-Carbon Technology Cost</t>
  </si>
  <si>
    <t>AEO.2025.HIGHZTC.CNSM_NA_LFL_NA_ELEP_NA_USA_MILLBRLPDY.A</t>
  </si>
  <si>
    <t>Unspecified Sector</t>
  </si>
  <si>
    <t>Liquid Fuels: Liquid Fuels Use: by Sector: Unspecified: High Zero-Carbon Technology Cost</t>
  </si>
  <si>
    <t>AEO.2025.HIGHZTC.CNSM_NA_LFL_NA_OTH_NA_USA_MILLBRLPDY.A</t>
  </si>
  <si>
    <t>Liquid Fuels: Liquid Fuels Use: by Sector: Total: High Zero-Carbon Technology Cost</t>
  </si>
  <si>
    <t>AEO.2025.HIGHZTC.CNSM_NA_LFL_NA_TOT_NA_USA_MILLBRLPDY.A</t>
  </si>
  <si>
    <t>Liquid Fuels: Liquid Fuels Use: Discrepancy: High Zero-Carbon Technology Cost</t>
  </si>
  <si>
    <t>AEO.2025.HIGHZTC.CNSM_NA_LFL_NA_DESCR_NA_USA_MILLBRLPDY.A</t>
  </si>
  <si>
    <t>Domestic Refinery Distillation Capacity</t>
  </si>
  <si>
    <t>Liquid Fuels: Domestic Refinery Distillation Capacity: High Zero-Carbon Technology Cost</t>
  </si>
  <si>
    <t>AEO.2025.HIGHZTC.CAP_NA_LFL_REF_DIST_NA_USA_MILLBRLPDY.A</t>
  </si>
  <si>
    <t>Capacity Utilization Rate (percentage)</t>
  </si>
  <si>
    <t>Liquid Fuels: Capacity Utilization Rate: High Zero-Carbon Technology Cost</t>
  </si>
  <si>
    <t>AEO.2025.HIGHZTC.UTR_NA_LFL_REF_UTR_NA_USA_PCT.A</t>
  </si>
  <si>
    <t>percent</t>
  </si>
  <si>
    <t>Liquid Fuels: Total Gross Imports: High Zero-Carbon Technology Cost</t>
  </si>
  <si>
    <t>AEO.2025.HIGHZTC.TRAD_NA_LFL_TOT_GIM_NA_USA_MILLBRLPDY.A</t>
  </si>
  <si>
    <t>Liquid Fuels: Total Gross Exports: High Zero-Carbon Technology Cost</t>
  </si>
  <si>
    <t>AEO.2025.HIGHZTC.TRAD_NA_LFL_TOT_EXP_NA_USA_MILLBRLPDY.A</t>
  </si>
  <si>
    <t>Liquid Fuels: Total Net Imports: High Zero-Carbon Technology Cost</t>
  </si>
  <si>
    <t>AEO.2025.HIGHZTC.TRAD_NA_LFL_TOT_NETIMP_NA_USA_MILLBRLPDY.A</t>
  </si>
  <si>
    <t>Net Import Share of Product Supplied (percentage)</t>
  </si>
  <si>
    <t>Liquid Fuels: Net Import Share of Product Supplied: High Zero-Carbon Technology Cost</t>
  </si>
  <si>
    <t>AEO.2025.HIGHZTC.MKS_NETIMP_LFL_NA_PRSP_NA_USA_PCT.A</t>
  </si>
  <si>
    <t>Petroleum Products (billion 2024 dollars)</t>
  </si>
  <si>
    <t>Liquid Fuels: Expenditures: Imports of Crude Oil and Petroleum Products: High Zero-Carbon Technology Cost</t>
  </si>
  <si>
    <t>AEO.2025.HIGHZTC.EXPD_ENE_IMP_NA_CRAPP_NA_USA_BLNY13DLR.A</t>
  </si>
  <si>
    <t>billion 2024 $</t>
  </si>
  <si>
    <t>Calculations - Electricity</t>
  </si>
  <si>
    <t>Solar PV  - $/MW</t>
  </si>
  <si>
    <t>Capital Costs of Solar PV ($/MW)</t>
  </si>
  <si>
    <t>Model output, due to endogenous learning (variable Construction Cost per Unit Capacity before Construction Subsidies)</t>
  </si>
  <si>
    <t>Fraction of Solar PV Capital Costs Covered by Subsidies, Accounting for Monetizing Tax Credit Penalty</t>
  </si>
  <si>
    <t>shifted 2 years for commenced construction provision</t>
  </si>
  <si>
    <t>Amount Covered by Solar PV Subsidies ($/MW)</t>
  </si>
  <si>
    <t>Offshore Wind  - $/MW</t>
  </si>
  <si>
    <t>Capital Costs of Offshore Wind ($/MW)</t>
  </si>
  <si>
    <t>Fraction of Offshore Wind Capital Costs Covered by Subsidies, Accounting for Monetizing Tax Credit Penalty</t>
  </si>
  <si>
    <t>commenced construction</t>
  </si>
  <si>
    <t>Amount Covered by Offshore Wind Subsidies ($/MW)</t>
  </si>
  <si>
    <t>Solar Thermal - $/MW</t>
  </si>
  <si>
    <t>Capital Costs of Solar Thermal ($/MW)</t>
  </si>
  <si>
    <t>Fraction of Solar Thermal Capital Costs Covered by Subsidies, Accounting for Monetizing Tax Credit Penalty</t>
  </si>
  <si>
    <t>Amount Covered by Solar Thermal Subsidies ($/MW)</t>
  </si>
  <si>
    <t>Geothermal - $/MW</t>
  </si>
  <si>
    <t>Capital Costs of Geothermal ($/MW)</t>
  </si>
  <si>
    <t>Amount Covered by Geothermal Subsidies ($/MW), Accounting for Monetizing Tax Credit Penalty</t>
  </si>
  <si>
    <t>Geothermal Subsidy per Unit Output ($/MWh)</t>
  </si>
  <si>
    <t>Coal - $/MWh</t>
  </si>
  <si>
    <t>Total Amount Paid to Coal Facilities ($)</t>
  </si>
  <si>
    <t>See Subsidies Paid tab</t>
  </si>
  <si>
    <t>Total Coal Electricity Generation (MWh)</t>
  </si>
  <si>
    <t>See AEO21 Table 8 &amp; AEO22 Table 8 tabs &amp; AEO25 Table 8</t>
  </si>
  <si>
    <t>Coal Subsidy per Unit Output ($/MWh)</t>
  </si>
  <si>
    <t>Nuclear - $/MWh</t>
  </si>
  <si>
    <t>Total Amount Paid to Nuclear Facilities ($)</t>
  </si>
  <si>
    <t>Total Nuclear Electricity Generation (MWh)</t>
  </si>
  <si>
    <t>Nuclear Subsidy per Unit Output ($/MWh)</t>
  </si>
  <si>
    <t>Calculations - Non-Electricity Energy</t>
  </si>
  <si>
    <t>Total Amount Paid to Coal Producers ($)</t>
  </si>
  <si>
    <t>Total Amount of Coal Production (BTU)</t>
  </si>
  <si>
    <t>See AEO21 Table 1 &amp; AEO22 Table 1 tabs &amp; AEO25 table 1</t>
  </si>
  <si>
    <t>Coal Subsidy per Unit Consumption ($/BTU)</t>
  </si>
  <si>
    <t>See AEO Table 1 tab</t>
  </si>
  <si>
    <t>Total Amount Paid to All Eligible Fuel Producers ($)</t>
  </si>
  <si>
    <t>Total Amount of Natural Gas Production (BTU)</t>
  </si>
  <si>
    <t>Total Amount of Qualifying Non-Natural Gas Production (BTU)</t>
  </si>
  <si>
    <t>Natural Gas Subsidy per Unit Consumption ($/BTU)</t>
  </si>
  <si>
    <t>See AEO21 Table 1 &amp; AEO22 Table 1 tabs</t>
  </si>
  <si>
    <t>Petroleum Gasoline, Petroleum Diesel, Jet Fuel</t>
  </si>
  <si>
    <t>Total Amount Paid to Petroleum Product Producers ($)</t>
  </si>
  <si>
    <t>Total Amount of Petroleum Product Production (10^6 barrels per day)</t>
  </si>
  <si>
    <t>See AEO21 Table 11 &amp; AEO22 Table 11 tabs</t>
  </si>
  <si>
    <t>Heat Content of Crude Oil (BTU/barrel)</t>
  </si>
  <si>
    <t>http://www.eia.gov/forecasts/aeo/pdf/appg.pdf</t>
  </si>
  <si>
    <t>Proportion of Petroleum Product Consumption from Domestic Fuels</t>
  </si>
  <si>
    <t>Petroleum Product Subsidy per Unit Consumption ($/BTU)</t>
  </si>
  <si>
    <t>Total Amount Paid to All Qualifying Product Producers ($)</t>
  </si>
  <si>
    <t>Proportion of Petroleum Production Relative to Total Qualfying Production</t>
  </si>
  <si>
    <t>See Subsidies Paid Tab</t>
  </si>
  <si>
    <t>Lifetime of PTC</t>
  </si>
  <si>
    <t>Lifetime of Wind Plant (see elec/BGCL)</t>
  </si>
  <si>
    <t>Onshore wind expected capacity factor (see elec/BECF)</t>
  </si>
  <si>
    <t>Offshore wind expected capacity factor (see elec/BECF)</t>
  </si>
  <si>
    <t>Hours per year</t>
  </si>
  <si>
    <t>Available Tax Credit After Penalty</t>
  </si>
  <si>
    <t>electricity</t>
  </si>
  <si>
    <t>hard coal ($/BTU)</t>
  </si>
  <si>
    <t>natural gas ($/BTU)</t>
  </si>
  <si>
    <t>biomass ($/BTU)</t>
  </si>
  <si>
    <t>petroleum gasoline ($/BTU)</t>
  </si>
  <si>
    <t>petroleum diesel ($/BTU)</t>
  </si>
  <si>
    <t>biofuel gasoline</t>
  </si>
  <si>
    <t>biofuel diesel</t>
  </si>
  <si>
    <t>jet fuel ($/BTU)</t>
  </si>
  <si>
    <t>heat</t>
  </si>
  <si>
    <t>lignite ($/BTU)</t>
  </si>
  <si>
    <t>crude oil ($/BTU)</t>
  </si>
  <si>
    <t>heavy fuel oil ($/BTU)</t>
  </si>
  <si>
    <t>LPG propane or butane</t>
  </si>
  <si>
    <t>municipal solid waste</t>
  </si>
  <si>
    <t>hydrogen ($/BTU)</t>
  </si>
  <si>
    <t>crude oil</t>
  </si>
  <si>
    <t>heavy fuel oil</t>
  </si>
  <si>
    <t>hard coal</t>
  </si>
  <si>
    <t>natural gas steam turbine</t>
  </si>
  <si>
    <t>natural gas combined cycle</t>
  </si>
  <si>
    <t>petroleum</t>
  </si>
  <si>
    <t>natural gas peaker</t>
  </si>
  <si>
    <t>lignite</t>
  </si>
  <si>
    <t>heavy or residual fuel oil</t>
  </si>
  <si>
    <t>hard coal w CCS</t>
  </si>
  <si>
    <t>natural gas combined cycle w CCS</t>
  </si>
  <si>
    <t>biomass w CCS</t>
  </si>
  <si>
    <t>lignite w CCS</t>
  </si>
  <si>
    <t>small modular reactor</t>
  </si>
  <si>
    <t>hydrogen combustion turbine</t>
  </si>
  <si>
    <t>hydrogen combined cycle</t>
  </si>
  <si>
    <t>% of capital costs</t>
  </si>
  <si>
    <t>This is a subset of Table 1 that includes only lines related to energy sources / fuels in the model</t>
  </si>
  <si>
    <t>Unit: billion $</t>
  </si>
  <si>
    <t>All values designated as "[5]" in the table (which means a positive tax expenditure of less than $50 million)</t>
  </si>
  <si>
    <t>are estimated as equal fractions of the value in the "Total" column minus any year entries which are known.</t>
  </si>
  <si>
    <t>When the "Total" column is "[5]", it is assumed to be $25 million.</t>
  </si>
  <si>
    <t>Corporations</t>
  </si>
  <si>
    <t>Individuals</t>
  </si>
  <si>
    <t>Model Energy Source(s)</t>
  </si>
  <si>
    <t>Function</t>
  </si>
  <si>
    <t>2014-2018</t>
  </si>
  <si>
    <t>wind, solar</t>
  </si>
  <si>
    <t>Credit for holders of clean renewable energy bonds</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</si>
  <si>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</si>
  <si>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</si>
  <si>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</si>
  <si>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</si>
  <si>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</si>
  <si>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</si>
  <si>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Coal production credits: Refined coal</t>
  </si>
  <si>
    <t>&lt;essentialy steel coal or gas made through coal, not commonly used for anything</t>
  </si>
  <si>
    <t>Coal production credits: Indian coal</t>
  </si>
  <si>
    <t>&lt;only applies to coal mined from Indian land</t>
  </si>
  <si>
    <t>Expensing of exploration and development costs, fuels: Oil and gas</t>
  </si>
  <si>
    <t>Expensing of exploration and development costs, fuels: other</t>
  </si>
  <si>
    <t>&lt;-assume even alloaction all to corporations</t>
  </si>
  <si>
    <t>Five-year MACRS for certain energy property (solar, wind, etc.)</t>
  </si>
  <si>
    <t>&lt;does not apply to utilities (http://programs.dsireusa.org/system/program/detail/676)</t>
  </si>
  <si>
    <t>natural gas</t>
  </si>
  <si>
    <t>15-year MACRS for natural gas distribution line</t>
  </si>
  <si>
    <t>&lt;does not apply to utilities &amp; is for infrsatructure, not fuel use</t>
  </si>
  <si>
    <t>Special tax rate for nuclear decommissioning reserve funds</t>
  </si>
  <si>
    <t>Treatment of income from exploration and mining of natural resources as qualifying income under the publicly-traded partnership rules</t>
  </si>
  <si>
    <t>&lt;this is a passive payment to individuals whose income from harvesting natural resources meets qualifying criteria</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</si>
  <si>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</si>
  <si>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</si>
  <si>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See 26 U.S. Code § 169 for details.</t>
  </si>
  <si>
    <t>https://www.eia.gov/outlooks/aeo/data/browser/#/?id=1-AEO2026&amp;region=0-0&amp;cases=electrnp&amp;start=2025&amp;end=2050&amp;f=A&amp;sourcekey=0</t>
  </si>
  <si>
    <t>Thu Apr 23 2026 14:30:14 GMT-0700 (Pacific Daylight Time)</t>
  </si>
  <si>
    <t>Growth (2025-2050)</t>
  </si>
  <si>
    <t>Total Energy: Production: Crude Oil and Lease Condensate: Alternative Electricity and Transportation</t>
  </si>
  <si>
    <t>AEO.2026.ELECTRNP.SUP_PRD_TEN_NA_CLC_NA_USA_QBTU.A</t>
  </si>
  <si>
    <t>-0.3%</t>
  </si>
  <si>
    <t>Total Energy: Production: Natural Gas Plant Liquids: Alternative Electricity and Transportation</t>
  </si>
  <si>
    <t>AEO.2026.ELECTRNP.SUP_PRD_TEN_NA_NGP_NA_USA_QBTU.A</t>
  </si>
  <si>
    <t>1.5%</t>
  </si>
  <si>
    <t>Total Energy: Production: Dry Natural Gas: Alternative Electricity and Transportation</t>
  </si>
  <si>
    <t>AEO.2026.ELECTRNP.SUP_PRD_TEN_NA_DNG_NA_USA_QBTU.A</t>
  </si>
  <si>
    <t>1.1%</t>
  </si>
  <si>
    <t>Total Energy: Production: Coal: Alternative Electricity and Transportation</t>
  </si>
  <si>
    <t>AEO.2026.ELECTRNP.SUP_PRD_TEN_NA_CL_NA_USA_QBTU.A</t>
  </si>
  <si>
    <t>-2.0%</t>
  </si>
  <si>
    <t>Total Energy: Production: Nuclear: Alternative Electricity and Transportation</t>
  </si>
  <si>
    <t>AEO.2026.ELECTRNP.SUP_PRD_TEN_NA_NUC_NA_USA_QBTU.A</t>
  </si>
  <si>
    <t>0.1%</t>
  </si>
  <si>
    <t>Total Energy: Production: Hydropower: Alternative Electricity and Transportation</t>
  </si>
  <si>
    <t>AEO.2026.ELECTRNP.SUP_PRD_TEN_NA_HYD_CNV_USA_QBTU.A</t>
  </si>
  <si>
    <t>0.5%</t>
  </si>
  <si>
    <t>Total Energy: Production: Biomass: Alternative Electricity and Transportation</t>
  </si>
  <si>
    <t>AEO.2026.ELECTRNP.SUP_PRD_TEN_NA_BMS_NA_USA_QBTU.A</t>
  </si>
  <si>
    <t>0.4%</t>
  </si>
  <si>
    <t>Total Energy: Production: Other Renewable Energy: Alternative Electricity and Transportation</t>
  </si>
  <si>
    <t>AEO.2026.ELECTRNP.SUP_PRD_TEN_NA_PRE_NA_USA_QBTU.A</t>
  </si>
  <si>
    <t>3.2%</t>
  </si>
  <si>
    <t>Total Energy: Production: Other: Alternative Electricity and Transportation</t>
  </si>
  <si>
    <t>AEO.2026.ELECTRNP.SUP_PRD_TEN_NA_OTH_NA_USA_QBTU.A</t>
  </si>
  <si>
    <t>-4.1%</t>
  </si>
  <si>
    <t>Total Energy: Production: Total: Alternative Electricity and Transportation</t>
  </si>
  <si>
    <t>AEO.2026.ELECTRNP.SUP_PRD_TEN_NA_TOT_NA_USA_QBTU.A</t>
  </si>
  <si>
    <t>Total Energy: Imports: Crude Oil: Alternative Electricity and Transportation</t>
  </si>
  <si>
    <t>AEO.2026.ELECTRNP.TRAD_IMP_TEN_NA_CR_NA_USA_QBTU.A</t>
  </si>
  <si>
    <t>0.9%</t>
  </si>
  <si>
    <t>Total Energy: Imports: Liquid Fuels: Alternative Electricity and Transportation</t>
  </si>
  <si>
    <t>AEO.2026.ELECTRNP.TRAD_IMP_TEN_NA_LFL_NA_USA_QBTU.A</t>
  </si>
  <si>
    <t>-0.5%</t>
  </si>
  <si>
    <t>Total Energy: Imports: Natural Gas: Alternative Electricity and Transportation</t>
  </si>
  <si>
    <t>AEO.2026.ELECTRNP.TRAD_IMP_TEN_NA_NG_NA_USA_QBTU.A</t>
  </si>
  <si>
    <t>-0.4%</t>
  </si>
  <si>
    <t>Total Energy: Imports: Other: Alternative Electricity and Transportation</t>
  </si>
  <si>
    <t>AEO.2026.ELECTRNP.TRAD_IMP_TEN_NA_OTH_NA_USA_QBTU.A</t>
  </si>
  <si>
    <t>3.5%</t>
  </si>
  <si>
    <t>Total Energy: Imports: Total: Alternative Electricity and Transportation</t>
  </si>
  <si>
    <t>AEO.2026.ELECTRNP.TRAD_IMP_TEN_NA_TOT_NA_USA_QBTU.A</t>
  </si>
  <si>
    <t>Total Energy: Exports: Petroleum: Alternative Electricity and Transportation</t>
  </si>
  <si>
    <t>AEO.2026.ELECTRNP.TRAD_EXP_TEN_NA_PET_NA_USA_QBTU.A</t>
  </si>
  <si>
    <t>Total Energy: Exports: Natural Gas: Alternative Electricity and Transportation</t>
  </si>
  <si>
    <t>AEO.2026.ELECTRNP.TRAD_EXP_TEN_NA_NG_NA_USA_QBTU.A</t>
  </si>
  <si>
    <t>2.9%</t>
  </si>
  <si>
    <t>Total Energy: Exports: Coal: Alternative Electricity and Transportation</t>
  </si>
  <si>
    <t>AEO.2026.ELECTRNP.TRAD_EXP_TEN_NA_CL_NA_USA_QBTU.A</t>
  </si>
  <si>
    <t>0.8%</t>
  </si>
  <si>
    <t>Total Energy: Exports: Total: Alternative Electricity and Transportation</t>
  </si>
  <si>
    <t>AEO.2026.ELECTRNP.TRAD_EXP_TEN_NA_TOT_NA_USA_QBTU.A</t>
  </si>
  <si>
    <t>1.7%</t>
  </si>
  <si>
    <t>Total Energy: Discrepancy: Alternative Electricity and Transportation</t>
  </si>
  <si>
    <t>AEO.2026.ELECTRNP.UNC_NA_TEN_NA_DESCR_NA_USA_QBTU.A</t>
  </si>
  <si>
    <t>Total Energy: Use: Liquid Fuels: Alternative Electricity and Transportation</t>
  </si>
  <si>
    <t>AEO.2026.ELECTRNP.CNSM_USE_TEN_NA_LFL_NA_USA_QBTU.A</t>
  </si>
  <si>
    <t>-0.1%</t>
  </si>
  <si>
    <t>Total Energy: Use: Natural Gas: Alternative Electricity and Transportation</t>
  </si>
  <si>
    <t>AEO.2026.ELECTRNP.CNSM_USE_TEN_NA_NG_NA_USA_QBTU.A</t>
  </si>
  <si>
    <t>0.3%</t>
  </si>
  <si>
    <t>Total Energy: Use: Coal: Alternative Electricity and Transportation</t>
  </si>
  <si>
    <t>AEO.2026.ELECTRNP.CNSM_USE_TEN_NA_CL_NA_USA_QBTU.A</t>
  </si>
  <si>
    <t>-3.4%</t>
  </si>
  <si>
    <t>Total Energy: Use: Nuclear: Alternative Electricity and Transportation</t>
  </si>
  <si>
    <t>AEO.2026.ELECTRNP.CNSM_USE_TEN_NA_NUC_NA_USA_QBTU.A</t>
  </si>
  <si>
    <t>Total Energy: Use: Hydropower: Alternative Electricity and Transportation</t>
  </si>
  <si>
    <t>AEO.2026.ELECTRNP.CNSM_USE_TEN_NA_HYD_CNV_USA_QBTU.A</t>
  </si>
  <si>
    <t>Total Energy: Use: Biomass: Alternative Electricity and Transportation</t>
  </si>
  <si>
    <t>AEO.2026.ELECTRNP.CNSM_USE_TEN_NA_BMS_NA_USA_QBTU.A</t>
  </si>
  <si>
    <t>Total Energy: Use: Other Renewable Energy: Alternative Electricity and Transportation</t>
  </si>
  <si>
    <t>AEO.2026.ELECTRNP.CNSM_USE_TEN_NA_PRE_NA_USA_QBTU.A</t>
  </si>
  <si>
    <t>Total Energy: Use: Other: Alternative Electricity and Transportation</t>
  </si>
  <si>
    <t>AEO.2026.ELECTRNP.CNSM_USE_TEN_NA_OTH_NA_USA_QBTU.A</t>
  </si>
  <si>
    <t>Total Energy: Use: Total: Alternative Electricity and Transportation</t>
  </si>
  <si>
    <t>AEO.2026.ELECTRNP.CNSM_USE_TEN_NA_TOT_NA_USA_QBTU.A</t>
  </si>
  <si>
    <t>0.0%</t>
  </si>
  <si>
    <t>Prices (2025 dollars per unit)</t>
  </si>
  <si>
    <t>Total Energy: Real Prices: Brent: Alternative Electricity and Transportation</t>
  </si>
  <si>
    <t>AEO.2026.ELECTRNP.PRCE_RLP_TEN_NA_BRN_NA_USA_Y13DLRPBBL.A</t>
  </si>
  <si>
    <t>2025 $/b</t>
  </si>
  <si>
    <t>1.3%</t>
  </si>
  <si>
    <t>Total Energy: Real Prices: West Texas Intermediate: Alternative Electricity and Transportation</t>
  </si>
  <si>
    <t>AEO.2026.ELECTRNP.PRCE_RLP_TEN_NA_WTI_NA_USA_Y13DLRPBBL.A</t>
  </si>
  <si>
    <t>1.4%</t>
  </si>
  <si>
    <t>Total Energy: Real Prices: Gas Price at Henry Hub: Alternative Electricity and Transportation</t>
  </si>
  <si>
    <t>AEO.2026.ELECTRNP.PRCE_RLP_TEN_NA_HHP_NA_USA_Y13DLRPMMBTU.A</t>
  </si>
  <si>
    <t>2025 $/MMBtu</t>
  </si>
  <si>
    <t>Minemouth (dollars per ton)</t>
  </si>
  <si>
    <t>Total Energy: Real Prices: Coal at Minemouth: Alternative Electricity and Transportation</t>
  </si>
  <si>
    <t>AEO.2026.ELECTRNP.PRCE_RLP_TEN_NA_CMN_NA_USA_Y13DLRPTN.A</t>
  </si>
  <si>
    <t>2025 $/ton</t>
  </si>
  <si>
    <t>1.0%</t>
  </si>
  <si>
    <t>Minemouth (dollars per MMBtu)</t>
  </si>
  <si>
    <t>Total Energy: Real Prices: Coal Minemouth: Alternative Electricity and Transportation</t>
  </si>
  <si>
    <t>AEO.2026.ELECTRNP.PRCE_RLP_TEN_NA_CMN_NA_USA_Y13DLRPMMBTU.A</t>
  </si>
  <si>
    <t>0.7%</t>
  </si>
  <si>
    <t>Delivered (dollars per MMBtu)</t>
  </si>
  <si>
    <t>Total Energy: Real Prices: Delivered Coal: Alternative Electricity and Transportation</t>
  </si>
  <si>
    <t>AEO.2026.ELECTRNP.PRCE_RLP_TEN_NA_DCL_NA_USA_Y13DLRPMMBTU.A</t>
  </si>
  <si>
    <t>Total Energy: Real Prices: Electricity: Alternative Electricity and Transportation</t>
  </si>
  <si>
    <t>AEO.2026.ELECTRNP.PRCE_RLP_TEN_NA_ELC_NA_USA_Y13CNTPKWH.A</t>
  </si>
  <si>
    <t>2025 cents/kWh</t>
  </si>
  <si>
    <t>Total Energy: Nominal Prices: Brent: Alternative Electricity and Transportation</t>
  </si>
  <si>
    <t>AEO.2026.ELECTRNP.PRCE_NOMP_TEN_NA_BRN_NA_USA_NDLRPBRL.A</t>
  </si>
  <si>
    <t>3.3%</t>
  </si>
  <si>
    <t>Total Energy: Nominal Prices: West Texas Intermediate: Alternative Electricity and Transportation</t>
  </si>
  <si>
    <t>AEO.2026.ELECTRNP.PRCE_NOMP_TEN_NA_WTI_NA_USA_NDLRPBRL.A</t>
  </si>
  <si>
    <t>3.4%</t>
  </si>
  <si>
    <t>Total Energy: Nominal Prices: Gas Price at Henry Hub: Alternative Electricity and Transportation</t>
  </si>
  <si>
    <t>AEO.2026.ELECTRNP.PRCE_NOMP_TEN_NA_HHP_NA_USA_NDLRPMBTU.A</t>
  </si>
  <si>
    <t>Total Energy: Nominal Prices: Coal at Minemouth: Alternative Electricity and Transportation</t>
  </si>
  <si>
    <t>AEO.2026.ELECTRNP.PRCE_NOMP_TEN_NA_CAM_NA_USA_NDLRPTON.A</t>
  </si>
  <si>
    <t>3.0%</t>
  </si>
  <si>
    <t>Total Energy: Nominal Prices: Coal Minemouth: Alternative Electricity and Transportation</t>
  </si>
  <si>
    <t>AEO.2026.ELECTRNP.PRCE_NOMP_TEN_NA_CMN_NA_USA_NDLRPMBTU.A</t>
  </si>
  <si>
    <t>2.7%</t>
  </si>
  <si>
    <t>Total Energy: Nominal Prices: Delivered Coal: Alternative Electricity and Transportation</t>
  </si>
  <si>
    <t>AEO.2026.ELECTRNP.PRCE_NOMP_TEN_NA_DCL_NA_USA_NDLRPMBTU.A</t>
  </si>
  <si>
    <t>2.1%</t>
  </si>
  <si>
    <t>Total Energy: Nominal Prices: Electricity: Alternative Electricity and Transportation</t>
  </si>
  <si>
    <t>AEO.2026.ELECTRNP.PRCE_NOMP_TEN_NA_ELC_NA_USA_NCNTPKWH.A</t>
  </si>
  <si>
    <t>https://www.eia.gov/outlooks/aeo/data/browser/#/?id=8-AEO2026&amp;cases=electrnp&amp;sourcekey=0</t>
  </si>
  <si>
    <t>Thu Apr 23 2026 14:58:10 GMT-0700 (Pacific Daylight Time)</t>
  </si>
  <si>
    <t>Electricity: Electric Power Sector: Power Only: Coal: Alternative Electricity and Transportation</t>
  </si>
  <si>
    <t>AEO.2026.ELECTRNP.GEN_NA_ELEP_POW_CL_NA_USA_BLNKWH.A</t>
  </si>
  <si>
    <t>-3.6%</t>
  </si>
  <si>
    <t>Electricity: Electric Power Sector: Power Only: Petroleum: Alternative Electricity and Transportation</t>
  </si>
  <si>
    <t>AEO.2026.ELECTRNP.GEN_NA_ELEP_POW_PET_NA_USA_BLNKWH.A</t>
  </si>
  <si>
    <t>-6.1%</t>
  </si>
  <si>
    <t>Electricity: Electric Power Sector: Power Only: Natural Gas: Alternative Electricity and Transportation</t>
  </si>
  <si>
    <t>AEO.2026.ELECTRNP.GEN_NA_ELEP_POW_NG_NA_USA_BLNKWH.A</t>
  </si>
  <si>
    <t>Electricity: Electric Power Sector: Power Only: Nuclear: Alternative Electricity and Transportation</t>
  </si>
  <si>
    <t>AEO.2026.ELECTRNP.GEN_NA_ELEP_POW_NUP_NA_USA_BLNKWH.A</t>
  </si>
  <si>
    <t>Electricity: Electric Power Sector: Power Only: Pumped Storage/Other: Alternative Electricity and Transportation</t>
  </si>
  <si>
    <t>AEO.2026.ELECTRNP.GEN_NA_ELEP_POW_PST_NA_USA_BLNKWH.A</t>
  </si>
  <si>
    <t>4.7%</t>
  </si>
  <si>
    <t>Electricity: Electric Power Sector: Power Only: Hydrogen: Alternative Electricity and Transportation</t>
  </si>
  <si>
    <t>AEO.2026.ELECTRNP.GEN_NA_ELEP_POW_HDG_NA_USA_BLNKWH.A</t>
  </si>
  <si>
    <t>Electricity: Electric Power Sector: Power Only: Renewable Sources: Alternative Electricity and Transportation</t>
  </si>
  <si>
    <t>AEO.2026.ELECTRNP.GEN_NA_ELEP_POW_RNWBSRC_NA_USA_BLNKWH.A</t>
  </si>
  <si>
    <t>2.8%</t>
  </si>
  <si>
    <t>Electricity: Electric Power Sector: Power Only: Total: Alternative Electricity and Transportation</t>
  </si>
  <si>
    <t>AEO.2026.ELECTRNP.GEN_NA_ELEP_POW_TOT_NA_USA_BLNKWH.A</t>
  </si>
  <si>
    <t>Electricity: Electric Power Sector: Combined Heat and Power: Coal: Alternative Electricity and Transportation</t>
  </si>
  <si>
    <t>AEO.2026.ELECTRNP.GEN_NA_ELEP_CHP_CL_NA_USA_BLNKWH.A</t>
  </si>
  <si>
    <t>Electricity: Electric Power Sector: Combined Heat and Power: Petroleum: Alternative Electricity and Transportation</t>
  </si>
  <si>
    <t>AEO.2026.ELECTRNP.GEN_NA_ELEP_CHP_PET_NA_USA_BLNKWH.A</t>
  </si>
  <si>
    <t>-0.0%</t>
  </si>
  <si>
    <t>Electricity: Electric Power Sector: Combined Heat and Power: Natural Gas: Alternative Electricity and Transportation</t>
  </si>
  <si>
    <t>AEO.2026.ELECTRNP.GEN_NA_ELEP_CHP_NG_NA_USA_BLNKWH.A</t>
  </si>
  <si>
    <t>Electricity: Electric Power Sector: Combined Heat and Power: Renewable Sources: Alternative Electricity and Transportation</t>
  </si>
  <si>
    <t>AEO.2026.ELECTRNP.GEN_NA_ELEP_CHP_RNWBSRC_NA_USA_BLNKWH.A</t>
  </si>
  <si>
    <t>Electricity: Electric Power Sector: Combined Heat and Power: Other: Alternative Electricity and Transportation</t>
  </si>
  <si>
    <t>AEO.2026.ELECTRNP.GEN_NA_ELEP_CHP_OTH_NA_USA_BLNKWH.A</t>
  </si>
  <si>
    <t>-0.7%</t>
  </si>
  <si>
    <t>Electricity: Electric Power Sector: Combined Heat and Power: Total: Alternative Electricity and Transportation</t>
  </si>
  <si>
    <t>AEO.2026.ELECTRNP.GEN_NA_ELEP_CHP_TOT_NA_USA_BLNKWH.A</t>
  </si>
  <si>
    <t>Electricity: Electric Power Sector: Total Net Generation: Alternative Electricity and Transportation</t>
  </si>
  <si>
    <t>AEO.2026.ELECTRNP.GEN_NA_ELEP_CHP_TTG_NA_USA_BLNKWH.A</t>
  </si>
  <si>
    <t>Electricity: Electric Power Sector: Less Direct Use: Alternative Electricity and Transportation</t>
  </si>
  <si>
    <t>AEO.2026.ELECTRNP.GEN_NA_ELEP_CHP_LDU_NA_USA_BLNKWH.A</t>
  </si>
  <si>
    <t>Electricity: Electric Power Sector: Net Available to the Grid: Alternative Electricity and Transportation</t>
  </si>
  <si>
    <t>AEO.2026.ELECTRNP.GEN_NA_ELEP_NAG_NAG_NA_USA_BLNKWH.A</t>
  </si>
  <si>
    <t>Electricity: End-Use Generation: Coal: Alternative Electricity and Transportation</t>
  </si>
  <si>
    <t>AEO.2026.ELECTRNP.GEN_NA_ELEP_EUG_CL_NA_USA_BLNKWH.A</t>
  </si>
  <si>
    <t>Electricity: End-Use Generation: Petroleum: Alternative Electricity and Transportation</t>
  </si>
  <si>
    <t>AEO.2026.ELECTRNP.GEN_NA_ELEP_EUG_PET_NA_USA_BLNKWH.A</t>
  </si>
  <si>
    <t>-2.7%</t>
  </si>
  <si>
    <t>Electricity: End-Use Generation: Natural Gas: Alternative Electricity and Transportation</t>
  </si>
  <si>
    <t>AEO.2026.ELECTRNP.GEN_NA_ELEP_EUG_NG_NA_USA_BLNKWH.A</t>
  </si>
  <si>
    <t>Electricity: End-Use Generation: Other Gaseous Fuels: Alternative Electricity and Transportation</t>
  </si>
  <si>
    <t>AEO.2026.ELECTRNP.GEN_NA_ELEP_EUG_OGF_NA_USA_BLNKWH.A</t>
  </si>
  <si>
    <t>Electricity: End-Use Generation: Renewable Sources: Alternative Electricity and Transportation</t>
  </si>
  <si>
    <t>AEO.2026.ELECTRNP.GEN_NA_ELEP_EUG_RNWBSRC_NA_USA_BLNKWH.A</t>
  </si>
  <si>
    <t>3.7%</t>
  </si>
  <si>
    <t>Electricity: End-Use Generation: Other: Alternative Electricity and Transportation</t>
  </si>
  <si>
    <t>AEO.2026.ELECTRNP.GEN_NA_ELEP_EUG_OTH_NA_USA_BLNKWH.A</t>
  </si>
  <si>
    <t>Electricity: End-Use Generation: Total: Alternative Electricity and Transportation</t>
  </si>
  <si>
    <t>AEO.2026.ELECTRNP.GEN_NA_ELEP_EUG_TOT_NA_USA_BLNKWH.A</t>
  </si>
  <si>
    <t>2.4%</t>
  </si>
  <si>
    <t>Electricity: End-Use Generation: Less Direct Use: Alternative Electricity and Transportation</t>
  </si>
  <si>
    <t>AEO.2026.ELECTRNP.GEN_NA_ELEP_EUG_LDU_NA_USA_BLNKWH.A</t>
  </si>
  <si>
    <t>Electricity: End-Use Generation: Total Sales to the Grid: Alternative Electricity and Transportation</t>
  </si>
  <si>
    <t>AEO.2026.ELECTRNP.GEN_NA_ELEP_EUG_TSG_NA_USA_BLNKWH.A</t>
  </si>
  <si>
    <t>Electricity: Total Electricity Generation by Fuel: Coal: Alternative Electricity and Transportation</t>
  </si>
  <si>
    <t>AEO.2026.ELECTRNP.GEN_NA_ELEP_TGE_CL_NA_USA_BLNKWH.A</t>
  </si>
  <si>
    <t>-3.5%</t>
  </si>
  <si>
    <t>Electricity: Total Electricity Generation by Fuel: Petroleum: Alternative Electricity and Transportation</t>
  </si>
  <si>
    <t>AEO.2026.ELECTRNP.GEN_NA_ELEP_TGE_PET_NA_USA_BLNKWH.A</t>
  </si>
  <si>
    <t>-4.7%</t>
  </si>
  <si>
    <t>Electricity: Total Electricity Generation by Fuel: Natural Gas: Alternative Electricity and Transportation</t>
  </si>
  <si>
    <t>AEO.2026.ELECTRNP.GEN_NA_ELEP_TGE_NG_NA_USA_BLNKWH.A</t>
  </si>
  <si>
    <t>Electricity: Total Electricity Generation by Fuel: Nuclear: Alternative Electricity and Transportation</t>
  </si>
  <si>
    <t>AEO.2026.ELECTRNP.GEN_NA_ELEP_TGE_NUP_NA_USA_BLNKWH.A</t>
  </si>
  <si>
    <t>Electricity: Total Electricity Generation by Fuel: Renewable Sources: Alternative Electricity and Transportation</t>
  </si>
  <si>
    <t>AEO.2026.ELECTRNP.GEN_NA_ELEP_TGE_RSU_NA_USA_BLNKWH.A</t>
  </si>
  <si>
    <t>Electricity: Total Electricity Generation by Fuel: Hydrogen: Alternative Electricity and Transportation</t>
  </si>
  <si>
    <t>AEO.2026.ELECTRNP.GEN_NA_ELEP_TGE_HDG_NA_USA_BLNKWH.A</t>
  </si>
  <si>
    <t>Electricity: Total Electricity Generation by Fuel: Other: Alternative Electricity and Transportation</t>
  </si>
  <si>
    <t>AEO.2026.ELECTRNP.GEN_NA_ELEP_TGE_OTH_NA_USA_BLNKWH.A</t>
  </si>
  <si>
    <t>Electricity: Total Electricity Generation: Alternative Electricity and Transportation</t>
  </si>
  <si>
    <t>AEO.2026.ELECTRNP.GEN_NA_ELEP_NA_TEG_NA_USA_BLNKWH.A</t>
  </si>
  <si>
    <t>Electricity: Total Net Generation to the Grid: Alternative Electricity and Transportation</t>
  </si>
  <si>
    <t>AEO.2026.ELECTRNP.GEN_NA_ELEP_NA_TGG_NA_USA_BLNKWH.A</t>
  </si>
  <si>
    <t>Electricity: Net Imports: Alternative Electricity and Transportation</t>
  </si>
  <si>
    <t>AEO.2026.ELECTRNP.TRAD_NA_ELEP_NA_NETIMP_NA_USA_BLNKWH.A</t>
  </si>
  <si>
    <t>3.9%</t>
  </si>
  <si>
    <t>Electricity: Electricity Sales by Sector: Residential: Alternative Electricity and Transportation</t>
  </si>
  <si>
    <t>AEO.2026.ELECTRNP.CNSM_NA_RESD_NA_ELS_NA_USA_BLNKWH.A</t>
  </si>
  <si>
    <t>0.6%</t>
  </si>
  <si>
    <t>Electricity: Electricity Sales by Sector: Commercial: Alternative Electricity and Transportation</t>
  </si>
  <si>
    <t>AEO.2026.ELECTRNP.CNSM_NA_COMM_NA_ELS_NA_USA_BLNKWH.A</t>
  </si>
  <si>
    <t>Electricity: Electricity Sales by Sector: Industrial: Alternative Electricity and Transportation</t>
  </si>
  <si>
    <t>AEO.2026.ELECTRNP.CNSM_NA_IDAL_NA_ELS_NA_USA_BLNKWH.A</t>
  </si>
  <si>
    <t>Electricity: Electricity Sales by Sector: Transportation: Alternative Electricity and Transportation</t>
  </si>
  <si>
    <t>AEO.2026.ELECTRNP.CNSM_NA_TRN_NA_ELS_NA_USA_BLNKWH.A</t>
  </si>
  <si>
    <t>Electricity: Electricity Sales by Sector: Total: Alternative Electricity and Transportation</t>
  </si>
  <si>
    <t>AEO.2026.ELECTRNP.CNSM_NA_ELEP_NA_ELS_NA_USA_BLNKWH.A</t>
  </si>
  <si>
    <t>Electricity: Direct Use: Alternative Electricity and Transportation</t>
  </si>
  <si>
    <t>AEO.2026.ELECTRNP.CNSM_NA_ELEP_NA_DRU_NA_USA_BLNKWH.A</t>
  </si>
  <si>
    <t>2.5%</t>
  </si>
  <si>
    <t>Electricity: Total Electricity Use: Alternative Electricity and Transportation</t>
  </si>
  <si>
    <t>AEO.2026.ELECTRNP.CNSM_NA_ELEP_NA_TEL_NA_USA_BLNKWH.A</t>
  </si>
  <si>
    <t>(2025 cents per kilowatthour)</t>
  </si>
  <si>
    <t>Electricity: End-Use Prices: Residential: Alternative Electricity and Transportation</t>
  </si>
  <si>
    <t>AEO.2026.ELECTRNP.PRCE_NA_RESD_NA_EDU_NA_USA_Y13CNTPKWH.A</t>
  </si>
  <si>
    <t>Electricity: End-Use Prices: Commercial: Alternative Electricity and Transportation</t>
  </si>
  <si>
    <t>AEO.2026.ELECTRNP.PRCE_NA_COMM_NA_EDU_NA_USA_Y13CNTPKWH.A</t>
  </si>
  <si>
    <t>Electricity: End-Use Prices: Industrial: Alternative Electricity and Transportation</t>
  </si>
  <si>
    <t>AEO.2026.ELECTRNP.PRCE_NA_IDAL_NA_EDU_NA_USA_Y13CNTPKWH.A</t>
  </si>
  <si>
    <t>Electricity: End-Use Prices: Transportation: Alternative Electricity and Transportation</t>
  </si>
  <si>
    <t>AEO.2026.ELECTRNP.PRCE_NA_TRN_NA_EDU_NA_USA_Y13CNTPKWH.A</t>
  </si>
  <si>
    <t>Electricity: End-Use Prices: All Sectors Average: Alternative Electricity and Transportation</t>
  </si>
  <si>
    <t>AEO.2026.ELECTRNP.PRCE_NA_ELEP_NA_EDU_NA_USA_Y13CNTPKWH.A</t>
  </si>
  <si>
    <t>AEO.2026.ELECTRNP.PRCE_NA_RESD_NA_EDU_NA_USA_NCNTPKWH.A</t>
  </si>
  <si>
    <t>2.2%</t>
  </si>
  <si>
    <t>AEO.2026.ELECTRNP.PRCE_NA_COMM_NA_EDU_NA_USA_NCNTPKWH.A</t>
  </si>
  <si>
    <t>2.0%</t>
  </si>
  <si>
    <t>AEO.2026.ELECTRNP.PRCE_NA_IDAL_NA_EDU_NA_USA_NCNTPKWH.A</t>
  </si>
  <si>
    <t>1.9%</t>
  </si>
  <si>
    <t>AEO.2026.ELECTRNP.PRCE_NA_TRN_NA_EDU_NA_USA_NCNTPKWH.A</t>
  </si>
  <si>
    <t>AEO.2026.ELECTRNP.PRCE_NA_ELEP_NA_EDU_NA_USA_NCNTPKWH.A</t>
  </si>
  <si>
    <t>Electricity: Prices by Service Category: Generation: Alternative Electricity and Transportation</t>
  </si>
  <si>
    <t>AEO.2026.ELECTRNP.PRCE_NA_ELEP_NA_GEN_NA_USA_Y13CNTPKWH.A</t>
  </si>
  <si>
    <t>-0.9%</t>
  </si>
  <si>
    <t>Electricity: Prices by Service Category: Transmission: Alternative Electricity and Transportation</t>
  </si>
  <si>
    <t>AEO.2026.ELECTRNP.PRCE_NA_ELEP_NA_TRAN_NA_USA_Y13CNTPKWH.A</t>
  </si>
  <si>
    <t>Electricity: Prices by Service Category: Distribution: Alternative Electricity and Transportation</t>
  </si>
  <si>
    <t>AEO.2026.ELECTRNP.PRCE_NA_ELEP_NA_DSE_NA_USA_Y13CNTPKWH.A</t>
  </si>
  <si>
    <t>AEO.2026.ELECTRNP.PRCE_NA_ELEP_NA_GEN_NA_USA_NCNTPKWH.A</t>
  </si>
  <si>
    <t>AEO.2026.ELECTRNP.PRCE_NA_ELEP_NA_TRAN_NA_USA_NCNTPKWH.A</t>
  </si>
  <si>
    <t>AEO.2026.ELECTRNP.PRCE_NA_ELEP_NA_DSE_NA_USA_NCNTPKWH.A</t>
  </si>
  <si>
    <t>Electricity: Electric Power Sector Emissions: Sulfur Dioxide: Alternative Electricity and Transportation</t>
  </si>
  <si>
    <t>AEO.2026.ELECTRNP.ENV_NA_ELEP_SDO_EMI_SDO_USA_MILLTON.A</t>
  </si>
  <si>
    <t>Electricity: Electric Power Sector Emissions: Nitrogen Oxide: Alternative Electricity and Transportation</t>
  </si>
  <si>
    <t>AEO.2026.ELECTRNP.ENV_NA_ELEP_NIO_EMI_NIO_USA_MILLTON.A</t>
  </si>
  <si>
    <t>-3.7%</t>
  </si>
  <si>
    <t>Electricity: Electric Power Sector Emissions: Mercury: Alternative Electricity and Transportation</t>
  </si>
  <si>
    <t>AEO.2026.ELECTRNP.ENV_NA_ELEP_MER_EMI_MER_USA_TON.A</t>
  </si>
  <si>
    <t>https://www.eia.gov/outlooks/aeo/data/browser/#/?id=11-AEO2026&amp;cases=electrnp&amp;sourcekey=0</t>
  </si>
  <si>
    <t>Thu Apr 23 2026 14:58:42 GMT-0700 (Pacific Daylight Time)</t>
  </si>
  <si>
    <t>Liquid Fuels: Crude Oil: Domestic Production: Alternative Electricity and Transportation</t>
  </si>
  <si>
    <t>AEO.2026.ELECTRNP.SUP_NA_LFL_NA_DCP_NA_USA_MILLBRLPDY.A</t>
  </si>
  <si>
    <t>Liquid Fuels: Crude Oil: Domestic Production: Alaska: Alternative Electricity and Transportation</t>
  </si>
  <si>
    <t>AEO.2026.ELECTRNP.SUP_NA_LFL_NA_ALK_NA_AK_MILLBRLPDY.A</t>
  </si>
  <si>
    <t>-5.6%</t>
  </si>
  <si>
    <t>Liquid Fuels: Crude Oil: Domestic Production: Lower 48 States: Alternative Electricity and Transportation</t>
  </si>
  <si>
    <t>AEO.2026.ELECTRNP.SUP_NA_LFL_NA_LES_NA_L48S_MILLBRLPDY.A</t>
  </si>
  <si>
    <t>-0.2%</t>
  </si>
  <si>
    <t>Liquid Fuels: Crude Oil: Net Imports: Alternative Electricity and Transportation</t>
  </si>
  <si>
    <t>AEO.2026.ELECTRNP.TRAD_NA_LFL_NA_NETIMP_NETIMP_USA_MILLBRLPDY.A</t>
  </si>
  <si>
    <t>Liquid Fuels: Crude Oil: Gross Imports: Alternative Electricity and Transportation</t>
  </si>
  <si>
    <t>AEO.2026.ELECTRNP.TRAD_NA_LFL_NA_GIM_NA_USA_MILLBRLPDY.A</t>
  </si>
  <si>
    <t>Liquid Fuels: Crude Oil: Exports: Alternative Electricity and Transportation</t>
  </si>
  <si>
    <t>AEO.2026.ELECTRNP.TRAD_NA_LFL_NA_EXP_NA_USA_MILLBRLPDY.A</t>
  </si>
  <si>
    <t>Liquid Fuels: Crude Oil: Other Crude Supply: Alternative Electricity and Transportation</t>
  </si>
  <si>
    <t>AEO.2026.ELECTRNP.SUP_NA_LFL_NA_OCS_NA_USA_MILLBRLPDY.A</t>
  </si>
  <si>
    <t>-100.0%</t>
  </si>
  <si>
    <t>Liquid Fuels: Crude Oil: Total Crude Supply: Alternative Electricity and Transportation</t>
  </si>
  <si>
    <t>AEO.2026.ELECTRNP.SUP_NA_LFL_NA_TCS_NA_USA_MILLBRLPDY.A</t>
  </si>
  <si>
    <t>Liquid Fuels: Net Product Imports: Alternative Electricity and Transportation</t>
  </si>
  <si>
    <t>AEO.2026.ELECTRNP.SUP_NA_LFL_OPS_NPI_NA_NA_NA.A</t>
  </si>
  <si>
    <t>2.6%</t>
  </si>
  <si>
    <t>Liquid Fuels: Net Product Imports: Gross Refined Product Imports: Alternative Electricity and Transportation</t>
  </si>
  <si>
    <t>AEO.2026.ELECTRNP.SUP_NA_LFL_OPS_GRF_NA_NA_NA.A</t>
  </si>
  <si>
    <t>Liquid Fuels: Net Product Imports: Unfinished Oil Imports: Alternative Electricity and Transportation</t>
  </si>
  <si>
    <t>AEO.2026.ELECTRNP.SUP_NA_LFL_OPS_UOI_NA_NA_NA.A</t>
  </si>
  <si>
    <t>Liquid Fuels: Net Product Imports: Blending Component Imports: Alternative Electricity and Transportation</t>
  </si>
  <si>
    <t>AEO.2026.ELECTRNP.SUP_NA_LFL_OPS_BCI_NA_NA_NA.A</t>
  </si>
  <si>
    <t>-2.5%</t>
  </si>
  <si>
    <t>Liquid Fuels: Net Product Imports: Exports: Alternative Electricity and Transportation</t>
  </si>
  <si>
    <t>AEO.2026.ELECTRNP.SUP_NA_LFL_OPS_EXP_NA_NA_NA.A</t>
  </si>
  <si>
    <t>Liquid Fuels: Refinery Processing Gain: Alternative Electricity and Transportation</t>
  </si>
  <si>
    <t>AEO.2026.ELECTRNP.SUP_NA_LFL_OPS_RPG_NA_NA_NA.A</t>
  </si>
  <si>
    <t>Liquid Fuels: Product Stock Withdrawal: Alternative Electricity and Transportation</t>
  </si>
  <si>
    <t>AEO.2026.ELECTRNP.SUP_NA_LFL_OPS_NA_NA_NA_NA.A</t>
  </si>
  <si>
    <t>Liquid Fuels: Natural Gas Plant Liquids: Alternative Electricity and Transportation</t>
  </si>
  <si>
    <t>AEO.2026.ELECTRNP.SUP_NA_LFL_ONPS_NGP_NA_NA_NA.A</t>
  </si>
  <si>
    <t>1.6%</t>
  </si>
  <si>
    <t>Liquid Fuels: Biofuels: Alternative Electricity and Transportation</t>
  </si>
  <si>
    <t>AEO.2026.ELECTRNP.SUP_NA_LFL_ONPS_RNW_NA_NA_NA.A</t>
  </si>
  <si>
    <t>Liquid Fuels: Biofuels: Ethanol (undenatured): Alternative Electricity and Transportation</t>
  </si>
  <si>
    <t>AEO.2026.ELECTRNP.SUP_NA_LFL_ONPS_ETHUND_NA_NA_NA.A</t>
  </si>
  <si>
    <t>Liquid Fuels: Biofuels: Ethanol: Domestic Production: Alternative Electricity and Transportation</t>
  </si>
  <si>
    <t>AEO.2026.ELECTRNP.SUP_DMS_LFL_ONPS_ETH_NA_NA_NA.A</t>
  </si>
  <si>
    <t>0.2%</t>
  </si>
  <si>
    <t>Liquid Fuels: Biofuels: Ethanol: Net Imports: Alternative Electricity and Transportation</t>
  </si>
  <si>
    <t>AEO.2026.ELECTRNP.SUP_NETIMP_LFL_ONPS_ETH_NA_NA_NA.A</t>
  </si>
  <si>
    <t>Liquid Fuels: Biofuels: Biodiesel: Alternative Electricity and Transportation</t>
  </si>
  <si>
    <t>AEO.2026.ELECTRNP.SUP_NA_LFL_ONPS_BDL_NA_NA_NA.A</t>
  </si>
  <si>
    <t>-0.6%</t>
  </si>
  <si>
    <t>Liquid Fuels: Biofuels: Biodiesel: Domestic Production: Alternative Electricity and Transportation</t>
  </si>
  <si>
    <t>AEO.2026.ELECTRNP.SUP_DMS_LFL_ONPS_BDL_NA_NA_NA.A</t>
  </si>
  <si>
    <t>Liquid Fuels: Biofuels: Biodiesel: Net Imports: Alternative Electricity and Transportation</t>
  </si>
  <si>
    <t>AEO.2026.ELECTRNP.SUP_NETIMP_LFL_ONPS_BDL_NA_NA_NA.A</t>
  </si>
  <si>
    <t>Liquid Fuels: Biofuels: Renewable Diesel: Alternative Electricity and Transportation</t>
  </si>
  <si>
    <t>AEO.2026.ELECTRNP.SUP_NA_LFL_ONPS_RD_NA_NA_NA.A</t>
  </si>
  <si>
    <t>Liquid Fuels: Biofuels: Renewable Diesel: Domestic Production: Alternative Electricity and Transportation</t>
  </si>
  <si>
    <t>AEO.2026.ELECTRNP.SUP_DMS_LFL_ONPS_RD_NA_NA_NA.A</t>
  </si>
  <si>
    <t>Liquid Fuels: Biofuels: Renewable Diesel: Net Imports: Alternative Electricity and Transportation</t>
  </si>
  <si>
    <t>AEO.2026.ELECTRNP.SUP_NETIMP_LFL_ONPS_RD_NA_NA_NA.A</t>
  </si>
  <si>
    <t>Liquid Fuels: Biofuels: Other Biomass-derived Liquids: Alternative Electricity and Transportation</t>
  </si>
  <si>
    <t>AEO.2026.ELECTRNP.SUP_NA_LFL_ONPS_OBIOL_NA_NA_NA.A</t>
  </si>
  <si>
    <t>Liquid Fuels: Biofuels: Other Biomass: Domestic Production: Alternative Electricity and Transportation</t>
  </si>
  <si>
    <t>AEO.2026.ELECTRNP.SUP_DMS_LFL_ONPS_OBIOL_NA_NA_NA.A</t>
  </si>
  <si>
    <t>Liquid Fuels: Biofuels: Other Biomass: Net Imports: Alternative Electricity and Transportation</t>
  </si>
  <si>
    <t>AEO.2026.ELECTRNP.SUP_NETIMP_LFL_ONPS_OBIOL_NA_NA_NA.A</t>
  </si>
  <si>
    <t>Liquid Fuels: Biofuels: Other Biomass: Stock Withdrawal: Alternative Electricity and Transportation</t>
  </si>
  <si>
    <t>AEO.2026.ELECTRNP.SUP_STKW_LFL_ONPS_OBIOL_NA_NA_NA.A</t>
  </si>
  <si>
    <t>Liquid Fuels: Other: Alternative Electricity and Transportation</t>
  </si>
  <si>
    <t>AEO.2026.ELECTRNP.SUP_NA_LFL_ONPS_OTH_NA_USA_MILLBRLPDY.A</t>
  </si>
  <si>
    <t>Liquid Fuels: Total Primary Supply: Alternative Electricity and Transportation</t>
  </si>
  <si>
    <t>AEO.2026.ELECTRNP.SUP_NA_LFL_NA_TPS_NA_USA_MILLBRLPDY.A</t>
  </si>
  <si>
    <t>Liquid Fuels: Liquid Fuels Use: by Fuel: Hydrocarbon Gas Liquids: Alternative Electricity and Transportation</t>
  </si>
  <si>
    <t>AEO.2026.ELECTRNP.CNSM_NA_LFL_NA_LPG_NA_USA_MILLBRLPDY.A</t>
  </si>
  <si>
    <t>Liquid Fuels: Liquid Fuels Use: by Fuel: Motor Gasoline: Alternative Electricity and Transportation</t>
  </si>
  <si>
    <t>AEO.2026.ELECTRNP.CNSM_NA_LFL_NA_MGS_NA_USA_MILLBRLPDY.A</t>
  </si>
  <si>
    <t>Liquid Fuels: Liquid Fuels Use: by Fuel: E85: Alternative Electricity and Transportation</t>
  </si>
  <si>
    <t>AEO.2026.ELECTRNP.CNSM_NA_LFL_NA_E85_NA_USA_MILLBRLPDY.A</t>
  </si>
  <si>
    <t>-7.3%</t>
  </si>
  <si>
    <t>Liquid Fuels: Liquid Fuels Use: by Fuel: Jet Fuel: Alternative Electricity and Transportation</t>
  </si>
  <si>
    <t>AEO.2026.ELECTRNP.CNSM_NA_LFL_NA_JFL_NA_USA_MILLBRLPDY.A</t>
  </si>
  <si>
    <t>Liquid Fuels: Liquid Fuels Use: by Fuel: Distillate Fuel Oil: Alternative Electricity and Transportation</t>
  </si>
  <si>
    <t>AEO.2026.ELECTRNP.CNSM_NA_LFL_NA_DFO_NA_USA_MILLBRLPDY.A</t>
  </si>
  <si>
    <t>Liquid Fuels: Liquid Fuels Use: by Fuel: Residual Fuel Oil: Alternative Electricity and Transportation</t>
  </si>
  <si>
    <t>AEO.2026.ELECTRNP.CNSM_NA_LFL_NA_RFO_NA_USA_MILLBRLPDY.A</t>
  </si>
  <si>
    <t>Liquid Fuels: Liquid Fuels Use: by Fuel: Other: Alternative Electricity and Transportation</t>
  </si>
  <si>
    <t>AEO.2026.ELECTRNP.CNSM_NA_LFL_NA_LFU_OTH_USA_MILLBRLPDY.A</t>
  </si>
  <si>
    <t>Liquid Fuels: Liquid Fuels Use: by Sector: Residential and Commercial: Alternative Electricity and Transportation</t>
  </si>
  <si>
    <t>AEO.2026.ELECTRNP.CNSM_NA_LFL_NA_BLDG_NA_USA_MILLBRLPDY.A</t>
  </si>
  <si>
    <t>Liquid Fuels: Liquid Fuels Use: by Sector: Industrial: Alternative Electricity and Transportation</t>
  </si>
  <si>
    <t>AEO.2026.ELECTRNP.CNSM_NA_LFL_NA_IDAL_NA_USA_MILLBRLPDY.A</t>
  </si>
  <si>
    <t>Liquid Fuels: Liquid Fuels Use: by Sector: Transportation: Alternative Electricity and Transportation</t>
  </si>
  <si>
    <t>AEO.2026.ELECTRNP.CNSM_NA_LFL_NA_TRN_NA_USA_MILLBRLPDY.A</t>
  </si>
  <si>
    <t>Liquid Fuels: Liquid Fuels Use: by Sector: Electric Power: Alternative Electricity and Transportation</t>
  </si>
  <si>
    <t>AEO.2026.ELECTRNP.CNSM_NA_LFL_NA_ELEP_NA_USA_MILLBRLPDY.A</t>
  </si>
  <si>
    <t>-4.3%</t>
  </si>
  <si>
    <t>Liquid Fuels: Liquid Fuels Use: by Sector: Unspecified: Alternative Electricity and Transportation</t>
  </si>
  <si>
    <t>AEO.2026.ELECTRNP.CNSM_NA_LFL_NA_OTH_NA_USA_MILLBRLPDY.A</t>
  </si>
  <si>
    <t>Liquid Fuels: Liquid Fuels Use: by Sector: Total: Alternative Electricity and Transportation</t>
  </si>
  <si>
    <t>AEO.2026.ELECTRNP.CNSM_NA_LFL_NA_TOT_NA_USA_MILLBRLPDY.A</t>
  </si>
  <si>
    <t>Liquid Fuels: Liquid Fuels Use: Discrepancy: Alternative Electricity and Transportation</t>
  </si>
  <si>
    <t>AEO.2026.ELECTRNP.CNSM_NA_LFL_NA_DESCR_NA_USA_MILLBRLPDY.A</t>
  </si>
  <si>
    <t>Liquid Fuels: Domestic Refinery Distillation Capacity: Alternative Electricity and Transportation</t>
  </si>
  <si>
    <t>AEO.2026.ELECTRNP.CAP_NA_LFL_REF_DIST_NA_USA_MILLBRLPDY.A</t>
  </si>
  <si>
    <t>Liquid Fuels: Capacity Utilization Rate: Alternative Electricity and Transportation</t>
  </si>
  <si>
    <t>AEO.2026.ELECTRNP.UTR_NA_LFL_REF_UTR_NA_USA_PCT.A</t>
  </si>
  <si>
    <t>Liquid Fuels: Total Gross Imports: Alternative Electricity and Transportation</t>
  </si>
  <si>
    <t>AEO.2026.ELECTRNP.TRAD_NA_LFL_TOT_GIM_NA_USA_MILLBRLPDY.A</t>
  </si>
  <si>
    <t>Liquid Fuels: Total Gross Exports: Alternative Electricity and Transportation</t>
  </si>
  <si>
    <t>AEO.2026.ELECTRNP.TRAD_NA_LFL_TOT_EXP_NA_USA_MILLBRLPDY.A</t>
  </si>
  <si>
    <t>Liquid Fuels: Total Net Imports: Alternative Electricity and Transportation</t>
  </si>
  <si>
    <t>AEO.2026.ELECTRNP.TRAD_NA_LFL_TOT_NETIMP_NA_USA_MILLBRLPDY.A</t>
  </si>
  <si>
    <t>Liquid Fuels: Net Import Share of Product Supplied: Alternative Electricity and Transportation</t>
  </si>
  <si>
    <t>AEO.2026.ELECTRNP.MKS_NETIMP_LFL_NA_PRSP_NA_USA_PCT.A</t>
  </si>
  <si>
    <t>Petroleum Products (billion 2025 dollars)</t>
  </si>
  <si>
    <t>Liquid Fuels: Expenditures: Imports of Crude Oil and Petroleum Products: Alternative Electricity and Transportation</t>
  </si>
  <si>
    <t>AEO.2026.ELECTRNP.EXPD_ENE_IMP_NA_CRAPP_NA_USA_BLNY13DLR.A</t>
  </si>
  <si>
    <t>billion 2025 $</t>
  </si>
  <si>
    <t>1.8%</t>
  </si>
  <si>
    <t>2021, 2022, 2025, 2026</t>
  </si>
  <si>
    <t>Annual Energy Outlook 2021, Annual Energy Outlook 2022, Annual Energy Outlook 2025 (AEO 2025 High Zero-Carbon Technology Cost), Annual Energy Outlook 2026 (Alternative Electricity and Transportation)</t>
  </si>
  <si>
    <r>
      <rPr>
        <sz val="10"/>
        <color theme="1"/>
        <rFont val="Arial"/>
        <family val="2"/>
      </rPr>
      <t xml:space="preserve">Source: </t>
    </r>
    <r>
      <rPr>
        <u/>
        <sz val="10"/>
        <color rgb="FF1155CC"/>
        <rFont val="Arial"/>
        <family val="2"/>
      </rPr>
      <t>https://netzeroamerica.princeton.edu/img/Working_Paper-High_Road_Labor_and_Renewable_Energy-PUBLIC_RELEASE-4-13-21.pdf</t>
    </r>
  </si>
  <si>
    <r>
      <t xml:space="preserve">Source: </t>
    </r>
    <r>
      <rPr>
        <u/>
        <sz val="10"/>
        <color rgb="FF1155CC"/>
        <rFont val="Arial"/>
        <family val="2"/>
      </rPr>
      <t>https://www.govinfo.gov/content/pkg/FR-2020-05-13/pdf/2020-10273.pdf</t>
    </r>
  </si>
  <si>
    <t xml:space="preserve">*the safe harbor deadline to qualify for the more relaxed safe harbor restrictions is July 4, 2026. We use reduced values here to represent lower qualifying shares of deployment </t>
  </si>
  <si>
    <t xml:space="preserve">in 2029 and 2030 as the stock of safe-harbored power plants is depleted and new, unsubsidized power plants take over. </t>
  </si>
  <si>
    <t>Electricity tax credits follow the One Big Beautiful Bill Act (Public Law 119-21, sections 70512-70513), calculated on the "45Y48E Credits" tab.</t>
  </si>
  <si>
    <t>Wind and solar placed in service after 2027 qualify for 45Y/48E only if construction began by July 4, 2026. The CSVs give new onshore wind and solar PV</t>
  </si>
  <si>
    <t>the full credit for plants entering service through 2028, about two thirds in 2029 and one third in 2030 as the stock of safe-harbored projects</t>
  </si>
  <si>
    <t>runs out, and none from 2031; solar PV takes the investment credit through 2025 and the production credit after that, and offshore wind and solar thermal investment credits taper the same way.</t>
  </si>
  <si>
    <t>Geothermal and nuclear (including small modular reactors) keep the investment credit until the emissions-based phase-out (from 2036 for geothermal, 2040 for nuclear, in the CSVs).</t>
  </si>
  <si>
    <t>LEGACY REFERENCE: IRA-era NREL ATB tax credit assumptions. Nothing in this workbook reads this tab; the CSVs follow the 45Y48E Credits tab (see About).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</si>
</sst>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6" formatCode="&quot;$&quot;#,##0_);[Red]\(&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2"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
      <u/>
      <sz val="10"/>
      <color rgb="FF1155CC"/>
      <name val="Arial"/>
      <family val="2"/>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rgb="FFFFFF99"/>
        <bgColor indexed="64"/>
      </patternFill>
    </fill>
    <fill>
      <patternFill patternType="solid">
        <fgColor theme="9" tint="0.59999389629810485"/>
        <bgColor indexed="64"/>
      </patternFill>
    </fill>
  </fills>
  <borders count="147">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3743705557422"/>
      </left>
      <right/>
      <top style="thin">
        <color theme="0" tint="-0.14993743705557422"/>
      </top>
      <bottom/>
      <diagonal/>
    </border>
    <border>
      <left style="thin">
        <color theme="0" tint="-0.14993743705557422"/>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medium">
        <color rgb="FFBFBFBF"/>
      </right>
      <top style="thin">
        <color auto="1"/>
      </top>
      <bottom style="medium">
        <color theme="0" tint="-0.24994659260841701"/>
      </bottom>
      <diagonal/>
    </border>
    <border>
      <left style="medium">
        <color rgb="FFBFBFBF"/>
      </left>
      <right/>
      <top style="thin">
        <color theme="0" tint="-0.14993743705557422"/>
      </top>
      <bottom style="thin">
        <color theme="0" tint="-0.14993743705557422"/>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3743705557422"/>
      </top>
      <bottom style="medium">
        <color rgb="FFBFBFBF"/>
      </bottom>
      <diagonal/>
    </border>
    <border>
      <left/>
      <right/>
      <top style="thin">
        <color theme="0" tint="-0.14993743705557422"/>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3743705557422"/>
      </top>
      <bottom/>
      <diagonal/>
    </border>
    <border>
      <left/>
      <right/>
      <top style="thick">
        <color theme="0"/>
      </top>
      <bottom style="thin">
        <color theme="0"/>
      </bottom>
      <diagonal/>
    </border>
    <border>
      <left/>
      <right/>
      <top/>
      <bottom style="thin">
        <color theme="0" tint="-0.14993743705557422"/>
      </bottom>
      <diagonal/>
    </border>
    <border>
      <left/>
      <right/>
      <top style="thin">
        <color theme="0"/>
      </top>
      <bottom/>
      <diagonal/>
    </border>
    <border>
      <left/>
      <right/>
      <top style="thin">
        <color theme="0"/>
      </top>
      <bottom style="thick">
        <color theme="0"/>
      </bottom>
      <diagonal/>
    </border>
    <border>
      <left style="thin">
        <color theme="0" tint="-0.14993743705557422"/>
      </left>
      <right/>
      <top/>
      <bottom style="thin">
        <color theme="0" tint="-0.14993743705557422"/>
      </bottom>
      <diagonal/>
    </border>
    <border>
      <left/>
      <right/>
      <top style="thin">
        <color theme="0" tint="-0.14993743705557422"/>
      </top>
      <bottom style="thin">
        <color theme="0"/>
      </bottom>
      <diagonal/>
    </border>
    <border>
      <left/>
      <right/>
      <top/>
      <bottom style="thin">
        <color theme="0"/>
      </bottom>
      <diagonal/>
    </border>
    <border>
      <left/>
      <right/>
      <top style="thin">
        <color theme="0"/>
      </top>
      <bottom style="thin">
        <color theme="0" tint="-0.14993743705557422"/>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top style="thin">
        <color auto="1"/>
      </top>
      <bottom style="medium">
        <color indexed="64"/>
      </bottom>
      <diagonal/>
    </border>
    <border>
      <left style="medium">
        <color indexed="64"/>
      </left>
      <right style="thin">
        <color auto="1"/>
      </right>
      <top style="medium">
        <color indexed="64"/>
      </top>
      <bottom style="thin">
        <color auto="1"/>
      </bottom>
      <diagonal/>
    </border>
    <border>
      <left/>
      <right/>
      <top style="medium">
        <color indexed="64"/>
      </top>
      <bottom style="thin">
        <color auto="1"/>
      </bottom>
      <diagonal/>
    </border>
    <border>
      <left style="thin">
        <color theme="0" tint="-0.14993743705557422"/>
      </left>
      <right/>
      <top style="thin">
        <color theme="0" tint="-0.14993743705557422"/>
      </top>
      <bottom style="thin">
        <color theme="0" tint="-0.14993743705557422"/>
      </bottom>
      <diagonal/>
    </border>
    <border>
      <left style="medium">
        <color theme="0" tint="-0.24994659260841701"/>
      </left>
      <right style="medium">
        <color theme="0" tint="-0.24994659260841701"/>
      </right>
      <top style="medium">
        <color theme="0" tint="-0.24994659260841701"/>
      </top>
      <bottom style="thin">
        <color auto="1"/>
      </bottom>
      <diagonal/>
    </border>
    <border>
      <left style="medium">
        <color theme="0" tint="-0.24994659260841701"/>
      </left>
      <right/>
      <top style="thin">
        <color auto="1"/>
      </top>
      <bottom style="thin">
        <color auto="1"/>
      </bottom>
      <diagonal/>
    </border>
    <border>
      <left/>
      <right style="medium">
        <color rgb="FFBFBFBF"/>
      </right>
      <top style="thin">
        <color auto="1"/>
      </top>
      <bottom style="thin">
        <color auto="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rgb="FFBFBFBF"/>
      </left>
      <right style="medium">
        <color rgb="FFBFBFBF"/>
      </right>
      <top style="medium">
        <color rgb="FFBFBFBF"/>
      </top>
      <bottom style="medium">
        <color rgb="FFBFBFBF"/>
      </bottom>
      <diagonal/>
    </border>
    <border>
      <left style="medium">
        <color theme="0" tint="-0.249977111117893"/>
      </left>
      <right style="medium">
        <color rgb="FFBFBFBF"/>
      </right>
      <top/>
      <bottom style="medium">
        <color theme="0" tint="-0.249977111117893"/>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style="medium">
        <color theme="0" tint="-0.249977111117893"/>
      </right>
      <top style="medium">
        <color theme="0" tint="-0.249977111117893"/>
      </top>
      <bottom style="thick">
        <color theme="0" tint="-0.249977111117893"/>
      </bottom>
      <diagonal/>
    </border>
    <border>
      <left style="medium">
        <color theme="0" tint="-0.249977111117893"/>
      </left>
      <right style="thick">
        <color theme="0" tint="-0.249977111117893"/>
      </right>
      <top style="thick">
        <color theme="0" tint="-0.249977111117893"/>
      </top>
      <bottom style="thick">
        <color theme="0" tint="-0.249977111117893"/>
      </bottom>
      <diagonal/>
    </border>
    <border>
      <left style="medium">
        <color theme="0" tint="-0.249977111117893"/>
      </left>
      <right style="medium">
        <color theme="0" tint="-0.249977111117893"/>
      </right>
      <top style="thick">
        <color theme="0" tint="-0.249977111117893"/>
      </top>
      <bottom/>
      <diagonal/>
    </border>
  </borders>
  <cellStyleXfs count="28">
    <xf numFmtId="0" fontId="0" fillId="0" borderId="0"/>
    <xf numFmtId="0" fontId="2" fillId="0" borderId="0"/>
    <xf numFmtId="0" fontId="3" fillId="0" borderId="0"/>
    <xf numFmtId="0" fontId="4" fillId="0" borderId="1">
      <alignment wrapText="1"/>
    </xf>
    <xf numFmtId="0" fontId="5" fillId="0" borderId="0">
      <alignment horizontal="left"/>
    </xf>
    <xf numFmtId="0" fontId="3" fillId="0" borderId="2">
      <alignment wrapText="1"/>
    </xf>
    <xf numFmtId="0" fontId="4" fillId="0" borderId="3">
      <alignment wrapText="1"/>
    </xf>
    <xf numFmtId="0" fontId="3" fillId="0" borderId="4">
      <alignment vertical="top" wrapText="1"/>
    </xf>
    <xf numFmtId="9" fontId="8" fillId="0" borderId="0"/>
    <xf numFmtId="0" fontId="16" fillId="0" borderId="0"/>
    <xf numFmtId="0" fontId="16" fillId="0" borderId="5">
      <alignment wrapText="1"/>
    </xf>
    <xf numFmtId="0" fontId="16" fillId="0" borderId="6">
      <alignment wrapText="1"/>
    </xf>
    <xf numFmtId="0" fontId="6" fillId="0" borderId="7">
      <alignment wrapText="1"/>
    </xf>
    <xf numFmtId="0" fontId="6" fillId="0" borderId="8">
      <alignment wrapText="1"/>
    </xf>
    <xf numFmtId="0" fontId="16" fillId="0" borderId="0"/>
    <xf numFmtId="0" fontId="19" fillId="0" borderId="0">
      <alignment horizontal="left"/>
    </xf>
    <xf numFmtId="0" fontId="8" fillId="0" borderId="0"/>
    <xf numFmtId="0" fontId="16" fillId="0" borderId="0"/>
    <xf numFmtId="0" fontId="16" fillId="0" borderId="6">
      <alignment wrapText="1"/>
    </xf>
    <xf numFmtId="0" fontId="16" fillId="0" borderId="0"/>
    <xf numFmtId="0" fontId="16" fillId="0" borderId="5">
      <alignment wrapText="1"/>
    </xf>
    <xf numFmtId="0" fontId="6" fillId="0" borderId="8">
      <alignment wrapText="1"/>
    </xf>
    <xf numFmtId="0" fontId="6" fillId="0" borderId="7">
      <alignment wrapText="1"/>
    </xf>
    <xf numFmtId="0" fontId="19" fillId="0" borderId="0">
      <alignment horizontal="left"/>
    </xf>
    <xf numFmtId="0" fontId="8" fillId="0" borderId="0"/>
    <xf numFmtId="44" fontId="8" fillId="0" borderId="0"/>
    <xf numFmtId="0" fontId="24" fillId="0" borderId="0"/>
    <xf numFmtId="43" fontId="8" fillId="0" borderId="0"/>
  </cellStyleXfs>
  <cellXfs count="464">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13" fillId="0" borderId="0" xfId="0" applyFont="1" applyAlignment="1">
      <alignment horizontal="left"/>
    </xf>
    <xf numFmtId="0" fontId="15"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6" fillId="0" borderId="0" xfId="9"/>
    <xf numFmtId="0" fontId="7" fillId="0" borderId="0" xfId="9" applyFont="1"/>
    <xf numFmtId="0" fontId="17"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4"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8" fillId="0" borderId="0" xfId="9" applyFont="1" applyAlignment="1">
      <alignment horizontal="right"/>
    </xf>
    <xf numFmtId="0" fontId="16" fillId="0" borderId="0" xfId="9" applyAlignment="1">
      <alignment horizontal="left"/>
    </xf>
    <xf numFmtId="0" fontId="16" fillId="0" borderId="0" xfId="14"/>
    <xf numFmtId="0" fontId="19" fillId="0" borderId="0" xfId="15">
      <alignment horizontal="left"/>
    </xf>
    <xf numFmtId="0" fontId="20"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6" fillId="0" borderId="5" xfId="9" applyBorder="1"/>
    <xf numFmtId="0" fontId="23" fillId="0" borderId="5" xfId="10" applyFont="1">
      <alignment wrapText="1"/>
    </xf>
    <xf numFmtId="0" fontId="21" fillId="0" borderId="0" xfId="15" applyFont="1">
      <alignment horizontal="left"/>
    </xf>
    <xf numFmtId="0" fontId="7" fillId="0" borderId="0" xfId="14" applyFont="1"/>
    <xf numFmtId="0" fontId="7" fillId="0" borderId="0" xfId="9" applyFont="1" applyAlignment="1">
      <alignment horizontal="left"/>
    </xf>
    <xf numFmtId="0" fontId="18" fillId="0" borderId="8" xfId="13" applyFont="1">
      <alignment wrapText="1"/>
    </xf>
    <xf numFmtId="0" fontId="18" fillId="0" borderId="8" xfId="13" applyFont="1" applyAlignment="1">
      <alignment horizontal="right"/>
    </xf>
    <xf numFmtId="0" fontId="18"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8" fillId="0" borderId="7" xfId="12" applyNumberFormat="1" applyFont="1" applyAlignment="1">
      <alignment horizontal="right" wrapText="1"/>
    </xf>
    <xf numFmtId="165" fontId="18"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2" fillId="0" borderId="0" xfId="9" applyFont="1"/>
    <xf numFmtId="3" fontId="18" fillId="0" borderId="7" xfId="12" applyNumberFormat="1" applyFont="1" applyAlignment="1">
      <alignment horizontal="right" wrapText="1"/>
    </xf>
    <xf numFmtId="166" fontId="18" fillId="0" borderId="7" xfId="12" applyNumberFormat="1" applyFont="1" applyAlignment="1">
      <alignment horizontal="right" wrapText="1"/>
    </xf>
    <xf numFmtId="0" fontId="25" fillId="6" borderId="0" xfId="26" applyFont="1" applyFill="1"/>
    <xf numFmtId="0" fontId="26" fillId="0" borderId="0" xfId="26" applyFont="1"/>
    <xf numFmtId="0" fontId="24" fillId="0" borderId="0" xfId="26"/>
    <xf numFmtId="0" fontId="26" fillId="0" borderId="0" xfId="26" applyFont="1" applyAlignment="1">
      <alignment wrapText="1"/>
    </xf>
    <xf numFmtId="0" fontId="26" fillId="6" borderId="0" xfId="26" applyFont="1" applyFill="1"/>
    <xf numFmtId="0" fontId="25" fillId="7" borderId="0" xfId="26" applyFont="1" applyFill="1"/>
    <xf numFmtId="0" fontId="26" fillId="7" borderId="0" xfId="26" applyFont="1" applyFill="1"/>
    <xf numFmtId="0" fontId="27" fillId="0" borderId="0" xfId="26" applyFont="1"/>
    <xf numFmtId="0" fontId="28" fillId="0" borderId="0" xfId="26" applyFont="1"/>
    <xf numFmtId="0" fontId="25" fillId="0" borderId="0" xfId="26" applyFont="1"/>
    <xf numFmtId="165" fontId="26" fillId="0" borderId="0" xfId="26" applyNumberFormat="1" applyFont="1"/>
    <xf numFmtId="9" fontId="26" fillId="0" borderId="0" xfId="8" applyFont="1"/>
    <xf numFmtId="0" fontId="25" fillId="0" borderId="0" xfId="26" applyFont="1" applyAlignment="1">
      <alignment wrapText="1"/>
    </xf>
    <xf numFmtId="0" fontId="29" fillId="0" borderId="0" xfId="26" applyFont="1"/>
    <xf numFmtId="0" fontId="31" fillId="0" borderId="9" xfId="26" applyFont="1" applyBorder="1"/>
    <xf numFmtId="0" fontId="32" fillId="0" borderId="10" xfId="26" applyFont="1" applyBorder="1" applyAlignment="1">
      <alignment horizontal="center"/>
    </xf>
    <xf numFmtId="0" fontId="32" fillId="0" borderId="11" xfId="26" applyFont="1" applyBorder="1"/>
    <xf numFmtId="0" fontId="32" fillId="0" borderId="12" xfId="26" applyFont="1" applyBorder="1" applyAlignment="1">
      <alignment horizontal="center"/>
    </xf>
    <xf numFmtId="0" fontId="30" fillId="0" borderId="11" xfId="26" applyFont="1" applyBorder="1"/>
    <xf numFmtId="10" fontId="30" fillId="0" borderId="12" xfId="26" applyNumberFormat="1" applyFont="1" applyBorder="1" applyAlignment="1">
      <alignment horizontal="right"/>
    </xf>
    <xf numFmtId="10" fontId="26" fillId="0" borderId="0" xfId="26" applyNumberFormat="1" applyFont="1"/>
    <xf numFmtId="0" fontId="30" fillId="0" borderId="13" xfId="26" applyFont="1" applyBorder="1"/>
    <xf numFmtId="10" fontId="30" fillId="0" borderId="14" xfId="26" applyNumberFormat="1" applyFont="1" applyBorder="1" applyAlignment="1">
      <alignment horizontal="right"/>
    </xf>
    <xf numFmtId="0" fontId="33" fillId="0" borderId="0" xfId="26" applyFont="1"/>
    <xf numFmtId="9" fontId="26" fillId="0" borderId="0" xfId="26" applyNumberFormat="1" applyFont="1"/>
    <xf numFmtId="9" fontId="26" fillId="0" borderId="0" xfId="26" applyNumberFormat="1" applyFont="1" applyAlignment="1">
      <alignment wrapText="1"/>
    </xf>
    <xf numFmtId="0" fontId="24" fillId="0" borderId="0" xfId="26" applyAlignment="1">
      <alignment wrapText="1"/>
    </xf>
    <xf numFmtId="0" fontId="26" fillId="0" borderId="0" xfId="26" applyFont="1" applyAlignment="1">
      <alignment horizontal="left" wrapText="1"/>
    </xf>
    <xf numFmtId="44" fontId="26" fillId="0" borderId="0" xfId="25" applyFont="1"/>
    <xf numFmtId="0" fontId="34" fillId="0" borderId="0" xfId="26" applyFont="1"/>
    <xf numFmtId="164" fontId="26" fillId="0" borderId="0" xfId="26" applyNumberFormat="1" applyFont="1"/>
    <xf numFmtId="1" fontId="26" fillId="0" borderId="0" xfId="26" applyNumberFormat="1" applyFont="1"/>
    <xf numFmtId="167" fontId="35" fillId="8" borderId="0" xfId="26" applyNumberFormat="1" applyFont="1" applyFill="1"/>
    <xf numFmtId="168" fontId="26" fillId="0" borderId="0" xfId="26" applyNumberFormat="1" applyFont="1" applyAlignment="1">
      <alignment horizontal="right" wrapText="1"/>
    </xf>
    <xf numFmtId="9" fontId="26" fillId="0" borderId="0" xfId="26" applyNumberFormat="1" applyFont="1" applyAlignment="1">
      <alignment horizontal="right" wrapText="1"/>
    </xf>
    <xf numFmtId="0" fontId="35" fillId="8" borderId="0" xfId="26" applyFont="1" applyFill="1"/>
    <xf numFmtId="165" fontId="26" fillId="0" borderId="0" xfId="26" applyNumberFormat="1" applyFont="1" applyAlignment="1">
      <alignment horizontal="right" wrapText="1"/>
    </xf>
    <xf numFmtId="0" fontId="27" fillId="9" borderId="0" xfId="26" applyFont="1" applyFill="1" applyAlignment="1">
      <alignment horizontal="left" wrapText="1"/>
    </xf>
    <xf numFmtId="0" fontId="26" fillId="9" borderId="0" xfId="26" applyFont="1" applyFill="1" applyAlignment="1">
      <alignment horizontal="left" wrapText="1"/>
    </xf>
    <xf numFmtId="0" fontId="26" fillId="9" borderId="0" xfId="26" applyFont="1" applyFill="1"/>
    <xf numFmtId="0" fontId="24" fillId="9" borderId="0" xfId="26" applyFill="1"/>
    <xf numFmtId="10" fontId="26" fillId="0" borderId="0" xfId="26" applyNumberFormat="1" applyFont="1" applyAlignment="1">
      <alignment horizontal="left" wrapText="1"/>
    </xf>
    <xf numFmtId="2" fontId="26" fillId="0" borderId="0" xfId="26" applyNumberFormat="1" applyFont="1" applyAlignment="1">
      <alignment horizontal="left" wrapText="1"/>
    </xf>
    <xf numFmtId="2" fontId="26" fillId="9" borderId="0" xfId="26" applyNumberFormat="1" applyFont="1" applyFill="1" applyAlignment="1">
      <alignment horizontal="left" wrapText="1"/>
    </xf>
    <xf numFmtId="10" fontId="26" fillId="0" borderId="0" xfId="26" applyNumberFormat="1" applyFont="1" applyAlignment="1">
      <alignment horizontal="right" wrapText="1"/>
    </xf>
    <xf numFmtId="0" fontId="25" fillId="0" borderId="0" xfId="26" applyFont="1" applyAlignment="1">
      <alignment horizontal="left" wrapText="1"/>
    </xf>
    <xf numFmtId="2" fontId="0" fillId="11" borderId="0" xfId="0" applyNumberFormat="1" applyFill="1"/>
    <xf numFmtId="0" fontId="36" fillId="0" borderId="0" xfId="0" applyFont="1" applyAlignment="1">
      <alignment vertical="center"/>
    </xf>
    <xf numFmtId="0" fontId="32" fillId="0" borderId="0" xfId="0" applyFont="1" applyAlignment="1">
      <alignment horizontal="center" vertical="top"/>
    </xf>
    <xf numFmtId="10" fontId="30" fillId="0" borderId="0" xfId="0" applyNumberFormat="1" applyFont="1" applyAlignment="1">
      <alignment horizontal="center" vertical="top"/>
    </xf>
    <xf numFmtId="168" fontId="30" fillId="0" borderId="0" xfId="0" applyNumberFormat="1" applyFont="1" applyAlignment="1">
      <alignment horizontal="center" vertical="top"/>
    </xf>
    <xf numFmtId="0" fontId="38" fillId="0" borderId="16" xfId="0" applyFont="1" applyBorder="1" applyAlignment="1">
      <alignment vertical="center" wrapText="1"/>
    </xf>
    <xf numFmtId="0" fontId="0" fillId="0" borderId="0" xfId="0" applyAlignment="1">
      <alignment vertical="top"/>
    </xf>
    <xf numFmtId="0" fontId="39" fillId="0" borderId="0" xfId="0" applyFont="1"/>
    <xf numFmtId="0" fontId="40" fillId="0" borderId="17" xfId="0" applyFont="1" applyBorder="1"/>
    <xf numFmtId="0" fontId="41" fillId="0" borderId="0" xfId="0" applyFont="1"/>
    <xf numFmtId="0" fontId="30" fillId="0" borderId="0" xfId="0" applyFont="1"/>
    <xf numFmtId="0" fontId="30" fillId="0" borderId="18" xfId="0" applyFont="1" applyBorder="1"/>
    <xf numFmtId="0" fontId="30" fillId="13" borderId="19" xfId="0" applyFont="1" applyFill="1" applyBorder="1" applyAlignment="1">
      <alignment horizontal="center"/>
    </xf>
    <xf numFmtId="0" fontId="30" fillId="9" borderId="20" xfId="0" applyFont="1" applyFill="1" applyBorder="1" applyAlignment="1">
      <alignment horizontal="center"/>
    </xf>
    <xf numFmtId="0" fontId="32" fillId="0" borderId="0" xfId="0" applyFont="1"/>
    <xf numFmtId="0" fontId="42" fillId="0" borderId="0" xfId="0" applyFont="1"/>
    <xf numFmtId="0" fontId="38" fillId="15" borderId="0" xfId="0" applyFont="1" applyFill="1" applyAlignment="1">
      <alignment horizontal="center"/>
    </xf>
    <xf numFmtId="0" fontId="30" fillId="0" borderId="24" xfId="0" applyFont="1" applyBorder="1"/>
    <xf numFmtId="0" fontId="30" fillId="0" borderId="23" xfId="0" applyFont="1" applyBorder="1"/>
    <xf numFmtId="0" fontId="30" fillId="0" borderId="0" xfId="0" applyFont="1" applyAlignment="1">
      <alignment horizontal="center"/>
    </xf>
    <xf numFmtId="0" fontId="30" fillId="0" borderId="25" xfId="0" applyFont="1" applyBorder="1"/>
    <xf numFmtId="0" fontId="32" fillId="9" borderId="28" xfId="0" applyFont="1" applyFill="1" applyBorder="1"/>
    <xf numFmtId="0" fontId="32" fillId="9" borderId="0" xfId="0" applyFont="1" applyFill="1"/>
    <xf numFmtId="0" fontId="38" fillId="12" borderId="0" xfId="0" applyFont="1" applyFill="1" applyAlignment="1">
      <alignment horizontal="center" vertical="center" wrapText="1"/>
    </xf>
    <xf numFmtId="0" fontId="44" fillId="0" borderId="29" xfId="0" applyFont="1" applyBorder="1" applyAlignment="1">
      <alignment horizontal="center" vertical="center" wrapText="1"/>
    </xf>
    <xf numFmtId="0" fontId="30" fillId="17" borderId="30" xfId="0" applyFont="1" applyFill="1" applyBorder="1" applyAlignment="1">
      <alignment horizontal="center" vertical="center" wrapText="1"/>
    </xf>
    <xf numFmtId="0" fontId="30" fillId="17" borderId="31" xfId="0" applyFont="1" applyFill="1" applyBorder="1" applyAlignment="1">
      <alignment horizontal="center" vertical="center" wrapText="1"/>
    </xf>
    <xf numFmtId="0" fontId="30" fillId="0" borderId="32" xfId="0" applyFont="1" applyBorder="1"/>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17" borderId="33" xfId="0" applyFont="1" applyFill="1" applyBorder="1" applyAlignment="1">
      <alignment horizontal="center" vertical="center" wrapText="1"/>
    </xf>
    <xf numFmtId="0" fontId="30" fillId="17" borderId="34" xfId="0" applyFont="1" applyFill="1" applyBorder="1" applyAlignment="1">
      <alignment horizontal="center" vertical="center" wrapText="1"/>
    </xf>
    <xf numFmtId="169" fontId="30" fillId="0" borderId="33" xfId="0" applyNumberFormat="1" applyFont="1" applyBorder="1" applyAlignment="1">
      <alignment horizontal="center" vertical="center" wrapText="1"/>
    </xf>
    <xf numFmtId="169" fontId="30" fillId="0" borderId="34" xfId="0" applyNumberFormat="1"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37" fontId="30" fillId="18" borderId="0" xfId="0" applyNumberFormat="1" applyFont="1" applyFill="1" applyAlignment="1">
      <alignment horizontal="right"/>
    </xf>
    <xf numFmtId="37" fontId="30" fillId="18" borderId="0" xfId="0" applyNumberFormat="1" applyFont="1" applyFill="1"/>
    <xf numFmtId="0" fontId="30" fillId="0" borderId="40" xfId="0" applyFont="1" applyBorder="1"/>
    <xf numFmtId="0" fontId="30" fillId="0" borderId="41" xfId="0" applyFont="1" applyBorder="1"/>
    <xf numFmtId="37" fontId="30" fillId="9" borderId="42" xfId="0" applyNumberFormat="1" applyFont="1" applyFill="1" applyBorder="1" applyAlignment="1">
      <alignment horizontal="right" vertical="center"/>
    </xf>
    <xf numFmtId="0" fontId="44" fillId="0" borderId="0" xfId="0" applyFont="1"/>
    <xf numFmtId="0" fontId="45" fillId="0" borderId="43" xfId="0" applyFont="1" applyBorder="1"/>
    <xf numFmtId="0" fontId="45" fillId="0" borderId="41" xfId="0" applyFont="1" applyBorder="1"/>
    <xf numFmtId="37" fontId="30" fillId="13" borderId="44" xfId="0" applyNumberFormat="1" applyFont="1" applyFill="1" applyBorder="1" applyAlignment="1">
      <alignment horizontal="right"/>
    </xf>
    <xf numFmtId="165" fontId="30" fillId="13" borderId="44" xfId="0" applyNumberFormat="1" applyFont="1" applyFill="1" applyBorder="1"/>
    <xf numFmtId="0" fontId="32" fillId="0" borderId="47" xfId="0" applyFont="1" applyBorder="1" applyAlignment="1">
      <alignment horizontal="left"/>
    </xf>
    <xf numFmtId="0" fontId="32" fillId="0" borderId="17" xfId="0" applyFont="1" applyBorder="1" applyAlignment="1">
      <alignment horizontal="left"/>
    </xf>
    <xf numFmtId="0" fontId="30" fillId="0" borderId="48" xfId="0" applyFont="1" applyBorder="1"/>
    <xf numFmtId="0" fontId="32" fillId="13" borderId="39" xfId="0" applyFont="1" applyFill="1" applyBorder="1" applyAlignment="1">
      <alignment horizontal="center"/>
    </xf>
    <xf numFmtId="0" fontId="30" fillId="0" borderId="49" xfId="0" applyFont="1" applyBorder="1" applyAlignment="1">
      <alignment horizontal="center" vertical="center"/>
    </xf>
    <xf numFmtId="0" fontId="30" fillId="0" borderId="18" xfId="0" applyFont="1" applyBorder="1" applyAlignment="1">
      <alignment horizontal="center" vertical="center"/>
    </xf>
    <xf numFmtId="0" fontId="30" fillId="0" borderId="28" xfId="0" applyFont="1" applyBorder="1" applyAlignment="1">
      <alignment horizontal="center" vertical="center"/>
    </xf>
    <xf numFmtId="0" fontId="30" fillId="0" borderId="0" xfId="0" applyFont="1" applyAlignment="1">
      <alignment horizontal="center" vertical="center"/>
    </xf>
    <xf numFmtId="37" fontId="30" fillId="0" borderId="49" xfId="0" applyNumberFormat="1" applyFont="1" applyBorder="1" applyAlignment="1">
      <alignment horizontal="center"/>
    </xf>
    <xf numFmtId="9" fontId="30" fillId="13" borderId="51" xfId="0" applyNumberFormat="1" applyFont="1" applyFill="1" applyBorder="1"/>
    <xf numFmtId="165" fontId="30" fillId="9" borderId="44" xfId="0" applyNumberFormat="1" applyFont="1" applyFill="1" applyBorder="1"/>
    <xf numFmtId="37" fontId="30" fillId="0" borderId="52" xfId="0" applyNumberFormat="1" applyFont="1" applyBorder="1" applyAlignment="1">
      <alignment horizontal="center"/>
    </xf>
    <xf numFmtId="9" fontId="30" fillId="13" borderId="53" xfId="0" applyNumberFormat="1" applyFont="1" applyFill="1" applyBorder="1"/>
    <xf numFmtId="2" fontId="30" fillId="0" borderId="0" xfId="0" applyNumberFormat="1" applyFont="1"/>
    <xf numFmtId="37" fontId="30" fillId="0" borderId="54" xfId="0" applyNumberFormat="1" applyFont="1" applyBorder="1" applyAlignment="1">
      <alignment horizontal="center"/>
    </xf>
    <xf numFmtId="9" fontId="30" fillId="13" borderId="55" xfId="0" applyNumberFormat="1" applyFont="1" applyFill="1" applyBorder="1"/>
    <xf numFmtId="165" fontId="30" fillId="9" borderId="56" xfId="0" applyNumberFormat="1" applyFont="1" applyFill="1" applyBorder="1"/>
    <xf numFmtId="0" fontId="30" fillId="0" borderId="57" xfId="0" applyFont="1" applyBorder="1"/>
    <xf numFmtId="165" fontId="32" fillId="0" borderId="0" xfId="8" applyNumberFormat="1" applyFont="1"/>
    <xf numFmtId="165" fontId="30" fillId="14" borderId="0" xfId="8" applyNumberFormat="1" applyFont="1" applyFill="1"/>
    <xf numFmtId="165" fontId="0" fillId="9" borderId="0" xfId="8" applyNumberFormat="1" applyFont="1" applyFill="1"/>
    <xf numFmtId="165" fontId="30" fillId="9" borderId="0" xfId="8" applyNumberFormat="1" applyFont="1" applyFill="1"/>
    <xf numFmtId="2" fontId="32" fillId="0" borderId="0" xfId="0" applyNumberFormat="1" applyFont="1"/>
    <xf numFmtId="0" fontId="30" fillId="0" borderId="58" xfId="0" applyFont="1" applyBorder="1"/>
    <xf numFmtId="0" fontId="30" fillId="0" borderId="59" xfId="0" applyFont="1" applyBorder="1"/>
    <xf numFmtId="0" fontId="30" fillId="0" borderId="60" xfId="0" applyFont="1" applyBorder="1"/>
    <xf numFmtId="0" fontId="46" fillId="15" borderId="0" xfId="0" applyFont="1" applyFill="1" applyAlignment="1">
      <alignment horizontal="center"/>
    </xf>
    <xf numFmtId="0" fontId="32" fillId="0" borderId="61" xfId="0" applyFont="1" applyBorder="1"/>
    <xf numFmtId="9" fontId="30" fillId="13" borderId="62" xfId="0" applyNumberFormat="1" applyFont="1" applyFill="1" applyBorder="1"/>
    <xf numFmtId="0" fontId="32" fillId="0" borderId="63" xfId="0" applyFont="1" applyBorder="1"/>
    <xf numFmtId="9" fontId="30" fillId="13" borderId="64" xfId="0" applyNumberFormat="1" applyFont="1" applyFill="1" applyBorder="1"/>
    <xf numFmtId="9" fontId="30" fillId="13" borderId="65" xfId="0" applyNumberFormat="1" applyFont="1" applyFill="1" applyBorder="1"/>
    <xf numFmtId="0" fontId="30" fillId="0" borderId="65" xfId="0" applyFont="1" applyBorder="1"/>
    <xf numFmtId="0" fontId="30" fillId="0" borderId="62" xfId="0" applyFont="1" applyBorder="1"/>
    <xf numFmtId="0" fontId="38" fillId="0" borderId="0" xfId="0" applyFont="1" applyAlignment="1">
      <alignment horizontal="center" vertical="center" wrapText="1"/>
    </xf>
    <xf numFmtId="9" fontId="30" fillId="0" borderId="0" xfId="0" applyNumberFormat="1" applyFont="1"/>
    <xf numFmtId="37" fontId="30" fillId="9" borderId="67" xfId="0" applyNumberFormat="1" applyFont="1" applyFill="1" applyBorder="1"/>
    <xf numFmtId="37" fontId="30" fillId="9" borderId="53" xfId="0" applyNumberFormat="1" applyFont="1" applyFill="1" applyBorder="1"/>
    <xf numFmtId="37" fontId="30" fillId="9" borderId="65" xfId="0" applyNumberFormat="1" applyFont="1" applyFill="1" applyBorder="1"/>
    <xf numFmtId="37" fontId="30" fillId="9" borderId="62" xfId="0" applyNumberFormat="1" applyFont="1" applyFill="1" applyBorder="1"/>
    <xf numFmtId="37" fontId="30" fillId="9" borderId="64" xfId="0" applyNumberFormat="1" applyFont="1" applyFill="1" applyBorder="1"/>
    <xf numFmtId="37" fontId="30" fillId="9" borderId="68" xfId="0" applyNumberFormat="1" applyFont="1" applyFill="1" applyBorder="1"/>
    <xf numFmtId="37" fontId="30" fillId="9" borderId="69" xfId="0" applyNumberFormat="1" applyFont="1" applyFill="1" applyBorder="1"/>
    <xf numFmtId="37" fontId="30" fillId="0" borderId="0" xfId="0" applyNumberFormat="1" applyFont="1"/>
    <xf numFmtId="9" fontId="30" fillId="0" borderId="0" xfId="8" applyFont="1"/>
    <xf numFmtId="170" fontId="30" fillId="9" borderId="67" xfId="0" applyNumberFormat="1" applyFont="1" applyFill="1" applyBorder="1"/>
    <xf numFmtId="170" fontId="30" fillId="9" borderId="53" xfId="0" applyNumberFormat="1" applyFont="1" applyFill="1" applyBorder="1"/>
    <xf numFmtId="170" fontId="30" fillId="9" borderId="65" xfId="0" applyNumberFormat="1" applyFont="1" applyFill="1" applyBorder="1"/>
    <xf numFmtId="170" fontId="30" fillId="9" borderId="62" xfId="0" applyNumberFormat="1" applyFont="1" applyFill="1" applyBorder="1"/>
    <xf numFmtId="170" fontId="30" fillId="9" borderId="64" xfId="0" applyNumberFormat="1" applyFont="1" applyFill="1" applyBorder="1"/>
    <xf numFmtId="170" fontId="30" fillId="9" borderId="68" xfId="0" applyNumberFormat="1" applyFont="1" applyFill="1" applyBorder="1"/>
    <xf numFmtId="170" fontId="30" fillId="9" borderId="69" xfId="0" applyNumberFormat="1" applyFont="1" applyFill="1" applyBorder="1"/>
    <xf numFmtId="170" fontId="30" fillId="0" borderId="0" xfId="0" applyNumberFormat="1" applyFont="1"/>
    <xf numFmtId="5" fontId="30" fillId="13" borderId="67" xfId="0" applyNumberFormat="1" applyFont="1" applyFill="1" applyBorder="1"/>
    <xf numFmtId="5" fontId="30" fillId="13" borderId="53" xfId="0" applyNumberFormat="1" applyFont="1" applyFill="1" applyBorder="1"/>
    <xf numFmtId="5" fontId="30" fillId="13" borderId="65" xfId="0" applyNumberFormat="1" applyFont="1" applyFill="1" applyBorder="1"/>
    <xf numFmtId="5" fontId="30" fillId="13" borderId="62" xfId="0" applyNumberFormat="1" applyFont="1" applyFill="1" applyBorder="1"/>
    <xf numFmtId="5" fontId="30" fillId="0" borderId="0" xfId="0" applyNumberFormat="1" applyFont="1"/>
    <xf numFmtId="170" fontId="30" fillId="13" borderId="67" xfId="0" applyNumberFormat="1" applyFont="1" applyFill="1" applyBorder="1"/>
    <xf numFmtId="170" fontId="30" fillId="13" borderId="53" xfId="0" applyNumberFormat="1" applyFont="1" applyFill="1" applyBorder="1"/>
    <xf numFmtId="170" fontId="30" fillId="13" borderId="65" xfId="0" applyNumberFormat="1" applyFont="1" applyFill="1" applyBorder="1"/>
    <xf numFmtId="170" fontId="30" fillId="13" borderId="62" xfId="0" applyNumberFormat="1" applyFont="1" applyFill="1" applyBorder="1"/>
    <xf numFmtId="170" fontId="30" fillId="13" borderId="69" xfId="0" applyNumberFormat="1" applyFont="1" applyFill="1" applyBorder="1"/>
    <xf numFmtId="0" fontId="30" fillId="0" borderId="70" xfId="0" applyFont="1" applyBorder="1"/>
    <xf numFmtId="0" fontId="30" fillId="0" borderId="71" xfId="0" applyFont="1" applyBorder="1"/>
    <xf numFmtId="5" fontId="30" fillId="13" borderId="69" xfId="0" applyNumberFormat="1" applyFont="1" applyFill="1" applyBorder="1"/>
    <xf numFmtId="0" fontId="32" fillId="10" borderId="0" xfId="0" applyFont="1" applyFill="1" applyAlignment="1">
      <alignment horizontal="center" vertical="center" textRotation="90" wrapText="1"/>
    </xf>
    <xf numFmtId="165" fontId="30" fillId="14" borderId="0" xfId="8" applyNumberFormat="1" applyFont="1" applyFill="1" applyAlignment="1">
      <alignment horizontal="center"/>
    </xf>
    <xf numFmtId="44" fontId="30" fillId="0" borderId="0" xfId="25" applyFont="1" applyAlignment="1">
      <alignment horizontal="center" vertical="top"/>
    </xf>
    <xf numFmtId="0" fontId="32" fillId="10" borderId="0" xfId="0" applyFont="1" applyFill="1" applyAlignment="1">
      <alignment vertical="center" textRotation="90" wrapText="1"/>
    </xf>
    <xf numFmtId="0" fontId="38" fillId="12" borderId="16" xfId="0" applyFont="1" applyFill="1" applyBorder="1" applyAlignment="1">
      <alignment vertical="center" wrapText="1"/>
    </xf>
    <xf numFmtId="164" fontId="30" fillId="0" borderId="0" xfId="0" applyNumberFormat="1" applyFont="1" applyAlignment="1">
      <alignment horizontal="center" vertical="top"/>
    </xf>
    <xf numFmtId="0" fontId="30" fillId="0" borderId="0" xfId="0" applyFont="1" applyAlignment="1">
      <alignment horizontal="left"/>
    </xf>
    <xf numFmtId="0" fontId="38" fillId="22" borderId="0" xfId="0" applyFont="1" applyFill="1" applyAlignment="1">
      <alignment horizontal="center" vertical="center" wrapText="1"/>
    </xf>
    <xf numFmtId="0" fontId="32" fillId="0" borderId="0" xfId="0" applyFont="1" applyAlignment="1">
      <alignment horizontal="center"/>
    </xf>
    <xf numFmtId="0" fontId="32" fillId="0" borderId="0" xfId="0" applyFont="1" applyAlignment="1">
      <alignment horizontal="center" vertical="center"/>
    </xf>
    <xf numFmtId="171" fontId="30" fillId="0" borderId="0" xfId="0" applyNumberFormat="1" applyFont="1" applyAlignment="1">
      <alignment horizontal="center" vertical="top"/>
    </xf>
    <xf numFmtId="0" fontId="38" fillId="22" borderId="0" xfId="0" applyFont="1" applyFill="1" applyAlignment="1">
      <alignment vertical="center" wrapText="1"/>
    </xf>
    <xf numFmtId="0" fontId="30" fillId="0" borderId="72" xfId="0" applyFont="1" applyBorder="1"/>
    <xf numFmtId="0" fontId="30" fillId="0" borderId="73" xfId="0" applyFont="1" applyBorder="1"/>
    <xf numFmtId="0" fontId="38" fillId="22" borderId="73" xfId="0" applyFont="1" applyFill="1" applyBorder="1" applyAlignment="1">
      <alignment vertical="center" wrapText="1"/>
    </xf>
    <xf numFmtId="0" fontId="30" fillId="0" borderId="74" xfId="0" applyFont="1" applyBorder="1"/>
    <xf numFmtId="172" fontId="30" fillId="9" borderId="62" xfId="0" applyNumberFormat="1" applyFont="1" applyFill="1" applyBorder="1"/>
    <xf numFmtId="0" fontId="30" fillId="0" borderId="75" xfId="0" applyFont="1" applyBorder="1"/>
    <xf numFmtId="172" fontId="30" fillId="9" borderId="53" xfId="0" applyNumberFormat="1" applyFont="1" applyFill="1" applyBorder="1"/>
    <xf numFmtId="172" fontId="30" fillId="9" borderId="69" xfId="0" applyNumberFormat="1" applyFont="1" applyFill="1" applyBorder="1"/>
    <xf numFmtId="0" fontId="32" fillId="0" borderId="76" xfId="0" applyFont="1" applyBorder="1" applyAlignment="1">
      <alignment vertical="top"/>
    </xf>
    <xf numFmtId="0" fontId="30" fillId="0" borderId="77" xfId="0" applyFont="1" applyBorder="1"/>
    <xf numFmtId="0" fontId="30" fillId="0" borderId="78" xfId="0" applyFont="1" applyBorder="1"/>
    <xf numFmtId="0" fontId="30" fillId="0" borderId="76" xfId="0" applyFont="1" applyBorder="1"/>
    <xf numFmtId="0" fontId="2" fillId="0" borderId="79" xfId="1" applyBorder="1"/>
    <xf numFmtId="0" fontId="2" fillId="0" borderId="77" xfId="1" applyBorder="1"/>
    <xf numFmtId="0" fontId="2" fillId="0" borderId="78" xfId="1" applyBorder="1"/>
    <xf numFmtId="0" fontId="0" fillId="0" borderId="80" xfId="0" applyBorder="1"/>
    <xf numFmtId="0" fontId="30" fillId="0" borderId="79" xfId="0" applyFont="1" applyBorder="1"/>
    <xf numFmtId="0" fontId="2" fillId="0" borderId="18" xfId="1" applyBorder="1"/>
    <xf numFmtId="0" fontId="2" fillId="0" borderId="76" xfId="1" applyBorder="1"/>
    <xf numFmtId="0" fontId="37" fillId="23" borderId="0" xfId="0" applyFont="1" applyFill="1" applyAlignment="1">
      <alignment horizontal="center" vertical="center" textRotation="90" wrapText="1"/>
    </xf>
    <xf numFmtId="0" fontId="30" fillId="0" borderId="83" xfId="0" applyFont="1" applyBorder="1"/>
    <xf numFmtId="0" fontId="30" fillId="0" borderId="84" xfId="0" applyFont="1" applyBorder="1"/>
    <xf numFmtId="0" fontId="30" fillId="0" borderId="85" xfId="0" applyFont="1" applyBorder="1"/>
    <xf numFmtId="49" fontId="48" fillId="0" borderId="0" xfId="0" applyNumberFormat="1" applyFont="1" applyAlignment="1">
      <alignment wrapText="1"/>
    </xf>
    <xf numFmtId="49" fontId="0" fillId="0" borderId="0" xfId="0" applyNumberFormat="1" applyAlignment="1">
      <alignment wrapText="1"/>
    </xf>
    <xf numFmtId="0" fontId="30" fillId="0" borderId="101" xfId="0" applyFont="1" applyBorder="1"/>
    <xf numFmtId="0" fontId="30" fillId="0" borderId="102" xfId="0" applyFont="1" applyBorder="1"/>
    <xf numFmtId="0" fontId="30" fillId="0" borderId="103" xfId="0" applyFont="1" applyBorder="1"/>
    <xf numFmtId="0" fontId="49" fillId="0" borderId="0" xfId="0" applyFont="1" applyAlignment="1">
      <alignment vertical="top" wrapText="1"/>
    </xf>
    <xf numFmtId="0" fontId="30" fillId="0" borderId="95" xfId="0" applyFont="1" applyBorder="1"/>
    <xf numFmtId="0" fontId="49" fillId="0" borderId="0" xfId="0" applyFont="1" applyAlignment="1">
      <alignment horizontal="center" vertical="top" wrapText="1"/>
    </xf>
    <xf numFmtId="0" fontId="30" fillId="0" borderId="86" xfId="0" applyFont="1" applyBorder="1"/>
    <xf numFmtId="0" fontId="30" fillId="0" borderId="87" xfId="0" applyFont="1" applyBorder="1"/>
    <xf numFmtId="0" fontId="30" fillId="17" borderId="104" xfId="0" applyFont="1" applyFill="1" applyBorder="1" applyAlignment="1">
      <alignment horizontal="center" vertical="center" wrapText="1"/>
    </xf>
    <xf numFmtId="0" fontId="30" fillId="0" borderId="105" xfId="0" applyFont="1" applyBorder="1" applyAlignment="1">
      <alignment horizontal="center" vertical="center" wrapText="1"/>
    </xf>
    <xf numFmtId="0" fontId="30" fillId="17" borderId="105" xfId="0" applyFont="1" applyFill="1" applyBorder="1" applyAlignment="1">
      <alignment horizontal="center" vertical="center" wrapText="1"/>
    </xf>
    <xf numFmtId="169" fontId="30" fillId="0" borderId="105" xfId="0" applyNumberFormat="1" applyFont="1" applyBorder="1" applyAlignment="1">
      <alignment horizontal="center" vertical="center" wrapText="1"/>
    </xf>
    <xf numFmtId="0" fontId="30" fillId="0" borderId="106" xfId="0" applyFont="1" applyBorder="1" applyAlignment="1">
      <alignment horizontal="center" vertical="center" wrapText="1"/>
    </xf>
    <xf numFmtId="0" fontId="0" fillId="0" borderId="107" xfId="0" applyBorder="1"/>
    <xf numFmtId="37" fontId="30" fillId="9" borderId="108" xfId="0" applyNumberFormat="1" applyFont="1" applyFill="1" applyBorder="1" applyAlignment="1">
      <alignment horizontal="right" vertical="center"/>
    </xf>
    <xf numFmtId="0" fontId="30" fillId="0" borderId="109" xfId="0" applyFont="1" applyBorder="1"/>
    <xf numFmtId="2" fontId="30" fillId="0" borderId="40" xfId="0" applyNumberFormat="1" applyFont="1" applyBorder="1"/>
    <xf numFmtId="2" fontId="30" fillId="0" borderId="41" xfId="0" applyNumberFormat="1" applyFont="1" applyBorder="1"/>
    <xf numFmtId="165" fontId="30" fillId="0" borderId="0" xfId="0" applyNumberFormat="1" applyFont="1"/>
    <xf numFmtId="0" fontId="32" fillId="0" borderId="37" xfId="0" applyFont="1" applyBorder="1" applyAlignment="1">
      <alignment horizontal="left"/>
    </xf>
    <xf numFmtId="0" fontId="32" fillId="0" borderId="38" xfId="0" applyFont="1" applyBorder="1" applyAlignment="1">
      <alignment horizontal="left"/>
    </xf>
    <xf numFmtId="0" fontId="30" fillId="0" borderId="49" xfId="0" applyFont="1" applyBorder="1" applyAlignment="1">
      <alignment horizontal="center"/>
    </xf>
    <xf numFmtId="0" fontId="30" fillId="0" borderId="18" xfId="0" applyFont="1" applyBorder="1" applyAlignment="1">
      <alignment horizontal="center"/>
    </xf>
    <xf numFmtId="0" fontId="30" fillId="0" borderId="28" xfId="0" applyFont="1" applyBorder="1" applyAlignment="1">
      <alignment horizontal="center"/>
    </xf>
    <xf numFmtId="9" fontId="30" fillId="9" borderId="111" xfId="0" applyNumberFormat="1" applyFont="1" applyFill="1" applyBorder="1"/>
    <xf numFmtId="9" fontId="30" fillId="9" borderId="112" xfId="0" applyNumberFormat="1" applyFont="1" applyFill="1" applyBorder="1"/>
    <xf numFmtId="9" fontId="30" fillId="9" borderId="113" xfId="0" applyNumberFormat="1" applyFont="1" applyFill="1" applyBorder="1"/>
    <xf numFmtId="37" fontId="30" fillId="0" borderId="0" xfId="0" applyNumberFormat="1" applyFont="1" applyAlignment="1">
      <alignment horizontal="center"/>
    </xf>
    <xf numFmtId="10" fontId="30" fillId="0" borderId="0" xfId="0" applyNumberFormat="1" applyFont="1"/>
    <xf numFmtId="9" fontId="30" fillId="13" borderId="67" xfId="8" applyFont="1" applyFill="1" applyBorder="1"/>
    <xf numFmtId="9" fontId="30" fillId="13" borderId="53" xfId="8" applyFont="1" applyFill="1" applyBorder="1"/>
    <xf numFmtId="9" fontId="30" fillId="13" borderId="65" xfId="8" applyFont="1" applyFill="1" applyBorder="1"/>
    <xf numFmtId="173" fontId="30" fillId="9" borderId="67" xfId="27" applyNumberFormat="1" applyFont="1" applyFill="1" applyBorder="1"/>
    <xf numFmtId="173" fontId="30" fillId="9" borderId="53" xfId="27" applyNumberFormat="1" applyFont="1" applyFill="1" applyBorder="1"/>
    <xf numFmtId="173" fontId="30" fillId="9" borderId="65" xfId="27" applyNumberFormat="1" applyFont="1" applyFill="1" applyBorder="1"/>
    <xf numFmtId="173" fontId="30" fillId="9" borderId="62" xfId="27" applyNumberFormat="1" applyFont="1" applyFill="1" applyBorder="1"/>
    <xf numFmtId="173" fontId="30" fillId="9" borderId="69" xfId="27" applyNumberFormat="1" applyFont="1" applyFill="1" applyBorder="1"/>
    <xf numFmtId="0" fontId="30" fillId="0" borderId="114" xfId="0" applyFont="1" applyBorder="1"/>
    <xf numFmtId="174" fontId="30" fillId="0" borderId="0" xfId="0" applyNumberFormat="1" applyFont="1"/>
    <xf numFmtId="0" fontId="30" fillId="0" borderId="115" xfId="0" applyFont="1" applyBorder="1"/>
    <xf numFmtId="0" fontId="32" fillId="0" borderId="118" xfId="0" applyFont="1" applyBorder="1" applyAlignment="1">
      <alignment vertical="top"/>
    </xf>
    <xf numFmtId="0" fontId="30" fillId="0" borderId="17" xfId="0" applyFont="1" applyBorder="1"/>
    <xf numFmtId="0" fontId="30" fillId="0" borderId="117" xfId="0" applyFont="1" applyBorder="1"/>
    <xf numFmtId="0" fontId="30" fillId="0" borderId="120" xfId="0" applyFont="1" applyBorder="1"/>
    <xf numFmtId="0" fontId="2" fillId="0" borderId="21" xfId="1" applyBorder="1"/>
    <xf numFmtId="0" fontId="2" fillId="0" borderId="121" xfId="1" applyBorder="1"/>
    <xf numFmtId="0" fontId="2" fillId="0" borderId="79" xfId="1" applyBorder="1" applyAlignment="1">
      <alignment vertical="top"/>
    </xf>
    <xf numFmtId="0" fontId="2" fillId="0" borderId="77" xfId="1" applyBorder="1" applyAlignment="1">
      <alignment vertical="top"/>
    </xf>
    <xf numFmtId="0" fontId="2" fillId="0" borderId="78" xfId="1" applyBorder="1" applyAlignment="1">
      <alignment vertical="top"/>
    </xf>
    <xf numFmtId="0" fontId="30" fillId="0" borderId="79" xfId="0" applyFont="1" applyBorder="1" applyAlignment="1">
      <alignment vertical="top" wrapText="1"/>
    </xf>
    <xf numFmtId="0" fontId="30" fillId="0" borderId="77" xfId="0" applyFont="1" applyBorder="1" applyAlignment="1">
      <alignment vertical="top" wrapText="1"/>
    </xf>
    <xf numFmtId="0" fontId="30" fillId="0" borderId="78" xfId="0" applyFont="1" applyBorder="1" applyAlignment="1">
      <alignment vertical="top" wrapText="1"/>
    </xf>
    <xf numFmtId="0" fontId="30" fillId="0" borderId="122" xfId="0" applyFont="1" applyBorder="1" applyAlignment="1">
      <alignment vertical="top" wrapText="1"/>
    </xf>
    <xf numFmtId="0" fontId="30" fillId="0" borderId="17" xfId="0" applyFont="1" applyBorder="1" applyAlignment="1">
      <alignment vertical="top" wrapText="1"/>
    </xf>
    <xf numFmtId="0" fontId="30" fillId="0" borderId="119" xfId="0" applyFont="1" applyBorder="1" applyAlignment="1">
      <alignment vertical="top" wrapText="1"/>
    </xf>
    <xf numFmtId="0" fontId="30" fillId="0" borderId="79" xfId="0" applyFont="1" applyBorder="1" applyAlignment="1">
      <alignment vertical="top"/>
    </xf>
    <xf numFmtId="0" fontId="30" fillId="0" borderId="77" xfId="0" applyFont="1" applyBorder="1" applyAlignment="1">
      <alignment vertical="top"/>
    </xf>
    <xf numFmtId="0" fontId="30" fillId="0" borderId="78" xfId="0" applyFont="1" applyBorder="1" applyAlignment="1">
      <alignment vertical="top"/>
    </xf>
    <xf numFmtId="0" fontId="30" fillId="0" borderId="126" xfId="0" applyFont="1" applyBorder="1" applyAlignment="1">
      <alignment vertical="top"/>
    </xf>
    <xf numFmtId="0" fontId="30" fillId="0" borderId="125" xfId="0" applyFont="1" applyBorder="1" applyAlignment="1">
      <alignment vertical="top"/>
    </xf>
    <xf numFmtId="0" fontId="30" fillId="0" borderId="123" xfId="0" applyFont="1" applyBorder="1" applyAlignment="1">
      <alignment vertical="top"/>
    </xf>
    <xf numFmtId="0" fontId="30" fillId="0" borderId="127" xfId="0" applyFont="1" applyBorder="1" applyAlignment="1">
      <alignment vertical="top"/>
    </xf>
    <xf numFmtId="0" fontId="30" fillId="0" borderId="128" xfId="0" applyFont="1" applyBorder="1" applyAlignment="1">
      <alignment vertical="top"/>
    </xf>
    <xf numFmtId="0" fontId="30" fillId="0" borderId="0" xfId="0" applyFont="1" applyAlignment="1">
      <alignment vertical="top"/>
    </xf>
    <xf numFmtId="0" fontId="30" fillId="0" borderId="117" xfId="0" applyFont="1" applyBorder="1" applyAlignment="1">
      <alignment vertical="top"/>
    </xf>
    <xf numFmtId="0" fontId="30" fillId="0" borderId="120" xfId="0" applyFont="1" applyBorder="1" applyAlignment="1">
      <alignment vertical="top"/>
    </xf>
    <xf numFmtId="0" fontId="30" fillId="0" borderId="130" xfId="0" applyFont="1" applyBorder="1" applyAlignment="1">
      <alignment vertical="top"/>
    </xf>
    <xf numFmtId="0" fontId="50" fillId="0" borderId="0" xfId="0" applyFont="1" applyAlignment="1">
      <alignment horizontal="left" vertical="center"/>
    </xf>
    <xf numFmtId="0" fontId="26" fillId="0" borderId="0" xfId="8" applyNumberFormat="1" applyFont="1"/>
    <xf numFmtId="0" fontId="27" fillId="0" borderId="0" xfId="26" applyFont="1" applyAlignment="1">
      <alignment horizontal="left" wrapText="1"/>
    </xf>
    <xf numFmtId="2" fontId="26" fillId="0" borderId="0" xfId="26" applyNumberFormat="1" applyFont="1"/>
    <xf numFmtId="6" fontId="26" fillId="0" borderId="0" xfId="26" applyNumberFormat="1" applyFont="1"/>
    <xf numFmtId="2" fontId="26" fillId="2" borderId="0" xfId="26" applyNumberFormat="1" applyFont="1" applyFill="1" applyAlignment="1">
      <alignment horizontal="left" wrapText="1"/>
    </xf>
    <xf numFmtId="0" fontId="0" fillId="26" borderId="0" xfId="0" applyFill="1"/>
    <xf numFmtId="10" fontId="0" fillId="26" borderId="0" xfId="0" applyNumberFormat="1" applyFill="1"/>
    <xf numFmtId="10" fontId="0" fillId="0" borderId="0" xfId="0" applyNumberFormat="1"/>
    <xf numFmtId="0" fontId="0" fillId="27" borderId="0" xfId="0" applyFill="1"/>
    <xf numFmtId="10" fontId="0" fillId="27" borderId="0" xfId="0" applyNumberFormat="1" applyFill="1"/>
    <xf numFmtId="0" fontId="26" fillId="25" borderId="0" xfId="26" applyFont="1" applyFill="1" applyAlignment="1">
      <alignment horizontal="left" wrapText="1"/>
    </xf>
    <xf numFmtId="10" fontId="26" fillId="25" borderId="0" xfId="26" applyNumberFormat="1" applyFont="1" applyFill="1" applyAlignment="1">
      <alignment horizontal="left" wrapText="1"/>
    </xf>
    <xf numFmtId="0" fontId="26" fillId="25" borderId="0" xfId="26" applyFont="1" applyFill="1"/>
    <xf numFmtId="0" fontId="24" fillId="25" borderId="0" xfId="26" applyFill="1"/>
    <xf numFmtId="9" fontId="26" fillId="25" borderId="0" xfId="8" applyFont="1" applyFill="1"/>
    <xf numFmtId="0" fontId="0" fillId="28" borderId="0" xfId="0" applyFill="1"/>
    <xf numFmtId="11" fontId="0" fillId="28" borderId="0" xfId="0" applyNumberFormat="1" applyFill="1"/>
    <xf numFmtId="2" fontId="0" fillId="28" borderId="0" xfId="0" applyNumberFormat="1" applyFill="1"/>
    <xf numFmtId="9" fontId="0" fillId="28" borderId="0" xfId="8" applyFont="1" applyFill="1"/>
    <xf numFmtId="0" fontId="38" fillId="12" borderId="15" xfId="0" applyFont="1" applyFill="1" applyBorder="1" applyAlignment="1">
      <alignment horizontal="center" vertical="center" wrapText="1"/>
    </xf>
    <xf numFmtId="0" fontId="0" fillId="0" borderId="16" xfId="0" applyBorder="1"/>
    <xf numFmtId="0" fontId="30" fillId="0" borderId="76" xfId="0" applyFont="1" applyBorder="1" applyAlignment="1">
      <alignment horizontal="center" vertical="top" wrapText="1"/>
    </xf>
    <xf numFmtId="0" fontId="0" fillId="0" borderId="77" xfId="0" applyBorder="1"/>
    <xf numFmtId="0" fontId="43" fillId="16" borderId="141" xfId="0" applyFont="1" applyFill="1" applyBorder="1" applyAlignment="1">
      <alignment horizontal="center"/>
    </xf>
    <xf numFmtId="0" fontId="0" fillId="0" borderId="81" xfId="0" applyBorder="1"/>
    <xf numFmtId="0" fontId="0" fillId="0" borderId="82" xfId="0" applyBorder="1"/>
    <xf numFmtId="3" fontId="32" fillId="0" borderId="146" xfId="0" applyNumberFormat="1" applyFont="1" applyBorder="1" applyAlignment="1">
      <alignment horizontal="center" vertical="center"/>
    </xf>
    <xf numFmtId="0" fontId="0" fillId="0" borderId="93" xfId="0" applyBorder="1"/>
    <xf numFmtId="0" fontId="0" fillId="0" borderId="100" xfId="0" applyBorder="1"/>
    <xf numFmtId="0" fontId="38" fillId="12" borderId="136" xfId="0" applyFont="1" applyFill="1" applyBorder="1" applyAlignment="1">
      <alignment horizontal="center" vertical="center" wrapText="1"/>
    </xf>
    <xf numFmtId="0" fontId="0" fillId="0" borderId="66" xfId="0" applyBorder="1"/>
    <xf numFmtId="0" fontId="30" fillId="0" borderId="143" xfId="0" applyFont="1" applyBorder="1" applyAlignment="1">
      <alignment horizontal="left"/>
    </xf>
    <xf numFmtId="0" fontId="0" fillId="0" borderId="89" xfId="0" applyBorder="1"/>
    <xf numFmtId="0" fontId="0" fillId="0" borderId="90" xfId="0" applyBorder="1"/>
    <xf numFmtId="0" fontId="30" fillId="0" borderId="140" xfId="0" applyFont="1" applyBorder="1" applyAlignment="1">
      <alignment horizontal="center"/>
    </xf>
    <xf numFmtId="0" fontId="0" fillId="0" borderId="26" xfId="0" applyBorder="1"/>
    <xf numFmtId="0" fontId="0" fillId="0" borderId="27" xfId="0" applyBorder="1"/>
    <xf numFmtId="0" fontId="30" fillId="0" borderId="40" xfId="0" applyFont="1" applyBorder="1"/>
    <xf numFmtId="0" fontId="0" fillId="0" borderId="41" xfId="0" applyBorder="1"/>
    <xf numFmtId="0" fontId="30" fillId="0" borderId="131" xfId="0" applyFont="1" applyBorder="1"/>
    <xf numFmtId="0" fontId="0" fillId="0" borderId="78" xfId="0" applyBorder="1"/>
    <xf numFmtId="0" fontId="38" fillId="23" borderId="0" xfId="0" applyFont="1" applyFill="1" applyAlignment="1">
      <alignment horizontal="center" vertical="center" textRotation="90" wrapText="1"/>
    </xf>
    <xf numFmtId="0" fontId="30" fillId="0" borderId="0" xfId="0" applyFont="1"/>
    <xf numFmtId="0" fontId="2" fillId="0" borderId="79" xfId="1" applyBorder="1" applyAlignment="1">
      <alignment horizontal="center" wrapText="1"/>
    </xf>
    <xf numFmtId="2" fontId="30" fillId="0" borderId="138" xfId="0" applyNumberFormat="1" applyFont="1" applyBorder="1" applyAlignment="1">
      <alignment horizontal="center" wrapText="1"/>
    </xf>
    <xf numFmtId="0" fontId="0" fillId="0" borderId="28" xfId="0" applyBorder="1"/>
    <xf numFmtId="0" fontId="0" fillId="0" borderId="47" xfId="0" applyBorder="1"/>
    <xf numFmtId="0" fontId="2" fillId="0" borderId="76" xfId="1" applyBorder="1" applyAlignment="1">
      <alignment horizontal="center"/>
    </xf>
    <xf numFmtId="0" fontId="49" fillId="0" borderId="145" xfId="0" applyFont="1" applyBorder="1" applyAlignment="1">
      <alignment horizontal="center" vertical="top" wrapText="1"/>
    </xf>
    <xf numFmtId="0" fontId="0" fillId="0" borderId="94" xfId="0" applyBorder="1"/>
    <xf numFmtId="0" fontId="0" fillId="0" borderId="95" xfId="0" applyBorder="1"/>
    <xf numFmtId="0" fontId="0" fillId="0" borderId="96" xfId="0" applyBorder="1"/>
    <xf numFmtId="0" fontId="0" fillId="0" borderId="97" xfId="0" applyBorder="1"/>
    <xf numFmtId="0" fontId="0" fillId="0" borderId="98" xfId="0" applyBorder="1"/>
    <xf numFmtId="0" fontId="0" fillId="0" borderId="99" xfId="0" applyBorder="1"/>
    <xf numFmtId="0" fontId="40" fillId="0" borderId="17" xfId="0" applyFont="1" applyBorder="1"/>
    <xf numFmtId="0" fontId="0" fillId="0" borderId="17" xfId="0" applyBorder="1"/>
    <xf numFmtId="0" fontId="38" fillId="15" borderId="24" xfId="0" applyFont="1" applyFill="1" applyBorder="1" applyAlignment="1">
      <alignment horizontal="center"/>
    </xf>
    <xf numFmtId="0" fontId="30" fillId="0" borderId="132" xfId="0" applyFont="1" applyBorder="1"/>
    <xf numFmtId="0" fontId="0" fillId="0" borderId="133" xfId="0" applyBorder="1"/>
    <xf numFmtId="0" fontId="0" fillId="0" borderId="124" xfId="0" applyBorder="1"/>
    <xf numFmtId="0" fontId="2" fillId="0" borderId="76" xfId="1" applyBorder="1" applyAlignment="1">
      <alignment horizontal="center" vertical="top"/>
    </xf>
    <xf numFmtId="0" fontId="47" fillId="20" borderId="0" xfId="0" applyFont="1" applyFill="1" applyAlignment="1">
      <alignment horizontal="center" vertical="center" textRotation="90" wrapText="1"/>
    </xf>
    <xf numFmtId="0" fontId="30" fillId="0" borderId="65" xfId="0" applyFont="1" applyBorder="1"/>
    <xf numFmtId="0" fontId="30" fillId="0" borderId="62" xfId="0" applyFont="1" applyBorder="1"/>
    <xf numFmtId="0" fontId="32" fillId="0" borderId="134" xfId="0" applyFont="1" applyBorder="1" applyAlignment="1">
      <alignment horizontal="left" vertical="center"/>
    </xf>
    <xf numFmtId="0" fontId="0" fillId="0" borderId="135" xfId="0" applyBorder="1"/>
    <xf numFmtId="0" fontId="0" fillId="0" borderId="129" xfId="0" applyBorder="1"/>
    <xf numFmtId="0" fontId="32" fillId="0" borderId="122" xfId="0" applyFont="1" applyBorder="1" applyAlignment="1">
      <alignment horizontal="center" vertical="top"/>
    </xf>
    <xf numFmtId="0" fontId="0" fillId="0" borderId="119" xfId="0" applyBorder="1"/>
    <xf numFmtId="0" fontId="38" fillId="15" borderId="0" xfId="0" applyFont="1" applyFill="1" applyAlignment="1">
      <alignment horizontal="center"/>
    </xf>
    <xf numFmtId="0" fontId="30" fillId="0" borderId="76" xfId="0" applyFont="1" applyBorder="1" applyAlignment="1">
      <alignment horizontal="center" vertical="top"/>
    </xf>
    <xf numFmtId="0" fontId="30" fillId="0" borderId="79" xfId="0" applyFont="1" applyBorder="1" applyAlignment="1">
      <alignment horizontal="left"/>
    </xf>
    <xf numFmtId="0" fontId="30" fillId="14" borderId="19" xfId="0" applyFont="1" applyFill="1" applyBorder="1" applyAlignment="1">
      <alignment horizontal="center" wrapText="1"/>
    </xf>
    <xf numFmtId="0" fontId="0" fillId="0" borderId="22" xfId="0" applyBorder="1"/>
    <xf numFmtId="0" fontId="32" fillId="24" borderId="142" xfId="0" applyFont="1" applyFill="1" applyBorder="1" applyAlignment="1">
      <alignment horizontal="center"/>
    </xf>
    <xf numFmtId="0" fontId="0" fillId="0" borderId="87" xfId="0" applyBorder="1"/>
    <xf numFmtId="0" fontId="0" fillId="0" borderId="88" xfId="0" applyBorder="1"/>
    <xf numFmtId="0" fontId="32" fillId="25" borderId="0" xfId="0" applyFont="1" applyFill="1" applyAlignment="1">
      <alignment horizontal="center" vertical="center" textRotation="90"/>
    </xf>
    <xf numFmtId="0" fontId="32" fillId="0" borderId="116" xfId="0" applyFont="1" applyBorder="1" applyAlignment="1">
      <alignment horizontal="left" vertical="center"/>
    </xf>
    <xf numFmtId="0" fontId="38" fillId="12" borderId="0" xfId="0" applyFont="1" applyFill="1" applyAlignment="1">
      <alignment horizontal="center" vertical="center" wrapText="1"/>
    </xf>
    <xf numFmtId="0" fontId="38" fillId="12" borderId="70" xfId="0" applyFont="1" applyFill="1" applyBorder="1" applyAlignment="1">
      <alignment horizontal="center" vertical="center" wrapText="1"/>
    </xf>
    <xf numFmtId="0" fontId="0" fillId="0" borderId="70" xfId="0" applyBorder="1"/>
    <xf numFmtId="165" fontId="30" fillId="0" borderId="139" xfId="0" applyNumberFormat="1" applyFont="1" applyBorder="1" applyAlignment="1">
      <alignment horizontal="center" wrapText="1"/>
    </xf>
    <xf numFmtId="0" fontId="0" fillId="0" borderId="110" xfId="0" applyBorder="1"/>
    <xf numFmtId="0" fontId="0" fillId="0" borderId="50" xfId="0" applyBorder="1"/>
    <xf numFmtId="0" fontId="30" fillId="0" borderId="125" xfId="0" applyFont="1" applyBorder="1" applyAlignment="1">
      <alignment horizontal="center" vertical="top"/>
    </xf>
    <xf numFmtId="0" fontId="0" fillId="0" borderId="123" xfId="0" applyBorder="1"/>
    <xf numFmtId="0" fontId="32" fillId="22" borderId="70" xfId="0" applyFont="1" applyFill="1" applyBorder="1" applyAlignment="1">
      <alignment horizontal="center" vertical="center" textRotation="90"/>
    </xf>
    <xf numFmtId="0" fontId="30" fillId="0" borderId="128" xfId="0" applyFont="1" applyBorder="1" applyAlignment="1">
      <alignment horizontal="left" vertical="center"/>
    </xf>
    <xf numFmtId="0" fontId="0" fillId="0" borderId="128" xfId="0" applyBorder="1"/>
    <xf numFmtId="0" fontId="32" fillId="10" borderId="0" xfId="0" applyFont="1" applyFill="1" applyAlignment="1">
      <alignment horizontal="center" vertical="center" textRotation="90" wrapText="1"/>
    </xf>
    <xf numFmtId="0" fontId="38" fillId="19" borderId="0" xfId="0" applyFont="1" applyFill="1" applyAlignment="1">
      <alignment horizontal="center" vertical="center" textRotation="90"/>
    </xf>
    <xf numFmtId="0" fontId="30" fillId="0" borderId="144" xfId="0" applyFont="1" applyBorder="1" applyAlignment="1">
      <alignment horizontal="left"/>
    </xf>
    <xf numFmtId="0" fontId="0" fillId="0" borderId="91" xfId="0" applyBorder="1"/>
    <xf numFmtId="0" fontId="0" fillId="0" borderId="92" xfId="0" applyBorder="1"/>
    <xf numFmtId="0" fontId="32" fillId="0" borderId="145" xfId="0" applyFont="1" applyBorder="1" applyAlignment="1">
      <alignment horizontal="center" vertical="center" wrapText="1"/>
    </xf>
    <xf numFmtId="0" fontId="32" fillId="0" borderId="137" xfId="0" applyFont="1" applyBorder="1" applyAlignment="1">
      <alignment horizontal="center"/>
    </xf>
    <xf numFmtId="0" fontId="0" fillId="0" borderId="38" xfId="0" applyBorder="1"/>
    <xf numFmtId="0" fontId="0" fillId="0" borderId="39" xfId="0" applyBorder="1"/>
    <xf numFmtId="0" fontId="30" fillId="0" borderId="76" xfId="0" applyFont="1" applyBorder="1"/>
    <xf numFmtId="0" fontId="30" fillId="0" borderId="45" xfId="0" applyFont="1" applyBorder="1" applyAlignment="1">
      <alignment horizontal="left"/>
    </xf>
    <xf numFmtId="0" fontId="0" fillId="0" borderId="46" xfId="0" applyBorder="1"/>
    <xf numFmtId="0" fontId="32" fillId="21" borderId="0" xfId="0" applyFont="1" applyFill="1" applyAlignment="1">
      <alignment horizontal="center" vertical="center" textRotation="90"/>
    </xf>
    <xf numFmtId="0" fontId="32" fillId="0" borderId="79" xfId="0" applyFont="1" applyBorder="1" applyAlignment="1">
      <alignment horizontal="center" vertical="top"/>
    </xf>
    <xf numFmtId="0" fontId="32" fillId="0" borderId="76" xfId="0" applyFont="1" applyBorder="1" applyAlignment="1">
      <alignment horizontal="left" vertical="center"/>
    </xf>
    <xf numFmtId="0" fontId="30" fillId="0" borderId="76" xfId="0" applyFont="1" applyBorder="1" applyAlignment="1">
      <alignment horizontal="center"/>
    </xf>
    <xf numFmtId="0" fontId="30" fillId="0" borderId="79" xfId="0" applyFont="1" applyBorder="1"/>
    <xf numFmtId="0" fontId="38" fillId="22" borderId="0" xfId="0" applyFont="1" applyFill="1" applyAlignment="1">
      <alignment horizontal="center" vertical="center" wrapText="1"/>
    </xf>
    <xf numFmtId="0" fontId="30" fillId="0" borderId="18" xfId="0" applyFont="1" applyBorder="1" applyAlignment="1">
      <alignment horizontal="left" vertical="center"/>
    </xf>
    <xf numFmtId="0" fontId="0" fillId="0" borderId="18" xfId="0" applyBorder="1"/>
    <xf numFmtId="0" fontId="38" fillId="15" borderId="23" xfId="0" applyFont="1" applyFill="1" applyBorder="1" applyAlignment="1">
      <alignment horizontal="center"/>
    </xf>
    <xf numFmtId="0" fontId="0" fillId="0" borderId="23" xfId="0" applyBorder="1"/>
    <xf numFmtId="0" fontId="32" fillId="22" borderId="0" xfId="0" applyFont="1" applyFill="1" applyAlignment="1">
      <alignment horizontal="center" vertical="center" textRotation="90"/>
    </xf>
    <xf numFmtId="0" fontId="38" fillId="15" borderId="0" xfId="0" applyFont="1" applyFill="1" applyAlignment="1">
      <alignment horizontal="center" vertical="center" textRotation="90" wrapText="1"/>
    </xf>
    <xf numFmtId="0" fontId="43" fillId="16" borderId="140" xfId="0" applyFont="1" applyFill="1" applyBorder="1" applyAlignment="1">
      <alignment horizontal="center"/>
    </xf>
    <xf numFmtId="0" fontId="30" fillId="0" borderId="77" xfId="0" applyFont="1" applyBorder="1" applyAlignment="1">
      <alignment horizontal="center" vertical="center" wrapText="1"/>
    </xf>
    <xf numFmtId="0" fontId="30" fillId="0" borderId="139" xfId="0" applyFont="1" applyBorder="1" applyAlignment="1">
      <alignment horizontal="center" wrapText="1"/>
    </xf>
    <xf numFmtId="0" fontId="38" fillId="19" borderId="0" xfId="0" applyFont="1" applyFill="1" applyAlignment="1">
      <alignment horizontal="center" vertical="center" textRotation="90" wrapText="1"/>
    </xf>
    <xf numFmtId="0" fontId="16" fillId="0" borderId="0" xfId="9"/>
    <xf numFmtId="0" fontId="7" fillId="0" borderId="0" xfId="9" applyFont="1"/>
    <xf numFmtId="0" fontId="23" fillId="0" borderId="5" xfId="10" applyFont="1">
      <alignment wrapText="1"/>
    </xf>
    <xf numFmtId="0" fontId="0" fillId="0" borderId="5" xfId="0" applyBorder="1"/>
    <xf numFmtId="0" fontId="0" fillId="2" borderId="0" xfId="0" applyFill="1"/>
    <xf numFmtId="0" fontId="0" fillId="0" borderId="0" xfId="0"/>
    <xf numFmtId="0" fontId="13" fillId="2" borderId="0" xfId="0" applyFont="1" applyFill="1" applyAlignment="1">
      <alignment horizontal="center"/>
    </xf>
  </cellXfs>
  <cellStyles count="28">
    <cellStyle name="Body: normal cell" xfId="5" xr:uid="{00000000-0005-0000-0000-000005000000}"/>
    <cellStyle name="Body: normal cell 2" xfId="11" xr:uid="{00000000-0005-0000-0000-00000B000000}"/>
    <cellStyle name="Body: normal cell 3" xfId="18" xr:uid="{00000000-0005-0000-0000-000012000000}"/>
    <cellStyle name="Comma 2" xfId="27" xr:uid="{00000000-0005-0000-0000-00001B000000}"/>
    <cellStyle name="Currency" xfId="25" builtinId="4"/>
    <cellStyle name="Font: Calibri, 9pt regular" xfId="2" xr:uid="{00000000-0005-0000-0000-000002000000}"/>
    <cellStyle name="Font: Calibri, 9pt regular 2" xfId="14" xr:uid="{00000000-0005-0000-0000-00000E000000}"/>
    <cellStyle name="Font: Calibri, 9pt regular 3" xfId="19" xr:uid="{00000000-0005-0000-0000-000013000000}"/>
    <cellStyle name="Footnotes: top row" xfId="7" xr:uid="{00000000-0005-0000-0000-000007000000}"/>
    <cellStyle name="Footnotes: top row 2" xfId="10" xr:uid="{00000000-0005-0000-0000-00000A000000}"/>
    <cellStyle name="Footnotes: top row 3" xfId="20" xr:uid="{00000000-0005-0000-0000-000014000000}"/>
    <cellStyle name="Header: bottom row" xfId="3" xr:uid="{00000000-0005-0000-0000-000003000000}"/>
    <cellStyle name="Header: bottom row 2" xfId="13" xr:uid="{00000000-0005-0000-0000-00000D000000}"/>
    <cellStyle name="Header: bottom row 3" xfId="21" xr:uid="{00000000-0005-0000-0000-000015000000}"/>
    <cellStyle name="Hyperlink" xfId="1" builtinId="8"/>
    <cellStyle name="Normal" xfId="0" builtinId="0"/>
    <cellStyle name="Normal 2" xfId="9" xr:uid="{00000000-0005-0000-0000-000009000000}"/>
    <cellStyle name="Normal 3" xfId="24" xr:uid="{00000000-0005-0000-0000-000018000000}"/>
    <cellStyle name="Normal 3 2" xfId="26" xr:uid="{00000000-0005-0000-0000-00001A000000}"/>
    <cellStyle name="Normal 4" xfId="17" xr:uid="{00000000-0005-0000-0000-000011000000}"/>
    <cellStyle name="Normal 5" xfId="16" xr:uid="{00000000-0005-0000-0000-000010000000}"/>
    <cellStyle name="Parent row" xfId="6" xr:uid="{00000000-0005-0000-0000-000006000000}"/>
    <cellStyle name="Parent row 2" xfId="12" xr:uid="{00000000-0005-0000-0000-00000C000000}"/>
    <cellStyle name="Parent row 3" xfId="22" xr:uid="{00000000-0005-0000-0000-000016000000}"/>
    <cellStyle name="Percent" xfId="8" builtinId="5"/>
    <cellStyle name="Table title" xfId="4" xr:uid="{00000000-0005-0000-0000-000004000000}"/>
    <cellStyle name="Table title 2" xfId="15" xr:uid="{00000000-0005-0000-0000-00000F000000}"/>
    <cellStyle name="Table title 3" xfId="23"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a:p>
        </c:rich>
      </c:tx>
      <c:overlay val="0"/>
      <c:spPr>
        <a:noFill/>
        <a:ln>
          <a:noFill/>
          <a:prstDash val="solid"/>
        </a:ln>
      </c:spPr>
    </c:title>
    <c:autoTitleDeleted val="0"/>
    <c:plotArea>
      <c:layout/>
      <c:lineChart>
        <c:grouping val="standard"/>
        <c:varyColors val="0"/>
        <c:ser>
          <c:idx val="0"/>
          <c:order val="0"/>
          <c:spPr>
            <a:ln w="28575" cap="rnd">
              <a:solidFill>
                <a:schemeClr val="accent1"/>
              </a:solidFill>
              <a:prstDash val="solid"/>
              <a:round/>
            </a:ln>
          </c:spPr>
          <c:marker>
            <c:symbol val="none"/>
          </c:marker>
          <c:val>
            <c:numRef>
              <c:f>'Solar - Utility PV'!$M$348:$AP$348</c:f>
              <c:numCache>
                <c:formatCode>"$"#,##0</c:formatCode>
                <c:ptCount val="30"/>
                <c:pt idx="0">
                  <c:v>29.91568484364419</c:v>
                </c:pt>
                <c:pt idx="1">
                  <c:v>31.194872757697269</c:v>
                </c:pt>
                <c:pt idx="2">
                  <c:v>21.950175627295788</c:v>
                </c:pt>
                <c:pt idx="3">
                  <c:v>20.634015869000219</c:v>
                </c:pt>
                <c:pt idx="4">
                  <c:v>19.25620535067867</c:v>
                </c:pt>
                <c:pt idx="5">
                  <c:v>17.887292566960369</c:v>
                </c:pt>
                <c:pt idx="6">
                  <c:v>16.52696166265984</c:v>
                </c:pt>
                <c:pt idx="7">
                  <c:v>15.174880145036481</c:v>
                </c:pt>
                <c:pt idx="8">
                  <c:v>13.8306956753626</c:v>
                </c:pt>
                <c:pt idx="9">
                  <c:v>12.494032288839961</c:v>
                </c:pt>
                <c:pt idx="10">
                  <c:v>11.164485909883901</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c:v>
                </c:pt>
                <c:pt idx="20">
                  <c:v>3.4805466758753769</c:v>
                </c:pt>
                <c:pt idx="21">
                  <c:v>3.077311442604</c:v>
                </c:pt>
                <c:pt idx="22">
                  <c:v>2.6743914241394928</c:v>
                </c:pt>
                <c:pt idx="23">
                  <c:v>7.1915153851544034</c:v>
                </c:pt>
                <c:pt idx="24">
                  <c:v>11.60844930000799</c:v>
                </c:pt>
                <c:pt idx="25">
                  <c:v>20.402096514353239</c:v>
                </c:pt>
                <c:pt idx="26">
                  <c:v>20.027982250968261</c:v>
                </c:pt>
                <c:pt idx="27">
                  <c:v>19.654818492904049</c:v>
                </c:pt>
                <c:pt idx="28">
                  <c:v>19.282601636746261</c:v>
                </c:pt>
                <c:pt idx="29">
                  <c:v>18.911328097851541</c:v>
                </c:pt>
              </c:numCache>
            </c:numRef>
          </c:val>
          <c:smooth val="0"/>
          <c:extLst>
            <c:ext xmlns:c16="http://schemas.microsoft.com/office/drawing/2014/chart" uri="{C3380CC4-5D6E-409C-BE32-E72D297353CC}">
              <c16:uniqueId val="{00000000-7536-418C-980B-30A2B15C7DB1}"/>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prstDash val="solid"/>
              <a:round/>
            </a:ln>
          </c:spPr>
        </c:majorGridlines>
        <c:numFmt formatCode="&quot;$&quot;#,##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28575</xdr:colOff>
      <xdr:row>24</xdr:row>
      <xdr:rowOff>123825</xdr:rowOff>
    </xdr:from>
    <xdr:ext cx="3924300" cy="2562225"/>
    <xdr:pic>
      <xdr:nvPicPr>
        <xdr:cNvPr id="2" name="image2.png" title="Image">
          <a:extLst>
            <a:ext uri="{FF2B5EF4-FFF2-40B4-BE49-F238E27FC236}">
              <a16:creationId xmlns:a16="http://schemas.microsoft.com/office/drawing/2014/main" id="{6D00E9CA-DAEF-4CA7-961B-2AD68977FDB0}"/>
            </a:ext>
          </a:extLst>
        </xdr:cNvPr>
        <xdr:cNvPicPr preferRelativeResize="0"/>
      </xdr:nvPicPr>
      <xdr:blipFill>
        <a:blip xmlns:r="http://schemas.openxmlformats.org/officeDocument/2006/relationships" r:embed="rId1" cstate="print"/>
        <a:stretch>
          <a:fillRect/>
        </a:stretch>
      </xdr:blipFill>
      <xdr:spPr>
        <a:xfrm>
          <a:off x="28575" y="7834313"/>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5" Type="http://schemas.openxmlformats.org/officeDocument/2006/relationships/drawing" Target="../drawings/drawing2.xml"/><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www.nrel.gov/docs/fy19osti/72201.pdf" TargetMode="External"/><Relationship Id="rId2" Type="http://schemas.openxmlformats.org/officeDocument/2006/relationships/hyperlink" Target="https://doi.org/10.1016/j.energy.2021.120044"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sam.nrel.gov/"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23osti/84774.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jct.gov/publications.html?func=download&amp;id=4663&amp;chk=4663&amp;no_html=1" TargetMode="External"/><Relationship Id="rId2" Type="http://schemas.openxmlformats.org/officeDocument/2006/relationships/hyperlink" Target="http://programs.dsireusa.org/system/program/detail/734" TargetMode="External"/><Relationship Id="rId1" Type="http://schemas.openxmlformats.org/officeDocument/2006/relationships/hyperlink" Target="https://www.jct.gov/publications.html?func=download&amp;id=4663&amp;chk=4663&amp;no_html=1" TargetMode="External"/><Relationship Id="rId5" Type="http://schemas.openxmlformats.org/officeDocument/2006/relationships/hyperlink" Target="http://www.treasury.gov/open/Documents/USA%20FFSR%20progress%20report%20to%20G20%202014%20Final.pdf" TargetMode="External"/><Relationship Id="rId4" Type="http://schemas.openxmlformats.org/officeDocument/2006/relationships/hyperlink" Target="http://programs.dsireusa.org/system/program/detail/6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
  <sheetViews>
    <sheetView tabSelected="1" topLeftCell="A40" workbookViewId="0">
      <selection activeCell="B43" sqref="B43"/>
    </sheetView>
  </sheetViews>
  <sheetFormatPr defaultColWidth="9.28515625" defaultRowHeight="15" x14ac:dyDescent="0.25"/>
  <cols>
    <col min="2" max="2" width="83.28515625" customWidth="1"/>
  </cols>
  <sheetData>
    <row r="1" spans="1:2" x14ac:dyDescent="0.25">
      <c r="A1" s="1" t="s">
        <v>0</v>
      </c>
    </row>
    <row r="2" spans="1:2" x14ac:dyDescent="0.25">
      <c r="A2" s="1" t="s">
        <v>1</v>
      </c>
    </row>
    <row r="3" spans="1:2" x14ac:dyDescent="0.25">
      <c r="A3" s="1" t="s">
        <v>2</v>
      </c>
    </row>
    <row r="4" spans="1:2" x14ac:dyDescent="0.25">
      <c r="A4" s="1" t="s">
        <v>3</v>
      </c>
    </row>
    <row r="5" spans="1:2" x14ac:dyDescent="0.25">
      <c r="A5" s="1" t="s">
        <v>4</v>
      </c>
    </row>
    <row r="7" spans="1:2" x14ac:dyDescent="0.25">
      <c r="A7" s="1" t="s">
        <v>5</v>
      </c>
      <c r="B7" s="27" t="s">
        <v>6</v>
      </c>
    </row>
    <row r="8" spans="1:2" x14ac:dyDescent="0.25">
      <c r="B8" t="s">
        <v>7</v>
      </c>
    </row>
    <row r="9" spans="1:2" x14ac:dyDescent="0.25">
      <c r="B9" s="2">
        <v>2014</v>
      </c>
    </row>
    <row r="10" spans="1:2" x14ac:dyDescent="0.25">
      <c r="B10" t="s">
        <v>8</v>
      </c>
    </row>
    <row r="11" spans="1:2" x14ac:dyDescent="0.25">
      <c r="B11" s="17" t="s">
        <v>9</v>
      </c>
    </row>
    <row r="12" spans="1:2" x14ac:dyDescent="0.25">
      <c r="B12" t="s">
        <v>10</v>
      </c>
    </row>
    <row r="14" spans="1:2" x14ac:dyDescent="0.25">
      <c r="B14" s="27" t="s">
        <v>11</v>
      </c>
    </row>
    <row r="15" spans="1:2" x14ac:dyDescent="0.25">
      <c r="B15" t="s">
        <v>12</v>
      </c>
    </row>
    <row r="16" spans="1:2" x14ac:dyDescent="0.25">
      <c r="B16" s="2">
        <v>2015</v>
      </c>
    </row>
    <row r="17" spans="2:2" x14ac:dyDescent="0.25">
      <c r="B17" t="s">
        <v>13</v>
      </c>
    </row>
    <row r="18" spans="2:2" x14ac:dyDescent="0.25">
      <c r="B18" s="17" t="s">
        <v>14</v>
      </c>
    </row>
    <row r="20" spans="2:2" x14ac:dyDescent="0.25">
      <c r="B20" s="27" t="s">
        <v>15</v>
      </c>
    </row>
    <row r="21" spans="2:2" x14ac:dyDescent="0.25">
      <c r="B21" t="s">
        <v>16</v>
      </c>
    </row>
    <row r="22" spans="2:2" x14ac:dyDescent="0.25">
      <c r="B22" s="2">
        <v>2020</v>
      </c>
    </row>
    <row r="23" spans="2:2" x14ac:dyDescent="0.25">
      <c r="B23" t="s">
        <v>17</v>
      </c>
    </row>
    <row r="24" spans="2:2" x14ac:dyDescent="0.25">
      <c r="B24" s="17" t="s">
        <v>18</v>
      </c>
    </row>
    <row r="26" spans="2:2" x14ac:dyDescent="0.25">
      <c r="B26" s="27" t="s">
        <v>19</v>
      </c>
    </row>
    <row r="27" spans="2:2" x14ac:dyDescent="0.25">
      <c r="B27" t="s">
        <v>20</v>
      </c>
    </row>
    <row r="28" spans="2:2" x14ac:dyDescent="0.25">
      <c r="B28" s="2">
        <v>2015</v>
      </c>
    </row>
    <row r="29" spans="2:2" x14ac:dyDescent="0.25">
      <c r="B29" t="s">
        <v>21</v>
      </c>
    </row>
    <row r="30" spans="2:2" x14ac:dyDescent="0.25">
      <c r="B30" s="17" t="s">
        <v>22</v>
      </c>
    </row>
    <row r="32" spans="2:2" x14ac:dyDescent="0.25">
      <c r="B32" s="27" t="s">
        <v>23</v>
      </c>
    </row>
    <row r="33" spans="2:2" x14ac:dyDescent="0.25">
      <c r="B33" t="s">
        <v>24</v>
      </c>
    </row>
    <row r="34" spans="2:2" x14ac:dyDescent="0.25">
      <c r="B34" s="2">
        <v>2015</v>
      </c>
    </row>
    <row r="35" spans="2:2" x14ac:dyDescent="0.25">
      <c r="B35" t="s">
        <v>25</v>
      </c>
    </row>
    <row r="36" spans="2:2" x14ac:dyDescent="0.25">
      <c r="B36" s="17" t="s">
        <v>26</v>
      </c>
    </row>
    <row r="37" spans="2:2" x14ac:dyDescent="0.25">
      <c r="B37" t="s">
        <v>27</v>
      </c>
    </row>
    <row r="39" spans="2:2" x14ac:dyDescent="0.25">
      <c r="B39" s="27" t="s">
        <v>28</v>
      </c>
    </row>
    <row r="40" spans="2:2" x14ac:dyDescent="0.25">
      <c r="B40" t="s">
        <v>29</v>
      </c>
    </row>
    <row r="41" spans="2:2" x14ac:dyDescent="0.25">
      <c r="B41" s="2" t="s">
        <v>1813</v>
      </c>
    </row>
    <row r="42" spans="2:2" x14ac:dyDescent="0.25">
      <c r="B42" t="s">
        <v>1814</v>
      </c>
    </row>
    <row r="43" spans="2:2" x14ac:dyDescent="0.25">
      <c r="B43" s="17" t="s">
        <v>30</v>
      </c>
    </row>
    <row r="44" spans="2:2" x14ac:dyDescent="0.25">
      <c r="B44" t="s">
        <v>31</v>
      </c>
    </row>
    <row r="46" spans="2:2" x14ac:dyDescent="0.25">
      <c r="B46" s="27" t="s">
        <v>32</v>
      </c>
    </row>
    <row r="47" spans="2:2" x14ac:dyDescent="0.25">
      <c r="B47" t="s">
        <v>33</v>
      </c>
    </row>
    <row r="48" spans="2:2" x14ac:dyDescent="0.25">
      <c r="B48" s="2">
        <v>2020</v>
      </c>
    </row>
    <row r="49" spans="1:2" x14ac:dyDescent="0.25">
      <c r="B49" t="s">
        <v>34</v>
      </c>
    </row>
    <row r="50" spans="1:2" x14ac:dyDescent="0.25">
      <c r="B50" s="17" t="s">
        <v>35</v>
      </c>
    </row>
    <row r="52" spans="1:2" x14ac:dyDescent="0.25">
      <c r="B52" s="27" t="s">
        <v>36</v>
      </c>
    </row>
    <row r="53" spans="1:2" x14ac:dyDescent="0.25">
      <c r="B53" t="s">
        <v>37</v>
      </c>
    </row>
    <row r="54" spans="1:2" x14ac:dyDescent="0.25">
      <c r="B54" s="2">
        <v>2020</v>
      </c>
    </row>
    <row r="55" spans="1:2" x14ac:dyDescent="0.25">
      <c r="B55" t="s">
        <v>38</v>
      </c>
    </row>
    <row r="56" spans="1:2" x14ac:dyDescent="0.25">
      <c r="B56" t="s">
        <v>39</v>
      </c>
    </row>
    <row r="57" spans="1:2" x14ac:dyDescent="0.25">
      <c r="B57" t="s">
        <v>40</v>
      </c>
    </row>
    <row r="60" spans="1:2" x14ac:dyDescent="0.25">
      <c r="A60" s="1" t="s">
        <v>41</v>
      </c>
    </row>
    <row r="61" spans="1:2" x14ac:dyDescent="0.25">
      <c r="A61" t="s">
        <v>42</v>
      </c>
    </row>
    <row r="62" spans="1:2" x14ac:dyDescent="0.25">
      <c r="A62" t="s">
        <v>43</v>
      </c>
    </row>
    <row r="63" spans="1:2" x14ac:dyDescent="0.25">
      <c r="A63" s="1"/>
    </row>
    <row r="64" spans="1:2" x14ac:dyDescent="0.25">
      <c r="A64" t="s">
        <v>1819</v>
      </c>
    </row>
    <row r="65" spans="1:1" x14ac:dyDescent="0.25">
      <c r="A65" t="s">
        <v>1820</v>
      </c>
    </row>
    <row r="66" spans="1:1" x14ac:dyDescent="0.25">
      <c r="A66" t="s">
        <v>1821</v>
      </c>
    </row>
    <row r="67" spans="1:1" x14ac:dyDescent="0.25">
      <c r="A67" t="s">
        <v>1822</v>
      </c>
    </row>
    <row r="68" spans="1:1" x14ac:dyDescent="0.25">
      <c r="A68" t="s">
        <v>1823</v>
      </c>
    </row>
    <row r="69" spans="1:1" x14ac:dyDescent="0.25">
      <c r="A69" s="1"/>
    </row>
    <row r="70" spans="1:1" x14ac:dyDescent="0.25">
      <c r="A70" t="s">
        <v>44</v>
      </c>
    </row>
    <row r="71" spans="1:1" x14ac:dyDescent="0.25">
      <c r="A71" t="s">
        <v>45</v>
      </c>
    </row>
    <row r="73" spans="1:1" x14ac:dyDescent="0.25">
      <c r="A73" t="s">
        <v>46</v>
      </c>
    </row>
    <row r="74" spans="1:1" x14ac:dyDescent="0.25">
      <c r="A74" t="s">
        <v>47</v>
      </c>
    </row>
    <row r="75" spans="1:1" x14ac:dyDescent="0.25">
      <c r="A75" t="s">
        <v>48</v>
      </c>
    </row>
    <row r="76" spans="1:1" x14ac:dyDescent="0.25">
      <c r="A76" t="s">
        <v>49</v>
      </c>
    </row>
    <row r="78" spans="1:1" x14ac:dyDescent="0.25">
      <c r="A78" t="s">
        <v>50</v>
      </c>
    </row>
    <row r="79" spans="1:1" x14ac:dyDescent="0.25">
      <c r="A79" t="s">
        <v>51</v>
      </c>
    </row>
    <row r="80" spans="1:1" x14ac:dyDescent="0.25">
      <c r="A80" t="s">
        <v>52</v>
      </c>
    </row>
    <row r="81" spans="1:5" x14ac:dyDescent="0.25">
      <c r="A81" t="s">
        <v>53</v>
      </c>
    </row>
    <row r="82" spans="1:5" x14ac:dyDescent="0.25">
      <c r="A82">
        <v>0.97099999999999997</v>
      </c>
    </row>
    <row r="83" spans="1:5" x14ac:dyDescent="0.25">
      <c r="A83" t="s">
        <v>54</v>
      </c>
    </row>
    <row r="85" spans="1:5" x14ac:dyDescent="0.25">
      <c r="A85" t="s">
        <v>55</v>
      </c>
    </row>
    <row r="86" spans="1:5" x14ac:dyDescent="0.25">
      <c r="A86">
        <v>0.89805481563188172</v>
      </c>
    </row>
    <row r="87" spans="1:5" x14ac:dyDescent="0.25">
      <c r="A87" t="s">
        <v>54</v>
      </c>
    </row>
    <row r="88" spans="1:5" x14ac:dyDescent="0.25">
      <c r="A88">
        <v>0.88711067149387013</v>
      </c>
      <c r="B88" t="s">
        <v>56</v>
      </c>
      <c r="E88" s="19"/>
    </row>
    <row r="89" spans="1:5" x14ac:dyDescent="0.25">
      <c r="A89">
        <v>0.78452102304761584</v>
      </c>
      <c r="B89" t="s">
        <v>57</v>
      </c>
      <c r="E89" s="19"/>
    </row>
    <row r="90" spans="1:5" x14ac:dyDescent="0.25">
      <c r="A90">
        <v>0.75350342301658668</v>
      </c>
      <c r="B90" t="s">
        <v>58</v>
      </c>
    </row>
  </sheetData>
  <hyperlinks>
    <hyperlink ref="B11" r:id="rId1" xr:uid="{00000000-0004-0000-0000-000000000000}"/>
    <hyperlink ref="B50" r:id="rId2" location=":~:text=According%20to%20a%20summary%20shared,would%20have%20under%20existing%20law." xr:uid="{00000000-0004-0000-0000-000001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sheetPr>
  <dimension ref="A1:BV252"/>
  <sheetViews>
    <sheetView zoomScale="70" zoomScaleNormal="70" workbookViewId="0">
      <selection activeCell="I119" sqref="I119"/>
    </sheetView>
  </sheetViews>
  <sheetFormatPr defaultColWidth="12.5703125" defaultRowHeight="15.75" customHeight="1" x14ac:dyDescent="0.2"/>
  <cols>
    <col min="1" max="1" width="30.42578125" style="77" customWidth="1"/>
    <col min="2" max="2" width="15.42578125" style="77" customWidth="1"/>
    <col min="3" max="3" width="11.5703125" style="77" customWidth="1"/>
    <col min="4" max="4" width="40.5703125" style="77" bestFit="1" customWidth="1"/>
    <col min="5" max="5" width="10.42578125" style="77" bestFit="1" customWidth="1"/>
    <col min="6" max="13" width="8.28515625" style="77" bestFit="1" customWidth="1"/>
    <col min="14" max="36" width="7.5703125" style="77" customWidth="1"/>
    <col min="37" max="16384" width="12.5703125" style="77"/>
  </cols>
  <sheetData>
    <row r="1" spans="1:39" ht="12.75" x14ac:dyDescent="0.2">
      <c r="A1" s="75" t="s">
        <v>59</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6"/>
      <c r="AH1" s="76"/>
      <c r="AI1" s="76"/>
      <c r="AJ1" s="76"/>
    </row>
    <row r="2" spans="1:39" ht="305.25" customHeight="1" x14ac:dyDescent="0.2">
      <c r="A2" s="78" t="s">
        <v>60</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row>
    <row r="3" spans="1:39" ht="12.75" x14ac:dyDescent="0.2">
      <c r="A3" s="76"/>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row>
    <row r="4" spans="1:39" ht="12.75" x14ac:dyDescent="0.2">
      <c r="A4" s="75" t="s">
        <v>61</v>
      </c>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row>
    <row r="5" spans="1:39" ht="12.75" x14ac:dyDescent="0.2">
      <c r="A5" s="76" t="s">
        <v>62</v>
      </c>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row>
    <row r="6" spans="1:39" ht="12.75" x14ac:dyDescent="0.2">
      <c r="A6" s="76" t="s">
        <v>63</v>
      </c>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row>
    <row r="7" spans="1:39" ht="12.75" x14ac:dyDescent="0.2">
      <c r="A7" s="76" t="s">
        <v>64</v>
      </c>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row>
    <row r="8" spans="1:39" ht="12.75" x14ac:dyDescent="0.2">
      <c r="A8" s="76">
        <f>1554.4*0.25</f>
        <v>388.6</v>
      </c>
      <c r="B8" s="76" t="s">
        <v>65</v>
      </c>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row>
    <row r="9" spans="1:39" ht="12.75" x14ac:dyDescent="0.2">
      <c r="A9" s="76" t="s">
        <v>66</v>
      </c>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row>
    <row r="10" spans="1:39" ht="12.75" x14ac:dyDescent="0.2">
      <c r="A10" s="76" t="s">
        <v>67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row>
    <row r="11" spans="1:39" ht="12.75"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1:39" ht="12.75" x14ac:dyDescent="0.2">
      <c r="A12" s="76" t="s">
        <v>68</v>
      </c>
      <c r="B12" s="76" t="s">
        <v>69</v>
      </c>
      <c r="C12" s="76" t="s">
        <v>70</v>
      </c>
      <c r="D12" s="76" t="s">
        <v>71</v>
      </c>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row>
    <row r="13" spans="1:39" ht="12.75" x14ac:dyDescent="0.2">
      <c r="A13" s="86">
        <v>1</v>
      </c>
      <c r="B13" s="86">
        <v>0.75</v>
      </c>
      <c r="C13" s="86">
        <v>0.5</v>
      </c>
      <c r="D13" s="86">
        <v>0</v>
      </c>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1:39" ht="12.75" x14ac:dyDescent="0.2">
      <c r="A14" s="86"/>
      <c r="B14" s="86"/>
      <c r="C14" s="86"/>
      <c r="D14" s="86"/>
      <c r="E14" s="76"/>
      <c r="F14" s="76"/>
      <c r="G14" s="76"/>
      <c r="H14" s="76"/>
      <c r="I14" s="76"/>
      <c r="J14" s="76"/>
      <c r="K14" s="76"/>
      <c r="L14" s="76"/>
      <c r="M14" s="76"/>
      <c r="N14" s="76"/>
      <c r="O14" s="76"/>
      <c r="P14" s="76" t="s">
        <v>72</v>
      </c>
      <c r="Q14" s="76" t="s">
        <v>73</v>
      </c>
      <c r="R14" s="76" t="s">
        <v>74</v>
      </c>
      <c r="S14" s="76" t="s">
        <v>75</v>
      </c>
      <c r="U14" s="76"/>
      <c r="V14" s="76"/>
      <c r="W14" s="76"/>
      <c r="X14" s="76"/>
      <c r="Y14" s="76"/>
      <c r="Z14" s="76"/>
      <c r="AA14" s="76"/>
      <c r="AB14" s="76"/>
      <c r="AC14" s="76"/>
      <c r="AD14" s="76"/>
      <c r="AE14" s="76"/>
      <c r="AF14" s="76"/>
      <c r="AG14" s="76"/>
      <c r="AH14" s="76"/>
      <c r="AI14" s="76"/>
      <c r="AJ14" s="76"/>
    </row>
    <row r="15" spans="1:39" ht="12.75" x14ac:dyDescent="0.2">
      <c r="A15" s="352" t="s">
        <v>76</v>
      </c>
      <c r="B15" s="86"/>
      <c r="C15" s="86"/>
      <c r="D15" s="8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1:39" ht="12.75" x14ac:dyDescent="0.2">
      <c r="B16" s="77">
        <v>2019</v>
      </c>
      <c r="C16" s="77">
        <v>2020</v>
      </c>
      <c r="D16" s="338">
        <v>2021</v>
      </c>
      <c r="E16" s="338">
        <v>2022</v>
      </c>
      <c r="F16" s="338">
        <v>2023</v>
      </c>
      <c r="G16" s="338">
        <v>2024</v>
      </c>
      <c r="H16" s="338">
        <v>2025</v>
      </c>
      <c r="I16" s="338">
        <v>2026</v>
      </c>
      <c r="J16" s="338">
        <v>2027</v>
      </c>
      <c r="K16" s="338">
        <v>2028</v>
      </c>
      <c r="L16" s="338">
        <v>2029</v>
      </c>
      <c r="M16" s="338">
        <v>2030</v>
      </c>
      <c r="N16" s="338">
        <v>2031</v>
      </c>
      <c r="O16" s="338">
        <v>2032</v>
      </c>
      <c r="P16" s="338">
        <v>2033</v>
      </c>
      <c r="Q16" s="338">
        <v>2034</v>
      </c>
      <c r="R16" s="338">
        <v>2035</v>
      </c>
      <c r="S16" s="338">
        <v>2036</v>
      </c>
      <c r="T16" s="338">
        <v>2037</v>
      </c>
      <c r="U16" s="338">
        <v>2038</v>
      </c>
      <c r="V16" s="338">
        <v>2039</v>
      </c>
      <c r="W16" s="338">
        <v>2040</v>
      </c>
      <c r="X16" s="338">
        <v>2041</v>
      </c>
      <c r="Y16" s="338">
        <v>2042</v>
      </c>
      <c r="Z16" s="338">
        <v>2043</v>
      </c>
      <c r="AA16" s="338">
        <v>2044</v>
      </c>
      <c r="AB16" s="338">
        <v>2045</v>
      </c>
      <c r="AC16" s="338">
        <v>2046</v>
      </c>
      <c r="AD16" s="338">
        <v>2047</v>
      </c>
      <c r="AE16" s="338">
        <v>2048</v>
      </c>
      <c r="AF16" s="338">
        <v>2049</v>
      </c>
      <c r="AG16" s="338">
        <v>2050</v>
      </c>
      <c r="AH16" s="338"/>
      <c r="AI16" s="338"/>
      <c r="AJ16" s="338"/>
      <c r="AK16" s="338"/>
      <c r="AL16" s="338"/>
      <c r="AM16" s="338"/>
    </row>
    <row r="17" spans="1:53" ht="12.75" x14ac:dyDescent="0.2">
      <c r="A17" s="77" t="s">
        <v>77</v>
      </c>
      <c r="B17" s="86">
        <v>1</v>
      </c>
      <c r="C17" s="86">
        <v>1</v>
      </c>
      <c r="D17" s="86">
        <v>1</v>
      </c>
      <c r="E17" s="86">
        <v>1</v>
      </c>
      <c r="F17" s="86">
        <v>1</v>
      </c>
      <c r="G17" s="86">
        <v>1</v>
      </c>
      <c r="H17" s="86">
        <v>1</v>
      </c>
      <c r="I17" s="86">
        <v>1</v>
      </c>
      <c r="J17" s="86">
        <v>1</v>
      </c>
      <c r="K17" s="86">
        <v>1</v>
      </c>
      <c r="L17" s="86">
        <v>1</v>
      </c>
      <c r="M17" s="86">
        <v>1</v>
      </c>
      <c r="N17" s="86">
        <v>1</v>
      </c>
      <c r="O17" s="86">
        <v>1</v>
      </c>
      <c r="P17" s="86">
        <f>A13</f>
        <v>1</v>
      </c>
      <c r="Q17" s="86">
        <f t="shared" ref="Q17:AG17" si="0">B13</f>
        <v>0.75</v>
      </c>
      <c r="R17" s="86">
        <f t="shared" si="0"/>
        <v>0.5</v>
      </c>
      <c r="S17" s="86">
        <f t="shared" si="0"/>
        <v>0</v>
      </c>
      <c r="T17" s="86">
        <f t="shared" si="0"/>
        <v>0</v>
      </c>
      <c r="U17" s="86">
        <f t="shared" si="0"/>
        <v>0</v>
      </c>
      <c r="V17" s="86">
        <f t="shared" si="0"/>
        <v>0</v>
      </c>
      <c r="W17" s="86">
        <f t="shared" si="0"/>
        <v>0</v>
      </c>
      <c r="X17" s="86">
        <f t="shared" si="0"/>
        <v>0</v>
      </c>
      <c r="Y17" s="86">
        <f t="shared" si="0"/>
        <v>0</v>
      </c>
      <c r="Z17" s="86">
        <f t="shared" si="0"/>
        <v>0</v>
      </c>
      <c r="AA17" s="86">
        <f t="shared" si="0"/>
        <v>0</v>
      </c>
      <c r="AB17" s="86">
        <f t="shared" si="0"/>
        <v>0</v>
      </c>
      <c r="AC17" s="86">
        <f t="shared" si="0"/>
        <v>0</v>
      </c>
      <c r="AD17" s="86">
        <f t="shared" si="0"/>
        <v>0</v>
      </c>
      <c r="AE17" s="86">
        <f t="shared" si="0"/>
        <v>0</v>
      </c>
      <c r="AF17" s="86">
        <f t="shared" si="0"/>
        <v>0</v>
      </c>
      <c r="AG17" s="86">
        <f t="shared" si="0"/>
        <v>0</v>
      </c>
      <c r="AH17" s="86"/>
      <c r="AI17" s="86"/>
      <c r="AJ17" s="86"/>
      <c r="AK17" s="86"/>
      <c r="AL17" s="86"/>
      <c r="AM17" s="86"/>
      <c r="AN17" s="86"/>
      <c r="AO17" s="86"/>
      <c r="AP17" s="86"/>
      <c r="AQ17" s="86"/>
      <c r="AR17" s="86"/>
      <c r="AS17" s="86"/>
      <c r="AT17" s="86"/>
      <c r="AU17" s="86"/>
      <c r="AV17" s="86"/>
      <c r="AW17" s="86"/>
      <c r="AX17" s="86"/>
      <c r="AY17" s="86"/>
      <c r="AZ17" s="86"/>
      <c r="BA17" s="86"/>
    </row>
    <row r="18" spans="1:53" ht="12.75" x14ac:dyDescent="0.2">
      <c r="A18" s="86" t="s">
        <v>78</v>
      </c>
      <c r="B18" s="86">
        <v>1</v>
      </c>
      <c r="C18" s="86">
        <v>1</v>
      </c>
      <c r="D18" s="86">
        <v>1</v>
      </c>
      <c r="E18" s="86">
        <v>1</v>
      </c>
      <c r="F18" s="86">
        <v>1</v>
      </c>
      <c r="G18" s="86">
        <v>1</v>
      </c>
      <c r="H18" s="86">
        <v>0.66700000000000004</v>
      </c>
      <c r="I18" s="86">
        <v>0.33300000000000002</v>
      </c>
      <c r="J18" s="86">
        <v>0</v>
      </c>
      <c r="K18" s="86">
        <v>0</v>
      </c>
      <c r="L18" s="86">
        <v>0</v>
      </c>
      <c r="M18" s="86">
        <v>0</v>
      </c>
      <c r="N18" s="86">
        <v>0</v>
      </c>
      <c r="O18" s="86">
        <v>0</v>
      </c>
      <c r="P18" s="86">
        <v>0</v>
      </c>
      <c r="Q18" s="86">
        <v>0</v>
      </c>
      <c r="R18" s="86">
        <v>0</v>
      </c>
      <c r="S18" s="86">
        <v>0</v>
      </c>
      <c r="T18" s="86">
        <v>0</v>
      </c>
      <c r="U18" s="86">
        <v>0</v>
      </c>
      <c r="V18" s="86">
        <v>0</v>
      </c>
      <c r="W18" s="86">
        <v>0</v>
      </c>
      <c r="X18" s="86">
        <v>0</v>
      </c>
      <c r="Y18" s="86">
        <v>0</v>
      </c>
      <c r="Z18" s="86">
        <v>0</v>
      </c>
      <c r="AA18" s="86">
        <v>0</v>
      </c>
      <c r="AB18" s="86">
        <v>0</v>
      </c>
      <c r="AC18" s="86">
        <v>0</v>
      </c>
      <c r="AD18" s="86">
        <v>0</v>
      </c>
      <c r="AE18" s="86">
        <v>0</v>
      </c>
      <c r="AF18" s="86">
        <v>0</v>
      </c>
      <c r="AG18" s="86">
        <v>0</v>
      </c>
      <c r="AH18" s="86"/>
      <c r="AI18" s="86"/>
      <c r="AJ18" s="86"/>
      <c r="AK18" s="86"/>
      <c r="AL18" s="86"/>
      <c r="AM18" s="86"/>
      <c r="AN18" s="86"/>
      <c r="AO18" s="86"/>
      <c r="AP18" s="86"/>
      <c r="AQ18" s="86"/>
      <c r="AR18" s="86"/>
      <c r="AS18" s="86"/>
      <c r="AT18" s="86"/>
      <c r="AU18" s="86"/>
      <c r="AV18" s="86"/>
      <c r="AW18" s="86"/>
      <c r="AX18" s="86"/>
      <c r="AY18" s="86"/>
      <c r="AZ18" s="86"/>
    </row>
    <row r="19" spans="1:53" ht="12.75" x14ac:dyDescent="0.2">
      <c r="A19" s="86" t="s">
        <v>1817</v>
      </c>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row>
    <row r="20" spans="1:53" ht="12.75" x14ac:dyDescent="0.2">
      <c r="A20" s="76" t="s">
        <v>1818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row>
    <row r="21" spans="1:53" ht="12.75" x14ac:dyDescent="0.2">
      <c r="A21" s="75" t="s">
        <v>79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row>
    <row r="22" spans="1:53" ht="12.75" x14ac:dyDescent="0.2">
      <c r="A22" s="80" t="s">
        <v>80</v>
      </c>
      <c r="B22" s="80"/>
      <c r="C22" s="80"/>
      <c r="D22" s="80"/>
      <c r="E22" s="80"/>
      <c r="F22" s="80"/>
      <c r="G22" s="80"/>
      <c r="H22" s="80"/>
      <c r="I22" s="80"/>
      <c r="J22" s="80"/>
      <c r="K22" s="80"/>
      <c r="L22" s="80"/>
      <c r="M22" s="80"/>
      <c r="N22" s="81"/>
      <c r="O22" s="81"/>
      <c r="P22" s="81"/>
      <c r="Q22" s="81"/>
      <c r="R22" s="81"/>
      <c r="S22" s="81"/>
      <c r="T22" s="81"/>
      <c r="U22" s="81"/>
      <c r="V22" s="81"/>
      <c r="W22" s="81"/>
      <c r="X22" s="81"/>
      <c r="Y22" s="81"/>
      <c r="Z22" s="81"/>
      <c r="AA22" s="81"/>
      <c r="AB22" s="81"/>
      <c r="AC22" s="81"/>
      <c r="AD22" s="81"/>
      <c r="AE22" s="81"/>
      <c r="AF22" s="81"/>
      <c r="AG22" s="81"/>
      <c r="AH22" s="81"/>
      <c r="AI22" s="81"/>
      <c r="AJ22" s="81"/>
    </row>
    <row r="23" spans="1:53" ht="12.75" x14ac:dyDescent="0.2">
      <c r="A23" s="82" t="s">
        <v>81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row>
    <row r="24" spans="1:53" ht="12.75" x14ac:dyDescent="0.2">
      <c r="A24" s="83" t="s">
        <v>82</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row>
    <row r="25" spans="1:53" ht="12.75" x14ac:dyDescent="0.2">
      <c r="A25" s="84"/>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row>
    <row r="26" spans="1:53" ht="12.75" x14ac:dyDescent="0.2">
      <c r="A26" s="84"/>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row>
    <row r="27" spans="1:53" ht="12.75" x14ac:dyDescent="0.2">
      <c r="A27" s="84"/>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row>
    <row r="28" spans="1:53" ht="12.75" x14ac:dyDescent="0.2">
      <c r="A28" s="84"/>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row>
    <row r="29" spans="1:53" ht="12.75" x14ac:dyDescent="0.2">
      <c r="A29" s="84"/>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row>
    <row r="30" spans="1:53" ht="12.75" x14ac:dyDescent="0.2">
      <c r="A30" s="84"/>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row>
    <row r="31" spans="1:53" ht="12.75" x14ac:dyDescent="0.2">
      <c r="A31" s="84"/>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row>
    <row r="32" spans="1:53" ht="12.75" x14ac:dyDescent="0.2">
      <c r="A32" s="84"/>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row>
    <row r="33" spans="1:36" ht="12.75" x14ac:dyDescent="0.2">
      <c r="A33" s="84"/>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row>
    <row r="34" spans="1:36" ht="12.75" x14ac:dyDescent="0.2">
      <c r="A34" s="84"/>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row>
    <row r="35" spans="1:36" ht="12.75" x14ac:dyDescent="0.2">
      <c r="A35" s="84"/>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row>
    <row r="36" spans="1:36" ht="12.75" x14ac:dyDescent="0.2">
      <c r="A36" s="84"/>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row>
    <row r="37" spans="1:36" ht="12.75" x14ac:dyDescent="0.2">
      <c r="A37" s="84"/>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row>
    <row r="38" spans="1:36" ht="12.75" x14ac:dyDescent="0.2">
      <c r="A38" s="84"/>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row>
    <row r="39" spans="1:36" ht="12.75" x14ac:dyDescent="0.2">
      <c r="A39" s="84"/>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row>
    <row r="40" spans="1:36" ht="12.75" x14ac:dyDescent="0.2">
      <c r="A40" s="84"/>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row>
    <row r="41" spans="1:36" ht="12.75" x14ac:dyDescent="0.2">
      <c r="A41" s="84"/>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row>
    <row r="42" spans="1:36" ht="12.75" x14ac:dyDescent="0.2">
      <c r="A42" s="84"/>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row>
    <row r="43" spans="1:36" ht="12.75" x14ac:dyDescent="0.2">
      <c r="A43" s="76" t="s">
        <v>83</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row>
    <row r="44" spans="1:36" ht="12.75" x14ac:dyDescent="0.2">
      <c r="A44" s="76" t="s">
        <v>84</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row>
    <row r="45" spans="1:36" ht="12.75" x14ac:dyDescent="0.2">
      <c r="A45" s="76" t="s">
        <v>85</v>
      </c>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row>
    <row r="46" spans="1:36" ht="12.75" x14ac:dyDescent="0.2">
      <c r="A46" s="76" t="s">
        <v>86</v>
      </c>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row>
    <row r="47" spans="1:36" ht="12.75" x14ac:dyDescent="0.2">
      <c r="A47" s="77" t="s">
        <v>87</v>
      </c>
      <c r="B47" s="85">
        <v>0.127</v>
      </c>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row>
    <row r="48" spans="1:36" ht="12.75" x14ac:dyDescent="0.2">
      <c r="A48" s="77" t="s">
        <v>88</v>
      </c>
      <c r="B48" s="86">
        <f>B47*1.2</f>
        <v>0.15240000000000001</v>
      </c>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row>
    <row r="49" spans="1:36" ht="12.75" x14ac:dyDescent="0.2">
      <c r="A49" s="84"/>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row>
    <row r="50" spans="1:36" ht="12.75" x14ac:dyDescent="0.2">
      <c r="A50" s="84"/>
      <c r="B50" s="84">
        <v>2022</v>
      </c>
      <c r="C50" s="84">
        <v>2023</v>
      </c>
      <c r="D50" s="84">
        <v>2024</v>
      </c>
      <c r="E50" s="84">
        <v>2025</v>
      </c>
      <c r="F50" s="84">
        <v>2026</v>
      </c>
      <c r="G50" s="84">
        <v>2027</v>
      </c>
      <c r="H50" s="84">
        <v>2028</v>
      </c>
      <c r="I50" s="84">
        <v>2029</v>
      </c>
      <c r="J50" s="84">
        <v>2030</v>
      </c>
      <c r="K50" s="84">
        <v>2031</v>
      </c>
      <c r="L50" s="84">
        <v>2032</v>
      </c>
      <c r="M50" s="84">
        <v>2033</v>
      </c>
      <c r="N50" s="84">
        <v>2034</v>
      </c>
      <c r="O50" s="84">
        <v>2035</v>
      </c>
      <c r="P50" s="84">
        <v>2036</v>
      </c>
      <c r="Q50" s="84">
        <v>2037</v>
      </c>
      <c r="R50" s="84">
        <v>2038</v>
      </c>
      <c r="S50" s="84">
        <v>2039</v>
      </c>
      <c r="T50" s="84">
        <v>2040</v>
      </c>
      <c r="U50" s="84">
        <v>2041</v>
      </c>
      <c r="V50" s="84">
        <v>2042</v>
      </c>
      <c r="W50" s="84">
        <v>2043</v>
      </c>
      <c r="X50" s="84">
        <v>2044</v>
      </c>
      <c r="Y50" s="84">
        <v>2045</v>
      </c>
      <c r="Z50" s="84">
        <v>2046</v>
      </c>
      <c r="AA50" s="84">
        <v>2047</v>
      </c>
      <c r="AB50" s="84">
        <v>2048</v>
      </c>
      <c r="AC50" s="84">
        <v>2049</v>
      </c>
      <c r="AD50" s="84">
        <v>2050</v>
      </c>
      <c r="AE50" s="76"/>
      <c r="AF50" s="76"/>
      <c r="AG50" s="76"/>
      <c r="AH50" s="76"/>
      <c r="AI50" s="76"/>
      <c r="AJ50" s="76"/>
    </row>
    <row r="51" spans="1:36" ht="25.5" x14ac:dyDescent="0.2">
      <c r="A51" s="87" t="s">
        <v>89</v>
      </c>
      <c r="B51" s="85">
        <v>0</v>
      </c>
      <c r="C51" s="85">
        <v>0.05</v>
      </c>
      <c r="D51" s="85">
        <v>0.1</v>
      </c>
      <c r="E51" s="85">
        <v>0.15</v>
      </c>
      <c r="F51" s="85">
        <v>0.15</v>
      </c>
      <c r="G51" s="85">
        <v>0.15</v>
      </c>
      <c r="H51" s="85">
        <v>0.15</v>
      </c>
      <c r="I51" s="85">
        <v>0.15</v>
      </c>
      <c r="J51" s="85">
        <v>0.15</v>
      </c>
      <c r="K51" s="85">
        <v>0.15</v>
      </c>
      <c r="L51" s="85">
        <v>0.15</v>
      </c>
      <c r="M51" s="85">
        <v>0.15</v>
      </c>
      <c r="N51" s="85">
        <v>0.15</v>
      </c>
      <c r="O51" s="85">
        <v>0.15</v>
      </c>
      <c r="P51" s="85">
        <v>0.15</v>
      </c>
      <c r="Q51" s="85">
        <v>0.15</v>
      </c>
      <c r="R51" s="85">
        <v>0.15</v>
      </c>
      <c r="S51" s="85">
        <v>0.15</v>
      </c>
      <c r="T51" s="85">
        <v>0.15</v>
      </c>
      <c r="U51" s="85">
        <v>0.15</v>
      </c>
      <c r="V51" s="85">
        <v>0.15</v>
      </c>
      <c r="W51" s="85">
        <v>0.15</v>
      </c>
      <c r="X51" s="85">
        <v>0.15</v>
      </c>
      <c r="Y51" s="85">
        <v>0.15</v>
      </c>
      <c r="Z51" s="85">
        <v>0.15</v>
      </c>
      <c r="AA51" s="85">
        <v>0.15</v>
      </c>
      <c r="AB51" s="85">
        <v>0.15</v>
      </c>
      <c r="AC51" s="85">
        <v>0.15</v>
      </c>
      <c r="AD51" s="85">
        <v>0.15</v>
      </c>
      <c r="AE51" s="85"/>
      <c r="AF51" s="85"/>
      <c r="AG51" s="76"/>
      <c r="AH51" s="76"/>
      <c r="AI51" s="76"/>
      <c r="AJ51" s="76"/>
    </row>
    <row r="52" spans="1:36" ht="12.75" x14ac:dyDescent="0.2">
      <c r="A52" s="87" t="s">
        <v>90</v>
      </c>
      <c r="B52" s="85">
        <f>B51</f>
        <v>0</v>
      </c>
      <c r="C52" s="85">
        <v>1</v>
      </c>
      <c r="D52" s="85">
        <v>1</v>
      </c>
      <c r="E52" s="85">
        <v>1</v>
      </c>
      <c r="F52" s="85">
        <v>1</v>
      </c>
      <c r="G52" s="85">
        <v>1</v>
      </c>
      <c r="H52" s="85">
        <v>1</v>
      </c>
      <c r="I52" s="85">
        <v>1</v>
      </c>
      <c r="J52" s="85">
        <v>1</v>
      </c>
      <c r="K52" s="85">
        <v>1</v>
      </c>
      <c r="L52" s="85">
        <v>1</v>
      </c>
      <c r="M52" s="85">
        <v>1</v>
      </c>
      <c r="N52" s="85">
        <v>1</v>
      </c>
      <c r="O52" s="85">
        <v>1</v>
      </c>
      <c r="P52" s="85">
        <v>1</v>
      </c>
      <c r="Q52" s="85">
        <v>1</v>
      </c>
      <c r="R52" s="85">
        <v>1</v>
      </c>
      <c r="S52" s="85">
        <v>1</v>
      </c>
      <c r="T52" s="85">
        <v>1</v>
      </c>
      <c r="U52" s="85">
        <v>1</v>
      </c>
      <c r="V52" s="85">
        <v>1</v>
      </c>
      <c r="W52" s="85">
        <v>1</v>
      </c>
      <c r="X52" s="85">
        <v>1</v>
      </c>
      <c r="Y52" s="85">
        <v>1</v>
      </c>
      <c r="Z52" s="85">
        <v>1</v>
      </c>
      <c r="AA52" s="85">
        <v>1</v>
      </c>
      <c r="AB52" s="85">
        <v>1</v>
      </c>
      <c r="AC52" s="85">
        <v>1</v>
      </c>
      <c r="AD52" s="85">
        <v>1</v>
      </c>
      <c r="AE52" s="85"/>
      <c r="AF52" s="85"/>
      <c r="AG52" s="76"/>
      <c r="AH52" s="76"/>
      <c r="AI52" s="76"/>
      <c r="AJ52" s="76"/>
    </row>
    <row r="53" spans="1:36" ht="12.75" x14ac:dyDescent="0.2">
      <c r="A53" s="84"/>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row>
    <row r="54" spans="1:36" ht="12.75" x14ac:dyDescent="0.2">
      <c r="A54" s="80" t="s">
        <v>91</v>
      </c>
      <c r="B54" s="80"/>
      <c r="C54" s="80"/>
      <c r="D54" s="80"/>
      <c r="E54" s="80"/>
      <c r="F54" s="80"/>
      <c r="G54" s="80"/>
      <c r="H54" s="80"/>
      <c r="I54" s="80"/>
      <c r="J54" s="80"/>
      <c r="K54" s="80"/>
      <c r="L54" s="80"/>
      <c r="M54" s="80"/>
      <c r="N54" s="81"/>
      <c r="O54" s="81"/>
      <c r="P54" s="81"/>
      <c r="Q54" s="81"/>
      <c r="R54" s="81"/>
      <c r="S54" s="81"/>
      <c r="T54" s="81"/>
      <c r="U54" s="81"/>
      <c r="V54" s="81"/>
      <c r="W54" s="81"/>
      <c r="X54" s="81"/>
      <c r="Y54" s="81"/>
      <c r="Z54" s="81"/>
      <c r="AA54" s="81"/>
      <c r="AB54" s="81"/>
      <c r="AC54" s="81"/>
      <c r="AD54" s="81"/>
      <c r="AE54" s="81"/>
      <c r="AF54" s="81"/>
      <c r="AG54" s="81"/>
      <c r="AH54" s="81"/>
      <c r="AI54" s="81"/>
      <c r="AJ54" s="81"/>
    </row>
    <row r="55" spans="1:36" ht="12.75" x14ac:dyDescent="0.2">
      <c r="A55" s="76" t="s">
        <v>92</v>
      </c>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row>
    <row r="56" spans="1:36" ht="12.75" x14ac:dyDescent="0.2">
      <c r="A56" s="88" t="s">
        <v>1815</v>
      </c>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row>
    <row r="57" spans="1:36" ht="12.75" x14ac:dyDescent="0.2">
      <c r="A57" s="84"/>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row>
    <row r="58" spans="1:36" ht="12.75" x14ac:dyDescent="0.2">
      <c r="A58" s="89" t="s">
        <v>93</v>
      </c>
      <c r="B58" s="90" t="s">
        <v>94</v>
      </c>
      <c r="C58" s="76"/>
      <c r="D58" s="89" t="s">
        <v>95</v>
      </c>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row>
    <row r="59" spans="1:36" ht="12.75" x14ac:dyDescent="0.2">
      <c r="A59" s="91" t="s">
        <v>96</v>
      </c>
      <c r="B59" s="92" t="s">
        <v>97</v>
      </c>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row>
    <row r="60" spans="1:36" ht="12.75" x14ac:dyDescent="0.2">
      <c r="A60" s="93" t="s">
        <v>98</v>
      </c>
      <c r="B60" s="94">
        <v>0.41199999999999998</v>
      </c>
      <c r="C60" s="95"/>
      <c r="D60" s="95">
        <v>0.11</v>
      </c>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row>
    <row r="61" spans="1:36" ht="12.75" x14ac:dyDescent="0.2">
      <c r="A61" s="93" t="s">
        <v>99</v>
      </c>
      <c r="B61" s="94">
        <v>0.13200000000000001</v>
      </c>
      <c r="C61" s="95"/>
      <c r="D61" s="95">
        <v>0.37</v>
      </c>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row>
    <row r="62" spans="1:36" ht="12.75" x14ac:dyDescent="0.2">
      <c r="A62" s="93" t="s">
        <v>100</v>
      </c>
      <c r="B62" s="94">
        <v>0.114</v>
      </c>
      <c r="C62" s="95"/>
      <c r="D62" s="95">
        <v>0.15</v>
      </c>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row>
    <row r="63" spans="1:36" ht="12.75" x14ac:dyDescent="0.2">
      <c r="A63" s="93" t="s">
        <v>101</v>
      </c>
      <c r="B63" s="94">
        <v>7.0000000000000007E-2</v>
      </c>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row>
    <row r="64" spans="1:36" ht="12.75" x14ac:dyDescent="0.2">
      <c r="A64" s="93" t="s">
        <v>102</v>
      </c>
      <c r="B64" s="94">
        <v>8.7999999999999995E-2</v>
      </c>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row>
    <row r="65" spans="1:36" ht="12.75" x14ac:dyDescent="0.2">
      <c r="A65" s="93" t="s">
        <v>103</v>
      </c>
      <c r="B65" s="94">
        <v>5.2999999999999999E-2</v>
      </c>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row>
    <row r="66" spans="1:36" ht="12.75" x14ac:dyDescent="0.2">
      <c r="A66" s="93" t="s">
        <v>104</v>
      </c>
      <c r="B66" s="94">
        <v>4.3999999999999997E-2</v>
      </c>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row>
    <row r="67" spans="1:36" ht="12.75" x14ac:dyDescent="0.2">
      <c r="A67" s="93" t="s">
        <v>105</v>
      </c>
      <c r="B67" s="94">
        <v>1.7999999999999999E-2</v>
      </c>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row>
    <row r="68" spans="1:36" ht="12.75" x14ac:dyDescent="0.2">
      <c r="A68" s="93" t="s">
        <v>106</v>
      </c>
      <c r="B68" s="94">
        <v>2.5999999999999999E-2</v>
      </c>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row>
    <row r="69" spans="1:36" ht="12.75" x14ac:dyDescent="0.2">
      <c r="A69" s="96" t="s">
        <v>107</v>
      </c>
      <c r="B69" s="97">
        <v>4.3999999999999997E-2</v>
      </c>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row>
    <row r="70" spans="1:36" ht="12.75" x14ac:dyDescent="0.2">
      <c r="A70" s="84"/>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row>
    <row r="71" spans="1:36" ht="12.75" x14ac:dyDescent="0.2">
      <c r="A71" s="76" t="s">
        <v>108</v>
      </c>
      <c r="B71" s="95">
        <f>SUMPRODUCT(B60:B62,D60:D62)/SUM(B60:B62)</f>
        <v>0.16908814589665652</v>
      </c>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row>
    <row r="72" spans="1:36" ht="12.75" x14ac:dyDescent="0.2">
      <c r="A72" s="76" t="s">
        <v>109</v>
      </c>
      <c r="B72" s="95">
        <f>AVERAGE(H80,B71)</f>
        <v>0.3595440729483283</v>
      </c>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row>
    <row r="73" spans="1:36" ht="12.75" x14ac:dyDescent="0.2">
      <c r="A73" s="76"/>
      <c r="B73" s="95"/>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row>
    <row r="74" spans="1:36" ht="12.75" x14ac:dyDescent="0.2">
      <c r="A74" s="76"/>
      <c r="B74" s="84">
        <v>2022</v>
      </c>
      <c r="C74" s="84">
        <v>2023</v>
      </c>
      <c r="D74" s="84">
        <v>2024</v>
      </c>
      <c r="E74" s="84">
        <v>2025</v>
      </c>
      <c r="F74" s="84">
        <v>2026</v>
      </c>
      <c r="G74" s="84">
        <v>2027</v>
      </c>
      <c r="H74" s="84">
        <v>2028</v>
      </c>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row>
    <row r="75" spans="1:36" ht="12.75" x14ac:dyDescent="0.2">
      <c r="A75" s="78" t="s">
        <v>110</v>
      </c>
      <c r="B75" s="95">
        <f>B71</f>
        <v>0.16908814589665652</v>
      </c>
      <c r="C75" s="95">
        <f>B75</f>
        <v>0.16908814589665652</v>
      </c>
      <c r="D75" s="95">
        <f t="shared" ref="D75:G75" si="1">($H$75-$B$75)/5+C75</f>
        <v>0.20717933130699087</v>
      </c>
      <c r="E75" s="95">
        <f t="shared" si="1"/>
        <v>0.24527051671732522</v>
      </c>
      <c r="F75" s="95">
        <f t="shared" si="1"/>
        <v>0.2833617021276596</v>
      </c>
      <c r="G75" s="95">
        <f t="shared" si="1"/>
        <v>0.32145288753799395</v>
      </c>
      <c r="H75" s="95">
        <f>AVERAGE(B75,H80)</f>
        <v>0.3595440729483283</v>
      </c>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row>
    <row r="76" spans="1:36" ht="12.75" x14ac:dyDescent="0.2">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6"/>
      <c r="AG76" s="76"/>
      <c r="AH76" s="76"/>
      <c r="AI76" s="76"/>
      <c r="AJ76" s="76"/>
    </row>
    <row r="77" spans="1:36" ht="63.75" x14ac:dyDescent="0.2">
      <c r="A77" s="78" t="s">
        <v>111</v>
      </c>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6"/>
      <c r="AG77" s="76"/>
      <c r="AH77" s="76"/>
      <c r="AI77" s="76"/>
      <c r="AJ77" s="76"/>
    </row>
    <row r="78" spans="1:36" ht="12.75" x14ac:dyDescent="0.2">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84"/>
      <c r="AG78" s="84"/>
      <c r="AH78" s="84"/>
      <c r="AI78" s="84"/>
      <c r="AJ78" s="84"/>
    </row>
    <row r="79" spans="1:36" s="98" customFormat="1" ht="12.75" x14ac:dyDescent="0.2">
      <c r="A79" s="87"/>
      <c r="B79" s="87">
        <v>2022</v>
      </c>
      <c r="C79" s="87">
        <v>2023</v>
      </c>
      <c r="D79" s="87">
        <v>2024</v>
      </c>
      <c r="E79" s="87">
        <v>2025</v>
      </c>
      <c r="F79" s="87">
        <v>2026</v>
      </c>
      <c r="G79" s="87">
        <v>2027</v>
      </c>
      <c r="H79" s="87">
        <v>2028</v>
      </c>
      <c r="I79" s="87">
        <v>2029</v>
      </c>
      <c r="J79" s="87">
        <v>2030</v>
      </c>
      <c r="K79" s="87">
        <v>2031</v>
      </c>
      <c r="L79" s="87">
        <v>2032</v>
      </c>
      <c r="M79" s="87">
        <v>2033</v>
      </c>
      <c r="N79" s="87">
        <v>2034</v>
      </c>
      <c r="O79" s="87">
        <v>2035</v>
      </c>
      <c r="P79" s="87">
        <v>2036</v>
      </c>
      <c r="Q79" s="87">
        <v>2037</v>
      </c>
      <c r="R79" s="87">
        <v>2038</v>
      </c>
      <c r="S79" s="87">
        <v>2039</v>
      </c>
      <c r="T79" s="87">
        <v>2040</v>
      </c>
      <c r="U79" s="87">
        <v>2041</v>
      </c>
      <c r="V79" s="87">
        <v>2042</v>
      </c>
      <c r="W79" s="87">
        <v>2043</v>
      </c>
      <c r="X79" s="87">
        <v>2044</v>
      </c>
      <c r="Y79" s="87">
        <v>2045</v>
      </c>
      <c r="Z79" s="87">
        <v>2046</v>
      </c>
      <c r="AA79" s="87">
        <v>2047</v>
      </c>
      <c r="AB79" s="87">
        <v>2048</v>
      </c>
      <c r="AC79" s="87">
        <v>2049</v>
      </c>
      <c r="AD79" s="87">
        <v>2050</v>
      </c>
      <c r="AE79" s="87"/>
      <c r="AF79" s="84"/>
      <c r="AG79" s="84"/>
      <c r="AH79" s="84"/>
      <c r="AI79" s="84"/>
      <c r="AJ79" s="84"/>
    </row>
    <row r="80" spans="1:36" ht="12.75" x14ac:dyDescent="0.2">
      <c r="A80" s="95" t="s">
        <v>112</v>
      </c>
      <c r="B80" s="99">
        <v>0.4</v>
      </c>
      <c r="C80" s="99">
        <v>0.4</v>
      </c>
      <c r="D80" s="99">
        <v>0.4</v>
      </c>
      <c r="E80" s="99">
        <v>0.4</v>
      </c>
      <c r="F80" s="99">
        <v>0.45</v>
      </c>
      <c r="G80" s="99">
        <v>0.5</v>
      </c>
      <c r="H80" s="99">
        <v>0.55000000000000004</v>
      </c>
      <c r="I80" s="99">
        <v>0.55000000000000004</v>
      </c>
      <c r="J80" s="99">
        <v>0.55000000000000004</v>
      </c>
      <c r="K80" s="99">
        <v>0.55000000000000004</v>
      </c>
      <c r="L80" s="99">
        <v>0.55000000000000004</v>
      </c>
      <c r="M80" s="99">
        <v>0.55000000000000004</v>
      </c>
      <c r="N80" s="99">
        <v>0.55000000000000004</v>
      </c>
      <c r="O80" s="99">
        <v>0.55000000000000004</v>
      </c>
      <c r="P80" s="99">
        <v>0.55000000000000004</v>
      </c>
      <c r="Q80" s="99">
        <v>0.55000000000000004</v>
      </c>
      <c r="R80" s="99">
        <v>0.55000000000000004</v>
      </c>
      <c r="S80" s="99">
        <v>0.55000000000000004</v>
      </c>
      <c r="T80" s="99">
        <v>0.55000000000000004</v>
      </c>
      <c r="U80" s="99">
        <v>0.55000000000000004</v>
      </c>
      <c r="V80" s="99">
        <v>0.55000000000000004</v>
      </c>
      <c r="W80" s="99">
        <v>0.55000000000000004</v>
      </c>
      <c r="X80" s="99">
        <v>0.55000000000000004</v>
      </c>
      <c r="Y80" s="99">
        <v>0.55000000000000004</v>
      </c>
      <c r="Z80" s="99">
        <v>0.55000000000000004</v>
      </c>
      <c r="AA80" s="99">
        <v>0.55000000000000004</v>
      </c>
      <c r="AB80" s="99">
        <v>0.55000000000000004</v>
      </c>
      <c r="AC80" s="99">
        <v>0.55000000000000004</v>
      </c>
      <c r="AD80" s="99">
        <v>0.55000000000000004</v>
      </c>
      <c r="AE80" s="95"/>
      <c r="AF80" s="95"/>
      <c r="AG80" s="95"/>
      <c r="AH80" s="95"/>
      <c r="AI80" s="95"/>
      <c r="AJ80" s="95"/>
    </row>
    <row r="81" spans="1:36" ht="12.75" x14ac:dyDescent="0.2">
      <c r="A81" s="95" t="s">
        <v>113</v>
      </c>
      <c r="B81" s="99">
        <f>B71</f>
        <v>0.16908814589665652</v>
      </c>
      <c r="C81" s="99">
        <f>($H$81-$B$81)/COUNT($C$79:$H$79)+B81</f>
        <v>0.20083080040526849</v>
      </c>
      <c r="D81" s="99">
        <f t="shared" ref="D81:G81" si="2">($H$81-$B$81)/COUNT($C$79:$H$79)+C81</f>
        <v>0.23257345491388046</v>
      </c>
      <c r="E81" s="99">
        <f t="shared" si="2"/>
        <v>0.2643161094224924</v>
      </c>
      <c r="F81" s="99">
        <f t="shared" si="2"/>
        <v>0.29605876393110436</v>
      </c>
      <c r="G81" s="99">
        <f t="shared" si="2"/>
        <v>0.32780141843971633</v>
      </c>
      <c r="H81" s="99">
        <f>B72</f>
        <v>0.3595440729483283</v>
      </c>
      <c r="I81" s="99">
        <f>$H$81</f>
        <v>0.3595440729483283</v>
      </c>
      <c r="J81" s="99">
        <f t="shared" ref="J81:AD81" si="3">$H$81</f>
        <v>0.3595440729483283</v>
      </c>
      <c r="K81" s="99">
        <f t="shared" si="3"/>
        <v>0.3595440729483283</v>
      </c>
      <c r="L81" s="99">
        <f t="shared" si="3"/>
        <v>0.3595440729483283</v>
      </c>
      <c r="M81" s="99">
        <f t="shared" si="3"/>
        <v>0.3595440729483283</v>
      </c>
      <c r="N81" s="99">
        <f t="shared" si="3"/>
        <v>0.3595440729483283</v>
      </c>
      <c r="O81" s="99">
        <f t="shared" si="3"/>
        <v>0.3595440729483283</v>
      </c>
      <c r="P81" s="99">
        <f t="shared" si="3"/>
        <v>0.3595440729483283</v>
      </c>
      <c r="Q81" s="99">
        <f t="shared" si="3"/>
        <v>0.3595440729483283</v>
      </c>
      <c r="R81" s="99">
        <f t="shared" si="3"/>
        <v>0.3595440729483283</v>
      </c>
      <c r="S81" s="99">
        <f t="shared" si="3"/>
        <v>0.3595440729483283</v>
      </c>
      <c r="T81" s="99">
        <f t="shared" si="3"/>
        <v>0.3595440729483283</v>
      </c>
      <c r="U81" s="99">
        <f t="shared" si="3"/>
        <v>0.3595440729483283</v>
      </c>
      <c r="V81" s="99">
        <f t="shared" si="3"/>
        <v>0.3595440729483283</v>
      </c>
      <c r="W81" s="99">
        <f t="shared" si="3"/>
        <v>0.3595440729483283</v>
      </c>
      <c r="X81" s="99">
        <f t="shared" si="3"/>
        <v>0.3595440729483283</v>
      </c>
      <c r="Y81" s="99">
        <f t="shared" si="3"/>
        <v>0.3595440729483283</v>
      </c>
      <c r="Z81" s="99">
        <f t="shared" si="3"/>
        <v>0.3595440729483283</v>
      </c>
      <c r="AA81" s="99">
        <f t="shared" si="3"/>
        <v>0.3595440729483283</v>
      </c>
      <c r="AB81" s="99">
        <f t="shared" si="3"/>
        <v>0.3595440729483283</v>
      </c>
      <c r="AC81" s="99">
        <f t="shared" si="3"/>
        <v>0.3595440729483283</v>
      </c>
      <c r="AD81" s="99">
        <f t="shared" si="3"/>
        <v>0.3595440729483283</v>
      </c>
      <c r="AE81" s="95"/>
      <c r="AF81" s="95"/>
      <c r="AG81" s="95"/>
      <c r="AH81" s="95"/>
      <c r="AI81" s="95"/>
      <c r="AJ81" s="95"/>
    </row>
    <row r="82" spans="1:36" ht="12.75" x14ac:dyDescent="0.2">
      <c r="A82" s="76" t="s">
        <v>114</v>
      </c>
      <c r="B82" s="99">
        <f>B81/B80</f>
        <v>0.42272036474164126</v>
      </c>
      <c r="C82" s="99">
        <f t="shared" ref="C82:AD82" si="4">C81/C80</f>
        <v>0.50207700101317121</v>
      </c>
      <c r="D82" s="99">
        <f t="shared" si="4"/>
        <v>0.5814336372847011</v>
      </c>
      <c r="E82" s="99">
        <f t="shared" si="4"/>
        <v>0.66079027355623099</v>
      </c>
      <c r="F82" s="99">
        <f t="shared" si="4"/>
        <v>0.65790836429134303</v>
      </c>
      <c r="G82" s="99">
        <f t="shared" si="4"/>
        <v>0.65560283687943266</v>
      </c>
      <c r="H82" s="99">
        <f t="shared" si="4"/>
        <v>0.65371649626968775</v>
      </c>
      <c r="I82" s="99">
        <f t="shared" si="4"/>
        <v>0.65371649626968775</v>
      </c>
      <c r="J82" s="99">
        <f t="shared" si="4"/>
        <v>0.65371649626968775</v>
      </c>
      <c r="K82" s="99">
        <f t="shared" si="4"/>
        <v>0.65371649626968775</v>
      </c>
      <c r="L82" s="99">
        <f t="shared" si="4"/>
        <v>0.65371649626968775</v>
      </c>
      <c r="M82" s="99">
        <f t="shared" si="4"/>
        <v>0.65371649626968775</v>
      </c>
      <c r="N82" s="99">
        <f t="shared" si="4"/>
        <v>0.65371649626968775</v>
      </c>
      <c r="O82" s="99">
        <f t="shared" si="4"/>
        <v>0.65371649626968775</v>
      </c>
      <c r="P82" s="99">
        <f t="shared" si="4"/>
        <v>0.65371649626968775</v>
      </c>
      <c r="Q82" s="99">
        <f t="shared" si="4"/>
        <v>0.65371649626968775</v>
      </c>
      <c r="R82" s="99">
        <f t="shared" si="4"/>
        <v>0.65371649626968775</v>
      </c>
      <c r="S82" s="99">
        <f t="shared" si="4"/>
        <v>0.65371649626968775</v>
      </c>
      <c r="T82" s="99">
        <f t="shared" si="4"/>
        <v>0.65371649626968775</v>
      </c>
      <c r="U82" s="99">
        <f t="shared" si="4"/>
        <v>0.65371649626968775</v>
      </c>
      <c r="V82" s="99">
        <f t="shared" si="4"/>
        <v>0.65371649626968775</v>
      </c>
      <c r="W82" s="99">
        <f t="shared" si="4"/>
        <v>0.65371649626968775</v>
      </c>
      <c r="X82" s="99">
        <f t="shared" si="4"/>
        <v>0.65371649626968775</v>
      </c>
      <c r="Y82" s="99">
        <f t="shared" si="4"/>
        <v>0.65371649626968775</v>
      </c>
      <c r="Z82" s="99">
        <f t="shared" si="4"/>
        <v>0.65371649626968775</v>
      </c>
      <c r="AA82" s="99">
        <f t="shared" si="4"/>
        <v>0.65371649626968775</v>
      </c>
      <c r="AB82" s="99">
        <f t="shared" si="4"/>
        <v>0.65371649626968775</v>
      </c>
      <c r="AC82" s="99">
        <f t="shared" si="4"/>
        <v>0.65371649626968775</v>
      </c>
      <c r="AD82" s="99">
        <f t="shared" si="4"/>
        <v>0.65371649626968775</v>
      </c>
      <c r="AE82" s="76"/>
      <c r="AF82" s="76"/>
      <c r="AG82" s="76"/>
      <c r="AH82" s="76"/>
      <c r="AI82" s="76"/>
      <c r="AJ82" s="76"/>
    </row>
    <row r="83" spans="1:36" ht="12.75" x14ac:dyDescent="0.2">
      <c r="A83" s="82"/>
      <c r="B83" s="99"/>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84"/>
      <c r="AF83" s="84"/>
      <c r="AG83" s="84"/>
      <c r="AH83" s="84"/>
      <c r="AI83" s="84"/>
      <c r="AJ83" s="84"/>
    </row>
    <row r="84" spans="1:36" s="101" customFormat="1" ht="51" x14ac:dyDescent="0.2">
      <c r="A84" s="78" t="s">
        <v>115</v>
      </c>
      <c r="B84" s="100">
        <v>1</v>
      </c>
      <c r="C84" s="100">
        <v>1</v>
      </c>
      <c r="D84" s="100">
        <v>1</v>
      </c>
      <c r="E84" s="100">
        <v>1</v>
      </c>
      <c r="F84" s="100">
        <v>1</v>
      </c>
      <c r="G84" s="100">
        <v>1</v>
      </c>
      <c r="H84" s="100">
        <v>1</v>
      </c>
      <c r="I84" s="100">
        <v>1</v>
      </c>
      <c r="J84" s="100">
        <v>1</v>
      </c>
      <c r="K84" s="100">
        <v>1</v>
      </c>
      <c r="L84" s="100">
        <v>1</v>
      </c>
      <c r="M84" s="100">
        <v>1</v>
      </c>
      <c r="N84" s="100">
        <v>1</v>
      </c>
      <c r="O84" s="100">
        <v>1</v>
      </c>
      <c r="P84" s="100">
        <v>1</v>
      </c>
      <c r="Q84" s="100">
        <v>1</v>
      </c>
      <c r="R84" s="100">
        <v>1</v>
      </c>
      <c r="S84" s="100">
        <v>1</v>
      </c>
      <c r="T84" s="100">
        <v>1</v>
      </c>
      <c r="U84" s="100">
        <v>1</v>
      </c>
      <c r="V84" s="100">
        <v>1</v>
      </c>
      <c r="W84" s="100">
        <v>1</v>
      </c>
      <c r="X84" s="100">
        <v>1</v>
      </c>
      <c r="Y84" s="100">
        <v>1</v>
      </c>
      <c r="Z84" s="100">
        <v>1</v>
      </c>
      <c r="AA84" s="100">
        <v>1</v>
      </c>
      <c r="AB84" s="100">
        <v>1</v>
      </c>
      <c r="AC84" s="100">
        <v>1</v>
      </c>
      <c r="AD84" s="100">
        <v>1</v>
      </c>
      <c r="AE84" s="87"/>
      <c r="AF84" s="87"/>
      <c r="AG84" s="87"/>
      <c r="AH84" s="87"/>
      <c r="AI84" s="87"/>
      <c r="AJ84" s="87"/>
    </row>
    <row r="85" spans="1:36" ht="12.75" x14ac:dyDescent="0.2">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row>
    <row r="86" spans="1:36" ht="12.75" x14ac:dyDescent="0.2">
      <c r="A86" s="80" t="s">
        <v>116</v>
      </c>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row>
    <row r="87" spans="1:36" ht="12.75" x14ac:dyDescent="0.2">
      <c r="A87" s="82" t="s">
        <v>117</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row>
    <row r="88" spans="1:36" ht="12.75" x14ac:dyDescent="0.2">
      <c r="A88" s="82" t="s">
        <v>118</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row>
    <row r="89" spans="1:36" ht="12.75" x14ac:dyDescent="0.2">
      <c r="A89" s="82" t="s">
        <v>119</v>
      </c>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row>
    <row r="90" spans="1:36" ht="12.75" x14ac:dyDescent="0.2">
      <c r="A90" s="82" t="s">
        <v>120</v>
      </c>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row>
    <row r="91" spans="1:36" ht="12.75" x14ac:dyDescent="0.2">
      <c r="A91" s="82" t="s">
        <v>121</v>
      </c>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row>
    <row r="92" spans="1:36" ht="12.75" x14ac:dyDescent="0.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row>
    <row r="93" spans="1:36" ht="12.75" x14ac:dyDescent="0.2">
      <c r="A93" s="80" t="s">
        <v>122</v>
      </c>
      <c r="B93" s="80"/>
      <c r="C93" s="80"/>
      <c r="D93" s="80"/>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row>
    <row r="94" spans="1:36" ht="12.75" x14ac:dyDescent="0.2">
      <c r="A94" s="102"/>
      <c r="B94" s="102"/>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row>
    <row r="95" spans="1:36" ht="12.75" x14ac:dyDescent="0.2">
      <c r="A95" s="102" t="s">
        <v>123</v>
      </c>
      <c r="B95" s="103">
        <v>3</v>
      </c>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row>
    <row r="96" spans="1:36" ht="12.75" x14ac:dyDescent="0.2">
      <c r="A96" s="102" t="s">
        <v>124</v>
      </c>
      <c r="B96" s="103">
        <v>15</v>
      </c>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row>
    <row r="97" spans="1:36" ht="25.5" x14ac:dyDescent="0.2">
      <c r="A97" s="102" t="s">
        <v>125</v>
      </c>
      <c r="B97" s="76">
        <v>1.6687000000000001</v>
      </c>
      <c r="C97" s="104" t="s">
        <v>1816</v>
      </c>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row>
    <row r="98" spans="1:36" ht="12.75" x14ac:dyDescent="0.2">
      <c r="A98" s="102" t="s">
        <v>126</v>
      </c>
      <c r="B98" s="105">
        <v>0.88711067149387013</v>
      </c>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row>
    <row r="99" spans="1:36" ht="17.25" x14ac:dyDescent="0.4">
      <c r="A99" s="102" t="s">
        <v>127</v>
      </c>
      <c r="B99" s="106">
        <v>10</v>
      </c>
      <c r="C99" s="76"/>
      <c r="D99" s="76"/>
      <c r="E99" s="107"/>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row>
    <row r="100" spans="1:36" ht="17.25" x14ac:dyDescent="0.4">
      <c r="A100" s="102"/>
      <c r="B100" s="106"/>
      <c r="C100" s="76"/>
      <c r="D100" s="76"/>
      <c r="E100" s="107"/>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row>
    <row r="101" spans="1:36" ht="12.75" x14ac:dyDescent="0.2">
      <c r="A101" s="102" t="s">
        <v>128</v>
      </c>
      <c r="B101" s="108">
        <f>B95*B97*B98</f>
        <v>4.4409647325654635</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row>
    <row r="102" spans="1:36" ht="12.75" x14ac:dyDescent="0.2">
      <c r="A102" s="102" t="s">
        <v>129</v>
      </c>
      <c r="B102" s="108">
        <f>B96*B97*B98</f>
        <v>22.204823662827316</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row>
    <row r="103" spans="1:36" ht="17.25" x14ac:dyDescent="0.4">
      <c r="A103" s="102" t="s">
        <v>130</v>
      </c>
      <c r="B103" s="109">
        <v>0.1</v>
      </c>
      <c r="C103" s="76"/>
      <c r="D103" s="76"/>
      <c r="E103" s="110"/>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row>
    <row r="104" spans="1:36" ht="12.75" x14ac:dyDescent="0.2">
      <c r="A104" s="102" t="s">
        <v>131</v>
      </c>
      <c r="B104" s="109">
        <v>0</v>
      </c>
      <c r="C104" s="76" t="s">
        <v>132</v>
      </c>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row>
    <row r="105" spans="1:36" ht="12.75" x14ac:dyDescent="0.2">
      <c r="A105" s="102" t="s">
        <v>133</v>
      </c>
      <c r="B105" s="111">
        <v>7.4999999999999997E-2</v>
      </c>
      <c r="C105" s="76" t="s">
        <v>134</v>
      </c>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row>
    <row r="106" spans="1:36" ht="12.75" x14ac:dyDescent="0.2">
      <c r="A106" s="102" t="s">
        <v>135</v>
      </c>
      <c r="B106" s="109">
        <v>0.1</v>
      </c>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row>
    <row r="107" spans="1:36" ht="25.5" x14ac:dyDescent="0.2">
      <c r="A107" s="102" t="s">
        <v>136</v>
      </c>
      <c r="B107" s="109">
        <v>0.5</v>
      </c>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row>
    <row r="108" spans="1:36" ht="12.75" x14ac:dyDescent="0.2">
      <c r="A108" s="102"/>
      <c r="B108" s="102"/>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row>
    <row r="109" spans="1:36" s="115" customFormat="1" ht="12.75" x14ac:dyDescent="0.2">
      <c r="A109" s="112" t="s">
        <v>137</v>
      </c>
      <c r="B109" s="113"/>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row>
    <row r="110" spans="1:36" ht="12.75" x14ac:dyDescent="0.2">
      <c r="A110" s="339"/>
      <c r="B110" s="102" t="s">
        <v>138</v>
      </c>
      <c r="C110" s="76" t="s">
        <v>139</v>
      </c>
      <c r="D110" s="76" t="s">
        <v>140</v>
      </c>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row>
    <row r="111" spans="1:36" ht="25.5" x14ac:dyDescent="0.2">
      <c r="A111" s="339" t="s">
        <v>141</v>
      </c>
      <c r="B111" s="102">
        <v>3</v>
      </c>
      <c r="C111" s="76">
        <v>1</v>
      </c>
      <c r="D111" s="76">
        <v>4</v>
      </c>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row>
    <row r="112" spans="1:36" ht="12.75" x14ac:dyDescent="0.2">
      <c r="A112" s="339"/>
      <c r="B112" s="102"/>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row>
    <row r="113" spans="1:36" ht="12.75" x14ac:dyDescent="0.2">
      <c r="A113" s="102"/>
      <c r="B113" s="102">
        <v>2023</v>
      </c>
      <c r="C113" s="102">
        <v>2024</v>
      </c>
      <c r="D113" s="102">
        <v>2025</v>
      </c>
      <c r="E113" s="102">
        <v>2026</v>
      </c>
      <c r="F113" s="102">
        <v>2027</v>
      </c>
      <c r="G113" s="102">
        <v>2028</v>
      </c>
      <c r="H113" s="102">
        <v>2029</v>
      </c>
      <c r="I113" s="102">
        <v>2030</v>
      </c>
      <c r="J113" s="102">
        <v>2031</v>
      </c>
      <c r="K113" s="102">
        <v>2032</v>
      </c>
      <c r="L113" s="102">
        <v>2033</v>
      </c>
      <c r="M113" s="102">
        <v>2034</v>
      </c>
      <c r="N113" s="102">
        <v>2035</v>
      </c>
      <c r="O113" s="102">
        <v>2036</v>
      </c>
      <c r="P113" s="102">
        <v>2037</v>
      </c>
      <c r="Q113" s="102">
        <v>2038</v>
      </c>
      <c r="R113" s="102">
        <v>2039</v>
      </c>
      <c r="S113" s="102">
        <v>2040</v>
      </c>
      <c r="T113" s="102">
        <v>2041</v>
      </c>
      <c r="U113" s="102">
        <v>2042</v>
      </c>
      <c r="V113" s="102">
        <v>2043</v>
      </c>
      <c r="W113" s="102">
        <v>2044</v>
      </c>
      <c r="X113" s="102">
        <v>2045</v>
      </c>
      <c r="Y113" s="102">
        <v>2046</v>
      </c>
      <c r="Z113" s="102">
        <v>2047</v>
      </c>
      <c r="AA113" s="102">
        <v>2048</v>
      </c>
      <c r="AB113" s="102">
        <v>2049</v>
      </c>
      <c r="AC113" s="102">
        <v>2050</v>
      </c>
      <c r="AD113" s="102"/>
      <c r="AE113" s="76"/>
      <c r="AF113" s="76"/>
      <c r="AG113" s="76"/>
      <c r="AH113" s="76"/>
      <c r="AI113" s="76"/>
    </row>
    <row r="114" spans="1:36" ht="25.5" x14ac:dyDescent="0.2">
      <c r="A114" s="102" t="s">
        <v>142</v>
      </c>
      <c r="B114" s="116">
        <f t="shared" ref="B114:AC114" si="5">INDEX(18:18,MATCH(B113-$D$111,16:16,0))</f>
        <v>1</v>
      </c>
      <c r="C114" s="116">
        <f t="shared" si="5"/>
        <v>1</v>
      </c>
      <c r="D114" s="116">
        <f t="shared" si="5"/>
        <v>1</v>
      </c>
      <c r="E114" s="116">
        <f t="shared" si="5"/>
        <v>1</v>
      </c>
      <c r="F114" s="116">
        <f t="shared" si="5"/>
        <v>1</v>
      </c>
      <c r="G114" s="116">
        <f t="shared" si="5"/>
        <v>1</v>
      </c>
      <c r="H114" s="116">
        <f>INDEX(18:18,MATCH(H113-$D$111,16:16,0))</f>
        <v>0.66700000000000004</v>
      </c>
      <c r="I114" s="116">
        <f>INDEX(18:18,MATCH(I113-$D$111,16:16,0))</f>
        <v>0.33300000000000002</v>
      </c>
      <c r="J114" s="116">
        <f t="shared" si="5"/>
        <v>0</v>
      </c>
      <c r="K114" s="116">
        <f t="shared" si="5"/>
        <v>0</v>
      </c>
      <c r="L114" s="116">
        <f t="shared" si="5"/>
        <v>0</v>
      </c>
      <c r="M114" s="116">
        <f t="shared" si="5"/>
        <v>0</v>
      </c>
      <c r="N114" s="116">
        <f t="shared" si="5"/>
        <v>0</v>
      </c>
      <c r="O114" s="116">
        <f t="shared" si="5"/>
        <v>0</v>
      </c>
      <c r="P114" s="116">
        <f t="shared" si="5"/>
        <v>0</v>
      </c>
      <c r="Q114" s="116">
        <f t="shared" si="5"/>
        <v>0</v>
      </c>
      <c r="R114" s="116">
        <f t="shared" si="5"/>
        <v>0</v>
      </c>
      <c r="S114" s="116">
        <f t="shared" si="5"/>
        <v>0</v>
      </c>
      <c r="T114" s="116">
        <f t="shared" si="5"/>
        <v>0</v>
      </c>
      <c r="U114" s="116">
        <f t="shared" si="5"/>
        <v>0</v>
      </c>
      <c r="V114" s="116">
        <f t="shared" si="5"/>
        <v>0</v>
      </c>
      <c r="W114" s="116">
        <f t="shared" si="5"/>
        <v>0</v>
      </c>
      <c r="X114" s="116">
        <f t="shared" si="5"/>
        <v>0</v>
      </c>
      <c r="Y114" s="116">
        <f t="shared" si="5"/>
        <v>0</v>
      </c>
      <c r="Z114" s="116">
        <f t="shared" si="5"/>
        <v>0</v>
      </c>
      <c r="AA114" s="116">
        <f t="shared" si="5"/>
        <v>0</v>
      </c>
      <c r="AB114" s="116">
        <f t="shared" si="5"/>
        <v>0</v>
      </c>
      <c r="AC114" s="116">
        <f t="shared" si="5"/>
        <v>0</v>
      </c>
      <c r="AD114" s="116"/>
      <c r="AE114" s="116"/>
      <c r="AF114" s="116"/>
      <c r="AG114" s="76"/>
      <c r="AH114" s="76"/>
      <c r="AI114" s="76"/>
    </row>
    <row r="115" spans="1:36" ht="12.75" x14ac:dyDescent="0.2">
      <c r="A115" s="102" t="s">
        <v>143</v>
      </c>
      <c r="B115" s="116">
        <f>INDEX(18:18,MATCH(B113-$D$111,16:16,0))</f>
        <v>1</v>
      </c>
      <c r="C115" s="116">
        <f t="shared" ref="C115:AC115" si="6">INDEX(18:18,MATCH(C113-$D$111,16:16,0))</f>
        <v>1</v>
      </c>
      <c r="D115" s="116">
        <f t="shared" si="6"/>
        <v>1</v>
      </c>
      <c r="E115" s="116">
        <f t="shared" si="6"/>
        <v>1</v>
      </c>
      <c r="F115" s="116">
        <f t="shared" si="6"/>
        <v>1</v>
      </c>
      <c r="G115" s="116">
        <f t="shared" si="6"/>
        <v>1</v>
      </c>
      <c r="H115" s="116">
        <f t="shared" si="6"/>
        <v>0.66700000000000004</v>
      </c>
      <c r="I115" s="116">
        <f t="shared" si="6"/>
        <v>0.33300000000000002</v>
      </c>
      <c r="J115" s="116">
        <f t="shared" si="6"/>
        <v>0</v>
      </c>
      <c r="K115" s="116">
        <f t="shared" si="6"/>
        <v>0</v>
      </c>
      <c r="L115" s="116">
        <f t="shared" si="6"/>
        <v>0</v>
      </c>
      <c r="M115" s="116">
        <f t="shared" si="6"/>
        <v>0</v>
      </c>
      <c r="N115" s="116">
        <f t="shared" si="6"/>
        <v>0</v>
      </c>
      <c r="O115" s="116">
        <f t="shared" si="6"/>
        <v>0</v>
      </c>
      <c r="P115" s="116">
        <f t="shared" si="6"/>
        <v>0</v>
      </c>
      <c r="Q115" s="116">
        <f t="shared" si="6"/>
        <v>0</v>
      </c>
      <c r="R115" s="116">
        <f t="shared" si="6"/>
        <v>0</v>
      </c>
      <c r="S115" s="116">
        <f t="shared" si="6"/>
        <v>0</v>
      </c>
      <c r="T115" s="116">
        <f t="shared" si="6"/>
        <v>0</v>
      </c>
      <c r="U115" s="116">
        <f t="shared" si="6"/>
        <v>0</v>
      </c>
      <c r="V115" s="116">
        <f t="shared" si="6"/>
        <v>0</v>
      </c>
      <c r="W115" s="116">
        <f t="shared" si="6"/>
        <v>0</v>
      </c>
      <c r="X115" s="116">
        <f t="shared" si="6"/>
        <v>0</v>
      </c>
      <c r="Y115" s="116">
        <f t="shared" si="6"/>
        <v>0</v>
      </c>
      <c r="Z115" s="116">
        <f t="shared" si="6"/>
        <v>0</v>
      </c>
      <c r="AA115" s="116">
        <f t="shared" si="6"/>
        <v>0</v>
      </c>
      <c r="AB115" s="116">
        <f t="shared" si="6"/>
        <v>0</v>
      </c>
      <c r="AC115" s="116">
        <f t="shared" si="6"/>
        <v>0</v>
      </c>
      <c r="AD115" s="116"/>
      <c r="AE115" s="116"/>
      <c r="AF115" s="116"/>
      <c r="AG115" s="76"/>
      <c r="AH115" s="76"/>
      <c r="AI115" s="76"/>
    </row>
    <row r="116" spans="1:36" ht="12.75" x14ac:dyDescent="0.2">
      <c r="A116" s="102"/>
      <c r="B116" s="102"/>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row>
    <row r="117" spans="1:36" ht="12.75" x14ac:dyDescent="0.2">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76"/>
      <c r="AG117" s="76"/>
      <c r="AH117" s="76"/>
      <c r="AI117" s="76"/>
      <c r="AJ117" s="76"/>
    </row>
    <row r="118" spans="1:36" ht="12.75" x14ac:dyDescent="0.2">
      <c r="A118" s="102"/>
      <c r="B118" s="102">
        <v>2023</v>
      </c>
      <c r="C118" s="102">
        <v>2024</v>
      </c>
      <c r="D118" s="102">
        <v>2025</v>
      </c>
      <c r="E118" s="102">
        <v>2026</v>
      </c>
      <c r="F118" s="102">
        <v>2027</v>
      </c>
      <c r="G118" s="102">
        <v>2028</v>
      </c>
      <c r="H118" s="102">
        <v>2029</v>
      </c>
      <c r="I118" s="102">
        <v>2030</v>
      </c>
      <c r="J118" s="102">
        <v>2031</v>
      </c>
      <c r="K118" s="102">
        <v>2032</v>
      </c>
      <c r="L118" s="102">
        <v>2033</v>
      </c>
      <c r="M118" s="102">
        <v>2034</v>
      </c>
      <c r="N118" s="102">
        <v>2035</v>
      </c>
      <c r="O118" s="102">
        <v>2036</v>
      </c>
      <c r="P118" s="102">
        <v>2037</v>
      </c>
      <c r="Q118" s="102">
        <v>2038</v>
      </c>
      <c r="R118" s="102">
        <v>2039</v>
      </c>
      <c r="S118" s="102">
        <v>2040</v>
      </c>
      <c r="T118" s="102">
        <v>2041</v>
      </c>
      <c r="U118" s="102">
        <v>2042</v>
      </c>
      <c r="V118" s="102">
        <v>2043</v>
      </c>
      <c r="W118" s="102">
        <v>2044</v>
      </c>
      <c r="X118" s="102">
        <v>2045</v>
      </c>
      <c r="Y118" s="102">
        <v>2046</v>
      </c>
      <c r="Z118" s="102">
        <v>2047</v>
      </c>
      <c r="AA118" s="102">
        <v>2048</v>
      </c>
      <c r="AB118" s="102">
        <v>2049</v>
      </c>
      <c r="AC118" s="102">
        <v>2050</v>
      </c>
      <c r="AD118" s="102"/>
      <c r="AE118" s="102"/>
      <c r="AF118" s="76"/>
      <c r="AG118" s="76"/>
      <c r="AH118" s="76"/>
      <c r="AI118" s="76"/>
      <c r="AJ118" s="76"/>
    </row>
    <row r="119" spans="1:36" ht="25.5" x14ac:dyDescent="0.2">
      <c r="A119" s="102" t="s">
        <v>144</v>
      </c>
      <c r="B119" s="117">
        <f>((($B$102*C52+$B$101*(1-C52))*(1+($B$103*C84)))+(($B$102*C52+$B$101*(1-C52))*$B$106*$B$107))*B114*(1-$B$105)</f>
        <v>23.620381171332561</v>
      </c>
      <c r="C119" s="117">
        <f t="shared" ref="C119:AC119" si="7">((($B$102*D52+$B$101*(1-D52))*(1+($B$103*D84)))+(($B$102*D52+$B$101*(1-D52))*$B$106*$B$107))*C114*(1-$B$105)</f>
        <v>23.620381171332561</v>
      </c>
      <c r="D119" s="117">
        <f t="shared" si="7"/>
        <v>23.620381171332561</v>
      </c>
      <c r="E119" s="117">
        <f t="shared" si="7"/>
        <v>23.620381171332561</v>
      </c>
      <c r="F119" s="117">
        <f t="shared" si="7"/>
        <v>23.620381171332561</v>
      </c>
      <c r="G119" s="117">
        <f t="shared" si="7"/>
        <v>23.620381171332561</v>
      </c>
      <c r="H119" s="117">
        <f>((($B$102*I52+$B$101*(1-I52))*(1+($B$103*I84)))+(($B$102*I52+$B$101*(1-I52))*$B$106*$B$107))*H114*(1-$B$105)</f>
        <v>15.754794241278818</v>
      </c>
      <c r="I119" s="117">
        <f t="shared" si="7"/>
        <v>7.8655869300537429</v>
      </c>
      <c r="J119" s="117">
        <f t="shared" si="7"/>
        <v>0</v>
      </c>
      <c r="K119" s="117">
        <f t="shared" si="7"/>
        <v>0</v>
      </c>
      <c r="L119" s="117">
        <f t="shared" si="7"/>
        <v>0</v>
      </c>
      <c r="M119" s="117">
        <f t="shared" si="7"/>
        <v>0</v>
      </c>
      <c r="N119" s="117">
        <f t="shared" si="7"/>
        <v>0</v>
      </c>
      <c r="O119" s="117">
        <f t="shared" si="7"/>
        <v>0</v>
      </c>
      <c r="P119" s="117">
        <f t="shared" si="7"/>
        <v>0</v>
      </c>
      <c r="Q119" s="117">
        <f t="shared" si="7"/>
        <v>0</v>
      </c>
      <c r="R119" s="117">
        <f t="shared" si="7"/>
        <v>0</v>
      </c>
      <c r="S119" s="117">
        <f t="shared" si="7"/>
        <v>0</v>
      </c>
      <c r="T119" s="117">
        <f t="shared" si="7"/>
        <v>0</v>
      </c>
      <c r="U119" s="117">
        <f t="shared" si="7"/>
        <v>0</v>
      </c>
      <c r="V119" s="117">
        <f t="shared" si="7"/>
        <v>0</v>
      </c>
      <c r="W119" s="117">
        <f t="shared" si="7"/>
        <v>0</v>
      </c>
      <c r="X119" s="117">
        <f t="shared" si="7"/>
        <v>0</v>
      </c>
      <c r="Y119" s="117">
        <f t="shared" si="7"/>
        <v>0</v>
      </c>
      <c r="Z119" s="117">
        <f t="shared" si="7"/>
        <v>0</v>
      </c>
      <c r="AA119" s="117">
        <f t="shared" si="7"/>
        <v>0</v>
      </c>
      <c r="AB119" s="117">
        <f t="shared" si="7"/>
        <v>0</v>
      </c>
      <c r="AC119" s="117">
        <f t="shared" si="7"/>
        <v>0</v>
      </c>
      <c r="AD119" s="102"/>
      <c r="AE119" s="102"/>
      <c r="AF119" s="76"/>
      <c r="AG119" s="76"/>
      <c r="AH119" s="76"/>
      <c r="AI119" s="76"/>
      <c r="AJ119" s="76"/>
    </row>
    <row r="120" spans="1:36" ht="12.75" x14ac:dyDescent="0.2">
      <c r="A120" s="102"/>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02"/>
      <c r="AE120" s="102"/>
      <c r="AF120" s="76"/>
      <c r="AG120" s="76"/>
      <c r="AH120" s="76"/>
      <c r="AI120" s="76"/>
      <c r="AJ120" s="76"/>
    </row>
    <row r="121" spans="1:36" ht="25.5" x14ac:dyDescent="0.2">
      <c r="A121" s="102" t="s">
        <v>145</v>
      </c>
      <c r="B121" s="342">
        <v>0</v>
      </c>
      <c r="C121" s="342">
        <v>0</v>
      </c>
      <c r="D121" s="342">
        <v>0</v>
      </c>
      <c r="E121" s="117">
        <f t="shared" ref="E121:AC121" si="8">((($B$102*F52+$B$101*(1-F52))*(1+($B$103*F82)))+(($B$102*F52+$B$101*(1-F52))*$B$106*$B$107))*E115*(1-$B$105)</f>
        <v>22.91774335994446</v>
      </c>
      <c r="F121" s="117">
        <f t="shared" si="8"/>
        <v>22.913007930703568</v>
      </c>
      <c r="G121" s="117">
        <f t="shared" si="8"/>
        <v>22.90913348859738</v>
      </c>
      <c r="H121" s="117">
        <f t="shared" si="8"/>
        <v>15.280392036894455</v>
      </c>
      <c r="I121" s="117">
        <f t="shared" si="8"/>
        <v>7.6287414517029282</v>
      </c>
      <c r="J121" s="117">
        <f t="shared" si="8"/>
        <v>0</v>
      </c>
      <c r="K121" s="117">
        <f t="shared" si="8"/>
        <v>0</v>
      </c>
      <c r="L121" s="117">
        <f t="shared" si="8"/>
        <v>0</v>
      </c>
      <c r="M121" s="117">
        <f t="shared" si="8"/>
        <v>0</v>
      </c>
      <c r="N121" s="117">
        <f t="shared" si="8"/>
        <v>0</v>
      </c>
      <c r="O121" s="117">
        <f t="shared" si="8"/>
        <v>0</v>
      </c>
      <c r="P121" s="117">
        <f t="shared" si="8"/>
        <v>0</v>
      </c>
      <c r="Q121" s="117">
        <f t="shared" si="8"/>
        <v>0</v>
      </c>
      <c r="R121" s="117">
        <f t="shared" si="8"/>
        <v>0</v>
      </c>
      <c r="S121" s="117">
        <f t="shared" si="8"/>
        <v>0</v>
      </c>
      <c r="T121" s="117">
        <f t="shared" si="8"/>
        <v>0</v>
      </c>
      <c r="U121" s="117">
        <f t="shared" si="8"/>
        <v>0</v>
      </c>
      <c r="V121" s="117">
        <f t="shared" si="8"/>
        <v>0</v>
      </c>
      <c r="W121" s="117">
        <f t="shared" si="8"/>
        <v>0</v>
      </c>
      <c r="X121" s="117">
        <f t="shared" si="8"/>
        <v>0</v>
      </c>
      <c r="Y121" s="117">
        <f t="shared" si="8"/>
        <v>0</v>
      </c>
      <c r="Z121" s="117">
        <f t="shared" si="8"/>
        <v>0</v>
      </c>
      <c r="AA121" s="117">
        <f t="shared" si="8"/>
        <v>0</v>
      </c>
      <c r="AB121" s="117">
        <f t="shared" si="8"/>
        <v>0</v>
      </c>
      <c r="AC121" s="117">
        <f t="shared" si="8"/>
        <v>0</v>
      </c>
      <c r="AD121" s="102"/>
      <c r="AE121" s="102"/>
      <c r="AF121" s="76"/>
      <c r="AG121" s="76"/>
      <c r="AH121" s="76"/>
      <c r="AI121" s="76"/>
      <c r="AJ121" s="76"/>
    </row>
    <row r="122" spans="1:36" ht="25.5" x14ac:dyDescent="0.2">
      <c r="A122" s="102" t="s">
        <v>146</v>
      </c>
      <c r="B122" s="342"/>
      <c r="C122" s="342"/>
      <c r="D122" s="342"/>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02"/>
      <c r="AE122" s="102"/>
      <c r="AF122" s="76"/>
      <c r="AG122" s="76"/>
      <c r="AH122" s="76"/>
      <c r="AI122" s="76"/>
      <c r="AJ122" s="76"/>
    </row>
    <row r="123" spans="1:36" ht="12.75" x14ac:dyDescent="0.2">
      <c r="A123" s="102"/>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02"/>
      <c r="AE123" s="102"/>
      <c r="AF123" s="76"/>
      <c r="AG123" s="76"/>
      <c r="AH123" s="76"/>
      <c r="AI123" s="76"/>
      <c r="AJ123" s="76"/>
    </row>
    <row r="124" spans="1:36" ht="25.5" x14ac:dyDescent="0.2">
      <c r="A124" s="102" t="s">
        <v>147</v>
      </c>
      <c r="B124" s="117">
        <f>15*$B$98</f>
        <v>13.306660072408052</v>
      </c>
      <c r="C124" s="117">
        <f t="shared" ref="C124:K124" si="9">15*$B$98</f>
        <v>13.306660072408052</v>
      </c>
      <c r="D124" s="117">
        <f t="shared" si="9"/>
        <v>13.306660072408052</v>
      </c>
      <c r="E124" s="117">
        <f t="shared" si="9"/>
        <v>13.306660072408052</v>
      </c>
      <c r="F124" s="117">
        <f t="shared" si="9"/>
        <v>13.306660072408052</v>
      </c>
      <c r="G124" s="117">
        <f t="shared" si="9"/>
        <v>13.306660072408052</v>
      </c>
      <c r="H124" s="117">
        <f t="shared" si="9"/>
        <v>13.306660072408052</v>
      </c>
      <c r="I124" s="117">
        <f t="shared" si="9"/>
        <v>13.306660072408052</v>
      </c>
      <c r="J124" s="117">
        <f t="shared" si="9"/>
        <v>13.306660072408052</v>
      </c>
      <c r="K124" s="117">
        <f t="shared" si="9"/>
        <v>13.306660072408052</v>
      </c>
      <c r="L124" s="117">
        <v>0</v>
      </c>
      <c r="M124" s="117">
        <v>0</v>
      </c>
      <c r="N124" s="117">
        <v>0</v>
      </c>
      <c r="O124" s="117">
        <v>0</v>
      </c>
      <c r="P124" s="117">
        <v>0</v>
      </c>
      <c r="Q124" s="117">
        <v>0</v>
      </c>
      <c r="R124" s="117">
        <v>0</v>
      </c>
      <c r="S124" s="117">
        <v>0</v>
      </c>
      <c r="T124" s="117">
        <v>0</v>
      </c>
      <c r="U124" s="117">
        <v>0</v>
      </c>
      <c r="V124" s="117">
        <v>0</v>
      </c>
      <c r="W124" s="117">
        <v>0</v>
      </c>
      <c r="X124" s="117">
        <v>0</v>
      </c>
      <c r="Y124" s="117">
        <v>0</v>
      </c>
      <c r="Z124" s="117">
        <v>0</v>
      </c>
      <c r="AA124" s="117">
        <v>0</v>
      </c>
      <c r="AB124" s="117">
        <v>0</v>
      </c>
      <c r="AC124" s="117">
        <v>0</v>
      </c>
      <c r="AD124" s="102"/>
      <c r="AE124" s="102"/>
      <c r="AF124" s="76"/>
      <c r="AG124" s="76"/>
      <c r="AH124" s="76"/>
      <c r="AI124" s="76"/>
      <c r="AJ124" s="76"/>
    </row>
    <row r="125" spans="1:36" ht="12.75" x14ac:dyDescent="0.2">
      <c r="A125" s="102"/>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02"/>
      <c r="AE125" s="102"/>
      <c r="AF125" s="76"/>
      <c r="AG125" s="76"/>
      <c r="AH125" s="76"/>
      <c r="AI125" s="76"/>
      <c r="AJ125" s="76"/>
    </row>
    <row r="126" spans="1:36" s="115" customFormat="1" ht="12.75" x14ac:dyDescent="0.2">
      <c r="A126" s="112" t="s">
        <v>148</v>
      </c>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3"/>
      <c r="AE126" s="113"/>
      <c r="AF126" s="114"/>
      <c r="AG126" s="114"/>
      <c r="AH126" s="114"/>
      <c r="AI126" s="114"/>
      <c r="AJ126" s="114"/>
    </row>
    <row r="127" spans="1:36" ht="127.5" x14ac:dyDescent="0.2">
      <c r="A127" s="339"/>
      <c r="B127" s="76" t="s">
        <v>149</v>
      </c>
      <c r="C127" s="117" t="s">
        <v>150</v>
      </c>
      <c r="D127" s="117" t="s">
        <v>151</v>
      </c>
      <c r="E127" s="102" t="s">
        <v>152</v>
      </c>
      <c r="F127" s="117" t="s">
        <v>153</v>
      </c>
      <c r="G127" s="76" t="s">
        <v>140</v>
      </c>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02"/>
      <c r="AD127" s="102"/>
      <c r="AE127" s="76"/>
      <c r="AF127" s="76"/>
      <c r="AG127" s="76"/>
      <c r="AH127" s="76"/>
      <c r="AI127" s="76"/>
    </row>
    <row r="128" spans="1:36" ht="25.5" x14ac:dyDescent="0.2">
      <c r="A128" s="339" t="s">
        <v>141</v>
      </c>
      <c r="B128" s="76">
        <v>1</v>
      </c>
      <c r="C128" s="76">
        <v>3</v>
      </c>
      <c r="D128" s="76">
        <v>2</v>
      </c>
      <c r="E128" s="102">
        <v>3</v>
      </c>
      <c r="F128" s="102">
        <v>6</v>
      </c>
      <c r="G128" s="76">
        <v>4</v>
      </c>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02"/>
      <c r="AD128" s="102"/>
      <c r="AE128" s="76"/>
      <c r="AF128" s="76"/>
      <c r="AG128" s="76"/>
      <c r="AH128" s="76"/>
      <c r="AI128" s="76"/>
    </row>
    <row r="129" spans="1:36" ht="12.75" x14ac:dyDescent="0.2">
      <c r="A129" s="339"/>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02"/>
      <c r="AE129" s="102"/>
      <c r="AF129" s="76"/>
      <c r="AG129" s="76"/>
      <c r="AH129" s="76"/>
      <c r="AI129" s="76"/>
      <c r="AJ129" s="76"/>
    </row>
    <row r="130" spans="1:36" ht="12.75" x14ac:dyDescent="0.2">
      <c r="A130" s="102" t="s">
        <v>154</v>
      </c>
      <c r="B130" s="102">
        <v>2023</v>
      </c>
      <c r="C130" s="102">
        <v>2024</v>
      </c>
      <c r="D130" s="102">
        <v>2025</v>
      </c>
      <c r="E130" s="102">
        <v>2026</v>
      </c>
      <c r="F130" s="102">
        <v>2027</v>
      </c>
      <c r="G130" s="102">
        <v>2028</v>
      </c>
      <c r="H130" s="102">
        <v>2029</v>
      </c>
      <c r="I130" s="102">
        <v>2030</v>
      </c>
      <c r="J130" s="102">
        <v>2031</v>
      </c>
      <c r="K130" s="102">
        <v>2032</v>
      </c>
      <c r="L130" s="76">
        <v>2033</v>
      </c>
      <c r="M130" s="76">
        <v>2034</v>
      </c>
      <c r="N130" s="76">
        <v>2035</v>
      </c>
      <c r="O130" s="76">
        <v>2036</v>
      </c>
      <c r="P130" s="76">
        <v>2037</v>
      </c>
      <c r="Q130" s="76">
        <v>2038</v>
      </c>
      <c r="R130" s="76">
        <v>2039</v>
      </c>
      <c r="S130" s="76">
        <v>2040</v>
      </c>
      <c r="T130" s="76">
        <v>2041</v>
      </c>
      <c r="U130" s="76">
        <v>2042</v>
      </c>
      <c r="V130" s="76">
        <v>2043</v>
      </c>
      <c r="W130" s="76">
        <v>2044</v>
      </c>
      <c r="X130" s="76">
        <v>2045</v>
      </c>
      <c r="Y130" s="76">
        <v>2046</v>
      </c>
      <c r="Z130" s="76">
        <v>2047</v>
      </c>
      <c r="AA130" s="76">
        <v>2048</v>
      </c>
      <c r="AB130" s="76">
        <v>2049</v>
      </c>
      <c r="AC130" s="76">
        <v>2050</v>
      </c>
      <c r="AD130" s="76"/>
      <c r="AE130" s="76"/>
      <c r="AF130" s="76"/>
      <c r="AG130" s="76"/>
      <c r="AH130" s="76"/>
      <c r="AI130" s="76"/>
    </row>
    <row r="131" spans="1:36" ht="12.75" x14ac:dyDescent="0.2">
      <c r="A131" s="102" t="s">
        <v>155</v>
      </c>
      <c r="B131" s="116">
        <f>B115</f>
        <v>1</v>
      </c>
      <c r="C131" s="116">
        <f t="shared" ref="C131:AC131" si="10">C115</f>
        <v>1</v>
      </c>
      <c r="D131" s="116">
        <f t="shared" si="10"/>
        <v>1</v>
      </c>
      <c r="E131" s="116">
        <f t="shared" si="10"/>
        <v>1</v>
      </c>
      <c r="F131" s="116">
        <f t="shared" si="10"/>
        <v>1</v>
      </c>
      <c r="G131" s="116">
        <f t="shared" si="10"/>
        <v>1</v>
      </c>
      <c r="H131" s="116">
        <f t="shared" si="10"/>
        <v>0.66700000000000004</v>
      </c>
      <c r="I131" s="116">
        <f t="shared" si="10"/>
        <v>0.33300000000000002</v>
      </c>
      <c r="J131" s="116">
        <f t="shared" si="10"/>
        <v>0</v>
      </c>
      <c r="K131" s="116">
        <f t="shared" si="10"/>
        <v>0</v>
      </c>
      <c r="L131" s="116">
        <f t="shared" si="10"/>
        <v>0</v>
      </c>
      <c r="M131" s="116">
        <f t="shared" si="10"/>
        <v>0</v>
      </c>
      <c r="N131" s="116">
        <f t="shared" si="10"/>
        <v>0</v>
      </c>
      <c r="O131" s="116">
        <f t="shared" si="10"/>
        <v>0</v>
      </c>
      <c r="P131" s="116">
        <f t="shared" si="10"/>
        <v>0</v>
      </c>
      <c r="Q131" s="116">
        <f t="shared" si="10"/>
        <v>0</v>
      </c>
      <c r="R131" s="116">
        <f t="shared" si="10"/>
        <v>0</v>
      </c>
      <c r="S131" s="116">
        <f t="shared" si="10"/>
        <v>0</v>
      </c>
      <c r="T131" s="116">
        <f t="shared" si="10"/>
        <v>0</v>
      </c>
      <c r="U131" s="116">
        <f t="shared" si="10"/>
        <v>0</v>
      </c>
      <c r="V131" s="116">
        <f t="shared" si="10"/>
        <v>0</v>
      </c>
      <c r="W131" s="116">
        <f t="shared" si="10"/>
        <v>0</v>
      </c>
      <c r="X131" s="116">
        <f t="shared" si="10"/>
        <v>0</v>
      </c>
      <c r="Y131" s="116">
        <f t="shared" si="10"/>
        <v>0</v>
      </c>
      <c r="Z131" s="116">
        <f t="shared" si="10"/>
        <v>0</v>
      </c>
      <c r="AA131" s="116">
        <f t="shared" si="10"/>
        <v>0</v>
      </c>
      <c r="AB131" s="116">
        <f t="shared" si="10"/>
        <v>0</v>
      </c>
      <c r="AC131" s="116">
        <f t="shared" si="10"/>
        <v>0</v>
      </c>
      <c r="AD131" s="76"/>
      <c r="AE131" s="76"/>
      <c r="AF131" s="76"/>
      <c r="AG131" s="76"/>
      <c r="AH131" s="76"/>
      <c r="AI131" s="76"/>
    </row>
    <row r="132" spans="1:36" ht="25.5" x14ac:dyDescent="0.2">
      <c r="A132" s="102" t="s">
        <v>156</v>
      </c>
      <c r="B132" s="116">
        <f>B115</f>
        <v>1</v>
      </c>
      <c r="C132" s="116">
        <f t="shared" ref="C132:AC132" si="11">C115</f>
        <v>1</v>
      </c>
      <c r="D132" s="116">
        <f t="shared" si="11"/>
        <v>1</v>
      </c>
      <c r="E132" s="116">
        <f t="shared" si="11"/>
        <v>1</v>
      </c>
      <c r="F132" s="116">
        <f t="shared" si="11"/>
        <v>1</v>
      </c>
      <c r="G132" s="116">
        <f t="shared" si="11"/>
        <v>1</v>
      </c>
      <c r="H132" s="116">
        <f t="shared" si="11"/>
        <v>0.66700000000000004</v>
      </c>
      <c r="I132" s="116">
        <f t="shared" si="11"/>
        <v>0.33300000000000002</v>
      </c>
      <c r="J132" s="116">
        <f t="shared" si="11"/>
        <v>0</v>
      </c>
      <c r="K132" s="116">
        <f t="shared" si="11"/>
        <v>0</v>
      </c>
      <c r="L132" s="116">
        <f t="shared" si="11"/>
        <v>0</v>
      </c>
      <c r="M132" s="116">
        <f t="shared" si="11"/>
        <v>0</v>
      </c>
      <c r="N132" s="116">
        <f t="shared" si="11"/>
        <v>0</v>
      </c>
      <c r="O132" s="116">
        <f t="shared" si="11"/>
        <v>0</v>
      </c>
      <c r="P132" s="116">
        <f t="shared" si="11"/>
        <v>0</v>
      </c>
      <c r="Q132" s="116">
        <f t="shared" si="11"/>
        <v>0</v>
      </c>
      <c r="R132" s="116">
        <f t="shared" si="11"/>
        <v>0</v>
      </c>
      <c r="S132" s="116">
        <f t="shared" si="11"/>
        <v>0</v>
      </c>
      <c r="T132" s="116">
        <f t="shared" si="11"/>
        <v>0</v>
      </c>
      <c r="U132" s="116">
        <f t="shared" si="11"/>
        <v>0</v>
      </c>
      <c r="V132" s="116">
        <f t="shared" si="11"/>
        <v>0</v>
      </c>
      <c r="W132" s="116">
        <f t="shared" si="11"/>
        <v>0</v>
      </c>
      <c r="X132" s="116">
        <f t="shared" si="11"/>
        <v>0</v>
      </c>
      <c r="Y132" s="116">
        <f t="shared" si="11"/>
        <v>0</v>
      </c>
      <c r="Z132" s="116">
        <f t="shared" si="11"/>
        <v>0</v>
      </c>
      <c r="AA132" s="116">
        <f t="shared" si="11"/>
        <v>0</v>
      </c>
      <c r="AB132" s="116">
        <f t="shared" si="11"/>
        <v>0</v>
      </c>
      <c r="AC132" s="116">
        <f t="shared" si="11"/>
        <v>0</v>
      </c>
      <c r="AD132" s="76"/>
      <c r="AE132" s="76"/>
      <c r="AF132" s="76"/>
      <c r="AG132" s="76"/>
      <c r="AH132" s="76"/>
      <c r="AI132" s="76"/>
    </row>
    <row r="133" spans="1:36" s="351" customFormat="1" ht="12.75" x14ac:dyDescent="0.2">
      <c r="A133" s="348" t="s">
        <v>157</v>
      </c>
      <c r="B133" s="349">
        <f t="shared" ref="B133:AC133" si="12">INDEX(17:17,MATCH(B130-$D$128,16:16,0))</f>
        <v>1</v>
      </c>
      <c r="C133" s="349">
        <f t="shared" si="12"/>
        <v>1</v>
      </c>
      <c r="D133" s="349">
        <f t="shared" si="12"/>
        <v>1</v>
      </c>
      <c r="E133" s="349">
        <f t="shared" si="12"/>
        <v>1</v>
      </c>
      <c r="F133" s="349">
        <f t="shared" si="12"/>
        <v>1</v>
      </c>
      <c r="G133" s="349">
        <f t="shared" si="12"/>
        <v>1</v>
      </c>
      <c r="H133" s="349">
        <f t="shared" si="12"/>
        <v>1</v>
      </c>
      <c r="I133" s="349">
        <f t="shared" si="12"/>
        <v>1</v>
      </c>
      <c r="J133" s="349">
        <f t="shared" si="12"/>
        <v>1</v>
      </c>
      <c r="K133" s="349">
        <f t="shared" si="12"/>
        <v>1</v>
      </c>
      <c r="L133" s="349">
        <f t="shared" si="12"/>
        <v>1</v>
      </c>
      <c r="M133" s="349">
        <f t="shared" si="12"/>
        <v>1</v>
      </c>
      <c r="N133" s="349">
        <f t="shared" si="12"/>
        <v>1</v>
      </c>
      <c r="O133" s="349">
        <f t="shared" si="12"/>
        <v>0.75</v>
      </c>
      <c r="P133" s="349">
        <f t="shared" si="12"/>
        <v>0.5</v>
      </c>
      <c r="Q133" s="349">
        <f t="shared" si="12"/>
        <v>0</v>
      </c>
      <c r="R133" s="349">
        <f t="shared" si="12"/>
        <v>0</v>
      </c>
      <c r="S133" s="349">
        <f t="shared" si="12"/>
        <v>0</v>
      </c>
      <c r="T133" s="349">
        <f t="shared" si="12"/>
        <v>0</v>
      </c>
      <c r="U133" s="349">
        <f t="shared" si="12"/>
        <v>0</v>
      </c>
      <c r="V133" s="349">
        <f t="shared" si="12"/>
        <v>0</v>
      </c>
      <c r="W133" s="349">
        <f t="shared" si="12"/>
        <v>0</v>
      </c>
      <c r="X133" s="349">
        <f t="shared" si="12"/>
        <v>0</v>
      </c>
      <c r="Y133" s="349">
        <f t="shared" si="12"/>
        <v>0</v>
      </c>
      <c r="Z133" s="349">
        <f t="shared" si="12"/>
        <v>0</v>
      </c>
      <c r="AA133" s="349">
        <f t="shared" si="12"/>
        <v>0</v>
      </c>
      <c r="AB133" s="349">
        <f t="shared" si="12"/>
        <v>0</v>
      </c>
      <c r="AC133" s="349">
        <f t="shared" si="12"/>
        <v>0</v>
      </c>
      <c r="AD133" s="350"/>
      <c r="AE133" s="350"/>
      <c r="AF133" s="350"/>
      <c r="AG133" s="350"/>
      <c r="AH133" s="350"/>
      <c r="AI133" s="350"/>
    </row>
    <row r="134" spans="1:36" s="351" customFormat="1" ht="12.75" x14ac:dyDescent="0.2">
      <c r="A134" s="348" t="s">
        <v>158</v>
      </c>
      <c r="B134" s="349">
        <f>B133</f>
        <v>1</v>
      </c>
      <c r="C134" s="349">
        <f t="shared" ref="C134:D134" si="13">C133</f>
        <v>1</v>
      </c>
      <c r="D134" s="349">
        <f t="shared" si="13"/>
        <v>1</v>
      </c>
      <c r="E134" s="349">
        <f t="shared" ref="E134:AC134" si="14">INDEX(17:17,MATCH(E130-$F$128,16:16,0))</f>
        <v>1</v>
      </c>
      <c r="F134" s="349">
        <f t="shared" si="14"/>
        <v>1</v>
      </c>
      <c r="G134" s="349">
        <f t="shared" si="14"/>
        <v>1</v>
      </c>
      <c r="H134" s="349">
        <f t="shared" si="14"/>
        <v>1</v>
      </c>
      <c r="I134" s="349">
        <f t="shared" si="14"/>
        <v>1</v>
      </c>
      <c r="J134" s="349">
        <f t="shared" si="14"/>
        <v>1</v>
      </c>
      <c r="K134" s="349">
        <f t="shared" si="14"/>
        <v>1</v>
      </c>
      <c r="L134" s="349">
        <f t="shared" si="14"/>
        <v>1</v>
      </c>
      <c r="M134" s="349">
        <f t="shared" si="14"/>
        <v>1</v>
      </c>
      <c r="N134" s="349">
        <f t="shared" si="14"/>
        <v>1</v>
      </c>
      <c r="O134" s="349">
        <f t="shared" si="14"/>
        <v>1</v>
      </c>
      <c r="P134" s="349">
        <f t="shared" si="14"/>
        <v>1</v>
      </c>
      <c r="Q134" s="349">
        <f t="shared" si="14"/>
        <v>1</v>
      </c>
      <c r="R134" s="349">
        <f t="shared" si="14"/>
        <v>1</v>
      </c>
      <c r="S134" s="349">
        <f t="shared" si="14"/>
        <v>0.75</v>
      </c>
      <c r="T134" s="349">
        <f t="shared" si="14"/>
        <v>0.5</v>
      </c>
      <c r="U134" s="349">
        <f t="shared" si="14"/>
        <v>0</v>
      </c>
      <c r="V134" s="349">
        <f t="shared" si="14"/>
        <v>0</v>
      </c>
      <c r="W134" s="349">
        <f t="shared" si="14"/>
        <v>0</v>
      </c>
      <c r="X134" s="349">
        <f t="shared" si="14"/>
        <v>0</v>
      </c>
      <c r="Y134" s="349">
        <f t="shared" si="14"/>
        <v>0</v>
      </c>
      <c r="Z134" s="349">
        <f t="shared" si="14"/>
        <v>0</v>
      </c>
      <c r="AA134" s="349">
        <f t="shared" si="14"/>
        <v>0</v>
      </c>
      <c r="AB134" s="349">
        <f t="shared" si="14"/>
        <v>0</v>
      </c>
      <c r="AC134" s="349">
        <f t="shared" si="14"/>
        <v>0</v>
      </c>
      <c r="AD134" s="350"/>
      <c r="AE134" s="350"/>
      <c r="AF134" s="350"/>
      <c r="AG134" s="350"/>
      <c r="AH134" s="350"/>
      <c r="AI134" s="350"/>
    </row>
    <row r="135" spans="1:36" ht="25.5" x14ac:dyDescent="0.2">
      <c r="A135" s="102" t="s">
        <v>159</v>
      </c>
      <c r="B135" s="116">
        <f>B114</f>
        <v>1</v>
      </c>
      <c r="C135" s="116">
        <f t="shared" ref="C135:AC135" si="15">C114</f>
        <v>1</v>
      </c>
      <c r="D135" s="116">
        <f t="shared" si="15"/>
        <v>1</v>
      </c>
      <c r="E135" s="116">
        <f t="shared" si="15"/>
        <v>1</v>
      </c>
      <c r="F135" s="116">
        <f t="shared" si="15"/>
        <v>1</v>
      </c>
      <c r="G135" s="116">
        <f t="shared" si="15"/>
        <v>1</v>
      </c>
      <c r="H135" s="116">
        <f t="shared" si="15"/>
        <v>0.66700000000000004</v>
      </c>
      <c r="I135" s="116">
        <f t="shared" si="15"/>
        <v>0.33300000000000002</v>
      </c>
      <c r="J135" s="116">
        <f t="shared" si="15"/>
        <v>0</v>
      </c>
      <c r="K135" s="116">
        <f t="shared" si="15"/>
        <v>0</v>
      </c>
      <c r="L135" s="116">
        <f t="shared" si="15"/>
        <v>0</v>
      </c>
      <c r="M135" s="116">
        <f t="shared" si="15"/>
        <v>0</v>
      </c>
      <c r="N135" s="116">
        <f t="shared" si="15"/>
        <v>0</v>
      </c>
      <c r="O135" s="116">
        <f t="shared" si="15"/>
        <v>0</v>
      </c>
      <c r="P135" s="116">
        <f t="shared" si="15"/>
        <v>0</v>
      </c>
      <c r="Q135" s="116">
        <f t="shared" si="15"/>
        <v>0</v>
      </c>
      <c r="R135" s="116">
        <f t="shared" si="15"/>
        <v>0</v>
      </c>
      <c r="S135" s="116">
        <f t="shared" si="15"/>
        <v>0</v>
      </c>
      <c r="T135" s="116">
        <f t="shared" si="15"/>
        <v>0</v>
      </c>
      <c r="U135" s="116">
        <f t="shared" si="15"/>
        <v>0</v>
      </c>
      <c r="V135" s="116">
        <f t="shared" si="15"/>
        <v>0</v>
      </c>
      <c r="W135" s="116">
        <f t="shared" si="15"/>
        <v>0</v>
      </c>
      <c r="X135" s="116">
        <f t="shared" si="15"/>
        <v>0</v>
      </c>
      <c r="Y135" s="116">
        <f t="shared" si="15"/>
        <v>0</v>
      </c>
      <c r="Z135" s="116">
        <f t="shared" si="15"/>
        <v>0</v>
      </c>
      <c r="AA135" s="116">
        <f t="shared" si="15"/>
        <v>0</v>
      </c>
      <c r="AB135" s="116">
        <f t="shared" si="15"/>
        <v>0</v>
      </c>
      <c r="AC135" s="116">
        <f t="shared" si="15"/>
        <v>0</v>
      </c>
      <c r="AD135" s="76"/>
      <c r="AE135" s="76"/>
      <c r="AF135" s="76"/>
      <c r="AG135" s="76"/>
      <c r="AH135" s="76"/>
      <c r="AI135" s="76"/>
    </row>
    <row r="136" spans="1:36" ht="38.25" x14ac:dyDescent="0.2">
      <c r="A136" s="102" t="s">
        <v>160</v>
      </c>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76"/>
      <c r="AF136" s="76"/>
      <c r="AG136" s="76"/>
      <c r="AH136" s="76"/>
      <c r="AI136" s="76"/>
      <c r="AJ136" s="76"/>
    </row>
    <row r="137" spans="1:36" ht="12.75" x14ac:dyDescent="0.2">
      <c r="A137" s="84"/>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row>
    <row r="138" spans="1:36" ht="12.75" x14ac:dyDescent="0.2">
      <c r="A138" s="102" t="s">
        <v>161</v>
      </c>
      <c r="B138" s="119">
        <v>0.06</v>
      </c>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row>
    <row r="139" spans="1:36" ht="12.75" x14ac:dyDescent="0.2">
      <c r="A139" s="102" t="s">
        <v>162</v>
      </c>
      <c r="B139" s="119">
        <v>0.3</v>
      </c>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row>
    <row r="140" spans="1:36" ht="12.75" x14ac:dyDescent="0.2">
      <c r="A140" s="102" t="s">
        <v>130</v>
      </c>
      <c r="B140" s="119">
        <v>0.1</v>
      </c>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row>
    <row r="141" spans="1:36" ht="12.75" x14ac:dyDescent="0.2">
      <c r="A141" s="76" t="s">
        <v>133</v>
      </c>
      <c r="B141" s="95">
        <v>7.4999999999999997E-2</v>
      </c>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row>
    <row r="142" spans="1:36" ht="12.75" x14ac:dyDescent="0.2">
      <c r="A142" s="102" t="s">
        <v>135</v>
      </c>
      <c r="B142" s="109">
        <v>0.1</v>
      </c>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row>
    <row r="143" spans="1:36" ht="25.5" x14ac:dyDescent="0.2">
      <c r="A143" s="102" t="s">
        <v>136</v>
      </c>
      <c r="B143" s="109">
        <v>0.5</v>
      </c>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row>
    <row r="144" spans="1:36" ht="12.75" x14ac:dyDescent="0.2">
      <c r="A144" s="84"/>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row>
    <row r="145" spans="1:74" ht="12.75" x14ac:dyDescent="0.2">
      <c r="A145" s="120" t="s">
        <v>163</v>
      </c>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row>
    <row r="146" spans="1:74" ht="12.75" x14ac:dyDescent="0.2">
      <c r="A146" s="102"/>
      <c r="B146" s="102">
        <v>2023</v>
      </c>
      <c r="C146" s="102">
        <v>2024</v>
      </c>
      <c r="D146" s="102">
        <v>2025</v>
      </c>
      <c r="E146" s="102">
        <v>2026</v>
      </c>
      <c r="F146" s="102">
        <v>2027</v>
      </c>
      <c r="G146" s="102">
        <v>2028</v>
      </c>
      <c r="H146" s="102">
        <v>2029</v>
      </c>
      <c r="I146" s="102">
        <v>2030</v>
      </c>
      <c r="J146" s="102">
        <v>2031</v>
      </c>
      <c r="K146" s="102">
        <v>2032</v>
      </c>
      <c r="L146" s="102">
        <v>2033</v>
      </c>
      <c r="M146" s="102">
        <v>2034</v>
      </c>
      <c r="N146" s="102">
        <v>2035</v>
      </c>
      <c r="O146" s="102">
        <v>2036</v>
      </c>
      <c r="P146" s="102">
        <v>2037</v>
      </c>
      <c r="Q146" s="102">
        <v>2038</v>
      </c>
      <c r="R146" s="102">
        <v>2039</v>
      </c>
      <c r="S146" s="102">
        <v>2040</v>
      </c>
      <c r="T146" s="102">
        <v>2041</v>
      </c>
      <c r="U146" s="102">
        <v>2042</v>
      </c>
      <c r="V146" s="102">
        <v>2043</v>
      </c>
      <c r="W146" s="102">
        <v>2044</v>
      </c>
      <c r="X146" s="102">
        <v>2045</v>
      </c>
      <c r="Y146" s="102">
        <v>2046</v>
      </c>
      <c r="Z146" s="102">
        <v>2047</v>
      </c>
      <c r="AA146" s="102">
        <v>2048</v>
      </c>
      <c r="AB146" s="102">
        <v>2049</v>
      </c>
      <c r="AC146" s="102">
        <v>2050</v>
      </c>
      <c r="AD146" s="102"/>
      <c r="AE146" s="102"/>
      <c r="AF146" s="76"/>
      <c r="AG146" s="76"/>
      <c r="AH146" s="76"/>
      <c r="AI146" s="76"/>
      <c r="AJ146" s="76"/>
    </row>
    <row r="147" spans="1:74" ht="12.75" x14ac:dyDescent="0.2">
      <c r="A147" s="76" t="s">
        <v>164</v>
      </c>
      <c r="B147" s="342">
        <f>(($B$139*C52+$B$138*(1-C52))+($B$140*C82)+($B$142*$B$143))*(1-$B$141)*B131</f>
        <v>0.37019212259371836</v>
      </c>
      <c r="C147" s="342">
        <f>(($B$139*D52+$B$138*(1-D52))+($B$140*D82)+($B$142*$B$143))*(1-$B$141)*C131</f>
        <v>0.37753261144883488</v>
      </c>
      <c r="D147" s="342">
        <f>(($B$139*E52+$B$138*(1-E52))+($B$140*E82)+($B$142*$B$143))*(1-$B$141)*D131</f>
        <v>0.38487310030395139</v>
      </c>
      <c r="E147" s="117">
        <v>0</v>
      </c>
      <c r="F147" s="117">
        <v>0</v>
      </c>
      <c r="G147" s="117">
        <v>0</v>
      </c>
      <c r="H147" s="117">
        <v>0</v>
      </c>
      <c r="I147" s="117">
        <v>0</v>
      </c>
      <c r="J147" s="117">
        <v>0</v>
      </c>
      <c r="K147" s="117">
        <v>0</v>
      </c>
      <c r="L147" s="117">
        <v>0</v>
      </c>
      <c r="M147" s="117">
        <v>0</v>
      </c>
      <c r="N147" s="117">
        <v>0</v>
      </c>
      <c r="O147" s="117">
        <v>0</v>
      </c>
      <c r="P147" s="117">
        <v>0</v>
      </c>
      <c r="Q147" s="117">
        <v>0</v>
      </c>
      <c r="R147" s="117">
        <v>0</v>
      </c>
      <c r="S147" s="117">
        <v>0</v>
      </c>
      <c r="T147" s="117">
        <v>0</v>
      </c>
      <c r="U147" s="117">
        <v>0</v>
      </c>
      <c r="V147" s="117">
        <v>0</v>
      </c>
      <c r="W147" s="117">
        <v>0</v>
      </c>
      <c r="X147" s="117">
        <v>0</v>
      </c>
      <c r="Y147" s="117">
        <v>0</v>
      </c>
      <c r="Z147" s="117">
        <v>0</v>
      </c>
      <c r="AA147" s="117">
        <v>0</v>
      </c>
      <c r="AB147" s="117">
        <v>0</v>
      </c>
      <c r="AC147" s="117">
        <v>0</v>
      </c>
      <c r="AD147" s="102"/>
      <c r="AE147" s="102"/>
      <c r="AF147" s="76"/>
      <c r="AG147" s="76"/>
      <c r="AH147" s="76"/>
      <c r="AI147" s="76"/>
      <c r="AJ147" s="76"/>
    </row>
    <row r="148" spans="1:74" ht="25.5" x14ac:dyDescent="0.2">
      <c r="A148" s="102" t="s">
        <v>146</v>
      </c>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02"/>
      <c r="X148" s="102"/>
      <c r="Y148" s="102"/>
      <c r="Z148" s="102"/>
      <c r="AA148" s="102"/>
      <c r="AB148" s="102"/>
      <c r="AC148" s="102"/>
      <c r="AD148" s="102"/>
      <c r="AE148" s="102"/>
      <c r="AF148" s="76"/>
      <c r="AG148" s="76"/>
      <c r="AH148" s="76"/>
      <c r="AI148" s="76"/>
      <c r="AJ148" s="76"/>
    </row>
    <row r="149" spans="1:74" ht="12.75" x14ac:dyDescent="0.2">
      <c r="A149" s="102"/>
      <c r="B149" s="117">
        <v>2023</v>
      </c>
      <c r="C149" s="117">
        <v>2024</v>
      </c>
      <c r="D149" s="117">
        <v>2025</v>
      </c>
      <c r="E149" s="117">
        <v>2026</v>
      </c>
      <c r="F149" s="117">
        <v>2027</v>
      </c>
      <c r="G149" s="117">
        <v>2028</v>
      </c>
      <c r="H149" s="117">
        <v>2029</v>
      </c>
      <c r="I149" s="117">
        <v>2030</v>
      </c>
      <c r="J149" s="117">
        <v>2031</v>
      </c>
      <c r="K149" s="117">
        <v>2032</v>
      </c>
      <c r="L149" s="117">
        <v>2033</v>
      </c>
      <c r="M149" s="117">
        <v>2034</v>
      </c>
      <c r="N149" s="117">
        <v>2035</v>
      </c>
      <c r="O149" s="117">
        <v>2036</v>
      </c>
      <c r="P149" s="117">
        <v>2037</v>
      </c>
      <c r="Q149" s="117">
        <v>2038</v>
      </c>
      <c r="R149" s="117">
        <v>2039</v>
      </c>
      <c r="S149" s="117">
        <v>2040</v>
      </c>
      <c r="T149" s="117">
        <v>2041</v>
      </c>
      <c r="U149" s="117">
        <v>2042</v>
      </c>
      <c r="V149" s="117">
        <v>2043</v>
      </c>
      <c r="W149" s="102">
        <v>2044</v>
      </c>
      <c r="X149" s="102">
        <v>2045</v>
      </c>
      <c r="Y149" s="102">
        <v>2046</v>
      </c>
      <c r="Z149" s="102">
        <v>2047</v>
      </c>
      <c r="AA149" s="102">
        <v>2048</v>
      </c>
      <c r="AB149" s="102">
        <v>2049</v>
      </c>
      <c r="AC149" s="102">
        <v>2050</v>
      </c>
      <c r="AD149" s="102"/>
      <c r="AE149" s="102"/>
      <c r="AF149" s="76"/>
      <c r="AG149" s="76"/>
      <c r="AH149" s="76"/>
      <c r="AI149" s="76"/>
      <c r="AJ149" s="76"/>
    </row>
    <row r="150" spans="1:74" ht="12.75" x14ac:dyDescent="0.2">
      <c r="A150" s="76" t="s">
        <v>165</v>
      </c>
      <c r="B150" s="117">
        <f t="shared" ref="B150:AC150" si="16">(($B$139*C52+$B$138*(1-C52))+($B$140*C84)+($B$142*$B$143))*(1-$B$141)*B132</f>
        <v>0.41625000000000001</v>
      </c>
      <c r="C150" s="117">
        <f t="shared" si="16"/>
        <v>0.41625000000000001</v>
      </c>
      <c r="D150" s="117">
        <f t="shared" si="16"/>
        <v>0.41625000000000001</v>
      </c>
      <c r="E150" s="117">
        <f t="shared" si="16"/>
        <v>0.41625000000000001</v>
      </c>
      <c r="F150" s="117">
        <f t="shared" si="16"/>
        <v>0.41625000000000001</v>
      </c>
      <c r="G150" s="117">
        <f t="shared" si="16"/>
        <v>0.41625000000000001</v>
      </c>
      <c r="H150" s="117">
        <f t="shared" si="16"/>
        <v>0.27763875000000005</v>
      </c>
      <c r="I150" s="117">
        <f t="shared" si="16"/>
        <v>0.13861125000000002</v>
      </c>
      <c r="J150" s="117">
        <f t="shared" si="16"/>
        <v>0</v>
      </c>
      <c r="K150" s="117">
        <f t="shared" si="16"/>
        <v>0</v>
      </c>
      <c r="L150" s="117">
        <f t="shared" si="16"/>
        <v>0</v>
      </c>
      <c r="M150" s="117">
        <f t="shared" si="16"/>
        <v>0</v>
      </c>
      <c r="N150" s="117">
        <f t="shared" si="16"/>
        <v>0</v>
      </c>
      <c r="O150" s="117">
        <f t="shared" si="16"/>
        <v>0</v>
      </c>
      <c r="P150" s="117">
        <f t="shared" si="16"/>
        <v>0</v>
      </c>
      <c r="Q150" s="117">
        <f t="shared" si="16"/>
        <v>0</v>
      </c>
      <c r="R150" s="117">
        <f t="shared" si="16"/>
        <v>0</v>
      </c>
      <c r="S150" s="117">
        <f t="shared" si="16"/>
        <v>0</v>
      </c>
      <c r="T150" s="117">
        <f t="shared" si="16"/>
        <v>0</v>
      </c>
      <c r="U150" s="117">
        <f t="shared" si="16"/>
        <v>0</v>
      </c>
      <c r="V150" s="117">
        <f t="shared" si="16"/>
        <v>0</v>
      </c>
      <c r="W150" s="117">
        <f t="shared" si="16"/>
        <v>0</v>
      </c>
      <c r="X150" s="117">
        <f t="shared" si="16"/>
        <v>0</v>
      </c>
      <c r="Y150" s="117">
        <f t="shared" si="16"/>
        <v>0</v>
      </c>
      <c r="Z150" s="117">
        <f t="shared" si="16"/>
        <v>0</v>
      </c>
      <c r="AA150" s="117">
        <f t="shared" si="16"/>
        <v>0</v>
      </c>
      <c r="AB150" s="117">
        <f t="shared" si="16"/>
        <v>0</v>
      </c>
      <c r="AC150" s="117">
        <f t="shared" si="16"/>
        <v>0</v>
      </c>
      <c r="AD150" s="102"/>
      <c r="AE150" s="102"/>
      <c r="AF150" s="76"/>
      <c r="AG150" s="76"/>
      <c r="AH150" s="76"/>
      <c r="AI150" s="76"/>
      <c r="AJ150" s="76"/>
    </row>
    <row r="151" spans="1:74" ht="12.75" x14ac:dyDescent="0.2">
      <c r="A151" s="76"/>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02"/>
      <c r="X151" s="102"/>
      <c r="Y151" s="102"/>
      <c r="Z151" s="102"/>
      <c r="AA151" s="102"/>
      <c r="AB151" s="102"/>
      <c r="AC151" s="102"/>
      <c r="AD151" s="102"/>
      <c r="AE151" s="102"/>
      <c r="AF151" s="76"/>
      <c r="AG151" s="76"/>
      <c r="AH151" s="76"/>
      <c r="AI151" s="76"/>
      <c r="AJ151" s="76"/>
    </row>
    <row r="152" spans="1:74" ht="12.75" x14ac:dyDescent="0.2">
      <c r="A152" s="102"/>
      <c r="B152" s="117">
        <v>2023</v>
      </c>
      <c r="C152" s="117">
        <v>2024</v>
      </c>
      <c r="D152" s="117">
        <v>2025</v>
      </c>
      <c r="E152" s="117">
        <v>2026</v>
      </c>
      <c r="F152" s="117">
        <v>2027</v>
      </c>
      <c r="G152" s="117">
        <v>2028</v>
      </c>
      <c r="H152" s="117">
        <v>2029</v>
      </c>
      <c r="I152" s="117">
        <v>2030</v>
      </c>
      <c r="J152" s="117">
        <v>2031</v>
      </c>
      <c r="K152" s="117">
        <v>2032</v>
      </c>
      <c r="L152" s="117">
        <v>2033</v>
      </c>
      <c r="M152" s="117">
        <v>2034</v>
      </c>
      <c r="N152" s="117">
        <v>2035</v>
      </c>
      <c r="O152" s="117">
        <v>2036</v>
      </c>
      <c r="P152" s="117">
        <v>2037</v>
      </c>
      <c r="Q152" s="117">
        <v>2038</v>
      </c>
      <c r="R152" s="117">
        <v>2039</v>
      </c>
      <c r="S152" s="117">
        <v>2040</v>
      </c>
      <c r="T152" s="117">
        <v>2041</v>
      </c>
      <c r="U152" s="117">
        <v>2042</v>
      </c>
      <c r="V152" s="117">
        <v>2043</v>
      </c>
      <c r="W152" s="102">
        <v>2044</v>
      </c>
      <c r="X152" s="102">
        <v>2045</v>
      </c>
      <c r="Y152" s="102">
        <v>2046</v>
      </c>
      <c r="Z152" s="102">
        <v>2047</v>
      </c>
      <c r="AA152" s="102">
        <v>2048</v>
      </c>
      <c r="AB152" s="102">
        <v>2049</v>
      </c>
      <c r="AC152" s="102">
        <v>2050</v>
      </c>
      <c r="AD152" s="102"/>
      <c r="AE152" s="102"/>
      <c r="AF152" s="76"/>
      <c r="AG152" s="76"/>
      <c r="AH152" s="76"/>
      <c r="AI152" s="76"/>
      <c r="AJ152" s="76"/>
    </row>
    <row r="153" spans="1:74" ht="12.75" x14ac:dyDescent="0.2">
      <c r="A153" s="76" t="s">
        <v>166</v>
      </c>
      <c r="B153" s="117">
        <f>(($B$139*C52+$B$138*(1-C52))+($B$140*C84)+($B$142*$B$143))*(1-$B$141)*B133</f>
        <v>0.41625000000000001</v>
      </c>
      <c r="C153" s="117">
        <f t="shared" ref="C153:AC153" si="17">(($B$139*D52+$B$138*(1-D52))+($B$140*D84)+($B$142*$B$143))*(1-$B$141)*C133</f>
        <v>0.41625000000000001</v>
      </c>
      <c r="D153" s="117">
        <f t="shared" si="17"/>
        <v>0.41625000000000001</v>
      </c>
      <c r="E153" s="117">
        <f t="shared" si="17"/>
        <v>0.41625000000000001</v>
      </c>
      <c r="F153" s="117">
        <f t="shared" si="17"/>
        <v>0.41625000000000001</v>
      </c>
      <c r="G153" s="117">
        <f t="shared" si="17"/>
        <v>0.41625000000000001</v>
      </c>
      <c r="H153" s="117">
        <f t="shared" si="17"/>
        <v>0.41625000000000001</v>
      </c>
      <c r="I153" s="117">
        <f t="shared" si="17"/>
        <v>0.41625000000000001</v>
      </c>
      <c r="J153" s="117">
        <f t="shared" si="17"/>
        <v>0.41625000000000001</v>
      </c>
      <c r="K153" s="117">
        <f t="shared" si="17"/>
        <v>0.41625000000000001</v>
      </c>
      <c r="L153" s="117">
        <f t="shared" si="17"/>
        <v>0.41625000000000001</v>
      </c>
      <c r="M153" s="117">
        <f t="shared" si="17"/>
        <v>0.41625000000000001</v>
      </c>
      <c r="N153" s="117">
        <f t="shared" si="17"/>
        <v>0.41625000000000001</v>
      </c>
      <c r="O153" s="117">
        <f t="shared" si="17"/>
        <v>0.31218750000000001</v>
      </c>
      <c r="P153" s="117">
        <f t="shared" si="17"/>
        <v>0.208125</v>
      </c>
      <c r="Q153" s="117">
        <f t="shared" si="17"/>
        <v>0</v>
      </c>
      <c r="R153" s="117">
        <f t="shared" si="17"/>
        <v>0</v>
      </c>
      <c r="S153" s="117">
        <f t="shared" si="17"/>
        <v>0</v>
      </c>
      <c r="T153" s="117">
        <f t="shared" si="17"/>
        <v>0</v>
      </c>
      <c r="U153" s="117">
        <f t="shared" si="17"/>
        <v>0</v>
      </c>
      <c r="V153" s="117">
        <f t="shared" si="17"/>
        <v>0</v>
      </c>
      <c r="W153" s="117">
        <f t="shared" si="17"/>
        <v>0</v>
      </c>
      <c r="X153" s="117">
        <f t="shared" si="17"/>
        <v>0</v>
      </c>
      <c r="Y153" s="117">
        <f t="shared" si="17"/>
        <v>0</v>
      </c>
      <c r="Z153" s="117">
        <f t="shared" si="17"/>
        <v>0</v>
      </c>
      <c r="AA153" s="117">
        <f t="shared" si="17"/>
        <v>0</v>
      </c>
      <c r="AB153" s="117">
        <f t="shared" si="17"/>
        <v>0</v>
      </c>
      <c r="AC153" s="117">
        <f t="shared" si="17"/>
        <v>0</v>
      </c>
      <c r="AD153" s="102"/>
      <c r="AE153" s="102"/>
      <c r="AF153" s="76"/>
      <c r="AG153" s="76"/>
      <c r="AH153" s="76"/>
      <c r="AI153" s="76"/>
      <c r="AJ153" s="76"/>
    </row>
    <row r="154" spans="1:74" ht="12.75" x14ac:dyDescent="0.2">
      <c r="A154" s="76" t="s">
        <v>167</v>
      </c>
      <c r="B154" s="117">
        <f>(($B$139*C52+$B$138*(1-C52))+($B$140*C84)+($B$142*$B$143))*(1-$B$141)*B134</f>
        <v>0.41625000000000001</v>
      </c>
      <c r="C154" s="117">
        <f t="shared" ref="C154:AC154" si="18">(($B$139*D52+$B$138*(1-D52))+($B$140*D84)+($B$142*$B$143))*(1-$B$141)*C134</f>
        <v>0.41625000000000001</v>
      </c>
      <c r="D154" s="117">
        <f t="shared" si="18"/>
        <v>0.41625000000000001</v>
      </c>
      <c r="E154" s="117">
        <f t="shared" si="18"/>
        <v>0.41625000000000001</v>
      </c>
      <c r="F154" s="117">
        <f t="shared" si="18"/>
        <v>0.41625000000000001</v>
      </c>
      <c r="G154" s="117">
        <f t="shared" si="18"/>
        <v>0.41625000000000001</v>
      </c>
      <c r="H154" s="117">
        <f t="shared" si="18"/>
        <v>0.41625000000000001</v>
      </c>
      <c r="I154" s="117">
        <f t="shared" si="18"/>
        <v>0.41625000000000001</v>
      </c>
      <c r="J154" s="117">
        <f t="shared" si="18"/>
        <v>0.41625000000000001</v>
      </c>
      <c r="K154" s="117">
        <f t="shared" si="18"/>
        <v>0.41625000000000001</v>
      </c>
      <c r="L154" s="117">
        <f t="shared" si="18"/>
        <v>0.41625000000000001</v>
      </c>
      <c r="M154" s="117">
        <f t="shared" si="18"/>
        <v>0.41625000000000001</v>
      </c>
      <c r="N154" s="117">
        <f t="shared" si="18"/>
        <v>0.41625000000000001</v>
      </c>
      <c r="O154" s="117">
        <f t="shared" si="18"/>
        <v>0.41625000000000001</v>
      </c>
      <c r="P154" s="117">
        <f t="shared" si="18"/>
        <v>0.41625000000000001</v>
      </c>
      <c r="Q154" s="117">
        <f t="shared" si="18"/>
        <v>0.41625000000000001</v>
      </c>
      <c r="R154" s="117">
        <f t="shared" si="18"/>
        <v>0.41625000000000001</v>
      </c>
      <c r="S154" s="117">
        <f t="shared" si="18"/>
        <v>0.31218750000000001</v>
      </c>
      <c r="T154" s="117">
        <f t="shared" si="18"/>
        <v>0.208125</v>
      </c>
      <c r="U154" s="117">
        <f t="shared" si="18"/>
        <v>0</v>
      </c>
      <c r="V154" s="117">
        <f t="shared" si="18"/>
        <v>0</v>
      </c>
      <c r="W154" s="117">
        <f t="shared" si="18"/>
        <v>0</v>
      </c>
      <c r="X154" s="117">
        <f t="shared" si="18"/>
        <v>0</v>
      </c>
      <c r="Y154" s="117">
        <f t="shared" si="18"/>
        <v>0</v>
      </c>
      <c r="Z154" s="117">
        <f t="shared" si="18"/>
        <v>0</v>
      </c>
      <c r="AA154" s="117">
        <f t="shared" si="18"/>
        <v>0</v>
      </c>
      <c r="AB154" s="117">
        <f t="shared" si="18"/>
        <v>0</v>
      </c>
      <c r="AC154" s="117">
        <f t="shared" si="18"/>
        <v>0</v>
      </c>
      <c r="AD154" s="102"/>
      <c r="AE154" s="102"/>
      <c r="AF154" s="76"/>
      <c r="AG154" s="76"/>
      <c r="AH154" s="76"/>
      <c r="AI154" s="76"/>
      <c r="AJ154" s="76"/>
    </row>
    <row r="155" spans="1:74" ht="12.75" x14ac:dyDescent="0.2">
      <c r="A155" s="102"/>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02"/>
      <c r="X155" s="102"/>
      <c r="Y155" s="102"/>
      <c r="Z155" s="102"/>
      <c r="AA155" s="102"/>
      <c r="AB155" s="102"/>
      <c r="AC155" s="102"/>
      <c r="AD155" s="102"/>
      <c r="AE155" s="102"/>
      <c r="AF155" s="76"/>
      <c r="AG155" s="76"/>
      <c r="AH155" s="76"/>
      <c r="AI155" s="76"/>
      <c r="AJ155" s="76"/>
    </row>
    <row r="156" spans="1:74" ht="12.75" x14ac:dyDescent="0.2">
      <c r="A156" s="102"/>
      <c r="B156" s="117">
        <v>2023</v>
      </c>
      <c r="C156" s="117">
        <v>2024</v>
      </c>
      <c r="D156" s="117">
        <v>2025</v>
      </c>
      <c r="E156" s="117">
        <v>2026</v>
      </c>
      <c r="F156" s="117">
        <v>2027</v>
      </c>
      <c r="G156" s="117">
        <v>2028</v>
      </c>
      <c r="H156" s="117">
        <v>2029</v>
      </c>
      <c r="I156" s="117">
        <v>2030</v>
      </c>
      <c r="J156" s="117">
        <v>2031</v>
      </c>
      <c r="K156" s="117">
        <v>2032</v>
      </c>
      <c r="L156" s="117">
        <v>2033</v>
      </c>
      <c r="M156" s="117">
        <v>2034</v>
      </c>
      <c r="N156" s="117">
        <v>2035</v>
      </c>
      <c r="O156" s="117">
        <v>2036</v>
      </c>
      <c r="P156" s="117">
        <v>2037</v>
      </c>
      <c r="Q156" s="117">
        <v>2038</v>
      </c>
      <c r="R156" s="117">
        <v>2039</v>
      </c>
      <c r="S156" s="117">
        <v>2040</v>
      </c>
      <c r="T156" s="117">
        <v>2041</v>
      </c>
      <c r="U156" s="117">
        <v>2042</v>
      </c>
      <c r="V156" s="117">
        <v>2043</v>
      </c>
      <c r="W156" s="102">
        <v>2044</v>
      </c>
      <c r="X156" s="102">
        <v>2045</v>
      </c>
      <c r="Y156" s="102">
        <v>2046</v>
      </c>
      <c r="Z156" s="102">
        <v>2047</v>
      </c>
      <c r="AA156" s="102">
        <v>2048</v>
      </c>
      <c r="AB156" s="102">
        <v>2049</v>
      </c>
      <c r="AC156" s="102">
        <v>2050</v>
      </c>
      <c r="AD156" s="102"/>
      <c r="AE156" s="102"/>
      <c r="AF156" s="76"/>
      <c r="AG156" s="76"/>
      <c r="AH156" s="76"/>
      <c r="AI156" s="76"/>
      <c r="AJ156" s="76"/>
    </row>
    <row r="157" spans="1:74" ht="12.75" x14ac:dyDescent="0.2">
      <c r="A157" s="76" t="s">
        <v>168</v>
      </c>
      <c r="B157" s="117">
        <f t="shared" ref="B157:AC157" si="19">(($B$139*C52+$B$138*(1-C52))+($B$140*C84)+($B$142*$B$143))*(1-$B$141)*B135</f>
        <v>0.41625000000000001</v>
      </c>
      <c r="C157" s="117">
        <f t="shared" si="19"/>
        <v>0.41625000000000001</v>
      </c>
      <c r="D157" s="117">
        <f t="shared" si="19"/>
        <v>0.41625000000000001</v>
      </c>
      <c r="E157" s="117">
        <f t="shared" si="19"/>
        <v>0.41625000000000001</v>
      </c>
      <c r="F157" s="117">
        <f t="shared" si="19"/>
        <v>0.41625000000000001</v>
      </c>
      <c r="G157" s="117">
        <f t="shared" si="19"/>
        <v>0.41625000000000001</v>
      </c>
      <c r="H157" s="117">
        <f t="shared" si="19"/>
        <v>0.27763875000000005</v>
      </c>
      <c r="I157" s="117">
        <f t="shared" si="19"/>
        <v>0.13861125000000002</v>
      </c>
      <c r="J157" s="117">
        <f t="shared" si="19"/>
        <v>0</v>
      </c>
      <c r="K157" s="117">
        <f t="shared" si="19"/>
        <v>0</v>
      </c>
      <c r="L157" s="117">
        <f t="shared" si="19"/>
        <v>0</v>
      </c>
      <c r="M157" s="117">
        <f t="shared" si="19"/>
        <v>0</v>
      </c>
      <c r="N157" s="117">
        <f t="shared" si="19"/>
        <v>0</v>
      </c>
      <c r="O157" s="117">
        <f t="shared" si="19"/>
        <v>0</v>
      </c>
      <c r="P157" s="117">
        <f t="shared" si="19"/>
        <v>0</v>
      </c>
      <c r="Q157" s="117">
        <f t="shared" si="19"/>
        <v>0</v>
      </c>
      <c r="R157" s="117">
        <f t="shared" si="19"/>
        <v>0</v>
      </c>
      <c r="S157" s="117">
        <f t="shared" si="19"/>
        <v>0</v>
      </c>
      <c r="T157" s="117">
        <f t="shared" si="19"/>
        <v>0</v>
      </c>
      <c r="U157" s="117">
        <f t="shared" si="19"/>
        <v>0</v>
      </c>
      <c r="V157" s="117">
        <f t="shared" si="19"/>
        <v>0</v>
      </c>
      <c r="W157" s="117">
        <f t="shared" si="19"/>
        <v>0</v>
      </c>
      <c r="X157" s="117">
        <f t="shared" si="19"/>
        <v>0</v>
      </c>
      <c r="Y157" s="117">
        <f t="shared" si="19"/>
        <v>0</v>
      </c>
      <c r="Z157" s="117">
        <f t="shared" si="19"/>
        <v>0</v>
      </c>
      <c r="AA157" s="117">
        <f t="shared" si="19"/>
        <v>0</v>
      </c>
      <c r="AB157" s="117">
        <f t="shared" si="19"/>
        <v>0</v>
      </c>
      <c r="AC157" s="117">
        <f t="shared" si="19"/>
        <v>0</v>
      </c>
      <c r="AD157" s="102"/>
      <c r="AE157" s="102"/>
      <c r="AF157" s="76"/>
      <c r="AG157" s="76"/>
      <c r="AH157" s="76"/>
      <c r="AI157" s="76"/>
      <c r="AJ157" s="76"/>
    </row>
    <row r="158" spans="1:74" ht="12.75" x14ac:dyDescent="0.2">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row>
    <row r="159" spans="1:74" s="115" customFormat="1" ht="12.75" x14ac:dyDescent="0.2">
      <c r="A159" s="112" t="s">
        <v>169</v>
      </c>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3"/>
      <c r="AE159" s="113"/>
      <c r="AF159" s="114"/>
      <c r="AG159" s="114"/>
      <c r="AH159" s="114"/>
      <c r="AI159" s="114"/>
      <c r="AJ159" s="114"/>
    </row>
    <row r="160" spans="1:74" ht="12.75" x14ac:dyDescent="0.2">
      <c r="A160" s="76"/>
      <c r="B160" s="76">
        <v>2023</v>
      </c>
      <c r="C160" s="76">
        <v>2024</v>
      </c>
      <c r="D160" s="76">
        <v>2025</v>
      </c>
      <c r="E160" s="76">
        <v>2026</v>
      </c>
      <c r="F160" s="76">
        <v>2027</v>
      </c>
      <c r="G160" s="76">
        <v>2028</v>
      </c>
      <c r="H160" s="76">
        <v>2029</v>
      </c>
      <c r="I160" s="76">
        <v>2030</v>
      </c>
      <c r="J160" s="76">
        <v>2031</v>
      </c>
      <c r="K160" s="76">
        <v>2032</v>
      </c>
      <c r="L160" s="76">
        <v>2033</v>
      </c>
      <c r="M160" s="76">
        <v>2034</v>
      </c>
      <c r="N160" s="76">
        <v>2035</v>
      </c>
      <c r="O160" s="76">
        <v>2036</v>
      </c>
      <c r="P160" s="76">
        <v>2037</v>
      </c>
      <c r="Q160" s="76">
        <v>2038</v>
      </c>
      <c r="R160" s="76">
        <v>2039</v>
      </c>
      <c r="S160" s="76">
        <v>2040</v>
      </c>
      <c r="T160" s="76">
        <v>2041</v>
      </c>
      <c r="U160" s="76">
        <v>2042</v>
      </c>
      <c r="V160" s="76">
        <v>2043</v>
      </c>
      <c r="W160" s="76">
        <v>2044</v>
      </c>
      <c r="X160" s="76">
        <v>2045</v>
      </c>
      <c r="Y160" s="76">
        <v>2046</v>
      </c>
      <c r="Z160" s="76">
        <v>2047</v>
      </c>
      <c r="AA160" s="76">
        <v>2048</v>
      </c>
      <c r="AB160" s="76">
        <v>2049</v>
      </c>
      <c r="AC160" s="76">
        <v>2050</v>
      </c>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c r="BQ160" s="76"/>
      <c r="BR160" s="76"/>
      <c r="BS160" s="76"/>
      <c r="BT160" s="76"/>
      <c r="BU160" s="76"/>
      <c r="BV160" s="76"/>
    </row>
    <row r="161" spans="1:74" ht="12.75" x14ac:dyDescent="0.2">
      <c r="A161" s="76" t="s">
        <v>170</v>
      </c>
      <c r="B161" s="340">
        <f>'Solar - Utility PV'!O152/1000</f>
        <v>1.3313527873137889</v>
      </c>
      <c r="C161" s="340">
        <f>'Solar - Utility PV'!P152/1000</f>
        <v>1.2895074168949341</v>
      </c>
      <c r="D161" s="340">
        <f>'Solar - Utility PV'!Q152/1000</f>
        <v>1.247662046476079</v>
      </c>
      <c r="E161" s="340">
        <f>'Solar - Utility PV'!R152/1000</f>
        <v>1.2058166760572231</v>
      </c>
      <c r="F161" s="340">
        <f>'Solar - Utility PV'!S152/1000</f>
        <v>1.163971305638368</v>
      </c>
      <c r="G161" s="340">
        <f>'Solar - Utility PV'!T152/1000</f>
        <v>1.122125935219513</v>
      </c>
      <c r="H161" s="340">
        <f>'Solar - Utility PV'!U152/1000</f>
        <v>1.0802805648006581</v>
      </c>
      <c r="I161" s="340">
        <f>'Solar - Utility PV'!V152/1000</f>
        <v>1.038435194381802</v>
      </c>
      <c r="J161" s="340">
        <f>'Solar - Utility PV'!W152/1000</f>
        <v>0.99658982396294715</v>
      </c>
      <c r="K161" s="340">
        <f>'Solar - Utility PV'!X152/1000</f>
        <v>0.95474445354409199</v>
      </c>
      <c r="L161" s="340">
        <f>'Solar - Utility PV'!Y152/1000</f>
        <v>0.91289908312523671</v>
      </c>
      <c r="M161" s="340">
        <f>'Solar - Utility PV'!Z152/1000</f>
        <v>0.87105371270638143</v>
      </c>
      <c r="N161" s="340">
        <f>'Solar - Utility PV'!AA152/1000</f>
        <v>0.8292083422875256</v>
      </c>
      <c r="O161" s="340">
        <f>'Solar - Utility PV'!AB152/1000</f>
        <v>0.81609242237332258</v>
      </c>
      <c r="P161" s="340">
        <f>'Solar - Utility PV'!AC152/1000</f>
        <v>0.80297650245911978</v>
      </c>
      <c r="Q161" s="340">
        <f>'Solar - Utility PV'!AD152/1000</f>
        <v>0.78986058254491687</v>
      </c>
      <c r="R161" s="340">
        <f>'Solar - Utility PV'!AE152/1000</f>
        <v>0.77674466263071396</v>
      </c>
      <c r="S161" s="340">
        <f>'Solar - Utility PV'!AF152/1000</f>
        <v>0.76362874271651093</v>
      </c>
      <c r="T161" s="340">
        <f>'Solar - Utility PV'!AG152/1000</f>
        <v>0.75051282280230802</v>
      </c>
      <c r="U161" s="340">
        <f>'Solar - Utility PV'!AH152/1000</f>
        <v>0.73739690288810511</v>
      </c>
      <c r="V161" s="340">
        <f>'Solar - Utility PV'!AI152/1000</f>
        <v>0.7242809829739022</v>
      </c>
      <c r="W161" s="340">
        <f>'Solar - Utility PV'!AJ152/1000</f>
        <v>0.7111650630596994</v>
      </c>
      <c r="X161" s="340">
        <f>'Solar - Utility PV'!AK152/1000</f>
        <v>0.69804914314549638</v>
      </c>
      <c r="Y161" s="340">
        <f>'Solar - Utility PV'!AL152/1000</f>
        <v>0.68493322323129346</v>
      </c>
      <c r="Z161" s="340">
        <f>'Solar - Utility PV'!AM152/1000</f>
        <v>0.67181730331709055</v>
      </c>
      <c r="AA161" s="340">
        <f>'Solar - Utility PV'!AN152/1000</f>
        <v>0.65870138340288764</v>
      </c>
      <c r="AB161" s="340">
        <f>'Solar - Utility PV'!AO152/1000</f>
        <v>0.64558546348868484</v>
      </c>
      <c r="AC161" s="340">
        <f>'Solar - Utility PV'!AP152/1000</f>
        <v>0.63246954357448171</v>
      </c>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c r="BP161" s="76"/>
      <c r="BQ161" s="76"/>
      <c r="BR161" s="76"/>
      <c r="BS161" s="76"/>
      <c r="BT161" s="76"/>
      <c r="BU161" s="76"/>
      <c r="BV161" s="76"/>
    </row>
    <row r="162" spans="1:74" ht="12.75" x14ac:dyDescent="0.2">
      <c r="A162" s="76" t="s">
        <v>171</v>
      </c>
      <c r="B162" s="99">
        <v>0.25</v>
      </c>
      <c r="C162" s="99">
        <v>0.25</v>
      </c>
      <c r="D162" s="99">
        <v>0.25</v>
      </c>
      <c r="E162" s="99">
        <v>0.25</v>
      </c>
      <c r="F162" s="99">
        <v>0.25</v>
      </c>
      <c r="G162" s="99">
        <v>0.25</v>
      </c>
      <c r="H162" s="99">
        <v>0.25</v>
      </c>
      <c r="I162" s="99">
        <v>0.25</v>
      </c>
      <c r="J162" s="99">
        <v>0.25</v>
      </c>
      <c r="K162" s="99">
        <v>0.25</v>
      </c>
      <c r="L162" s="99">
        <v>0.25</v>
      </c>
      <c r="M162" s="99">
        <v>0.25</v>
      </c>
      <c r="N162" s="99">
        <v>0.25</v>
      </c>
      <c r="O162" s="99">
        <v>0.25</v>
      </c>
      <c r="P162" s="99">
        <v>0.25</v>
      </c>
      <c r="Q162" s="99">
        <v>0.25</v>
      </c>
      <c r="R162" s="99">
        <v>0.25</v>
      </c>
      <c r="S162" s="99">
        <v>0.25</v>
      </c>
      <c r="T162" s="99">
        <v>0.25</v>
      </c>
      <c r="U162" s="99">
        <v>0.25</v>
      </c>
      <c r="V162" s="99">
        <v>0.25</v>
      </c>
      <c r="W162" s="99">
        <v>0.25</v>
      </c>
      <c r="X162" s="99">
        <v>0.25</v>
      </c>
      <c r="Y162" s="99">
        <v>0.25</v>
      </c>
      <c r="Z162" s="99">
        <v>0.25</v>
      </c>
      <c r="AA162" s="99">
        <v>0.25</v>
      </c>
      <c r="AB162" s="99">
        <v>0.25</v>
      </c>
      <c r="AC162" s="99">
        <v>0.25</v>
      </c>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c r="BL162" s="76"/>
      <c r="BM162" s="76"/>
      <c r="BN162" s="76"/>
      <c r="BO162" s="76"/>
      <c r="BP162" s="76"/>
      <c r="BQ162" s="76"/>
      <c r="BR162" s="76"/>
      <c r="BS162" s="76"/>
      <c r="BT162" s="76"/>
      <c r="BU162" s="76"/>
      <c r="BV162" s="76"/>
    </row>
    <row r="163" spans="1:74" ht="12.75" x14ac:dyDescent="0.2">
      <c r="A163" s="76"/>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76"/>
      <c r="AE163" s="76"/>
      <c r="AF163" s="76"/>
      <c r="AG163" s="76"/>
      <c r="AH163" s="76"/>
      <c r="AI163" s="76"/>
      <c r="AJ163" s="76"/>
      <c r="AK163" s="76"/>
      <c r="AL163" s="76"/>
      <c r="AM163" s="76"/>
      <c r="AN163" s="76"/>
      <c r="AO163" s="76"/>
      <c r="AP163" s="76"/>
      <c r="AQ163" s="76"/>
      <c r="AR163" s="76"/>
      <c r="AS163" s="76"/>
      <c r="AT163" s="76"/>
      <c r="AU163" s="76"/>
      <c r="AV163" s="76"/>
      <c r="AW163" s="76"/>
      <c r="AX163" s="76"/>
      <c r="AY163" s="76"/>
      <c r="AZ163" s="76"/>
      <c r="BA163" s="76"/>
      <c r="BB163" s="76"/>
      <c r="BC163" s="76"/>
      <c r="BD163" s="76"/>
      <c r="BE163" s="76"/>
      <c r="BF163" s="76"/>
      <c r="BG163" s="76"/>
      <c r="BH163" s="76"/>
      <c r="BI163" s="76"/>
      <c r="BJ163" s="76"/>
      <c r="BK163" s="76"/>
      <c r="BL163" s="76"/>
      <c r="BM163" s="76"/>
      <c r="BN163" s="76"/>
      <c r="BO163" s="76"/>
      <c r="BP163" s="76"/>
      <c r="BQ163" s="76"/>
      <c r="BR163" s="76"/>
      <c r="BS163" s="76"/>
      <c r="BT163" s="76"/>
      <c r="BU163" s="76"/>
      <c r="BV163" s="76"/>
    </row>
    <row r="164" spans="1:74" ht="12.75" x14ac:dyDescent="0.2">
      <c r="A164" s="76" t="s">
        <v>148</v>
      </c>
      <c r="B164" s="340">
        <f>B147</f>
        <v>0.37019212259371836</v>
      </c>
      <c r="C164" s="340">
        <f t="shared" ref="C164:AC164" si="20">C147</f>
        <v>0.37753261144883488</v>
      </c>
      <c r="D164" s="340">
        <f t="shared" si="20"/>
        <v>0.38487310030395139</v>
      </c>
      <c r="E164" s="340">
        <f t="shared" si="20"/>
        <v>0</v>
      </c>
      <c r="F164" s="340">
        <f t="shared" si="20"/>
        <v>0</v>
      </c>
      <c r="G164" s="340">
        <f t="shared" si="20"/>
        <v>0</v>
      </c>
      <c r="H164" s="340">
        <f t="shared" si="20"/>
        <v>0</v>
      </c>
      <c r="I164" s="340">
        <f t="shared" si="20"/>
        <v>0</v>
      </c>
      <c r="J164" s="340">
        <f t="shared" si="20"/>
        <v>0</v>
      </c>
      <c r="K164" s="340">
        <f t="shared" si="20"/>
        <v>0</v>
      </c>
      <c r="L164" s="340">
        <f t="shared" si="20"/>
        <v>0</v>
      </c>
      <c r="M164" s="340">
        <f t="shared" si="20"/>
        <v>0</v>
      </c>
      <c r="N164" s="340">
        <f t="shared" si="20"/>
        <v>0</v>
      </c>
      <c r="O164" s="340">
        <f t="shared" si="20"/>
        <v>0</v>
      </c>
      <c r="P164" s="340">
        <f t="shared" si="20"/>
        <v>0</v>
      </c>
      <c r="Q164" s="340">
        <f t="shared" si="20"/>
        <v>0</v>
      </c>
      <c r="R164" s="340">
        <f t="shared" si="20"/>
        <v>0</v>
      </c>
      <c r="S164" s="340">
        <f t="shared" si="20"/>
        <v>0</v>
      </c>
      <c r="T164" s="340">
        <f t="shared" si="20"/>
        <v>0</v>
      </c>
      <c r="U164" s="340">
        <f t="shared" si="20"/>
        <v>0</v>
      </c>
      <c r="V164" s="340">
        <f t="shared" si="20"/>
        <v>0</v>
      </c>
      <c r="W164" s="340">
        <f t="shared" si="20"/>
        <v>0</v>
      </c>
      <c r="X164" s="340">
        <f t="shared" si="20"/>
        <v>0</v>
      </c>
      <c r="Y164" s="340">
        <f t="shared" si="20"/>
        <v>0</v>
      </c>
      <c r="Z164" s="340">
        <f t="shared" si="20"/>
        <v>0</v>
      </c>
      <c r="AA164" s="340">
        <f t="shared" si="20"/>
        <v>0</v>
      </c>
      <c r="AB164" s="340">
        <f t="shared" si="20"/>
        <v>0</v>
      </c>
      <c r="AC164" s="340">
        <f t="shared" si="20"/>
        <v>0</v>
      </c>
      <c r="AD164" s="76"/>
      <c r="AE164" s="76"/>
      <c r="AF164" s="76"/>
      <c r="AG164" s="76"/>
      <c r="AH164" s="76"/>
      <c r="AI164" s="76"/>
      <c r="AJ164" s="76"/>
      <c r="AK164" s="76"/>
      <c r="AL164" s="76"/>
      <c r="AM164" s="76"/>
      <c r="AN164" s="76"/>
      <c r="AO164" s="76"/>
      <c r="AP164" s="76"/>
      <c r="AQ164" s="76"/>
      <c r="AR164" s="76"/>
      <c r="AS164" s="76"/>
      <c r="AT164" s="76"/>
      <c r="AU164" s="76"/>
      <c r="AV164" s="76"/>
      <c r="AW164" s="76"/>
      <c r="AX164" s="76"/>
      <c r="AY164" s="76"/>
      <c r="AZ164" s="76"/>
      <c r="BA164" s="76"/>
      <c r="BB164" s="76"/>
      <c r="BC164" s="76"/>
      <c r="BD164" s="76"/>
      <c r="BE164" s="76"/>
      <c r="BF164" s="76"/>
      <c r="BG164" s="76"/>
      <c r="BH164" s="76"/>
      <c r="BI164" s="76"/>
      <c r="BJ164" s="76"/>
      <c r="BK164" s="76"/>
      <c r="BL164" s="76"/>
      <c r="BM164" s="76"/>
      <c r="BN164" s="76"/>
      <c r="BO164" s="76"/>
      <c r="BP164" s="76"/>
      <c r="BQ164" s="76"/>
      <c r="BR164" s="76"/>
      <c r="BS164" s="76"/>
      <c r="BT164" s="76"/>
      <c r="BU164" s="76"/>
      <c r="BV164" s="76"/>
    </row>
    <row r="165" spans="1:74" ht="12.75" x14ac:dyDescent="0.2">
      <c r="A165" s="76" t="s">
        <v>137</v>
      </c>
      <c r="B165" s="340">
        <f t="shared" ref="B165:AC165" si="21">B121</f>
        <v>0</v>
      </c>
      <c r="C165" s="340">
        <f t="shared" si="21"/>
        <v>0</v>
      </c>
      <c r="D165" s="340">
        <f t="shared" si="21"/>
        <v>0</v>
      </c>
      <c r="E165" s="340">
        <f t="shared" si="21"/>
        <v>22.91774335994446</v>
      </c>
      <c r="F165" s="340">
        <f t="shared" si="21"/>
        <v>22.913007930703568</v>
      </c>
      <c r="G165" s="340">
        <f t="shared" si="21"/>
        <v>22.90913348859738</v>
      </c>
      <c r="H165" s="340">
        <f>H121</f>
        <v>15.280392036894455</v>
      </c>
      <c r="I165" s="340">
        <f t="shared" si="21"/>
        <v>7.6287414517029282</v>
      </c>
      <c r="J165" s="340">
        <f t="shared" si="21"/>
        <v>0</v>
      </c>
      <c r="K165" s="340">
        <f t="shared" si="21"/>
        <v>0</v>
      </c>
      <c r="L165" s="340">
        <f t="shared" si="21"/>
        <v>0</v>
      </c>
      <c r="M165" s="340">
        <f t="shared" si="21"/>
        <v>0</v>
      </c>
      <c r="N165" s="340">
        <f t="shared" si="21"/>
        <v>0</v>
      </c>
      <c r="O165" s="340">
        <f t="shared" si="21"/>
        <v>0</v>
      </c>
      <c r="P165" s="340">
        <f t="shared" si="21"/>
        <v>0</v>
      </c>
      <c r="Q165" s="340">
        <f t="shared" si="21"/>
        <v>0</v>
      </c>
      <c r="R165" s="340">
        <f t="shared" si="21"/>
        <v>0</v>
      </c>
      <c r="S165" s="340">
        <f t="shared" si="21"/>
        <v>0</v>
      </c>
      <c r="T165" s="340">
        <f t="shared" si="21"/>
        <v>0</v>
      </c>
      <c r="U165" s="340">
        <f t="shared" si="21"/>
        <v>0</v>
      </c>
      <c r="V165" s="340">
        <f t="shared" si="21"/>
        <v>0</v>
      </c>
      <c r="W165" s="340">
        <f t="shared" si="21"/>
        <v>0</v>
      </c>
      <c r="X165" s="340">
        <f t="shared" si="21"/>
        <v>0</v>
      </c>
      <c r="Y165" s="340">
        <f t="shared" si="21"/>
        <v>0</v>
      </c>
      <c r="Z165" s="340">
        <f t="shared" si="21"/>
        <v>0</v>
      </c>
      <c r="AA165" s="340">
        <f t="shared" si="21"/>
        <v>0</v>
      </c>
      <c r="AB165" s="340">
        <f t="shared" si="21"/>
        <v>0</v>
      </c>
      <c r="AC165" s="340">
        <f t="shared" si="21"/>
        <v>0</v>
      </c>
      <c r="AD165" s="76"/>
      <c r="AE165" s="76"/>
      <c r="AF165" s="76"/>
      <c r="AG165" s="76"/>
      <c r="AH165" s="76"/>
      <c r="AI165" s="76"/>
      <c r="AJ165" s="76"/>
      <c r="AK165" s="76"/>
      <c r="AL165" s="76"/>
      <c r="AM165" s="76"/>
      <c r="AN165" s="76"/>
      <c r="AO165" s="76"/>
      <c r="AP165" s="76"/>
      <c r="AQ165" s="76"/>
      <c r="AR165" s="76"/>
      <c r="AS165" s="76"/>
      <c r="AT165" s="76"/>
      <c r="AU165" s="76"/>
      <c r="AV165" s="76"/>
      <c r="AW165" s="76"/>
      <c r="AX165" s="76"/>
      <c r="AY165" s="76"/>
      <c r="AZ165" s="76"/>
      <c r="BA165" s="76"/>
      <c r="BB165" s="76"/>
      <c r="BC165" s="76"/>
      <c r="BD165" s="76"/>
      <c r="BE165" s="76"/>
      <c r="BF165" s="76"/>
      <c r="BG165" s="76"/>
      <c r="BH165" s="76"/>
      <c r="BI165" s="76"/>
      <c r="BJ165" s="76"/>
      <c r="BK165" s="76"/>
      <c r="BL165" s="76"/>
      <c r="BM165" s="76"/>
      <c r="BN165" s="76"/>
      <c r="BO165" s="76"/>
      <c r="BP165" s="76"/>
      <c r="BQ165" s="76"/>
      <c r="BR165" s="76"/>
      <c r="BS165" s="76"/>
      <c r="BT165" s="76"/>
      <c r="BU165" s="76"/>
      <c r="BV165" s="76"/>
    </row>
    <row r="166" spans="1:74" ht="12.75" x14ac:dyDescent="0.2">
      <c r="A166" s="76"/>
      <c r="B166" s="340"/>
      <c r="C166" s="340"/>
      <c r="D166" s="340"/>
      <c r="E166" s="340"/>
      <c r="F166" s="340"/>
      <c r="G166" s="340"/>
      <c r="H166" s="340"/>
      <c r="I166" s="340"/>
      <c r="J166" s="340"/>
      <c r="K166" s="340"/>
      <c r="L166" s="340"/>
      <c r="M166" s="340"/>
      <c r="N166" s="340"/>
      <c r="O166" s="340"/>
      <c r="P166" s="340"/>
      <c r="Q166" s="340"/>
      <c r="R166" s="340"/>
      <c r="S166" s="340"/>
      <c r="T166" s="340"/>
      <c r="U166" s="340"/>
      <c r="V166" s="340"/>
      <c r="W166" s="340"/>
      <c r="X166" s="340"/>
      <c r="Y166" s="340"/>
      <c r="Z166" s="340"/>
      <c r="AA166" s="340"/>
      <c r="AB166" s="340"/>
      <c r="AC166" s="340"/>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6"/>
      <c r="BC166" s="76"/>
      <c r="BD166" s="76"/>
      <c r="BE166" s="76"/>
      <c r="BF166" s="76"/>
      <c r="BG166" s="76"/>
      <c r="BH166" s="76"/>
      <c r="BI166" s="76"/>
      <c r="BJ166" s="76"/>
      <c r="BK166" s="76"/>
      <c r="BL166" s="76"/>
      <c r="BM166" s="76"/>
      <c r="BN166" s="76"/>
      <c r="BO166" s="76"/>
      <c r="BP166" s="76"/>
      <c r="BQ166" s="76"/>
      <c r="BR166" s="76"/>
      <c r="BS166" s="76"/>
      <c r="BT166" s="76"/>
      <c r="BU166" s="76"/>
      <c r="BV166" s="76"/>
    </row>
    <row r="167" spans="1:74" ht="12.75" x14ac:dyDescent="0.2">
      <c r="A167" s="76" t="s">
        <v>172</v>
      </c>
      <c r="B167" s="76">
        <v>100</v>
      </c>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c r="BE167" s="76"/>
      <c r="BF167" s="76"/>
      <c r="BG167" s="76"/>
      <c r="BH167" s="76"/>
      <c r="BI167" s="76"/>
      <c r="BJ167" s="76"/>
      <c r="BK167" s="76"/>
      <c r="BL167" s="76"/>
      <c r="BM167" s="76"/>
      <c r="BN167" s="76"/>
      <c r="BO167" s="76"/>
      <c r="BP167" s="76"/>
      <c r="BQ167" s="76"/>
      <c r="BR167" s="76"/>
      <c r="BS167" s="76"/>
      <c r="BT167" s="76"/>
      <c r="BU167" s="76"/>
      <c r="BV167" s="76"/>
    </row>
    <row r="168" spans="1:74" ht="12.75" x14ac:dyDescent="0.2">
      <c r="A168" s="76" t="s">
        <v>173</v>
      </c>
      <c r="B168" s="76">
        <f>$B$167*8760*B162</f>
        <v>219000</v>
      </c>
      <c r="C168" s="76">
        <f t="shared" ref="C168:AC168" si="22">$B$167*8760*C162</f>
        <v>219000</v>
      </c>
      <c r="D168" s="76">
        <f t="shared" si="22"/>
        <v>219000</v>
      </c>
      <c r="E168" s="76">
        <f t="shared" si="22"/>
        <v>219000</v>
      </c>
      <c r="F168" s="76">
        <f t="shared" si="22"/>
        <v>219000</v>
      </c>
      <c r="G168" s="76">
        <f t="shared" si="22"/>
        <v>219000</v>
      </c>
      <c r="H168" s="76">
        <f t="shared" si="22"/>
        <v>219000</v>
      </c>
      <c r="I168" s="76">
        <f t="shared" si="22"/>
        <v>219000</v>
      </c>
      <c r="J168" s="76">
        <f t="shared" si="22"/>
        <v>219000</v>
      </c>
      <c r="K168" s="76">
        <f t="shared" si="22"/>
        <v>219000</v>
      </c>
      <c r="L168" s="76">
        <f t="shared" si="22"/>
        <v>219000</v>
      </c>
      <c r="M168" s="76">
        <f t="shared" si="22"/>
        <v>219000</v>
      </c>
      <c r="N168" s="76">
        <f t="shared" si="22"/>
        <v>219000</v>
      </c>
      <c r="O168" s="76">
        <f t="shared" si="22"/>
        <v>219000</v>
      </c>
      <c r="P168" s="76">
        <f t="shared" si="22"/>
        <v>219000</v>
      </c>
      <c r="Q168" s="76">
        <f t="shared" si="22"/>
        <v>219000</v>
      </c>
      <c r="R168" s="76">
        <f t="shared" si="22"/>
        <v>219000</v>
      </c>
      <c r="S168" s="76">
        <f t="shared" si="22"/>
        <v>219000</v>
      </c>
      <c r="T168" s="76">
        <f t="shared" si="22"/>
        <v>219000</v>
      </c>
      <c r="U168" s="76">
        <f t="shared" si="22"/>
        <v>219000</v>
      </c>
      <c r="V168" s="76">
        <f t="shared" si="22"/>
        <v>219000</v>
      </c>
      <c r="W168" s="76">
        <f t="shared" si="22"/>
        <v>219000</v>
      </c>
      <c r="X168" s="76">
        <f t="shared" si="22"/>
        <v>219000</v>
      </c>
      <c r="Y168" s="76">
        <f t="shared" si="22"/>
        <v>219000</v>
      </c>
      <c r="Z168" s="76">
        <f t="shared" si="22"/>
        <v>219000</v>
      </c>
      <c r="AA168" s="76">
        <f t="shared" si="22"/>
        <v>219000</v>
      </c>
      <c r="AB168" s="76">
        <f t="shared" si="22"/>
        <v>219000</v>
      </c>
      <c r="AC168" s="76">
        <f t="shared" si="22"/>
        <v>219000</v>
      </c>
      <c r="AD168" s="76"/>
      <c r="AE168" s="76"/>
      <c r="AF168" s="76"/>
      <c r="AG168" s="76"/>
      <c r="AH168" s="76"/>
      <c r="AI168" s="76"/>
      <c r="AJ168" s="76"/>
      <c r="AK168" s="76"/>
      <c r="AL168" s="76"/>
      <c r="AM168" s="76"/>
      <c r="AN168" s="76"/>
      <c r="AO168" s="76"/>
      <c r="AP168" s="76"/>
      <c r="AQ168" s="76"/>
      <c r="AR168" s="76"/>
      <c r="AS168" s="76"/>
      <c r="AT168" s="76"/>
      <c r="AU168" s="76"/>
      <c r="AV168" s="76"/>
      <c r="AW168" s="76"/>
      <c r="AX168" s="76"/>
      <c r="AY168" s="76"/>
      <c r="AZ168" s="76"/>
      <c r="BA168" s="76"/>
      <c r="BB168" s="76"/>
      <c r="BC168" s="76"/>
      <c r="BD168" s="76"/>
      <c r="BE168" s="76"/>
      <c r="BF168" s="76"/>
      <c r="BG168" s="76"/>
      <c r="BH168" s="76"/>
      <c r="BI168" s="76"/>
      <c r="BJ168" s="76"/>
      <c r="BK168" s="76"/>
      <c r="BL168" s="76"/>
      <c r="BM168" s="76"/>
      <c r="BN168" s="76"/>
      <c r="BO168" s="76"/>
      <c r="BP168" s="76"/>
      <c r="BQ168" s="76"/>
      <c r="BR168" s="76"/>
      <c r="BS168" s="76"/>
      <c r="BT168" s="76"/>
      <c r="BU168" s="76"/>
      <c r="BV168" s="76"/>
    </row>
    <row r="169" spans="1:74" ht="12.75" x14ac:dyDescent="0.2">
      <c r="A169" s="76" t="s">
        <v>174</v>
      </c>
      <c r="B169" s="86">
        <v>7.0000000000000007E-2</v>
      </c>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c r="AR169" s="76"/>
      <c r="AS169" s="76"/>
      <c r="AT169" s="76"/>
      <c r="AU169" s="76"/>
      <c r="AV169" s="76"/>
      <c r="AW169" s="76"/>
      <c r="AX169" s="76"/>
      <c r="AY169" s="76"/>
      <c r="AZ169" s="76"/>
      <c r="BA169" s="76"/>
      <c r="BB169" s="76"/>
      <c r="BC169" s="76"/>
      <c r="BD169" s="76"/>
      <c r="BE169" s="76"/>
      <c r="BF169" s="76"/>
      <c r="BG169" s="76"/>
      <c r="BH169" s="76"/>
      <c r="BI169" s="76"/>
      <c r="BJ169" s="76"/>
      <c r="BK169" s="76"/>
      <c r="BL169" s="76"/>
      <c r="BM169" s="76"/>
      <c r="BN169" s="76"/>
      <c r="BO169" s="76"/>
      <c r="BP169" s="76"/>
      <c r="BQ169" s="76"/>
      <c r="BR169" s="76"/>
      <c r="BS169" s="76"/>
      <c r="BT169" s="76"/>
      <c r="BU169" s="76"/>
      <c r="BV169" s="76"/>
    </row>
    <row r="170" spans="1:74" ht="12.75" x14ac:dyDescent="0.2">
      <c r="A170" s="76" t="s">
        <v>175</v>
      </c>
      <c r="B170" s="338">
        <v>10</v>
      </c>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6"/>
      <c r="AS170" s="76"/>
      <c r="AT170" s="76"/>
      <c r="AU170" s="76"/>
      <c r="AV170" s="76"/>
      <c r="AW170" s="76"/>
      <c r="AX170" s="76"/>
      <c r="AY170" s="76"/>
      <c r="AZ170" s="76"/>
      <c r="BA170" s="76"/>
      <c r="BB170" s="76"/>
      <c r="BC170" s="76"/>
      <c r="BD170" s="76"/>
      <c r="BE170" s="76"/>
      <c r="BF170" s="76"/>
      <c r="BG170" s="76"/>
      <c r="BH170" s="76"/>
      <c r="BI170" s="76"/>
      <c r="BJ170" s="76"/>
      <c r="BK170" s="76"/>
      <c r="BL170" s="76"/>
      <c r="BM170" s="76"/>
      <c r="BN170" s="76"/>
      <c r="BO170" s="76"/>
      <c r="BP170" s="76"/>
      <c r="BQ170" s="76"/>
      <c r="BR170" s="76"/>
      <c r="BS170" s="76"/>
      <c r="BT170" s="76"/>
      <c r="BU170" s="76"/>
      <c r="BV170" s="76"/>
    </row>
    <row r="171" spans="1:74" ht="12.75" x14ac:dyDescent="0.2">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c r="AR171" s="76"/>
      <c r="AS171" s="76"/>
      <c r="AT171" s="76"/>
      <c r="AU171" s="76"/>
      <c r="AV171" s="76"/>
      <c r="AW171" s="76"/>
      <c r="AX171" s="76"/>
      <c r="AY171" s="76"/>
      <c r="AZ171" s="76"/>
      <c r="BA171" s="76"/>
      <c r="BB171" s="76"/>
      <c r="BC171" s="76"/>
      <c r="BD171" s="76"/>
      <c r="BE171" s="76"/>
      <c r="BF171" s="76"/>
      <c r="BG171" s="76"/>
      <c r="BH171" s="76"/>
      <c r="BI171" s="76"/>
      <c r="BJ171" s="76"/>
      <c r="BK171" s="76"/>
      <c r="BL171" s="76"/>
      <c r="BM171" s="76"/>
      <c r="BN171" s="76"/>
      <c r="BO171" s="76"/>
      <c r="BP171" s="76"/>
      <c r="BQ171" s="76"/>
      <c r="BR171" s="76"/>
      <c r="BS171" s="76"/>
      <c r="BT171" s="76"/>
      <c r="BU171" s="76"/>
      <c r="BV171" s="76"/>
    </row>
    <row r="172" spans="1:74" ht="12.75" x14ac:dyDescent="0.2">
      <c r="A172" s="76" t="s">
        <v>176</v>
      </c>
      <c r="B172" s="341">
        <f>$B$167*10^6*B161*B164</f>
        <v>49285631.425675482</v>
      </c>
      <c r="C172" s="341">
        <f t="shared" ref="C172:AC172" si="23">$B$167*10^6*C161*C164</f>
        <v>48683110.258298583</v>
      </c>
      <c r="D172" s="341">
        <f t="shared" si="23"/>
        <v>48019155.995882124</v>
      </c>
      <c r="E172" s="341">
        <f t="shared" si="23"/>
        <v>0</v>
      </c>
      <c r="F172" s="341">
        <f t="shared" si="23"/>
        <v>0</v>
      </c>
      <c r="G172" s="341">
        <f t="shared" si="23"/>
        <v>0</v>
      </c>
      <c r="H172" s="341">
        <f t="shared" si="23"/>
        <v>0</v>
      </c>
      <c r="I172" s="341">
        <f t="shared" si="23"/>
        <v>0</v>
      </c>
      <c r="J172" s="341">
        <f t="shared" si="23"/>
        <v>0</v>
      </c>
      <c r="K172" s="341">
        <f t="shared" si="23"/>
        <v>0</v>
      </c>
      <c r="L172" s="341">
        <f t="shared" si="23"/>
        <v>0</v>
      </c>
      <c r="M172" s="341">
        <f t="shared" si="23"/>
        <v>0</v>
      </c>
      <c r="N172" s="341">
        <f t="shared" si="23"/>
        <v>0</v>
      </c>
      <c r="O172" s="341">
        <f t="shared" si="23"/>
        <v>0</v>
      </c>
      <c r="P172" s="341">
        <f t="shared" si="23"/>
        <v>0</v>
      </c>
      <c r="Q172" s="341">
        <f t="shared" si="23"/>
        <v>0</v>
      </c>
      <c r="R172" s="341">
        <f t="shared" si="23"/>
        <v>0</v>
      </c>
      <c r="S172" s="341">
        <f t="shared" si="23"/>
        <v>0</v>
      </c>
      <c r="T172" s="341">
        <f t="shared" si="23"/>
        <v>0</v>
      </c>
      <c r="U172" s="341">
        <f t="shared" si="23"/>
        <v>0</v>
      </c>
      <c r="V172" s="341">
        <f t="shared" si="23"/>
        <v>0</v>
      </c>
      <c r="W172" s="341">
        <f t="shared" si="23"/>
        <v>0</v>
      </c>
      <c r="X172" s="341">
        <f t="shared" si="23"/>
        <v>0</v>
      </c>
      <c r="Y172" s="341">
        <f t="shared" si="23"/>
        <v>0</v>
      </c>
      <c r="Z172" s="341">
        <f t="shared" si="23"/>
        <v>0</v>
      </c>
      <c r="AA172" s="341">
        <f t="shared" si="23"/>
        <v>0</v>
      </c>
      <c r="AB172" s="341">
        <f t="shared" si="23"/>
        <v>0</v>
      </c>
      <c r="AC172" s="341">
        <f t="shared" si="23"/>
        <v>0</v>
      </c>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c r="BD172" s="76"/>
      <c r="BE172" s="76"/>
      <c r="BF172" s="76"/>
      <c r="BG172" s="76"/>
      <c r="BH172" s="76"/>
      <c r="BI172" s="76"/>
      <c r="BJ172" s="76"/>
      <c r="BK172" s="76"/>
      <c r="BL172" s="76"/>
      <c r="BM172" s="76"/>
      <c r="BN172" s="76"/>
      <c r="BO172" s="76"/>
      <c r="BP172" s="76"/>
      <c r="BQ172" s="76"/>
      <c r="BR172" s="76"/>
      <c r="BS172" s="76"/>
      <c r="BT172" s="76"/>
      <c r="BU172" s="76"/>
      <c r="BV172" s="76"/>
    </row>
    <row r="173" spans="1:74" ht="12.75" x14ac:dyDescent="0.2">
      <c r="A173" s="76" t="s">
        <v>177</v>
      </c>
      <c r="B173" s="341">
        <f>B168*B165</f>
        <v>0</v>
      </c>
      <c r="C173" s="341">
        <f t="shared" ref="C173:AC173" si="24">C168*C165</f>
        <v>0</v>
      </c>
      <c r="D173" s="341">
        <f t="shared" si="24"/>
        <v>0</v>
      </c>
      <c r="E173" s="341">
        <f t="shared" si="24"/>
        <v>5018985.7958278367</v>
      </c>
      <c r="F173" s="341">
        <f t="shared" si="24"/>
        <v>5017948.7368240813</v>
      </c>
      <c r="G173" s="341">
        <f t="shared" si="24"/>
        <v>5017100.2340028258</v>
      </c>
      <c r="H173" s="341">
        <f t="shared" si="24"/>
        <v>3346405.8560798857</v>
      </c>
      <c r="I173" s="341">
        <f t="shared" si="24"/>
        <v>1670694.3779229412</v>
      </c>
      <c r="J173" s="341">
        <f t="shared" si="24"/>
        <v>0</v>
      </c>
      <c r="K173" s="341">
        <f t="shared" si="24"/>
        <v>0</v>
      </c>
      <c r="L173" s="341">
        <f t="shared" si="24"/>
        <v>0</v>
      </c>
      <c r="M173" s="341">
        <f t="shared" si="24"/>
        <v>0</v>
      </c>
      <c r="N173" s="341">
        <f t="shared" si="24"/>
        <v>0</v>
      </c>
      <c r="O173" s="341">
        <f t="shared" si="24"/>
        <v>0</v>
      </c>
      <c r="P173" s="341">
        <f t="shared" si="24"/>
        <v>0</v>
      </c>
      <c r="Q173" s="341">
        <f t="shared" si="24"/>
        <v>0</v>
      </c>
      <c r="R173" s="341">
        <f t="shared" si="24"/>
        <v>0</v>
      </c>
      <c r="S173" s="341">
        <f t="shared" si="24"/>
        <v>0</v>
      </c>
      <c r="T173" s="341">
        <f t="shared" si="24"/>
        <v>0</v>
      </c>
      <c r="U173" s="341">
        <f t="shared" si="24"/>
        <v>0</v>
      </c>
      <c r="V173" s="341">
        <f t="shared" si="24"/>
        <v>0</v>
      </c>
      <c r="W173" s="341">
        <f t="shared" si="24"/>
        <v>0</v>
      </c>
      <c r="X173" s="341">
        <f t="shared" si="24"/>
        <v>0</v>
      </c>
      <c r="Y173" s="341">
        <f t="shared" si="24"/>
        <v>0</v>
      </c>
      <c r="Z173" s="341">
        <f t="shared" si="24"/>
        <v>0</v>
      </c>
      <c r="AA173" s="341">
        <f t="shared" si="24"/>
        <v>0</v>
      </c>
      <c r="AB173" s="341">
        <f t="shared" si="24"/>
        <v>0</v>
      </c>
      <c r="AC173" s="341">
        <f t="shared" si="24"/>
        <v>0</v>
      </c>
      <c r="AD173" s="76"/>
      <c r="AE173" s="76"/>
      <c r="AF173" s="76"/>
      <c r="AG173" s="76"/>
      <c r="AH173" s="76"/>
      <c r="AI173" s="76"/>
      <c r="AJ173" s="76"/>
      <c r="AK173" s="76"/>
      <c r="AL173" s="76"/>
      <c r="AM173" s="76"/>
      <c r="AN173" s="76"/>
      <c r="AO173" s="76"/>
      <c r="AP173" s="76"/>
      <c r="AQ173" s="76"/>
      <c r="AR173" s="76"/>
      <c r="AS173" s="76"/>
      <c r="AT173" s="76"/>
      <c r="AU173" s="76"/>
      <c r="AV173" s="76"/>
      <c r="AW173" s="76"/>
      <c r="AX173" s="76"/>
      <c r="AY173" s="76"/>
      <c r="AZ173" s="76"/>
      <c r="BA173" s="76"/>
      <c r="BB173" s="76"/>
      <c r="BC173" s="76"/>
      <c r="BD173" s="76"/>
      <c r="BE173" s="76"/>
      <c r="BF173" s="76"/>
      <c r="BG173" s="76"/>
      <c r="BH173" s="76"/>
      <c r="BI173" s="76"/>
      <c r="BJ173" s="76"/>
      <c r="BK173" s="76"/>
      <c r="BL173" s="76"/>
      <c r="BM173" s="76"/>
      <c r="BN173" s="76"/>
      <c r="BO173" s="76"/>
      <c r="BP173" s="76"/>
      <c r="BQ173" s="76"/>
      <c r="BR173" s="76"/>
      <c r="BS173" s="76"/>
      <c r="BT173" s="76"/>
      <c r="BU173" s="76"/>
      <c r="BV173" s="76"/>
    </row>
    <row r="174" spans="1:74" ht="12.75" x14ac:dyDescent="0.2">
      <c r="A174" s="76" t="s">
        <v>178</v>
      </c>
      <c r="B174" s="341">
        <f>NPV($B$169,B173*$B$170)</f>
        <v>0</v>
      </c>
      <c r="C174" s="341">
        <f t="shared" ref="C174:AC174" si="25">NPV($B$169,C173*$B$170)</f>
        <v>0</v>
      </c>
      <c r="D174" s="341">
        <f t="shared" si="25"/>
        <v>0</v>
      </c>
      <c r="E174" s="341">
        <f t="shared" si="25"/>
        <v>46906409.306802206</v>
      </c>
      <c r="F174" s="341">
        <f t="shared" si="25"/>
        <v>46896717.166580193</v>
      </c>
      <c r="G174" s="341">
        <f t="shared" si="25"/>
        <v>46888787.233671263</v>
      </c>
      <c r="H174" s="341">
        <f t="shared" si="25"/>
        <v>31274821.084858742</v>
      </c>
      <c r="I174" s="341">
        <f t="shared" si="25"/>
        <v>15613966.148812534</v>
      </c>
      <c r="J174" s="341">
        <f t="shared" si="25"/>
        <v>0</v>
      </c>
      <c r="K174" s="341">
        <f t="shared" si="25"/>
        <v>0</v>
      </c>
      <c r="L174" s="341">
        <f t="shared" si="25"/>
        <v>0</v>
      </c>
      <c r="M174" s="341">
        <f t="shared" si="25"/>
        <v>0</v>
      </c>
      <c r="N174" s="341">
        <f t="shared" si="25"/>
        <v>0</v>
      </c>
      <c r="O174" s="341">
        <f t="shared" si="25"/>
        <v>0</v>
      </c>
      <c r="P174" s="341">
        <f t="shared" si="25"/>
        <v>0</v>
      </c>
      <c r="Q174" s="341">
        <f t="shared" si="25"/>
        <v>0</v>
      </c>
      <c r="R174" s="341">
        <f t="shared" si="25"/>
        <v>0</v>
      </c>
      <c r="S174" s="341">
        <f t="shared" si="25"/>
        <v>0</v>
      </c>
      <c r="T174" s="341">
        <f t="shared" si="25"/>
        <v>0</v>
      </c>
      <c r="U174" s="341">
        <f t="shared" si="25"/>
        <v>0</v>
      </c>
      <c r="V174" s="341">
        <f t="shared" si="25"/>
        <v>0</v>
      </c>
      <c r="W174" s="341">
        <f t="shared" si="25"/>
        <v>0</v>
      </c>
      <c r="X174" s="341">
        <f t="shared" si="25"/>
        <v>0</v>
      </c>
      <c r="Y174" s="341">
        <f t="shared" si="25"/>
        <v>0</v>
      </c>
      <c r="Z174" s="341">
        <f t="shared" si="25"/>
        <v>0</v>
      </c>
      <c r="AA174" s="341">
        <f t="shared" si="25"/>
        <v>0</v>
      </c>
      <c r="AB174" s="341">
        <f t="shared" si="25"/>
        <v>0</v>
      </c>
      <c r="AC174" s="341">
        <f t="shared" si="25"/>
        <v>0</v>
      </c>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c r="BE174" s="76"/>
      <c r="BF174" s="76"/>
      <c r="BG174" s="76"/>
      <c r="BH174" s="76"/>
      <c r="BI174" s="76"/>
      <c r="BJ174" s="76"/>
      <c r="BK174" s="76"/>
      <c r="BL174" s="76"/>
      <c r="BM174" s="76"/>
      <c r="BN174" s="76"/>
      <c r="BO174" s="76"/>
      <c r="BP174" s="76"/>
      <c r="BQ174" s="76"/>
      <c r="BR174" s="76"/>
      <c r="BS174" s="76"/>
      <c r="BT174" s="76"/>
      <c r="BU174" s="76"/>
      <c r="BV174" s="76"/>
    </row>
    <row r="175" spans="1:74" ht="12.75" x14ac:dyDescent="0.2">
      <c r="A175" s="76" t="s">
        <v>179</v>
      </c>
      <c r="B175" s="341">
        <f>B173*$B$170</f>
        <v>0</v>
      </c>
      <c r="C175" s="341">
        <f t="shared" ref="C175:AC175" si="26">C173*$B$170</f>
        <v>0</v>
      </c>
      <c r="D175" s="341">
        <f t="shared" si="26"/>
        <v>0</v>
      </c>
      <c r="E175" s="341">
        <f t="shared" si="26"/>
        <v>50189857.958278365</v>
      </c>
      <c r="F175" s="341">
        <f t="shared" si="26"/>
        <v>50179487.368240811</v>
      </c>
      <c r="G175" s="341">
        <f t="shared" si="26"/>
        <v>50171002.340028256</v>
      </c>
      <c r="H175" s="341">
        <f t="shared" si="26"/>
        <v>33464058.560798857</v>
      </c>
      <c r="I175" s="341">
        <f t="shared" si="26"/>
        <v>16706943.779229412</v>
      </c>
      <c r="J175" s="341">
        <f t="shared" si="26"/>
        <v>0</v>
      </c>
      <c r="K175" s="341">
        <f t="shared" si="26"/>
        <v>0</v>
      </c>
      <c r="L175" s="341">
        <f t="shared" si="26"/>
        <v>0</v>
      </c>
      <c r="M175" s="341">
        <f t="shared" si="26"/>
        <v>0</v>
      </c>
      <c r="N175" s="341">
        <f t="shared" si="26"/>
        <v>0</v>
      </c>
      <c r="O175" s="341">
        <f t="shared" si="26"/>
        <v>0</v>
      </c>
      <c r="P175" s="341">
        <f t="shared" si="26"/>
        <v>0</v>
      </c>
      <c r="Q175" s="341">
        <f t="shared" si="26"/>
        <v>0</v>
      </c>
      <c r="R175" s="341">
        <f t="shared" si="26"/>
        <v>0</v>
      </c>
      <c r="S175" s="341">
        <f t="shared" si="26"/>
        <v>0</v>
      </c>
      <c r="T175" s="341">
        <f t="shared" si="26"/>
        <v>0</v>
      </c>
      <c r="U175" s="341">
        <f t="shared" si="26"/>
        <v>0</v>
      </c>
      <c r="V175" s="341">
        <f t="shared" si="26"/>
        <v>0</v>
      </c>
      <c r="W175" s="341">
        <f t="shared" si="26"/>
        <v>0</v>
      </c>
      <c r="X175" s="341">
        <f t="shared" si="26"/>
        <v>0</v>
      </c>
      <c r="Y175" s="341">
        <f t="shared" si="26"/>
        <v>0</v>
      </c>
      <c r="Z175" s="341">
        <f t="shared" si="26"/>
        <v>0</v>
      </c>
      <c r="AA175" s="341">
        <f t="shared" si="26"/>
        <v>0</v>
      </c>
      <c r="AB175" s="341">
        <f t="shared" si="26"/>
        <v>0</v>
      </c>
      <c r="AC175" s="341">
        <f t="shared" si="26"/>
        <v>0</v>
      </c>
      <c r="AD175" s="76"/>
      <c r="AE175" s="76"/>
      <c r="AF175" s="76"/>
      <c r="AG175" s="76"/>
      <c r="AH175" s="76"/>
      <c r="AI175" s="76"/>
      <c r="AJ175" s="76"/>
      <c r="AK175" s="76"/>
      <c r="AL175" s="76"/>
      <c r="AM175" s="76"/>
      <c r="AN175" s="76"/>
      <c r="AO175" s="76"/>
      <c r="AP175" s="76"/>
      <c r="AQ175" s="76"/>
      <c r="AR175" s="76"/>
      <c r="AS175" s="76"/>
      <c r="AT175" s="76"/>
      <c r="AU175" s="76"/>
      <c r="AV175" s="76"/>
      <c r="AW175" s="76"/>
      <c r="AX175" s="76"/>
      <c r="AY175" s="76"/>
      <c r="AZ175" s="76"/>
      <c r="BA175" s="76"/>
      <c r="BB175" s="76"/>
      <c r="BC175" s="76"/>
      <c r="BD175" s="76"/>
      <c r="BE175" s="76"/>
      <c r="BF175" s="76"/>
      <c r="BG175" s="76"/>
      <c r="BH175" s="76"/>
      <c r="BI175" s="76"/>
      <c r="BJ175" s="76"/>
      <c r="BK175" s="76"/>
      <c r="BL175" s="76"/>
      <c r="BM175" s="76"/>
      <c r="BN175" s="76"/>
      <c r="BO175" s="76"/>
      <c r="BP175" s="76"/>
      <c r="BQ175" s="76"/>
      <c r="BR175" s="76"/>
      <c r="BS175" s="76"/>
      <c r="BT175" s="76"/>
      <c r="BU175" s="76"/>
      <c r="BV175" s="76"/>
    </row>
    <row r="176" spans="1:74" ht="12.75" x14ac:dyDescent="0.2">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6"/>
      <c r="AS176" s="76"/>
      <c r="AT176" s="76"/>
      <c r="AU176" s="76"/>
      <c r="AV176" s="76"/>
      <c r="AW176" s="76"/>
      <c r="AX176" s="76"/>
      <c r="AY176" s="76"/>
      <c r="AZ176" s="76"/>
      <c r="BA176" s="76"/>
      <c r="BB176" s="76"/>
      <c r="BC176" s="76"/>
      <c r="BD176" s="76"/>
      <c r="BE176" s="76"/>
      <c r="BF176" s="76"/>
      <c r="BG176" s="76"/>
      <c r="BH176" s="76"/>
      <c r="BI176" s="76"/>
      <c r="BJ176" s="76"/>
      <c r="BK176" s="76"/>
      <c r="BL176" s="76"/>
      <c r="BM176" s="76"/>
      <c r="BN176" s="76"/>
      <c r="BO176" s="76"/>
      <c r="BP176" s="76"/>
      <c r="BQ176" s="76"/>
      <c r="BR176" s="76"/>
      <c r="BS176" s="76"/>
      <c r="BT176" s="76"/>
      <c r="BU176" s="76"/>
      <c r="BV176" s="76"/>
    </row>
    <row r="177" spans="1:74" ht="12.75" x14ac:dyDescent="0.2">
      <c r="A177" s="76" t="s">
        <v>180</v>
      </c>
      <c r="B177" s="76" t="str">
        <f>IF(B172&gt;B174,"ITC","PTC")</f>
        <v>ITC</v>
      </c>
      <c r="C177" s="76" t="str">
        <f t="shared" ref="C177:AC177" si="27">IF(C172&gt;C174,"ITC","PTC")</f>
        <v>ITC</v>
      </c>
      <c r="D177" s="76" t="str">
        <f t="shared" si="27"/>
        <v>ITC</v>
      </c>
      <c r="E177" s="76" t="str">
        <f t="shared" si="27"/>
        <v>PTC</v>
      </c>
      <c r="F177" s="76" t="str">
        <f t="shared" si="27"/>
        <v>PTC</v>
      </c>
      <c r="G177" s="76" t="str">
        <f t="shared" si="27"/>
        <v>PTC</v>
      </c>
      <c r="H177" s="76" t="str">
        <f t="shared" si="27"/>
        <v>PTC</v>
      </c>
      <c r="I177" s="76" t="str">
        <f t="shared" si="27"/>
        <v>PTC</v>
      </c>
      <c r="J177" s="76" t="str">
        <f t="shared" si="27"/>
        <v>PTC</v>
      </c>
      <c r="K177" s="76" t="str">
        <f t="shared" si="27"/>
        <v>PTC</v>
      </c>
      <c r="L177" s="76" t="str">
        <f t="shared" si="27"/>
        <v>PTC</v>
      </c>
      <c r="M177" s="76" t="str">
        <f t="shared" si="27"/>
        <v>PTC</v>
      </c>
      <c r="N177" s="76" t="str">
        <f t="shared" si="27"/>
        <v>PTC</v>
      </c>
      <c r="O177" s="76" t="str">
        <f t="shared" si="27"/>
        <v>PTC</v>
      </c>
      <c r="P177" s="76" t="str">
        <f t="shared" si="27"/>
        <v>PTC</v>
      </c>
      <c r="Q177" s="76" t="str">
        <f t="shared" si="27"/>
        <v>PTC</v>
      </c>
      <c r="R177" s="76" t="str">
        <f t="shared" si="27"/>
        <v>PTC</v>
      </c>
      <c r="S177" s="76" t="str">
        <f t="shared" si="27"/>
        <v>PTC</v>
      </c>
      <c r="T177" s="76" t="str">
        <f t="shared" si="27"/>
        <v>PTC</v>
      </c>
      <c r="U177" s="76" t="str">
        <f t="shared" si="27"/>
        <v>PTC</v>
      </c>
      <c r="V177" s="76" t="str">
        <f t="shared" si="27"/>
        <v>PTC</v>
      </c>
      <c r="W177" s="76" t="str">
        <f t="shared" si="27"/>
        <v>PTC</v>
      </c>
      <c r="X177" s="76" t="str">
        <f t="shared" si="27"/>
        <v>PTC</v>
      </c>
      <c r="Y177" s="76" t="str">
        <f t="shared" si="27"/>
        <v>PTC</v>
      </c>
      <c r="Z177" s="76" t="str">
        <f t="shared" si="27"/>
        <v>PTC</v>
      </c>
      <c r="AA177" s="76" t="str">
        <f t="shared" si="27"/>
        <v>PTC</v>
      </c>
      <c r="AB177" s="76" t="str">
        <f t="shared" si="27"/>
        <v>PTC</v>
      </c>
      <c r="AC177" s="76" t="str">
        <f t="shared" si="27"/>
        <v>PTC</v>
      </c>
      <c r="AD177" s="76"/>
      <c r="AE177" s="76"/>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6"/>
      <c r="BB177" s="76"/>
      <c r="BC177" s="76"/>
      <c r="BD177" s="76"/>
      <c r="BE177" s="76"/>
      <c r="BF177" s="76"/>
      <c r="BG177" s="76"/>
      <c r="BH177" s="76"/>
      <c r="BI177" s="76"/>
      <c r="BJ177" s="76"/>
      <c r="BK177" s="76"/>
      <c r="BL177" s="76"/>
      <c r="BM177" s="76"/>
      <c r="BN177" s="76"/>
      <c r="BO177" s="76"/>
      <c r="BP177" s="76"/>
      <c r="BQ177" s="76"/>
      <c r="BR177" s="76"/>
      <c r="BS177" s="76"/>
      <c r="BT177" s="76"/>
      <c r="BU177" s="76"/>
      <c r="BV177" s="76"/>
    </row>
    <row r="178" spans="1:74" ht="12.75" x14ac:dyDescent="0.2">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c r="AR178" s="76"/>
      <c r="AS178" s="76"/>
      <c r="AT178" s="76"/>
      <c r="AU178" s="76"/>
      <c r="AV178" s="76"/>
      <c r="AW178" s="76"/>
      <c r="AX178" s="76"/>
      <c r="AY178" s="76"/>
      <c r="AZ178" s="76"/>
      <c r="BA178" s="76"/>
      <c r="BB178" s="76"/>
      <c r="BC178" s="76"/>
      <c r="BD178" s="76"/>
      <c r="BE178" s="76"/>
      <c r="BF178" s="76"/>
      <c r="BG178" s="76"/>
      <c r="BH178" s="76"/>
      <c r="BI178" s="76"/>
      <c r="BJ178" s="76"/>
      <c r="BK178" s="76"/>
      <c r="BL178" s="76"/>
      <c r="BM178" s="76"/>
      <c r="BN178" s="76"/>
      <c r="BO178" s="76"/>
      <c r="BP178" s="76"/>
      <c r="BQ178" s="76"/>
      <c r="BR178" s="76"/>
      <c r="BS178" s="76"/>
      <c r="BT178" s="76"/>
      <c r="BU178" s="76"/>
      <c r="BV178" s="76"/>
    </row>
    <row r="179" spans="1:74" ht="12.75" x14ac:dyDescent="0.2">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c r="AX179" s="76"/>
      <c r="AY179" s="76"/>
      <c r="AZ179" s="76"/>
      <c r="BA179" s="76"/>
      <c r="BB179" s="76"/>
      <c r="BC179" s="76"/>
      <c r="BD179" s="76"/>
      <c r="BE179" s="76"/>
      <c r="BF179" s="76"/>
      <c r="BG179" s="76"/>
      <c r="BH179" s="76"/>
      <c r="BI179" s="76"/>
      <c r="BJ179" s="76"/>
      <c r="BK179" s="76"/>
      <c r="BL179" s="76"/>
      <c r="BM179" s="76"/>
      <c r="BN179" s="76"/>
      <c r="BO179" s="76"/>
      <c r="BP179" s="76"/>
      <c r="BQ179" s="76"/>
      <c r="BR179" s="76"/>
      <c r="BS179" s="76"/>
      <c r="BT179" s="76"/>
      <c r="BU179" s="76"/>
      <c r="BV179" s="76"/>
    </row>
    <row r="180" spans="1:74" ht="12.75" x14ac:dyDescent="0.2">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76"/>
      <c r="AQ180" s="76"/>
      <c r="AR180" s="76"/>
      <c r="AS180" s="76"/>
      <c r="AT180" s="76"/>
      <c r="AU180" s="76"/>
      <c r="AV180" s="76"/>
      <c r="AW180" s="76"/>
      <c r="AX180" s="76"/>
      <c r="AY180" s="76"/>
      <c r="AZ180" s="76"/>
      <c r="BA180" s="76"/>
      <c r="BB180" s="76"/>
      <c r="BC180" s="76"/>
      <c r="BD180" s="76"/>
      <c r="BE180" s="76"/>
      <c r="BF180" s="76"/>
      <c r="BG180" s="76"/>
      <c r="BH180" s="76"/>
      <c r="BI180" s="76"/>
      <c r="BJ180" s="76"/>
      <c r="BK180" s="76"/>
      <c r="BL180" s="76"/>
      <c r="BM180" s="76"/>
      <c r="BN180" s="76"/>
      <c r="BO180" s="76"/>
      <c r="BP180" s="76"/>
      <c r="BQ180" s="76"/>
      <c r="BR180" s="76"/>
      <c r="BS180" s="76"/>
      <c r="BT180" s="76"/>
      <c r="BU180" s="76"/>
      <c r="BV180" s="76"/>
    </row>
    <row r="181" spans="1:74" ht="12.75" x14ac:dyDescent="0.2">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c r="AP181" s="76"/>
      <c r="AQ181" s="76"/>
      <c r="AR181" s="76"/>
      <c r="AS181" s="76"/>
      <c r="AT181" s="76"/>
      <c r="AU181" s="76"/>
      <c r="AV181" s="76"/>
      <c r="AW181" s="76"/>
      <c r="AX181" s="76"/>
      <c r="AY181" s="76"/>
      <c r="AZ181" s="76"/>
      <c r="BA181" s="76"/>
      <c r="BB181" s="76"/>
      <c r="BC181" s="76"/>
      <c r="BD181" s="76"/>
      <c r="BE181" s="76"/>
      <c r="BF181" s="76"/>
      <c r="BG181" s="76"/>
      <c r="BH181" s="76"/>
      <c r="BI181" s="76"/>
      <c r="BJ181" s="76"/>
      <c r="BK181" s="76"/>
      <c r="BL181" s="76"/>
      <c r="BM181" s="76"/>
      <c r="BN181" s="76"/>
      <c r="BO181" s="76"/>
      <c r="BP181" s="76"/>
      <c r="BQ181" s="76"/>
      <c r="BR181" s="76"/>
      <c r="BS181" s="76"/>
      <c r="BT181" s="76"/>
      <c r="BU181" s="76"/>
      <c r="BV181" s="76"/>
    </row>
    <row r="182" spans="1:74" ht="12.75" x14ac:dyDescent="0.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76"/>
      <c r="AW182" s="76"/>
      <c r="AX182" s="76"/>
      <c r="AY182" s="76"/>
      <c r="AZ182" s="76"/>
      <c r="BA182" s="76"/>
      <c r="BB182" s="76"/>
      <c r="BC182" s="76"/>
      <c r="BD182" s="76"/>
      <c r="BE182" s="76"/>
      <c r="BF182" s="76"/>
      <c r="BG182" s="76"/>
      <c r="BH182" s="76"/>
      <c r="BI182" s="76"/>
      <c r="BJ182" s="76"/>
      <c r="BK182" s="76"/>
      <c r="BL182" s="76"/>
      <c r="BM182" s="76"/>
      <c r="BN182" s="76"/>
      <c r="BO182" s="76"/>
      <c r="BP182" s="76"/>
      <c r="BQ182" s="76"/>
      <c r="BR182" s="76"/>
      <c r="BS182" s="76"/>
      <c r="BT182" s="76"/>
      <c r="BU182" s="76"/>
      <c r="BV182" s="76"/>
    </row>
    <row r="183" spans="1:74" ht="12.75" x14ac:dyDescent="0.2">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c r="AP183" s="76"/>
      <c r="AQ183" s="76"/>
      <c r="AR183" s="76"/>
      <c r="AS183" s="76"/>
      <c r="AT183" s="76"/>
      <c r="AU183" s="76"/>
      <c r="AV183" s="76"/>
      <c r="AW183" s="76"/>
      <c r="AX183" s="76"/>
      <c r="AY183" s="76"/>
      <c r="AZ183" s="76"/>
      <c r="BA183" s="76"/>
      <c r="BB183" s="76"/>
      <c r="BC183" s="76"/>
      <c r="BD183" s="76"/>
      <c r="BE183" s="76"/>
      <c r="BF183" s="76"/>
      <c r="BG183" s="76"/>
      <c r="BH183" s="76"/>
      <c r="BI183" s="76"/>
      <c r="BJ183" s="76"/>
      <c r="BK183" s="76"/>
      <c r="BL183" s="76"/>
      <c r="BM183" s="76"/>
      <c r="BN183" s="76"/>
      <c r="BO183" s="76"/>
      <c r="BP183" s="76"/>
      <c r="BQ183" s="76"/>
      <c r="BR183" s="76"/>
      <c r="BS183" s="76"/>
      <c r="BT183" s="76"/>
      <c r="BU183" s="76"/>
      <c r="BV183" s="76"/>
    </row>
    <row r="184" spans="1:74" ht="12.75" x14ac:dyDescent="0.2">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76"/>
      <c r="AW184" s="76"/>
      <c r="AX184" s="76"/>
      <c r="AY184" s="76"/>
      <c r="AZ184" s="76"/>
      <c r="BA184" s="76"/>
      <c r="BB184" s="76"/>
      <c r="BC184" s="76"/>
      <c r="BD184" s="76"/>
      <c r="BE184" s="76"/>
      <c r="BF184" s="76"/>
      <c r="BG184" s="76"/>
      <c r="BH184" s="76"/>
      <c r="BI184" s="76"/>
      <c r="BJ184" s="76"/>
      <c r="BK184" s="76"/>
      <c r="BL184" s="76"/>
      <c r="BM184" s="76"/>
      <c r="BN184" s="76"/>
      <c r="BO184" s="76"/>
      <c r="BP184" s="76"/>
      <c r="BQ184" s="76"/>
      <c r="BR184" s="76"/>
      <c r="BS184" s="76"/>
      <c r="BT184" s="76"/>
      <c r="BU184" s="76"/>
      <c r="BV184" s="76"/>
    </row>
    <row r="185" spans="1:74" ht="12.75" x14ac:dyDescent="0.2">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c r="AP185" s="76"/>
      <c r="AQ185" s="76"/>
      <c r="AR185" s="76"/>
      <c r="AS185" s="76"/>
      <c r="AT185" s="76"/>
      <c r="AU185" s="76"/>
      <c r="AV185" s="76"/>
      <c r="AW185" s="76"/>
      <c r="AX185" s="76"/>
      <c r="AY185" s="76"/>
      <c r="AZ185" s="76"/>
      <c r="BA185" s="76"/>
      <c r="BB185" s="76"/>
      <c r="BC185" s="76"/>
      <c r="BD185" s="76"/>
      <c r="BE185" s="76"/>
      <c r="BF185" s="76"/>
      <c r="BG185" s="76"/>
      <c r="BH185" s="76"/>
      <c r="BI185" s="76"/>
      <c r="BJ185" s="76"/>
      <c r="BK185" s="76"/>
      <c r="BL185" s="76"/>
      <c r="BM185" s="76"/>
      <c r="BN185" s="76"/>
      <c r="BO185" s="76"/>
      <c r="BP185" s="76"/>
      <c r="BQ185" s="76"/>
      <c r="BR185" s="76"/>
      <c r="BS185" s="76"/>
      <c r="BT185" s="76"/>
      <c r="BU185" s="76"/>
      <c r="BV185" s="76"/>
    </row>
    <row r="186" spans="1:74" ht="12.75" x14ac:dyDescent="0.2">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c r="AP186" s="76"/>
      <c r="AQ186" s="76"/>
      <c r="AR186" s="76"/>
      <c r="AS186" s="76"/>
      <c r="AT186" s="76"/>
      <c r="AU186" s="76"/>
      <c r="AV186" s="76"/>
      <c r="AW186" s="76"/>
      <c r="AX186" s="76"/>
      <c r="AY186" s="76"/>
      <c r="AZ186" s="76"/>
      <c r="BA186" s="76"/>
      <c r="BB186" s="76"/>
      <c r="BC186" s="76"/>
      <c r="BD186" s="76"/>
      <c r="BE186" s="76"/>
      <c r="BF186" s="76"/>
      <c r="BG186" s="76"/>
      <c r="BH186" s="76"/>
      <c r="BI186" s="76"/>
      <c r="BJ186" s="76"/>
      <c r="BK186" s="76"/>
      <c r="BL186" s="76"/>
      <c r="BM186" s="76"/>
      <c r="BN186" s="76"/>
      <c r="BO186" s="76"/>
      <c r="BP186" s="76"/>
      <c r="BQ186" s="76"/>
      <c r="BR186" s="76"/>
      <c r="BS186" s="76"/>
      <c r="BT186" s="76"/>
      <c r="BU186" s="76"/>
      <c r="BV186" s="76"/>
    </row>
    <row r="187" spans="1:74" ht="12.75" x14ac:dyDescent="0.2">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c r="AP187" s="76"/>
      <c r="AQ187" s="76"/>
      <c r="AR187" s="76"/>
      <c r="AS187" s="76"/>
      <c r="AT187" s="76"/>
      <c r="AU187" s="76"/>
      <c r="AV187" s="76"/>
      <c r="AW187" s="76"/>
      <c r="AX187" s="76"/>
      <c r="AY187" s="76"/>
      <c r="AZ187" s="76"/>
      <c r="BA187" s="76"/>
      <c r="BB187" s="76"/>
      <c r="BC187" s="76"/>
      <c r="BD187" s="76"/>
      <c r="BE187" s="76"/>
      <c r="BF187" s="76"/>
      <c r="BG187" s="76"/>
      <c r="BH187" s="76"/>
      <c r="BI187" s="76"/>
      <c r="BJ187" s="76"/>
      <c r="BK187" s="76"/>
      <c r="BL187" s="76"/>
      <c r="BM187" s="76"/>
      <c r="BN187" s="76"/>
      <c r="BO187" s="76"/>
      <c r="BP187" s="76"/>
      <c r="BQ187" s="76"/>
      <c r="BR187" s="76"/>
      <c r="BS187" s="76"/>
      <c r="BT187" s="76"/>
      <c r="BU187" s="76"/>
      <c r="BV187" s="76"/>
    </row>
    <row r="188" spans="1:74" ht="12.75" x14ac:dyDescent="0.2">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c r="AP188" s="76"/>
      <c r="AQ188" s="76"/>
      <c r="AR188" s="76"/>
      <c r="AS188" s="76"/>
      <c r="AT188" s="76"/>
      <c r="AU188" s="76"/>
      <c r="AV188" s="76"/>
      <c r="AW188" s="76"/>
      <c r="AX188" s="76"/>
      <c r="AY188" s="76"/>
      <c r="AZ188" s="76"/>
      <c r="BA188" s="76"/>
      <c r="BB188" s="76"/>
      <c r="BC188" s="76"/>
      <c r="BD188" s="76"/>
      <c r="BE188" s="76"/>
      <c r="BF188" s="76"/>
      <c r="BG188" s="76"/>
      <c r="BH188" s="76"/>
      <c r="BI188" s="76"/>
      <c r="BJ188" s="76"/>
      <c r="BK188" s="76"/>
      <c r="BL188" s="76"/>
      <c r="BM188" s="76"/>
      <c r="BN188" s="76"/>
      <c r="BO188" s="76"/>
      <c r="BP188" s="76"/>
      <c r="BQ188" s="76"/>
      <c r="BR188" s="76"/>
      <c r="BS188" s="76"/>
      <c r="BT188" s="76"/>
      <c r="BU188" s="76"/>
      <c r="BV188" s="76"/>
    </row>
    <row r="189" spans="1:74" ht="12.75" x14ac:dyDescent="0.2">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c r="AP189" s="76"/>
      <c r="AQ189" s="76"/>
      <c r="AR189" s="76"/>
      <c r="AS189" s="76"/>
      <c r="AT189" s="76"/>
      <c r="AU189" s="76"/>
      <c r="AV189" s="76"/>
      <c r="AW189" s="76"/>
      <c r="AX189" s="76"/>
      <c r="AY189" s="76"/>
      <c r="AZ189" s="76"/>
      <c r="BA189" s="76"/>
      <c r="BB189" s="76"/>
      <c r="BC189" s="76"/>
      <c r="BD189" s="76"/>
      <c r="BE189" s="76"/>
      <c r="BF189" s="76"/>
      <c r="BG189" s="76"/>
      <c r="BH189" s="76"/>
      <c r="BI189" s="76"/>
      <c r="BJ189" s="76"/>
      <c r="BK189" s="76"/>
      <c r="BL189" s="76"/>
      <c r="BM189" s="76"/>
      <c r="BN189" s="76"/>
      <c r="BO189" s="76"/>
      <c r="BP189" s="76"/>
      <c r="BQ189" s="76"/>
      <c r="BR189" s="76"/>
      <c r="BS189" s="76"/>
      <c r="BT189" s="76"/>
      <c r="BU189" s="76"/>
      <c r="BV189" s="76"/>
    </row>
    <row r="190" spans="1:74" ht="12.75" x14ac:dyDescent="0.2">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76"/>
      <c r="AQ190" s="76"/>
      <c r="AR190" s="76"/>
      <c r="AS190" s="76"/>
      <c r="AT190" s="76"/>
      <c r="AU190" s="76"/>
      <c r="AV190" s="76"/>
      <c r="AW190" s="76"/>
      <c r="AX190" s="76"/>
      <c r="AY190" s="76"/>
      <c r="AZ190" s="76"/>
      <c r="BA190" s="76"/>
      <c r="BB190" s="76"/>
      <c r="BC190" s="76"/>
      <c r="BD190" s="76"/>
      <c r="BE190" s="76"/>
      <c r="BF190" s="76"/>
      <c r="BG190" s="76"/>
      <c r="BH190" s="76"/>
      <c r="BI190" s="76"/>
      <c r="BJ190" s="76"/>
      <c r="BK190" s="76"/>
      <c r="BL190" s="76"/>
      <c r="BM190" s="76"/>
      <c r="BN190" s="76"/>
      <c r="BO190" s="76"/>
      <c r="BP190" s="76"/>
      <c r="BQ190" s="76"/>
      <c r="BR190" s="76"/>
      <c r="BS190" s="76"/>
      <c r="BT190" s="76"/>
      <c r="BU190" s="76"/>
      <c r="BV190" s="76"/>
    </row>
    <row r="191" spans="1:74" ht="12.75" x14ac:dyDescent="0.2">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c r="AP191" s="76"/>
      <c r="AQ191" s="76"/>
      <c r="AR191" s="76"/>
      <c r="AS191" s="76"/>
      <c r="AT191" s="76"/>
      <c r="AU191" s="76"/>
      <c r="AV191" s="76"/>
      <c r="AW191" s="76"/>
      <c r="AX191" s="76"/>
      <c r="AY191" s="76"/>
      <c r="AZ191" s="76"/>
      <c r="BA191" s="76"/>
      <c r="BB191" s="76"/>
      <c r="BC191" s="76"/>
      <c r="BD191" s="76"/>
      <c r="BE191" s="76"/>
      <c r="BF191" s="76"/>
      <c r="BG191" s="76"/>
      <c r="BH191" s="76"/>
      <c r="BI191" s="76"/>
      <c r="BJ191" s="76"/>
      <c r="BK191" s="76"/>
      <c r="BL191" s="76"/>
      <c r="BM191" s="76"/>
      <c r="BN191" s="76"/>
      <c r="BO191" s="76"/>
      <c r="BP191" s="76"/>
      <c r="BQ191" s="76"/>
      <c r="BR191" s="76"/>
      <c r="BS191" s="76"/>
      <c r="BT191" s="76"/>
      <c r="BU191" s="76"/>
      <c r="BV191" s="76"/>
    </row>
    <row r="192" spans="1:74" ht="12.75" x14ac:dyDescent="0.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6"/>
      <c r="AS192" s="76"/>
      <c r="AT192" s="76"/>
      <c r="AU192" s="76"/>
      <c r="AV192" s="76"/>
      <c r="AW192" s="76"/>
      <c r="AX192" s="76"/>
      <c r="AY192" s="76"/>
      <c r="AZ192" s="76"/>
      <c r="BA192" s="76"/>
      <c r="BB192" s="76"/>
      <c r="BC192" s="76"/>
      <c r="BD192" s="76"/>
      <c r="BE192" s="76"/>
      <c r="BF192" s="76"/>
      <c r="BG192" s="76"/>
      <c r="BH192" s="76"/>
      <c r="BI192" s="76"/>
      <c r="BJ192" s="76"/>
      <c r="BK192" s="76"/>
      <c r="BL192" s="76"/>
      <c r="BM192" s="76"/>
      <c r="BN192" s="76"/>
      <c r="BO192" s="76"/>
      <c r="BP192" s="76"/>
      <c r="BQ192" s="76"/>
      <c r="BR192" s="76"/>
      <c r="BS192" s="76"/>
      <c r="BT192" s="76"/>
      <c r="BU192" s="76"/>
      <c r="BV192" s="76"/>
    </row>
    <row r="193" spans="1:74" ht="12.75" x14ac:dyDescent="0.2">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6"/>
      <c r="AS193" s="76"/>
      <c r="AT193" s="76"/>
      <c r="AU193" s="76"/>
      <c r="AV193" s="76"/>
      <c r="AW193" s="76"/>
      <c r="AX193" s="76"/>
      <c r="AY193" s="76"/>
      <c r="AZ193" s="76"/>
      <c r="BA193" s="76"/>
      <c r="BB193" s="76"/>
      <c r="BC193" s="76"/>
      <c r="BD193" s="76"/>
      <c r="BE193" s="76"/>
      <c r="BF193" s="76"/>
      <c r="BG193" s="76"/>
      <c r="BH193" s="76"/>
      <c r="BI193" s="76"/>
      <c r="BJ193" s="76"/>
      <c r="BK193" s="76"/>
      <c r="BL193" s="76"/>
      <c r="BM193" s="76"/>
      <c r="BN193" s="76"/>
      <c r="BO193" s="76"/>
      <c r="BP193" s="76"/>
      <c r="BQ193" s="76"/>
      <c r="BR193" s="76"/>
      <c r="BS193" s="76"/>
      <c r="BT193" s="76"/>
      <c r="BU193" s="76"/>
      <c r="BV193" s="76"/>
    </row>
    <row r="194" spans="1:74" ht="12.75" x14ac:dyDescent="0.2">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c r="AY194" s="76"/>
      <c r="AZ194" s="76"/>
      <c r="BA194" s="76"/>
      <c r="BB194" s="76"/>
      <c r="BC194" s="76"/>
      <c r="BD194" s="76"/>
      <c r="BE194" s="76"/>
      <c r="BF194" s="76"/>
      <c r="BG194" s="76"/>
      <c r="BH194" s="76"/>
      <c r="BI194" s="76"/>
      <c r="BJ194" s="76"/>
      <c r="BK194" s="76"/>
      <c r="BL194" s="76"/>
      <c r="BM194" s="76"/>
      <c r="BN194" s="76"/>
      <c r="BO194" s="76"/>
      <c r="BP194" s="76"/>
      <c r="BQ194" s="76"/>
      <c r="BR194" s="76"/>
      <c r="BS194" s="76"/>
      <c r="BT194" s="76"/>
      <c r="BU194" s="76"/>
      <c r="BV194" s="76"/>
    </row>
    <row r="195" spans="1:74" ht="12.75" x14ac:dyDescent="0.2">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c r="AP195" s="76"/>
      <c r="AQ195" s="76"/>
      <c r="AR195" s="76"/>
      <c r="AS195" s="76"/>
      <c r="AT195" s="76"/>
      <c r="AU195" s="76"/>
      <c r="AV195" s="76"/>
      <c r="AW195" s="76"/>
      <c r="AX195" s="76"/>
      <c r="AY195" s="76"/>
      <c r="AZ195" s="76"/>
      <c r="BA195" s="76"/>
      <c r="BB195" s="76"/>
      <c r="BC195" s="76"/>
      <c r="BD195" s="76"/>
      <c r="BE195" s="76"/>
      <c r="BF195" s="76"/>
      <c r="BG195" s="76"/>
      <c r="BH195" s="76"/>
      <c r="BI195" s="76"/>
      <c r="BJ195" s="76"/>
      <c r="BK195" s="76"/>
      <c r="BL195" s="76"/>
      <c r="BM195" s="76"/>
      <c r="BN195" s="76"/>
      <c r="BO195" s="76"/>
      <c r="BP195" s="76"/>
      <c r="BQ195" s="76"/>
      <c r="BR195" s="76"/>
      <c r="BS195" s="76"/>
      <c r="BT195" s="76"/>
      <c r="BU195" s="76"/>
      <c r="BV195" s="76"/>
    </row>
    <row r="196" spans="1:74" ht="12.75" x14ac:dyDescent="0.2">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c r="AP196" s="76"/>
      <c r="AQ196" s="76"/>
      <c r="AR196" s="76"/>
      <c r="AS196" s="76"/>
      <c r="AT196" s="76"/>
      <c r="AU196" s="76"/>
      <c r="AV196" s="76"/>
      <c r="AW196" s="76"/>
      <c r="AX196" s="76"/>
      <c r="AY196" s="76"/>
      <c r="AZ196" s="76"/>
      <c r="BA196" s="76"/>
      <c r="BB196" s="76"/>
      <c r="BC196" s="76"/>
      <c r="BD196" s="76"/>
      <c r="BE196" s="76"/>
      <c r="BF196" s="76"/>
      <c r="BG196" s="76"/>
      <c r="BH196" s="76"/>
      <c r="BI196" s="76"/>
      <c r="BJ196" s="76"/>
      <c r="BK196" s="76"/>
      <c r="BL196" s="76"/>
      <c r="BM196" s="76"/>
      <c r="BN196" s="76"/>
      <c r="BO196" s="76"/>
      <c r="BP196" s="76"/>
      <c r="BQ196" s="76"/>
      <c r="BR196" s="76"/>
      <c r="BS196" s="76"/>
      <c r="BT196" s="76"/>
      <c r="BU196" s="76"/>
      <c r="BV196" s="76"/>
    </row>
    <row r="197" spans="1:74" ht="12.75" x14ac:dyDescent="0.2">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c r="AP197" s="76"/>
      <c r="AQ197" s="76"/>
      <c r="AR197" s="76"/>
      <c r="AS197" s="76"/>
      <c r="AT197" s="76"/>
      <c r="AU197" s="76"/>
      <c r="AV197" s="76"/>
      <c r="AW197" s="76"/>
      <c r="AX197" s="76"/>
      <c r="AY197" s="76"/>
      <c r="AZ197" s="76"/>
      <c r="BA197" s="76"/>
      <c r="BB197" s="76"/>
      <c r="BC197" s="76"/>
      <c r="BD197" s="76"/>
      <c r="BE197" s="76"/>
      <c r="BF197" s="76"/>
      <c r="BG197" s="76"/>
      <c r="BH197" s="76"/>
      <c r="BI197" s="76"/>
      <c r="BJ197" s="76"/>
      <c r="BK197" s="76"/>
      <c r="BL197" s="76"/>
      <c r="BM197" s="76"/>
      <c r="BN197" s="76"/>
      <c r="BO197" s="76"/>
      <c r="BP197" s="76"/>
      <c r="BQ197" s="76"/>
      <c r="BR197" s="76"/>
      <c r="BS197" s="76"/>
      <c r="BT197" s="76"/>
      <c r="BU197" s="76"/>
      <c r="BV197" s="76"/>
    </row>
    <row r="198" spans="1:74" ht="12.75" x14ac:dyDescent="0.2">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c r="AP198" s="76"/>
      <c r="AQ198" s="76"/>
      <c r="AR198" s="76"/>
      <c r="AS198" s="76"/>
      <c r="AT198" s="76"/>
      <c r="AU198" s="76"/>
      <c r="AV198" s="76"/>
      <c r="AW198" s="76"/>
      <c r="AX198" s="76"/>
      <c r="AY198" s="76"/>
      <c r="AZ198" s="76"/>
      <c r="BA198" s="76"/>
      <c r="BB198" s="76"/>
      <c r="BC198" s="76"/>
      <c r="BD198" s="76"/>
      <c r="BE198" s="76"/>
      <c r="BF198" s="76"/>
      <c r="BG198" s="76"/>
      <c r="BH198" s="76"/>
      <c r="BI198" s="76"/>
      <c r="BJ198" s="76"/>
      <c r="BK198" s="76"/>
      <c r="BL198" s="76"/>
      <c r="BM198" s="76"/>
      <c r="BN198" s="76"/>
      <c r="BO198" s="76"/>
      <c r="BP198" s="76"/>
      <c r="BQ198" s="76"/>
      <c r="BR198" s="76"/>
      <c r="BS198" s="76"/>
      <c r="BT198" s="76"/>
      <c r="BU198" s="76"/>
      <c r="BV198" s="76"/>
    </row>
    <row r="199" spans="1:74" ht="12.75" x14ac:dyDescent="0.2">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c r="AP199" s="76"/>
      <c r="AQ199" s="76"/>
      <c r="AR199" s="76"/>
      <c r="AS199" s="76"/>
      <c r="AT199" s="76"/>
      <c r="AU199" s="76"/>
      <c r="AV199" s="76"/>
      <c r="AW199" s="76"/>
      <c r="AX199" s="76"/>
      <c r="AY199" s="76"/>
      <c r="AZ199" s="76"/>
      <c r="BA199" s="76"/>
      <c r="BB199" s="76"/>
      <c r="BC199" s="76"/>
      <c r="BD199" s="76"/>
      <c r="BE199" s="76"/>
      <c r="BF199" s="76"/>
      <c r="BG199" s="76"/>
      <c r="BH199" s="76"/>
      <c r="BI199" s="76"/>
      <c r="BJ199" s="76"/>
      <c r="BK199" s="76"/>
      <c r="BL199" s="76"/>
      <c r="BM199" s="76"/>
      <c r="BN199" s="76"/>
      <c r="BO199" s="76"/>
      <c r="BP199" s="76"/>
      <c r="BQ199" s="76"/>
      <c r="BR199" s="76"/>
      <c r="BS199" s="76"/>
      <c r="BT199" s="76"/>
      <c r="BU199" s="76"/>
      <c r="BV199" s="76"/>
    </row>
    <row r="200" spans="1:74" ht="12.75" x14ac:dyDescent="0.2">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6"/>
      <c r="AS200" s="76"/>
      <c r="AT200" s="76"/>
      <c r="AU200" s="76"/>
      <c r="AV200" s="76"/>
      <c r="AW200" s="76"/>
      <c r="AX200" s="76"/>
      <c r="AY200" s="76"/>
      <c r="AZ200" s="76"/>
      <c r="BA200" s="76"/>
      <c r="BB200" s="76"/>
      <c r="BC200" s="76"/>
      <c r="BD200" s="76"/>
      <c r="BE200" s="76"/>
      <c r="BF200" s="76"/>
      <c r="BG200" s="76"/>
      <c r="BH200" s="76"/>
      <c r="BI200" s="76"/>
      <c r="BJ200" s="76"/>
      <c r="BK200" s="76"/>
      <c r="BL200" s="76"/>
      <c r="BM200" s="76"/>
      <c r="BN200" s="76"/>
      <c r="BO200" s="76"/>
      <c r="BP200" s="76"/>
      <c r="BQ200" s="76"/>
      <c r="BR200" s="76"/>
      <c r="BS200" s="76"/>
      <c r="BT200" s="76"/>
      <c r="BU200" s="76"/>
      <c r="BV200" s="76"/>
    </row>
    <row r="201" spans="1:74" ht="12.75" x14ac:dyDescent="0.2">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c r="AP201" s="76"/>
      <c r="AQ201" s="76"/>
      <c r="AR201" s="76"/>
      <c r="AS201" s="76"/>
      <c r="AT201" s="76"/>
      <c r="AU201" s="76"/>
      <c r="AV201" s="76"/>
      <c r="AW201" s="76"/>
      <c r="AX201" s="76"/>
      <c r="AY201" s="76"/>
      <c r="AZ201" s="76"/>
      <c r="BA201" s="76"/>
      <c r="BB201" s="76"/>
      <c r="BC201" s="76"/>
      <c r="BD201" s="76"/>
      <c r="BE201" s="76"/>
      <c r="BF201" s="76"/>
      <c r="BG201" s="76"/>
      <c r="BH201" s="76"/>
      <c r="BI201" s="76"/>
      <c r="BJ201" s="76"/>
      <c r="BK201" s="76"/>
      <c r="BL201" s="76"/>
      <c r="BM201" s="76"/>
      <c r="BN201" s="76"/>
      <c r="BO201" s="76"/>
      <c r="BP201" s="76"/>
      <c r="BQ201" s="76"/>
      <c r="BR201" s="76"/>
      <c r="BS201" s="76"/>
      <c r="BT201" s="76"/>
      <c r="BU201" s="76"/>
      <c r="BV201" s="76"/>
    </row>
    <row r="202" spans="1:74" ht="12.75" x14ac:dyDescent="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76"/>
      <c r="AQ202" s="76"/>
      <c r="AR202" s="76"/>
      <c r="AS202" s="76"/>
      <c r="AT202" s="76"/>
      <c r="AU202" s="76"/>
      <c r="AV202" s="76"/>
      <c r="AW202" s="76"/>
      <c r="AX202" s="76"/>
      <c r="AY202" s="76"/>
      <c r="AZ202" s="76"/>
      <c r="BA202" s="76"/>
      <c r="BB202" s="76"/>
      <c r="BC202" s="76"/>
      <c r="BD202" s="76"/>
      <c r="BE202" s="76"/>
      <c r="BF202" s="76"/>
      <c r="BG202" s="76"/>
      <c r="BH202" s="76"/>
      <c r="BI202" s="76"/>
      <c r="BJ202" s="76"/>
      <c r="BK202" s="76"/>
      <c r="BL202" s="76"/>
      <c r="BM202" s="76"/>
      <c r="BN202" s="76"/>
      <c r="BO202" s="76"/>
      <c r="BP202" s="76"/>
      <c r="BQ202" s="76"/>
      <c r="BR202" s="76"/>
      <c r="BS202" s="76"/>
      <c r="BT202" s="76"/>
      <c r="BU202" s="76"/>
      <c r="BV202" s="76"/>
    </row>
    <row r="203" spans="1:74" ht="12.75" x14ac:dyDescent="0.2">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6"/>
      <c r="AS203" s="76"/>
      <c r="AT203" s="76"/>
      <c r="AU203" s="76"/>
      <c r="AV203" s="76"/>
      <c r="AW203" s="76"/>
      <c r="AX203" s="76"/>
      <c r="AY203" s="76"/>
      <c r="AZ203" s="76"/>
      <c r="BA203" s="76"/>
      <c r="BB203" s="76"/>
      <c r="BC203" s="76"/>
      <c r="BD203" s="76"/>
      <c r="BE203" s="76"/>
      <c r="BF203" s="76"/>
      <c r="BG203" s="76"/>
      <c r="BH203" s="76"/>
      <c r="BI203" s="76"/>
      <c r="BJ203" s="76"/>
      <c r="BK203" s="76"/>
      <c r="BL203" s="76"/>
      <c r="BM203" s="76"/>
      <c r="BN203" s="76"/>
      <c r="BO203" s="76"/>
      <c r="BP203" s="76"/>
      <c r="BQ203" s="76"/>
      <c r="BR203" s="76"/>
      <c r="BS203" s="76"/>
      <c r="BT203" s="76"/>
      <c r="BU203" s="76"/>
      <c r="BV203" s="76"/>
    </row>
    <row r="204" spans="1:74" ht="12.75" x14ac:dyDescent="0.2">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6"/>
      <c r="AS204" s="76"/>
      <c r="AT204" s="76"/>
      <c r="AU204" s="76"/>
      <c r="AV204" s="76"/>
      <c r="AW204" s="76"/>
      <c r="AX204" s="76"/>
      <c r="AY204" s="76"/>
      <c r="AZ204" s="76"/>
      <c r="BA204" s="76"/>
      <c r="BB204" s="76"/>
      <c r="BC204" s="76"/>
      <c r="BD204" s="76"/>
      <c r="BE204" s="76"/>
      <c r="BF204" s="76"/>
      <c r="BG204" s="76"/>
      <c r="BH204" s="76"/>
      <c r="BI204" s="76"/>
      <c r="BJ204" s="76"/>
      <c r="BK204" s="76"/>
      <c r="BL204" s="76"/>
      <c r="BM204" s="76"/>
      <c r="BN204" s="76"/>
      <c r="BO204" s="76"/>
      <c r="BP204" s="76"/>
      <c r="BQ204" s="76"/>
      <c r="BR204" s="76"/>
      <c r="BS204" s="76"/>
      <c r="BT204" s="76"/>
      <c r="BU204" s="76"/>
      <c r="BV204" s="76"/>
    </row>
    <row r="205" spans="1:74" ht="12.75" x14ac:dyDescent="0.2">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c r="AP205" s="76"/>
      <c r="AQ205" s="76"/>
      <c r="AR205" s="76"/>
      <c r="AS205" s="76"/>
      <c r="AT205" s="76"/>
      <c r="AU205" s="76"/>
      <c r="AV205" s="76"/>
      <c r="AW205" s="76"/>
      <c r="AX205" s="76"/>
      <c r="AY205" s="76"/>
      <c r="AZ205" s="76"/>
      <c r="BA205" s="76"/>
      <c r="BB205" s="76"/>
      <c r="BC205" s="76"/>
      <c r="BD205" s="76"/>
      <c r="BE205" s="76"/>
      <c r="BF205" s="76"/>
      <c r="BG205" s="76"/>
      <c r="BH205" s="76"/>
      <c r="BI205" s="76"/>
      <c r="BJ205" s="76"/>
      <c r="BK205" s="76"/>
      <c r="BL205" s="76"/>
      <c r="BM205" s="76"/>
      <c r="BN205" s="76"/>
      <c r="BO205" s="76"/>
      <c r="BP205" s="76"/>
      <c r="BQ205" s="76"/>
      <c r="BR205" s="76"/>
      <c r="BS205" s="76"/>
      <c r="BT205" s="76"/>
      <c r="BU205" s="76"/>
      <c r="BV205" s="76"/>
    </row>
    <row r="206" spans="1:74" ht="12.75" x14ac:dyDescent="0.2">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76"/>
      <c r="AQ206" s="76"/>
      <c r="AR206" s="76"/>
      <c r="AS206" s="76"/>
      <c r="AT206" s="76"/>
      <c r="AU206" s="76"/>
      <c r="AV206" s="76"/>
      <c r="AW206" s="76"/>
      <c r="AX206" s="76"/>
      <c r="AY206" s="76"/>
      <c r="AZ206" s="76"/>
      <c r="BA206" s="76"/>
      <c r="BB206" s="76"/>
      <c r="BC206" s="76"/>
      <c r="BD206" s="76"/>
      <c r="BE206" s="76"/>
      <c r="BF206" s="76"/>
      <c r="BG206" s="76"/>
      <c r="BH206" s="76"/>
      <c r="BI206" s="76"/>
      <c r="BJ206" s="76"/>
      <c r="BK206" s="76"/>
      <c r="BL206" s="76"/>
      <c r="BM206" s="76"/>
      <c r="BN206" s="76"/>
      <c r="BO206" s="76"/>
      <c r="BP206" s="76"/>
      <c r="BQ206" s="76"/>
      <c r="BR206" s="76"/>
      <c r="BS206" s="76"/>
      <c r="BT206" s="76"/>
      <c r="BU206" s="76"/>
      <c r="BV206" s="76"/>
    </row>
    <row r="207" spans="1:74" ht="12.75" x14ac:dyDescent="0.2">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c r="AP207" s="76"/>
      <c r="AQ207" s="76"/>
      <c r="AR207" s="76"/>
      <c r="AS207" s="76"/>
      <c r="AT207" s="76"/>
      <c r="AU207" s="76"/>
      <c r="AV207" s="76"/>
      <c r="AW207" s="76"/>
      <c r="AX207" s="76"/>
      <c r="AY207" s="76"/>
      <c r="AZ207" s="76"/>
      <c r="BA207" s="76"/>
      <c r="BB207" s="76"/>
      <c r="BC207" s="76"/>
      <c r="BD207" s="76"/>
      <c r="BE207" s="76"/>
      <c r="BF207" s="76"/>
      <c r="BG207" s="76"/>
      <c r="BH207" s="76"/>
      <c r="BI207" s="76"/>
      <c r="BJ207" s="76"/>
      <c r="BK207" s="76"/>
      <c r="BL207" s="76"/>
      <c r="BM207" s="76"/>
      <c r="BN207" s="76"/>
      <c r="BO207" s="76"/>
      <c r="BP207" s="76"/>
      <c r="BQ207" s="76"/>
      <c r="BR207" s="76"/>
      <c r="BS207" s="76"/>
      <c r="BT207" s="76"/>
      <c r="BU207" s="76"/>
      <c r="BV207" s="76"/>
    </row>
    <row r="208" spans="1:74" ht="12.75" x14ac:dyDescent="0.2">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76"/>
      <c r="AQ208" s="76"/>
      <c r="AR208" s="76"/>
      <c r="AS208" s="76"/>
      <c r="AT208" s="76"/>
      <c r="AU208" s="76"/>
      <c r="AV208" s="76"/>
      <c r="AW208" s="76"/>
      <c r="AX208" s="76"/>
      <c r="AY208" s="76"/>
      <c r="AZ208" s="76"/>
      <c r="BA208" s="76"/>
      <c r="BB208" s="76"/>
      <c r="BC208" s="76"/>
      <c r="BD208" s="76"/>
      <c r="BE208" s="76"/>
      <c r="BF208" s="76"/>
      <c r="BG208" s="76"/>
      <c r="BH208" s="76"/>
      <c r="BI208" s="76"/>
      <c r="BJ208" s="76"/>
      <c r="BK208" s="76"/>
      <c r="BL208" s="76"/>
      <c r="BM208" s="76"/>
      <c r="BN208" s="76"/>
      <c r="BO208" s="76"/>
      <c r="BP208" s="76"/>
      <c r="BQ208" s="76"/>
      <c r="BR208" s="76"/>
      <c r="BS208" s="76"/>
      <c r="BT208" s="76"/>
      <c r="BU208" s="76"/>
      <c r="BV208" s="76"/>
    </row>
    <row r="209" spans="1:74" ht="12.75" x14ac:dyDescent="0.2">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6"/>
      <c r="AS209" s="76"/>
      <c r="AT209" s="76"/>
      <c r="AU209" s="76"/>
      <c r="AV209" s="76"/>
      <c r="AW209" s="76"/>
      <c r="AX209" s="76"/>
      <c r="AY209" s="76"/>
      <c r="AZ209" s="76"/>
      <c r="BA209" s="76"/>
      <c r="BB209" s="76"/>
      <c r="BC209" s="76"/>
      <c r="BD209" s="76"/>
      <c r="BE209" s="76"/>
      <c r="BF209" s="76"/>
      <c r="BG209" s="76"/>
      <c r="BH209" s="76"/>
      <c r="BI209" s="76"/>
      <c r="BJ209" s="76"/>
      <c r="BK209" s="76"/>
      <c r="BL209" s="76"/>
      <c r="BM209" s="76"/>
      <c r="BN209" s="76"/>
      <c r="BO209" s="76"/>
      <c r="BP209" s="76"/>
      <c r="BQ209" s="76"/>
      <c r="BR209" s="76"/>
      <c r="BS209" s="76"/>
      <c r="BT209" s="76"/>
      <c r="BU209" s="76"/>
      <c r="BV209" s="76"/>
    </row>
    <row r="210" spans="1:74" ht="12.75" x14ac:dyDescent="0.2">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76"/>
      <c r="AQ210" s="76"/>
      <c r="AR210" s="76"/>
      <c r="AS210" s="76"/>
      <c r="AT210" s="76"/>
      <c r="AU210" s="76"/>
      <c r="AV210" s="76"/>
      <c r="AW210" s="76"/>
      <c r="AX210" s="76"/>
      <c r="AY210" s="76"/>
      <c r="AZ210" s="76"/>
      <c r="BA210" s="76"/>
      <c r="BB210" s="76"/>
      <c r="BC210" s="76"/>
      <c r="BD210" s="76"/>
      <c r="BE210" s="76"/>
      <c r="BF210" s="76"/>
      <c r="BG210" s="76"/>
      <c r="BH210" s="76"/>
      <c r="BI210" s="76"/>
      <c r="BJ210" s="76"/>
      <c r="BK210" s="76"/>
      <c r="BL210" s="76"/>
      <c r="BM210" s="76"/>
      <c r="BN210" s="76"/>
      <c r="BO210" s="76"/>
      <c r="BP210" s="76"/>
      <c r="BQ210" s="76"/>
      <c r="BR210" s="76"/>
      <c r="BS210" s="76"/>
      <c r="BT210" s="76"/>
      <c r="BU210" s="76"/>
      <c r="BV210" s="76"/>
    </row>
    <row r="211" spans="1:74" ht="12.75" x14ac:dyDescent="0.2">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c r="AP211" s="76"/>
      <c r="AQ211" s="76"/>
      <c r="AR211" s="76"/>
      <c r="AS211" s="76"/>
      <c r="AT211" s="76"/>
      <c r="AU211" s="76"/>
      <c r="AV211" s="76"/>
      <c r="AW211" s="76"/>
      <c r="AX211" s="76"/>
      <c r="AY211" s="76"/>
      <c r="AZ211" s="76"/>
      <c r="BA211" s="76"/>
      <c r="BB211" s="76"/>
      <c r="BC211" s="76"/>
      <c r="BD211" s="76"/>
      <c r="BE211" s="76"/>
      <c r="BF211" s="76"/>
      <c r="BG211" s="76"/>
      <c r="BH211" s="76"/>
      <c r="BI211" s="76"/>
      <c r="BJ211" s="76"/>
      <c r="BK211" s="76"/>
      <c r="BL211" s="76"/>
      <c r="BM211" s="76"/>
      <c r="BN211" s="76"/>
      <c r="BO211" s="76"/>
      <c r="BP211" s="76"/>
      <c r="BQ211" s="76"/>
      <c r="BR211" s="76"/>
      <c r="BS211" s="76"/>
      <c r="BT211" s="76"/>
      <c r="BU211" s="76"/>
      <c r="BV211" s="76"/>
    </row>
    <row r="212" spans="1:74" ht="12.75" x14ac:dyDescent="0.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6"/>
      <c r="BB212" s="76"/>
      <c r="BC212" s="76"/>
      <c r="BD212" s="76"/>
      <c r="BE212" s="76"/>
      <c r="BF212" s="76"/>
      <c r="BG212" s="76"/>
      <c r="BH212" s="76"/>
      <c r="BI212" s="76"/>
      <c r="BJ212" s="76"/>
      <c r="BK212" s="76"/>
      <c r="BL212" s="76"/>
      <c r="BM212" s="76"/>
      <c r="BN212" s="76"/>
      <c r="BO212" s="76"/>
      <c r="BP212" s="76"/>
      <c r="BQ212" s="76"/>
      <c r="BR212" s="76"/>
      <c r="BS212" s="76"/>
      <c r="BT212" s="76"/>
      <c r="BU212" s="76"/>
      <c r="BV212" s="76"/>
    </row>
    <row r="213" spans="1:74" ht="12.75" x14ac:dyDescent="0.2">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6"/>
      <c r="AS213" s="76"/>
      <c r="AT213" s="76"/>
      <c r="AU213" s="76"/>
      <c r="AV213" s="76"/>
      <c r="AW213" s="76"/>
      <c r="AX213" s="76"/>
      <c r="AY213" s="76"/>
      <c r="AZ213" s="76"/>
      <c r="BA213" s="76"/>
      <c r="BB213" s="76"/>
      <c r="BC213" s="76"/>
      <c r="BD213" s="76"/>
      <c r="BE213" s="76"/>
      <c r="BF213" s="76"/>
      <c r="BG213" s="76"/>
      <c r="BH213" s="76"/>
      <c r="BI213" s="76"/>
      <c r="BJ213" s="76"/>
      <c r="BK213" s="76"/>
      <c r="BL213" s="76"/>
      <c r="BM213" s="76"/>
      <c r="BN213" s="76"/>
      <c r="BO213" s="76"/>
      <c r="BP213" s="76"/>
      <c r="BQ213" s="76"/>
      <c r="BR213" s="76"/>
      <c r="BS213" s="76"/>
      <c r="BT213" s="76"/>
      <c r="BU213" s="76"/>
      <c r="BV213" s="76"/>
    </row>
    <row r="214" spans="1:74" ht="12.75" x14ac:dyDescent="0.2">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76"/>
      <c r="AQ214" s="76"/>
      <c r="AR214" s="76"/>
      <c r="AS214" s="76"/>
      <c r="AT214" s="76"/>
      <c r="AU214" s="76"/>
      <c r="AV214" s="76"/>
      <c r="AW214" s="76"/>
      <c r="AX214" s="76"/>
      <c r="AY214" s="76"/>
      <c r="AZ214" s="76"/>
      <c r="BA214" s="76"/>
      <c r="BB214" s="76"/>
      <c r="BC214" s="76"/>
      <c r="BD214" s="76"/>
      <c r="BE214" s="76"/>
      <c r="BF214" s="76"/>
      <c r="BG214" s="76"/>
      <c r="BH214" s="76"/>
      <c r="BI214" s="76"/>
      <c r="BJ214" s="76"/>
      <c r="BK214" s="76"/>
      <c r="BL214" s="76"/>
      <c r="BM214" s="76"/>
      <c r="BN214" s="76"/>
      <c r="BO214" s="76"/>
      <c r="BP214" s="76"/>
      <c r="BQ214" s="76"/>
      <c r="BR214" s="76"/>
      <c r="BS214" s="76"/>
      <c r="BT214" s="76"/>
      <c r="BU214" s="76"/>
      <c r="BV214" s="76"/>
    </row>
    <row r="215" spans="1:74" ht="12.75" x14ac:dyDescent="0.2">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c r="AP215" s="76"/>
      <c r="AQ215" s="76"/>
      <c r="AR215" s="76"/>
      <c r="AS215" s="76"/>
      <c r="AT215" s="76"/>
      <c r="AU215" s="76"/>
      <c r="AV215" s="76"/>
      <c r="AW215" s="76"/>
      <c r="AX215" s="76"/>
      <c r="AY215" s="76"/>
      <c r="AZ215" s="76"/>
      <c r="BA215" s="76"/>
      <c r="BB215" s="76"/>
      <c r="BC215" s="76"/>
      <c r="BD215" s="76"/>
      <c r="BE215" s="76"/>
      <c r="BF215" s="76"/>
      <c r="BG215" s="76"/>
      <c r="BH215" s="76"/>
      <c r="BI215" s="76"/>
      <c r="BJ215" s="76"/>
      <c r="BK215" s="76"/>
      <c r="BL215" s="76"/>
      <c r="BM215" s="76"/>
      <c r="BN215" s="76"/>
      <c r="BO215" s="76"/>
      <c r="BP215" s="76"/>
      <c r="BQ215" s="76"/>
      <c r="BR215" s="76"/>
      <c r="BS215" s="76"/>
      <c r="BT215" s="76"/>
      <c r="BU215" s="76"/>
      <c r="BV215" s="76"/>
    </row>
    <row r="216" spans="1:74" ht="12.75" x14ac:dyDescent="0.2">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76"/>
      <c r="AQ216" s="76"/>
      <c r="AR216" s="76"/>
      <c r="AS216" s="76"/>
      <c r="AT216" s="76"/>
      <c r="AU216" s="76"/>
      <c r="AV216" s="76"/>
      <c r="AW216" s="76"/>
      <c r="AX216" s="76"/>
      <c r="AY216" s="76"/>
      <c r="AZ216" s="76"/>
      <c r="BA216" s="76"/>
      <c r="BB216" s="76"/>
      <c r="BC216" s="76"/>
      <c r="BD216" s="76"/>
      <c r="BE216" s="76"/>
      <c r="BF216" s="76"/>
      <c r="BG216" s="76"/>
      <c r="BH216" s="76"/>
      <c r="BI216" s="76"/>
      <c r="BJ216" s="76"/>
      <c r="BK216" s="76"/>
      <c r="BL216" s="76"/>
      <c r="BM216" s="76"/>
      <c r="BN216" s="76"/>
      <c r="BO216" s="76"/>
      <c r="BP216" s="76"/>
      <c r="BQ216" s="76"/>
      <c r="BR216" s="76"/>
      <c r="BS216" s="76"/>
      <c r="BT216" s="76"/>
      <c r="BU216" s="76"/>
      <c r="BV216" s="76"/>
    </row>
    <row r="217" spans="1:74" ht="12.75" x14ac:dyDescent="0.2">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c r="AP217" s="76"/>
      <c r="AQ217" s="76"/>
      <c r="AR217" s="76"/>
      <c r="AS217" s="76"/>
      <c r="AT217" s="76"/>
      <c r="AU217" s="76"/>
      <c r="AV217" s="76"/>
      <c r="AW217" s="76"/>
      <c r="AX217" s="76"/>
      <c r="AY217" s="76"/>
      <c r="AZ217" s="76"/>
      <c r="BA217" s="76"/>
      <c r="BB217" s="76"/>
      <c r="BC217" s="76"/>
      <c r="BD217" s="76"/>
      <c r="BE217" s="76"/>
      <c r="BF217" s="76"/>
      <c r="BG217" s="76"/>
      <c r="BH217" s="76"/>
      <c r="BI217" s="76"/>
      <c r="BJ217" s="76"/>
      <c r="BK217" s="76"/>
      <c r="BL217" s="76"/>
      <c r="BM217" s="76"/>
      <c r="BN217" s="76"/>
      <c r="BO217" s="76"/>
      <c r="BP217" s="76"/>
      <c r="BQ217" s="76"/>
      <c r="BR217" s="76"/>
      <c r="BS217" s="76"/>
      <c r="BT217" s="76"/>
      <c r="BU217" s="76"/>
      <c r="BV217" s="76"/>
    </row>
    <row r="218" spans="1:74" ht="12.75" x14ac:dyDescent="0.2">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76"/>
      <c r="AQ218" s="76"/>
      <c r="AR218" s="76"/>
      <c r="AS218" s="76"/>
      <c r="AT218" s="76"/>
      <c r="AU218" s="76"/>
      <c r="AV218" s="76"/>
      <c r="AW218" s="76"/>
      <c r="AX218" s="76"/>
      <c r="AY218" s="76"/>
      <c r="AZ218" s="76"/>
      <c r="BA218" s="76"/>
      <c r="BB218" s="76"/>
      <c r="BC218" s="76"/>
      <c r="BD218" s="76"/>
      <c r="BE218" s="76"/>
      <c r="BF218" s="76"/>
      <c r="BG218" s="76"/>
      <c r="BH218" s="76"/>
      <c r="BI218" s="76"/>
      <c r="BJ218" s="76"/>
      <c r="BK218" s="76"/>
      <c r="BL218" s="76"/>
      <c r="BM218" s="76"/>
      <c r="BN218" s="76"/>
      <c r="BO218" s="76"/>
      <c r="BP218" s="76"/>
      <c r="BQ218" s="76"/>
      <c r="BR218" s="76"/>
      <c r="BS218" s="76"/>
      <c r="BT218" s="76"/>
      <c r="BU218" s="76"/>
      <c r="BV218" s="76"/>
    </row>
    <row r="219" spans="1:74" ht="12.75" x14ac:dyDescent="0.2">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6"/>
      <c r="AS219" s="76"/>
      <c r="AT219" s="76"/>
      <c r="AU219" s="76"/>
      <c r="AV219" s="76"/>
      <c r="AW219" s="76"/>
      <c r="AX219" s="76"/>
      <c r="AY219" s="76"/>
      <c r="AZ219" s="76"/>
      <c r="BA219" s="76"/>
      <c r="BB219" s="76"/>
      <c r="BC219" s="76"/>
      <c r="BD219" s="76"/>
      <c r="BE219" s="76"/>
      <c r="BF219" s="76"/>
      <c r="BG219" s="76"/>
      <c r="BH219" s="76"/>
      <c r="BI219" s="76"/>
      <c r="BJ219" s="76"/>
      <c r="BK219" s="76"/>
      <c r="BL219" s="76"/>
      <c r="BM219" s="76"/>
      <c r="BN219" s="76"/>
      <c r="BO219" s="76"/>
      <c r="BP219" s="76"/>
      <c r="BQ219" s="76"/>
      <c r="BR219" s="76"/>
      <c r="BS219" s="76"/>
      <c r="BT219" s="76"/>
      <c r="BU219" s="76"/>
      <c r="BV219" s="76"/>
    </row>
    <row r="220" spans="1:74" ht="12.75" x14ac:dyDescent="0.2">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c r="BE220" s="76"/>
      <c r="BF220" s="76"/>
      <c r="BG220" s="76"/>
      <c r="BH220" s="76"/>
      <c r="BI220" s="76"/>
      <c r="BJ220" s="76"/>
      <c r="BK220" s="76"/>
      <c r="BL220" s="76"/>
      <c r="BM220" s="76"/>
      <c r="BN220" s="76"/>
      <c r="BO220" s="76"/>
      <c r="BP220" s="76"/>
      <c r="BQ220" s="76"/>
      <c r="BR220" s="76"/>
      <c r="BS220" s="76"/>
      <c r="BT220" s="76"/>
      <c r="BU220" s="76"/>
      <c r="BV220" s="76"/>
    </row>
    <row r="221" spans="1:74" ht="12.75" x14ac:dyDescent="0.2">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6"/>
      <c r="AS221" s="76"/>
      <c r="AT221" s="76"/>
      <c r="AU221" s="76"/>
      <c r="AV221" s="76"/>
      <c r="AW221" s="76"/>
      <c r="AX221" s="76"/>
      <c r="AY221" s="76"/>
      <c r="AZ221" s="76"/>
      <c r="BA221" s="76"/>
      <c r="BB221" s="76"/>
      <c r="BC221" s="76"/>
      <c r="BD221" s="76"/>
      <c r="BE221" s="76"/>
      <c r="BF221" s="76"/>
      <c r="BG221" s="76"/>
      <c r="BH221" s="76"/>
      <c r="BI221" s="76"/>
      <c r="BJ221" s="76"/>
      <c r="BK221" s="76"/>
      <c r="BL221" s="76"/>
      <c r="BM221" s="76"/>
      <c r="BN221" s="76"/>
      <c r="BO221" s="76"/>
      <c r="BP221" s="76"/>
      <c r="BQ221" s="76"/>
      <c r="BR221" s="76"/>
      <c r="BS221" s="76"/>
      <c r="BT221" s="76"/>
      <c r="BU221" s="76"/>
      <c r="BV221" s="76"/>
    </row>
    <row r="222" spans="1:74" ht="12.75" x14ac:dyDescent="0.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6"/>
      <c r="AS222" s="76"/>
      <c r="AT222" s="76"/>
      <c r="AU222" s="76"/>
      <c r="AV222" s="76"/>
      <c r="AW222" s="76"/>
      <c r="AX222" s="76"/>
      <c r="AY222" s="76"/>
      <c r="AZ222" s="76"/>
      <c r="BA222" s="76"/>
      <c r="BB222" s="76"/>
      <c r="BC222" s="76"/>
      <c r="BD222" s="76"/>
      <c r="BE222" s="76"/>
      <c r="BF222" s="76"/>
      <c r="BG222" s="76"/>
      <c r="BH222" s="76"/>
      <c r="BI222" s="76"/>
      <c r="BJ222" s="76"/>
      <c r="BK222" s="76"/>
      <c r="BL222" s="76"/>
      <c r="BM222" s="76"/>
      <c r="BN222" s="76"/>
      <c r="BO222" s="76"/>
      <c r="BP222" s="76"/>
      <c r="BQ222" s="76"/>
      <c r="BR222" s="76"/>
      <c r="BS222" s="76"/>
      <c r="BT222" s="76"/>
      <c r="BU222" s="76"/>
      <c r="BV222" s="76"/>
    </row>
    <row r="223" spans="1:74" ht="12.75" x14ac:dyDescent="0.2">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6"/>
      <c r="AS223" s="76"/>
      <c r="AT223" s="76"/>
      <c r="AU223" s="76"/>
      <c r="AV223" s="76"/>
      <c r="AW223" s="76"/>
      <c r="AX223" s="76"/>
      <c r="AY223" s="76"/>
      <c r="AZ223" s="76"/>
      <c r="BA223" s="76"/>
      <c r="BB223" s="76"/>
      <c r="BC223" s="76"/>
      <c r="BD223" s="76"/>
      <c r="BE223" s="76"/>
      <c r="BF223" s="76"/>
      <c r="BG223" s="76"/>
      <c r="BH223" s="76"/>
      <c r="BI223" s="76"/>
      <c r="BJ223" s="76"/>
      <c r="BK223" s="76"/>
      <c r="BL223" s="76"/>
      <c r="BM223" s="76"/>
      <c r="BN223" s="76"/>
      <c r="BO223" s="76"/>
      <c r="BP223" s="76"/>
      <c r="BQ223" s="76"/>
      <c r="BR223" s="76"/>
      <c r="BS223" s="76"/>
      <c r="BT223" s="76"/>
      <c r="BU223" s="76"/>
      <c r="BV223" s="76"/>
    </row>
    <row r="224" spans="1:74" ht="12.75" x14ac:dyDescent="0.2">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76"/>
      <c r="AQ224" s="76"/>
      <c r="AR224" s="76"/>
      <c r="AS224" s="76"/>
      <c r="AT224" s="76"/>
      <c r="AU224" s="76"/>
      <c r="AV224" s="76"/>
      <c r="AW224" s="76"/>
      <c r="AX224" s="76"/>
      <c r="AY224" s="76"/>
      <c r="AZ224" s="76"/>
      <c r="BA224" s="76"/>
      <c r="BB224" s="76"/>
      <c r="BC224" s="76"/>
      <c r="BD224" s="76"/>
      <c r="BE224" s="76"/>
      <c r="BF224" s="76"/>
      <c r="BG224" s="76"/>
      <c r="BH224" s="76"/>
      <c r="BI224" s="76"/>
      <c r="BJ224" s="76"/>
      <c r="BK224" s="76"/>
      <c r="BL224" s="76"/>
      <c r="BM224" s="76"/>
      <c r="BN224" s="76"/>
      <c r="BO224" s="76"/>
      <c r="BP224" s="76"/>
      <c r="BQ224" s="76"/>
      <c r="BR224" s="76"/>
      <c r="BS224" s="76"/>
      <c r="BT224" s="76"/>
      <c r="BU224" s="76"/>
      <c r="BV224" s="76"/>
    </row>
    <row r="225" spans="1:74" ht="12.75" x14ac:dyDescent="0.2">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c r="BE225" s="76"/>
      <c r="BF225" s="76"/>
      <c r="BG225" s="76"/>
      <c r="BH225" s="76"/>
      <c r="BI225" s="76"/>
      <c r="BJ225" s="76"/>
      <c r="BK225" s="76"/>
      <c r="BL225" s="76"/>
      <c r="BM225" s="76"/>
      <c r="BN225" s="76"/>
      <c r="BO225" s="76"/>
      <c r="BP225" s="76"/>
      <c r="BQ225" s="76"/>
      <c r="BR225" s="76"/>
      <c r="BS225" s="76"/>
      <c r="BT225" s="76"/>
      <c r="BU225" s="76"/>
      <c r="BV225" s="76"/>
    </row>
    <row r="226" spans="1:74" ht="12.75" x14ac:dyDescent="0.2">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6"/>
      <c r="AS226" s="76"/>
      <c r="AT226" s="76"/>
      <c r="AU226" s="76"/>
      <c r="AV226" s="76"/>
      <c r="AW226" s="76"/>
      <c r="AX226" s="76"/>
      <c r="AY226" s="76"/>
      <c r="AZ226" s="76"/>
      <c r="BA226" s="76"/>
      <c r="BB226" s="76"/>
      <c r="BC226" s="76"/>
      <c r="BD226" s="76"/>
      <c r="BE226" s="76"/>
      <c r="BF226" s="76"/>
      <c r="BG226" s="76"/>
      <c r="BH226" s="76"/>
      <c r="BI226" s="76"/>
      <c r="BJ226" s="76"/>
      <c r="BK226" s="76"/>
      <c r="BL226" s="76"/>
      <c r="BM226" s="76"/>
      <c r="BN226" s="76"/>
      <c r="BO226" s="76"/>
      <c r="BP226" s="76"/>
      <c r="BQ226" s="76"/>
      <c r="BR226" s="76"/>
      <c r="BS226" s="76"/>
      <c r="BT226" s="76"/>
      <c r="BU226" s="76"/>
      <c r="BV226" s="76"/>
    </row>
    <row r="227" spans="1:74" ht="12.75" x14ac:dyDescent="0.2">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6"/>
      <c r="AS227" s="76"/>
      <c r="AT227" s="76"/>
      <c r="AU227" s="76"/>
      <c r="AV227" s="76"/>
      <c r="AW227" s="76"/>
      <c r="AX227" s="76"/>
      <c r="AY227" s="76"/>
      <c r="AZ227" s="76"/>
      <c r="BA227" s="76"/>
      <c r="BB227" s="76"/>
      <c r="BC227" s="76"/>
      <c r="BD227" s="76"/>
      <c r="BE227" s="76"/>
      <c r="BF227" s="76"/>
      <c r="BG227" s="76"/>
      <c r="BH227" s="76"/>
      <c r="BI227" s="76"/>
      <c r="BJ227" s="76"/>
      <c r="BK227" s="76"/>
      <c r="BL227" s="76"/>
      <c r="BM227" s="76"/>
      <c r="BN227" s="76"/>
      <c r="BO227" s="76"/>
      <c r="BP227" s="76"/>
      <c r="BQ227" s="76"/>
      <c r="BR227" s="76"/>
      <c r="BS227" s="76"/>
      <c r="BT227" s="76"/>
      <c r="BU227" s="76"/>
      <c r="BV227" s="76"/>
    </row>
    <row r="228" spans="1:74" ht="12.75" x14ac:dyDescent="0.2">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c r="BE228" s="76"/>
      <c r="BF228" s="76"/>
      <c r="BG228" s="76"/>
      <c r="BH228" s="76"/>
      <c r="BI228" s="76"/>
      <c r="BJ228" s="76"/>
      <c r="BK228" s="76"/>
      <c r="BL228" s="76"/>
      <c r="BM228" s="76"/>
      <c r="BN228" s="76"/>
      <c r="BO228" s="76"/>
      <c r="BP228" s="76"/>
      <c r="BQ228" s="76"/>
      <c r="BR228" s="76"/>
      <c r="BS228" s="76"/>
      <c r="BT228" s="76"/>
      <c r="BU228" s="76"/>
      <c r="BV228" s="76"/>
    </row>
    <row r="229" spans="1:74" ht="12.75" x14ac:dyDescent="0.2">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c r="BE229" s="76"/>
      <c r="BF229" s="76"/>
      <c r="BG229" s="76"/>
      <c r="BH229" s="76"/>
      <c r="BI229" s="76"/>
      <c r="BJ229" s="76"/>
      <c r="BK229" s="76"/>
      <c r="BL229" s="76"/>
      <c r="BM229" s="76"/>
      <c r="BN229" s="76"/>
      <c r="BO229" s="76"/>
      <c r="BP229" s="76"/>
      <c r="BQ229" s="76"/>
      <c r="BR229" s="76"/>
      <c r="BS229" s="76"/>
      <c r="BT229" s="76"/>
      <c r="BU229" s="76"/>
      <c r="BV229" s="76"/>
    </row>
    <row r="230" spans="1:74" ht="12.75" x14ac:dyDescent="0.2">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c r="BE230" s="76"/>
      <c r="BF230" s="76"/>
      <c r="BG230" s="76"/>
      <c r="BH230" s="76"/>
      <c r="BI230" s="76"/>
      <c r="BJ230" s="76"/>
      <c r="BK230" s="76"/>
      <c r="BL230" s="76"/>
      <c r="BM230" s="76"/>
      <c r="BN230" s="76"/>
      <c r="BO230" s="76"/>
      <c r="BP230" s="76"/>
      <c r="BQ230" s="76"/>
      <c r="BR230" s="76"/>
      <c r="BS230" s="76"/>
      <c r="BT230" s="76"/>
      <c r="BU230" s="76"/>
      <c r="BV230" s="76"/>
    </row>
    <row r="231" spans="1:74" ht="12.75" x14ac:dyDescent="0.2">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6"/>
      <c r="AY231" s="76"/>
      <c r="AZ231" s="76"/>
      <c r="BA231" s="76"/>
      <c r="BB231" s="76"/>
      <c r="BC231" s="76"/>
      <c r="BD231" s="76"/>
      <c r="BE231" s="76"/>
      <c r="BF231" s="76"/>
      <c r="BG231" s="76"/>
      <c r="BH231" s="76"/>
      <c r="BI231" s="76"/>
      <c r="BJ231" s="76"/>
      <c r="BK231" s="76"/>
      <c r="BL231" s="76"/>
      <c r="BM231" s="76"/>
      <c r="BN231" s="76"/>
      <c r="BO231" s="76"/>
      <c r="BP231" s="76"/>
      <c r="BQ231" s="76"/>
      <c r="BR231" s="76"/>
      <c r="BS231" s="76"/>
      <c r="BT231" s="76"/>
      <c r="BU231" s="76"/>
      <c r="BV231" s="76"/>
    </row>
    <row r="232" spans="1:74" ht="12.75" x14ac:dyDescent="0.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6"/>
      <c r="AS232" s="76"/>
      <c r="AT232" s="76"/>
      <c r="AU232" s="76"/>
      <c r="AV232" s="76"/>
      <c r="AW232" s="76"/>
      <c r="AX232" s="76"/>
      <c r="AY232" s="76"/>
      <c r="AZ232" s="76"/>
      <c r="BA232" s="76"/>
      <c r="BB232" s="76"/>
      <c r="BC232" s="76"/>
      <c r="BD232" s="76"/>
      <c r="BE232" s="76"/>
      <c r="BF232" s="76"/>
      <c r="BG232" s="76"/>
      <c r="BH232" s="76"/>
      <c r="BI232" s="76"/>
      <c r="BJ232" s="76"/>
      <c r="BK232" s="76"/>
      <c r="BL232" s="76"/>
      <c r="BM232" s="76"/>
      <c r="BN232" s="76"/>
      <c r="BO232" s="76"/>
      <c r="BP232" s="76"/>
      <c r="BQ232" s="76"/>
      <c r="BR232" s="76"/>
      <c r="BS232" s="76"/>
      <c r="BT232" s="76"/>
      <c r="BU232" s="76"/>
      <c r="BV232" s="76"/>
    </row>
    <row r="233" spans="1:74" ht="12.75" x14ac:dyDescent="0.2">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c r="AP233" s="76"/>
      <c r="AQ233" s="76"/>
      <c r="AR233" s="76"/>
      <c r="AS233" s="76"/>
      <c r="AT233" s="76"/>
      <c r="AU233" s="76"/>
      <c r="AV233" s="76"/>
      <c r="AW233" s="76"/>
      <c r="AX233" s="76"/>
      <c r="AY233" s="76"/>
      <c r="AZ233" s="76"/>
      <c r="BA233" s="76"/>
      <c r="BB233" s="76"/>
      <c r="BC233" s="76"/>
      <c r="BD233" s="76"/>
      <c r="BE233" s="76"/>
      <c r="BF233" s="76"/>
      <c r="BG233" s="76"/>
      <c r="BH233" s="76"/>
      <c r="BI233" s="76"/>
      <c r="BJ233" s="76"/>
      <c r="BK233" s="76"/>
      <c r="BL233" s="76"/>
      <c r="BM233" s="76"/>
      <c r="BN233" s="76"/>
      <c r="BO233" s="76"/>
      <c r="BP233" s="76"/>
      <c r="BQ233" s="76"/>
      <c r="BR233" s="76"/>
      <c r="BS233" s="76"/>
      <c r="BT233" s="76"/>
      <c r="BU233" s="76"/>
      <c r="BV233" s="76"/>
    </row>
    <row r="234" spans="1:74" ht="12.75" x14ac:dyDescent="0.2">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c r="BL234" s="76"/>
      <c r="BM234" s="76"/>
      <c r="BN234" s="76"/>
      <c r="BO234" s="76"/>
      <c r="BP234" s="76"/>
      <c r="BQ234" s="76"/>
      <c r="BR234" s="76"/>
      <c r="BS234" s="76"/>
      <c r="BT234" s="76"/>
      <c r="BU234" s="76"/>
      <c r="BV234" s="76"/>
    </row>
    <row r="235" spans="1:74" ht="12.75" x14ac:dyDescent="0.2">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6"/>
      <c r="AS235" s="76"/>
      <c r="AT235" s="76"/>
      <c r="AU235" s="76"/>
      <c r="AV235" s="76"/>
      <c r="AW235" s="76"/>
      <c r="AX235" s="76"/>
      <c r="AY235" s="76"/>
      <c r="AZ235" s="76"/>
      <c r="BA235" s="76"/>
      <c r="BB235" s="76"/>
      <c r="BC235" s="76"/>
      <c r="BD235" s="76"/>
      <c r="BE235" s="76"/>
      <c r="BF235" s="76"/>
      <c r="BG235" s="76"/>
      <c r="BH235" s="76"/>
      <c r="BI235" s="76"/>
      <c r="BJ235" s="76"/>
      <c r="BK235" s="76"/>
      <c r="BL235" s="76"/>
      <c r="BM235" s="76"/>
      <c r="BN235" s="76"/>
      <c r="BO235" s="76"/>
      <c r="BP235" s="76"/>
      <c r="BQ235" s="76"/>
      <c r="BR235" s="76"/>
      <c r="BS235" s="76"/>
      <c r="BT235" s="76"/>
      <c r="BU235" s="76"/>
      <c r="BV235" s="76"/>
    </row>
    <row r="236" spans="1:74" ht="12.75" x14ac:dyDescent="0.2">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6"/>
      <c r="AS236" s="76"/>
      <c r="AT236" s="76"/>
      <c r="AU236" s="76"/>
      <c r="AV236" s="76"/>
      <c r="AW236" s="76"/>
      <c r="AX236" s="76"/>
      <c r="AY236" s="76"/>
      <c r="AZ236" s="76"/>
      <c r="BA236" s="76"/>
      <c r="BB236" s="76"/>
      <c r="BC236" s="76"/>
      <c r="BD236" s="76"/>
      <c r="BE236" s="76"/>
      <c r="BF236" s="76"/>
      <c r="BG236" s="76"/>
      <c r="BH236" s="76"/>
      <c r="BI236" s="76"/>
      <c r="BJ236" s="76"/>
      <c r="BK236" s="76"/>
      <c r="BL236" s="76"/>
      <c r="BM236" s="76"/>
      <c r="BN236" s="76"/>
      <c r="BO236" s="76"/>
      <c r="BP236" s="76"/>
      <c r="BQ236" s="76"/>
      <c r="BR236" s="76"/>
      <c r="BS236" s="76"/>
      <c r="BT236" s="76"/>
      <c r="BU236" s="76"/>
      <c r="BV236" s="76"/>
    </row>
    <row r="237" spans="1:74" ht="12.75" x14ac:dyDescent="0.2">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c r="BE237" s="76"/>
      <c r="BF237" s="76"/>
      <c r="BG237" s="76"/>
      <c r="BH237" s="76"/>
      <c r="BI237" s="76"/>
      <c r="BJ237" s="76"/>
      <c r="BK237" s="76"/>
      <c r="BL237" s="76"/>
      <c r="BM237" s="76"/>
      <c r="BN237" s="76"/>
      <c r="BO237" s="76"/>
      <c r="BP237" s="76"/>
      <c r="BQ237" s="76"/>
      <c r="BR237" s="76"/>
      <c r="BS237" s="76"/>
      <c r="BT237" s="76"/>
      <c r="BU237" s="76"/>
      <c r="BV237" s="76"/>
    </row>
    <row r="238" spans="1:74" ht="12.75" x14ac:dyDescent="0.2">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c r="BE238" s="76"/>
      <c r="BF238" s="76"/>
      <c r="BG238" s="76"/>
      <c r="BH238" s="76"/>
      <c r="BI238" s="76"/>
      <c r="BJ238" s="76"/>
      <c r="BK238" s="76"/>
      <c r="BL238" s="76"/>
      <c r="BM238" s="76"/>
      <c r="BN238" s="76"/>
      <c r="BO238" s="76"/>
      <c r="BP238" s="76"/>
      <c r="BQ238" s="76"/>
      <c r="BR238" s="76"/>
      <c r="BS238" s="76"/>
      <c r="BT238" s="76"/>
      <c r="BU238" s="76"/>
      <c r="BV238" s="76"/>
    </row>
    <row r="239" spans="1:74" ht="12.75" x14ac:dyDescent="0.2">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76"/>
      <c r="AW239" s="76"/>
      <c r="AX239" s="76"/>
      <c r="AY239" s="76"/>
      <c r="AZ239" s="76"/>
      <c r="BA239" s="76"/>
      <c r="BB239" s="76"/>
      <c r="BC239" s="76"/>
      <c r="BD239" s="76"/>
      <c r="BE239" s="76"/>
      <c r="BF239" s="76"/>
      <c r="BG239" s="76"/>
      <c r="BH239" s="76"/>
      <c r="BI239" s="76"/>
      <c r="BJ239" s="76"/>
      <c r="BK239" s="76"/>
      <c r="BL239" s="76"/>
      <c r="BM239" s="76"/>
      <c r="BN239" s="76"/>
      <c r="BO239" s="76"/>
      <c r="BP239" s="76"/>
      <c r="BQ239" s="76"/>
      <c r="BR239" s="76"/>
      <c r="BS239" s="76"/>
      <c r="BT239" s="76"/>
      <c r="BU239" s="76"/>
      <c r="BV239" s="76"/>
    </row>
    <row r="240" spans="1:74" ht="12.75" x14ac:dyDescent="0.2">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c r="AW240" s="76"/>
      <c r="AX240" s="76"/>
      <c r="AY240" s="76"/>
      <c r="AZ240" s="76"/>
      <c r="BA240" s="76"/>
      <c r="BB240" s="76"/>
      <c r="BC240" s="76"/>
      <c r="BD240" s="76"/>
      <c r="BE240" s="76"/>
      <c r="BF240" s="76"/>
      <c r="BG240" s="76"/>
      <c r="BH240" s="76"/>
      <c r="BI240" s="76"/>
      <c r="BJ240" s="76"/>
      <c r="BK240" s="76"/>
      <c r="BL240" s="76"/>
      <c r="BM240" s="76"/>
      <c r="BN240" s="76"/>
      <c r="BO240" s="76"/>
      <c r="BP240" s="76"/>
      <c r="BQ240" s="76"/>
      <c r="BR240" s="76"/>
      <c r="BS240" s="76"/>
      <c r="BT240" s="76"/>
      <c r="BU240" s="76"/>
      <c r="BV240" s="76"/>
    </row>
    <row r="241" spans="1:74" ht="12.75" x14ac:dyDescent="0.2">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6"/>
      <c r="AS241" s="76"/>
      <c r="AT241" s="76"/>
      <c r="AU241" s="76"/>
      <c r="AV241" s="76"/>
      <c r="AW241" s="76"/>
      <c r="AX241" s="76"/>
      <c r="AY241" s="76"/>
      <c r="AZ241" s="76"/>
      <c r="BA241" s="76"/>
      <c r="BB241" s="76"/>
      <c r="BC241" s="76"/>
      <c r="BD241" s="76"/>
      <c r="BE241" s="76"/>
      <c r="BF241" s="76"/>
      <c r="BG241" s="76"/>
      <c r="BH241" s="76"/>
      <c r="BI241" s="76"/>
      <c r="BJ241" s="76"/>
      <c r="BK241" s="76"/>
      <c r="BL241" s="76"/>
      <c r="BM241" s="76"/>
      <c r="BN241" s="76"/>
      <c r="BO241" s="76"/>
      <c r="BP241" s="76"/>
      <c r="BQ241" s="76"/>
      <c r="BR241" s="76"/>
      <c r="BS241" s="76"/>
      <c r="BT241" s="76"/>
      <c r="BU241" s="76"/>
      <c r="BV241" s="76"/>
    </row>
    <row r="242" spans="1:74" ht="12.75" x14ac:dyDescent="0.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row>
    <row r="243" spans="1:74" ht="12.75" x14ac:dyDescent="0.2">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row>
    <row r="244" spans="1:74" ht="12.75" x14ac:dyDescent="0.2">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row>
    <row r="245" spans="1:74" ht="12.75" x14ac:dyDescent="0.2">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row>
    <row r="246" spans="1:74" ht="12.75" x14ac:dyDescent="0.2">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row>
    <row r="247" spans="1:74" ht="12.75" x14ac:dyDescent="0.2">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row>
    <row r="248" spans="1:74" ht="12.75" x14ac:dyDescent="0.2">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row>
    <row r="249" spans="1:74" ht="12.75" x14ac:dyDescent="0.2">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row>
    <row r="250" spans="1:74" ht="12.75" x14ac:dyDescent="0.2">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row>
    <row r="251" spans="1:74" ht="12.75" x14ac:dyDescent="0.2">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row>
    <row r="252" spans="1:74" ht="12.75" x14ac:dyDescent="0.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row>
  </sheetData>
  <hyperlinks>
    <hyperlink ref="A24" r:id="rId1" xr:uid="{7993F53D-776A-4DF6-A9C4-5CCF56B6FE08}"/>
    <hyperlink ref="A56" r:id="rId2" xr:uid="{779A22DA-5E79-470D-8C07-E0F7103561F3}"/>
    <hyperlink ref="C97" r:id="rId3" xr:uid="{043D6962-871A-4522-BA47-6CCB720BD744}"/>
  </hyperlinks>
  <pageMargins left="0.7" right="0.7" top="0.75" bottom="0.75" header="0" footer="0"/>
  <pageSetup orientation="landscape"/>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AH46"/>
  <sheetViews>
    <sheetView workbookViewId="0">
      <selection activeCell="E29" sqref="E29"/>
    </sheetView>
  </sheetViews>
  <sheetFormatPr defaultColWidth="8.42578125" defaultRowHeight="15" x14ac:dyDescent="0.25"/>
  <cols>
    <col min="1" max="1" width="19.42578125" customWidth="1"/>
    <col min="2" max="2" width="21.42578125" customWidth="1"/>
  </cols>
  <sheetData>
    <row r="1" spans="1:34" x14ac:dyDescent="0.25">
      <c r="A1" t="s">
        <v>1824</v>
      </c>
    </row>
    <row r="2" spans="1:34" x14ac:dyDescent="0.25">
      <c r="C2" s="123">
        <v>2021</v>
      </c>
      <c r="D2" s="123">
        <v>2022</v>
      </c>
      <c r="E2" s="123">
        <v>2023</v>
      </c>
      <c r="F2" s="123">
        <v>2024</v>
      </c>
      <c r="G2" s="123">
        <v>2025</v>
      </c>
      <c r="H2" s="123">
        <v>2026</v>
      </c>
      <c r="I2" s="123">
        <v>2027</v>
      </c>
      <c r="J2" s="123">
        <v>2028</v>
      </c>
      <c r="K2" s="123">
        <v>2029</v>
      </c>
      <c r="L2" s="123">
        <v>2030</v>
      </c>
      <c r="M2" s="123">
        <v>2031</v>
      </c>
      <c r="N2" s="123">
        <v>2032</v>
      </c>
      <c r="O2" s="123">
        <v>2033</v>
      </c>
      <c r="P2" s="123">
        <v>2034</v>
      </c>
      <c r="Q2" s="123">
        <v>2035</v>
      </c>
      <c r="R2" s="123">
        <v>2036</v>
      </c>
      <c r="S2" s="123">
        <v>2037</v>
      </c>
      <c r="T2" s="123">
        <v>2038</v>
      </c>
      <c r="U2" s="123">
        <v>2039</v>
      </c>
      <c r="V2" s="123">
        <v>2040</v>
      </c>
      <c r="W2" s="123">
        <v>2041</v>
      </c>
      <c r="X2" s="123">
        <v>2042</v>
      </c>
      <c r="Y2" s="123">
        <v>2043</v>
      </c>
      <c r="Z2" s="123">
        <v>2044</v>
      </c>
      <c r="AA2" s="123">
        <v>2045</v>
      </c>
      <c r="AB2" s="123">
        <v>2046</v>
      </c>
      <c r="AC2" s="123">
        <v>2047</v>
      </c>
      <c r="AD2" s="123">
        <v>2048</v>
      </c>
      <c r="AE2" s="123">
        <v>2049</v>
      </c>
      <c r="AF2" s="123">
        <v>2050</v>
      </c>
    </row>
    <row r="3" spans="1:34" ht="15" customHeight="1" x14ac:dyDescent="0.25">
      <c r="A3" t="s">
        <v>181</v>
      </c>
      <c r="B3" s="357" t="s">
        <v>182</v>
      </c>
      <c r="C3" s="124">
        <v>0</v>
      </c>
      <c r="D3" s="124">
        <v>0</v>
      </c>
      <c r="E3" s="124">
        <v>0</v>
      </c>
      <c r="F3" s="124">
        <v>0</v>
      </c>
      <c r="G3" s="124">
        <v>0</v>
      </c>
      <c r="H3" s="124">
        <v>0</v>
      </c>
      <c r="I3" s="124">
        <v>0</v>
      </c>
      <c r="J3" s="124">
        <v>0</v>
      </c>
      <c r="K3" s="124">
        <v>0</v>
      </c>
      <c r="L3" s="124">
        <v>0</v>
      </c>
      <c r="M3" s="124">
        <v>0</v>
      </c>
      <c r="N3" s="124">
        <v>0</v>
      </c>
      <c r="O3" s="124">
        <v>0</v>
      </c>
      <c r="P3" s="124">
        <v>0</v>
      </c>
      <c r="Q3" s="124">
        <v>0</v>
      </c>
      <c r="R3" s="124">
        <v>0</v>
      </c>
      <c r="S3" s="124">
        <v>0</v>
      </c>
      <c r="T3" s="124">
        <v>0</v>
      </c>
      <c r="U3" s="124">
        <v>0</v>
      </c>
      <c r="V3" s="124">
        <v>0</v>
      </c>
      <c r="W3" s="124">
        <v>0</v>
      </c>
      <c r="X3" s="124">
        <v>0</v>
      </c>
      <c r="Y3" s="124">
        <v>0</v>
      </c>
      <c r="Z3" s="124">
        <v>0</v>
      </c>
      <c r="AA3" s="124">
        <v>0</v>
      </c>
      <c r="AB3" s="124">
        <v>0</v>
      </c>
      <c r="AC3" s="124">
        <v>0</v>
      </c>
      <c r="AD3" s="124">
        <v>0</v>
      </c>
      <c r="AE3" s="124">
        <v>0</v>
      </c>
      <c r="AF3" s="124">
        <v>0</v>
      </c>
    </row>
    <row r="4" spans="1:34" x14ac:dyDescent="0.25">
      <c r="A4" t="s">
        <v>183</v>
      </c>
      <c r="B4" s="358"/>
      <c r="C4" s="125">
        <v>0</v>
      </c>
      <c r="D4" s="125">
        <v>0</v>
      </c>
      <c r="E4" s="125">
        <v>0</v>
      </c>
      <c r="F4" s="125">
        <v>0</v>
      </c>
      <c r="G4" s="125">
        <v>0</v>
      </c>
      <c r="H4" s="125">
        <v>0</v>
      </c>
      <c r="I4" s="125">
        <v>0</v>
      </c>
      <c r="J4" s="125">
        <v>0</v>
      </c>
      <c r="K4" s="125">
        <v>0</v>
      </c>
      <c r="L4" s="125">
        <v>0</v>
      </c>
      <c r="M4" s="125">
        <v>0</v>
      </c>
      <c r="N4" s="125">
        <v>0</v>
      </c>
      <c r="O4" s="125">
        <v>0</v>
      </c>
      <c r="P4" s="125">
        <v>0</v>
      </c>
      <c r="Q4" s="125">
        <v>0</v>
      </c>
      <c r="R4" s="125">
        <v>0</v>
      </c>
      <c r="S4" s="125">
        <v>0</v>
      </c>
      <c r="T4" s="125">
        <v>0</v>
      </c>
      <c r="U4" s="125">
        <v>0</v>
      </c>
      <c r="V4" s="125">
        <v>0</v>
      </c>
      <c r="W4" s="125">
        <v>0</v>
      </c>
      <c r="X4" s="125">
        <v>0</v>
      </c>
      <c r="Y4" s="125">
        <v>0</v>
      </c>
      <c r="Z4" s="125">
        <v>0</v>
      </c>
      <c r="AA4" s="125">
        <v>0</v>
      </c>
      <c r="AB4" s="125">
        <v>0</v>
      </c>
      <c r="AC4" s="125">
        <v>0</v>
      </c>
      <c r="AD4" s="125">
        <v>0</v>
      </c>
      <c r="AE4" s="125">
        <v>0</v>
      </c>
      <c r="AF4" s="125">
        <v>0</v>
      </c>
    </row>
    <row r="5" spans="1:34" x14ac:dyDescent="0.25">
      <c r="B5" s="126"/>
      <c r="C5" s="124"/>
      <c r="D5" s="124"/>
      <c r="E5" s="124"/>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row>
    <row r="6" spans="1:34" x14ac:dyDescent="0.25">
      <c r="B6" s="357" t="s">
        <v>184</v>
      </c>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row>
    <row r="7" spans="1:34" x14ac:dyDescent="0.25">
      <c r="B7" s="358"/>
      <c r="C7" s="127" t="s">
        <v>185</v>
      </c>
      <c r="D7" s="124"/>
      <c r="E7" s="124"/>
      <c r="F7" s="124"/>
      <c r="G7" s="124"/>
      <c r="H7" s="124"/>
      <c r="I7" s="124"/>
      <c r="J7" s="124"/>
      <c r="K7" s="124"/>
      <c r="L7" s="124"/>
      <c r="M7" s="124"/>
      <c r="N7" s="124"/>
      <c r="O7" s="124"/>
      <c r="P7" s="124"/>
      <c r="Q7" s="124"/>
      <c r="R7" s="124"/>
      <c r="S7" s="124"/>
      <c r="T7" s="124"/>
      <c r="U7" s="124"/>
      <c r="V7" s="124"/>
      <c r="W7" s="124"/>
      <c r="X7" s="124"/>
      <c r="Y7" s="124"/>
      <c r="Z7" s="124"/>
      <c r="AA7" s="124"/>
      <c r="AB7" s="124"/>
      <c r="AC7" s="124"/>
      <c r="AD7" s="124"/>
      <c r="AE7" s="124"/>
      <c r="AF7" s="124"/>
    </row>
    <row r="8" spans="1:34" x14ac:dyDescent="0.25">
      <c r="B8" s="358"/>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row>
    <row r="9" spans="1:34" ht="15" customHeight="1" x14ac:dyDescent="0.25">
      <c r="A9" s="1" t="s">
        <v>186</v>
      </c>
      <c r="B9" s="128" t="s">
        <v>187</v>
      </c>
      <c r="C9" s="124">
        <v>0.30000001192092901</v>
      </c>
      <c r="D9" s="124">
        <v>0.30000001192092901</v>
      </c>
      <c r="E9" s="124">
        <v>0.30000001192092901</v>
      </c>
      <c r="F9" s="124">
        <v>0.30000001192092901</v>
      </c>
      <c r="G9" s="124">
        <v>0.30000001192092901</v>
      </c>
      <c r="H9" s="124">
        <v>0.30000001192092901</v>
      </c>
      <c r="I9" s="124">
        <v>0.30000001192092901</v>
      </c>
      <c r="J9" s="124">
        <v>0.30000001192092901</v>
      </c>
      <c r="K9" s="124">
        <v>0.30000001192092901</v>
      </c>
      <c r="L9" s="124">
        <v>0.30000001192092901</v>
      </c>
      <c r="M9" s="124">
        <v>0.30000001192092901</v>
      </c>
      <c r="N9" s="124">
        <v>0.30000001192092901</v>
      </c>
      <c r="O9" s="124">
        <v>0.30000001192092901</v>
      </c>
      <c r="P9" s="124">
        <v>0.30000001192092901</v>
      </c>
      <c r="Q9" s="124">
        <v>0.30000001192092901</v>
      </c>
      <c r="R9" s="124">
        <v>0.30000001192092901</v>
      </c>
      <c r="S9" s="124">
        <v>0.30000001192092901</v>
      </c>
      <c r="T9" s="124">
        <v>0.30000001192092901</v>
      </c>
      <c r="U9" s="124">
        <v>0.30000001192092901</v>
      </c>
      <c r="V9" s="124">
        <v>0.30000001192092901</v>
      </c>
      <c r="W9" s="124">
        <v>0.30000001192092901</v>
      </c>
      <c r="X9" s="124">
        <v>0.30000001192092901</v>
      </c>
      <c r="Y9" s="124">
        <v>0.30000001192092901</v>
      </c>
      <c r="Z9" s="124">
        <v>0.30000001192092901</v>
      </c>
      <c r="AA9" s="124">
        <v>0.30000001192092901</v>
      </c>
      <c r="AB9" s="124">
        <v>0.30000001192092901</v>
      </c>
      <c r="AC9" s="124">
        <v>0.30000001192092901</v>
      </c>
      <c r="AD9" s="124">
        <v>0.30000001192092901</v>
      </c>
      <c r="AE9" s="124">
        <v>0.30000001192092901</v>
      </c>
      <c r="AF9" s="124">
        <v>0.22500000894069669</v>
      </c>
      <c r="AH9" t="s">
        <v>188</v>
      </c>
    </row>
    <row r="10" spans="1:34" x14ac:dyDescent="0.25">
      <c r="B10" s="128" t="s">
        <v>189</v>
      </c>
      <c r="C10" s="124">
        <v>0</v>
      </c>
      <c r="D10" s="124">
        <v>0</v>
      </c>
      <c r="E10" s="124">
        <v>0</v>
      </c>
      <c r="F10" s="124">
        <v>0</v>
      </c>
      <c r="G10" s="124">
        <v>0</v>
      </c>
      <c r="H10" s="124">
        <v>0</v>
      </c>
      <c r="I10" s="124">
        <v>0</v>
      </c>
      <c r="J10" s="124">
        <v>0</v>
      </c>
      <c r="K10" s="124">
        <v>0</v>
      </c>
      <c r="L10" s="124">
        <v>0</v>
      </c>
      <c r="M10" s="124">
        <v>0</v>
      </c>
      <c r="N10" s="124">
        <v>0</v>
      </c>
      <c r="O10" s="124">
        <v>0</v>
      </c>
      <c r="P10" s="124">
        <v>0</v>
      </c>
      <c r="Q10" s="124">
        <v>0</v>
      </c>
      <c r="R10" s="124">
        <v>0</v>
      </c>
      <c r="S10" s="124">
        <v>0</v>
      </c>
      <c r="T10" s="124">
        <v>0</v>
      </c>
      <c r="U10" s="124">
        <v>0</v>
      </c>
      <c r="V10" s="124">
        <v>0</v>
      </c>
      <c r="W10" s="124">
        <v>0</v>
      </c>
      <c r="X10" s="124">
        <v>0</v>
      </c>
      <c r="Y10" s="124">
        <v>0</v>
      </c>
      <c r="Z10" s="124">
        <v>0</v>
      </c>
      <c r="AA10" s="124">
        <v>0</v>
      </c>
      <c r="AB10" s="124">
        <v>0</v>
      </c>
      <c r="AC10" s="124">
        <v>0</v>
      </c>
      <c r="AD10" s="124">
        <v>0</v>
      </c>
      <c r="AE10" s="124">
        <v>0</v>
      </c>
      <c r="AF10" s="124">
        <v>0</v>
      </c>
    </row>
    <row r="11" spans="1:34" ht="15" customHeight="1" x14ac:dyDescent="0.25">
      <c r="A11" s="1"/>
      <c r="B11" s="128" t="s">
        <v>190</v>
      </c>
      <c r="C11" s="124">
        <v>0</v>
      </c>
      <c r="D11" s="124">
        <v>0</v>
      </c>
      <c r="E11" s="124">
        <v>0.30000001192092901</v>
      </c>
      <c r="F11" s="124">
        <v>0.30000001192092901</v>
      </c>
      <c r="G11" s="124">
        <v>0.30000001192092901</v>
      </c>
      <c r="H11" s="124">
        <v>0.30000001192092901</v>
      </c>
      <c r="I11" s="124">
        <v>0.30000001192092901</v>
      </c>
      <c r="J11" s="124">
        <v>0.30000001192092901</v>
      </c>
      <c r="K11" s="124">
        <v>0.30000001192092901</v>
      </c>
      <c r="L11" s="124">
        <v>0.30000001192092901</v>
      </c>
      <c r="M11" s="124">
        <v>0.30000001192092901</v>
      </c>
      <c r="N11" s="124">
        <v>0.30000001192092901</v>
      </c>
      <c r="O11" s="124">
        <v>0.30000001192092901</v>
      </c>
      <c r="P11" s="124">
        <v>0.30000001192092901</v>
      </c>
      <c r="Q11" s="124">
        <v>0.30000001192092901</v>
      </c>
      <c r="R11" s="124">
        <v>0.30000001192092901</v>
      </c>
      <c r="S11" s="124">
        <v>0.30000001192092901</v>
      </c>
      <c r="T11" s="124">
        <v>0.30000001192092901</v>
      </c>
      <c r="U11" s="124">
        <v>0.30000001192092901</v>
      </c>
      <c r="V11" s="124">
        <v>0.30000001192092901</v>
      </c>
      <c r="W11" s="124">
        <v>0.30000001192092901</v>
      </c>
      <c r="X11" s="124">
        <v>0.30000001192092901</v>
      </c>
      <c r="Y11" s="124">
        <v>0.30000001192092901</v>
      </c>
      <c r="Z11" s="124">
        <v>0.22500000894069669</v>
      </c>
      <c r="AA11" s="124">
        <v>0.15000000596046451</v>
      </c>
      <c r="AB11" s="124">
        <v>0</v>
      </c>
      <c r="AC11" s="124">
        <v>0</v>
      </c>
      <c r="AD11" s="124">
        <v>0</v>
      </c>
      <c r="AE11" s="124">
        <v>0</v>
      </c>
      <c r="AF11" s="124">
        <v>0</v>
      </c>
      <c r="AH11" t="s">
        <v>191</v>
      </c>
    </row>
    <row r="12" spans="1:34" x14ac:dyDescent="0.25">
      <c r="B12" s="128" t="s">
        <v>192</v>
      </c>
      <c r="C12" s="124">
        <v>0.30000001192092901</v>
      </c>
      <c r="D12" s="124">
        <v>0.30000001192092901</v>
      </c>
      <c r="E12" s="124">
        <v>0</v>
      </c>
      <c r="F12" s="124">
        <v>0</v>
      </c>
      <c r="G12" s="124">
        <v>0</v>
      </c>
      <c r="H12" s="124">
        <v>0</v>
      </c>
      <c r="I12" s="124">
        <v>0</v>
      </c>
      <c r="J12" s="124">
        <v>0</v>
      </c>
      <c r="K12" s="124">
        <v>0</v>
      </c>
      <c r="L12" s="124">
        <v>0</v>
      </c>
      <c r="M12" s="124">
        <v>0</v>
      </c>
      <c r="N12" s="124">
        <v>0</v>
      </c>
      <c r="O12" s="124">
        <v>0</v>
      </c>
      <c r="P12" s="124">
        <v>0</v>
      </c>
      <c r="Q12" s="124">
        <v>0</v>
      </c>
      <c r="R12" s="124">
        <v>0</v>
      </c>
      <c r="S12" s="124">
        <v>0</v>
      </c>
      <c r="T12" s="124">
        <v>0</v>
      </c>
      <c r="U12" s="124">
        <v>0</v>
      </c>
      <c r="V12" s="124">
        <v>0</v>
      </c>
      <c r="W12" s="124">
        <v>0</v>
      </c>
      <c r="X12" s="124">
        <v>0</v>
      </c>
      <c r="Y12" s="124">
        <v>0</v>
      </c>
      <c r="Z12" s="124">
        <v>0</v>
      </c>
      <c r="AA12" s="124">
        <v>0</v>
      </c>
      <c r="AB12" s="124">
        <v>0</v>
      </c>
      <c r="AC12" s="124">
        <v>0</v>
      </c>
      <c r="AD12" s="124">
        <v>0</v>
      </c>
      <c r="AE12" s="124">
        <v>0</v>
      </c>
      <c r="AF12" s="124">
        <v>0</v>
      </c>
    </row>
    <row r="13" spans="1:34" x14ac:dyDescent="0.25">
      <c r="B13" s="128" t="s">
        <v>193</v>
      </c>
      <c r="C13" s="124">
        <v>0.30000001192092901</v>
      </c>
      <c r="D13" s="124">
        <v>0.30000001192092901</v>
      </c>
      <c r="E13" s="124">
        <v>0.30000001192092901</v>
      </c>
      <c r="F13" s="124">
        <v>0.30000001192092901</v>
      </c>
      <c r="G13" s="124">
        <v>0.30000001192092901</v>
      </c>
      <c r="H13" s="124">
        <v>0.30000001192092901</v>
      </c>
      <c r="I13" s="124">
        <v>0.30000001192092901</v>
      </c>
      <c r="J13" s="124">
        <v>0.30000001192092901</v>
      </c>
      <c r="K13" s="124">
        <v>0.30000001192092901</v>
      </c>
      <c r="L13" s="124">
        <v>0.30000001192092901</v>
      </c>
      <c r="M13" s="124">
        <v>0.30000001192092901</v>
      </c>
      <c r="N13" s="124">
        <v>0.30000001192092901</v>
      </c>
      <c r="O13" s="124">
        <v>0.30000001192092901</v>
      </c>
      <c r="P13" s="124">
        <v>0.30000001192092901</v>
      </c>
      <c r="Q13" s="124">
        <v>0.30000001192092901</v>
      </c>
      <c r="R13" s="124">
        <v>0.30000001192092901</v>
      </c>
      <c r="S13" s="124">
        <v>0.30000001192092901</v>
      </c>
      <c r="T13" s="124">
        <v>0.30000001192092901</v>
      </c>
      <c r="U13" s="124">
        <v>0.30000001192092901</v>
      </c>
      <c r="V13" s="124">
        <v>0.30000001192092901</v>
      </c>
      <c r="W13" s="124">
        <v>0.30000001192092901</v>
      </c>
      <c r="X13" s="124">
        <v>0.30000001192092901</v>
      </c>
      <c r="Y13" s="124">
        <v>0.30000001192092901</v>
      </c>
      <c r="Z13" s="124">
        <v>0.22500000894069669</v>
      </c>
      <c r="AA13" s="124">
        <v>0.15000000596046451</v>
      </c>
      <c r="AB13" s="124">
        <v>0</v>
      </c>
      <c r="AC13" s="124">
        <v>0</v>
      </c>
      <c r="AD13" s="124">
        <v>0</v>
      </c>
      <c r="AE13" s="124">
        <v>0</v>
      </c>
      <c r="AF13" s="124">
        <v>0</v>
      </c>
      <c r="AH13" t="s">
        <v>191</v>
      </c>
    </row>
    <row r="14" spans="1:34" x14ac:dyDescent="0.25">
      <c r="B14" s="128" t="s">
        <v>194</v>
      </c>
      <c r="C14" s="124">
        <v>0.30000001192092901</v>
      </c>
      <c r="D14" s="124">
        <v>0.30000001192092901</v>
      </c>
      <c r="E14" s="124">
        <v>0.30000001192092901</v>
      </c>
      <c r="F14" s="124">
        <v>0.30000001192092901</v>
      </c>
      <c r="G14" s="124">
        <v>0.30000001192092901</v>
      </c>
      <c r="H14" s="124">
        <v>0.30000001192092901</v>
      </c>
      <c r="I14" s="124">
        <v>0.30000001192092901</v>
      </c>
      <c r="J14" s="124">
        <v>0.30000001192092901</v>
      </c>
      <c r="K14" s="124">
        <v>0.30000001192092901</v>
      </c>
      <c r="L14" s="124">
        <v>0.30000001192092901</v>
      </c>
      <c r="M14" s="124">
        <v>0.30000001192092901</v>
      </c>
      <c r="N14" s="124">
        <v>0.30000001192092901</v>
      </c>
      <c r="O14" s="124">
        <v>0.26</v>
      </c>
      <c r="P14" s="124">
        <v>0.22</v>
      </c>
      <c r="Q14" s="124">
        <v>0</v>
      </c>
      <c r="R14" s="124">
        <v>0</v>
      </c>
      <c r="S14" s="124">
        <v>0</v>
      </c>
      <c r="T14" s="124">
        <v>0</v>
      </c>
      <c r="U14" s="124">
        <v>0</v>
      </c>
      <c r="V14" s="124">
        <v>0</v>
      </c>
      <c r="W14" s="124">
        <v>0</v>
      </c>
      <c r="X14" s="124">
        <v>0</v>
      </c>
      <c r="Y14" s="124">
        <v>0</v>
      </c>
      <c r="Z14" s="124">
        <v>0</v>
      </c>
      <c r="AA14" s="124">
        <v>0</v>
      </c>
      <c r="AB14" s="124">
        <v>0</v>
      </c>
      <c r="AC14" s="124">
        <v>0</v>
      </c>
      <c r="AD14" s="124">
        <v>0</v>
      </c>
      <c r="AE14" s="124">
        <v>0</v>
      </c>
      <c r="AF14" s="124">
        <v>0</v>
      </c>
    </row>
    <row r="15" spans="1:34" x14ac:dyDescent="0.25">
      <c r="B15" s="128" t="s">
        <v>195</v>
      </c>
      <c r="C15" s="124">
        <v>0.30000001192092901</v>
      </c>
      <c r="D15" s="124">
        <v>0.30000001192092901</v>
      </c>
      <c r="E15" s="124">
        <v>0.30000001192092901</v>
      </c>
      <c r="F15" s="124">
        <v>0.30000001192092901</v>
      </c>
      <c r="G15" s="124">
        <v>0.30000001192092901</v>
      </c>
      <c r="H15" s="124">
        <v>0.30000001192092901</v>
      </c>
      <c r="I15" s="124">
        <v>0.30000001192092901</v>
      </c>
      <c r="J15" s="124">
        <v>0.30000001192092901</v>
      </c>
      <c r="K15" s="124">
        <v>0.30000001192092901</v>
      </c>
      <c r="L15" s="124">
        <v>0.30000001192092901</v>
      </c>
      <c r="M15" s="124">
        <v>0.30000001192092901</v>
      </c>
      <c r="N15" s="124">
        <v>0.30000001192092901</v>
      </c>
      <c r="O15" s="124">
        <v>0.30000001192092901</v>
      </c>
      <c r="P15" s="124">
        <v>0.30000001192092901</v>
      </c>
      <c r="Q15" s="124">
        <v>0.30000001192092901</v>
      </c>
      <c r="R15" s="124">
        <v>0.30000001192092901</v>
      </c>
      <c r="S15" s="124">
        <v>0.30000001192092901</v>
      </c>
      <c r="T15" s="124">
        <v>0.30000001192092901</v>
      </c>
      <c r="U15" s="124">
        <v>0.30000001192092901</v>
      </c>
      <c r="V15" s="124">
        <v>0.30000001192092901</v>
      </c>
      <c r="W15" s="124">
        <v>0.30000001192092901</v>
      </c>
      <c r="X15" s="124">
        <v>0.30000001192092901</v>
      </c>
      <c r="Y15" s="124">
        <v>0.30000001192092901</v>
      </c>
      <c r="Z15" s="124">
        <v>0.22500000894069669</v>
      </c>
      <c r="AA15" s="124">
        <v>0.15000000596046451</v>
      </c>
      <c r="AB15" s="124">
        <v>0</v>
      </c>
      <c r="AC15" s="124">
        <v>0</v>
      </c>
      <c r="AD15" s="124">
        <v>0</v>
      </c>
      <c r="AE15" s="124">
        <v>0</v>
      </c>
      <c r="AF15" s="124">
        <v>0</v>
      </c>
      <c r="AH15" t="s">
        <v>196</v>
      </c>
    </row>
    <row r="16" spans="1:34" x14ac:dyDescent="0.25">
      <c r="B16" s="128" t="s">
        <v>197</v>
      </c>
      <c r="C16" s="124">
        <v>0</v>
      </c>
      <c r="D16" s="124">
        <v>0</v>
      </c>
      <c r="E16" s="124">
        <v>0.30000001192092901</v>
      </c>
      <c r="F16" s="124">
        <v>0.30000001192092901</v>
      </c>
      <c r="G16" s="124">
        <v>0.30000001192092901</v>
      </c>
      <c r="H16" s="124">
        <v>0.30000001192092901</v>
      </c>
      <c r="I16" s="124">
        <v>0.30000001192092901</v>
      </c>
      <c r="J16" s="124">
        <v>0.30000001192092901</v>
      </c>
      <c r="K16" s="124">
        <v>0.30000001192092901</v>
      </c>
      <c r="L16" s="124">
        <v>0.30000001192092901</v>
      </c>
      <c r="M16" s="124">
        <v>0.30000001192092901</v>
      </c>
      <c r="N16" s="124">
        <v>0.30000001192092901</v>
      </c>
      <c r="O16" s="124">
        <v>0.30000001192092901</v>
      </c>
      <c r="P16" s="124">
        <v>0.30000001192092901</v>
      </c>
      <c r="Q16" s="124">
        <v>0.30000001192092901</v>
      </c>
      <c r="R16" s="124">
        <v>0.30000001192092901</v>
      </c>
      <c r="S16" s="124">
        <v>0.30000001192092901</v>
      </c>
      <c r="T16" s="124">
        <v>0.30000001192092901</v>
      </c>
      <c r="U16" s="124">
        <v>0.30000001192092901</v>
      </c>
      <c r="V16" s="124">
        <v>0.30000001192092901</v>
      </c>
      <c r="W16" s="124">
        <v>0.30000001192092901</v>
      </c>
      <c r="X16" s="124">
        <v>0.30000001192092901</v>
      </c>
      <c r="Y16" s="124">
        <v>0.30000001192092901</v>
      </c>
      <c r="Z16" s="124">
        <v>0.22500000894069669</v>
      </c>
      <c r="AA16" s="124">
        <v>0.15000000596046451</v>
      </c>
      <c r="AB16" s="124">
        <v>0</v>
      </c>
      <c r="AC16" s="124">
        <v>0</v>
      </c>
      <c r="AD16" s="124">
        <v>0</v>
      </c>
      <c r="AE16" s="124">
        <v>0</v>
      </c>
      <c r="AF16" s="124">
        <v>0</v>
      </c>
      <c r="AH16" t="s">
        <v>191</v>
      </c>
    </row>
    <row r="17" spans="1:34" x14ac:dyDescent="0.25">
      <c r="B17" s="128" t="s">
        <v>198</v>
      </c>
      <c r="C17" s="124">
        <v>0</v>
      </c>
      <c r="D17" s="124">
        <v>0</v>
      </c>
      <c r="E17" s="124">
        <v>0.30000001192092901</v>
      </c>
      <c r="F17" s="124">
        <v>0.30000001192092901</v>
      </c>
      <c r="G17" s="124">
        <v>0.30000001192092901</v>
      </c>
      <c r="H17" s="124">
        <v>0.30000001192092901</v>
      </c>
      <c r="I17" s="124">
        <v>0.30000001192092901</v>
      </c>
      <c r="J17" s="124">
        <v>0.30000001192092901</v>
      </c>
      <c r="K17" s="124">
        <v>0.30000001192092901</v>
      </c>
      <c r="L17" s="124">
        <v>0.30000001192092901</v>
      </c>
      <c r="M17" s="124">
        <v>0.30000001192092901</v>
      </c>
      <c r="N17" s="124">
        <v>0.30000001192092901</v>
      </c>
      <c r="O17" s="124">
        <v>0.30000001192092901</v>
      </c>
      <c r="P17" s="124">
        <v>0.30000001192092901</v>
      </c>
      <c r="Q17" s="124">
        <v>0.30000001192092901</v>
      </c>
      <c r="R17" s="124">
        <v>0.30000001192092901</v>
      </c>
      <c r="S17" s="124">
        <v>0.30000001192092901</v>
      </c>
      <c r="T17" s="124">
        <v>0.30000001192092901</v>
      </c>
      <c r="U17" s="124">
        <v>0.30000001192092901</v>
      </c>
      <c r="V17" s="124">
        <v>0.30000001192092901</v>
      </c>
      <c r="W17" s="124">
        <v>0.30000001192092901</v>
      </c>
      <c r="X17" s="124">
        <v>0.30000001192092901</v>
      </c>
      <c r="Y17" s="124">
        <v>0.30000001192092901</v>
      </c>
      <c r="Z17" s="124">
        <v>0.22500000894069669</v>
      </c>
      <c r="AA17" s="124">
        <v>0.15000000596046451</v>
      </c>
      <c r="AB17" s="124">
        <v>0</v>
      </c>
      <c r="AC17" s="124">
        <v>0</v>
      </c>
      <c r="AD17" s="124">
        <v>0</v>
      </c>
      <c r="AE17" s="124">
        <v>0</v>
      </c>
      <c r="AF17" s="124">
        <v>0</v>
      </c>
      <c r="AH17" t="s">
        <v>191</v>
      </c>
    </row>
    <row r="18" spans="1:34" x14ac:dyDescent="0.25">
      <c r="B18" s="128" t="s">
        <v>199</v>
      </c>
      <c r="C18" s="124">
        <v>0</v>
      </c>
      <c r="D18" s="124">
        <v>0</v>
      </c>
      <c r="E18" s="124">
        <v>0</v>
      </c>
      <c r="F18" s="124">
        <v>0</v>
      </c>
      <c r="G18" s="124">
        <v>0.30000001192092901</v>
      </c>
      <c r="H18" s="124">
        <v>0.30000001192092901</v>
      </c>
      <c r="I18" s="124">
        <v>0.30000001192092901</v>
      </c>
      <c r="J18" s="124">
        <v>0.30000001192092901</v>
      </c>
      <c r="K18" s="124">
        <v>0.30000001192092901</v>
      </c>
      <c r="L18" s="124">
        <v>0.30000001192092901</v>
      </c>
      <c r="M18" s="124">
        <v>0.30000001192092901</v>
      </c>
      <c r="N18" s="124">
        <v>0.30000001192092901</v>
      </c>
      <c r="O18" s="124">
        <v>0.30000001192092901</v>
      </c>
      <c r="P18" s="124">
        <v>0.30000001192092901</v>
      </c>
      <c r="Q18" s="124">
        <v>0.30000001192092901</v>
      </c>
      <c r="R18" s="124">
        <v>0.30000001192092901</v>
      </c>
      <c r="S18" s="124">
        <v>0.30000001192092901</v>
      </c>
      <c r="T18" s="124">
        <v>0.30000001192092901</v>
      </c>
      <c r="U18" s="124">
        <v>0.30000001192092901</v>
      </c>
      <c r="V18" s="124">
        <v>0.30000001192092901</v>
      </c>
      <c r="W18" s="124">
        <v>0.30000001192092901</v>
      </c>
      <c r="X18" s="124">
        <v>0.30000001192092901</v>
      </c>
      <c r="Y18" s="124">
        <v>0.30000001192092901</v>
      </c>
      <c r="Z18" s="124">
        <v>0.22500000894069669</v>
      </c>
      <c r="AA18" s="124">
        <v>0.15000000596046451</v>
      </c>
      <c r="AB18" s="124">
        <v>0</v>
      </c>
      <c r="AC18" s="124">
        <v>0</v>
      </c>
      <c r="AD18" s="124">
        <v>0</v>
      </c>
      <c r="AE18" s="124">
        <v>0</v>
      </c>
      <c r="AF18" s="124">
        <v>0</v>
      </c>
      <c r="AH18" t="s">
        <v>191</v>
      </c>
    </row>
    <row r="19" spans="1:34" x14ac:dyDescent="0.25">
      <c r="B19" s="128" t="s">
        <v>200</v>
      </c>
      <c r="C19" s="124">
        <v>0</v>
      </c>
      <c r="D19" s="124">
        <v>0</v>
      </c>
      <c r="E19" s="124">
        <v>0</v>
      </c>
      <c r="F19" s="124">
        <v>0</v>
      </c>
      <c r="G19" s="124">
        <v>0</v>
      </c>
      <c r="H19" s="124">
        <v>0</v>
      </c>
      <c r="I19" s="124">
        <v>0</v>
      </c>
      <c r="J19" s="124">
        <v>0</v>
      </c>
      <c r="K19" s="124">
        <v>0</v>
      </c>
      <c r="L19" s="124">
        <v>0</v>
      </c>
      <c r="M19" s="124">
        <v>0</v>
      </c>
      <c r="N19" s="124">
        <v>0</v>
      </c>
      <c r="O19" s="124">
        <v>0</v>
      </c>
      <c r="P19" s="124">
        <v>0</v>
      </c>
      <c r="Q19" s="124">
        <v>0</v>
      </c>
      <c r="R19" s="124">
        <v>0</v>
      </c>
      <c r="S19" s="124">
        <v>0</v>
      </c>
      <c r="T19" s="124">
        <v>0</v>
      </c>
      <c r="U19" s="124">
        <v>0</v>
      </c>
      <c r="V19" s="124">
        <v>0</v>
      </c>
      <c r="W19" s="124">
        <v>0</v>
      </c>
      <c r="X19" s="124">
        <v>0</v>
      </c>
      <c r="Y19" s="124">
        <v>0</v>
      </c>
      <c r="Z19" s="124">
        <v>0</v>
      </c>
      <c r="AA19" s="124">
        <v>0</v>
      </c>
      <c r="AB19" s="124">
        <v>0</v>
      </c>
      <c r="AC19" s="124">
        <v>0</v>
      </c>
      <c r="AD19" s="124">
        <v>0</v>
      </c>
      <c r="AE19" s="124">
        <v>0</v>
      </c>
      <c r="AF19" s="124">
        <v>0</v>
      </c>
    </row>
    <row r="20" spans="1:34" x14ac:dyDescent="0.25">
      <c r="B20" s="128" t="s">
        <v>201</v>
      </c>
      <c r="C20" s="124">
        <v>0.30000001192092901</v>
      </c>
      <c r="D20" s="124">
        <v>0.30000001192092901</v>
      </c>
      <c r="E20" s="124">
        <v>0.30000001192092901</v>
      </c>
      <c r="F20" s="124">
        <v>0.30000001192092901</v>
      </c>
      <c r="G20" s="124">
        <v>0.30000001192092901</v>
      </c>
      <c r="H20" s="124">
        <v>0.30000001192092901</v>
      </c>
      <c r="I20" s="124">
        <v>0.30000001192092901</v>
      </c>
      <c r="J20" s="124">
        <v>0.30000001192092901</v>
      </c>
      <c r="K20" s="124">
        <v>0.30000001192092901</v>
      </c>
      <c r="L20" s="124">
        <v>0.30000001192092901</v>
      </c>
      <c r="M20" s="124">
        <v>0.30000001192092901</v>
      </c>
      <c r="N20" s="124">
        <v>0.30000001192092901</v>
      </c>
      <c r="O20" s="124">
        <v>0.30000001192092901</v>
      </c>
      <c r="P20" s="124">
        <v>0.30000001192092901</v>
      </c>
      <c r="Q20" s="124">
        <v>0.30000001192092901</v>
      </c>
      <c r="R20" s="124">
        <v>0.30000001192092901</v>
      </c>
      <c r="S20" s="124">
        <v>0.30000001192092901</v>
      </c>
      <c r="T20" s="124">
        <v>0.30000001192092901</v>
      </c>
      <c r="U20" s="124">
        <v>0.30000001192092901</v>
      </c>
      <c r="V20" s="124">
        <v>0.30000001192092901</v>
      </c>
      <c r="W20" s="124">
        <v>0.30000001192092901</v>
      </c>
      <c r="X20" s="124">
        <v>0.30000001192092901</v>
      </c>
      <c r="Y20" s="124">
        <v>0.30000001192092901</v>
      </c>
      <c r="Z20" s="124">
        <v>0.22500000894069669</v>
      </c>
      <c r="AA20" s="124">
        <v>0.15000000596046451</v>
      </c>
      <c r="AB20" s="124">
        <v>0</v>
      </c>
      <c r="AC20" s="124">
        <v>0</v>
      </c>
      <c r="AD20" s="124">
        <v>0</v>
      </c>
      <c r="AE20" s="124">
        <v>0</v>
      </c>
      <c r="AF20" s="124">
        <v>0</v>
      </c>
      <c r="AH20" t="s">
        <v>191</v>
      </c>
    </row>
    <row r="21" spans="1:34" x14ac:dyDescent="0.25">
      <c r="B21" s="128" t="s">
        <v>202</v>
      </c>
      <c r="C21" s="124">
        <v>0.30000001192092901</v>
      </c>
      <c r="D21" s="124">
        <v>0.30000001192092901</v>
      </c>
      <c r="E21" s="124">
        <v>0.30000001192092901</v>
      </c>
      <c r="F21" s="124">
        <v>0.30000001192092901</v>
      </c>
      <c r="G21" s="124">
        <v>0.30000001192092901</v>
      </c>
      <c r="H21" s="124">
        <v>0.30000001192092901</v>
      </c>
      <c r="I21" s="124">
        <v>0.30000001192092901</v>
      </c>
      <c r="J21" s="124">
        <v>0.30000001192092901</v>
      </c>
      <c r="K21" s="124">
        <v>0.30000001192092901</v>
      </c>
      <c r="L21" s="124">
        <v>0.30000001192092901</v>
      </c>
      <c r="M21" s="124">
        <v>0.30000001192092901</v>
      </c>
      <c r="N21" s="124">
        <v>0.30000001192092901</v>
      </c>
      <c r="O21" s="124">
        <v>0.30000001192092901</v>
      </c>
      <c r="P21" s="124">
        <v>0.30000001192092901</v>
      </c>
      <c r="Q21" s="124">
        <v>0.30000001192092901</v>
      </c>
      <c r="R21" s="124">
        <v>0.30000001192092901</v>
      </c>
      <c r="S21" s="124">
        <v>0.30000001192092901</v>
      </c>
      <c r="T21" s="124">
        <v>0.30000001192092901</v>
      </c>
      <c r="U21" s="124">
        <v>0.30000001192092901</v>
      </c>
      <c r="V21" s="124">
        <v>0.30000001192092901</v>
      </c>
      <c r="W21" s="124">
        <v>0.30000001192092901</v>
      </c>
      <c r="X21" s="124">
        <v>0.30000001192092901</v>
      </c>
      <c r="Y21" s="124">
        <v>0.30000001192092901</v>
      </c>
      <c r="Z21" s="124">
        <v>0.22500000894069669</v>
      </c>
      <c r="AA21" s="124">
        <v>0.15000000596046451</v>
      </c>
      <c r="AB21" s="124">
        <v>0</v>
      </c>
      <c r="AC21" s="124">
        <v>0</v>
      </c>
      <c r="AD21" s="124">
        <v>0</v>
      </c>
      <c r="AE21" s="124">
        <v>0</v>
      </c>
      <c r="AF21" s="124">
        <v>0</v>
      </c>
      <c r="AH21" t="s">
        <v>191</v>
      </c>
    </row>
    <row r="22" spans="1:34" x14ac:dyDescent="0.25">
      <c r="B22" s="128" t="s">
        <v>203</v>
      </c>
      <c r="C22" s="124">
        <v>0.30000001192092901</v>
      </c>
      <c r="D22" s="124">
        <v>0.30000001192092901</v>
      </c>
      <c r="E22" s="124">
        <v>0.30000001192092901</v>
      </c>
      <c r="F22" s="124">
        <v>0.30000001192092901</v>
      </c>
      <c r="G22" s="124">
        <v>0.30000001192092901</v>
      </c>
      <c r="H22" s="124">
        <v>0.30000001192092901</v>
      </c>
      <c r="I22" s="124">
        <v>0.30000001192092901</v>
      </c>
      <c r="J22" s="124">
        <v>0.30000001192092901</v>
      </c>
      <c r="K22" s="124">
        <v>0.30000001192092901</v>
      </c>
      <c r="L22" s="124">
        <v>0.30000001192092901</v>
      </c>
      <c r="M22" s="124">
        <v>0.30000001192092901</v>
      </c>
      <c r="N22" s="124">
        <v>0.30000001192092901</v>
      </c>
      <c r="O22" s="124">
        <v>0.30000001192092901</v>
      </c>
      <c r="P22" s="124">
        <v>0.30000001192092901</v>
      </c>
      <c r="Q22" s="124">
        <v>0.30000001192092901</v>
      </c>
      <c r="R22" s="124">
        <v>0.30000001192092901</v>
      </c>
      <c r="S22" s="124">
        <v>0.30000001192092901</v>
      </c>
      <c r="T22" s="124">
        <v>0.30000001192092901</v>
      </c>
      <c r="U22" s="124">
        <v>0.30000001192092901</v>
      </c>
      <c r="V22" s="124">
        <v>0.30000001192092901</v>
      </c>
      <c r="W22" s="124">
        <v>0.30000001192092901</v>
      </c>
      <c r="X22" s="124">
        <v>0.30000001192092901</v>
      </c>
      <c r="Y22" s="124">
        <v>0.30000001192092901</v>
      </c>
      <c r="Z22" s="124">
        <v>0.22500000894069669</v>
      </c>
      <c r="AA22" s="124">
        <v>0.15000000596046451</v>
      </c>
      <c r="AB22" s="124">
        <v>0</v>
      </c>
      <c r="AC22" s="124">
        <v>0</v>
      </c>
      <c r="AD22" s="124">
        <v>0</v>
      </c>
      <c r="AE22" s="124">
        <v>0</v>
      </c>
      <c r="AF22" s="124">
        <v>0</v>
      </c>
      <c r="AH22" t="s">
        <v>191</v>
      </c>
    </row>
    <row r="23" spans="1:34" x14ac:dyDescent="0.25">
      <c r="B23" s="128" t="s">
        <v>204</v>
      </c>
      <c r="C23" s="124">
        <v>0.30000001192092901</v>
      </c>
      <c r="D23" s="124">
        <v>0.30000001192092901</v>
      </c>
      <c r="E23" s="124">
        <v>0.30000001192092901</v>
      </c>
      <c r="F23" s="124">
        <v>0.30000001192092901</v>
      </c>
      <c r="G23" s="124">
        <v>0.30000001192092901</v>
      </c>
      <c r="H23" s="124">
        <v>0.30000001192092901</v>
      </c>
      <c r="I23" s="124">
        <v>0.30000001192092901</v>
      </c>
      <c r="J23" s="124">
        <v>0.30000001192092901</v>
      </c>
      <c r="K23" s="124">
        <v>0.30000001192092901</v>
      </c>
      <c r="L23" s="124">
        <v>0.30000001192092901</v>
      </c>
      <c r="M23" s="124">
        <v>0.30000001192092901</v>
      </c>
      <c r="N23" s="124">
        <v>0.30000001192092901</v>
      </c>
      <c r="O23" s="124">
        <v>0.26</v>
      </c>
      <c r="P23" s="124">
        <v>0.22</v>
      </c>
      <c r="Q23" s="124">
        <v>0</v>
      </c>
      <c r="R23" s="124">
        <v>0</v>
      </c>
      <c r="S23" s="124">
        <v>0</v>
      </c>
      <c r="T23" s="124">
        <v>0</v>
      </c>
      <c r="U23" s="124">
        <v>0</v>
      </c>
      <c r="V23" s="124">
        <v>0</v>
      </c>
      <c r="W23" s="124">
        <v>0</v>
      </c>
      <c r="X23" s="124">
        <v>0</v>
      </c>
      <c r="Y23" s="124">
        <v>0</v>
      </c>
      <c r="Z23" s="124">
        <v>0</v>
      </c>
      <c r="AA23" s="124">
        <v>0</v>
      </c>
      <c r="AB23" s="124">
        <v>0</v>
      </c>
      <c r="AC23" s="124">
        <v>0</v>
      </c>
      <c r="AD23" s="124">
        <v>0</v>
      </c>
      <c r="AE23" s="124">
        <v>0</v>
      </c>
      <c r="AF23" s="124">
        <v>0</v>
      </c>
      <c r="AH23" t="s">
        <v>196</v>
      </c>
    </row>
    <row r="24" spans="1:34" x14ac:dyDescent="0.25">
      <c r="B24" s="128" t="s">
        <v>205</v>
      </c>
      <c r="C24" s="124">
        <v>0.30000001192092901</v>
      </c>
      <c r="D24" s="124">
        <v>0.30000001192092901</v>
      </c>
      <c r="E24" s="124">
        <v>0.30000001192092901</v>
      </c>
      <c r="F24" s="124">
        <v>0.30000001192092901</v>
      </c>
      <c r="G24" s="124">
        <v>0.30000001192092901</v>
      </c>
      <c r="H24" s="124">
        <v>0.30000001192092901</v>
      </c>
      <c r="I24" s="124">
        <v>0.30000001192092901</v>
      </c>
      <c r="J24" s="124">
        <v>0.30000001192092901</v>
      </c>
      <c r="K24" s="124">
        <v>0.30000001192092901</v>
      </c>
      <c r="L24" s="124">
        <v>0.30000001192092901</v>
      </c>
      <c r="M24" s="124">
        <v>0.30000001192092901</v>
      </c>
      <c r="N24" s="124">
        <v>0.30000001192092901</v>
      </c>
      <c r="O24" s="124">
        <v>0.30000001192092901</v>
      </c>
      <c r="P24" s="124">
        <v>0.30000001192092901</v>
      </c>
      <c r="Q24" s="124">
        <v>0.30000001192092901</v>
      </c>
      <c r="R24" s="124">
        <v>0.30000001192092901</v>
      </c>
      <c r="S24" s="124">
        <v>0.30000001192092901</v>
      </c>
      <c r="T24" s="124">
        <v>0.30000001192092901</v>
      </c>
      <c r="U24" s="124">
        <v>0.30000001192092901</v>
      </c>
      <c r="V24" s="124">
        <v>0.30000001192092901</v>
      </c>
      <c r="W24" s="124">
        <v>0.30000001192092901</v>
      </c>
      <c r="X24" s="124">
        <v>0.30000001192092901</v>
      </c>
      <c r="Y24" s="124">
        <v>0.30000001192092901</v>
      </c>
      <c r="Z24" s="124">
        <v>0.22500000894069669</v>
      </c>
      <c r="AA24" s="124">
        <v>0.15000000596046451</v>
      </c>
      <c r="AB24" s="124">
        <v>0</v>
      </c>
      <c r="AC24" s="124">
        <v>0</v>
      </c>
      <c r="AD24" s="124">
        <v>0</v>
      </c>
      <c r="AE24" s="124">
        <v>0</v>
      </c>
      <c r="AF24" s="124">
        <v>0</v>
      </c>
      <c r="AH24" t="s">
        <v>191</v>
      </c>
    </row>
    <row r="25" spans="1:34" x14ac:dyDescent="0.25">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row>
    <row r="26" spans="1:34" x14ac:dyDescent="0.25">
      <c r="A26" s="1" t="s">
        <v>206</v>
      </c>
      <c r="B26" s="128" t="s">
        <v>187</v>
      </c>
      <c r="C26" s="125">
        <v>0</v>
      </c>
      <c r="D26" s="125">
        <v>0</v>
      </c>
      <c r="E26" s="125">
        <v>0</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row>
    <row r="27" spans="1:34" x14ac:dyDescent="0.25">
      <c r="B27" s="128" t="s">
        <v>189</v>
      </c>
      <c r="C27" s="125">
        <v>19.2</v>
      </c>
      <c r="D27" s="125">
        <v>25.46</v>
      </c>
      <c r="E27" s="125">
        <v>25.46</v>
      </c>
      <c r="F27" s="125">
        <v>25.46</v>
      </c>
      <c r="G27" s="125">
        <v>25.46</v>
      </c>
      <c r="H27" s="125">
        <v>25.46</v>
      </c>
      <c r="I27" s="125">
        <v>25.46</v>
      </c>
      <c r="J27" s="125">
        <v>25.46</v>
      </c>
      <c r="K27" s="125">
        <v>25.46</v>
      </c>
      <c r="L27" s="125">
        <v>25.46</v>
      </c>
      <c r="M27" s="125">
        <v>25.46</v>
      </c>
      <c r="N27" s="125">
        <v>25.46</v>
      </c>
      <c r="O27" s="125">
        <v>25.46</v>
      </c>
      <c r="P27" s="125">
        <v>25.46</v>
      </c>
      <c r="Q27" s="125">
        <v>25.46</v>
      </c>
      <c r="R27" s="125">
        <v>25.46</v>
      </c>
      <c r="S27" s="125">
        <v>25.46</v>
      </c>
      <c r="T27" s="125">
        <v>25.46</v>
      </c>
      <c r="U27" s="125">
        <v>25.46</v>
      </c>
      <c r="V27" s="125">
        <v>25.46</v>
      </c>
      <c r="W27" s="125">
        <v>25.46</v>
      </c>
      <c r="X27" s="125">
        <v>25.46</v>
      </c>
      <c r="Y27" s="125">
        <v>25.46</v>
      </c>
      <c r="Z27" s="125">
        <v>19.094999999999999</v>
      </c>
      <c r="AA27" s="125">
        <v>12.73</v>
      </c>
      <c r="AB27" s="125">
        <v>0</v>
      </c>
      <c r="AC27" s="125">
        <v>0</v>
      </c>
      <c r="AD27" s="125">
        <v>0</v>
      </c>
      <c r="AE27" s="125">
        <v>0</v>
      </c>
      <c r="AF27" s="125">
        <v>0</v>
      </c>
      <c r="AH27" t="s">
        <v>191</v>
      </c>
    </row>
    <row r="28" spans="1:34" x14ac:dyDescent="0.25">
      <c r="A28" s="1"/>
      <c r="B28" s="128" t="s">
        <v>190</v>
      </c>
      <c r="C28" s="125">
        <v>19.2</v>
      </c>
      <c r="D28" s="125">
        <v>25.46</v>
      </c>
      <c r="E28" s="125">
        <v>0</v>
      </c>
      <c r="F28" s="125">
        <v>0</v>
      </c>
      <c r="G28" s="125">
        <v>0</v>
      </c>
      <c r="H28" s="125">
        <v>0</v>
      </c>
      <c r="I28" s="125">
        <v>0</v>
      </c>
      <c r="J28" s="125">
        <v>0</v>
      </c>
      <c r="K28" s="125">
        <v>0</v>
      </c>
      <c r="L28" s="125">
        <v>0</v>
      </c>
      <c r="M28" s="125">
        <v>0</v>
      </c>
      <c r="N28" s="125">
        <v>0</v>
      </c>
      <c r="O28" s="125">
        <v>0</v>
      </c>
      <c r="P28" s="125">
        <v>0</v>
      </c>
      <c r="Q28" s="125">
        <v>0</v>
      </c>
      <c r="R28" s="125">
        <v>0</v>
      </c>
      <c r="S28" s="125">
        <v>0</v>
      </c>
      <c r="T28" s="125">
        <v>0</v>
      </c>
      <c r="U28" s="125">
        <v>0</v>
      </c>
      <c r="V28" s="125">
        <v>0</v>
      </c>
      <c r="W28" s="125">
        <v>0</v>
      </c>
      <c r="X28" s="125">
        <v>0</v>
      </c>
      <c r="Y28" s="125">
        <v>0</v>
      </c>
      <c r="Z28" s="125">
        <v>0</v>
      </c>
      <c r="AA28" s="125">
        <v>0</v>
      </c>
      <c r="AB28" s="125">
        <v>0</v>
      </c>
      <c r="AC28" s="125">
        <v>0</v>
      </c>
      <c r="AD28" s="125">
        <v>0</v>
      </c>
      <c r="AE28" s="125">
        <v>0</v>
      </c>
      <c r="AF28" s="125">
        <v>0</v>
      </c>
    </row>
    <row r="29" spans="1:34" x14ac:dyDescent="0.25">
      <c r="B29" s="128" t="s">
        <v>192</v>
      </c>
      <c r="C29" s="125">
        <v>0</v>
      </c>
      <c r="D29" s="125">
        <v>0</v>
      </c>
      <c r="E29" s="125">
        <v>25.46</v>
      </c>
      <c r="F29" s="125">
        <v>25.46</v>
      </c>
      <c r="G29" s="125">
        <v>25.46</v>
      </c>
      <c r="H29" s="125">
        <v>25.46</v>
      </c>
      <c r="I29" s="125">
        <v>25.46</v>
      </c>
      <c r="J29" s="125">
        <v>25.46</v>
      </c>
      <c r="K29" s="125">
        <v>25.46</v>
      </c>
      <c r="L29" s="125">
        <v>25.46</v>
      </c>
      <c r="M29" s="125">
        <v>25.46</v>
      </c>
      <c r="N29" s="125">
        <v>25.46</v>
      </c>
      <c r="O29" s="125">
        <v>25.46</v>
      </c>
      <c r="P29" s="125">
        <v>25.46</v>
      </c>
      <c r="Q29" s="125">
        <v>25.46</v>
      </c>
      <c r="R29" s="125">
        <v>25.46</v>
      </c>
      <c r="S29" s="125">
        <v>25.46</v>
      </c>
      <c r="T29" s="125">
        <v>25.46</v>
      </c>
      <c r="U29" s="125">
        <v>25.46</v>
      </c>
      <c r="V29" s="125">
        <v>25.46</v>
      </c>
      <c r="W29" s="125">
        <v>25.46</v>
      </c>
      <c r="X29" s="125">
        <v>25.46</v>
      </c>
      <c r="Y29" s="125">
        <v>25.46</v>
      </c>
      <c r="Z29" s="125">
        <v>19.094999999999999</v>
      </c>
      <c r="AA29" s="125">
        <v>12.73</v>
      </c>
      <c r="AB29" s="125">
        <v>0</v>
      </c>
      <c r="AC29" s="125">
        <v>0</v>
      </c>
      <c r="AD29" s="125">
        <v>0</v>
      </c>
      <c r="AE29" s="125">
        <v>0</v>
      </c>
      <c r="AF29" s="125">
        <v>0</v>
      </c>
      <c r="AH29" t="s">
        <v>191</v>
      </c>
    </row>
    <row r="30" spans="1:34" x14ac:dyDescent="0.25">
      <c r="B30" s="128" t="s">
        <v>193</v>
      </c>
      <c r="C30" s="125">
        <v>0</v>
      </c>
      <c r="D30" s="125">
        <v>0</v>
      </c>
      <c r="E30" s="125">
        <v>0</v>
      </c>
      <c r="F30" s="125">
        <v>0</v>
      </c>
      <c r="G30" s="125">
        <v>0</v>
      </c>
      <c r="H30" s="125">
        <v>0</v>
      </c>
      <c r="I30" s="125">
        <v>0</v>
      </c>
      <c r="J30" s="125">
        <v>0</v>
      </c>
      <c r="K30" s="125">
        <v>0</v>
      </c>
      <c r="L30" s="125">
        <v>0</v>
      </c>
      <c r="M30" s="125">
        <v>0</v>
      </c>
      <c r="N30" s="125">
        <v>0</v>
      </c>
      <c r="O30" s="125">
        <v>0</v>
      </c>
      <c r="P30" s="125">
        <v>0</v>
      </c>
      <c r="Q30" s="125">
        <v>0</v>
      </c>
      <c r="R30" s="125">
        <v>0</v>
      </c>
      <c r="S30" s="125">
        <v>0</v>
      </c>
      <c r="T30" s="125">
        <v>0</v>
      </c>
      <c r="U30" s="125">
        <v>0</v>
      </c>
      <c r="V30" s="125">
        <v>0</v>
      </c>
      <c r="W30" s="125">
        <v>0</v>
      </c>
      <c r="X30" s="125">
        <v>0</v>
      </c>
      <c r="Y30" s="125">
        <v>0</v>
      </c>
      <c r="Z30" s="125">
        <v>0</v>
      </c>
      <c r="AA30" s="125">
        <v>0</v>
      </c>
      <c r="AB30" s="125">
        <v>0</v>
      </c>
      <c r="AC30" s="125">
        <v>0</v>
      </c>
      <c r="AD30" s="125">
        <v>0</v>
      </c>
      <c r="AE30" s="125">
        <v>0</v>
      </c>
      <c r="AF30" s="125">
        <v>0</v>
      </c>
    </row>
    <row r="31" spans="1:34" x14ac:dyDescent="0.25">
      <c r="B31" s="128" t="s">
        <v>194</v>
      </c>
      <c r="C31" s="125">
        <v>0</v>
      </c>
      <c r="D31" s="125">
        <v>0</v>
      </c>
      <c r="E31" s="125">
        <v>0</v>
      </c>
      <c r="F31" s="125">
        <v>0</v>
      </c>
      <c r="G31" s="125">
        <v>0</v>
      </c>
      <c r="H31" s="125">
        <v>0</v>
      </c>
      <c r="I31" s="125">
        <v>0</v>
      </c>
      <c r="J31" s="125">
        <v>0</v>
      </c>
      <c r="K31" s="125">
        <v>0</v>
      </c>
      <c r="L31" s="125">
        <v>0</v>
      </c>
      <c r="M31" s="125">
        <v>0</v>
      </c>
      <c r="N31" s="125">
        <v>0</v>
      </c>
      <c r="O31" s="125">
        <v>0</v>
      </c>
      <c r="P31" s="125">
        <v>0</v>
      </c>
      <c r="Q31" s="125">
        <v>0</v>
      </c>
      <c r="R31" s="125">
        <v>0</v>
      </c>
      <c r="S31" s="125">
        <v>0</v>
      </c>
      <c r="T31" s="125">
        <v>0</v>
      </c>
      <c r="U31" s="125">
        <v>0</v>
      </c>
      <c r="V31" s="125">
        <v>0</v>
      </c>
      <c r="W31" s="125">
        <v>0</v>
      </c>
      <c r="X31" s="125">
        <v>0</v>
      </c>
      <c r="Y31" s="125">
        <v>0</v>
      </c>
      <c r="Z31" s="125">
        <v>0</v>
      </c>
      <c r="AA31" s="125">
        <v>0</v>
      </c>
      <c r="AB31" s="125">
        <v>0</v>
      </c>
      <c r="AC31" s="125">
        <v>0</v>
      </c>
      <c r="AD31" s="125">
        <v>0</v>
      </c>
      <c r="AE31" s="125">
        <v>0</v>
      </c>
      <c r="AF31" s="125">
        <v>0</v>
      </c>
    </row>
    <row r="32" spans="1:34" x14ac:dyDescent="0.25">
      <c r="B32" s="128" t="s">
        <v>195</v>
      </c>
      <c r="C32" s="125">
        <v>0</v>
      </c>
      <c r="D32" s="125">
        <v>0</v>
      </c>
      <c r="E32" s="125">
        <v>0</v>
      </c>
      <c r="F32" s="125">
        <v>0</v>
      </c>
      <c r="G32" s="125">
        <v>0</v>
      </c>
      <c r="H32" s="125">
        <v>0</v>
      </c>
      <c r="I32" s="125">
        <v>0</v>
      </c>
      <c r="J32" s="125">
        <v>0</v>
      </c>
      <c r="K32" s="125">
        <v>0</v>
      </c>
      <c r="L32" s="125">
        <v>0</v>
      </c>
      <c r="M32" s="125">
        <v>0</v>
      </c>
      <c r="N32" s="125">
        <v>0</v>
      </c>
      <c r="O32" s="125">
        <v>0</v>
      </c>
      <c r="P32" s="125">
        <v>0</v>
      </c>
      <c r="Q32" s="125">
        <v>0</v>
      </c>
      <c r="R32" s="125">
        <v>0</v>
      </c>
      <c r="S32" s="125">
        <v>0</v>
      </c>
      <c r="T32" s="125">
        <v>0</v>
      </c>
      <c r="U32" s="125">
        <v>0</v>
      </c>
      <c r="V32" s="125">
        <v>0</v>
      </c>
      <c r="W32" s="125">
        <v>0</v>
      </c>
      <c r="X32" s="125">
        <v>0</v>
      </c>
      <c r="Y32" s="125">
        <v>0</v>
      </c>
      <c r="Z32" s="125">
        <v>0</v>
      </c>
      <c r="AA32" s="125">
        <v>0</v>
      </c>
      <c r="AB32" s="125">
        <v>0</v>
      </c>
      <c r="AC32" s="125">
        <v>0</v>
      </c>
      <c r="AD32" s="125">
        <v>0</v>
      </c>
      <c r="AE32" s="125">
        <v>0</v>
      </c>
      <c r="AF32" s="125">
        <v>0</v>
      </c>
    </row>
    <row r="33" spans="1:34" x14ac:dyDescent="0.25">
      <c r="B33" s="128" t="s">
        <v>197</v>
      </c>
      <c r="C33" s="125">
        <v>24</v>
      </c>
      <c r="D33" s="125">
        <v>24</v>
      </c>
      <c r="E33" s="125">
        <v>0</v>
      </c>
      <c r="F33" s="125">
        <v>0</v>
      </c>
      <c r="G33" s="125">
        <v>0</v>
      </c>
      <c r="H33" s="125">
        <v>0</v>
      </c>
      <c r="I33" s="125">
        <v>0</v>
      </c>
      <c r="J33" s="125">
        <v>0</v>
      </c>
      <c r="K33" s="125">
        <v>0</v>
      </c>
      <c r="L33" s="125">
        <v>0</v>
      </c>
      <c r="M33" s="125">
        <v>0</v>
      </c>
      <c r="N33" s="125">
        <v>0</v>
      </c>
      <c r="O33" s="125">
        <v>0</v>
      </c>
      <c r="P33" s="125">
        <v>0</v>
      </c>
      <c r="Q33" s="125">
        <v>0</v>
      </c>
      <c r="R33" s="125">
        <v>0</v>
      </c>
      <c r="S33" s="125">
        <v>0</v>
      </c>
      <c r="T33" s="125">
        <v>0</v>
      </c>
      <c r="U33" s="125">
        <v>0</v>
      </c>
      <c r="V33" s="125">
        <v>0</v>
      </c>
      <c r="W33" s="125">
        <v>0</v>
      </c>
      <c r="X33" s="125">
        <v>0</v>
      </c>
      <c r="Y33" s="125">
        <v>0</v>
      </c>
      <c r="Z33" s="125">
        <v>0</v>
      </c>
      <c r="AA33" s="125">
        <v>0</v>
      </c>
      <c r="AB33" s="125">
        <v>0</v>
      </c>
      <c r="AC33" s="125">
        <v>0</v>
      </c>
      <c r="AD33" s="125">
        <v>0</v>
      </c>
      <c r="AE33" s="125">
        <v>0</v>
      </c>
      <c r="AF33" s="125">
        <v>0</v>
      </c>
    </row>
    <row r="34" spans="1:34" x14ac:dyDescent="0.25">
      <c r="B34" s="128" t="s">
        <v>198</v>
      </c>
      <c r="C34" s="125">
        <v>6</v>
      </c>
      <c r="D34" s="125">
        <v>6</v>
      </c>
      <c r="E34" s="125">
        <v>0</v>
      </c>
      <c r="F34" s="125">
        <v>0</v>
      </c>
      <c r="G34" s="125">
        <v>0</v>
      </c>
      <c r="H34" s="125">
        <v>0</v>
      </c>
      <c r="I34" s="125">
        <v>0</v>
      </c>
      <c r="J34" s="125">
        <v>0</v>
      </c>
      <c r="K34" s="125">
        <v>0</v>
      </c>
      <c r="L34" s="125">
        <v>0</v>
      </c>
      <c r="M34" s="125">
        <v>0</v>
      </c>
      <c r="N34" s="125">
        <v>0</v>
      </c>
      <c r="O34" s="125">
        <v>0</v>
      </c>
      <c r="P34" s="125">
        <v>0</v>
      </c>
      <c r="Q34" s="125">
        <v>0</v>
      </c>
      <c r="R34" s="125">
        <v>0</v>
      </c>
      <c r="S34" s="125">
        <v>0</v>
      </c>
      <c r="T34" s="125">
        <v>0</v>
      </c>
      <c r="U34" s="125">
        <v>0</v>
      </c>
      <c r="V34" s="125">
        <v>0</v>
      </c>
      <c r="W34" s="125">
        <v>0</v>
      </c>
      <c r="X34" s="125">
        <v>0</v>
      </c>
      <c r="Y34" s="125">
        <v>0</v>
      </c>
      <c r="Z34" s="125">
        <v>0</v>
      </c>
      <c r="AA34" s="125">
        <v>0</v>
      </c>
      <c r="AB34" s="125">
        <v>0</v>
      </c>
      <c r="AC34" s="125">
        <v>0</v>
      </c>
      <c r="AD34" s="125">
        <v>0</v>
      </c>
      <c r="AE34" s="125">
        <v>0</v>
      </c>
      <c r="AF34" s="125">
        <v>0</v>
      </c>
    </row>
    <row r="35" spans="1:34" x14ac:dyDescent="0.25">
      <c r="B35" s="128" t="s">
        <v>199</v>
      </c>
      <c r="C35" s="125">
        <v>0</v>
      </c>
      <c r="D35" s="125">
        <v>0</v>
      </c>
      <c r="E35" s="125">
        <v>0</v>
      </c>
      <c r="F35" s="125">
        <v>0</v>
      </c>
      <c r="G35" s="125">
        <v>0</v>
      </c>
      <c r="H35" s="125">
        <v>0</v>
      </c>
      <c r="I35" s="125">
        <v>0</v>
      </c>
      <c r="J35" s="125">
        <v>0</v>
      </c>
      <c r="K35" s="125">
        <v>0</v>
      </c>
      <c r="L35" s="125">
        <v>0</v>
      </c>
      <c r="M35" s="125">
        <v>0</v>
      </c>
      <c r="N35" s="125">
        <v>0</v>
      </c>
      <c r="O35" s="125">
        <v>0</v>
      </c>
      <c r="P35" s="125">
        <v>0</v>
      </c>
      <c r="Q35" s="125">
        <v>0</v>
      </c>
      <c r="R35" s="125">
        <v>0</v>
      </c>
      <c r="S35" s="125">
        <v>0</v>
      </c>
      <c r="T35" s="125">
        <v>0</v>
      </c>
      <c r="U35" s="125">
        <v>0</v>
      </c>
      <c r="V35" s="125">
        <v>0</v>
      </c>
      <c r="W35" s="125">
        <v>0</v>
      </c>
      <c r="X35" s="125">
        <v>0</v>
      </c>
      <c r="Y35" s="125">
        <v>0</v>
      </c>
      <c r="Z35" s="125">
        <v>0</v>
      </c>
      <c r="AA35" s="125">
        <v>0</v>
      </c>
      <c r="AB35" s="125">
        <v>0</v>
      </c>
      <c r="AC35" s="125">
        <v>0</v>
      </c>
      <c r="AD35" s="125">
        <v>0</v>
      </c>
      <c r="AE35" s="125">
        <v>0</v>
      </c>
      <c r="AF35" s="125">
        <v>0</v>
      </c>
    </row>
    <row r="36" spans="1:34" x14ac:dyDescent="0.25">
      <c r="B36" s="128" t="s">
        <v>200</v>
      </c>
      <c r="C36" s="125">
        <v>0</v>
      </c>
      <c r="D36" s="125">
        <v>0</v>
      </c>
      <c r="E36" s="125">
        <v>25.46</v>
      </c>
      <c r="F36" s="125">
        <v>25.46</v>
      </c>
      <c r="G36" s="125">
        <v>25.46</v>
      </c>
      <c r="H36" s="125">
        <v>25.46</v>
      </c>
      <c r="I36" s="125">
        <v>25.46</v>
      </c>
      <c r="J36" s="125">
        <v>25.46</v>
      </c>
      <c r="K36" s="125">
        <v>25.46</v>
      </c>
      <c r="L36" s="125">
        <v>25.46</v>
      </c>
      <c r="M36" s="125">
        <v>25.46</v>
      </c>
      <c r="N36" s="125">
        <v>25.46</v>
      </c>
      <c r="O36" s="125">
        <v>25.46</v>
      </c>
      <c r="P36" s="125">
        <v>25.46</v>
      </c>
      <c r="Q36" s="125">
        <v>25.46</v>
      </c>
      <c r="R36" s="125">
        <v>25.46</v>
      </c>
      <c r="S36" s="125">
        <v>25.46</v>
      </c>
      <c r="T36" s="125">
        <v>25.46</v>
      </c>
      <c r="U36" s="125">
        <v>25.46</v>
      </c>
      <c r="V36" s="125">
        <v>25.46</v>
      </c>
      <c r="W36" s="125">
        <v>25.46</v>
      </c>
      <c r="X36" s="125">
        <v>25.46</v>
      </c>
      <c r="Y36" s="125">
        <v>25.46</v>
      </c>
      <c r="Z36" s="125">
        <v>19.094999999999999</v>
      </c>
      <c r="AA36" s="125">
        <v>12.73</v>
      </c>
      <c r="AB36" s="125">
        <v>0</v>
      </c>
      <c r="AC36" s="125">
        <v>0</v>
      </c>
      <c r="AD36" s="125">
        <v>0</v>
      </c>
      <c r="AE36" s="125">
        <v>0</v>
      </c>
      <c r="AF36" s="125">
        <v>0</v>
      </c>
      <c r="AH36" t="s">
        <v>191</v>
      </c>
    </row>
    <row r="37" spans="1:34" x14ac:dyDescent="0.25">
      <c r="B37" s="128" t="s">
        <v>201</v>
      </c>
      <c r="C37" s="125">
        <v>0</v>
      </c>
      <c r="D37" s="125">
        <v>0</v>
      </c>
      <c r="E37" s="125">
        <v>0</v>
      </c>
      <c r="F37" s="125">
        <v>0</v>
      </c>
      <c r="G37" s="125">
        <v>0</v>
      </c>
      <c r="H37" s="125">
        <v>0</v>
      </c>
      <c r="I37" s="125">
        <v>0</v>
      </c>
      <c r="J37" s="125">
        <v>0</v>
      </c>
      <c r="K37" s="125">
        <v>0</v>
      </c>
      <c r="L37" s="125">
        <v>0</v>
      </c>
      <c r="M37" s="125">
        <v>0</v>
      </c>
      <c r="N37" s="125">
        <v>0</v>
      </c>
      <c r="O37" s="125">
        <v>0</v>
      </c>
      <c r="P37" s="125">
        <v>0</v>
      </c>
      <c r="Q37" s="125">
        <v>0</v>
      </c>
      <c r="R37" s="125">
        <v>0</v>
      </c>
      <c r="S37" s="125">
        <v>0</v>
      </c>
      <c r="T37" s="125">
        <v>0</v>
      </c>
      <c r="U37" s="125">
        <v>0</v>
      </c>
      <c r="V37" s="125">
        <v>0</v>
      </c>
      <c r="W37" s="125">
        <v>0</v>
      </c>
      <c r="X37" s="125">
        <v>0</v>
      </c>
      <c r="Y37" s="125">
        <v>0</v>
      </c>
      <c r="Z37" s="125">
        <v>0</v>
      </c>
      <c r="AA37" s="125">
        <v>0</v>
      </c>
      <c r="AB37" s="125">
        <v>0</v>
      </c>
      <c r="AC37" s="125">
        <v>0</v>
      </c>
      <c r="AD37" s="125">
        <v>0</v>
      </c>
      <c r="AE37" s="125">
        <v>0</v>
      </c>
      <c r="AF37" s="125">
        <v>0</v>
      </c>
    </row>
    <row r="38" spans="1:34" x14ac:dyDescent="0.25">
      <c r="B38" s="128" t="s">
        <v>202</v>
      </c>
      <c r="C38" s="125">
        <v>0</v>
      </c>
      <c r="D38" s="125">
        <v>0</v>
      </c>
      <c r="E38" s="125">
        <v>0</v>
      </c>
      <c r="F38" s="125">
        <v>0</v>
      </c>
      <c r="G38" s="125">
        <v>0</v>
      </c>
      <c r="H38" s="125">
        <v>0</v>
      </c>
      <c r="I38" s="125">
        <v>0</v>
      </c>
      <c r="J38" s="125">
        <v>0</v>
      </c>
      <c r="K38" s="125">
        <v>0</v>
      </c>
      <c r="L38" s="125">
        <v>0</v>
      </c>
      <c r="M38" s="125">
        <v>0</v>
      </c>
      <c r="N38" s="125">
        <v>0</v>
      </c>
      <c r="O38" s="125">
        <v>0</v>
      </c>
      <c r="P38" s="125">
        <v>0</v>
      </c>
      <c r="Q38" s="125">
        <v>0</v>
      </c>
      <c r="R38" s="125">
        <v>0</v>
      </c>
      <c r="S38" s="125">
        <v>0</v>
      </c>
      <c r="T38" s="125">
        <v>0</v>
      </c>
      <c r="U38" s="125">
        <v>0</v>
      </c>
      <c r="V38" s="125">
        <v>0</v>
      </c>
      <c r="W38" s="125">
        <v>0</v>
      </c>
      <c r="X38" s="125">
        <v>0</v>
      </c>
      <c r="Y38" s="125">
        <v>0</v>
      </c>
      <c r="Z38" s="125">
        <v>0</v>
      </c>
      <c r="AA38" s="125">
        <v>0</v>
      </c>
      <c r="AB38" s="125">
        <v>0</v>
      </c>
      <c r="AC38" s="125">
        <v>0</v>
      </c>
      <c r="AD38" s="125">
        <v>0</v>
      </c>
      <c r="AE38" s="125">
        <v>0</v>
      </c>
      <c r="AF38" s="125">
        <v>0</v>
      </c>
    </row>
    <row r="39" spans="1:34" x14ac:dyDescent="0.25">
      <c r="B39" s="128" t="s">
        <v>203</v>
      </c>
      <c r="C39" s="125">
        <v>0</v>
      </c>
      <c r="D39" s="125">
        <v>0</v>
      </c>
      <c r="E39" s="125">
        <v>0</v>
      </c>
      <c r="F39" s="125">
        <v>0</v>
      </c>
      <c r="G39" s="125">
        <v>0</v>
      </c>
      <c r="H39" s="125">
        <v>0</v>
      </c>
      <c r="I39" s="125">
        <v>0</v>
      </c>
      <c r="J39" s="125">
        <v>0</v>
      </c>
      <c r="K39" s="125">
        <v>0</v>
      </c>
      <c r="L39" s="125">
        <v>0</v>
      </c>
      <c r="M39" s="125">
        <v>0</v>
      </c>
      <c r="N39" s="125">
        <v>0</v>
      </c>
      <c r="O39" s="125">
        <v>0</v>
      </c>
      <c r="P39" s="125">
        <v>0</v>
      </c>
      <c r="Q39" s="125">
        <v>0</v>
      </c>
      <c r="R39" s="125">
        <v>0</v>
      </c>
      <c r="S39" s="125">
        <v>0</v>
      </c>
      <c r="T39" s="125">
        <v>0</v>
      </c>
      <c r="U39" s="125">
        <v>0</v>
      </c>
      <c r="V39" s="125">
        <v>0</v>
      </c>
      <c r="W39" s="125">
        <v>0</v>
      </c>
      <c r="X39" s="125">
        <v>0</v>
      </c>
      <c r="Y39" s="125">
        <v>0</v>
      </c>
      <c r="Z39" s="125">
        <v>0</v>
      </c>
      <c r="AA39" s="125">
        <v>0</v>
      </c>
      <c r="AB39" s="125">
        <v>0</v>
      </c>
      <c r="AC39" s="125">
        <v>0</v>
      </c>
      <c r="AD39" s="125">
        <v>0</v>
      </c>
      <c r="AE39" s="125">
        <v>0</v>
      </c>
      <c r="AF39" s="125">
        <v>0</v>
      </c>
    </row>
    <row r="40" spans="1:34" x14ac:dyDescent="0.25">
      <c r="B40" s="128" t="s">
        <v>204</v>
      </c>
      <c r="C40" s="125">
        <v>0</v>
      </c>
      <c r="D40" s="125">
        <v>0</v>
      </c>
      <c r="E40" s="125">
        <v>0</v>
      </c>
      <c r="F40" s="125">
        <v>0</v>
      </c>
      <c r="G40" s="125">
        <v>0</v>
      </c>
      <c r="H40" s="125">
        <v>0</v>
      </c>
      <c r="I40" s="125">
        <v>0</v>
      </c>
      <c r="J40" s="125">
        <v>0</v>
      </c>
      <c r="K40" s="125">
        <v>0</v>
      </c>
      <c r="L40" s="125">
        <v>0</v>
      </c>
      <c r="M40" s="125">
        <v>0</v>
      </c>
      <c r="N40" s="125">
        <v>0</v>
      </c>
      <c r="O40" s="125">
        <v>0</v>
      </c>
      <c r="P40" s="125">
        <v>0</v>
      </c>
      <c r="Q40" s="125">
        <v>0</v>
      </c>
      <c r="R40" s="125">
        <v>0</v>
      </c>
      <c r="S40" s="125">
        <v>0</v>
      </c>
      <c r="T40" s="125">
        <v>0</v>
      </c>
      <c r="U40" s="125">
        <v>0</v>
      </c>
      <c r="V40" s="125">
        <v>0</v>
      </c>
      <c r="W40" s="125">
        <v>0</v>
      </c>
      <c r="X40" s="125">
        <v>0</v>
      </c>
      <c r="Y40" s="125">
        <v>0</v>
      </c>
      <c r="Z40" s="125">
        <v>0</v>
      </c>
      <c r="AA40" s="125">
        <v>0</v>
      </c>
      <c r="AB40" s="125">
        <v>0</v>
      </c>
      <c r="AC40" s="125">
        <v>0</v>
      </c>
      <c r="AD40" s="125">
        <v>0</v>
      </c>
      <c r="AE40" s="125">
        <v>0</v>
      </c>
      <c r="AF40" s="125">
        <v>0</v>
      </c>
    </row>
    <row r="41" spans="1:34" x14ac:dyDescent="0.25">
      <c r="B41" s="128" t="s">
        <v>205</v>
      </c>
      <c r="C41" s="125">
        <v>0</v>
      </c>
      <c r="D41" s="125">
        <v>0</v>
      </c>
      <c r="E41" s="125">
        <v>0</v>
      </c>
      <c r="F41" s="125">
        <v>0</v>
      </c>
      <c r="G41" s="125">
        <v>0</v>
      </c>
      <c r="H41" s="125">
        <v>0</v>
      </c>
      <c r="I41" s="125">
        <v>0</v>
      </c>
      <c r="J41" s="125">
        <v>0</v>
      </c>
      <c r="K41" s="125">
        <v>0</v>
      </c>
      <c r="L41" s="125">
        <v>0</v>
      </c>
      <c r="M41" s="125">
        <v>0</v>
      </c>
      <c r="N41" s="125">
        <v>0</v>
      </c>
      <c r="O41" s="125">
        <v>0</v>
      </c>
      <c r="P41" s="125">
        <v>0</v>
      </c>
      <c r="Q41" s="125">
        <v>0</v>
      </c>
      <c r="R41" s="125">
        <v>0</v>
      </c>
      <c r="S41" s="125">
        <v>0</v>
      </c>
      <c r="T41" s="125">
        <v>0</v>
      </c>
      <c r="U41" s="125">
        <v>0</v>
      </c>
      <c r="V41" s="125">
        <v>0</v>
      </c>
      <c r="W41" s="125">
        <v>0</v>
      </c>
      <c r="X41" s="125">
        <v>0</v>
      </c>
      <c r="Y41" s="125">
        <v>0</v>
      </c>
      <c r="Z41" s="125">
        <v>0</v>
      </c>
      <c r="AA41" s="125">
        <v>0</v>
      </c>
      <c r="AB41" s="125">
        <v>0</v>
      </c>
      <c r="AC41" s="125">
        <v>0</v>
      </c>
      <c r="AD41" s="125">
        <v>0</v>
      </c>
      <c r="AE41" s="125">
        <v>0</v>
      </c>
      <c r="AF41" s="125">
        <v>0</v>
      </c>
    </row>
    <row r="42" spans="1:34" x14ac:dyDescent="0.25">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row>
    <row r="43" spans="1:34" x14ac:dyDescent="0.25">
      <c r="A43" s="1" t="s">
        <v>207</v>
      </c>
      <c r="B43" s="128" t="s">
        <v>208</v>
      </c>
    </row>
    <row r="44" spans="1:34" x14ac:dyDescent="0.25">
      <c r="B44" s="128" t="s">
        <v>209</v>
      </c>
    </row>
    <row r="45" spans="1:34" x14ac:dyDescent="0.25">
      <c r="B45" s="128" t="s">
        <v>210</v>
      </c>
    </row>
    <row r="46" spans="1:34" x14ac:dyDescent="0.25">
      <c r="B46" s="128" t="s">
        <v>211</v>
      </c>
    </row>
  </sheetData>
  <mergeCells count="2">
    <mergeCell ref="B3:B4"/>
    <mergeCell ref="B6:B8"/>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6A01A"/>
  </sheetPr>
  <dimension ref="A1:DD702"/>
  <sheetViews>
    <sheetView showGridLines="0" zoomScaleNormal="100" workbookViewId="0">
      <pane xSplit="5" ySplit="5" topLeftCell="J83" activePane="bottomRight" state="frozen"/>
      <selection pane="topRight" activeCell="T89" sqref="T89"/>
      <selection pane="bottomLeft" activeCell="T89" sqref="T89"/>
      <selection pane="bottomRight" activeCell="O381" sqref="O381"/>
    </sheetView>
  </sheetViews>
  <sheetFormatPr defaultColWidth="9.42578125" defaultRowHeight="14.25" customHeight="1" x14ac:dyDescent="0.2"/>
  <cols>
    <col min="1" max="1" width="9.42578125" style="131" customWidth="1"/>
    <col min="2" max="7" width="1.42578125" style="131" customWidth="1"/>
    <col min="8" max="8" width="5.42578125" style="131" customWidth="1"/>
    <col min="9" max="9" width="7.42578125" style="131" customWidth="1"/>
    <col min="10" max="10" width="19.42578125" style="131" customWidth="1"/>
    <col min="11" max="11" width="55" style="131" bestFit="1" customWidth="1"/>
    <col min="12" max="12" width="16.42578125" style="131" customWidth="1"/>
    <col min="13" max="15" width="11.42578125" style="131" customWidth="1"/>
    <col min="16" max="17" width="12.42578125" style="131" customWidth="1"/>
    <col min="18" max="20" width="11.42578125" style="131" customWidth="1"/>
    <col min="21" max="21" width="18.42578125" style="131" customWidth="1"/>
    <col min="22" max="22" width="10.42578125" style="131" bestFit="1" customWidth="1"/>
    <col min="23" max="24" width="11.42578125" style="131" customWidth="1"/>
    <col min="25" max="25" width="10.42578125" style="131" bestFit="1" customWidth="1"/>
    <col min="26" max="45" width="11.42578125" style="131" customWidth="1"/>
    <col min="46" max="46" width="9.42578125" style="131" customWidth="1"/>
    <col min="47" max="16384" width="9.42578125" style="131"/>
  </cols>
  <sheetData>
    <row r="1" spans="1:108" ht="18" customHeight="1" x14ac:dyDescent="0.25">
      <c r="A1" s="393" t="s">
        <v>212</v>
      </c>
      <c r="B1" s="394"/>
      <c r="C1" s="394"/>
      <c r="D1" s="394"/>
      <c r="E1" s="394"/>
      <c r="F1" s="394"/>
      <c r="G1" s="394"/>
      <c r="H1" s="394"/>
      <c r="I1" s="394"/>
      <c r="J1" s="394"/>
      <c r="M1" s="17" t="s">
        <v>213</v>
      </c>
    </row>
    <row r="2" spans="1:108" ht="14.25" customHeight="1" x14ac:dyDescent="0.2">
      <c r="F2" s="132"/>
      <c r="G2" s="132"/>
      <c r="H2" s="132"/>
      <c r="I2" s="132"/>
      <c r="J2" s="132"/>
      <c r="K2" s="132"/>
      <c r="L2" s="132"/>
      <c r="M2" s="132"/>
      <c r="N2" s="132"/>
      <c r="O2" s="132"/>
      <c r="P2" s="132"/>
      <c r="Q2" s="132"/>
      <c r="R2" s="132"/>
      <c r="S2" s="132"/>
      <c r="T2" s="132"/>
      <c r="U2" s="133" t="s">
        <v>214</v>
      </c>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row>
    <row r="3" spans="1:108" ht="14.25" customHeight="1" x14ac:dyDescent="0.2">
      <c r="U3" s="134" t="s">
        <v>215</v>
      </c>
    </row>
    <row r="4" spans="1:108" ht="14.25" customHeight="1" x14ac:dyDescent="0.2">
      <c r="J4" s="135"/>
      <c r="U4" s="411" t="s">
        <v>216</v>
      </c>
    </row>
    <row r="5" spans="1:108" ht="14.25" customHeight="1" x14ac:dyDescent="0.2">
      <c r="U5" s="412"/>
    </row>
    <row r="7" spans="1:108" ht="14.25" customHeight="1" x14ac:dyDescent="0.2">
      <c r="B7" s="136" t="s">
        <v>217</v>
      </c>
      <c r="G7" s="408" t="s">
        <v>218</v>
      </c>
      <c r="H7" s="380"/>
      <c r="I7" s="380"/>
      <c r="J7" s="380"/>
      <c r="K7" s="380"/>
      <c r="L7" s="380"/>
      <c r="M7" s="380"/>
      <c r="N7" s="380"/>
      <c r="O7" s="380"/>
      <c r="P7" s="380"/>
      <c r="Q7" s="380"/>
      <c r="R7" s="380"/>
      <c r="S7" s="380"/>
      <c r="T7" s="380"/>
      <c r="U7" s="380"/>
      <c r="V7" s="380"/>
      <c r="W7" s="380"/>
      <c r="X7" s="380"/>
      <c r="Y7" s="380"/>
    </row>
    <row r="8" spans="1:108" ht="14.25" customHeight="1" thickBot="1" x14ac:dyDescent="0.25">
      <c r="G8" s="138"/>
      <c r="U8" s="139"/>
    </row>
    <row r="9" spans="1:108" ht="14.25" customHeight="1" thickBot="1" x14ac:dyDescent="0.3">
      <c r="G9" s="138"/>
      <c r="H9" s="379" t="s">
        <v>219</v>
      </c>
      <c r="J9" s="372" t="s">
        <v>220</v>
      </c>
      <c r="K9" s="373"/>
      <c r="L9" s="374"/>
      <c r="M9" s="361">
        <v>2021</v>
      </c>
      <c r="N9" s="362"/>
      <c r="O9" s="362"/>
      <c r="P9" s="362"/>
      <c r="Q9" s="362"/>
      <c r="R9" s="363"/>
    </row>
    <row r="10" spans="1:108" ht="14.25" customHeight="1" thickBot="1" x14ac:dyDescent="0.25">
      <c r="G10" s="138"/>
      <c r="H10" s="380"/>
      <c r="J10" s="141" t="s">
        <v>221</v>
      </c>
      <c r="K10" s="265"/>
      <c r="L10" s="265"/>
      <c r="M10" s="265"/>
      <c r="N10" s="265"/>
      <c r="O10" s="265"/>
      <c r="P10" s="266"/>
      <c r="Q10" s="265"/>
      <c r="R10" s="267"/>
    </row>
    <row r="11" spans="1:108" ht="13.5" customHeight="1" thickBot="1" x14ac:dyDescent="0.3">
      <c r="G11" s="138"/>
      <c r="H11" s="380"/>
      <c r="J11" s="413" t="s">
        <v>222</v>
      </c>
      <c r="K11" s="414"/>
      <c r="L11" s="414"/>
      <c r="M11" s="414"/>
      <c r="N11" s="414"/>
      <c r="O11" s="414"/>
      <c r="P11" s="414"/>
      <c r="Q11" s="414"/>
      <c r="R11" s="415"/>
      <c r="W11" s="268"/>
      <c r="X11" s="269"/>
      <c r="Y11" s="269"/>
      <c r="Z11" s="269"/>
      <c r="AA11" s="269"/>
    </row>
    <row r="12" spans="1:108" ht="13.5" customHeight="1" thickBot="1" x14ac:dyDescent="0.3">
      <c r="G12" s="138"/>
      <c r="H12" s="380"/>
      <c r="J12" s="369" t="s">
        <v>223</v>
      </c>
      <c r="K12" s="370"/>
      <c r="L12" s="370"/>
      <c r="M12" s="370"/>
      <c r="N12" s="370"/>
      <c r="O12" s="370"/>
      <c r="P12" s="370"/>
      <c r="Q12" s="370"/>
      <c r="R12" s="371"/>
      <c r="W12" s="268"/>
      <c r="X12" s="269"/>
      <c r="Y12" s="269"/>
      <c r="Z12" s="269"/>
      <c r="AA12" s="269"/>
    </row>
    <row r="13" spans="1:108" ht="13.5" customHeight="1" thickBot="1" x14ac:dyDescent="0.3">
      <c r="G13" s="138"/>
      <c r="H13" s="380"/>
      <c r="J13" s="369" t="s">
        <v>224</v>
      </c>
      <c r="K13" s="370"/>
      <c r="L13" s="370"/>
      <c r="M13" s="370"/>
      <c r="N13" s="370"/>
      <c r="O13" s="370"/>
      <c r="P13" s="370"/>
      <c r="Q13" s="370"/>
      <c r="R13" s="371"/>
      <c r="W13" s="268"/>
      <c r="X13" s="269"/>
      <c r="Y13" s="269"/>
      <c r="Z13" s="269"/>
      <c r="AA13" s="269"/>
    </row>
    <row r="14" spans="1:108" ht="13.5" customHeight="1" thickBot="1" x14ac:dyDescent="0.3">
      <c r="G14" s="138"/>
      <c r="H14" s="380"/>
      <c r="J14" s="369" t="s">
        <v>225</v>
      </c>
      <c r="K14" s="370"/>
      <c r="L14" s="370"/>
      <c r="M14" s="370"/>
      <c r="N14" s="370"/>
      <c r="O14" s="370"/>
      <c r="P14" s="370"/>
      <c r="Q14" s="370"/>
      <c r="R14" s="371"/>
      <c r="W14" s="269"/>
      <c r="X14" s="269"/>
      <c r="Y14" s="269"/>
      <c r="Z14" s="269"/>
      <c r="AA14" s="269"/>
    </row>
    <row r="15" spans="1:108" ht="14.25" customHeight="1" thickBot="1" x14ac:dyDescent="0.3">
      <c r="G15" s="138"/>
      <c r="H15" s="380"/>
      <c r="J15" s="431" t="s">
        <v>226</v>
      </c>
      <c r="K15" s="432"/>
      <c r="L15" s="432"/>
      <c r="M15" s="432"/>
      <c r="N15" s="432"/>
      <c r="O15" s="432"/>
      <c r="P15" s="432"/>
      <c r="Q15" s="432"/>
      <c r="R15" s="433"/>
      <c r="W15" s="269"/>
      <c r="X15" s="269"/>
      <c r="Y15" s="269"/>
      <c r="Z15" s="269"/>
      <c r="AA15" s="269"/>
    </row>
    <row r="16" spans="1:108" ht="14.25" customHeight="1" thickTop="1" x14ac:dyDescent="0.25">
      <c r="G16" s="138"/>
      <c r="H16" s="380"/>
      <c r="J16" s="434" t="s">
        <v>227</v>
      </c>
      <c r="K16" s="365"/>
      <c r="L16" s="365"/>
      <c r="M16" s="365"/>
      <c r="N16" s="365"/>
      <c r="O16" s="365"/>
      <c r="P16" s="365"/>
      <c r="Q16" s="365"/>
      <c r="R16" s="387"/>
      <c r="W16" s="269"/>
      <c r="X16" s="269"/>
      <c r="Y16" s="269"/>
      <c r="Z16" s="269"/>
      <c r="AA16" s="269"/>
    </row>
    <row r="17" spans="7:27" ht="14.25" customHeight="1" x14ac:dyDescent="0.25">
      <c r="G17" s="138"/>
      <c r="H17" s="380"/>
      <c r="J17" s="388"/>
      <c r="K17" s="380"/>
      <c r="L17" s="380"/>
      <c r="M17" s="380"/>
      <c r="N17" s="380"/>
      <c r="O17" s="380"/>
      <c r="P17" s="380"/>
      <c r="Q17" s="380"/>
      <c r="R17" s="389"/>
      <c r="W17" s="269"/>
      <c r="X17" s="269"/>
      <c r="Y17" s="269"/>
      <c r="Z17" s="269"/>
      <c r="AA17" s="269"/>
    </row>
    <row r="18" spans="7:27" ht="14.25" customHeight="1" thickBot="1" x14ac:dyDescent="0.3">
      <c r="G18" s="138"/>
      <c r="H18" s="380"/>
      <c r="J18" s="390"/>
      <c r="K18" s="391"/>
      <c r="L18" s="391"/>
      <c r="M18" s="391"/>
      <c r="N18" s="391"/>
      <c r="O18" s="391"/>
      <c r="P18" s="391"/>
      <c r="Q18" s="391"/>
      <c r="R18" s="392"/>
      <c r="W18" s="269"/>
      <c r="X18" s="269"/>
      <c r="Y18" s="269"/>
      <c r="Z18" s="269"/>
      <c r="AA18" s="269"/>
    </row>
    <row r="19" spans="7:27" ht="24" customHeight="1" thickTop="1" thickBot="1" x14ac:dyDescent="0.3">
      <c r="G19" s="138"/>
      <c r="H19" s="380"/>
      <c r="J19" s="364">
        <v>118918</v>
      </c>
      <c r="K19" s="365"/>
      <c r="L19" s="365"/>
      <c r="M19" s="365"/>
      <c r="N19" s="365"/>
      <c r="O19" s="365"/>
      <c r="P19" s="365"/>
      <c r="Q19" s="365"/>
      <c r="R19" s="366"/>
      <c r="W19" s="269"/>
      <c r="X19" s="269"/>
      <c r="Y19" s="269"/>
      <c r="Z19" s="269"/>
      <c r="AA19" s="269"/>
    </row>
    <row r="20" spans="7:27" ht="14.25" customHeight="1" thickTop="1" x14ac:dyDescent="0.25">
      <c r="G20" s="138"/>
      <c r="H20" s="380"/>
      <c r="J20" s="270"/>
      <c r="K20" s="271"/>
      <c r="L20" s="272"/>
      <c r="M20" s="386" t="s">
        <v>228</v>
      </c>
      <c r="N20" s="365"/>
      <c r="O20" s="365"/>
      <c r="P20" s="365"/>
      <c r="Q20" s="365"/>
      <c r="R20" s="387"/>
      <c r="V20" s="273"/>
      <c r="W20" s="269"/>
      <c r="X20" s="269"/>
      <c r="Y20" s="269"/>
      <c r="Z20" s="269"/>
      <c r="AA20" s="269"/>
    </row>
    <row r="21" spans="7:27" ht="14.25" customHeight="1" x14ac:dyDescent="0.25">
      <c r="G21" s="138"/>
      <c r="H21" s="380"/>
      <c r="J21" s="274"/>
      <c r="M21" s="388"/>
      <c r="N21" s="380"/>
      <c r="O21" s="380"/>
      <c r="P21" s="380"/>
      <c r="Q21" s="380"/>
      <c r="R21" s="389"/>
      <c r="V21" s="273"/>
      <c r="W21" s="269"/>
      <c r="X21" s="269"/>
      <c r="Y21" s="269"/>
      <c r="Z21" s="269"/>
      <c r="AA21" s="269"/>
    </row>
    <row r="22" spans="7:27" ht="14.25" customHeight="1" x14ac:dyDescent="0.25">
      <c r="G22" s="138"/>
      <c r="H22" s="380"/>
      <c r="J22" s="274"/>
      <c r="M22" s="388"/>
      <c r="N22" s="380"/>
      <c r="O22" s="380"/>
      <c r="P22" s="380"/>
      <c r="Q22" s="380"/>
      <c r="R22" s="389"/>
      <c r="V22" s="273"/>
      <c r="W22" s="269"/>
      <c r="X22" s="269"/>
      <c r="Y22" s="269"/>
      <c r="Z22" s="269"/>
      <c r="AA22" s="269"/>
    </row>
    <row r="23" spans="7:27" ht="14.25" customHeight="1" x14ac:dyDescent="0.25">
      <c r="G23" s="138"/>
      <c r="H23" s="380"/>
      <c r="J23" s="274"/>
      <c r="M23" s="388"/>
      <c r="N23" s="380"/>
      <c r="O23" s="380"/>
      <c r="P23" s="380"/>
      <c r="Q23" s="380"/>
      <c r="R23" s="389"/>
      <c r="V23" s="273"/>
      <c r="W23" s="269"/>
      <c r="X23" s="269"/>
      <c r="Y23" s="269"/>
      <c r="Z23" s="269"/>
      <c r="AA23" s="269"/>
    </row>
    <row r="24" spans="7:27" ht="14.25" customHeight="1" thickBot="1" x14ac:dyDescent="0.3">
      <c r="G24" s="138"/>
      <c r="H24" s="380"/>
      <c r="J24" s="276"/>
      <c r="K24" s="277"/>
      <c r="M24" s="390"/>
      <c r="N24" s="391"/>
      <c r="O24" s="391"/>
      <c r="P24" s="391"/>
      <c r="Q24" s="391"/>
      <c r="R24" s="392"/>
      <c r="U24" s="269"/>
      <c r="V24" s="273"/>
      <c r="W24" s="269"/>
      <c r="X24" s="269"/>
      <c r="Y24" s="269"/>
      <c r="Z24" s="269"/>
      <c r="AA24" s="269"/>
    </row>
    <row r="25" spans="7:27" ht="14.25" customHeight="1" thickBot="1" x14ac:dyDescent="0.3">
      <c r="G25" s="138"/>
      <c r="H25" s="264"/>
      <c r="M25" s="275"/>
      <c r="N25" s="275"/>
      <c r="O25" s="275"/>
      <c r="P25" s="275"/>
      <c r="Q25" s="275"/>
      <c r="R25" s="275"/>
      <c r="U25" s="269"/>
      <c r="V25" s="273"/>
      <c r="W25" s="269"/>
      <c r="X25" s="269"/>
      <c r="Y25" s="269"/>
      <c r="Z25" s="269"/>
      <c r="AA25" s="269"/>
    </row>
    <row r="26" spans="7:27" ht="14.25" customHeight="1" thickBot="1" x14ac:dyDescent="0.3">
      <c r="G26" s="138"/>
      <c r="H26" s="264"/>
      <c r="J26" s="418" t="s">
        <v>229</v>
      </c>
      <c r="K26" s="145" t="s">
        <v>230</v>
      </c>
      <c r="L26" s="145" t="s">
        <v>231</v>
      </c>
      <c r="M26" s="145" t="s">
        <v>232</v>
      </c>
      <c r="N26" s="145" t="s">
        <v>233</v>
      </c>
      <c r="O26" s="145" t="s">
        <v>234</v>
      </c>
      <c r="P26" s="275"/>
      <c r="Q26" s="275"/>
      <c r="R26" s="275"/>
      <c r="U26" s="269"/>
      <c r="V26" s="273"/>
      <c r="W26" s="269"/>
      <c r="X26" s="269"/>
      <c r="Y26" s="269"/>
      <c r="Z26" s="269"/>
      <c r="AA26" s="269"/>
    </row>
    <row r="27" spans="7:27" ht="14.25" customHeight="1" x14ac:dyDescent="0.25">
      <c r="G27" s="138"/>
      <c r="H27" s="264"/>
      <c r="J27" s="380"/>
      <c r="K27" s="146" t="s">
        <v>235</v>
      </c>
      <c r="L27" s="146" t="s">
        <v>236</v>
      </c>
      <c r="M27" s="146" t="s">
        <v>237</v>
      </c>
      <c r="N27" s="146" t="s">
        <v>238</v>
      </c>
      <c r="O27" s="278" t="s">
        <v>239</v>
      </c>
      <c r="P27" s="275"/>
      <c r="Q27" s="275"/>
      <c r="R27" s="275"/>
      <c r="U27" s="269"/>
      <c r="V27" s="273"/>
      <c r="W27" s="269"/>
      <c r="X27" s="269"/>
      <c r="Y27" s="269"/>
      <c r="Z27" s="269"/>
      <c r="AA27" s="269"/>
    </row>
    <row r="28" spans="7:27" ht="14.25" customHeight="1" x14ac:dyDescent="0.25">
      <c r="G28" s="138"/>
      <c r="H28" s="264"/>
      <c r="J28" s="380"/>
      <c r="K28" s="149" t="s">
        <v>240</v>
      </c>
      <c r="L28" s="149" t="s">
        <v>236</v>
      </c>
      <c r="M28" s="149" t="s">
        <v>241</v>
      </c>
      <c r="N28" s="149" t="s">
        <v>238</v>
      </c>
      <c r="O28" s="279" t="s">
        <v>239</v>
      </c>
      <c r="P28" s="275"/>
      <c r="Q28" s="275"/>
      <c r="R28" s="275"/>
      <c r="U28" s="269"/>
      <c r="V28" s="273"/>
      <c r="W28" s="269"/>
      <c r="X28" s="269"/>
      <c r="Y28" s="269"/>
      <c r="Z28" s="269"/>
      <c r="AA28" s="269"/>
    </row>
    <row r="29" spans="7:27" ht="14.25" customHeight="1" x14ac:dyDescent="0.25">
      <c r="G29" s="138"/>
      <c r="H29" s="264"/>
      <c r="J29" s="380"/>
      <c r="K29" s="151" t="s">
        <v>242</v>
      </c>
      <c r="L29" s="151" t="s">
        <v>236</v>
      </c>
      <c r="M29" s="151" t="s">
        <v>243</v>
      </c>
      <c r="N29" s="151" t="s">
        <v>238</v>
      </c>
      <c r="O29" s="280" t="s">
        <v>239</v>
      </c>
      <c r="P29" s="275"/>
      <c r="Q29" s="275"/>
      <c r="R29" s="275"/>
      <c r="U29" s="269"/>
      <c r="V29" s="273"/>
      <c r="W29" s="269"/>
      <c r="X29" s="269"/>
      <c r="Y29" s="269"/>
      <c r="Z29" s="269"/>
      <c r="AA29" s="269"/>
    </row>
    <row r="30" spans="7:27" ht="14.25" customHeight="1" x14ac:dyDescent="0.25">
      <c r="G30" s="138"/>
      <c r="H30" s="264"/>
      <c r="J30" s="380"/>
      <c r="K30" s="149" t="s">
        <v>244</v>
      </c>
      <c r="L30" s="149" t="s">
        <v>236</v>
      </c>
      <c r="M30" s="149" t="s">
        <v>245</v>
      </c>
      <c r="N30" s="149" t="s">
        <v>238</v>
      </c>
      <c r="O30" s="279" t="s">
        <v>239</v>
      </c>
      <c r="P30" s="275"/>
      <c r="Q30" s="275"/>
      <c r="R30" s="275"/>
      <c r="U30" s="269"/>
      <c r="V30" s="273"/>
      <c r="W30" s="269"/>
      <c r="X30" s="269"/>
      <c r="Y30" s="269"/>
      <c r="Z30" s="269"/>
      <c r="AA30" s="269"/>
    </row>
    <row r="31" spans="7:27" ht="14.25" customHeight="1" x14ac:dyDescent="0.25">
      <c r="G31" s="138"/>
      <c r="H31" s="264"/>
      <c r="J31" s="380"/>
      <c r="K31" s="151" t="s">
        <v>246</v>
      </c>
      <c r="L31" s="151" t="s">
        <v>236</v>
      </c>
      <c r="M31" s="151" t="s">
        <v>247</v>
      </c>
      <c r="N31" s="151" t="s">
        <v>238</v>
      </c>
      <c r="O31" s="280" t="s">
        <v>239</v>
      </c>
      <c r="P31" s="275"/>
      <c r="Q31" s="275"/>
      <c r="R31" s="275"/>
      <c r="U31" s="269"/>
      <c r="V31" s="273"/>
      <c r="W31" s="269"/>
      <c r="X31" s="269"/>
      <c r="Y31" s="269"/>
      <c r="Z31" s="269"/>
      <c r="AA31" s="269"/>
    </row>
    <row r="32" spans="7:27" ht="14.25" customHeight="1" x14ac:dyDescent="0.25">
      <c r="G32" s="138"/>
      <c r="H32" s="264"/>
      <c r="J32" s="380"/>
      <c r="K32" s="153" t="s">
        <v>248</v>
      </c>
      <c r="L32" s="153" t="s">
        <v>236</v>
      </c>
      <c r="M32" s="153" t="s">
        <v>249</v>
      </c>
      <c r="N32" s="153" t="s">
        <v>238</v>
      </c>
      <c r="O32" s="281" t="s">
        <v>239</v>
      </c>
      <c r="P32" s="275"/>
      <c r="Q32" s="275"/>
      <c r="R32" s="275"/>
      <c r="U32" s="269"/>
      <c r="V32" s="273"/>
      <c r="W32" s="269"/>
      <c r="X32" s="269"/>
      <c r="Y32" s="269"/>
      <c r="Z32" s="269"/>
      <c r="AA32" s="269"/>
    </row>
    <row r="33" spans="6:27" ht="14.25" customHeight="1" x14ac:dyDescent="0.25">
      <c r="G33" s="138"/>
      <c r="H33" s="264"/>
      <c r="J33" s="380"/>
      <c r="K33" s="151" t="s">
        <v>250</v>
      </c>
      <c r="L33" s="151" t="s">
        <v>236</v>
      </c>
      <c r="M33" s="151" t="s">
        <v>251</v>
      </c>
      <c r="N33" s="151" t="s">
        <v>238</v>
      </c>
      <c r="O33" s="280" t="s">
        <v>239</v>
      </c>
      <c r="P33" s="275"/>
      <c r="Q33" s="275"/>
      <c r="R33" s="275"/>
      <c r="U33" s="269"/>
      <c r="V33" s="273"/>
      <c r="W33" s="269"/>
      <c r="X33" s="269"/>
      <c r="Y33" s="269"/>
      <c r="Z33" s="269"/>
      <c r="AA33" s="269"/>
    </row>
    <row r="34" spans="6:27" ht="14.25" customHeight="1" x14ac:dyDescent="0.25">
      <c r="G34" s="138"/>
      <c r="H34" s="264"/>
      <c r="J34" s="380"/>
      <c r="K34" s="149" t="s">
        <v>252</v>
      </c>
      <c r="L34" s="149" t="s">
        <v>236</v>
      </c>
      <c r="M34" s="149" t="s">
        <v>253</v>
      </c>
      <c r="N34" s="149" t="s">
        <v>238</v>
      </c>
      <c r="O34" s="279" t="s">
        <v>239</v>
      </c>
      <c r="P34" s="275"/>
      <c r="Q34" s="275"/>
      <c r="R34" s="275"/>
      <c r="U34" s="269"/>
      <c r="V34" s="273"/>
      <c r="W34" s="269"/>
      <c r="X34" s="269"/>
      <c r="Y34" s="269"/>
      <c r="Z34" s="269"/>
      <c r="AA34" s="269"/>
    </row>
    <row r="35" spans="6:27" ht="14.25" customHeight="1" x14ac:dyDescent="0.25">
      <c r="G35" s="138"/>
      <c r="H35" s="264"/>
      <c r="J35" s="380"/>
      <c r="K35" s="151" t="s">
        <v>254</v>
      </c>
      <c r="L35" s="151" t="s">
        <v>236</v>
      </c>
      <c r="M35" s="151" t="s">
        <v>255</v>
      </c>
      <c r="N35" s="151" t="s">
        <v>238</v>
      </c>
      <c r="O35" s="280" t="s">
        <v>239</v>
      </c>
      <c r="P35" s="275"/>
      <c r="Q35" s="275"/>
      <c r="R35" s="275"/>
      <c r="U35" s="269"/>
      <c r="V35" s="273"/>
      <c r="W35" s="269"/>
      <c r="X35" s="269"/>
      <c r="Y35" s="269"/>
      <c r="Z35" s="269"/>
      <c r="AA35" s="269"/>
    </row>
    <row r="36" spans="6:27" ht="14.25" customHeight="1" thickBot="1" x14ac:dyDescent="0.3">
      <c r="G36" s="138"/>
      <c r="H36" s="264"/>
      <c r="J36" s="380"/>
      <c r="K36" s="155" t="s">
        <v>256</v>
      </c>
      <c r="L36" s="155" t="s">
        <v>236</v>
      </c>
      <c r="M36" s="155" t="s">
        <v>257</v>
      </c>
      <c r="N36" s="155" t="s">
        <v>238</v>
      </c>
      <c r="O36" s="282" t="s">
        <v>239</v>
      </c>
      <c r="P36" s="275"/>
      <c r="Q36" s="275"/>
      <c r="R36" s="275"/>
      <c r="U36" s="269"/>
      <c r="V36" s="273"/>
      <c r="W36" s="269"/>
      <c r="X36" s="269"/>
      <c r="Y36" s="269"/>
      <c r="Z36" s="269"/>
      <c r="AA36" s="269"/>
    </row>
    <row r="37" spans="6:27" ht="14.25" customHeight="1" thickBot="1" x14ac:dyDescent="0.3">
      <c r="G37" s="138"/>
      <c r="L37" s="283"/>
      <c r="R37" s="273"/>
      <c r="S37" s="273"/>
      <c r="T37" s="273"/>
      <c r="U37" s="269"/>
      <c r="V37" s="273"/>
      <c r="W37" s="269"/>
      <c r="X37" s="269"/>
      <c r="Y37" s="269"/>
      <c r="Z37" s="269"/>
      <c r="AA37" s="269"/>
    </row>
    <row r="38" spans="6:27" ht="14.25" customHeight="1" x14ac:dyDescent="0.25">
      <c r="G38" s="138"/>
      <c r="H38" s="430" t="s">
        <v>258</v>
      </c>
      <c r="J38" s="435" t="s">
        <v>259</v>
      </c>
      <c r="K38" s="436"/>
      <c r="L38" s="436"/>
      <c r="M38" s="436"/>
      <c r="N38" s="436"/>
      <c r="O38" s="437"/>
      <c r="U38" s="269"/>
      <c r="W38" s="269"/>
      <c r="X38" s="269"/>
      <c r="Y38" s="269"/>
      <c r="Z38" s="269"/>
      <c r="AA38" s="269"/>
    </row>
    <row r="39" spans="6:27" ht="14.25" customHeight="1" thickBot="1" x14ac:dyDescent="0.3">
      <c r="G39" s="138"/>
      <c r="H39" s="380"/>
      <c r="J39" s="375" t="s">
        <v>260</v>
      </c>
      <c r="K39" s="376"/>
      <c r="L39" s="376"/>
      <c r="M39" s="376"/>
      <c r="N39" s="376"/>
      <c r="O39" s="284">
        <v>20</v>
      </c>
      <c r="P39" s="285"/>
      <c r="Q39" s="131" t="s">
        <v>261</v>
      </c>
      <c r="S39" s="157" t="s">
        <v>262</v>
      </c>
      <c r="U39" s="269"/>
    </row>
    <row r="40" spans="6:27" ht="14.25" customHeight="1" x14ac:dyDescent="0.25">
      <c r="G40" s="138"/>
      <c r="H40" s="380"/>
      <c r="J40" s="163" t="s">
        <v>263</v>
      </c>
      <c r="K40" s="164"/>
      <c r="L40" s="164"/>
      <c r="M40" s="164"/>
      <c r="N40" s="164"/>
      <c r="O40" s="165">
        <v>5</v>
      </c>
      <c r="Q40" s="131" t="s">
        <v>264</v>
      </c>
      <c r="S40" s="158">
        <v>20</v>
      </c>
      <c r="U40" s="269"/>
    </row>
    <row r="41" spans="6:27" ht="14.65" customHeight="1" thickBot="1" x14ac:dyDescent="0.25">
      <c r="F41" s="138"/>
      <c r="G41" s="138"/>
      <c r="H41" s="380"/>
      <c r="J41" s="286" t="s">
        <v>265</v>
      </c>
      <c r="K41" s="287"/>
      <c r="L41" s="287"/>
      <c r="M41" s="287"/>
      <c r="N41" s="287"/>
      <c r="O41" s="166">
        <v>0.02</v>
      </c>
      <c r="Z41" s="288"/>
      <c r="AA41" s="288"/>
    </row>
    <row r="42" spans="6:27" ht="15" customHeight="1" x14ac:dyDescent="0.2">
      <c r="F42" s="138"/>
      <c r="G42" s="138"/>
      <c r="H42" s="380"/>
      <c r="J42" s="289" t="s">
        <v>266</v>
      </c>
      <c r="K42" s="290"/>
      <c r="L42" s="290"/>
      <c r="M42" s="290"/>
      <c r="N42" s="290"/>
      <c r="O42" s="170">
        <v>1</v>
      </c>
    </row>
    <row r="43" spans="6:27" ht="15" customHeight="1" x14ac:dyDescent="0.2">
      <c r="G43" s="138"/>
      <c r="H43" s="380"/>
      <c r="J43" s="291" t="s">
        <v>267</v>
      </c>
      <c r="K43" s="292" t="s">
        <v>268</v>
      </c>
      <c r="L43" s="382" t="s">
        <v>269</v>
      </c>
      <c r="M43" s="421" t="s">
        <v>270</v>
      </c>
    </row>
    <row r="44" spans="6:27" ht="15" customHeight="1" x14ac:dyDescent="0.2">
      <c r="G44" s="138"/>
      <c r="H44" s="380"/>
      <c r="J44" s="293" t="s">
        <v>271</v>
      </c>
      <c r="K44" s="140" t="s">
        <v>272</v>
      </c>
      <c r="L44" s="383"/>
      <c r="M44" s="422"/>
    </row>
    <row r="45" spans="6:27" ht="15" customHeight="1" x14ac:dyDescent="0.2">
      <c r="G45" s="138"/>
      <c r="H45" s="380"/>
      <c r="J45" s="293"/>
      <c r="K45" s="140"/>
      <c r="L45" s="383"/>
      <c r="M45" s="422"/>
    </row>
    <row r="46" spans="6:27" ht="15" customHeight="1" x14ac:dyDescent="0.2">
      <c r="G46" s="138"/>
      <c r="H46" s="380"/>
      <c r="J46" s="293"/>
      <c r="K46" s="140"/>
      <c r="L46" s="384"/>
      <c r="M46" s="423"/>
    </row>
    <row r="47" spans="6:27" ht="14.25" customHeight="1" x14ac:dyDescent="0.2">
      <c r="G47" s="138"/>
      <c r="H47" s="380"/>
      <c r="J47" s="175">
        <v>0</v>
      </c>
      <c r="K47" s="176">
        <v>1</v>
      </c>
      <c r="L47" s="176">
        <v>0.8</v>
      </c>
      <c r="M47" s="294">
        <v>0.2</v>
      </c>
      <c r="O47" s="180"/>
    </row>
    <row r="48" spans="6:27" ht="14.25" customHeight="1" x14ac:dyDescent="0.2">
      <c r="G48" s="138"/>
      <c r="H48" s="380"/>
      <c r="J48" s="178">
        <v>1</v>
      </c>
      <c r="K48" s="179">
        <v>0</v>
      </c>
      <c r="L48" s="179">
        <v>0.8</v>
      </c>
      <c r="M48" s="295">
        <v>0.2</v>
      </c>
      <c r="O48" s="180"/>
    </row>
    <row r="49" spans="7:42" ht="14.25" customHeight="1" thickBot="1" x14ac:dyDescent="0.25">
      <c r="G49" s="138"/>
      <c r="H49" s="380"/>
      <c r="J49" s="181">
        <v>2</v>
      </c>
      <c r="K49" s="182">
        <v>0</v>
      </c>
      <c r="L49" s="182">
        <v>0.8</v>
      </c>
      <c r="M49" s="296">
        <v>0.2</v>
      </c>
    </row>
    <row r="50" spans="7:42" ht="14.25" customHeight="1" x14ac:dyDescent="0.2">
      <c r="G50" s="138"/>
      <c r="H50" s="380"/>
      <c r="J50" s="297"/>
      <c r="K50" s="297"/>
      <c r="L50" s="297"/>
      <c r="M50" s="297"/>
      <c r="N50" s="180"/>
      <c r="O50" s="288"/>
    </row>
    <row r="51" spans="7:42" ht="14.25" customHeight="1" x14ac:dyDescent="0.2">
      <c r="G51" s="138"/>
      <c r="H51" s="380"/>
      <c r="M51" s="123">
        <v>2021</v>
      </c>
      <c r="N51" s="123">
        <v>2022</v>
      </c>
      <c r="O51" s="123">
        <v>2023</v>
      </c>
      <c r="P51" s="123">
        <v>2024</v>
      </c>
      <c r="Q51" s="123">
        <v>2025</v>
      </c>
      <c r="R51" s="123">
        <v>2026</v>
      </c>
      <c r="S51" s="123">
        <v>2027</v>
      </c>
      <c r="T51" s="123">
        <v>2028</v>
      </c>
      <c r="U51" s="123">
        <v>2029</v>
      </c>
      <c r="V51" s="123">
        <v>2030</v>
      </c>
      <c r="W51" s="123">
        <v>2031</v>
      </c>
      <c r="X51" s="123">
        <v>2032</v>
      </c>
      <c r="Y51" s="123">
        <v>2033</v>
      </c>
      <c r="Z51" s="123">
        <v>2034</v>
      </c>
      <c r="AA51" s="123">
        <v>2035</v>
      </c>
      <c r="AB51" s="123">
        <v>2036</v>
      </c>
      <c r="AC51" s="123">
        <v>2037</v>
      </c>
      <c r="AD51" s="123">
        <v>2038</v>
      </c>
      <c r="AE51" s="123">
        <v>2039</v>
      </c>
      <c r="AF51" s="123">
        <v>2040</v>
      </c>
      <c r="AG51" s="123">
        <v>2041</v>
      </c>
      <c r="AH51" s="123">
        <v>2042</v>
      </c>
      <c r="AI51" s="123">
        <v>2043</v>
      </c>
      <c r="AJ51" s="123">
        <v>2044</v>
      </c>
      <c r="AK51" s="123">
        <v>2045</v>
      </c>
      <c r="AL51" s="123">
        <v>2046</v>
      </c>
      <c r="AM51" s="123">
        <v>2047</v>
      </c>
      <c r="AN51" s="123">
        <v>2048</v>
      </c>
      <c r="AO51" s="123">
        <v>2049</v>
      </c>
      <c r="AP51" s="123">
        <v>2050</v>
      </c>
    </row>
    <row r="52" spans="7:42" ht="14.25" customHeight="1" x14ac:dyDescent="0.2">
      <c r="G52" s="138"/>
      <c r="H52" s="380"/>
      <c r="J52" s="418" t="s">
        <v>218</v>
      </c>
      <c r="K52" s="185" t="s">
        <v>273</v>
      </c>
      <c r="L52" s="185" t="s">
        <v>274</v>
      </c>
      <c r="M52" s="186">
        <v>2.7900000000000001E-2</v>
      </c>
      <c r="N52" s="186">
        <v>2.7199999999999998E-2</v>
      </c>
      <c r="O52" s="186">
        <v>2.53E-2</v>
      </c>
      <c r="P52" s="186">
        <v>2.5000000000000001E-2</v>
      </c>
      <c r="Q52" s="186">
        <v>2.5000000000000001E-2</v>
      </c>
      <c r="R52" s="186">
        <v>2.5000000000000001E-2</v>
      </c>
      <c r="S52" s="186">
        <v>2.5000000000000001E-2</v>
      </c>
      <c r="T52" s="186">
        <v>2.5000000000000001E-2</v>
      </c>
      <c r="U52" s="186">
        <v>2.5000000000000001E-2</v>
      </c>
      <c r="V52" s="186">
        <v>2.5000000000000001E-2</v>
      </c>
      <c r="W52" s="186">
        <v>2.5000000000000001E-2</v>
      </c>
      <c r="X52" s="186">
        <v>2.5000000000000001E-2</v>
      </c>
      <c r="Y52" s="186">
        <v>2.5000000000000001E-2</v>
      </c>
      <c r="Z52" s="186">
        <v>2.5000000000000001E-2</v>
      </c>
      <c r="AA52" s="186">
        <v>2.5000000000000001E-2</v>
      </c>
      <c r="AB52" s="186">
        <v>2.5000000000000001E-2</v>
      </c>
      <c r="AC52" s="186">
        <v>2.5000000000000001E-2</v>
      </c>
      <c r="AD52" s="186">
        <v>2.5000000000000001E-2</v>
      </c>
      <c r="AE52" s="186">
        <v>2.5000000000000001E-2</v>
      </c>
      <c r="AF52" s="186">
        <v>2.5000000000000001E-2</v>
      </c>
      <c r="AG52" s="186">
        <v>2.5000000000000001E-2</v>
      </c>
      <c r="AH52" s="186">
        <v>2.5000000000000001E-2</v>
      </c>
      <c r="AI52" s="186">
        <v>2.5000000000000001E-2</v>
      </c>
      <c r="AJ52" s="186">
        <v>2.5000000000000001E-2</v>
      </c>
      <c r="AK52" s="186">
        <v>2.5000000000000001E-2</v>
      </c>
      <c r="AL52" s="186">
        <v>2.5000000000000001E-2</v>
      </c>
      <c r="AM52" s="186">
        <v>2.5000000000000001E-2</v>
      </c>
      <c r="AN52" s="186">
        <v>2.5000000000000001E-2</v>
      </c>
      <c r="AO52" s="186">
        <v>2.5000000000000001E-2</v>
      </c>
      <c r="AP52" s="186">
        <v>2.5000000000000001E-2</v>
      </c>
    </row>
    <row r="53" spans="7:42" ht="14.25" customHeight="1" x14ac:dyDescent="0.2">
      <c r="G53" s="138"/>
      <c r="H53" s="380"/>
      <c r="J53" s="380"/>
      <c r="K53" s="185" t="s">
        <v>275</v>
      </c>
      <c r="L53" s="185" t="s">
        <v>276</v>
      </c>
      <c r="M53" s="186">
        <v>7.0000000000000007E-2</v>
      </c>
      <c r="N53" s="186">
        <v>7.0000000000000007E-2</v>
      </c>
      <c r="O53" s="186">
        <v>7.0000000000000007E-2</v>
      </c>
      <c r="P53" s="186">
        <v>7.0000000000000007E-2</v>
      </c>
      <c r="Q53" s="186">
        <v>7.0000000000000007E-2</v>
      </c>
      <c r="R53" s="186">
        <v>7.0000000000000007E-2</v>
      </c>
      <c r="S53" s="186">
        <v>7.0000000000000007E-2</v>
      </c>
      <c r="T53" s="186">
        <v>7.0000000000000007E-2</v>
      </c>
      <c r="U53" s="186">
        <v>7.0000000000000007E-2</v>
      </c>
      <c r="V53" s="186">
        <v>7.0000000000000007E-2</v>
      </c>
      <c r="W53" s="186">
        <v>7.0000000000000007E-2</v>
      </c>
      <c r="X53" s="186">
        <v>7.0000000000000007E-2</v>
      </c>
      <c r="Y53" s="186">
        <v>7.0000000000000007E-2</v>
      </c>
      <c r="Z53" s="186">
        <v>7.0000000000000007E-2</v>
      </c>
      <c r="AA53" s="186">
        <v>7.0000000000000007E-2</v>
      </c>
      <c r="AB53" s="186">
        <v>7.0000000000000007E-2</v>
      </c>
      <c r="AC53" s="186">
        <v>7.0000000000000007E-2</v>
      </c>
      <c r="AD53" s="186">
        <v>7.0000000000000007E-2</v>
      </c>
      <c r="AE53" s="186">
        <v>7.0000000000000007E-2</v>
      </c>
      <c r="AF53" s="186">
        <v>7.0000000000000007E-2</v>
      </c>
      <c r="AG53" s="186">
        <v>7.0000000000000007E-2</v>
      </c>
      <c r="AH53" s="186">
        <v>7.0000000000000007E-2</v>
      </c>
      <c r="AI53" s="186">
        <v>7.0000000000000007E-2</v>
      </c>
      <c r="AJ53" s="186">
        <v>7.0000000000000007E-2</v>
      </c>
      <c r="AK53" s="186">
        <v>7.0000000000000007E-2</v>
      </c>
      <c r="AL53" s="186">
        <v>7.0000000000000007E-2</v>
      </c>
      <c r="AM53" s="186">
        <v>7.0000000000000007E-2</v>
      </c>
      <c r="AN53" s="186">
        <v>7.0000000000000007E-2</v>
      </c>
      <c r="AO53" s="186">
        <v>7.0000000000000007E-2</v>
      </c>
      <c r="AP53" s="186">
        <v>7.0000000000000007E-2</v>
      </c>
    </row>
    <row r="54" spans="7:42" ht="14.25" customHeight="1" x14ac:dyDescent="0.2">
      <c r="G54" s="138"/>
      <c r="H54" s="380"/>
      <c r="J54" s="380"/>
      <c r="K54" s="185" t="s">
        <v>275</v>
      </c>
      <c r="L54" s="185" t="s">
        <v>277</v>
      </c>
      <c r="M54" s="186">
        <v>7.0000000000000007E-2</v>
      </c>
      <c r="N54" s="186">
        <v>7.0000000000000007E-2</v>
      </c>
      <c r="O54" s="186">
        <v>7.0000000000000007E-2</v>
      </c>
      <c r="P54" s="186">
        <v>7.0000000000000007E-2</v>
      </c>
      <c r="Q54" s="186">
        <v>7.0000000000000007E-2</v>
      </c>
      <c r="R54" s="186">
        <v>7.0000000000000007E-2</v>
      </c>
      <c r="S54" s="186">
        <v>7.0000000000000007E-2</v>
      </c>
      <c r="T54" s="186">
        <v>7.0000000000000007E-2</v>
      </c>
      <c r="U54" s="186">
        <v>7.0000000000000007E-2</v>
      </c>
      <c r="V54" s="186">
        <v>7.0000000000000007E-2</v>
      </c>
      <c r="W54" s="186">
        <v>7.0000000000000007E-2</v>
      </c>
      <c r="X54" s="186">
        <v>7.0000000000000007E-2</v>
      </c>
      <c r="Y54" s="186">
        <v>7.0000000000000007E-2</v>
      </c>
      <c r="Z54" s="186">
        <v>7.0000000000000007E-2</v>
      </c>
      <c r="AA54" s="186">
        <v>7.0000000000000007E-2</v>
      </c>
      <c r="AB54" s="186">
        <v>7.0000000000000007E-2</v>
      </c>
      <c r="AC54" s="186">
        <v>7.0000000000000007E-2</v>
      </c>
      <c r="AD54" s="186">
        <v>7.0000000000000007E-2</v>
      </c>
      <c r="AE54" s="186">
        <v>7.0000000000000007E-2</v>
      </c>
      <c r="AF54" s="186">
        <v>7.0000000000000007E-2</v>
      </c>
      <c r="AG54" s="186">
        <v>7.0000000000000007E-2</v>
      </c>
      <c r="AH54" s="186">
        <v>7.0000000000000007E-2</v>
      </c>
      <c r="AI54" s="186">
        <v>7.0000000000000007E-2</v>
      </c>
      <c r="AJ54" s="186">
        <v>7.0000000000000007E-2</v>
      </c>
      <c r="AK54" s="186">
        <v>7.0000000000000007E-2</v>
      </c>
      <c r="AL54" s="186">
        <v>7.0000000000000007E-2</v>
      </c>
      <c r="AM54" s="186">
        <v>7.0000000000000007E-2</v>
      </c>
      <c r="AN54" s="186">
        <v>7.0000000000000007E-2</v>
      </c>
      <c r="AO54" s="186">
        <v>7.0000000000000007E-2</v>
      </c>
      <c r="AP54" s="186">
        <v>7.0000000000000007E-2</v>
      </c>
    </row>
    <row r="55" spans="7:42" ht="14.25" customHeight="1" x14ac:dyDescent="0.2">
      <c r="G55" s="138"/>
      <c r="H55" s="380"/>
      <c r="J55" s="380"/>
      <c r="K55" s="185" t="s">
        <v>275</v>
      </c>
      <c r="L55" s="185" t="s">
        <v>278</v>
      </c>
      <c r="M55" s="186">
        <v>7.0000000000000007E-2</v>
      </c>
      <c r="N55" s="186">
        <v>7.0000000000000007E-2</v>
      </c>
      <c r="O55" s="186">
        <v>7.0000000000000007E-2</v>
      </c>
      <c r="P55" s="186">
        <v>7.0000000000000007E-2</v>
      </c>
      <c r="Q55" s="186">
        <v>7.0000000000000007E-2</v>
      </c>
      <c r="R55" s="186">
        <v>7.0000000000000007E-2</v>
      </c>
      <c r="S55" s="186">
        <v>7.0000000000000007E-2</v>
      </c>
      <c r="T55" s="186">
        <v>7.0000000000000007E-2</v>
      </c>
      <c r="U55" s="186">
        <v>7.0000000000000007E-2</v>
      </c>
      <c r="V55" s="186">
        <v>7.0000000000000007E-2</v>
      </c>
      <c r="W55" s="186">
        <v>7.0000000000000007E-2</v>
      </c>
      <c r="X55" s="186">
        <v>7.0000000000000007E-2</v>
      </c>
      <c r="Y55" s="186">
        <v>7.0000000000000007E-2</v>
      </c>
      <c r="Z55" s="186">
        <v>7.0000000000000007E-2</v>
      </c>
      <c r="AA55" s="186">
        <v>7.0000000000000007E-2</v>
      </c>
      <c r="AB55" s="186">
        <v>7.0000000000000007E-2</v>
      </c>
      <c r="AC55" s="186">
        <v>7.0000000000000007E-2</v>
      </c>
      <c r="AD55" s="186">
        <v>7.0000000000000007E-2</v>
      </c>
      <c r="AE55" s="186">
        <v>7.0000000000000007E-2</v>
      </c>
      <c r="AF55" s="186">
        <v>7.0000000000000007E-2</v>
      </c>
      <c r="AG55" s="186">
        <v>7.0000000000000007E-2</v>
      </c>
      <c r="AH55" s="186">
        <v>7.0000000000000007E-2</v>
      </c>
      <c r="AI55" s="186">
        <v>7.0000000000000007E-2</v>
      </c>
      <c r="AJ55" s="186">
        <v>7.0000000000000007E-2</v>
      </c>
      <c r="AK55" s="186">
        <v>7.0000000000000007E-2</v>
      </c>
      <c r="AL55" s="186">
        <v>7.0000000000000007E-2</v>
      </c>
      <c r="AM55" s="186">
        <v>7.0000000000000007E-2</v>
      </c>
      <c r="AN55" s="186">
        <v>7.0000000000000007E-2</v>
      </c>
      <c r="AO55" s="186">
        <v>7.0000000000000007E-2</v>
      </c>
      <c r="AP55" s="186">
        <v>7.0000000000000007E-2</v>
      </c>
    </row>
    <row r="56" spans="7:42" ht="14.25" customHeight="1" x14ac:dyDescent="0.25">
      <c r="G56" s="138"/>
      <c r="H56" s="380"/>
      <c r="J56" s="380"/>
      <c r="K56" s="185" t="s">
        <v>279</v>
      </c>
      <c r="L56" s="185" t="s">
        <v>276</v>
      </c>
      <c r="M56" s="187">
        <v>4.0957291565327347E-2</v>
      </c>
      <c r="N56" s="187">
        <v>4.1666666666666741E-2</v>
      </c>
      <c r="O56" s="187">
        <v>4.3596996001170403E-2</v>
      </c>
      <c r="P56" s="187">
        <v>4.3902439024390498E-2</v>
      </c>
      <c r="Q56" s="187">
        <v>4.3902439024390498E-2</v>
      </c>
      <c r="R56" s="187">
        <v>4.3902439024390498E-2</v>
      </c>
      <c r="S56" s="187">
        <v>4.3902439024390498E-2</v>
      </c>
      <c r="T56" s="187">
        <v>4.3902439024390498E-2</v>
      </c>
      <c r="U56" s="187">
        <v>4.3902439024390498E-2</v>
      </c>
      <c r="V56" s="187">
        <v>4.3902439024390498E-2</v>
      </c>
      <c r="W56" s="187">
        <v>4.3902439024390498E-2</v>
      </c>
      <c r="X56" s="187">
        <v>4.3902439024390498E-2</v>
      </c>
      <c r="Y56" s="187">
        <v>4.3902439024390498E-2</v>
      </c>
      <c r="Z56" s="187">
        <v>4.3902439024390498E-2</v>
      </c>
      <c r="AA56" s="187">
        <v>4.3902439024390498E-2</v>
      </c>
      <c r="AB56" s="187">
        <v>4.3902439024390498E-2</v>
      </c>
      <c r="AC56" s="187">
        <v>4.3902439024390498E-2</v>
      </c>
      <c r="AD56" s="187">
        <v>4.3902439024390498E-2</v>
      </c>
      <c r="AE56" s="187">
        <v>4.3902439024390498E-2</v>
      </c>
      <c r="AF56" s="187">
        <v>4.3902439024390498E-2</v>
      </c>
      <c r="AG56" s="187">
        <v>4.3902439024390498E-2</v>
      </c>
      <c r="AH56" s="187">
        <v>4.3902439024390498E-2</v>
      </c>
      <c r="AI56" s="187">
        <v>4.3902439024390498E-2</v>
      </c>
      <c r="AJ56" s="187">
        <v>4.3902439024390498E-2</v>
      </c>
      <c r="AK56" s="187">
        <v>4.3902439024390498E-2</v>
      </c>
      <c r="AL56" s="187">
        <v>4.3902439024390498E-2</v>
      </c>
      <c r="AM56" s="187">
        <v>4.3902439024390498E-2</v>
      </c>
      <c r="AN56" s="187">
        <v>4.3902439024390498E-2</v>
      </c>
      <c r="AO56" s="187">
        <v>4.3902439024390498E-2</v>
      </c>
      <c r="AP56" s="187">
        <v>4.3902439024390498E-2</v>
      </c>
    </row>
    <row r="57" spans="7:42" ht="14.25" customHeight="1" x14ac:dyDescent="0.25">
      <c r="G57" s="138"/>
      <c r="H57" s="380"/>
      <c r="J57" s="380"/>
      <c r="K57" s="185" t="s">
        <v>279</v>
      </c>
      <c r="L57" s="185" t="s">
        <v>277</v>
      </c>
      <c r="M57" s="187">
        <v>4.0957291565327347E-2</v>
      </c>
      <c r="N57" s="187">
        <v>4.1666666666666741E-2</v>
      </c>
      <c r="O57" s="187">
        <v>4.3596996001170403E-2</v>
      </c>
      <c r="P57" s="187">
        <v>4.3902439024390498E-2</v>
      </c>
      <c r="Q57" s="187">
        <v>4.3902439024390498E-2</v>
      </c>
      <c r="R57" s="187">
        <v>4.3902439024390498E-2</v>
      </c>
      <c r="S57" s="187">
        <v>4.3902439024390498E-2</v>
      </c>
      <c r="T57" s="187">
        <v>4.3902439024390498E-2</v>
      </c>
      <c r="U57" s="187">
        <v>4.3902439024390498E-2</v>
      </c>
      <c r="V57" s="187">
        <v>4.3902439024390498E-2</v>
      </c>
      <c r="W57" s="187">
        <v>4.3902439024390498E-2</v>
      </c>
      <c r="X57" s="187">
        <v>4.3902439024390498E-2</v>
      </c>
      <c r="Y57" s="187">
        <v>4.3902439024390498E-2</v>
      </c>
      <c r="Z57" s="187">
        <v>4.3902439024390498E-2</v>
      </c>
      <c r="AA57" s="187">
        <v>4.3902439024390498E-2</v>
      </c>
      <c r="AB57" s="187">
        <v>4.3902439024390498E-2</v>
      </c>
      <c r="AC57" s="187">
        <v>4.3902439024390498E-2</v>
      </c>
      <c r="AD57" s="187">
        <v>4.3902439024390498E-2</v>
      </c>
      <c r="AE57" s="187">
        <v>4.3902439024390498E-2</v>
      </c>
      <c r="AF57" s="187">
        <v>4.3902439024390498E-2</v>
      </c>
      <c r="AG57" s="187">
        <v>4.3902439024390498E-2</v>
      </c>
      <c r="AH57" s="187">
        <v>4.3902439024390498E-2</v>
      </c>
      <c r="AI57" s="187">
        <v>4.3902439024390498E-2</v>
      </c>
      <c r="AJ57" s="187">
        <v>4.3902439024390498E-2</v>
      </c>
      <c r="AK57" s="187">
        <v>4.3902439024390498E-2</v>
      </c>
      <c r="AL57" s="187">
        <v>4.3902439024390498E-2</v>
      </c>
      <c r="AM57" s="187">
        <v>4.3902439024390498E-2</v>
      </c>
      <c r="AN57" s="187">
        <v>4.3902439024390498E-2</v>
      </c>
      <c r="AO57" s="187">
        <v>4.3902439024390498E-2</v>
      </c>
      <c r="AP57" s="187">
        <v>4.3902439024390498E-2</v>
      </c>
    </row>
    <row r="58" spans="7:42" ht="14.25" customHeight="1" x14ac:dyDescent="0.25">
      <c r="G58" s="138"/>
      <c r="H58" s="380"/>
      <c r="J58" s="380"/>
      <c r="K58" s="185" t="s">
        <v>279</v>
      </c>
      <c r="L58" s="185" t="s">
        <v>278</v>
      </c>
      <c r="M58" s="187">
        <v>4.0957291565327347E-2</v>
      </c>
      <c r="N58" s="187">
        <v>4.1666666666666741E-2</v>
      </c>
      <c r="O58" s="187">
        <v>4.3596996001170403E-2</v>
      </c>
      <c r="P58" s="187">
        <v>4.3902439024390498E-2</v>
      </c>
      <c r="Q58" s="187">
        <v>4.3902439024390498E-2</v>
      </c>
      <c r="R58" s="187">
        <v>4.3902439024390498E-2</v>
      </c>
      <c r="S58" s="187">
        <v>4.3902439024390498E-2</v>
      </c>
      <c r="T58" s="187">
        <v>4.3902439024390498E-2</v>
      </c>
      <c r="U58" s="187">
        <v>4.3902439024390498E-2</v>
      </c>
      <c r="V58" s="187">
        <v>4.3902439024390498E-2</v>
      </c>
      <c r="W58" s="187">
        <v>4.3902439024390498E-2</v>
      </c>
      <c r="X58" s="187">
        <v>4.3902439024390498E-2</v>
      </c>
      <c r="Y58" s="187">
        <v>4.3902439024390498E-2</v>
      </c>
      <c r="Z58" s="187">
        <v>4.3902439024390498E-2</v>
      </c>
      <c r="AA58" s="187">
        <v>4.3902439024390498E-2</v>
      </c>
      <c r="AB58" s="187">
        <v>4.3902439024390498E-2</v>
      </c>
      <c r="AC58" s="187">
        <v>4.3902439024390498E-2</v>
      </c>
      <c r="AD58" s="187">
        <v>4.3902439024390498E-2</v>
      </c>
      <c r="AE58" s="187">
        <v>4.3902439024390498E-2</v>
      </c>
      <c r="AF58" s="187">
        <v>4.3902439024390498E-2</v>
      </c>
      <c r="AG58" s="187">
        <v>4.3902439024390498E-2</v>
      </c>
      <c r="AH58" s="187">
        <v>4.3902439024390498E-2</v>
      </c>
      <c r="AI58" s="187">
        <v>4.3902439024390498E-2</v>
      </c>
      <c r="AJ58" s="187">
        <v>4.3902439024390498E-2</v>
      </c>
      <c r="AK58" s="187">
        <v>4.3902439024390498E-2</v>
      </c>
      <c r="AL58" s="187">
        <v>4.3902439024390498E-2</v>
      </c>
      <c r="AM58" s="187">
        <v>4.3902439024390498E-2</v>
      </c>
      <c r="AN58" s="187">
        <v>4.3902439024390498E-2</v>
      </c>
      <c r="AO58" s="187">
        <v>4.3902439024390498E-2</v>
      </c>
      <c r="AP58" s="187">
        <v>4.3902439024390498E-2</v>
      </c>
    </row>
    <row r="59" spans="7:42" ht="14.25" customHeight="1" x14ac:dyDescent="0.2">
      <c r="G59" s="138"/>
      <c r="H59" s="380"/>
      <c r="J59" s="380"/>
      <c r="K59" s="185" t="s">
        <v>280</v>
      </c>
      <c r="L59" s="185" t="s">
        <v>274</v>
      </c>
      <c r="M59" s="186">
        <v>6.5000000000000002E-2</v>
      </c>
      <c r="N59" s="186">
        <v>6.5000000000000002E-2</v>
      </c>
      <c r="O59" s="186">
        <v>6.5000000000000002E-2</v>
      </c>
      <c r="P59" s="186">
        <v>6.5000000000000002E-2</v>
      </c>
      <c r="Q59" s="186">
        <v>6.5000000000000002E-2</v>
      </c>
      <c r="R59" s="186">
        <v>6.5000000000000002E-2</v>
      </c>
      <c r="S59" s="186">
        <v>6.5000000000000002E-2</v>
      </c>
      <c r="T59" s="186">
        <v>6.5000000000000002E-2</v>
      </c>
      <c r="U59" s="186">
        <v>6.5000000000000002E-2</v>
      </c>
      <c r="V59" s="186">
        <v>6.5000000000000002E-2</v>
      </c>
      <c r="W59" s="186">
        <v>6.5000000000000002E-2</v>
      </c>
      <c r="X59" s="186">
        <v>6.5000000000000002E-2</v>
      </c>
      <c r="Y59" s="186">
        <v>6.5000000000000002E-2</v>
      </c>
      <c r="Z59" s="186">
        <v>6.5000000000000002E-2</v>
      </c>
      <c r="AA59" s="186">
        <v>6.5000000000000002E-2</v>
      </c>
      <c r="AB59" s="186">
        <v>6.5000000000000002E-2</v>
      </c>
      <c r="AC59" s="186">
        <v>6.5000000000000002E-2</v>
      </c>
      <c r="AD59" s="186">
        <v>6.5000000000000002E-2</v>
      </c>
      <c r="AE59" s="186">
        <v>6.5000000000000002E-2</v>
      </c>
      <c r="AF59" s="186">
        <v>6.5000000000000002E-2</v>
      </c>
      <c r="AG59" s="186">
        <v>6.5000000000000002E-2</v>
      </c>
      <c r="AH59" s="186">
        <v>6.5000000000000002E-2</v>
      </c>
      <c r="AI59" s="186">
        <v>6.5000000000000002E-2</v>
      </c>
      <c r="AJ59" s="186">
        <v>6.5000000000000002E-2</v>
      </c>
      <c r="AK59" s="186">
        <v>6.5000000000000002E-2</v>
      </c>
      <c r="AL59" s="186">
        <v>6.5000000000000002E-2</v>
      </c>
      <c r="AM59" s="186">
        <v>6.5000000000000002E-2</v>
      </c>
      <c r="AN59" s="186">
        <v>6.5000000000000002E-2</v>
      </c>
      <c r="AO59" s="186">
        <v>6.5000000000000002E-2</v>
      </c>
      <c r="AP59" s="186">
        <v>6.5000000000000002E-2</v>
      </c>
    </row>
    <row r="60" spans="7:42" ht="14.25" customHeight="1" x14ac:dyDescent="0.2">
      <c r="G60" s="138"/>
      <c r="H60" s="380"/>
      <c r="J60" s="380"/>
      <c r="K60" s="185" t="s">
        <v>281</v>
      </c>
      <c r="L60" s="185" t="s">
        <v>276</v>
      </c>
      <c r="M60" s="186">
        <v>8.7999999999999995E-2</v>
      </c>
      <c r="N60" s="186">
        <v>8.7999999999999995E-2</v>
      </c>
      <c r="O60" s="186">
        <v>8.7999999999999995E-2</v>
      </c>
      <c r="P60" s="186">
        <v>8.7999999999999995E-2</v>
      </c>
      <c r="Q60" s="186">
        <v>8.7999999999999995E-2</v>
      </c>
      <c r="R60" s="186">
        <v>8.7999999999999995E-2</v>
      </c>
      <c r="S60" s="186">
        <v>8.7999999999999995E-2</v>
      </c>
      <c r="T60" s="186">
        <v>8.7999999999999995E-2</v>
      </c>
      <c r="U60" s="186">
        <v>8.7999999999999995E-2</v>
      </c>
      <c r="V60" s="186">
        <v>8.7999999999999995E-2</v>
      </c>
      <c r="W60" s="186">
        <v>8.7999999999999995E-2</v>
      </c>
      <c r="X60" s="186">
        <v>8.7999999999999995E-2</v>
      </c>
      <c r="Y60" s="186">
        <v>8.7999999999999995E-2</v>
      </c>
      <c r="Z60" s="186">
        <v>8.7999999999999995E-2</v>
      </c>
      <c r="AA60" s="186">
        <v>8.7999999999999995E-2</v>
      </c>
      <c r="AB60" s="186">
        <v>8.7999999999999995E-2</v>
      </c>
      <c r="AC60" s="186">
        <v>8.7999999999999995E-2</v>
      </c>
      <c r="AD60" s="186">
        <v>8.7999999999999995E-2</v>
      </c>
      <c r="AE60" s="186">
        <v>8.7999999999999995E-2</v>
      </c>
      <c r="AF60" s="186">
        <v>8.7999999999999995E-2</v>
      </c>
      <c r="AG60" s="186">
        <v>8.7999999999999995E-2</v>
      </c>
      <c r="AH60" s="186">
        <v>8.7999999999999995E-2</v>
      </c>
      <c r="AI60" s="186">
        <v>8.7999999999999995E-2</v>
      </c>
      <c r="AJ60" s="186">
        <v>8.7999999999999995E-2</v>
      </c>
      <c r="AK60" s="186">
        <v>8.7999999999999995E-2</v>
      </c>
      <c r="AL60" s="186">
        <v>8.7999999999999995E-2</v>
      </c>
      <c r="AM60" s="186">
        <v>8.7999999999999995E-2</v>
      </c>
      <c r="AN60" s="186">
        <v>8.7999999999999995E-2</v>
      </c>
      <c r="AO60" s="186">
        <v>8.7999999999999995E-2</v>
      </c>
      <c r="AP60" s="186">
        <v>8.7999999999999995E-2</v>
      </c>
    </row>
    <row r="61" spans="7:42" ht="14.25" customHeight="1" x14ac:dyDescent="0.2">
      <c r="G61" s="138"/>
      <c r="H61" s="380"/>
      <c r="J61" s="380"/>
      <c r="K61" s="185" t="s">
        <v>281</v>
      </c>
      <c r="L61" s="185" t="s">
        <v>277</v>
      </c>
      <c r="M61" s="186">
        <v>8.7999999999999995E-2</v>
      </c>
      <c r="N61" s="186">
        <v>8.7999999999999995E-2</v>
      </c>
      <c r="O61" s="186">
        <v>8.7999999999999995E-2</v>
      </c>
      <c r="P61" s="186">
        <v>8.7999999999999995E-2</v>
      </c>
      <c r="Q61" s="186">
        <v>8.7999999999999995E-2</v>
      </c>
      <c r="R61" s="186">
        <v>8.7999999999999995E-2</v>
      </c>
      <c r="S61" s="186">
        <v>8.7999999999999995E-2</v>
      </c>
      <c r="T61" s="186">
        <v>8.7999999999999995E-2</v>
      </c>
      <c r="U61" s="186">
        <v>8.7999999999999995E-2</v>
      </c>
      <c r="V61" s="186">
        <v>8.7999999999999995E-2</v>
      </c>
      <c r="W61" s="186">
        <v>8.7999999999999995E-2</v>
      </c>
      <c r="X61" s="186">
        <v>8.7999999999999995E-2</v>
      </c>
      <c r="Y61" s="186">
        <v>8.7999999999999995E-2</v>
      </c>
      <c r="Z61" s="186">
        <v>8.7999999999999995E-2</v>
      </c>
      <c r="AA61" s="186">
        <v>8.7999999999999995E-2</v>
      </c>
      <c r="AB61" s="186">
        <v>8.7999999999999995E-2</v>
      </c>
      <c r="AC61" s="186">
        <v>8.7999999999999995E-2</v>
      </c>
      <c r="AD61" s="186">
        <v>8.7999999999999995E-2</v>
      </c>
      <c r="AE61" s="186">
        <v>8.7999999999999995E-2</v>
      </c>
      <c r="AF61" s="186">
        <v>8.7999999999999995E-2</v>
      </c>
      <c r="AG61" s="186">
        <v>8.7999999999999995E-2</v>
      </c>
      <c r="AH61" s="186">
        <v>8.7999999999999995E-2</v>
      </c>
      <c r="AI61" s="186">
        <v>8.7999999999999995E-2</v>
      </c>
      <c r="AJ61" s="186">
        <v>8.7999999999999995E-2</v>
      </c>
      <c r="AK61" s="186">
        <v>8.7999999999999995E-2</v>
      </c>
      <c r="AL61" s="186">
        <v>8.7999999999999995E-2</v>
      </c>
      <c r="AM61" s="186">
        <v>8.7999999999999995E-2</v>
      </c>
      <c r="AN61" s="186">
        <v>8.7999999999999995E-2</v>
      </c>
      <c r="AO61" s="186">
        <v>8.7999999999999995E-2</v>
      </c>
      <c r="AP61" s="186">
        <v>8.7999999999999995E-2</v>
      </c>
    </row>
    <row r="62" spans="7:42" ht="14.25" customHeight="1" x14ac:dyDescent="0.2">
      <c r="G62" s="138"/>
      <c r="H62" s="380"/>
      <c r="J62" s="380"/>
      <c r="K62" s="185" t="s">
        <v>281</v>
      </c>
      <c r="L62" s="185" t="s">
        <v>278</v>
      </c>
      <c r="M62" s="186">
        <v>8.7999999999999995E-2</v>
      </c>
      <c r="N62" s="186">
        <v>8.7999999999999995E-2</v>
      </c>
      <c r="O62" s="186">
        <v>8.7999999999999995E-2</v>
      </c>
      <c r="P62" s="186">
        <v>8.7999999999999995E-2</v>
      </c>
      <c r="Q62" s="186">
        <v>8.7999999999999995E-2</v>
      </c>
      <c r="R62" s="186">
        <v>8.7999999999999995E-2</v>
      </c>
      <c r="S62" s="186">
        <v>8.7999999999999995E-2</v>
      </c>
      <c r="T62" s="186">
        <v>8.7999999999999995E-2</v>
      </c>
      <c r="U62" s="186">
        <v>8.7999999999999995E-2</v>
      </c>
      <c r="V62" s="186">
        <v>8.7999999999999995E-2</v>
      </c>
      <c r="W62" s="186">
        <v>8.7999999999999995E-2</v>
      </c>
      <c r="X62" s="186">
        <v>8.7999999999999995E-2</v>
      </c>
      <c r="Y62" s="186">
        <v>8.7999999999999995E-2</v>
      </c>
      <c r="Z62" s="186">
        <v>8.7999999999999995E-2</v>
      </c>
      <c r="AA62" s="186">
        <v>8.7999999999999995E-2</v>
      </c>
      <c r="AB62" s="186">
        <v>8.7999999999999995E-2</v>
      </c>
      <c r="AC62" s="186">
        <v>8.7999999999999995E-2</v>
      </c>
      <c r="AD62" s="186">
        <v>8.7999999999999995E-2</v>
      </c>
      <c r="AE62" s="186">
        <v>8.7999999999999995E-2</v>
      </c>
      <c r="AF62" s="186">
        <v>8.7999999999999995E-2</v>
      </c>
      <c r="AG62" s="186">
        <v>8.7999999999999995E-2</v>
      </c>
      <c r="AH62" s="186">
        <v>8.7999999999999995E-2</v>
      </c>
      <c r="AI62" s="186">
        <v>8.7999999999999995E-2</v>
      </c>
      <c r="AJ62" s="186">
        <v>8.7999999999999995E-2</v>
      </c>
      <c r="AK62" s="186">
        <v>8.7999999999999995E-2</v>
      </c>
      <c r="AL62" s="186">
        <v>8.7999999999999995E-2</v>
      </c>
      <c r="AM62" s="186">
        <v>8.7999999999999995E-2</v>
      </c>
      <c r="AN62" s="186">
        <v>8.7999999999999995E-2</v>
      </c>
      <c r="AO62" s="186">
        <v>8.7999999999999995E-2</v>
      </c>
      <c r="AP62" s="186">
        <v>8.7999999999999995E-2</v>
      </c>
    </row>
    <row r="63" spans="7:42" ht="14.25" customHeight="1" x14ac:dyDescent="0.25">
      <c r="G63" s="138"/>
      <c r="H63" s="380"/>
      <c r="J63" s="380"/>
      <c r="K63" s="185" t="s">
        <v>282</v>
      </c>
      <c r="L63" s="185" t="s">
        <v>276</v>
      </c>
      <c r="M63" s="187">
        <v>5.8468722638389092E-2</v>
      </c>
      <c r="N63" s="187">
        <v>5.9190031152648093E-2</v>
      </c>
      <c r="O63" s="187">
        <v>6.1152833317077882E-2</v>
      </c>
      <c r="P63" s="187">
        <v>6.1463414634146618E-2</v>
      </c>
      <c r="Q63" s="187">
        <v>6.1463414634146618E-2</v>
      </c>
      <c r="R63" s="187">
        <v>6.1463414634146618E-2</v>
      </c>
      <c r="S63" s="187">
        <v>6.1463414634146618E-2</v>
      </c>
      <c r="T63" s="187">
        <v>6.1463414634146618E-2</v>
      </c>
      <c r="U63" s="187">
        <v>6.1463414634146618E-2</v>
      </c>
      <c r="V63" s="187">
        <v>6.1463414634146618E-2</v>
      </c>
      <c r="W63" s="187">
        <v>6.1463414634146618E-2</v>
      </c>
      <c r="X63" s="187">
        <v>6.1463414634146618E-2</v>
      </c>
      <c r="Y63" s="187">
        <v>6.1463414634146618E-2</v>
      </c>
      <c r="Z63" s="187">
        <v>6.1463414634146618E-2</v>
      </c>
      <c r="AA63" s="187">
        <v>6.1463414634146618E-2</v>
      </c>
      <c r="AB63" s="187">
        <v>6.1463414634146618E-2</v>
      </c>
      <c r="AC63" s="187">
        <v>6.1463414634146618E-2</v>
      </c>
      <c r="AD63" s="187">
        <v>6.1463414634146618E-2</v>
      </c>
      <c r="AE63" s="187">
        <v>6.1463414634146618E-2</v>
      </c>
      <c r="AF63" s="187">
        <v>6.1463414634146618E-2</v>
      </c>
      <c r="AG63" s="187">
        <v>6.1463414634146618E-2</v>
      </c>
      <c r="AH63" s="187">
        <v>6.1463414634146618E-2</v>
      </c>
      <c r="AI63" s="187">
        <v>6.1463414634146618E-2</v>
      </c>
      <c r="AJ63" s="187">
        <v>6.1463414634146618E-2</v>
      </c>
      <c r="AK63" s="187">
        <v>6.1463414634146618E-2</v>
      </c>
      <c r="AL63" s="187">
        <v>6.1463414634146618E-2</v>
      </c>
      <c r="AM63" s="187">
        <v>6.1463414634146618E-2</v>
      </c>
      <c r="AN63" s="187">
        <v>6.1463414634146618E-2</v>
      </c>
      <c r="AO63" s="187">
        <v>6.1463414634146618E-2</v>
      </c>
      <c r="AP63" s="187">
        <v>6.1463414634146618E-2</v>
      </c>
    </row>
    <row r="64" spans="7:42" ht="14.25" customHeight="1" x14ac:dyDescent="0.25">
      <c r="G64" s="138"/>
      <c r="H64" s="380"/>
      <c r="J64" s="380"/>
      <c r="K64" s="185" t="s">
        <v>282</v>
      </c>
      <c r="L64" s="185" t="s">
        <v>277</v>
      </c>
      <c r="M64" s="187">
        <v>5.8468722638389092E-2</v>
      </c>
      <c r="N64" s="187">
        <v>5.9190031152648093E-2</v>
      </c>
      <c r="O64" s="187">
        <v>6.1152833317077882E-2</v>
      </c>
      <c r="P64" s="187">
        <v>6.1463414634146618E-2</v>
      </c>
      <c r="Q64" s="187">
        <v>6.1463414634146618E-2</v>
      </c>
      <c r="R64" s="187">
        <v>6.1463414634146618E-2</v>
      </c>
      <c r="S64" s="187">
        <v>6.1463414634146618E-2</v>
      </c>
      <c r="T64" s="187">
        <v>6.1463414634146618E-2</v>
      </c>
      <c r="U64" s="187">
        <v>6.1463414634146618E-2</v>
      </c>
      <c r="V64" s="187">
        <v>6.1463414634146618E-2</v>
      </c>
      <c r="W64" s="187">
        <v>6.1463414634146618E-2</v>
      </c>
      <c r="X64" s="187">
        <v>6.1463414634146618E-2</v>
      </c>
      <c r="Y64" s="187">
        <v>6.1463414634146618E-2</v>
      </c>
      <c r="Z64" s="187">
        <v>6.1463414634146618E-2</v>
      </c>
      <c r="AA64" s="187">
        <v>6.1463414634146618E-2</v>
      </c>
      <c r="AB64" s="187">
        <v>6.1463414634146618E-2</v>
      </c>
      <c r="AC64" s="187">
        <v>6.1463414634146618E-2</v>
      </c>
      <c r="AD64" s="187">
        <v>6.1463414634146618E-2</v>
      </c>
      <c r="AE64" s="187">
        <v>6.1463414634146618E-2</v>
      </c>
      <c r="AF64" s="187">
        <v>6.1463414634146618E-2</v>
      </c>
      <c r="AG64" s="187">
        <v>6.1463414634146618E-2</v>
      </c>
      <c r="AH64" s="187">
        <v>6.1463414634146618E-2</v>
      </c>
      <c r="AI64" s="187">
        <v>6.1463414634146618E-2</v>
      </c>
      <c r="AJ64" s="187">
        <v>6.1463414634146618E-2</v>
      </c>
      <c r="AK64" s="187">
        <v>6.1463414634146618E-2</v>
      </c>
      <c r="AL64" s="187">
        <v>6.1463414634146618E-2</v>
      </c>
      <c r="AM64" s="187">
        <v>6.1463414634146618E-2</v>
      </c>
      <c r="AN64" s="187">
        <v>6.1463414634146618E-2</v>
      </c>
      <c r="AO64" s="187">
        <v>6.1463414634146618E-2</v>
      </c>
      <c r="AP64" s="187">
        <v>6.1463414634146618E-2</v>
      </c>
    </row>
    <row r="65" spans="7:42" ht="14.25" customHeight="1" x14ac:dyDescent="0.25">
      <c r="G65" s="138"/>
      <c r="H65" s="380"/>
      <c r="J65" s="380"/>
      <c r="K65" s="185" t="s">
        <v>282</v>
      </c>
      <c r="L65" s="185" t="s">
        <v>278</v>
      </c>
      <c r="M65" s="187">
        <v>5.8468722638389092E-2</v>
      </c>
      <c r="N65" s="187">
        <v>5.9190031152648093E-2</v>
      </c>
      <c r="O65" s="187">
        <v>6.1152833317077882E-2</v>
      </c>
      <c r="P65" s="187">
        <v>6.1463414634146618E-2</v>
      </c>
      <c r="Q65" s="187">
        <v>6.1463414634146618E-2</v>
      </c>
      <c r="R65" s="187">
        <v>6.1463414634146618E-2</v>
      </c>
      <c r="S65" s="187">
        <v>6.1463414634146618E-2</v>
      </c>
      <c r="T65" s="187">
        <v>6.1463414634146618E-2</v>
      </c>
      <c r="U65" s="187">
        <v>6.1463414634146618E-2</v>
      </c>
      <c r="V65" s="187">
        <v>6.1463414634146618E-2</v>
      </c>
      <c r="W65" s="187">
        <v>6.1463414634146618E-2</v>
      </c>
      <c r="X65" s="187">
        <v>6.1463414634146618E-2</v>
      </c>
      <c r="Y65" s="187">
        <v>6.1463414634146618E-2</v>
      </c>
      <c r="Z65" s="187">
        <v>6.1463414634146618E-2</v>
      </c>
      <c r="AA65" s="187">
        <v>6.1463414634146618E-2</v>
      </c>
      <c r="AB65" s="187">
        <v>6.1463414634146618E-2</v>
      </c>
      <c r="AC65" s="187">
        <v>6.1463414634146618E-2</v>
      </c>
      <c r="AD65" s="187">
        <v>6.1463414634146618E-2</v>
      </c>
      <c r="AE65" s="187">
        <v>6.1463414634146618E-2</v>
      </c>
      <c r="AF65" s="187">
        <v>6.1463414634146618E-2</v>
      </c>
      <c r="AG65" s="187">
        <v>6.1463414634146618E-2</v>
      </c>
      <c r="AH65" s="187">
        <v>6.1463414634146618E-2</v>
      </c>
      <c r="AI65" s="187">
        <v>6.1463414634146618E-2</v>
      </c>
      <c r="AJ65" s="187">
        <v>6.1463414634146618E-2</v>
      </c>
      <c r="AK65" s="187">
        <v>6.1463414634146618E-2</v>
      </c>
      <c r="AL65" s="187">
        <v>6.1463414634146618E-2</v>
      </c>
      <c r="AM65" s="187">
        <v>6.1463414634146618E-2</v>
      </c>
      <c r="AN65" s="187">
        <v>6.1463414634146618E-2</v>
      </c>
      <c r="AO65" s="187">
        <v>6.1463414634146618E-2</v>
      </c>
      <c r="AP65" s="187">
        <v>6.1463414634146618E-2</v>
      </c>
    </row>
    <row r="66" spans="7:42" ht="14.25" customHeight="1" x14ac:dyDescent="0.2">
      <c r="G66" s="138"/>
      <c r="H66" s="380"/>
      <c r="J66" s="380"/>
      <c r="K66" s="185" t="s">
        <v>283</v>
      </c>
      <c r="L66" s="185" t="s">
        <v>276</v>
      </c>
      <c r="M66" s="186">
        <v>0.51099066404891103</v>
      </c>
      <c r="N66" s="186">
        <v>0.51089196296096395</v>
      </c>
      <c r="O66" s="186">
        <v>0.51294805641519803</v>
      </c>
      <c r="P66" s="186">
        <v>0.505944263836413</v>
      </c>
      <c r="Q66" s="186">
        <v>0.49857179985181399</v>
      </c>
      <c r="R66" s="186">
        <v>0.49078735044028998</v>
      </c>
      <c r="S66" s="186">
        <v>0.48255537981256202</v>
      </c>
      <c r="T66" s="186">
        <v>0.47383614486872999</v>
      </c>
      <c r="U66" s="186">
        <v>0.46458505350628498</v>
      </c>
      <c r="V66" s="186">
        <v>0.45475190179369002</v>
      </c>
      <c r="W66" s="186">
        <v>0.44427996246185703</v>
      </c>
      <c r="X66" s="186">
        <v>0.433104889769868</v>
      </c>
      <c r="Y66" s="186">
        <v>0.42115339608776597</v>
      </c>
      <c r="Z66" s="186">
        <v>0.40834164268081502</v>
      </c>
      <c r="AA66" s="186">
        <v>0.39457327000141401</v>
      </c>
      <c r="AB66" s="186">
        <v>0.38996863772900803</v>
      </c>
      <c r="AC66" s="186">
        <v>0.38525365004204998</v>
      </c>
      <c r="AD66" s="186">
        <v>0.38042429162410701</v>
      </c>
      <c r="AE66" s="186">
        <v>0.375476349969458</v>
      </c>
      <c r="AF66" s="186">
        <v>0.370405403127049</v>
      </c>
      <c r="AG66" s="186">
        <v>0.365206806520538</v>
      </c>
      <c r="AH66" s="186">
        <v>0.35987567875848703</v>
      </c>
      <c r="AI66" s="186">
        <v>0.35440688634740902</v>
      </c>
      <c r="AJ66" s="186">
        <v>0.442202786259903</v>
      </c>
      <c r="AK66" s="186">
        <v>0.53261658349319196</v>
      </c>
      <c r="AL66" s="186">
        <v>0.73800060077160401</v>
      </c>
      <c r="AM66" s="186">
        <v>0.73800402408709598</v>
      </c>
      <c r="AN66" s="186">
        <v>0.73800754206744301</v>
      </c>
      <c r="AO66" s="186">
        <v>0.73801115868760003</v>
      </c>
      <c r="AP66" s="186">
        <v>0.73801487814820799</v>
      </c>
    </row>
    <row r="67" spans="7:42" ht="14.25" customHeight="1" x14ac:dyDescent="0.2">
      <c r="G67" s="138"/>
      <c r="H67" s="380"/>
      <c r="J67" s="380"/>
      <c r="K67" s="185" t="s">
        <v>283</v>
      </c>
      <c r="L67" s="185" t="s">
        <v>277</v>
      </c>
      <c r="M67" s="186">
        <v>0.51099066404891103</v>
      </c>
      <c r="N67" s="186">
        <v>0.51089196296096395</v>
      </c>
      <c r="O67" s="186">
        <v>0.51294805641519803</v>
      </c>
      <c r="P67" s="186">
        <v>0.505944263836413</v>
      </c>
      <c r="Q67" s="186">
        <v>0.49857179985181399</v>
      </c>
      <c r="R67" s="186">
        <v>0.49078735044028998</v>
      </c>
      <c r="S67" s="186">
        <v>0.48255537981256202</v>
      </c>
      <c r="T67" s="186">
        <v>0.47383614486872999</v>
      </c>
      <c r="U67" s="186">
        <v>0.46458505350628498</v>
      </c>
      <c r="V67" s="186">
        <v>0.45475190179369002</v>
      </c>
      <c r="W67" s="186">
        <v>0.44427996246185703</v>
      </c>
      <c r="X67" s="186">
        <v>0.433104889769868</v>
      </c>
      <c r="Y67" s="186">
        <v>0.42115339608776597</v>
      </c>
      <c r="Z67" s="186">
        <v>0.40834164268081502</v>
      </c>
      <c r="AA67" s="186">
        <v>0.39457327000141401</v>
      </c>
      <c r="AB67" s="186">
        <v>0.38996863772900803</v>
      </c>
      <c r="AC67" s="186">
        <v>0.38525365004204998</v>
      </c>
      <c r="AD67" s="186">
        <v>0.38042429162410701</v>
      </c>
      <c r="AE67" s="186">
        <v>0.375476349969458</v>
      </c>
      <c r="AF67" s="186">
        <v>0.370405403127049</v>
      </c>
      <c r="AG67" s="186">
        <v>0.365206806520538</v>
      </c>
      <c r="AH67" s="186">
        <v>0.35987567875848703</v>
      </c>
      <c r="AI67" s="186">
        <v>0.35440688634740902</v>
      </c>
      <c r="AJ67" s="186">
        <v>0.442202786259903</v>
      </c>
      <c r="AK67" s="186">
        <v>0.53261658349319196</v>
      </c>
      <c r="AL67" s="186">
        <v>0.73800060077160401</v>
      </c>
      <c r="AM67" s="186">
        <v>0.73800402408709598</v>
      </c>
      <c r="AN67" s="186">
        <v>0.73800754206744301</v>
      </c>
      <c r="AO67" s="186">
        <v>0.73801115868760003</v>
      </c>
      <c r="AP67" s="186">
        <v>0.73801487814820799</v>
      </c>
    </row>
    <row r="68" spans="7:42" ht="14.25" customHeight="1" x14ac:dyDescent="0.2">
      <c r="G68" s="138"/>
      <c r="H68" s="380"/>
      <c r="J68" s="380"/>
      <c r="K68" s="185" t="s">
        <v>283</v>
      </c>
      <c r="L68" s="185" t="s">
        <v>278</v>
      </c>
      <c r="M68" s="186">
        <v>0.51099066404891103</v>
      </c>
      <c r="N68" s="186">
        <v>0.51089196296096395</v>
      </c>
      <c r="O68" s="186">
        <v>0.51294805641519803</v>
      </c>
      <c r="P68" s="186">
        <v>0.505944263836413</v>
      </c>
      <c r="Q68" s="186">
        <v>0.49857179985181399</v>
      </c>
      <c r="R68" s="186">
        <v>0.49078735044028998</v>
      </c>
      <c r="S68" s="186">
        <v>0.48255537981256202</v>
      </c>
      <c r="T68" s="186">
        <v>0.47383614486872999</v>
      </c>
      <c r="U68" s="186">
        <v>0.46458505350628498</v>
      </c>
      <c r="V68" s="186">
        <v>0.45475190179369002</v>
      </c>
      <c r="W68" s="186">
        <v>0.44427996246185703</v>
      </c>
      <c r="X68" s="186">
        <v>0.433104889769868</v>
      </c>
      <c r="Y68" s="186">
        <v>0.42115339608776597</v>
      </c>
      <c r="Z68" s="186">
        <v>0.40834164268081502</v>
      </c>
      <c r="AA68" s="186">
        <v>0.39457327000141401</v>
      </c>
      <c r="AB68" s="186">
        <v>0.38996863772900803</v>
      </c>
      <c r="AC68" s="186">
        <v>0.38525365004204998</v>
      </c>
      <c r="AD68" s="186">
        <v>0.38042429162410701</v>
      </c>
      <c r="AE68" s="186">
        <v>0.375476349969458</v>
      </c>
      <c r="AF68" s="186">
        <v>0.370405403127049</v>
      </c>
      <c r="AG68" s="186">
        <v>0.365206806520538</v>
      </c>
      <c r="AH68" s="186">
        <v>0.35987567875848703</v>
      </c>
      <c r="AI68" s="186">
        <v>0.35440688634740902</v>
      </c>
      <c r="AJ68" s="186">
        <v>0.442202786259903</v>
      </c>
      <c r="AK68" s="186">
        <v>0.53261658349319196</v>
      </c>
      <c r="AL68" s="186">
        <v>0.73800060077160401</v>
      </c>
      <c r="AM68" s="186">
        <v>0.73800402408709598</v>
      </c>
      <c r="AN68" s="186">
        <v>0.73800754206744301</v>
      </c>
      <c r="AO68" s="186">
        <v>0.73801115868760003</v>
      </c>
      <c r="AP68" s="186">
        <v>0.73801487814820799</v>
      </c>
    </row>
    <row r="69" spans="7:42" ht="14.25" customHeight="1" x14ac:dyDescent="0.2">
      <c r="G69" s="138"/>
      <c r="H69" s="380"/>
      <c r="J69" s="380"/>
      <c r="K69" s="185" t="s">
        <v>284</v>
      </c>
      <c r="L69" s="185" t="s">
        <v>274</v>
      </c>
      <c r="M69" s="186">
        <v>0.25740000000000002</v>
      </c>
      <c r="N69" s="186">
        <v>0.25740000000000002</v>
      </c>
      <c r="O69" s="186">
        <v>0.25740000000000002</v>
      </c>
      <c r="P69" s="186">
        <v>0.25740000000000002</v>
      </c>
      <c r="Q69" s="186">
        <v>0.25740000000000002</v>
      </c>
      <c r="R69" s="186">
        <v>0.25740000000000002</v>
      </c>
      <c r="S69" s="186">
        <v>0.25740000000000002</v>
      </c>
      <c r="T69" s="186">
        <v>0.25740000000000002</v>
      </c>
      <c r="U69" s="186">
        <v>0.25740000000000002</v>
      </c>
      <c r="V69" s="186">
        <v>0.25740000000000002</v>
      </c>
      <c r="W69" s="186">
        <v>0.25740000000000002</v>
      </c>
      <c r="X69" s="186">
        <v>0.25740000000000002</v>
      </c>
      <c r="Y69" s="186">
        <v>0.25740000000000002</v>
      </c>
      <c r="Z69" s="186">
        <v>0.25740000000000002</v>
      </c>
      <c r="AA69" s="186">
        <v>0.25740000000000002</v>
      </c>
      <c r="AB69" s="186">
        <v>0.25740000000000002</v>
      </c>
      <c r="AC69" s="186">
        <v>0.25740000000000002</v>
      </c>
      <c r="AD69" s="186">
        <v>0.25740000000000002</v>
      </c>
      <c r="AE69" s="186">
        <v>0.25740000000000002</v>
      </c>
      <c r="AF69" s="186">
        <v>0.25740000000000002</v>
      </c>
      <c r="AG69" s="186">
        <v>0.25740000000000002</v>
      </c>
      <c r="AH69" s="186">
        <v>0.25740000000000002</v>
      </c>
      <c r="AI69" s="186">
        <v>0.25740000000000002</v>
      </c>
      <c r="AJ69" s="186">
        <v>0.25740000000000002</v>
      </c>
      <c r="AK69" s="186">
        <v>0.25740000000000002</v>
      </c>
      <c r="AL69" s="186">
        <v>0.25740000000000002</v>
      </c>
      <c r="AM69" s="186">
        <v>0.25740000000000002</v>
      </c>
      <c r="AN69" s="186">
        <v>0.25740000000000002</v>
      </c>
      <c r="AO69" s="186">
        <v>0.25740000000000002</v>
      </c>
      <c r="AP69" s="186">
        <v>0.25740000000000002</v>
      </c>
    </row>
    <row r="70" spans="7:42" ht="14.25" customHeight="1" x14ac:dyDescent="0.2">
      <c r="G70" s="138"/>
      <c r="H70" s="380"/>
      <c r="J70" s="380"/>
      <c r="K70" s="185" t="s">
        <v>285</v>
      </c>
      <c r="L70" s="185" t="s">
        <v>276</v>
      </c>
      <c r="M70" s="188">
        <v>6.9595138262286318E-2</v>
      </c>
      <c r="N70" s="188">
        <v>6.9598693278071999E-2</v>
      </c>
      <c r="O70" s="188">
        <v>6.9524636904037401E-2</v>
      </c>
      <c r="P70" s="188">
        <v>6.9776899505140072E-2</v>
      </c>
      <c r="Q70" s="188">
        <v>7.0042440912937376E-2</v>
      </c>
      <c r="R70" s="188">
        <v>7.0322821211841635E-2</v>
      </c>
      <c r="S70" s="188">
        <v>7.0619320329911139E-2</v>
      </c>
      <c r="T70" s="188">
        <v>7.0933369734118082E-2</v>
      </c>
      <c r="U70" s="188">
        <v>7.1266575542810628E-2</v>
      </c>
      <c r="V70" s="188">
        <v>7.1620746001194863E-2</v>
      </c>
      <c r="W70" s="188">
        <v>7.1997924312048836E-2</v>
      </c>
      <c r="X70" s="188">
        <v>7.2400428080268892E-2</v>
      </c>
      <c r="Y70" s="188">
        <v>7.2830896979710846E-2</v>
      </c>
      <c r="Z70" s="188">
        <v>7.32923507139224E-2</v>
      </c>
      <c r="AA70" s="188">
        <v>7.3788259961089078E-2</v>
      </c>
      <c r="AB70" s="188">
        <v>7.3954109606276588E-2</v>
      </c>
      <c r="AC70" s="188">
        <v>7.4123934032785443E-2</v>
      </c>
      <c r="AD70" s="188">
        <v>7.4297877864282921E-2</v>
      </c>
      <c r="AE70" s="188">
        <v>7.4476092826800067E-2</v>
      </c>
      <c r="AF70" s="188">
        <v>7.4658738190169965E-2</v>
      </c>
      <c r="AG70" s="188">
        <v>7.4845981242743248E-2</v>
      </c>
      <c r="AH70" s="188">
        <v>7.5037997802476802E-2</v>
      </c>
      <c r="AI70" s="188">
        <v>7.5234972767539016E-2</v>
      </c>
      <c r="AJ70" s="188">
        <v>7.2072740044490824E-2</v>
      </c>
      <c r="AK70" s="188">
        <v>6.8816215895742217E-2</v>
      </c>
      <c r="AL70" s="188">
        <v>6.1418694361408371E-2</v>
      </c>
      <c r="AM70" s="188">
        <v>6.1418571060430978E-2</v>
      </c>
      <c r="AN70" s="188">
        <v>6.1418444349814839E-2</v>
      </c>
      <c r="AO70" s="188">
        <v>6.1418314086390029E-2</v>
      </c>
      <c r="AP70" s="188">
        <v>6.141818011885785E-2</v>
      </c>
    </row>
    <row r="71" spans="7:42" ht="14.25" customHeight="1" x14ac:dyDescent="0.2">
      <c r="G71" s="138"/>
      <c r="H71" s="380"/>
      <c r="J71" s="380"/>
      <c r="K71" s="185" t="s">
        <v>285</v>
      </c>
      <c r="L71" s="185" t="s">
        <v>277</v>
      </c>
      <c r="M71" s="188">
        <v>6.9595138262286318E-2</v>
      </c>
      <c r="N71" s="188">
        <v>6.9598693278071999E-2</v>
      </c>
      <c r="O71" s="188">
        <v>6.9524636904037401E-2</v>
      </c>
      <c r="P71" s="188">
        <v>6.9776899505140072E-2</v>
      </c>
      <c r="Q71" s="188">
        <v>7.0042440912937376E-2</v>
      </c>
      <c r="R71" s="188">
        <v>7.0322821211841635E-2</v>
      </c>
      <c r="S71" s="188">
        <v>7.0619320329911139E-2</v>
      </c>
      <c r="T71" s="188">
        <v>7.0933369734118082E-2</v>
      </c>
      <c r="U71" s="188">
        <v>7.1266575542810628E-2</v>
      </c>
      <c r="V71" s="188">
        <v>7.1620746001194863E-2</v>
      </c>
      <c r="W71" s="188">
        <v>7.1997924312048836E-2</v>
      </c>
      <c r="X71" s="188">
        <v>7.2400428080268892E-2</v>
      </c>
      <c r="Y71" s="188">
        <v>7.2830896979710846E-2</v>
      </c>
      <c r="Z71" s="188">
        <v>7.32923507139224E-2</v>
      </c>
      <c r="AA71" s="188">
        <v>7.3788259961089078E-2</v>
      </c>
      <c r="AB71" s="188">
        <v>7.3954109606276588E-2</v>
      </c>
      <c r="AC71" s="188">
        <v>7.4123934032785443E-2</v>
      </c>
      <c r="AD71" s="188">
        <v>7.4297877864282921E-2</v>
      </c>
      <c r="AE71" s="188">
        <v>7.4476092826800067E-2</v>
      </c>
      <c r="AF71" s="188">
        <v>7.4658738190169965E-2</v>
      </c>
      <c r="AG71" s="188">
        <v>7.4845981242743248E-2</v>
      </c>
      <c r="AH71" s="188">
        <v>7.5037997802476802E-2</v>
      </c>
      <c r="AI71" s="188">
        <v>7.5234972767539016E-2</v>
      </c>
      <c r="AJ71" s="188">
        <v>7.2072740044490824E-2</v>
      </c>
      <c r="AK71" s="188">
        <v>6.8816215895742217E-2</v>
      </c>
      <c r="AL71" s="188">
        <v>6.1418694361408371E-2</v>
      </c>
      <c r="AM71" s="188">
        <v>6.1418571060430978E-2</v>
      </c>
      <c r="AN71" s="188">
        <v>6.1418444349814839E-2</v>
      </c>
      <c r="AO71" s="188">
        <v>6.1418314086390029E-2</v>
      </c>
      <c r="AP71" s="188">
        <v>6.141818011885785E-2</v>
      </c>
    </row>
    <row r="72" spans="7:42" ht="14.25" customHeight="1" x14ac:dyDescent="0.2">
      <c r="G72" s="138"/>
      <c r="H72" s="380"/>
      <c r="J72" s="380"/>
      <c r="K72" s="185" t="s">
        <v>285</v>
      </c>
      <c r="L72" s="185" t="s">
        <v>278</v>
      </c>
      <c r="M72" s="188">
        <v>6.9595138262286318E-2</v>
      </c>
      <c r="N72" s="188">
        <v>6.9598693278071999E-2</v>
      </c>
      <c r="O72" s="188">
        <v>6.9524636904037401E-2</v>
      </c>
      <c r="P72" s="188">
        <v>6.9776899505140072E-2</v>
      </c>
      <c r="Q72" s="188">
        <v>7.0042440912937376E-2</v>
      </c>
      <c r="R72" s="188">
        <v>7.0322821211841635E-2</v>
      </c>
      <c r="S72" s="188">
        <v>7.0619320329911139E-2</v>
      </c>
      <c r="T72" s="188">
        <v>7.0933369734118082E-2</v>
      </c>
      <c r="U72" s="188">
        <v>7.1266575542810628E-2</v>
      </c>
      <c r="V72" s="188">
        <v>7.1620746001194863E-2</v>
      </c>
      <c r="W72" s="188">
        <v>7.1997924312048836E-2</v>
      </c>
      <c r="X72" s="188">
        <v>7.2400428080268892E-2</v>
      </c>
      <c r="Y72" s="188">
        <v>7.2830896979710846E-2</v>
      </c>
      <c r="Z72" s="188">
        <v>7.32923507139224E-2</v>
      </c>
      <c r="AA72" s="188">
        <v>7.3788259961089078E-2</v>
      </c>
      <c r="AB72" s="188">
        <v>7.3954109606276588E-2</v>
      </c>
      <c r="AC72" s="188">
        <v>7.4123934032785443E-2</v>
      </c>
      <c r="AD72" s="188">
        <v>7.4297877864282921E-2</v>
      </c>
      <c r="AE72" s="188">
        <v>7.4476092826800067E-2</v>
      </c>
      <c r="AF72" s="188">
        <v>7.4658738190169965E-2</v>
      </c>
      <c r="AG72" s="188">
        <v>7.4845981242743248E-2</v>
      </c>
      <c r="AH72" s="188">
        <v>7.5037997802476802E-2</v>
      </c>
      <c r="AI72" s="188">
        <v>7.5234972767539016E-2</v>
      </c>
      <c r="AJ72" s="188">
        <v>7.2072740044490824E-2</v>
      </c>
      <c r="AK72" s="188">
        <v>6.8816215895742217E-2</v>
      </c>
      <c r="AL72" s="188">
        <v>6.1418694361408371E-2</v>
      </c>
      <c r="AM72" s="188">
        <v>6.1418571060430978E-2</v>
      </c>
      <c r="AN72" s="188">
        <v>6.1418444349814839E-2</v>
      </c>
      <c r="AO72" s="188">
        <v>6.1418314086390029E-2</v>
      </c>
      <c r="AP72" s="188">
        <v>6.141818011885785E-2</v>
      </c>
    </row>
    <row r="73" spans="7:42" ht="14.25" customHeight="1" x14ac:dyDescent="0.25">
      <c r="G73" s="138"/>
      <c r="H73" s="380"/>
      <c r="J73" s="380"/>
      <c r="K73" s="185" t="s">
        <v>286</v>
      </c>
      <c r="L73" s="185" t="s">
        <v>276</v>
      </c>
      <c r="M73" s="187">
        <v>4.0563418875655621E-2</v>
      </c>
      <c r="N73" s="187">
        <v>4.1275986446721147E-2</v>
      </c>
      <c r="O73" s="187">
        <v>4.3133362824575583E-2</v>
      </c>
      <c r="P73" s="187">
        <v>4.3684780005014627E-2</v>
      </c>
      <c r="Q73" s="187">
        <v>4.3943844793109747E-2</v>
      </c>
      <c r="R73" s="187">
        <v>4.4217386548138338E-2</v>
      </c>
      <c r="S73" s="187">
        <v>4.4506653980401323E-2</v>
      </c>
      <c r="T73" s="187">
        <v>4.4813043643042061E-2</v>
      </c>
      <c r="U73" s="187">
        <v>4.5138122480790972E-2</v>
      </c>
      <c r="V73" s="187">
        <v>4.5483654635312121E-2</v>
      </c>
      <c r="W73" s="187">
        <v>4.5851633475169518E-2</v>
      </c>
      <c r="X73" s="187">
        <v>4.6244320078311141E-2</v>
      </c>
      <c r="Y73" s="187">
        <v>4.6664289736303433E-2</v>
      </c>
      <c r="Z73" s="187">
        <v>4.7114488501387893E-2</v>
      </c>
      <c r="AA73" s="187">
        <v>4.7598302401062657E-2</v>
      </c>
      <c r="AB73" s="187">
        <v>4.7760106932952739E-2</v>
      </c>
      <c r="AC73" s="187">
        <v>4.7925789300278687E-2</v>
      </c>
      <c r="AD73" s="187">
        <v>4.8095490599300517E-2</v>
      </c>
      <c r="AE73" s="187">
        <v>4.8269358855414828E-2</v>
      </c>
      <c r="AF73" s="187">
        <v>4.8447549453824568E-2</v>
      </c>
      <c r="AG73" s="187">
        <v>4.8630225602676491E-2</v>
      </c>
      <c r="AH73" s="187">
        <v>4.8817558831684822E-2</v>
      </c>
      <c r="AI73" s="187">
        <v>4.9009729529306378E-2</v>
      </c>
      <c r="AJ73" s="187">
        <v>4.5924624433649752E-2</v>
      </c>
      <c r="AK73" s="187">
        <v>4.2747527703163257E-2</v>
      </c>
      <c r="AL73" s="187">
        <v>3.55304335233253E-2</v>
      </c>
      <c r="AM73" s="187">
        <v>3.5530313229688693E-2</v>
      </c>
      <c r="AN73" s="187">
        <v>3.5530189609575658E-2</v>
      </c>
      <c r="AO73" s="187">
        <v>3.5530062523307482E-2</v>
      </c>
      <c r="AP73" s="187">
        <v>3.5529931823276018E-2</v>
      </c>
    </row>
    <row r="74" spans="7:42" ht="14.25" customHeight="1" x14ac:dyDescent="0.25">
      <c r="G74" s="138"/>
      <c r="H74" s="380"/>
      <c r="J74" s="380"/>
      <c r="K74" s="185" t="s">
        <v>286</v>
      </c>
      <c r="L74" s="185" t="s">
        <v>277</v>
      </c>
      <c r="M74" s="187">
        <v>4.0563418875655621E-2</v>
      </c>
      <c r="N74" s="187">
        <v>4.1275986446721147E-2</v>
      </c>
      <c r="O74" s="187">
        <v>4.3133362824575583E-2</v>
      </c>
      <c r="P74" s="187">
        <v>4.3684780005014627E-2</v>
      </c>
      <c r="Q74" s="187">
        <v>4.3943844793109747E-2</v>
      </c>
      <c r="R74" s="187">
        <v>4.4217386548138338E-2</v>
      </c>
      <c r="S74" s="187">
        <v>4.4506653980401323E-2</v>
      </c>
      <c r="T74" s="187">
        <v>4.4813043643042061E-2</v>
      </c>
      <c r="U74" s="187">
        <v>4.5138122480790972E-2</v>
      </c>
      <c r="V74" s="187">
        <v>4.5483654635312121E-2</v>
      </c>
      <c r="W74" s="187">
        <v>4.5851633475169518E-2</v>
      </c>
      <c r="X74" s="187">
        <v>4.6244320078311141E-2</v>
      </c>
      <c r="Y74" s="187">
        <v>4.6664289736303433E-2</v>
      </c>
      <c r="Z74" s="187">
        <v>4.7114488501387893E-2</v>
      </c>
      <c r="AA74" s="187">
        <v>4.7598302401062657E-2</v>
      </c>
      <c r="AB74" s="187">
        <v>4.7760106932952739E-2</v>
      </c>
      <c r="AC74" s="187">
        <v>4.7925789300278687E-2</v>
      </c>
      <c r="AD74" s="187">
        <v>4.8095490599300517E-2</v>
      </c>
      <c r="AE74" s="187">
        <v>4.8269358855414828E-2</v>
      </c>
      <c r="AF74" s="187">
        <v>4.8447549453824568E-2</v>
      </c>
      <c r="AG74" s="187">
        <v>4.8630225602676491E-2</v>
      </c>
      <c r="AH74" s="187">
        <v>4.8817558831684822E-2</v>
      </c>
      <c r="AI74" s="187">
        <v>4.9009729529306378E-2</v>
      </c>
      <c r="AJ74" s="187">
        <v>4.5924624433649752E-2</v>
      </c>
      <c r="AK74" s="187">
        <v>4.2747527703163257E-2</v>
      </c>
      <c r="AL74" s="187">
        <v>3.55304335233253E-2</v>
      </c>
      <c r="AM74" s="187">
        <v>3.5530313229688693E-2</v>
      </c>
      <c r="AN74" s="187">
        <v>3.5530189609575658E-2</v>
      </c>
      <c r="AO74" s="187">
        <v>3.5530062523307482E-2</v>
      </c>
      <c r="AP74" s="187">
        <v>3.5529931823276018E-2</v>
      </c>
    </row>
    <row r="75" spans="7:42" ht="14.25" customHeight="1" x14ac:dyDescent="0.25">
      <c r="G75" s="138"/>
      <c r="H75" s="380"/>
      <c r="J75" s="380"/>
      <c r="K75" s="185" t="s">
        <v>286</v>
      </c>
      <c r="L75" s="185" t="s">
        <v>278</v>
      </c>
      <c r="M75" s="187">
        <v>4.0563418875655621E-2</v>
      </c>
      <c r="N75" s="187">
        <v>4.1275986446721147E-2</v>
      </c>
      <c r="O75" s="187">
        <v>4.3133362824575583E-2</v>
      </c>
      <c r="P75" s="187">
        <v>4.3684780005014627E-2</v>
      </c>
      <c r="Q75" s="187">
        <v>4.3943844793109747E-2</v>
      </c>
      <c r="R75" s="187">
        <v>4.4217386548138338E-2</v>
      </c>
      <c r="S75" s="187">
        <v>4.4506653980401323E-2</v>
      </c>
      <c r="T75" s="187">
        <v>4.4813043643042061E-2</v>
      </c>
      <c r="U75" s="187">
        <v>4.5138122480790972E-2</v>
      </c>
      <c r="V75" s="187">
        <v>4.5483654635312121E-2</v>
      </c>
      <c r="W75" s="187">
        <v>4.5851633475169518E-2</v>
      </c>
      <c r="X75" s="187">
        <v>4.6244320078311141E-2</v>
      </c>
      <c r="Y75" s="187">
        <v>4.6664289736303433E-2</v>
      </c>
      <c r="Z75" s="187">
        <v>4.7114488501387893E-2</v>
      </c>
      <c r="AA75" s="187">
        <v>4.7598302401062657E-2</v>
      </c>
      <c r="AB75" s="187">
        <v>4.7760106932952739E-2</v>
      </c>
      <c r="AC75" s="187">
        <v>4.7925789300278687E-2</v>
      </c>
      <c r="AD75" s="187">
        <v>4.8095490599300517E-2</v>
      </c>
      <c r="AE75" s="187">
        <v>4.8269358855414828E-2</v>
      </c>
      <c r="AF75" s="187">
        <v>4.8447549453824568E-2</v>
      </c>
      <c r="AG75" s="187">
        <v>4.8630225602676491E-2</v>
      </c>
      <c r="AH75" s="187">
        <v>4.8817558831684822E-2</v>
      </c>
      <c r="AI75" s="187">
        <v>4.9009729529306378E-2</v>
      </c>
      <c r="AJ75" s="187">
        <v>4.5924624433649752E-2</v>
      </c>
      <c r="AK75" s="187">
        <v>4.2747527703163257E-2</v>
      </c>
      <c r="AL75" s="187">
        <v>3.55304335233253E-2</v>
      </c>
      <c r="AM75" s="187">
        <v>3.5530313229688693E-2</v>
      </c>
      <c r="AN75" s="187">
        <v>3.5530189609575658E-2</v>
      </c>
      <c r="AO75" s="187">
        <v>3.5530062523307482E-2</v>
      </c>
      <c r="AP75" s="187">
        <v>3.5529931823276018E-2</v>
      </c>
    </row>
    <row r="76" spans="7:42" ht="14.25" customHeight="1" x14ac:dyDescent="0.2">
      <c r="G76" s="138"/>
      <c r="H76" s="380"/>
      <c r="J76" s="380"/>
      <c r="K76" s="189" t="s">
        <v>287</v>
      </c>
      <c r="L76" s="185" t="s">
        <v>276</v>
      </c>
      <c r="M76" s="188">
        <v>9.409610665053536E-2</v>
      </c>
      <c r="N76" s="188">
        <v>9.4098711170781918E-2</v>
      </c>
      <c r="O76" s="188">
        <v>9.4044461630098913E-2</v>
      </c>
      <c r="P76" s="188">
        <v>9.4229311582079256E-2</v>
      </c>
      <c r="Q76" s="188">
        <v>9.4424064582302528E-2</v>
      </c>
      <c r="R76" s="188">
        <v>9.4629892703719298E-2</v>
      </c>
      <c r="S76" s="188">
        <v>9.484776788019586E-2</v>
      </c>
      <c r="T76" s="188">
        <v>9.5078779101487695E-2</v>
      </c>
      <c r="U76" s="188">
        <v>9.532415057010063E-2</v>
      </c>
      <c r="V76" s="188">
        <v>9.5585263343251986E-2</v>
      </c>
      <c r="W76" s="188">
        <v>9.5863681265616341E-2</v>
      </c>
      <c r="X76" s="188">
        <v>9.6161182218393454E-2</v>
      </c>
      <c r="Y76" s="188">
        <v>9.6479796000075224E-2</v>
      </c>
      <c r="Z76" s="188">
        <v>9.6821850539510826E-2</v>
      </c>
      <c r="AA76" s="188">
        <v>9.7190028658691793E-2</v>
      </c>
      <c r="AB76" s="188">
        <v>9.7313294995375388E-2</v>
      </c>
      <c r="AC76" s="188">
        <v>9.7439585294444131E-2</v>
      </c>
      <c r="AD76" s="188">
        <v>9.7569012071063721E-2</v>
      </c>
      <c r="AE76" s="188">
        <v>9.7701693485486796E-2</v>
      </c>
      <c r="AF76" s="188">
        <v>9.7837753701174493E-2</v>
      </c>
      <c r="AG76" s="188">
        <v>9.7977323270452443E-2</v>
      </c>
      <c r="AH76" s="188">
        <v>9.8120539550299854E-2</v>
      </c>
      <c r="AI76" s="188">
        <v>9.8267547150939188E-2</v>
      </c>
      <c r="AJ76" s="188">
        <v>9.5918949166455533E-2</v>
      </c>
      <c r="AK76" s="188">
        <v>9.3526210725345338E-2</v>
      </c>
      <c r="AL76" s="188">
        <v>8.8191340285679209E-2</v>
      </c>
      <c r="AM76" s="188">
        <v>8.8191252552769009E-2</v>
      </c>
      <c r="AN76" s="188">
        <v>8.819116239382456E-2</v>
      </c>
      <c r="AO76" s="188">
        <v>8.8191069706979472E-2</v>
      </c>
      <c r="AP76" s="188">
        <v>8.8190974384582982E-2</v>
      </c>
    </row>
    <row r="77" spans="7:42" ht="14.25" customHeight="1" x14ac:dyDescent="0.2">
      <c r="G77" s="138"/>
      <c r="H77" s="380"/>
      <c r="J77" s="380"/>
      <c r="K77" s="189" t="s">
        <v>287</v>
      </c>
      <c r="L77" s="185" t="s">
        <v>277</v>
      </c>
      <c r="M77" s="188">
        <v>9.409610665053536E-2</v>
      </c>
      <c r="N77" s="188">
        <v>9.4098711170781918E-2</v>
      </c>
      <c r="O77" s="188">
        <v>9.4044461630098913E-2</v>
      </c>
      <c r="P77" s="188">
        <v>9.4229311582079256E-2</v>
      </c>
      <c r="Q77" s="188">
        <v>9.4424064582302528E-2</v>
      </c>
      <c r="R77" s="188">
        <v>9.4629892703719298E-2</v>
      </c>
      <c r="S77" s="188">
        <v>9.484776788019586E-2</v>
      </c>
      <c r="T77" s="188">
        <v>9.5078779101487695E-2</v>
      </c>
      <c r="U77" s="188">
        <v>9.532415057010063E-2</v>
      </c>
      <c r="V77" s="188">
        <v>9.5585263343251986E-2</v>
      </c>
      <c r="W77" s="188">
        <v>9.5863681265616341E-2</v>
      </c>
      <c r="X77" s="188">
        <v>9.6161182218393454E-2</v>
      </c>
      <c r="Y77" s="188">
        <v>9.6479796000075224E-2</v>
      </c>
      <c r="Z77" s="188">
        <v>9.6821850539510826E-2</v>
      </c>
      <c r="AA77" s="188">
        <v>9.7190028658691793E-2</v>
      </c>
      <c r="AB77" s="188">
        <v>9.7313294995375388E-2</v>
      </c>
      <c r="AC77" s="188">
        <v>9.7439585294444131E-2</v>
      </c>
      <c r="AD77" s="188">
        <v>9.7569012071063721E-2</v>
      </c>
      <c r="AE77" s="188">
        <v>9.7701693485486796E-2</v>
      </c>
      <c r="AF77" s="188">
        <v>9.7837753701174493E-2</v>
      </c>
      <c r="AG77" s="188">
        <v>9.7977323270452443E-2</v>
      </c>
      <c r="AH77" s="188">
        <v>9.8120539550299854E-2</v>
      </c>
      <c r="AI77" s="188">
        <v>9.8267547150939188E-2</v>
      </c>
      <c r="AJ77" s="188">
        <v>9.5918949166455533E-2</v>
      </c>
      <c r="AK77" s="188">
        <v>9.3526210725345338E-2</v>
      </c>
      <c r="AL77" s="188">
        <v>8.8191340285679209E-2</v>
      </c>
      <c r="AM77" s="188">
        <v>8.8191252552769009E-2</v>
      </c>
      <c r="AN77" s="188">
        <v>8.819116239382456E-2</v>
      </c>
      <c r="AO77" s="188">
        <v>8.8191069706979472E-2</v>
      </c>
      <c r="AP77" s="188">
        <v>8.8190974384582982E-2</v>
      </c>
    </row>
    <row r="78" spans="7:42" ht="14.25" customHeight="1" x14ac:dyDescent="0.2">
      <c r="G78" s="138"/>
      <c r="H78" s="380"/>
      <c r="J78" s="380"/>
      <c r="K78" s="189" t="s">
        <v>287</v>
      </c>
      <c r="L78" s="185" t="s">
        <v>278</v>
      </c>
      <c r="M78" s="188">
        <v>9.409610665053536E-2</v>
      </c>
      <c r="N78" s="188">
        <v>9.4098711170781918E-2</v>
      </c>
      <c r="O78" s="188">
        <v>9.4044461630098913E-2</v>
      </c>
      <c r="P78" s="188">
        <v>9.4229311582079256E-2</v>
      </c>
      <c r="Q78" s="188">
        <v>9.4424064582302528E-2</v>
      </c>
      <c r="R78" s="188">
        <v>9.4629892703719298E-2</v>
      </c>
      <c r="S78" s="188">
        <v>9.484776788019586E-2</v>
      </c>
      <c r="T78" s="188">
        <v>9.5078779101487695E-2</v>
      </c>
      <c r="U78" s="188">
        <v>9.532415057010063E-2</v>
      </c>
      <c r="V78" s="188">
        <v>9.5585263343251986E-2</v>
      </c>
      <c r="W78" s="188">
        <v>9.5863681265616341E-2</v>
      </c>
      <c r="X78" s="188">
        <v>9.6161182218393454E-2</v>
      </c>
      <c r="Y78" s="188">
        <v>9.6479796000075224E-2</v>
      </c>
      <c r="Z78" s="188">
        <v>9.6821850539510826E-2</v>
      </c>
      <c r="AA78" s="188">
        <v>9.7190028658691793E-2</v>
      </c>
      <c r="AB78" s="188">
        <v>9.7313294995375388E-2</v>
      </c>
      <c r="AC78" s="188">
        <v>9.7439585294444131E-2</v>
      </c>
      <c r="AD78" s="188">
        <v>9.7569012071063721E-2</v>
      </c>
      <c r="AE78" s="188">
        <v>9.7701693485486796E-2</v>
      </c>
      <c r="AF78" s="188">
        <v>9.7837753701174493E-2</v>
      </c>
      <c r="AG78" s="188">
        <v>9.7977323270452443E-2</v>
      </c>
      <c r="AH78" s="188">
        <v>9.8120539550299854E-2</v>
      </c>
      <c r="AI78" s="188">
        <v>9.8267547150939188E-2</v>
      </c>
      <c r="AJ78" s="188">
        <v>9.5918949166455533E-2</v>
      </c>
      <c r="AK78" s="188">
        <v>9.3526210725345338E-2</v>
      </c>
      <c r="AL78" s="188">
        <v>8.8191340285679209E-2</v>
      </c>
      <c r="AM78" s="188">
        <v>8.8191252552769009E-2</v>
      </c>
      <c r="AN78" s="188">
        <v>8.819116239382456E-2</v>
      </c>
      <c r="AO78" s="188">
        <v>8.8191069706979472E-2</v>
      </c>
      <c r="AP78" s="188">
        <v>8.8190974384582982E-2</v>
      </c>
    </row>
    <row r="79" spans="7:42" ht="14.25" customHeight="1" x14ac:dyDescent="0.2">
      <c r="G79" s="138"/>
      <c r="H79" s="380"/>
      <c r="J79" s="380"/>
      <c r="K79" s="189" t="s">
        <v>288</v>
      </c>
      <c r="L79" s="185" t="s">
        <v>276</v>
      </c>
      <c r="M79" s="188">
        <v>7.394931983502781E-2</v>
      </c>
      <c r="N79" s="188">
        <v>7.4415529690282839E-2</v>
      </c>
      <c r="O79" s="188">
        <v>7.5637737297972171E-2</v>
      </c>
      <c r="P79" s="188">
        <v>7.6002520683951094E-2</v>
      </c>
      <c r="Q79" s="188">
        <v>7.617420647449466E-2</v>
      </c>
      <c r="R79" s="188">
        <v>7.6355697348991641E-2</v>
      </c>
      <c r="S79" s="188">
        <v>7.6547857455251139E-2</v>
      </c>
      <c r="T79" s="188">
        <v>7.6751655459189327E-2</v>
      </c>
      <c r="U79" s="188">
        <v>7.6968180825957716E-2</v>
      </c>
      <c r="V79" s="188">
        <v>7.7198663239443452E-2</v>
      </c>
      <c r="W79" s="188">
        <v>7.7444495888760193E-2</v>
      </c>
      <c r="X79" s="188">
        <v>7.7707263550021236E-2</v>
      </c>
      <c r="Y79" s="188">
        <v>7.7988776655187567E-2</v>
      </c>
      <c r="Z79" s="188">
        <v>7.8291112890386663E-2</v>
      </c>
      <c r="AA79" s="188">
        <v>7.8616668337013335E-2</v>
      </c>
      <c r="AB79" s="188">
        <v>7.8725694369040727E-2</v>
      </c>
      <c r="AC79" s="188">
        <v>7.8837410491520127E-2</v>
      </c>
      <c r="AD79" s="188">
        <v>7.8951917359317988E-2</v>
      </c>
      <c r="AE79" s="188">
        <v>7.9069320704915749E-2</v>
      </c>
      <c r="AF79" s="188">
        <v>7.918973166224072E-2</v>
      </c>
      <c r="AG79" s="188">
        <v>7.9313267115526331E-2</v>
      </c>
      <c r="AH79" s="188">
        <v>7.9440050075570534E-2</v>
      </c>
      <c r="AI79" s="188">
        <v>7.957021008583498E-2</v>
      </c>
      <c r="AJ79" s="188">
        <v>7.7493304586356365E-2</v>
      </c>
      <c r="AK79" s="188">
        <v>7.538301831649237E-2</v>
      </c>
      <c r="AL79" s="188">
        <v>7.0699203697860258E-2</v>
      </c>
      <c r="AM79" s="188">
        <v>7.0699126920263589E-2</v>
      </c>
      <c r="AN79" s="188">
        <v>7.0699048019583544E-2</v>
      </c>
      <c r="AO79" s="188">
        <v>7.0698966906674016E-2</v>
      </c>
      <c r="AP79" s="188">
        <v>7.0698883487327696E-2</v>
      </c>
    </row>
    <row r="80" spans="7:42" ht="14.25" customHeight="1" x14ac:dyDescent="0.2">
      <c r="G80" s="138"/>
      <c r="H80" s="380"/>
      <c r="J80" s="144"/>
      <c r="K80" s="189" t="s">
        <v>288</v>
      </c>
      <c r="L80" s="185" t="s">
        <v>277</v>
      </c>
      <c r="M80" s="188">
        <v>7.394931983502781E-2</v>
      </c>
      <c r="N80" s="188">
        <v>7.4415529690282839E-2</v>
      </c>
      <c r="O80" s="188">
        <v>7.5637737297972171E-2</v>
      </c>
      <c r="P80" s="188">
        <v>7.6002520683951094E-2</v>
      </c>
      <c r="Q80" s="188">
        <v>7.617420647449466E-2</v>
      </c>
      <c r="R80" s="188">
        <v>7.6355697348991641E-2</v>
      </c>
      <c r="S80" s="188">
        <v>7.6547857455251139E-2</v>
      </c>
      <c r="T80" s="188">
        <v>7.6751655459189327E-2</v>
      </c>
      <c r="U80" s="188">
        <v>7.6968180825957716E-2</v>
      </c>
      <c r="V80" s="188">
        <v>7.7198663239443452E-2</v>
      </c>
      <c r="W80" s="188">
        <v>7.7444495888760193E-2</v>
      </c>
      <c r="X80" s="188">
        <v>7.7707263550021236E-2</v>
      </c>
      <c r="Y80" s="188">
        <v>7.7988776655187567E-2</v>
      </c>
      <c r="Z80" s="188">
        <v>7.8291112890386663E-2</v>
      </c>
      <c r="AA80" s="188">
        <v>7.8616668337013335E-2</v>
      </c>
      <c r="AB80" s="188">
        <v>7.8725694369040727E-2</v>
      </c>
      <c r="AC80" s="188">
        <v>7.8837410491520127E-2</v>
      </c>
      <c r="AD80" s="188">
        <v>7.8951917359317988E-2</v>
      </c>
      <c r="AE80" s="188">
        <v>7.9069320704915749E-2</v>
      </c>
      <c r="AF80" s="188">
        <v>7.918973166224072E-2</v>
      </c>
      <c r="AG80" s="188">
        <v>7.9313267115526331E-2</v>
      </c>
      <c r="AH80" s="188">
        <v>7.9440050075570534E-2</v>
      </c>
      <c r="AI80" s="188">
        <v>7.957021008583498E-2</v>
      </c>
      <c r="AJ80" s="188">
        <v>7.7493304586356365E-2</v>
      </c>
      <c r="AK80" s="188">
        <v>7.538301831649237E-2</v>
      </c>
      <c r="AL80" s="188">
        <v>7.0699203697860258E-2</v>
      </c>
      <c r="AM80" s="188">
        <v>7.0699126920263589E-2</v>
      </c>
      <c r="AN80" s="188">
        <v>7.0699048019583544E-2</v>
      </c>
      <c r="AO80" s="188">
        <v>7.0698966906674016E-2</v>
      </c>
      <c r="AP80" s="188">
        <v>7.0698883487327696E-2</v>
      </c>
    </row>
    <row r="81" spans="4:44" ht="14.25" customHeight="1" x14ac:dyDescent="0.2">
      <c r="G81" s="138"/>
      <c r="H81" s="380"/>
      <c r="J81" s="144"/>
      <c r="K81" s="189" t="s">
        <v>288</v>
      </c>
      <c r="L81" s="185" t="s">
        <v>278</v>
      </c>
      <c r="M81" s="188">
        <v>7.394931983502781E-2</v>
      </c>
      <c r="N81" s="188">
        <v>7.4415529690282839E-2</v>
      </c>
      <c r="O81" s="188">
        <v>7.5637737297972171E-2</v>
      </c>
      <c r="P81" s="188">
        <v>7.6002520683951094E-2</v>
      </c>
      <c r="Q81" s="188">
        <v>7.617420647449466E-2</v>
      </c>
      <c r="R81" s="188">
        <v>7.6355697348991641E-2</v>
      </c>
      <c r="S81" s="188">
        <v>7.6547857455251139E-2</v>
      </c>
      <c r="T81" s="188">
        <v>7.6751655459189327E-2</v>
      </c>
      <c r="U81" s="188">
        <v>7.6968180825957716E-2</v>
      </c>
      <c r="V81" s="188">
        <v>7.7198663239443452E-2</v>
      </c>
      <c r="W81" s="188">
        <v>7.7444495888760193E-2</v>
      </c>
      <c r="X81" s="188">
        <v>7.7707263550021236E-2</v>
      </c>
      <c r="Y81" s="188">
        <v>7.7988776655187567E-2</v>
      </c>
      <c r="Z81" s="188">
        <v>7.8291112890386663E-2</v>
      </c>
      <c r="AA81" s="188">
        <v>7.8616668337013335E-2</v>
      </c>
      <c r="AB81" s="188">
        <v>7.8725694369040727E-2</v>
      </c>
      <c r="AC81" s="188">
        <v>7.8837410491520127E-2</v>
      </c>
      <c r="AD81" s="188">
        <v>7.8951917359317988E-2</v>
      </c>
      <c r="AE81" s="188">
        <v>7.9069320704915749E-2</v>
      </c>
      <c r="AF81" s="188">
        <v>7.918973166224072E-2</v>
      </c>
      <c r="AG81" s="188">
        <v>7.9313267115526331E-2</v>
      </c>
      <c r="AH81" s="188">
        <v>7.9440050075570534E-2</v>
      </c>
      <c r="AI81" s="188">
        <v>7.957021008583498E-2</v>
      </c>
      <c r="AJ81" s="188">
        <v>7.7493304586356365E-2</v>
      </c>
      <c r="AK81" s="188">
        <v>7.538301831649237E-2</v>
      </c>
      <c r="AL81" s="188">
        <v>7.0699203697860258E-2</v>
      </c>
      <c r="AM81" s="188">
        <v>7.0699126920263589E-2</v>
      </c>
      <c r="AN81" s="188">
        <v>7.0699048019583544E-2</v>
      </c>
      <c r="AO81" s="188">
        <v>7.0698966906674016E-2</v>
      </c>
      <c r="AP81" s="188">
        <v>7.0698883487327696E-2</v>
      </c>
    </row>
    <row r="83" spans="4:44" ht="14.25" customHeight="1" x14ac:dyDescent="0.2">
      <c r="G83" s="191"/>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row>
    <row r="84" spans="4:44" ht="14.25" customHeight="1" x14ac:dyDescent="0.2">
      <c r="D84" s="136" t="s">
        <v>217</v>
      </c>
      <c r="G84" s="408" t="s">
        <v>289</v>
      </c>
      <c r="H84" s="380"/>
      <c r="I84" s="380"/>
      <c r="J84" s="380"/>
      <c r="K84" s="380"/>
      <c r="L84" s="380"/>
      <c r="M84" s="380"/>
      <c r="N84" s="380"/>
      <c r="O84" s="380"/>
      <c r="P84" s="380"/>
      <c r="Q84" s="380"/>
      <c r="R84" s="380"/>
      <c r="S84" s="380"/>
      <c r="T84" s="380"/>
      <c r="U84" s="380"/>
      <c r="V84" s="137"/>
      <c r="W84" s="137"/>
      <c r="X84" s="137"/>
      <c r="Y84" s="137"/>
      <c r="Z84" s="193"/>
      <c r="AA84" s="193"/>
      <c r="AB84" s="193"/>
      <c r="AC84" s="193"/>
      <c r="AD84" s="193"/>
      <c r="AE84" s="193"/>
      <c r="AF84" s="193"/>
      <c r="AG84" s="193"/>
      <c r="AH84" s="193"/>
      <c r="AI84" s="193"/>
      <c r="AJ84" s="193"/>
      <c r="AK84" s="193"/>
      <c r="AL84" s="193"/>
      <c r="AM84" s="193"/>
      <c r="AN84" s="193"/>
      <c r="AO84" s="193"/>
      <c r="AP84" s="193"/>
      <c r="AQ84" s="193"/>
      <c r="AR84" s="193"/>
    </row>
    <row r="85" spans="4:44" ht="14.25" customHeight="1" x14ac:dyDescent="0.2">
      <c r="G85" s="138"/>
      <c r="M85" s="131" t="s">
        <v>290</v>
      </c>
      <c r="AA85" s="298"/>
      <c r="AB85" s="298"/>
      <c r="AC85" s="298"/>
      <c r="AD85" s="298"/>
      <c r="AP85" s="298"/>
      <c r="AQ85" s="298"/>
    </row>
    <row r="86" spans="4:44" ht="14.25" customHeight="1" x14ac:dyDescent="0.2">
      <c r="G86" s="138"/>
      <c r="M86" s="123">
        <v>2021</v>
      </c>
      <c r="N86" s="123">
        <v>2022</v>
      </c>
      <c r="O86" s="123">
        <v>2023</v>
      </c>
      <c r="P86" s="123">
        <v>2024</v>
      </c>
      <c r="Q86" s="123">
        <v>2025</v>
      </c>
      <c r="R86" s="123">
        <v>2026</v>
      </c>
      <c r="S86" s="123">
        <v>2027</v>
      </c>
      <c r="T86" s="123">
        <v>2028</v>
      </c>
      <c r="U86" s="123">
        <v>2029</v>
      </c>
      <c r="V86" s="123">
        <v>2030</v>
      </c>
      <c r="W86" s="123">
        <v>2031</v>
      </c>
      <c r="X86" s="123">
        <v>2032</v>
      </c>
      <c r="Y86" s="123">
        <v>2033</v>
      </c>
      <c r="Z86" s="123">
        <v>2034</v>
      </c>
      <c r="AA86" s="123">
        <v>2035</v>
      </c>
      <c r="AB86" s="123">
        <v>2036</v>
      </c>
      <c r="AC86" s="123">
        <v>2037</v>
      </c>
      <c r="AD86" s="123">
        <v>2038</v>
      </c>
      <c r="AE86" s="123">
        <v>2039</v>
      </c>
      <c r="AF86" s="123">
        <v>2040</v>
      </c>
      <c r="AG86" s="123">
        <v>2041</v>
      </c>
      <c r="AH86" s="123">
        <v>2042</v>
      </c>
      <c r="AI86" s="123">
        <v>2043</v>
      </c>
      <c r="AJ86" s="123">
        <v>2044</v>
      </c>
      <c r="AK86" s="123">
        <v>2045</v>
      </c>
      <c r="AL86" s="123">
        <v>2046</v>
      </c>
      <c r="AM86" s="123">
        <v>2047</v>
      </c>
      <c r="AN86" s="123">
        <v>2048</v>
      </c>
      <c r="AO86" s="123">
        <v>2049</v>
      </c>
      <c r="AP86" s="123">
        <v>2050</v>
      </c>
    </row>
    <row r="87" spans="4:44" ht="14.25" customHeight="1" x14ac:dyDescent="0.2">
      <c r="G87" s="138"/>
      <c r="H87" s="400" t="s">
        <v>291</v>
      </c>
      <c r="J87" s="367" t="s">
        <v>292</v>
      </c>
      <c r="K87" s="194" t="s">
        <v>235</v>
      </c>
      <c r="L87" s="194" t="s">
        <v>276</v>
      </c>
      <c r="M87" s="299">
        <v>0.3399884101913474</v>
      </c>
      <c r="N87" s="299">
        <v>0.34180761424785172</v>
      </c>
      <c r="O87" s="299">
        <v>0.34362681830435587</v>
      </c>
      <c r="P87" s="299">
        <v>0.34544602236086019</v>
      </c>
      <c r="Q87" s="299">
        <v>0.34726522641736451</v>
      </c>
      <c r="R87" s="299">
        <v>0.34908443047386872</v>
      </c>
      <c r="S87" s="299">
        <v>0.35090363453037299</v>
      </c>
      <c r="T87" s="299">
        <v>0.35272283858687731</v>
      </c>
      <c r="U87" s="299">
        <v>0.35454204264338152</v>
      </c>
      <c r="V87" s="299">
        <v>0.35636124669988578</v>
      </c>
      <c r="W87" s="299">
        <v>0.35818045075638999</v>
      </c>
      <c r="X87" s="299">
        <v>0.35999965481289431</v>
      </c>
      <c r="Y87" s="299">
        <v>0.36181885886939857</v>
      </c>
      <c r="Z87" s="299">
        <v>0.36363806292590278</v>
      </c>
      <c r="AA87" s="299">
        <v>0.36545726698240738</v>
      </c>
      <c r="AB87" s="299">
        <v>0.3664792504778675</v>
      </c>
      <c r="AC87" s="299">
        <v>0.36750123397332762</v>
      </c>
      <c r="AD87" s="299">
        <v>0.36852321746878769</v>
      </c>
      <c r="AE87" s="299">
        <v>0.36954520096424792</v>
      </c>
      <c r="AF87" s="299">
        <v>0.37056718445970799</v>
      </c>
      <c r="AG87" s="299">
        <v>0.37158916795516811</v>
      </c>
      <c r="AH87" s="299">
        <v>0.37261115145062818</v>
      </c>
      <c r="AI87" s="299">
        <v>0.37363313494608841</v>
      </c>
      <c r="AJ87" s="299">
        <v>0.37465511844154847</v>
      </c>
      <c r="AK87" s="299">
        <v>0.3756771019370086</v>
      </c>
      <c r="AL87" s="299">
        <v>0.37669908543246872</v>
      </c>
      <c r="AM87" s="299">
        <v>0.37772106892792878</v>
      </c>
      <c r="AN87" s="299">
        <v>0.37874305242338902</v>
      </c>
      <c r="AO87" s="299">
        <v>0.37976503591884908</v>
      </c>
      <c r="AP87" s="299">
        <v>0.38078701941430909</v>
      </c>
      <c r="AQ87" s="298"/>
    </row>
    <row r="88" spans="4:44" ht="14.25" customHeight="1" x14ac:dyDescent="0.2">
      <c r="G88" s="138"/>
      <c r="H88" s="380"/>
      <c r="J88" s="358"/>
      <c r="K88" s="135" t="s">
        <v>235</v>
      </c>
      <c r="L88" s="185" t="s">
        <v>277</v>
      </c>
      <c r="M88" s="300">
        <v>0.3399884101913474</v>
      </c>
      <c r="N88" s="300">
        <v>0.34131198780433059</v>
      </c>
      <c r="O88" s="300">
        <v>0.34263556541731388</v>
      </c>
      <c r="P88" s="300">
        <v>0.34395914303029712</v>
      </c>
      <c r="Q88" s="300">
        <v>0.34528272064328042</v>
      </c>
      <c r="R88" s="300">
        <v>0.3466062982562636</v>
      </c>
      <c r="S88" s="300">
        <v>0.34792987586924679</v>
      </c>
      <c r="T88" s="300">
        <v>0.34925345348223008</v>
      </c>
      <c r="U88" s="300">
        <v>0.35057703109521332</v>
      </c>
      <c r="V88" s="300">
        <v>0.35190060870819662</v>
      </c>
      <c r="W88" s="300">
        <v>0.3532241863211798</v>
      </c>
      <c r="X88" s="300">
        <v>0.35454776393416298</v>
      </c>
      <c r="Y88" s="300">
        <v>0.35587134154714628</v>
      </c>
      <c r="Z88" s="300">
        <v>0.35719491916012952</v>
      </c>
      <c r="AA88" s="300">
        <v>0.35851849677311259</v>
      </c>
      <c r="AB88" s="300">
        <v>0.35898108145373231</v>
      </c>
      <c r="AC88" s="300">
        <v>0.35944366613435191</v>
      </c>
      <c r="AD88" s="300">
        <v>0.35990625081497157</v>
      </c>
      <c r="AE88" s="300">
        <v>0.36036883549559118</v>
      </c>
      <c r="AF88" s="300">
        <v>0.36083142017621089</v>
      </c>
      <c r="AG88" s="300">
        <v>0.36129400485683061</v>
      </c>
      <c r="AH88" s="300">
        <v>0.36175658953745021</v>
      </c>
      <c r="AI88" s="300">
        <v>0.36221917421806987</v>
      </c>
      <c r="AJ88" s="300">
        <v>0.36268175889868948</v>
      </c>
      <c r="AK88" s="300">
        <v>0.36314434357930919</v>
      </c>
      <c r="AL88" s="300">
        <v>0.36360692825992891</v>
      </c>
      <c r="AM88" s="300">
        <v>0.36406951294054851</v>
      </c>
      <c r="AN88" s="300">
        <v>0.36453209762116823</v>
      </c>
      <c r="AO88" s="300">
        <v>0.36499468230178778</v>
      </c>
      <c r="AP88" s="300">
        <v>0.36545726698240738</v>
      </c>
    </row>
    <row r="89" spans="4:44" ht="14.25" customHeight="1" thickBot="1" x14ac:dyDescent="0.25">
      <c r="G89" s="138"/>
      <c r="H89" s="380"/>
      <c r="J89" s="358"/>
      <c r="K89" s="196" t="s">
        <v>235</v>
      </c>
      <c r="L89" s="196" t="s">
        <v>278</v>
      </c>
      <c r="M89" s="301">
        <v>0.3399884101913474</v>
      </c>
      <c r="N89" s="301">
        <v>0.3399884101913474</v>
      </c>
      <c r="O89" s="301">
        <v>0.3399884101913474</v>
      </c>
      <c r="P89" s="301">
        <v>0.3399884101913474</v>
      </c>
      <c r="Q89" s="301">
        <v>0.3399884101913474</v>
      </c>
      <c r="R89" s="301">
        <v>0.3399884101913474</v>
      </c>
      <c r="S89" s="301">
        <v>0.3399884101913474</v>
      </c>
      <c r="T89" s="301">
        <v>0.3399884101913474</v>
      </c>
      <c r="U89" s="301">
        <v>0.3399884101913474</v>
      </c>
      <c r="V89" s="301">
        <v>0.3399884101913474</v>
      </c>
      <c r="W89" s="301">
        <v>0.3399884101913474</v>
      </c>
      <c r="X89" s="301">
        <v>0.3399884101913474</v>
      </c>
      <c r="Y89" s="301">
        <v>0.3399884101913474</v>
      </c>
      <c r="Z89" s="301">
        <v>0.3399884101913474</v>
      </c>
      <c r="AA89" s="301">
        <v>0.3399884101913474</v>
      </c>
      <c r="AB89" s="301">
        <v>0.34122374929679838</v>
      </c>
      <c r="AC89" s="301">
        <v>0.34245908840224948</v>
      </c>
      <c r="AD89" s="301">
        <v>0.34369442750770052</v>
      </c>
      <c r="AE89" s="301">
        <v>0.34492976661315161</v>
      </c>
      <c r="AF89" s="301">
        <v>0.34616510571860259</v>
      </c>
      <c r="AG89" s="301">
        <v>0.34740044482405358</v>
      </c>
      <c r="AH89" s="301">
        <v>0.34863578392950467</v>
      </c>
      <c r="AI89" s="301">
        <v>0.34987112303495571</v>
      </c>
      <c r="AJ89" s="301">
        <v>0.35110646214040669</v>
      </c>
      <c r="AK89" s="301">
        <v>0.35234180124585779</v>
      </c>
      <c r="AL89" s="301">
        <v>0.35357714035130883</v>
      </c>
      <c r="AM89" s="301">
        <v>0.35481247945675992</v>
      </c>
      <c r="AN89" s="301">
        <v>0.3560478185622109</v>
      </c>
      <c r="AO89" s="301">
        <v>0.35728315766766189</v>
      </c>
      <c r="AP89" s="301">
        <v>0.35851849677311259</v>
      </c>
    </row>
    <row r="90" spans="4:44" ht="14.25" customHeight="1" thickTop="1" x14ac:dyDescent="0.2">
      <c r="G90" s="138"/>
      <c r="H90" s="380"/>
      <c r="J90" s="358"/>
      <c r="K90" s="194" t="s">
        <v>240</v>
      </c>
      <c r="L90" s="194" t="s">
        <v>276</v>
      </c>
      <c r="M90" s="299">
        <v>0.32891481311214171</v>
      </c>
      <c r="N90" s="299">
        <v>0.33064456673257009</v>
      </c>
      <c r="O90" s="299">
        <v>0.33237432035299852</v>
      </c>
      <c r="P90" s="299">
        <v>0.33410407397342679</v>
      </c>
      <c r="Q90" s="299">
        <v>0.33583382759385522</v>
      </c>
      <c r="R90" s="299">
        <v>0.33756358121428359</v>
      </c>
      <c r="S90" s="299">
        <v>0.33929333483471202</v>
      </c>
      <c r="T90" s="299">
        <v>0.34102308845514029</v>
      </c>
      <c r="U90" s="299">
        <v>0.34275284207556872</v>
      </c>
      <c r="V90" s="299">
        <v>0.3444825956959971</v>
      </c>
      <c r="W90" s="299">
        <v>0.34621234931642553</v>
      </c>
      <c r="X90" s="299">
        <v>0.34794210293685379</v>
      </c>
      <c r="Y90" s="299">
        <v>0.34967185655728222</v>
      </c>
      <c r="Z90" s="299">
        <v>0.3514016101777106</v>
      </c>
      <c r="AA90" s="299">
        <v>0.3531313637981387</v>
      </c>
      <c r="AB90" s="299">
        <v>0.35414824559063601</v>
      </c>
      <c r="AC90" s="299">
        <v>0.35516512738313333</v>
      </c>
      <c r="AD90" s="299">
        <v>0.35618200917563059</v>
      </c>
      <c r="AE90" s="299">
        <v>0.35719889096812801</v>
      </c>
      <c r="AF90" s="299">
        <v>0.35821577276062527</v>
      </c>
      <c r="AG90" s="299">
        <v>0.35923265455312259</v>
      </c>
      <c r="AH90" s="299">
        <v>0.3602495363456199</v>
      </c>
      <c r="AI90" s="299">
        <v>0.36126641813811722</v>
      </c>
      <c r="AJ90" s="299">
        <v>0.36228329993061448</v>
      </c>
      <c r="AK90" s="299">
        <v>0.36330018172311179</v>
      </c>
      <c r="AL90" s="299">
        <v>0.36431706351560922</v>
      </c>
      <c r="AM90" s="299">
        <v>0.36533394530810648</v>
      </c>
      <c r="AN90" s="299">
        <v>0.36635082710060379</v>
      </c>
      <c r="AO90" s="299">
        <v>0.36736770889310111</v>
      </c>
      <c r="AP90" s="299">
        <v>0.36838459068559881</v>
      </c>
    </row>
    <row r="91" spans="4:44" ht="14.25" customHeight="1" x14ac:dyDescent="0.2">
      <c r="G91" s="138"/>
      <c r="H91" s="380"/>
      <c r="J91" s="358"/>
      <c r="K91" s="135" t="s">
        <v>240</v>
      </c>
      <c r="L91" s="185" t="s">
        <v>277</v>
      </c>
      <c r="M91" s="300">
        <v>0.32891481311214171</v>
      </c>
      <c r="N91" s="300">
        <v>0.33017206000436139</v>
      </c>
      <c r="O91" s="300">
        <v>0.33142930689658112</v>
      </c>
      <c r="P91" s="300">
        <v>0.33268655378880069</v>
      </c>
      <c r="Q91" s="300">
        <v>0.33394380068102042</v>
      </c>
      <c r="R91" s="300">
        <v>0.3352010475732401</v>
      </c>
      <c r="S91" s="300">
        <v>0.33645829446545977</v>
      </c>
      <c r="T91" s="300">
        <v>0.33771554135767939</v>
      </c>
      <c r="U91" s="300">
        <v>0.33897278824989913</v>
      </c>
      <c r="V91" s="300">
        <v>0.3402300351421188</v>
      </c>
      <c r="W91" s="300">
        <v>0.34148728203433848</v>
      </c>
      <c r="X91" s="300">
        <v>0.34274452892655821</v>
      </c>
      <c r="Y91" s="300">
        <v>0.34400177581877778</v>
      </c>
      <c r="Z91" s="300">
        <v>0.34525902271099751</v>
      </c>
      <c r="AA91" s="300">
        <v>0.34651626960321719</v>
      </c>
      <c r="AB91" s="300">
        <v>0.34695727588287861</v>
      </c>
      <c r="AC91" s="300">
        <v>0.34739828216253998</v>
      </c>
      <c r="AD91" s="300">
        <v>0.34783928844220152</v>
      </c>
      <c r="AE91" s="300">
        <v>0.34828029472186289</v>
      </c>
      <c r="AF91" s="300">
        <v>0.34872130100152432</v>
      </c>
      <c r="AG91" s="300">
        <v>0.34916230728118569</v>
      </c>
      <c r="AH91" s="300">
        <v>0.34960331356084717</v>
      </c>
      <c r="AI91" s="300">
        <v>0.3500443198405086</v>
      </c>
      <c r="AJ91" s="300">
        <v>0.35048532612017003</v>
      </c>
      <c r="AK91" s="300">
        <v>0.35092633239983151</v>
      </c>
      <c r="AL91" s="300">
        <v>0.35136733867949288</v>
      </c>
      <c r="AM91" s="300">
        <v>0.35180834495915431</v>
      </c>
      <c r="AN91" s="300">
        <v>0.35224935123881568</v>
      </c>
      <c r="AO91" s="300">
        <v>0.35269035751847722</v>
      </c>
      <c r="AP91" s="300">
        <v>0.3531313637981387</v>
      </c>
    </row>
    <row r="92" spans="4:44" ht="14.25" customHeight="1" thickBot="1" x14ac:dyDescent="0.25">
      <c r="G92" s="138"/>
      <c r="H92" s="380"/>
      <c r="J92" s="358"/>
      <c r="K92" s="196" t="s">
        <v>240</v>
      </c>
      <c r="L92" s="196" t="s">
        <v>278</v>
      </c>
      <c r="M92" s="301">
        <v>0.32891481311214171</v>
      </c>
      <c r="N92" s="301">
        <v>0.32891481311214171</v>
      </c>
      <c r="O92" s="301">
        <v>0.32891481311214171</v>
      </c>
      <c r="P92" s="301">
        <v>0.32891481311214171</v>
      </c>
      <c r="Q92" s="301">
        <v>0.32891481311214171</v>
      </c>
      <c r="R92" s="301">
        <v>0.32891481311214171</v>
      </c>
      <c r="S92" s="301">
        <v>0.32891481311214171</v>
      </c>
      <c r="T92" s="301">
        <v>0.32891481311214171</v>
      </c>
      <c r="U92" s="301">
        <v>0.32891481311214171</v>
      </c>
      <c r="V92" s="301">
        <v>0.32891481311214171</v>
      </c>
      <c r="W92" s="301">
        <v>0.32891481311214171</v>
      </c>
      <c r="X92" s="301">
        <v>0.32891481311214171</v>
      </c>
      <c r="Y92" s="301">
        <v>0.32891481311214171</v>
      </c>
      <c r="Z92" s="301">
        <v>0.32891481311214171</v>
      </c>
      <c r="AA92" s="301">
        <v>0.32891481311214171</v>
      </c>
      <c r="AB92" s="301">
        <v>0.33008824354488009</v>
      </c>
      <c r="AC92" s="301">
        <v>0.33126167397761852</v>
      </c>
      <c r="AD92" s="301">
        <v>0.33243510441035679</v>
      </c>
      <c r="AE92" s="301">
        <v>0.33360853484309522</v>
      </c>
      <c r="AF92" s="301">
        <v>0.33478196527583359</v>
      </c>
      <c r="AG92" s="301">
        <v>0.33595539570857202</v>
      </c>
      <c r="AH92" s="301">
        <v>0.33712882614131029</v>
      </c>
      <c r="AI92" s="301">
        <v>0.33830225657404872</v>
      </c>
      <c r="AJ92" s="301">
        <v>0.3394756870067871</v>
      </c>
      <c r="AK92" s="301">
        <v>0.34064911743952547</v>
      </c>
      <c r="AL92" s="301">
        <v>0.34182254787226379</v>
      </c>
      <c r="AM92" s="301">
        <v>0.34299597830500222</v>
      </c>
      <c r="AN92" s="301">
        <v>0.3441694087377406</v>
      </c>
      <c r="AO92" s="301">
        <v>0.34534283917047898</v>
      </c>
      <c r="AP92" s="301">
        <v>0.34651626960321719</v>
      </c>
    </row>
    <row r="93" spans="4:44" ht="14.25" customHeight="1" thickTop="1" x14ac:dyDescent="0.2">
      <c r="G93" s="138"/>
      <c r="H93" s="380"/>
      <c r="J93" s="358"/>
      <c r="K93" s="194" t="s">
        <v>242</v>
      </c>
      <c r="L93" s="194" t="s">
        <v>276</v>
      </c>
      <c r="M93" s="299">
        <v>0.31323813798572719</v>
      </c>
      <c r="N93" s="299">
        <v>0.31502677532478662</v>
      </c>
      <c r="O93" s="299">
        <v>0.31681541266384589</v>
      </c>
      <c r="P93" s="299">
        <v>0.31860405000290531</v>
      </c>
      <c r="Q93" s="299">
        <v>0.32039268734196469</v>
      </c>
      <c r="R93" s="299">
        <v>0.32218132468102412</v>
      </c>
      <c r="S93" s="299">
        <v>0.32396996202008338</v>
      </c>
      <c r="T93" s="299">
        <v>0.32575859935914281</v>
      </c>
      <c r="U93" s="299">
        <v>0.32754723669820218</v>
      </c>
      <c r="V93" s="299">
        <v>0.32933587403726161</v>
      </c>
      <c r="W93" s="299">
        <v>0.33112451137632087</v>
      </c>
      <c r="X93" s="299">
        <v>0.3329131487153803</v>
      </c>
      <c r="Y93" s="299">
        <v>0.33470178605443968</v>
      </c>
      <c r="Z93" s="299">
        <v>0.33649042339349899</v>
      </c>
      <c r="AA93" s="299">
        <v>0.33827906073255831</v>
      </c>
      <c r="AB93" s="299">
        <v>0.3391155709866554</v>
      </c>
      <c r="AC93" s="299">
        <v>0.33995208124075249</v>
      </c>
      <c r="AD93" s="299">
        <v>0.34078859149484958</v>
      </c>
      <c r="AE93" s="299">
        <v>0.34162510174894672</v>
      </c>
      <c r="AF93" s="299">
        <v>0.34246161200304381</v>
      </c>
      <c r="AG93" s="299">
        <v>0.34329812225714079</v>
      </c>
      <c r="AH93" s="299">
        <v>0.34413463251123788</v>
      </c>
      <c r="AI93" s="299">
        <v>0.34497114276533503</v>
      </c>
      <c r="AJ93" s="299">
        <v>0.34580765301943212</v>
      </c>
      <c r="AK93" s="299">
        <v>0.3466441632735292</v>
      </c>
      <c r="AL93" s="299">
        <v>0.34748067352762629</v>
      </c>
      <c r="AM93" s="299">
        <v>0.34831718378172338</v>
      </c>
      <c r="AN93" s="299">
        <v>0.34915369403582053</v>
      </c>
      <c r="AO93" s="299">
        <v>0.34999020428991762</v>
      </c>
      <c r="AP93" s="299">
        <v>0.35082671454401448</v>
      </c>
    </row>
    <row r="94" spans="4:44" ht="14.25" customHeight="1" x14ac:dyDescent="0.2">
      <c r="G94" s="138"/>
      <c r="H94" s="380"/>
      <c r="J94" s="358"/>
      <c r="K94" s="135" t="s">
        <v>242</v>
      </c>
      <c r="L94" s="185" t="s">
        <v>277</v>
      </c>
      <c r="M94" s="300">
        <v>0.31323813798572719</v>
      </c>
      <c r="N94" s="300">
        <v>0.31453518202945763</v>
      </c>
      <c r="O94" s="300">
        <v>0.31583222607318789</v>
      </c>
      <c r="P94" s="300">
        <v>0.31712927011691833</v>
      </c>
      <c r="Q94" s="300">
        <v>0.3184263141606487</v>
      </c>
      <c r="R94" s="300">
        <v>0.31972335820437908</v>
      </c>
      <c r="S94" s="300">
        <v>0.32102040224810952</v>
      </c>
      <c r="T94" s="300">
        <v>0.32231744629183978</v>
      </c>
      <c r="U94" s="300">
        <v>0.32361449033557022</v>
      </c>
      <c r="V94" s="300">
        <v>0.32491153437930059</v>
      </c>
      <c r="W94" s="300">
        <v>0.32620857842303103</v>
      </c>
      <c r="X94" s="300">
        <v>0.32750562246676129</v>
      </c>
      <c r="Y94" s="300">
        <v>0.32880266651049173</v>
      </c>
      <c r="Z94" s="300">
        <v>0.3300997105542221</v>
      </c>
      <c r="AA94" s="300">
        <v>0.33139675459795281</v>
      </c>
      <c r="AB94" s="300">
        <v>0.33185557500692647</v>
      </c>
      <c r="AC94" s="300">
        <v>0.33231439541590019</v>
      </c>
      <c r="AD94" s="300">
        <v>0.33277321582487401</v>
      </c>
      <c r="AE94" s="300">
        <v>0.33323203623384767</v>
      </c>
      <c r="AF94" s="300">
        <v>0.33369085664282139</v>
      </c>
      <c r="AG94" s="300">
        <v>0.3341496770517951</v>
      </c>
      <c r="AH94" s="300">
        <v>0.33460849746076882</v>
      </c>
      <c r="AI94" s="300">
        <v>0.33506731786974248</v>
      </c>
      <c r="AJ94" s="300">
        <v>0.33552613827871619</v>
      </c>
      <c r="AK94" s="300">
        <v>0.33598495868769002</v>
      </c>
      <c r="AL94" s="300">
        <v>0.33644377909666368</v>
      </c>
      <c r="AM94" s="300">
        <v>0.33690259950563739</v>
      </c>
      <c r="AN94" s="300">
        <v>0.3373614199146111</v>
      </c>
      <c r="AO94" s="300">
        <v>0.33782024032358482</v>
      </c>
      <c r="AP94" s="300">
        <v>0.33827906073255831</v>
      </c>
    </row>
    <row r="95" spans="4:44" ht="14.25" customHeight="1" thickBot="1" x14ac:dyDescent="0.25">
      <c r="G95" s="138"/>
      <c r="H95" s="380"/>
      <c r="J95" s="358"/>
      <c r="K95" s="196" t="s">
        <v>242</v>
      </c>
      <c r="L95" s="196" t="s">
        <v>278</v>
      </c>
      <c r="M95" s="301">
        <v>0.31323813798572719</v>
      </c>
      <c r="N95" s="301">
        <v>0.31323813798572719</v>
      </c>
      <c r="O95" s="301">
        <v>0.31323813798572719</v>
      </c>
      <c r="P95" s="301">
        <v>0.31323813798572719</v>
      </c>
      <c r="Q95" s="301">
        <v>0.31323813798572719</v>
      </c>
      <c r="R95" s="301">
        <v>0.31323813798572719</v>
      </c>
      <c r="S95" s="301">
        <v>0.31323813798572719</v>
      </c>
      <c r="T95" s="301">
        <v>0.31323813798572719</v>
      </c>
      <c r="U95" s="301">
        <v>0.31323813798572719</v>
      </c>
      <c r="V95" s="301">
        <v>0.31323813798572719</v>
      </c>
      <c r="W95" s="301">
        <v>0.31323813798572719</v>
      </c>
      <c r="X95" s="301">
        <v>0.31323813798572719</v>
      </c>
      <c r="Y95" s="301">
        <v>0.31323813798572719</v>
      </c>
      <c r="Z95" s="301">
        <v>0.31323813798572719</v>
      </c>
      <c r="AA95" s="301">
        <v>0.31323813798572719</v>
      </c>
      <c r="AB95" s="301">
        <v>0.31444871242654221</v>
      </c>
      <c r="AC95" s="301">
        <v>0.31565928686735722</v>
      </c>
      <c r="AD95" s="301">
        <v>0.31686986130817218</v>
      </c>
      <c r="AE95" s="301">
        <v>0.31808043574898731</v>
      </c>
      <c r="AF95" s="301">
        <v>0.31929101018980233</v>
      </c>
      <c r="AG95" s="301">
        <v>0.32050158463061729</v>
      </c>
      <c r="AH95" s="301">
        <v>0.3217121590714323</v>
      </c>
      <c r="AI95" s="301">
        <v>0.32292273351224732</v>
      </c>
      <c r="AJ95" s="301">
        <v>0.32413330795306228</v>
      </c>
      <c r="AK95" s="301">
        <v>0.32534388239387729</v>
      </c>
      <c r="AL95" s="301">
        <v>0.32655445683469242</v>
      </c>
      <c r="AM95" s="301">
        <v>0.32776503127550738</v>
      </c>
      <c r="AN95" s="301">
        <v>0.32897560571632239</v>
      </c>
      <c r="AO95" s="301">
        <v>0.33018618015713741</v>
      </c>
      <c r="AP95" s="301">
        <v>0.33139675459795281</v>
      </c>
    </row>
    <row r="96" spans="4:44" ht="14.25" customHeight="1" thickTop="1" x14ac:dyDescent="0.2">
      <c r="G96" s="138"/>
      <c r="H96" s="380"/>
      <c r="J96" s="358"/>
      <c r="K96" s="194" t="s">
        <v>244</v>
      </c>
      <c r="L96" s="194" t="s">
        <v>276</v>
      </c>
      <c r="M96" s="299">
        <v>0.29822263806689919</v>
      </c>
      <c r="N96" s="299">
        <v>0.30003450683111649</v>
      </c>
      <c r="O96" s="299">
        <v>0.30184637559533378</v>
      </c>
      <c r="P96" s="299">
        <v>0.30365824435955108</v>
      </c>
      <c r="Q96" s="299">
        <v>0.30547011312376843</v>
      </c>
      <c r="R96" s="299">
        <v>0.30728198188798572</v>
      </c>
      <c r="S96" s="299">
        <v>0.30909385065220302</v>
      </c>
      <c r="T96" s="299">
        <v>0.31090571941642031</v>
      </c>
      <c r="U96" s="299">
        <v>0.31271758818063761</v>
      </c>
      <c r="V96" s="299">
        <v>0.31452945694485479</v>
      </c>
      <c r="W96" s="299">
        <v>0.31634132570907209</v>
      </c>
      <c r="X96" s="299">
        <v>0.31815319447328938</v>
      </c>
      <c r="Y96" s="299">
        <v>0.31996506323750667</v>
      </c>
      <c r="Z96" s="299">
        <v>0.32177693200172403</v>
      </c>
      <c r="AA96" s="299">
        <v>0.32358880076594121</v>
      </c>
      <c r="AB96" s="299">
        <v>0.32428350435720688</v>
      </c>
      <c r="AC96" s="299">
        <v>0.32497820794847271</v>
      </c>
      <c r="AD96" s="299">
        <v>0.32567291153973837</v>
      </c>
      <c r="AE96" s="299">
        <v>0.3263676151310041</v>
      </c>
      <c r="AF96" s="299">
        <v>0.32706231872226982</v>
      </c>
      <c r="AG96" s="299">
        <v>0.32775702231353548</v>
      </c>
      <c r="AH96" s="299">
        <v>0.32845172590480132</v>
      </c>
      <c r="AI96" s="299">
        <v>0.32914642949606698</v>
      </c>
      <c r="AJ96" s="299">
        <v>0.32984113308733271</v>
      </c>
      <c r="AK96" s="299">
        <v>0.33053583667859843</v>
      </c>
      <c r="AL96" s="299">
        <v>0.33123054026986409</v>
      </c>
      <c r="AM96" s="299">
        <v>0.33192524386112993</v>
      </c>
      <c r="AN96" s="299">
        <v>0.33261994745239559</v>
      </c>
      <c r="AO96" s="299">
        <v>0.33331465104366131</v>
      </c>
      <c r="AP96" s="299">
        <v>0.33400935463492709</v>
      </c>
    </row>
    <row r="97" spans="7:43" ht="14.25" customHeight="1" x14ac:dyDescent="0.2">
      <c r="G97" s="138"/>
      <c r="H97" s="380"/>
      <c r="J97" s="358"/>
      <c r="K97" s="135" t="s">
        <v>244</v>
      </c>
      <c r="L97" s="185" t="s">
        <v>277</v>
      </c>
      <c r="M97" s="300">
        <v>0.29822263806689919</v>
      </c>
      <c r="N97" s="300">
        <v>0.29953314383281382</v>
      </c>
      <c r="O97" s="300">
        <v>0.30084364959872828</v>
      </c>
      <c r="P97" s="300">
        <v>0.30215415536464291</v>
      </c>
      <c r="Q97" s="300">
        <v>0.30346466113055748</v>
      </c>
      <c r="R97" s="300">
        <v>0.30477516689647199</v>
      </c>
      <c r="S97" s="300">
        <v>0.30608567266238662</v>
      </c>
      <c r="T97" s="300">
        <v>0.30739617842830119</v>
      </c>
      <c r="U97" s="300">
        <v>0.30870668419421582</v>
      </c>
      <c r="V97" s="300">
        <v>0.31001718996013028</v>
      </c>
      <c r="W97" s="300">
        <v>0.31132769572604491</v>
      </c>
      <c r="X97" s="300">
        <v>0.31263820149195948</v>
      </c>
      <c r="Y97" s="300">
        <v>0.31394870725787399</v>
      </c>
      <c r="Z97" s="300">
        <v>0.31525921302378862</v>
      </c>
      <c r="AA97" s="300">
        <v>0.31656971878970319</v>
      </c>
      <c r="AB97" s="300">
        <v>0.31703765758811908</v>
      </c>
      <c r="AC97" s="300">
        <v>0.31750559638653503</v>
      </c>
      <c r="AD97" s="300">
        <v>0.31797353518495092</v>
      </c>
      <c r="AE97" s="300">
        <v>0.31844147398336681</v>
      </c>
      <c r="AF97" s="300">
        <v>0.3189094127817827</v>
      </c>
      <c r="AG97" s="300">
        <v>0.31937735158019859</v>
      </c>
      <c r="AH97" s="300">
        <v>0.31984529037861448</v>
      </c>
      <c r="AI97" s="300">
        <v>0.32031322917703042</v>
      </c>
      <c r="AJ97" s="300">
        <v>0.32078116797544631</v>
      </c>
      <c r="AK97" s="300">
        <v>0.32124910677386209</v>
      </c>
      <c r="AL97" s="300">
        <v>0.32171704557227798</v>
      </c>
      <c r="AM97" s="300">
        <v>0.32218498437069393</v>
      </c>
      <c r="AN97" s="300">
        <v>0.32265292316910982</v>
      </c>
      <c r="AO97" s="300">
        <v>0.32312086196752571</v>
      </c>
      <c r="AP97" s="300">
        <v>0.32358880076594121</v>
      </c>
    </row>
    <row r="98" spans="7:43" ht="14.25" customHeight="1" thickBot="1" x14ac:dyDescent="0.25">
      <c r="G98" s="138"/>
      <c r="H98" s="380"/>
      <c r="J98" s="358"/>
      <c r="K98" s="196" t="s">
        <v>244</v>
      </c>
      <c r="L98" s="196" t="s">
        <v>278</v>
      </c>
      <c r="M98" s="301">
        <v>0.29822263806689919</v>
      </c>
      <c r="N98" s="301">
        <v>0.29822263806689919</v>
      </c>
      <c r="O98" s="301">
        <v>0.29822263806689919</v>
      </c>
      <c r="P98" s="301">
        <v>0.29822263806689919</v>
      </c>
      <c r="Q98" s="301">
        <v>0.29822263806689919</v>
      </c>
      <c r="R98" s="301">
        <v>0.29822263806689919</v>
      </c>
      <c r="S98" s="301">
        <v>0.29822263806689919</v>
      </c>
      <c r="T98" s="301">
        <v>0.29822263806689919</v>
      </c>
      <c r="U98" s="301">
        <v>0.29822263806689919</v>
      </c>
      <c r="V98" s="301">
        <v>0.29822263806689919</v>
      </c>
      <c r="W98" s="301">
        <v>0.29822263806689919</v>
      </c>
      <c r="X98" s="301">
        <v>0.29822263806689919</v>
      </c>
      <c r="Y98" s="301">
        <v>0.29822263806689919</v>
      </c>
      <c r="Z98" s="301">
        <v>0.29822263806689919</v>
      </c>
      <c r="AA98" s="301">
        <v>0.29822263806689919</v>
      </c>
      <c r="AB98" s="301">
        <v>0.29944577678175283</v>
      </c>
      <c r="AC98" s="301">
        <v>0.30066891549660629</v>
      </c>
      <c r="AD98" s="301">
        <v>0.30189205421145993</v>
      </c>
      <c r="AE98" s="301">
        <v>0.3031151929263135</v>
      </c>
      <c r="AF98" s="301">
        <v>0.30433833164116708</v>
      </c>
      <c r="AG98" s="301">
        <v>0.30556147035602071</v>
      </c>
      <c r="AH98" s="301">
        <v>0.30678460907087418</v>
      </c>
      <c r="AI98" s="301">
        <v>0.30800774778572781</v>
      </c>
      <c r="AJ98" s="301">
        <v>0.30923088650058139</v>
      </c>
      <c r="AK98" s="301">
        <v>0.31045402521543503</v>
      </c>
      <c r="AL98" s="301">
        <v>0.31167716393028849</v>
      </c>
      <c r="AM98" s="301">
        <v>0.31290030264514213</v>
      </c>
      <c r="AN98" s="301">
        <v>0.3141234413599957</v>
      </c>
      <c r="AO98" s="301">
        <v>0.31534658007484928</v>
      </c>
      <c r="AP98" s="301">
        <v>0.31656971878970319</v>
      </c>
    </row>
    <row r="99" spans="7:43" ht="14.25" customHeight="1" thickTop="1" x14ac:dyDescent="0.2">
      <c r="G99" s="138"/>
      <c r="H99" s="380"/>
      <c r="J99" s="358"/>
      <c r="K99" s="194" t="s">
        <v>246</v>
      </c>
      <c r="L99" s="194" t="s">
        <v>276</v>
      </c>
      <c r="M99" s="299">
        <v>0.28327663878760079</v>
      </c>
      <c r="N99" s="299">
        <v>0.28506566870490641</v>
      </c>
      <c r="O99" s="299">
        <v>0.28685469862221202</v>
      </c>
      <c r="P99" s="299">
        <v>0.28864372853951759</v>
      </c>
      <c r="Q99" s="299">
        <v>0.29043275845682331</v>
      </c>
      <c r="R99" s="299">
        <v>0.29222178837412888</v>
      </c>
      <c r="S99" s="299">
        <v>0.29401081829143449</v>
      </c>
      <c r="T99" s="299">
        <v>0.29579984820874011</v>
      </c>
      <c r="U99" s="299">
        <v>0.29758887812604568</v>
      </c>
      <c r="V99" s="299">
        <v>0.29937790804335129</v>
      </c>
      <c r="W99" s="299">
        <v>0.30116693796065702</v>
      </c>
      <c r="X99" s="299">
        <v>0.30295596787796258</v>
      </c>
      <c r="Y99" s="299">
        <v>0.3047449977952682</v>
      </c>
      <c r="Z99" s="299">
        <v>0.30653402771257382</v>
      </c>
      <c r="AA99" s="299">
        <v>0.30832305762987922</v>
      </c>
      <c r="AB99" s="299">
        <v>0.30891950948402808</v>
      </c>
      <c r="AC99" s="299">
        <v>0.30951596133817699</v>
      </c>
      <c r="AD99" s="299">
        <v>0.31011241319232602</v>
      </c>
      <c r="AE99" s="299">
        <v>0.31070886504647488</v>
      </c>
      <c r="AF99" s="299">
        <v>0.3113053169006238</v>
      </c>
      <c r="AG99" s="299">
        <v>0.31190176875477271</v>
      </c>
      <c r="AH99" s="299">
        <v>0.31249822060892157</v>
      </c>
      <c r="AI99" s="299">
        <v>0.31309467246307049</v>
      </c>
      <c r="AJ99" s="299">
        <v>0.31369112431721952</v>
      </c>
      <c r="AK99" s="299">
        <v>0.31428757617136838</v>
      </c>
      <c r="AL99" s="299">
        <v>0.31488402802551729</v>
      </c>
      <c r="AM99" s="299">
        <v>0.31548047987966621</v>
      </c>
      <c r="AN99" s="299">
        <v>0.31607693173381513</v>
      </c>
      <c r="AO99" s="299">
        <v>0.31667338358796399</v>
      </c>
      <c r="AP99" s="299">
        <v>0.3172698354421129</v>
      </c>
    </row>
    <row r="100" spans="7:43" ht="14.25" customHeight="1" x14ac:dyDescent="0.2">
      <c r="G100" s="138"/>
      <c r="H100" s="380"/>
      <c r="J100" s="358"/>
      <c r="K100" s="135" t="s">
        <v>246</v>
      </c>
      <c r="L100" s="185" t="s">
        <v>277</v>
      </c>
      <c r="M100" s="300">
        <v>0.28327663878760079</v>
      </c>
      <c r="N100" s="300">
        <v>0.28456304297059148</v>
      </c>
      <c r="O100" s="300">
        <v>0.28584944715358229</v>
      </c>
      <c r="P100" s="300">
        <v>0.28713585133657299</v>
      </c>
      <c r="Q100" s="300">
        <v>0.2884222555195638</v>
      </c>
      <c r="R100" s="300">
        <v>0.28970865970255449</v>
      </c>
      <c r="S100" s="300">
        <v>0.2909950638855453</v>
      </c>
      <c r="T100" s="300">
        <v>0.29228146806853611</v>
      </c>
      <c r="U100" s="300">
        <v>0.29356787225152681</v>
      </c>
      <c r="V100" s="300">
        <v>0.29485427643451761</v>
      </c>
      <c r="W100" s="300">
        <v>0.29614068061750831</v>
      </c>
      <c r="X100" s="300">
        <v>0.29742708480049912</v>
      </c>
      <c r="Y100" s="300">
        <v>0.29871348898348982</v>
      </c>
      <c r="Z100" s="300">
        <v>0.29999989316648062</v>
      </c>
      <c r="AA100" s="300">
        <v>0.30128629734947132</v>
      </c>
      <c r="AB100" s="300">
        <v>0.30175541470149853</v>
      </c>
      <c r="AC100" s="300">
        <v>0.30222453205352567</v>
      </c>
      <c r="AD100" s="300">
        <v>0.30269364940555288</v>
      </c>
      <c r="AE100" s="300">
        <v>0.30316276675758008</v>
      </c>
      <c r="AF100" s="300">
        <v>0.30363188410960729</v>
      </c>
      <c r="AG100" s="300">
        <v>0.30410100146163449</v>
      </c>
      <c r="AH100" s="300">
        <v>0.30457011881366169</v>
      </c>
      <c r="AI100" s="300">
        <v>0.30503923616568901</v>
      </c>
      <c r="AJ100" s="300">
        <v>0.30550835351771621</v>
      </c>
      <c r="AK100" s="300">
        <v>0.30597747086974342</v>
      </c>
      <c r="AL100" s="300">
        <v>0.30644658822177062</v>
      </c>
      <c r="AM100" s="300">
        <v>0.30691570557379783</v>
      </c>
      <c r="AN100" s="300">
        <v>0.30738482292582497</v>
      </c>
      <c r="AO100" s="300">
        <v>0.30785394027785218</v>
      </c>
      <c r="AP100" s="300">
        <v>0.30832305762987922</v>
      </c>
    </row>
    <row r="101" spans="7:43" ht="14.25" customHeight="1" thickBot="1" x14ac:dyDescent="0.25">
      <c r="G101" s="138"/>
      <c r="H101" s="380"/>
      <c r="J101" s="358"/>
      <c r="K101" s="196" t="s">
        <v>246</v>
      </c>
      <c r="L101" s="196" t="s">
        <v>278</v>
      </c>
      <c r="M101" s="301">
        <v>0.28327663878760079</v>
      </c>
      <c r="N101" s="301">
        <v>0.28327663878760079</v>
      </c>
      <c r="O101" s="301">
        <v>0.28327663878760079</v>
      </c>
      <c r="P101" s="301">
        <v>0.28327663878760079</v>
      </c>
      <c r="Q101" s="301">
        <v>0.28327663878760079</v>
      </c>
      <c r="R101" s="301">
        <v>0.28327663878760079</v>
      </c>
      <c r="S101" s="301">
        <v>0.28327663878760079</v>
      </c>
      <c r="T101" s="301">
        <v>0.28327663878760079</v>
      </c>
      <c r="U101" s="301">
        <v>0.28327663878760079</v>
      </c>
      <c r="V101" s="301">
        <v>0.28327663878760079</v>
      </c>
      <c r="W101" s="301">
        <v>0.28327663878760079</v>
      </c>
      <c r="X101" s="301">
        <v>0.28327663878760079</v>
      </c>
      <c r="Y101" s="301">
        <v>0.28327663878760079</v>
      </c>
      <c r="Z101" s="301">
        <v>0.28327663878760079</v>
      </c>
      <c r="AA101" s="301">
        <v>0.28327663878760079</v>
      </c>
      <c r="AB101" s="301">
        <v>0.28447728269172551</v>
      </c>
      <c r="AC101" s="301">
        <v>0.28567792659585017</v>
      </c>
      <c r="AD101" s="301">
        <v>0.28687857049997489</v>
      </c>
      <c r="AE101" s="301">
        <v>0.28807921440409973</v>
      </c>
      <c r="AF101" s="301">
        <v>0.28927985830822439</v>
      </c>
      <c r="AG101" s="301">
        <v>0.29048050221234911</v>
      </c>
      <c r="AH101" s="301">
        <v>0.29168114611647378</v>
      </c>
      <c r="AI101" s="301">
        <v>0.29288179002059861</v>
      </c>
      <c r="AJ101" s="301">
        <v>0.29408243392472327</v>
      </c>
      <c r="AK101" s="301">
        <v>0.295283077828848</v>
      </c>
      <c r="AL101" s="301">
        <v>0.29648372173297272</v>
      </c>
      <c r="AM101" s="301">
        <v>0.29768436563709738</v>
      </c>
      <c r="AN101" s="301">
        <v>0.29888500954122221</v>
      </c>
      <c r="AO101" s="301">
        <v>0.30008565344534688</v>
      </c>
      <c r="AP101" s="301">
        <v>0.30128629734947132</v>
      </c>
    </row>
    <row r="102" spans="7:43" ht="14.25" customHeight="1" thickTop="1" x14ac:dyDescent="0.2">
      <c r="G102" s="138"/>
      <c r="H102" s="380"/>
      <c r="J102" s="358"/>
      <c r="K102" s="194" t="s">
        <v>248</v>
      </c>
      <c r="L102" s="194" t="s">
        <v>276</v>
      </c>
      <c r="M102" s="299">
        <v>0.26855696409946989</v>
      </c>
      <c r="N102" s="299">
        <v>0.27032333142156351</v>
      </c>
      <c r="O102" s="299">
        <v>0.27208969874365702</v>
      </c>
      <c r="P102" s="299">
        <v>0.27385606606575053</v>
      </c>
      <c r="Q102" s="299">
        <v>0.27562243338784398</v>
      </c>
      <c r="R102" s="299">
        <v>0.27738880070993749</v>
      </c>
      <c r="S102" s="299">
        <v>0.279155168032031</v>
      </c>
      <c r="T102" s="299">
        <v>0.28092153535412451</v>
      </c>
      <c r="U102" s="299">
        <v>0.28268790267621802</v>
      </c>
      <c r="V102" s="299">
        <v>0.28445426999831153</v>
      </c>
      <c r="W102" s="299">
        <v>0.28622063732040498</v>
      </c>
      <c r="X102" s="299">
        <v>0.28798700464249849</v>
      </c>
      <c r="Y102" s="299">
        <v>0.28975337196459211</v>
      </c>
      <c r="Z102" s="299">
        <v>0.29151973928668562</v>
      </c>
      <c r="AA102" s="299">
        <v>0.29328610660877941</v>
      </c>
      <c r="AB102" s="299">
        <v>0.29378595282095449</v>
      </c>
      <c r="AC102" s="299">
        <v>0.29428579903312968</v>
      </c>
      <c r="AD102" s="299">
        <v>0.29478564524530482</v>
      </c>
      <c r="AE102" s="299">
        <v>0.29528549145748001</v>
      </c>
      <c r="AF102" s="299">
        <v>0.29578533766965509</v>
      </c>
      <c r="AG102" s="299">
        <v>0.29628518388183023</v>
      </c>
      <c r="AH102" s="299">
        <v>0.29678503009400542</v>
      </c>
      <c r="AI102" s="299">
        <v>0.2972848763061805</v>
      </c>
      <c r="AJ102" s="299">
        <v>0.29778472251835558</v>
      </c>
      <c r="AK102" s="299">
        <v>0.29828456873053077</v>
      </c>
      <c r="AL102" s="299">
        <v>0.29878441494270591</v>
      </c>
      <c r="AM102" s="299">
        <v>0.29928426115488099</v>
      </c>
      <c r="AN102" s="299">
        <v>0.29978410736705619</v>
      </c>
      <c r="AO102" s="299">
        <v>0.30028395357923132</v>
      </c>
      <c r="AP102" s="299">
        <v>0.30078379979140629</v>
      </c>
      <c r="AQ102" s="298"/>
    </row>
    <row r="103" spans="7:43" ht="14.25" customHeight="1" x14ac:dyDescent="0.2">
      <c r="G103" s="138"/>
      <c r="H103" s="380"/>
      <c r="J103" s="358"/>
      <c r="K103" s="135" t="s">
        <v>248</v>
      </c>
      <c r="L103" s="185" t="s">
        <v>277</v>
      </c>
      <c r="M103" s="300">
        <v>0.26855696409946989</v>
      </c>
      <c r="N103" s="300">
        <v>0.26981915651445298</v>
      </c>
      <c r="O103" s="300">
        <v>0.27108134892943608</v>
      </c>
      <c r="P103" s="300">
        <v>0.27234354134441918</v>
      </c>
      <c r="Q103" s="300">
        <v>0.27360573375940228</v>
      </c>
      <c r="R103" s="300">
        <v>0.27486792617438538</v>
      </c>
      <c r="S103" s="300">
        <v>0.27613011858936848</v>
      </c>
      <c r="T103" s="300">
        <v>0.27739231100435158</v>
      </c>
      <c r="U103" s="300">
        <v>0.27865450341933468</v>
      </c>
      <c r="V103" s="300">
        <v>0.27991669583431777</v>
      </c>
      <c r="W103" s="300">
        <v>0.28117888824930087</v>
      </c>
      <c r="X103" s="300">
        <v>0.28244108066428403</v>
      </c>
      <c r="Y103" s="300">
        <v>0.28370327307926713</v>
      </c>
      <c r="Z103" s="300">
        <v>0.28496546549425023</v>
      </c>
      <c r="AA103" s="300">
        <v>0.28622765790923349</v>
      </c>
      <c r="AB103" s="300">
        <v>0.2866982211558699</v>
      </c>
      <c r="AC103" s="300">
        <v>0.28716878440250632</v>
      </c>
      <c r="AD103" s="300">
        <v>0.28763934764914267</v>
      </c>
      <c r="AE103" s="300">
        <v>0.28810991089577909</v>
      </c>
      <c r="AF103" s="300">
        <v>0.28858047414241561</v>
      </c>
      <c r="AG103" s="300">
        <v>0.28905103738905202</v>
      </c>
      <c r="AH103" s="300">
        <v>0.28952160063568838</v>
      </c>
      <c r="AI103" s="300">
        <v>0.28999216388232479</v>
      </c>
      <c r="AJ103" s="300">
        <v>0.29046272712896121</v>
      </c>
      <c r="AK103" s="300">
        <v>0.29093329037559762</v>
      </c>
      <c r="AL103" s="300">
        <v>0.29140385362223398</v>
      </c>
      <c r="AM103" s="300">
        <v>0.29187441686887039</v>
      </c>
      <c r="AN103" s="300">
        <v>0.29234498011550691</v>
      </c>
      <c r="AO103" s="300">
        <v>0.29281554336214333</v>
      </c>
      <c r="AP103" s="300">
        <v>0.29328610660877941</v>
      </c>
    </row>
    <row r="104" spans="7:43" ht="14.25" customHeight="1" thickBot="1" x14ac:dyDescent="0.25">
      <c r="G104" s="138"/>
      <c r="H104" s="380"/>
      <c r="J104" s="358"/>
      <c r="K104" s="196" t="s">
        <v>248</v>
      </c>
      <c r="L104" s="196" t="s">
        <v>278</v>
      </c>
      <c r="M104" s="301">
        <v>0.26855696409946989</v>
      </c>
      <c r="N104" s="301">
        <v>0.26855696409946989</v>
      </c>
      <c r="O104" s="301">
        <v>0.26855696409946989</v>
      </c>
      <c r="P104" s="301">
        <v>0.26855696409946989</v>
      </c>
      <c r="Q104" s="301">
        <v>0.26855696409946989</v>
      </c>
      <c r="R104" s="301">
        <v>0.26855696409946989</v>
      </c>
      <c r="S104" s="301">
        <v>0.26855696409946989</v>
      </c>
      <c r="T104" s="301">
        <v>0.26855696409946989</v>
      </c>
      <c r="U104" s="301">
        <v>0.26855696409946989</v>
      </c>
      <c r="V104" s="301">
        <v>0.26855696409946989</v>
      </c>
      <c r="W104" s="301">
        <v>0.26855696409946989</v>
      </c>
      <c r="X104" s="301">
        <v>0.26855696409946989</v>
      </c>
      <c r="Y104" s="301">
        <v>0.26855696409946989</v>
      </c>
      <c r="Z104" s="301">
        <v>0.26855696409946989</v>
      </c>
      <c r="AA104" s="301">
        <v>0.26855696409946989</v>
      </c>
      <c r="AB104" s="301">
        <v>0.26973501035345421</v>
      </c>
      <c r="AC104" s="301">
        <v>0.27091305660743842</v>
      </c>
      <c r="AD104" s="301">
        <v>0.27209110286142257</v>
      </c>
      <c r="AE104" s="301">
        <v>0.27326914911540678</v>
      </c>
      <c r="AF104" s="301">
        <v>0.27444719536939099</v>
      </c>
      <c r="AG104" s="301">
        <v>0.27562524162337521</v>
      </c>
      <c r="AH104" s="301">
        <v>0.27680328787735942</v>
      </c>
      <c r="AI104" s="301">
        <v>0.27798133413134363</v>
      </c>
      <c r="AJ104" s="301">
        <v>0.27915938038532778</v>
      </c>
      <c r="AK104" s="301">
        <v>0.28033742663931199</v>
      </c>
      <c r="AL104" s="301">
        <v>0.28151547289329631</v>
      </c>
      <c r="AM104" s="301">
        <v>0.28269351914728053</v>
      </c>
      <c r="AN104" s="301">
        <v>0.28387156540126468</v>
      </c>
      <c r="AO104" s="301">
        <v>0.28504961165524889</v>
      </c>
      <c r="AP104" s="301">
        <v>0.28622765790923349</v>
      </c>
    </row>
    <row r="105" spans="7:43" ht="14.25" customHeight="1" thickTop="1" x14ac:dyDescent="0.2">
      <c r="G105" s="138"/>
      <c r="H105" s="380"/>
      <c r="J105" s="358"/>
      <c r="K105" s="194" t="s">
        <v>250</v>
      </c>
      <c r="L105" s="194" t="s">
        <v>276</v>
      </c>
      <c r="M105" s="299">
        <v>0.25470627051585798</v>
      </c>
      <c r="N105" s="299">
        <v>0.25644457369392099</v>
      </c>
      <c r="O105" s="299">
        <v>0.25818287687198399</v>
      </c>
      <c r="P105" s="299">
        <v>0.25992118005004711</v>
      </c>
      <c r="Q105" s="299">
        <v>0.26165948322811011</v>
      </c>
      <c r="R105" s="299">
        <v>0.26339778640617312</v>
      </c>
      <c r="S105" s="299">
        <v>0.26513608958423612</v>
      </c>
      <c r="T105" s="299">
        <v>0.26687439276229907</v>
      </c>
      <c r="U105" s="299">
        <v>0.26861269594036208</v>
      </c>
      <c r="V105" s="299">
        <v>0.27035099911842508</v>
      </c>
      <c r="W105" s="299">
        <v>0.27208930229648809</v>
      </c>
      <c r="X105" s="299">
        <v>0.27382760547455109</v>
      </c>
      <c r="Y105" s="299">
        <v>0.2755659086526141</v>
      </c>
      <c r="Z105" s="299">
        <v>0.27730421183067711</v>
      </c>
      <c r="AA105" s="299">
        <v>0.27904251500874</v>
      </c>
      <c r="AB105" s="299">
        <v>0.27945774887334141</v>
      </c>
      <c r="AC105" s="299">
        <v>0.27987298273794281</v>
      </c>
      <c r="AD105" s="299">
        <v>0.28028821660254422</v>
      </c>
      <c r="AE105" s="299">
        <v>0.28070345046714562</v>
      </c>
      <c r="AF105" s="299">
        <v>0.28111868433174703</v>
      </c>
      <c r="AG105" s="299">
        <v>0.28153391819634838</v>
      </c>
      <c r="AH105" s="299">
        <v>0.28194915206094978</v>
      </c>
      <c r="AI105" s="299">
        <v>0.28236438592555119</v>
      </c>
      <c r="AJ105" s="299">
        <v>0.28277961979015259</v>
      </c>
      <c r="AK105" s="299">
        <v>0.28319485365475411</v>
      </c>
      <c r="AL105" s="299">
        <v>0.28361008751935551</v>
      </c>
      <c r="AM105" s="299">
        <v>0.28402532138395692</v>
      </c>
      <c r="AN105" s="299">
        <v>0.28444055524855832</v>
      </c>
      <c r="AO105" s="299">
        <v>0.28485578911315967</v>
      </c>
      <c r="AP105" s="299">
        <v>0.28527102297776102</v>
      </c>
    </row>
    <row r="106" spans="7:43" ht="14.25" customHeight="1" x14ac:dyDescent="0.2">
      <c r="G106" s="138"/>
      <c r="H106" s="380"/>
      <c r="J106" s="358"/>
      <c r="K106" s="135" t="s">
        <v>250</v>
      </c>
      <c r="L106" s="185" t="s">
        <v>277</v>
      </c>
      <c r="M106" s="300">
        <v>0.25470627051585798</v>
      </c>
      <c r="N106" s="300">
        <v>0.25594881396975733</v>
      </c>
      <c r="O106" s="300">
        <v>0.25719135742365651</v>
      </c>
      <c r="P106" s="300">
        <v>0.25843390087755569</v>
      </c>
      <c r="Q106" s="300">
        <v>0.25967644433145498</v>
      </c>
      <c r="R106" s="300">
        <v>0.26091898778535422</v>
      </c>
      <c r="S106" s="300">
        <v>0.26216153123925351</v>
      </c>
      <c r="T106" s="300">
        <v>0.26340407469315269</v>
      </c>
      <c r="U106" s="300">
        <v>0.26464661814705193</v>
      </c>
      <c r="V106" s="300">
        <v>0.26588916160095122</v>
      </c>
      <c r="W106" s="300">
        <v>0.2671317050548504</v>
      </c>
      <c r="X106" s="300">
        <v>0.26837424850874958</v>
      </c>
      <c r="Y106" s="300">
        <v>0.26961679196264893</v>
      </c>
      <c r="Z106" s="300">
        <v>0.27085933541654811</v>
      </c>
      <c r="AA106" s="300">
        <v>0.27210187887044762</v>
      </c>
      <c r="AB106" s="300">
        <v>0.27256458794633381</v>
      </c>
      <c r="AC106" s="300">
        <v>0.27302729702221989</v>
      </c>
      <c r="AD106" s="300">
        <v>0.27349000609810598</v>
      </c>
      <c r="AE106" s="300">
        <v>0.27395271517399222</v>
      </c>
      <c r="AF106" s="300">
        <v>0.2744154242498783</v>
      </c>
      <c r="AG106" s="300">
        <v>0.27487813332576438</v>
      </c>
      <c r="AH106" s="300">
        <v>0.27534084240165058</v>
      </c>
      <c r="AI106" s="300">
        <v>0.27580355147753671</v>
      </c>
      <c r="AJ106" s="300">
        <v>0.27626626055342279</v>
      </c>
      <c r="AK106" s="300">
        <v>0.27672896962930899</v>
      </c>
      <c r="AL106" s="300">
        <v>0.27719167870519512</v>
      </c>
      <c r="AM106" s="300">
        <v>0.27765438778108131</v>
      </c>
      <c r="AN106" s="300">
        <v>0.27811709685696739</v>
      </c>
      <c r="AO106" s="300">
        <v>0.27857980593285347</v>
      </c>
      <c r="AP106" s="300">
        <v>0.27904251500874</v>
      </c>
    </row>
    <row r="107" spans="7:43" ht="14.25" customHeight="1" thickBot="1" x14ac:dyDescent="0.25">
      <c r="G107" s="138"/>
      <c r="H107" s="380"/>
      <c r="J107" s="358"/>
      <c r="K107" s="196" t="s">
        <v>250</v>
      </c>
      <c r="L107" s="196" t="s">
        <v>278</v>
      </c>
      <c r="M107" s="301">
        <v>0.25470627051585798</v>
      </c>
      <c r="N107" s="301">
        <v>0.25470627051585798</v>
      </c>
      <c r="O107" s="301">
        <v>0.25470627051585798</v>
      </c>
      <c r="P107" s="301">
        <v>0.25470627051585798</v>
      </c>
      <c r="Q107" s="301">
        <v>0.25470627051585798</v>
      </c>
      <c r="R107" s="301">
        <v>0.25470627051585798</v>
      </c>
      <c r="S107" s="301">
        <v>0.25470627051585798</v>
      </c>
      <c r="T107" s="301">
        <v>0.25470627051585798</v>
      </c>
      <c r="U107" s="301">
        <v>0.25470627051585798</v>
      </c>
      <c r="V107" s="301">
        <v>0.25470627051585798</v>
      </c>
      <c r="W107" s="301">
        <v>0.25470627051585798</v>
      </c>
      <c r="X107" s="301">
        <v>0.25470627051585798</v>
      </c>
      <c r="Y107" s="301">
        <v>0.25470627051585798</v>
      </c>
      <c r="Z107" s="301">
        <v>0.25470627051585798</v>
      </c>
      <c r="AA107" s="301">
        <v>0.25470627051585798</v>
      </c>
      <c r="AB107" s="301">
        <v>0.25586597773949732</v>
      </c>
      <c r="AC107" s="301">
        <v>0.2570256849631366</v>
      </c>
      <c r="AD107" s="301">
        <v>0.25818539218677589</v>
      </c>
      <c r="AE107" s="301">
        <v>0.25934509941041523</v>
      </c>
      <c r="AF107" s="301">
        <v>0.26050480663405451</v>
      </c>
      <c r="AG107" s="301">
        <v>0.26166451385769368</v>
      </c>
      <c r="AH107" s="301">
        <v>0.26282422108133302</v>
      </c>
      <c r="AI107" s="301">
        <v>0.2639839283049723</v>
      </c>
      <c r="AJ107" s="301">
        <v>0.26514363552861159</v>
      </c>
      <c r="AK107" s="301">
        <v>0.26630334275225093</v>
      </c>
      <c r="AL107" s="301">
        <v>0.26746304997589021</v>
      </c>
      <c r="AM107" s="301">
        <v>0.26862275719952938</v>
      </c>
      <c r="AN107" s="301">
        <v>0.26978246442316872</v>
      </c>
      <c r="AO107" s="301">
        <v>0.27094217164680801</v>
      </c>
      <c r="AP107" s="301">
        <v>0.27210187887044762</v>
      </c>
    </row>
    <row r="108" spans="7:43" ht="14.25" customHeight="1" thickTop="1" x14ac:dyDescent="0.2">
      <c r="G108" s="138"/>
      <c r="H108" s="380"/>
      <c r="J108" s="358"/>
      <c r="K108" s="194" t="s">
        <v>252</v>
      </c>
      <c r="L108" s="194" t="s">
        <v>276</v>
      </c>
      <c r="M108" s="299">
        <v>0.24489028160130469</v>
      </c>
      <c r="N108" s="299">
        <v>0.24656276907630439</v>
      </c>
      <c r="O108" s="299">
        <v>0.2482352565513041</v>
      </c>
      <c r="P108" s="299">
        <v>0.24990774402630381</v>
      </c>
      <c r="Q108" s="299">
        <v>0.25158023150130349</v>
      </c>
      <c r="R108" s="299">
        <v>0.25325271897630319</v>
      </c>
      <c r="S108" s="299">
        <v>0.25492520645130301</v>
      </c>
      <c r="T108" s="299">
        <v>0.25659769392630272</v>
      </c>
      <c r="U108" s="299">
        <v>0.25827018140130242</v>
      </c>
      <c r="V108" s="299">
        <v>0.25994266887630207</v>
      </c>
      <c r="W108" s="299">
        <v>0.26161515635130178</v>
      </c>
      <c r="X108" s="299">
        <v>0.26328764382630149</v>
      </c>
      <c r="Y108" s="299">
        <v>0.26496013130130119</v>
      </c>
      <c r="Z108" s="299">
        <v>0.2666326187763009</v>
      </c>
      <c r="AA108" s="299">
        <v>0.26830510625130077</v>
      </c>
      <c r="AB108" s="299">
        <v>0.26870324019411151</v>
      </c>
      <c r="AC108" s="299">
        <v>0.26910137413692209</v>
      </c>
      <c r="AD108" s="299">
        <v>0.26949950807973277</v>
      </c>
      <c r="AE108" s="299">
        <v>0.26989764202254352</v>
      </c>
      <c r="AF108" s="299">
        <v>0.2702957759653542</v>
      </c>
      <c r="AG108" s="299">
        <v>0.27069390990816489</v>
      </c>
      <c r="AH108" s="299">
        <v>0.27109204385097557</v>
      </c>
      <c r="AI108" s="299">
        <v>0.27149017779378631</v>
      </c>
      <c r="AJ108" s="299">
        <v>0.27188831173659689</v>
      </c>
      <c r="AK108" s="299">
        <v>0.27228644567940757</v>
      </c>
      <c r="AL108" s="299">
        <v>0.27268457962221831</v>
      </c>
      <c r="AM108" s="299">
        <v>0.273082713565029</v>
      </c>
      <c r="AN108" s="299">
        <v>0.27348084750783969</v>
      </c>
      <c r="AO108" s="299">
        <v>0.27387898145065043</v>
      </c>
      <c r="AP108" s="299">
        <v>0.27427711539346128</v>
      </c>
    </row>
    <row r="109" spans="7:43" ht="14.25" customHeight="1" x14ac:dyDescent="0.2">
      <c r="G109" s="138"/>
      <c r="H109" s="380"/>
      <c r="J109" s="358"/>
      <c r="K109" s="135" t="s">
        <v>252</v>
      </c>
      <c r="L109" s="185" t="s">
        <v>277</v>
      </c>
      <c r="M109" s="300">
        <v>0.24489028160130469</v>
      </c>
      <c r="N109" s="300">
        <v>0.24609459370711681</v>
      </c>
      <c r="O109" s="300">
        <v>0.24729890581292879</v>
      </c>
      <c r="P109" s="300">
        <v>0.24850321791874089</v>
      </c>
      <c r="Q109" s="300">
        <v>0.24970753002455301</v>
      </c>
      <c r="R109" s="300">
        <v>0.25091184213036499</v>
      </c>
      <c r="S109" s="300">
        <v>0.25211615423617711</v>
      </c>
      <c r="T109" s="300">
        <v>0.25332046634198913</v>
      </c>
      <c r="U109" s="300">
        <v>0.25452477844780119</v>
      </c>
      <c r="V109" s="300">
        <v>0.25572909055361331</v>
      </c>
      <c r="W109" s="300">
        <v>0.25693340265942533</v>
      </c>
      <c r="X109" s="300">
        <v>0.25813771476523739</v>
      </c>
      <c r="Y109" s="300">
        <v>0.25934202687104951</v>
      </c>
      <c r="Z109" s="300">
        <v>0.26054633897686152</v>
      </c>
      <c r="AA109" s="300">
        <v>0.26175065108267348</v>
      </c>
      <c r="AB109" s="300">
        <v>0.262187614760582</v>
      </c>
      <c r="AC109" s="300">
        <v>0.26262457843849052</v>
      </c>
      <c r="AD109" s="300">
        <v>0.26306154211639893</v>
      </c>
      <c r="AE109" s="300">
        <v>0.26349850579430739</v>
      </c>
      <c r="AF109" s="300">
        <v>0.26393546947221591</v>
      </c>
      <c r="AG109" s="300">
        <v>0.26437243315012432</v>
      </c>
      <c r="AH109" s="300">
        <v>0.26480939682803278</v>
      </c>
      <c r="AI109" s="300">
        <v>0.26524636050594119</v>
      </c>
      <c r="AJ109" s="300">
        <v>0.26568332418384971</v>
      </c>
      <c r="AK109" s="300">
        <v>0.26612028786175818</v>
      </c>
      <c r="AL109" s="300">
        <v>0.26655725153966658</v>
      </c>
      <c r="AM109" s="300">
        <v>0.2669942152175751</v>
      </c>
      <c r="AN109" s="300">
        <v>0.26743117889548362</v>
      </c>
      <c r="AO109" s="300">
        <v>0.26786814257339198</v>
      </c>
      <c r="AP109" s="300">
        <v>0.26830510625130077</v>
      </c>
    </row>
    <row r="110" spans="7:43" ht="14.25" customHeight="1" thickBot="1" x14ac:dyDescent="0.25">
      <c r="G110" s="138"/>
      <c r="H110" s="380"/>
      <c r="J110" s="358"/>
      <c r="K110" s="196" t="s">
        <v>252</v>
      </c>
      <c r="L110" s="196" t="s">
        <v>278</v>
      </c>
      <c r="M110" s="301">
        <v>0.24489028160130469</v>
      </c>
      <c r="N110" s="301">
        <v>0.24489028160130469</v>
      </c>
      <c r="O110" s="301">
        <v>0.24489028160130469</v>
      </c>
      <c r="P110" s="301">
        <v>0.24489028160130469</v>
      </c>
      <c r="Q110" s="301">
        <v>0.24489028160130469</v>
      </c>
      <c r="R110" s="301">
        <v>0.24489028160130469</v>
      </c>
      <c r="S110" s="301">
        <v>0.24489028160130469</v>
      </c>
      <c r="T110" s="301">
        <v>0.24489028160130469</v>
      </c>
      <c r="U110" s="301">
        <v>0.24489028160130469</v>
      </c>
      <c r="V110" s="301">
        <v>0.24489028160130469</v>
      </c>
      <c r="W110" s="301">
        <v>0.24489028160130469</v>
      </c>
      <c r="X110" s="301">
        <v>0.24489028160130469</v>
      </c>
      <c r="Y110" s="301">
        <v>0.24489028160130469</v>
      </c>
      <c r="Z110" s="301">
        <v>0.24489028160130469</v>
      </c>
      <c r="AA110" s="301">
        <v>0.24489028160130469</v>
      </c>
      <c r="AB110" s="301">
        <v>0.24601430623339601</v>
      </c>
      <c r="AC110" s="301">
        <v>0.2471383308654872</v>
      </c>
      <c r="AD110" s="301">
        <v>0.2482623554975785</v>
      </c>
      <c r="AE110" s="301">
        <v>0.24938638012966979</v>
      </c>
      <c r="AF110" s="301">
        <v>0.25051040476176101</v>
      </c>
      <c r="AG110" s="301">
        <v>0.25163442939385228</v>
      </c>
      <c r="AH110" s="301">
        <v>0.25275845402594349</v>
      </c>
      <c r="AI110" s="301">
        <v>0.25388247865803482</v>
      </c>
      <c r="AJ110" s="301">
        <v>0.25500650329012609</v>
      </c>
      <c r="AK110" s="301">
        <v>0.25613052792221741</v>
      </c>
      <c r="AL110" s="301">
        <v>0.25725455255430862</v>
      </c>
      <c r="AM110" s="301">
        <v>0.25837857718639989</v>
      </c>
      <c r="AN110" s="301">
        <v>0.25950260181849122</v>
      </c>
      <c r="AO110" s="301">
        <v>0.26062662645058238</v>
      </c>
      <c r="AP110" s="301">
        <v>0.26175065108267348</v>
      </c>
    </row>
    <row r="111" spans="7:43" ht="14.25" customHeight="1" thickTop="1" x14ac:dyDescent="0.2">
      <c r="G111" s="138"/>
      <c r="H111" s="380"/>
      <c r="J111" s="358"/>
      <c r="K111" s="194" t="s">
        <v>254</v>
      </c>
      <c r="L111" s="194" t="s">
        <v>276</v>
      </c>
      <c r="M111" s="299">
        <v>0.23299606754760821</v>
      </c>
      <c r="N111" s="299">
        <v>0.2346200569341032</v>
      </c>
      <c r="O111" s="299">
        <v>0.2362440463205982</v>
      </c>
      <c r="P111" s="299">
        <v>0.23786803570709331</v>
      </c>
      <c r="Q111" s="299">
        <v>0.2394920250935883</v>
      </c>
      <c r="R111" s="299">
        <v>0.2411160144800833</v>
      </c>
      <c r="S111" s="299">
        <v>0.24274000386657829</v>
      </c>
      <c r="T111" s="299">
        <v>0.24436399325307331</v>
      </c>
      <c r="U111" s="299">
        <v>0.24598798263956839</v>
      </c>
      <c r="V111" s="299">
        <v>0.24761197202606339</v>
      </c>
      <c r="W111" s="299">
        <v>0.24923596141255841</v>
      </c>
      <c r="X111" s="299">
        <v>0.25085995079905338</v>
      </c>
      <c r="Y111" s="299">
        <v>0.25248394018554837</v>
      </c>
      <c r="Z111" s="299">
        <v>0.25410792957204342</v>
      </c>
      <c r="AA111" s="299">
        <v>0.25573191895853847</v>
      </c>
      <c r="AB111" s="299">
        <v>0.25608016407152401</v>
      </c>
      <c r="AC111" s="299">
        <v>0.25642840918450949</v>
      </c>
      <c r="AD111" s="299">
        <v>0.25677665429749508</v>
      </c>
      <c r="AE111" s="299">
        <v>0.25712489941048061</v>
      </c>
      <c r="AF111" s="299">
        <v>0.25747314452346609</v>
      </c>
      <c r="AG111" s="299">
        <v>0.25782138963645168</v>
      </c>
      <c r="AH111" s="299">
        <v>0.25816963474943722</v>
      </c>
      <c r="AI111" s="299">
        <v>0.25851787986242281</v>
      </c>
      <c r="AJ111" s="299">
        <v>0.25886612497540828</v>
      </c>
      <c r="AK111" s="299">
        <v>0.25921437008839382</v>
      </c>
      <c r="AL111" s="299">
        <v>0.25956261520137941</v>
      </c>
      <c r="AM111" s="299">
        <v>0.25991086031436489</v>
      </c>
      <c r="AN111" s="299">
        <v>0.26025910542735042</v>
      </c>
      <c r="AO111" s="299">
        <v>0.26060735054033601</v>
      </c>
      <c r="AP111" s="299">
        <v>0.26095559565332122</v>
      </c>
    </row>
    <row r="112" spans="7:43" ht="14.25" customHeight="1" x14ac:dyDescent="0.2">
      <c r="G112" s="138"/>
      <c r="H112" s="380"/>
      <c r="J112" s="358"/>
      <c r="K112" s="135" t="s">
        <v>254</v>
      </c>
      <c r="L112" s="185" t="s">
        <v>277</v>
      </c>
      <c r="M112" s="300">
        <v>0.23299606754760821</v>
      </c>
      <c r="N112" s="300">
        <v>0.2341668800189152</v>
      </c>
      <c r="O112" s="300">
        <v>0.2353376924902221</v>
      </c>
      <c r="P112" s="300">
        <v>0.23650850496152909</v>
      </c>
      <c r="Q112" s="300">
        <v>0.23767931743283599</v>
      </c>
      <c r="R112" s="300">
        <v>0.238850129904143</v>
      </c>
      <c r="S112" s="300">
        <v>0.24002094237544999</v>
      </c>
      <c r="T112" s="300">
        <v>0.2411917548467569</v>
      </c>
      <c r="U112" s="300">
        <v>0.24236256731806391</v>
      </c>
      <c r="V112" s="300">
        <v>0.24353337978937081</v>
      </c>
      <c r="W112" s="300">
        <v>0.2447041922606778</v>
      </c>
      <c r="X112" s="300">
        <v>0.24587500473198479</v>
      </c>
      <c r="Y112" s="300">
        <v>0.24704581720329169</v>
      </c>
      <c r="Z112" s="300">
        <v>0.2482166296745987</v>
      </c>
      <c r="AA112" s="300">
        <v>0.2493874421459058</v>
      </c>
      <c r="AB112" s="300">
        <v>0.249810407266748</v>
      </c>
      <c r="AC112" s="300">
        <v>0.25023337238759008</v>
      </c>
      <c r="AD112" s="300">
        <v>0.2506563375084323</v>
      </c>
      <c r="AE112" s="300">
        <v>0.25107930262927453</v>
      </c>
      <c r="AF112" s="300">
        <v>0.25150226775011658</v>
      </c>
      <c r="AG112" s="300">
        <v>0.2519252328709588</v>
      </c>
      <c r="AH112" s="300">
        <v>0.25234819799180103</v>
      </c>
      <c r="AI112" s="300">
        <v>0.25277116311264308</v>
      </c>
      <c r="AJ112" s="300">
        <v>0.2531941282334853</v>
      </c>
      <c r="AK112" s="300">
        <v>0.25361709335432753</v>
      </c>
      <c r="AL112" s="300">
        <v>0.25404005847516958</v>
      </c>
      <c r="AM112" s="300">
        <v>0.25446302359601181</v>
      </c>
      <c r="AN112" s="300">
        <v>0.25488598871685397</v>
      </c>
      <c r="AO112" s="300">
        <v>0.25530895383769608</v>
      </c>
      <c r="AP112" s="300">
        <v>0.25573191895853847</v>
      </c>
    </row>
    <row r="113" spans="7:43" ht="14.25" customHeight="1" thickBot="1" x14ac:dyDescent="0.25">
      <c r="G113" s="138"/>
      <c r="H113" s="380"/>
      <c r="J113" s="358"/>
      <c r="K113" s="196" t="s">
        <v>254</v>
      </c>
      <c r="L113" s="196" t="s">
        <v>278</v>
      </c>
      <c r="M113" s="301">
        <v>0.23299606754760821</v>
      </c>
      <c r="N113" s="301">
        <v>0.23299606754760821</v>
      </c>
      <c r="O113" s="301">
        <v>0.23299606754760821</v>
      </c>
      <c r="P113" s="301">
        <v>0.23299606754760821</v>
      </c>
      <c r="Q113" s="301">
        <v>0.23299606754760821</v>
      </c>
      <c r="R113" s="301">
        <v>0.23299606754760821</v>
      </c>
      <c r="S113" s="301">
        <v>0.23299606754760821</v>
      </c>
      <c r="T113" s="301">
        <v>0.23299606754760821</v>
      </c>
      <c r="U113" s="301">
        <v>0.23299606754760821</v>
      </c>
      <c r="V113" s="301">
        <v>0.23299606754760821</v>
      </c>
      <c r="W113" s="301">
        <v>0.23299606754760821</v>
      </c>
      <c r="X113" s="301">
        <v>0.23299606754760821</v>
      </c>
      <c r="Y113" s="301">
        <v>0.23299606754760821</v>
      </c>
      <c r="Z113" s="301">
        <v>0.23299606754760821</v>
      </c>
      <c r="AA113" s="301">
        <v>0.23299606754760821</v>
      </c>
      <c r="AB113" s="301">
        <v>0.23408882585416141</v>
      </c>
      <c r="AC113" s="301">
        <v>0.2351815841607145</v>
      </c>
      <c r="AD113" s="301">
        <v>0.2362743424672677</v>
      </c>
      <c r="AE113" s="301">
        <v>0.23736710077382089</v>
      </c>
      <c r="AF113" s="301">
        <v>0.23845985908037401</v>
      </c>
      <c r="AG113" s="301">
        <v>0.23955261738692721</v>
      </c>
      <c r="AH113" s="301">
        <v>0.24064537569348041</v>
      </c>
      <c r="AI113" s="301">
        <v>0.24173813400003349</v>
      </c>
      <c r="AJ113" s="301">
        <v>0.24283089230658669</v>
      </c>
      <c r="AK113" s="301">
        <v>0.24392365061313989</v>
      </c>
      <c r="AL113" s="301">
        <v>0.24501640891969309</v>
      </c>
      <c r="AM113" s="301">
        <v>0.24610916722624621</v>
      </c>
      <c r="AN113" s="301">
        <v>0.2472019255327994</v>
      </c>
      <c r="AO113" s="301">
        <v>0.2482946838393526</v>
      </c>
      <c r="AP113" s="301">
        <v>0.2493874421459058</v>
      </c>
    </row>
    <row r="114" spans="7:43" ht="14.25" customHeight="1" thickTop="1" x14ac:dyDescent="0.2">
      <c r="G114" s="138"/>
      <c r="H114" s="380"/>
      <c r="J114" s="358"/>
      <c r="K114" s="194" t="s">
        <v>256</v>
      </c>
      <c r="L114" s="194" t="s">
        <v>276</v>
      </c>
      <c r="M114" s="299">
        <v>0.2137263952067226</v>
      </c>
      <c r="N114" s="299">
        <v>0.21527982036711699</v>
      </c>
      <c r="O114" s="299">
        <v>0.21683324552751129</v>
      </c>
      <c r="P114" s="299">
        <v>0.21838667068790571</v>
      </c>
      <c r="Q114" s="299">
        <v>0.2199400958483001</v>
      </c>
      <c r="R114" s="299">
        <v>0.22149352100869449</v>
      </c>
      <c r="S114" s="299">
        <v>0.22304694616908891</v>
      </c>
      <c r="T114" s="299">
        <v>0.22460037132948329</v>
      </c>
      <c r="U114" s="299">
        <v>0.22615379648987771</v>
      </c>
      <c r="V114" s="299">
        <v>0.2277072216502721</v>
      </c>
      <c r="W114" s="299">
        <v>0.22926064681066649</v>
      </c>
      <c r="X114" s="299">
        <v>0.23081407197106091</v>
      </c>
      <c r="Y114" s="299">
        <v>0.23236749713145519</v>
      </c>
      <c r="Z114" s="299">
        <v>0.2339209222918496</v>
      </c>
      <c r="AA114" s="299">
        <v>0.23547434745224399</v>
      </c>
      <c r="AB114" s="299">
        <v>0.23573429513086311</v>
      </c>
      <c r="AC114" s="299">
        <v>0.23599424280948211</v>
      </c>
      <c r="AD114" s="299">
        <v>0.23625419048810109</v>
      </c>
      <c r="AE114" s="299">
        <v>0.23651413816672009</v>
      </c>
      <c r="AF114" s="299">
        <v>0.2367740858453391</v>
      </c>
      <c r="AG114" s="299">
        <v>0.2370340335239581</v>
      </c>
      <c r="AH114" s="299">
        <v>0.23729398120257711</v>
      </c>
      <c r="AI114" s="299">
        <v>0.23755392888119611</v>
      </c>
      <c r="AJ114" s="299">
        <v>0.23781387655981509</v>
      </c>
      <c r="AK114" s="299">
        <v>0.2380738242384341</v>
      </c>
      <c r="AL114" s="299">
        <v>0.2383337719170531</v>
      </c>
      <c r="AM114" s="299">
        <v>0.2385937195956721</v>
      </c>
      <c r="AN114" s="299">
        <v>0.23885366727429111</v>
      </c>
      <c r="AO114" s="299">
        <v>0.23911361495291009</v>
      </c>
      <c r="AP114" s="299">
        <v>0.23937356263152931</v>
      </c>
      <c r="AQ114" s="298"/>
    </row>
    <row r="115" spans="7:43" ht="14.25" customHeight="1" x14ac:dyDescent="0.2">
      <c r="G115" s="138"/>
      <c r="H115" s="380"/>
      <c r="J115" s="358"/>
      <c r="K115" s="135" t="s">
        <v>256</v>
      </c>
      <c r="L115" s="185" t="s">
        <v>277</v>
      </c>
      <c r="M115" s="300">
        <v>0.2137263952067226</v>
      </c>
      <c r="N115" s="300">
        <v>0.2148366810327087</v>
      </c>
      <c r="O115" s="300">
        <v>0.2159469668586948</v>
      </c>
      <c r="P115" s="300">
        <v>0.21705725268468101</v>
      </c>
      <c r="Q115" s="300">
        <v>0.21816753851066709</v>
      </c>
      <c r="R115" s="300">
        <v>0.21927782433665319</v>
      </c>
      <c r="S115" s="300">
        <v>0.22038811016263929</v>
      </c>
      <c r="T115" s="300">
        <v>0.2214983959886255</v>
      </c>
      <c r="U115" s="300">
        <v>0.2226086818146116</v>
      </c>
      <c r="V115" s="300">
        <v>0.2237189676405977</v>
      </c>
      <c r="W115" s="300">
        <v>0.22482925346658389</v>
      </c>
      <c r="X115" s="300">
        <v>0.22593953929256999</v>
      </c>
      <c r="Y115" s="300">
        <v>0.22704982511855609</v>
      </c>
      <c r="Z115" s="300">
        <v>0.22816011094454219</v>
      </c>
      <c r="AA115" s="300">
        <v>0.22927039677052821</v>
      </c>
      <c r="AB115" s="300">
        <v>0.2296839934826426</v>
      </c>
      <c r="AC115" s="300">
        <v>0.23009759019475701</v>
      </c>
      <c r="AD115" s="300">
        <v>0.23051118690687139</v>
      </c>
      <c r="AE115" s="300">
        <v>0.2309247836189858</v>
      </c>
      <c r="AF115" s="300">
        <v>0.23133838033110021</v>
      </c>
      <c r="AG115" s="300">
        <v>0.23175197704321451</v>
      </c>
      <c r="AH115" s="300">
        <v>0.2321655737553289</v>
      </c>
      <c r="AI115" s="300">
        <v>0.23257917046744331</v>
      </c>
      <c r="AJ115" s="300">
        <v>0.23299276717955769</v>
      </c>
      <c r="AK115" s="300">
        <v>0.2334063638916721</v>
      </c>
      <c r="AL115" s="300">
        <v>0.23381996060378649</v>
      </c>
      <c r="AM115" s="300">
        <v>0.23423355731590079</v>
      </c>
      <c r="AN115" s="300">
        <v>0.2346471540280152</v>
      </c>
      <c r="AO115" s="300">
        <v>0.23506075074012961</v>
      </c>
      <c r="AP115" s="300">
        <v>0.23547434745224399</v>
      </c>
    </row>
    <row r="116" spans="7:43" ht="14.25" customHeight="1" thickBot="1" x14ac:dyDescent="0.25">
      <c r="G116" s="138"/>
      <c r="H116" s="380"/>
      <c r="J116" s="368"/>
      <c r="K116" s="196" t="s">
        <v>256</v>
      </c>
      <c r="L116" s="196" t="s">
        <v>278</v>
      </c>
      <c r="M116" s="301">
        <v>0.2137263952067226</v>
      </c>
      <c r="N116" s="301">
        <v>0.2137263952067226</v>
      </c>
      <c r="O116" s="301">
        <v>0.2137263952067226</v>
      </c>
      <c r="P116" s="301">
        <v>0.2137263952067226</v>
      </c>
      <c r="Q116" s="301">
        <v>0.2137263952067226</v>
      </c>
      <c r="R116" s="301">
        <v>0.2137263952067226</v>
      </c>
      <c r="S116" s="301">
        <v>0.2137263952067226</v>
      </c>
      <c r="T116" s="301">
        <v>0.2137263952067226</v>
      </c>
      <c r="U116" s="301">
        <v>0.2137263952067226</v>
      </c>
      <c r="V116" s="301">
        <v>0.2137263952067226</v>
      </c>
      <c r="W116" s="301">
        <v>0.2137263952067226</v>
      </c>
      <c r="X116" s="301">
        <v>0.2137263952067226</v>
      </c>
      <c r="Y116" s="301">
        <v>0.2137263952067226</v>
      </c>
      <c r="Z116" s="301">
        <v>0.2137263952067226</v>
      </c>
      <c r="AA116" s="301">
        <v>0.2137263952067226</v>
      </c>
      <c r="AB116" s="301">
        <v>0.21476266197764299</v>
      </c>
      <c r="AC116" s="301">
        <v>0.21579892874856341</v>
      </c>
      <c r="AD116" s="301">
        <v>0.21683519551948369</v>
      </c>
      <c r="AE116" s="301">
        <v>0.21787146229040411</v>
      </c>
      <c r="AF116" s="301">
        <v>0.2189077290613245</v>
      </c>
      <c r="AG116" s="301">
        <v>0.21994399583224489</v>
      </c>
      <c r="AH116" s="301">
        <v>0.22098026260316531</v>
      </c>
      <c r="AI116" s="301">
        <v>0.2220165293740857</v>
      </c>
      <c r="AJ116" s="301">
        <v>0.22305279614500609</v>
      </c>
      <c r="AK116" s="301">
        <v>0.22408906291592651</v>
      </c>
      <c r="AL116" s="301">
        <v>0.2251253296868469</v>
      </c>
      <c r="AM116" s="301">
        <v>0.22616159645776729</v>
      </c>
      <c r="AN116" s="301">
        <v>0.22719786322868771</v>
      </c>
      <c r="AO116" s="301">
        <v>0.22823412999960799</v>
      </c>
      <c r="AP116" s="301">
        <v>0.22927039677052821</v>
      </c>
    </row>
    <row r="117" spans="7:43" ht="14.25" customHeight="1" thickTop="1" x14ac:dyDescent="0.2">
      <c r="G117" s="138"/>
      <c r="H117" s="380"/>
      <c r="J117" s="201"/>
      <c r="K117" s="135"/>
      <c r="L117" s="135"/>
      <c r="M117" s="202"/>
      <c r="N117" s="202"/>
      <c r="O117" s="202"/>
      <c r="P117" s="202"/>
      <c r="Q117" s="202"/>
      <c r="R117" s="202"/>
      <c r="S117" s="202"/>
      <c r="T117" s="202"/>
      <c r="U117" s="202"/>
      <c r="V117" s="202"/>
      <c r="W117" s="202"/>
      <c r="X117" s="202"/>
      <c r="Y117" s="202"/>
      <c r="Z117" s="202"/>
      <c r="AA117" s="202"/>
      <c r="AB117" s="202"/>
      <c r="AC117" s="202"/>
      <c r="AD117" s="202"/>
      <c r="AE117" s="202"/>
      <c r="AF117" s="202"/>
      <c r="AG117" s="202"/>
      <c r="AH117" s="202"/>
      <c r="AI117" s="202"/>
      <c r="AJ117" s="202"/>
      <c r="AK117" s="202"/>
      <c r="AL117" s="202"/>
      <c r="AM117" s="202"/>
      <c r="AN117" s="202"/>
      <c r="AO117" s="202"/>
      <c r="AP117" s="202"/>
    </row>
    <row r="118" spans="7:43" ht="14.25" customHeight="1" x14ac:dyDescent="0.2">
      <c r="G118" s="138"/>
      <c r="H118" s="380"/>
      <c r="J118" s="140"/>
      <c r="M118" s="123">
        <v>2021</v>
      </c>
      <c r="N118" s="123">
        <v>2022</v>
      </c>
      <c r="O118" s="123">
        <v>2023</v>
      </c>
      <c r="P118" s="123">
        <v>2024</v>
      </c>
      <c r="Q118" s="123">
        <v>2025</v>
      </c>
      <c r="R118" s="123">
        <v>2026</v>
      </c>
      <c r="S118" s="123">
        <v>2027</v>
      </c>
      <c r="T118" s="123">
        <v>2028</v>
      </c>
      <c r="U118" s="123">
        <v>2029</v>
      </c>
      <c r="V118" s="123">
        <v>2030</v>
      </c>
      <c r="W118" s="123">
        <v>2031</v>
      </c>
      <c r="X118" s="123">
        <v>2032</v>
      </c>
      <c r="Y118" s="123">
        <v>2033</v>
      </c>
      <c r="Z118" s="123">
        <v>2034</v>
      </c>
      <c r="AA118" s="123">
        <v>2035</v>
      </c>
      <c r="AB118" s="123">
        <v>2036</v>
      </c>
      <c r="AC118" s="123">
        <v>2037</v>
      </c>
      <c r="AD118" s="123">
        <v>2038</v>
      </c>
      <c r="AE118" s="123">
        <v>2039</v>
      </c>
      <c r="AF118" s="123">
        <v>2040</v>
      </c>
      <c r="AG118" s="123">
        <v>2041</v>
      </c>
      <c r="AH118" s="123">
        <v>2042</v>
      </c>
      <c r="AI118" s="123">
        <v>2043</v>
      </c>
      <c r="AJ118" s="123">
        <v>2044</v>
      </c>
      <c r="AK118" s="123">
        <v>2045</v>
      </c>
      <c r="AL118" s="123">
        <v>2046</v>
      </c>
      <c r="AM118" s="123">
        <v>2047</v>
      </c>
      <c r="AN118" s="123">
        <v>2048</v>
      </c>
      <c r="AO118" s="123">
        <v>2049</v>
      </c>
      <c r="AP118" s="123">
        <v>2050</v>
      </c>
    </row>
    <row r="119" spans="7:43" ht="14.25" customHeight="1" x14ac:dyDescent="0.2">
      <c r="G119" s="138"/>
      <c r="H119" s="380"/>
      <c r="J119" s="367" t="s">
        <v>293</v>
      </c>
      <c r="K119" s="194" t="s">
        <v>235</v>
      </c>
      <c r="L119" s="194" t="s">
        <v>276</v>
      </c>
      <c r="M119" s="302">
        <v>2978.2984732762029</v>
      </c>
      <c r="N119" s="302">
        <v>2994.234700811181</v>
      </c>
      <c r="O119" s="302">
        <v>3010.1709283461578</v>
      </c>
      <c r="P119" s="302">
        <v>3026.107155881135</v>
      </c>
      <c r="Q119" s="302">
        <v>3042.0433834161131</v>
      </c>
      <c r="R119" s="302">
        <v>3057.9796109510899</v>
      </c>
      <c r="S119" s="302">
        <v>3073.915838486068</v>
      </c>
      <c r="T119" s="302">
        <v>3089.8520660210452</v>
      </c>
      <c r="U119" s="302">
        <v>3105.7882935560219</v>
      </c>
      <c r="V119" s="302">
        <v>3121.724521091</v>
      </c>
      <c r="W119" s="302">
        <v>3137.6607486259768</v>
      </c>
      <c r="X119" s="302">
        <v>3153.596976160954</v>
      </c>
      <c r="Y119" s="302">
        <v>3169.5332036959321</v>
      </c>
      <c r="Z119" s="302">
        <v>3185.4694312309089</v>
      </c>
      <c r="AA119" s="302">
        <v>3201.4056587658888</v>
      </c>
      <c r="AB119" s="302">
        <v>3210.3582341861188</v>
      </c>
      <c r="AC119" s="302">
        <v>3219.3108096063502</v>
      </c>
      <c r="AD119" s="302">
        <v>3228.2633850265811</v>
      </c>
      <c r="AE119" s="302">
        <v>3237.2159604468111</v>
      </c>
      <c r="AF119" s="302">
        <v>3246.168535867042</v>
      </c>
      <c r="AG119" s="302">
        <v>3255.121111287272</v>
      </c>
      <c r="AH119" s="302">
        <v>3264.0736867075029</v>
      </c>
      <c r="AI119" s="302">
        <v>3273.0262621277338</v>
      </c>
      <c r="AJ119" s="302">
        <v>3281.9788375479652</v>
      </c>
      <c r="AK119" s="302">
        <v>3290.9314129681952</v>
      </c>
      <c r="AL119" s="302">
        <v>3299.8839883884261</v>
      </c>
      <c r="AM119" s="302">
        <v>3308.836563808657</v>
      </c>
      <c r="AN119" s="302">
        <v>3317.789139228888</v>
      </c>
      <c r="AO119" s="302">
        <v>3326.741714649118</v>
      </c>
      <c r="AP119" s="302">
        <v>3335.694290069348</v>
      </c>
    </row>
    <row r="120" spans="7:43" ht="14.25" customHeight="1" x14ac:dyDescent="0.2">
      <c r="G120" s="138"/>
      <c r="H120" s="380"/>
      <c r="J120" s="358"/>
      <c r="K120" s="135" t="s">
        <v>235</v>
      </c>
      <c r="L120" s="185" t="s">
        <v>277</v>
      </c>
      <c r="M120" s="303">
        <v>2978.2984732762029</v>
      </c>
      <c r="N120" s="303">
        <v>2989.8930131659358</v>
      </c>
      <c r="O120" s="303">
        <v>3001.4875530556701</v>
      </c>
      <c r="P120" s="303">
        <v>3013.082092945403</v>
      </c>
      <c r="Q120" s="303">
        <v>3024.6766328351359</v>
      </c>
      <c r="R120" s="303">
        <v>3036.2711727248688</v>
      </c>
      <c r="S120" s="303">
        <v>3047.8657126146022</v>
      </c>
      <c r="T120" s="303">
        <v>3059.460252504336</v>
      </c>
      <c r="U120" s="303">
        <v>3071.054792394068</v>
      </c>
      <c r="V120" s="303">
        <v>3082.6493322838019</v>
      </c>
      <c r="W120" s="303">
        <v>3094.2438721735348</v>
      </c>
      <c r="X120" s="303">
        <v>3105.8384120632682</v>
      </c>
      <c r="Y120" s="303">
        <v>3117.432951953002</v>
      </c>
      <c r="Z120" s="303">
        <v>3129.027491842734</v>
      </c>
      <c r="AA120" s="303">
        <v>3140.622031732466</v>
      </c>
      <c r="AB120" s="303">
        <v>3144.6742735346952</v>
      </c>
      <c r="AC120" s="303">
        <v>3148.7265153369231</v>
      </c>
      <c r="AD120" s="303">
        <v>3152.7787571391509</v>
      </c>
      <c r="AE120" s="303">
        <v>3156.8309989413792</v>
      </c>
      <c r="AF120" s="303">
        <v>3160.883240743608</v>
      </c>
      <c r="AG120" s="303">
        <v>3164.9354825458358</v>
      </c>
      <c r="AH120" s="303">
        <v>3168.9877243480641</v>
      </c>
      <c r="AI120" s="303">
        <v>3173.039966150292</v>
      </c>
      <c r="AJ120" s="303">
        <v>3177.0922079525199</v>
      </c>
      <c r="AK120" s="303">
        <v>3181.1444497547491</v>
      </c>
      <c r="AL120" s="303">
        <v>3185.1966915569769</v>
      </c>
      <c r="AM120" s="303">
        <v>3189.2489333592048</v>
      </c>
      <c r="AN120" s="303">
        <v>3193.3011751614331</v>
      </c>
      <c r="AO120" s="303">
        <v>3197.3534169636609</v>
      </c>
      <c r="AP120" s="303">
        <v>3201.4056587658888</v>
      </c>
    </row>
    <row r="121" spans="7:43" ht="14.25" customHeight="1" thickBot="1" x14ac:dyDescent="0.25">
      <c r="G121" s="138"/>
      <c r="H121" s="380"/>
      <c r="J121" s="358"/>
      <c r="K121" s="196" t="s">
        <v>235</v>
      </c>
      <c r="L121" s="196" t="s">
        <v>278</v>
      </c>
      <c r="M121" s="304">
        <v>2978.2984732762029</v>
      </c>
      <c r="N121" s="304">
        <v>2978.2984732762029</v>
      </c>
      <c r="O121" s="304">
        <v>2978.2984732762029</v>
      </c>
      <c r="P121" s="304">
        <v>2978.2984732762029</v>
      </c>
      <c r="Q121" s="304">
        <v>2978.2984732762029</v>
      </c>
      <c r="R121" s="304">
        <v>2978.2984732762029</v>
      </c>
      <c r="S121" s="304">
        <v>2978.2984732762029</v>
      </c>
      <c r="T121" s="304">
        <v>2978.2984732762029</v>
      </c>
      <c r="U121" s="304">
        <v>2978.2984732762029</v>
      </c>
      <c r="V121" s="304">
        <v>2978.2984732762029</v>
      </c>
      <c r="W121" s="304">
        <v>2978.2984732762029</v>
      </c>
      <c r="X121" s="304">
        <v>2978.2984732762029</v>
      </c>
      <c r="Y121" s="304">
        <v>2978.2984732762029</v>
      </c>
      <c r="Z121" s="304">
        <v>2978.2984732762029</v>
      </c>
      <c r="AA121" s="304">
        <v>2978.2984732762029</v>
      </c>
      <c r="AB121" s="304">
        <v>2989.1200438399542</v>
      </c>
      <c r="AC121" s="304">
        <v>2999.941614403705</v>
      </c>
      <c r="AD121" s="304">
        <v>3010.7631849674572</v>
      </c>
      <c r="AE121" s="304">
        <v>3021.584755531208</v>
      </c>
      <c r="AF121" s="304">
        <v>3032.4063260949588</v>
      </c>
      <c r="AG121" s="304">
        <v>3043.2278966587101</v>
      </c>
      <c r="AH121" s="304">
        <v>3054.0494672224609</v>
      </c>
      <c r="AI121" s="304">
        <v>3064.8710377862121</v>
      </c>
      <c r="AJ121" s="304">
        <v>3075.6926083499629</v>
      </c>
      <c r="AK121" s="304">
        <v>3086.5141789137142</v>
      </c>
      <c r="AL121" s="304">
        <v>3097.335749477465</v>
      </c>
      <c r="AM121" s="304">
        <v>3108.1573200412158</v>
      </c>
      <c r="AN121" s="304">
        <v>3118.978890604968</v>
      </c>
      <c r="AO121" s="304">
        <v>3129.8004611687188</v>
      </c>
      <c r="AP121" s="304">
        <v>3140.622031732466</v>
      </c>
    </row>
    <row r="122" spans="7:43" ht="14.25" customHeight="1" thickTop="1" x14ac:dyDescent="0.2">
      <c r="G122" s="138"/>
      <c r="H122" s="380"/>
      <c r="J122" s="358"/>
      <c r="K122" s="194" t="s">
        <v>240</v>
      </c>
      <c r="L122" s="194" t="s">
        <v>276</v>
      </c>
      <c r="M122" s="305">
        <v>2881.2937628623608</v>
      </c>
      <c r="N122" s="305">
        <v>2896.4464045773138</v>
      </c>
      <c r="O122" s="305">
        <v>2911.5990462922659</v>
      </c>
      <c r="P122" s="305">
        <v>2926.7516880072189</v>
      </c>
      <c r="Q122" s="305">
        <v>2941.904329722171</v>
      </c>
      <c r="R122" s="305">
        <v>2957.056971437124</v>
      </c>
      <c r="S122" s="305">
        <v>2972.2096131520771</v>
      </c>
      <c r="T122" s="305">
        <v>2987.3622548670301</v>
      </c>
      <c r="U122" s="305">
        <v>3002.5148965819822</v>
      </c>
      <c r="V122" s="305">
        <v>3017.6675382969352</v>
      </c>
      <c r="W122" s="305">
        <v>3032.8201800118868</v>
      </c>
      <c r="X122" s="305">
        <v>3047.9728217268398</v>
      </c>
      <c r="Y122" s="305">
        <v>3063.1254634417919</v>
      </c>
      <c r="Z122" s="305">
        <v>3078.2781051567449</v>
      </c>
      <c r="AA122" s="305">
        <v>3093.4307468716952</v>
      </c>
      <c r="AB122" s="305">
        <v>3102.338631373972</v>
      </c>
      <c r="AC122" s="305">
        <v>3111.2465158762479</v>
      </c>
      <c r="AD122" s="305">
        <v>3120.1544003785239</v>
      </c>
      <c r="AE122" s="305">
        <v>3129.0622848808011</v>
      </c>
      <c r="AF122" s="305">
        <v>3137.970169383078</v>
      </c>
      <c r="AG122" s="305">
        <v>3146.8780538853539</v>
      </c>
      <c r="AH122" s="305">
        <v>3155.7859383876298</v>
      </c>
      <c r="AI122" s="305">
        <v>3164.6938228899071</v>
      </c>
      <c r="AJ122" s="305">
        <v>3173.601707392183</v>
      </c>
      <c r="AK122" s="305">
        <v>3182.5095918944598</v>
      </c>
      <c r="AL122" s="305">
        <v>3191.4174763967362</v>
      </c>
      <c r="AM122" s="305">
        <v>3200.325360899013</v>
      </c>
      <c r="AN122" s="305">
        <v>3209.233245401289</v>
      </c>
      <c r="AO122" s="305">
        <v>3218.1411299035658</v>
      </c>
      <c r="AP122" s="305">
        <v>3227.0490144058449</v>
      </c>
    </row>
    <row r="123" spans="7:43" ht="14.25" customHeight="1" x14ac:dyDescent="0.2">
      <c r="G123" s="138"/>
      <c r="H123" s="380"/>
      <c r="J123" s="358"/>
      <c r="K123" s="135" t="s">
        <v>240</v>
      </c>
      <c r="L123" s="185" t="s">
        <v>277</v>
      </c>
      <c r="M123" s="303">
        <v>2881.2937628623608</v>
      </c>
      <c r="N123" s="303">
        <v>2892.307245638206</v>
      </c>
      <c r="O123" s="303">
        <v>2903.3207284140499</v>
      </c>
      <c r="P123" s="303">
        <v>2914.3342111898951</v>
      </c>
      <c r="Q123" s="303">
        <v>2925.3476939657389</v>
      </c>
      <c r="R123" s="303">
        <v>2936.3611767415832</v>
      </c>
      <c r="S123" s="303">
        <v>2947.374659517428</v>
      </c>
      <c r="T123" s="303">
        <v>2958.3881422932718</v>
      </c>
      <c r="U123" s="303">
        <v>2969.401625069117</v>
      </c>
      <c r="V123" s="303">
        <v>2980.4151078449609</v>
      </c>
      <c r="W123" s="303">
        <v>2991.4285906208052</v>
      </c>
      <c r="X123" s="303">
        <v>3002.442073396649</v>
      </c>
      <c r="Y123" s="303">
        <v>3013.4555561724942</v>
      </c>
      <c r="Z123" s="303">
        <v>3024.469038948338</v>
      </c>
      <c r="AA123" s="303">
        <v>3035.4825217241819</v>
      </c>
      <c r="AB123" s="303">
        <v>3039.345736734017</v>
      </c>
      <c r="AC123" s="303">
        <v>3043.2089517438508</v>
      </c>
      <c r="AD123" s="303">
        <v>3047.072166753685</v>
      </c>
      <c r="AE123" s="303">
        <v>3050.9353817635192</v>
      </c>
      <c r="AF123" s="303">
        <v>3054.798596773353</v>
      </c>
      <c r="AG123" s="303">
        <v>3058.6618117831872</v>
      </c>
      <c r="AH123" s="303">
        <v>3062.525026793021</v>
      </c>
      <c r="AI123" s="303">
        <v>3066.3882418028552</v>
      </c>
      <c r="AJ123" s="303">
        <v>3070.251456812689</v>
      </c>
      <c r="AK123" s="303">
        <v>3074.1146718225241</v>
      </c>
      <c r="AL123" s="303">
        <v>3077.9778868323579</v>
      </c>
      <c r="AM123" s="303">
        <v>3081.8411018421921</v>
      </c>
      <c r="AN123" s="303">
        <v>3085.7043168520258</v>
      </c>
      <c r="AO123" s="303">
        <v>3089.5675318618601</v>
      </c>
      <c r="AP123" s="303">
        <v>3093.4307468716952</v>
      </c>
    </row>
    <row r="124" spans="7:43" ht="13.5" customHeight="1" thickBot="1" x14ac:dyDescent="0.25">
      <c r="G124" s="138"/>
      <c r="H124" s="380"/>
      <c r="J124" s="358"/>
      <c r="K124" s="196" t="s">
        <v>240</v>
      </c>
      <c r="L124" s="196" t="s">
        <v>278</v>
      </c>
      <c r="M124" s="304">
        <v>2881.2937628623608</v>
      </c>
      <c r="N124" s="304">
        <v>2881.2937628623608</v>
      </c>
      <c r="O124" s="304">
        <v>2881.2937628623608</v>
      </c>
      <c r="P124" s="304">
        <v>2881.2937628623608</v>
      </c>
      <c r="Q124" s="304">
        <v>2881.2937628623608</v>
      </c>
      <c r="R124" s="304">
        <v>2881.2937628623608</v>
      </c>
      <c r="S124" s="304">
        <v>2881.2937628623608</v>
      </c>
      <c r="T124" s="304">
        <v>2881.2937628623608</v>
      </c>
      <c r="U124" s="304">
        <v>2881.2937628623608</v>
      </c>
      <c r="V124" s="304">
        <v>2881.2937628623608</v>
      </c>
      <c r="W124" s="304">
        <v>2881.2937628623608</v>
      </c>
      <c r="X124" s="304">
        <v>2881.2937628623608</v>
      </c>
      <c r="Y124" s="304">
        <v>2881.2937628623608</v>
      </c>
      <c r="Z124" s="304">
        <v>2881.2937628623608</v>
      </c>
      <c r="AA124" s="304">
        <v>2881.2937628623608</v>
      </c>
      <c r="AB124" s="304">
        <v>2891.57301345315</v>
      </c>
      <c r="AC124" s="304">
        <v>2901.8522640439378</v>
      </c>
      <c r="AD124" s="304">
        <v>2912.131514634726</v>
      </c>
      <c r="AE124" s="304">
        <v>2922.4107652255138</v>
      </c>
      <c r="AF124" s="304">
        <v>2932.6900158163021</v>
      </c>
      <c r="AG124" s="304">
        <v>2942.9692664070899</v>
      </c>
      <c r="AH124" s="304">
        <v>2953.2485169978791</v>
      </c>
      <c r="AI124" s="304">
        <v>2963.5277675886668</v>
      </c>
      <c r="AJ124" s="304">
        <v>2973.8070181794551</v>
      </c>
      <c r="AK124" s="304">
        <v>2984.0862687702429</v>
      </c>
      <c r="AL124" s="304">
        <v>2994.3655193610311</v>
      </c>
      <c r="AM124" s="304">
        <v>3004.6447699518189</v>
      </c>
      <c r="AN124" s="304">
        <v>3014.9240205426081</v>
      </c>
      <c r="AO124" s="304">
        <v>3025.2032711333959</v>
      </c>
      <c r="AP124" s="304">
        <v>3035.4825217241819</v>
      </c>
    </row>
    <row r="125" spans="7:43" ht="14.25" customHeight="1" thickTop="1" x14ac:dyDescent="0.2">
      <c r="G125" s="138"/>
      <c r="H125" s="380"/>
      <c r="J125" s="358"/>
      <c r="K125" s="194" t="s">
        <v>242</v>
      </c>
      <c r="L125" s="194" t="s">
        <v>276</v>
      </c>
      <c r="M125" s="305">
        <v>2743.9660887549699</v>
      </c>
      <c r="N125" s="305">
        <v>2759.6345518451299</v>
      </c>
      <c r="O125" s="305">
        <v>2775.3030149352899</v>
      </c>
      <c r="P125" s="305">
        <v>2790.9714780254508</v>
      </c>
      <c r="Q125" s="305">
        <v>2806.6399411156108</v>
      </c>
      <c r="R125" s="305">
        <v>2822.3084042057708</v>
      </c>
      <c r="S125" s="305">
        <v>2837.9768672959308</v>
      </c>
      <c r="T125" s="305">
        <v>2853.6453303860908</v>
      </c>
      <c r="U125" s="305">
        <v>2869.3137934762508</v>
      </c>
      <c r="V125" s="305">
        <v>2884.9822565664108</v>
      </c>
      <c r="W125" s="305">
        <v>2900.6507196565708</v>
      </c>
      <c r="X125" s="305">
        <v>2916.3191827467308</v>
      </c>
      <c r="Y125" s="305">
        <v>2931.9876458368922</v>
      </c>
      <c r="Z125" s="305">
        <v>2947.6561089270522</v>
      </c>
      <c r="AA125" s="305">
        <v>2963.3245720172108</v>
      </c>
      <c r="AB125" s="305">
        <v>2970.652401843101</v>
      </c>
      <c r="AC125" s="305">
        <v>2977.980231668992</v>
      </c>
      <c r="AD125" s="305">
        <v>2985.3080614948822</v>
      </c>
      <c r="AE125" s="305">
        <v>2992.6358913207732</v>
      </c>
      <c r="AF125" s="305">
        <v>2999.9637211466629</v>
      </c>
      <c r="AG125" s="305">
        <v>3007.291550972554</v>
      </c>
      <c r="AH125" s="305">
        <v>3014.6193807984441</v>
      </c>
      <c r="AI125" s="305">
        <v>3021.9472106243352</v>
      </c>
      <c r="AJ125" s="305">
        <v>3029.2750404502249</v>
      </c>
      <c r="AK125" s="305">
        <v>3036.6028702761159</v>
      </c>
      <c r="AL125" s="305">
        <v>3043.930700102007</v>
      </c>
      <c r="AM125" s="305">
        <v>3051.2585299278971</v>
      </c>
      <c r="AN125" s="305">
        <v>3058.5863597537868</v>
      </c>
      <c r="AO125" s="305">
        <v>3065.9141895796779</v>
      </c>
      <c r="AP125" s="305">
        <v>3073.2420194055671</v>
      </c>
    </row>
    <row r="126" spans="7:43" ht="14.25" customHeight="1" x14ac:dyDescent="0.2">
      <c r="G126" s="138"/>
      <c r="H126" s="380"/>
      <c r="J126" s="358"/>
      <c r="K126" s="135" t="s">
        <v>242</v>
      </c>
      <c r="L126" s="185" t="s">
        <v>277</v>
      </c>
      <c r="M126" s="303">
        <v>2743.9660887549699</v>
      </c>
      <c r="N126" s="303">
        <v>2755.3281945780482</v>
      </c>
      <c r="O126" s="303">
        <v>2766.690300401126</v>
      </c>
      <c r="P126" s="303">
        <v>2778.0524062242039</v>
      </c>
      <c r="Q126" s="303">
        <v>2789.4145120472831</v>
      </c>
      <c r="R126" s="303">
        <v>2800.776617870361</v>
      </c>
      <c r="S126" s="303">
        <v>2812.1387236934388</v>
      </c>
      <c r="T126" s="303">
        <v>2823.5008295165171</v>
      </c>
      <c r="U126" s="303">
        <v>2834.862935339595</v>
      </c>
      <c r="V126" s="303">
        <v>2846.2250411626728</v>
      </c>
      <c r="W126" s="303">
        <v>2857.5871469857511</v>
      </c>
      <c r="X126" s="303">
        <v>2868.949252808829</v>
      </c>
      <c r="Y126" s="303">
        <v>2880.3113586319068</v>
      </c>
      <c r="Z126" s="303">
        <v>2891.6734644549861</v>
      </c>
      <c r="AA126" s="303">
        <v>2903.0355702780671</v>
      </c>
      <c r="AB126" s="303">
        <v>2907.0548370606771</v>
      </c>
      <c r="AC126" s="303">
        <v>2911.0741038432861</v>
      </c>
      <c r="AD126" s="303">
        <v>2915.0933706258961</v>
      </c>
      <c r="AE126" s="303">
        <v>2919.1126374085061</v>
      </c>
      <c r="AF126" s="303">
        <v>2923.1319041911152</v>
      </c>
      <c r="AG126" s="303">
        <v>2927.1511709737251</v>
      </c>
      <c r="AH126" s="303">
        <v>2931.1704377563351</v>
      </c>
      <c r="AI126" s="303">
        <v>2935.1897045389451</v>
      </c>
      <c r="AJ126" s="303">
        <v>2939.2089713215541</v>
      </c>
      <c r="AK126" s="303">
        <v>2943.2282381041641</v>
      </c>
      <c r="AL126" s="303">
        <v>2947.2475048867741</v>
      </c>
      <c r="AM126" s="303">
        <v>2951.2667716693841</v>
      </c>
      <c r="AN126" s="303">
        <v>2955.2860384519931</v>
      </c>
      <c r="AO126" s="303">
        <v>2959.3053052346031</v>
      </c>
      <c r="AP126" s="303">
        <v>2963.3245720172108</v>
      </c>
    </row>
    <row r="127" spans="7:43" ht="14.25" customHeight="1" thickBot="1" x14ac:dyDescent="0.25">
      <c r="G127" s="138"/>
      <c r="H127" s="380"/>
      <c r="J127" s="358"/>
      <c r="K127" s="196" t="s">
        <v>242</v>
      </c>
      <c r="L127" s="196" t="s">
        <v>278</v>
      </c>
      <c r="M127" s="306">
        <v>2743.9660887549699</v>
      </c>
      <c r="N127" s="306">
        <v>2743.9660887549699</v>
      </c>
      <c r="O127" s="306">
        <v>2743.9660887549699</v>
      </c>
      <c r="P127" s="306">
        <v>2743.9660887549699</v>
      </c>
      <c r="Q127" s="306">
        <v>2743.9660887549699</v>
      </c>
      <c r="R127" s="306">
        <v>2743.9660887549699</v>
      </c>
      <c r="S127" s="306">
        <v>2743.9660887549699</v>
      </c>
      <c r="T127" s="306">
        <v>2743.9660887549699</v>
      </c>
      <c r="U127" s="306">
        <v>2743.9660887549699</v>
      </c>
      <c r="V127" s="306">
        <v>2743.9660887549699</v>
      </c>
      <c r="W127" s="306">
        <v>2743.9660887549699</v>
      </c>
      <c r="X127" s="306">
        <v>2743.9660887549699</v>
      </c>
      <c r="Y127" s="306">
        <v>2743.9660887549699</v>
      </c>
      <c r="Z127" s="306">
        <v>2743.9660887549699</v>
      </c>
      <c r="AA127" s="306">
        <v>2743.9660887549699</v>
      </c>
      <c r="AB127" s="306">
        <v>2754.57072085651</v>
      </c>
      <c r="AC127" s="306">
        <v>2765.1753529580492</v>
      </c>
      <c r="AD127" s="306">
        <v>2775.7799850595889</v>
      </c>
      <c r="AE127" s="306">
        <v>2786.384617161129</v>
      </c>
      <c r="AF127" s="306">
        <v>2796.9892492626682</v>
      </c>
      <c r="AG127" s="306">
        <v>2807.5938813642069</v>
      </c>
      <c r="AH127" s="306">
        <v>2818.1985134657471</v>
      </c>
      <c r="AI127" s="306">
        <v>2828.8031455672872</v>
      </c>
      <c r="AJ127" s="306">
        <v>2839.4077776688259</v>
      </c>
      <c r="AK127" s="306">
        <v>2850.012409770366</v>
      </c>
      <c r="AL127" s="306">
        <v>2860.6170418719048</v>
      </c>
      <c r="AM127" s="306">
        <v>2871.221673973444</v>
      </c>
      <c r="AN127" s="306">
        <v>2881.8263060749841</v>
      </c>
      <c r="AO127" s="306">
        <v>2892.4309381765238</v>
      </c>
      <c r="AP127" s="306">
        <v>2903.0355702780671</v>
      </c>
      <c r="AQ127" s="199"/>
    </row>
    <row r="128" spans="7:43" ht="14.25" customHeight="1" thickTop="1" x14ac:dyDescent="0.2">
      <c r="G128" s="138"/>
      <c r="H128" s="380"/>
      <c r="J128" s="358"/>
      <c r="K128" s="194" t="s">
        <v>244</v>
      </c>
      <c r="L128" s="194" t="s">
        <v>276</v>
      </c>
      <c r="M128" s="305">
        <v>2612.4303094660372</v>
      </c>
      <c r="N128" s="305">
        <v>2628.30227984058</v>
      </c>
      <c r="O128" s="305">
        <v>2644.1742502151242</v>
      </c>
      <c r="P128" s="305">
        <v>2660.046220589667</v>
      </c>
      <c r="Q128" s="305">
        <v>2675.9181909642111</v>
      </c>
      <c r="R128" s="305">
        <v>2691.7901613387539</v>
      </c>
      <c r="S128" s="305">
        <v>2707.6621317132981</v>
      </c>
      <c r="T128" s="305">
        <v>2723.5341020878409</v>
      </c>
      <c r="U128" s="305">
        <v>2739.4060724623851</v>
      </c>
      <c r="V128" s="305">
        <v>2755.2780428369279</v>
      </c>
      <c r="W128" s="305">
        <v>2771.150013211472</v>
      </c>
      <c r="X128" s="305">
        <v>2787.0219835860148</v>
      </c>
      <c r="Y128" s="305">
        <v>2802.893953960559</v>
      </c>
      <c r="Z128" s="305">
        <v>2818.7659243351031</v>
      </c>
      <c r="AA128" s="305">
        <v>2834.637894709645</v>
      </c>
      <c r="AB128" s="305">
        <v>2840.7234981691331</v>
      </c>
      <c r="AC128" s="305">
        <v>2846.8091016286198</v>
      </c>
      <c r="AD128" s="305">
        <v>2852.8947050881079</v>
      </c>
      <c r="AE128" s="305">
        <v>2858.980308547596</v>
      </c>
      <c r="AF128" s="305">
        <v>2865.0659120070841</v>
      </c>
      <c r="AG128" s="305">
        <v>2871.1515154665708</v>
      </c>
      <c r="AH128" s="305">
        <v>2877.2371189260589</v>
      </c>
      <c r="AI128" s="305">
        <v>2883.322722385547</v>
      </c>
      <c r="AJ128" s="305">
        <v>2889.4083258450351</v>
      </c>
      <c r="AK128" s="305">
        <v>2895.4939293045222</v>
      </c>
      <c r="AL128" s="305">
        <v>2901.5795327640099</v>
      </c>
      <c r="AM128" s="305">
        <v>2907.665136223497</v>
      </c>
      <c r="AN128" s="305">
        <v>2913.750739682986</v>
      </c>
      <c r="AO128" s="305">
        <v>2919.8363431424732</v>
      </c>
      <c r="AP128" s="305">
        <v>2925.9219466019622</v>
      </c>
    </row>
    <row r="129" spans="7:43" ht="14.25" customHeight="1" x14ac:dyDescent="0.2">
      <c r="G129" s="138"/>
      <c r="H129" s="380"/>
      <c r="J129" s="358"/>
      <c r="K129" s="135" t="s">
        <v>244</v>
      </c>
      <c r="L129" s="185" t="s">
        <v>277</v>
      </c>
      <c r="M129" s="303">
        <v>2612.4303094660372</v>
      </c>
      <c r="N129" s="303">
        <v>2623.910339975449</v>
      </c>
      <c r="O129" s="303">
        <v>2635.3903704848599</v>
      </c>
      <c r="P129" s="303">
        <v>2646.8704009942721</v>
      </c>
      <c r="Q129" s="303">
        <v>2658.350431503683</v>
      </c>
      <c r="R129" s="303">
        <v>2669.8304620130948</v>
      </c>
      <c r="S129" s="303">
        <v>2681.310492522507</v>
      </c>
      <c r="T129" s="303">
        <v>2692.7905230319179</v>
      </c>
      <c r="U129" s="303">
        <v>2704.2705535413302</v>
      </c>
      <c r="V129" s="303">
        <v>2715.750584050742</v>
      </c>
      <c r="W129" s="303">
        <v>2727.2306145601528</v>
      </c>
      <c r="X129" s="303">
        <v>2738.7106450695651</v>
      </c>
      <c r="Y129" s="303">
        <v>2750.1906755789769</v>
      </c>
      <c r="Z129" s="303">
        <v>2761.6707060883882</v>
      </c>
      <c r="AA129" s="303">
        <v>2773.1507365978</v>
      </c>
      <c r="AB129" s="303">
        <v>2777.249880471923</v>
      </c>
      <c r="AC129" s="303">
        <v>2781.3490243460469</v>
      </c>
      <c r="AD129" s="303">
        <v>2785.4481682201699</v>
      </c>
      <c r="AE129" s="303">
        <v>2789.5473120942929</v>
      </c>
      <c r="AF129" s="303">
        <v>2793.6464559684159</v>
      </c>
      <c r="AG129" s="303">
        <v>2797.7455998425398</v>
      </c>
      <c r="AH129" s="303">
        <v>2801.8447437166628</v>
      </c>
      <c r="AI129" s="303">
        <v>2805.9438875907858</v>
      </c>
      <c r="AJ129" s="303">
        <v>2810.0430314649088</v>
      </c>
      <c r="AK129" s="303">
        <v>2814.1421753390318</v>
      </c>
      <c r="AL129" s="303">
        <v>2818.2413192131562</v>
      </c>
      <c r="AM129" s="303">
        <v>2822.3404630872792</v>
      </c>
      <c r="AN129" s="303">
        <v>2826.4396069614022</v>
      </c>
      <c r="AO129" s="303">
        <v>2830.5387508355252</v>
      </c>
      <c r="AP129" s="303">
        <v>2834.637894709645</v>
      </c>
    </row>
    <row r="130" spans="7:43" ht="14.25" customHeight="1" thickBot="1" x14ac:dyDescent="0.25">
      <c r="G130" s="138"/>
      <c r="H130" s="380"/>
      <c r="J130" s="358"/>
      <c r="K130" s="196" t="s">
        <v>244</v>
      </c>
      <c r="L130" s="196" t="s">
        <v>278</v>
      </c>
      <c r="M130" s="306">
        <v>2612.4303094660372</v>
      </c>
      <c r="N130" s="306">
        <v>2612.4303094660372</v>
      </c>
      <c r="O130" s="306">
        <v>2612.4303094660372</v>
      </c>
      <c r="P130" s="306">
        <v>2612.4303094660372</v>
      </c>
      <c r="Q130" s="306">
        <v>2612.4303094660372</v>
      </c>
      <c r="R130" s="306">
        <v>2612.4303094660372</v>
      </c>
      <c r="S130" s="306">
        <v>2612.4303094660372</v>
      </c>
      <c r="T130" s="306">
        <v>2612.4303094660372</v>
      </c>
      <c r="U130" s="306">
        <v>2612.4303094660372</v>
      </c>
      <c r="V130" s="306">
        <v>2612.4303094660372</v>
      </c>
      <c r="W130" s="306">
        <v>2612.4303094660372</v>
      </c>
      <c r="X130" s="306">
        <v>2612.4303094660372</v>
      </c>
      <c r="Y130" s="306">
        <v>2612.4303094660372</v>
      </c>
      <c r="Z130" s="306">
        <v>2612.4303094660372</v>
      </c>
      <c r="AA130" s="306">
        <v>2612.4303094660372</v>
      </c>
      <c r="AB130" s="306">
        <v>2623.1450046081541</v>
      </c>
      <c r="AC130" s="306">
        <v>2633.8596997502718</v>
      </c>
      <c r="AD130" s="306">
        <v>2644.5743948923891</v>
      </c>
      <c r="AE130" s="306">
        <v>2655.289090034506</v>
      </c>
      <c r="AF130" s="306">
        <v>2666.0037851766242</v>
      </c>
      <c r="AG130" s="306">
        <v>2676.7184803187411</v>
      </c>
      <c r="AH130" s="306">
        <v>2687.4331754608579</v>
      </c>
      <c r="AI130" s="306">
        <v>2698.1478706029761</v>
      </c>
      <c r="AJ130" s="306">
        <v>2708.862565745093</v>
      </c>
      <c r="AK130" s="306">
        <v>2719.5772608872098</v>
      </c>
      <c r="AL130" s="306">
        <v>2730.291956029328</v>
      </c>
      <c r="AM130" s="306">
        <v>2741.0066511714449</v>
      </c>
      <c r="AN130" s="306">
        <v>2751.7213463135622</v>
      </c>
      <c r="AO130" s="306">
        <v>2762.43604145568</v>
      </c>
      <c r="AP130" s="306">
        <v>2773.1507365978</v>
      </c>
      <c r="AQ130" s="199"/>
    </row>
    <row r="131" spans="7:43" ht="14.25" customHeight="1" thickTop="1" x14ac:dyDescent="0.2">
      <c r="G131" s="138"/>
      <c r="H131" s="380"/>
      <c r="J131" s="358"/>
      <c r="K131" s="194" t="s">
        <v>246</v>
      </c>
      <c r="L131" s="194" t="s">
        <v>276</v>
      </c>
      <c r="M131" s="305">
        <v>2481.5033557793831</v>
      </c>
      <c r="N131" s="305">
        <v>2497.1752578549799</v>
      </c>
      <c r="O131" s="305">
        <v>2512.8471599305772</v>
      </c>
      <c r="P131" s="305">
        <v>2528.519062006174</v>
      </c>
      <c r="Q131" s="305">
        <v>2544.1909640817721</v>
      </c>
      <c r="R131" s="305">
        <v>2559.8628661573689</v>
      </c>
      <c r="S131" s="305">
        <v>2575.5347682329661</v>
      </c>
      <c r="T131" s="305">
        <v>2591.2066703085629</v>
      </c>
      <c r="U131" s="305">
        <v>2606.8785723841611</v>
      </c>
      <c r="V131" s="305">
        <v>2622.5504744597579</v>
      </c>
      <c r="W131" s="305">
        <v>2638.2223765353551</v>
      </c>
      <c r="X131" s="305">
        <v>2653.8942786109519</v>
      </c>
      <c r="Y131" s="305">
        <v>2669.5661806865501</v>
      </c>
      <c r="Z131" s="305">
        <v>2685.2380827621469</v>
      </c>
      <c r="AA131" s="305">
        <v>2700.9099848377418</v>
      </c>
      <c r="AB131" s="305">
        <v>2706.134903080087</v>
      </c>
      <c r="AC131" s="305">
        <v>2711.3598213224309</v>
      </c>
      <c r="AD131" s="305">
        <v>2716.5847395647761</v>
      </c>
      <c r="AE131" s="305">
        <v>2721.8096578071199</v>
      </c>
      <c r="AF131" s="305">
        <v>2727.0345760494638</v>
      </c>
      <c r="AG131" s="305">
        <v>2732.259494291809</v>
      </c>
      <c r="AH131" s="305">
        <v>2737.4844125341529</v>
      </c>
      <c r="AI131" s="305">
        <v>2742.7093307764981</v>
      </c>
      <c r="AJ131" s="305">
        <v>2747.9342490188419</v>
      </c>
      <c r="AK131" s="305">
        <v>2753.1591672611871</v>
      </c>
      <c r="AL131" s="305">
        <v>2758.384085503531</v>
      </c>
      <c r="AM131" s="305">
        <v>2763.6090037458762</v>
      </c>
      <c r="AN131" s="305">
        <v>2768.83392198822</v>
      </c>
      <c r="AO131" s="305">
        <v>2774.0588402305648</v>
      </c>
      <c r="AP131" s="305">
        <v>2779.2837584729091</v>
      </c>
    </row>
    <row r="132" spans="7:43" ht="14.25" customHeight="1" x14ac:dyDescent="0.2">
      <c r="G132" s="138"/>
      <c r="H132" s="380"/>
      <c r="J132" s="358"/>
      <c r="K132" s="135" t="s">
        <v>246</v>
      </c>
      <c r="L132" s="185" t="s">
        <v>277</v>
      </c>
      <c r="M132" s="303">
        <v>2481.5033557793831</v>
      </c>
      <c r="N132" s="303">
        <v>2492.7722564223818</v>
      </c>
      <c r="O132" s="303">
        <v>2504.041157065381</v>
      </c>
      <c r="P132" s="303">
        <v>2515.3100577083801</v>
      </c>
      <c r="Q132" s="303">
        <v>2526.5789583513788</v>
      </c>
      <c r="R132" s="303">
        <v>2537.8478589943779</v>
      </c>
      <c r="S132" s="303">
        <v>2549.1167596373771</v>
      </c>
      <c r="T132" s="303">
        <v>2560.3856602803762</v>
      </c>
      <c r="U132" s="303">
        <v>2571.6545609233749</v>
      </c>
      <c r="V132" s="303">
        <v>2582.923461566374</v>
      </c>
      <c r="W132" s="303">
        <v>2594.1923622093732</v>
      </c>
      <c r="X132" s="303">
        <v>2605.4612628523719</v>
      </c>
      <c r="Y132" s="303">
        <v>2616.730163495371</v>
      </c>
      <c r="Z132" s="303">
        <v>2627.9990641383702</v>
      </c>
      <c r="AA132" s="303">
        <v>2639.2679647813688</v>
      </c>
      <c r="AB132" s="303">
        <v>2643.377432785127</v>
      </c>
      <c r="AC132" s="303">
        <v>2647.486900788886</v>
      </c>
      <c r="AD132" s="303">
        <v>2651.5963687926442</v>
      </c>
      <c r="AE132" s="303">
        <v>2655.7058367964019</v>
      </c>
      <c r="AF132" s="303">
        <v>2659.81530480016</v>
      </c>
      <c r="AG132" s="303">
        <v>2663.924772803919</v>
      </c>
      <c r="AH132" s="303">
        <v>2668.0342408076772</v>
      </c>
      <c r="AI132" s="303">
        <v>2672.1437088114349</v>
      </c>
      <c r="AJ132" s="303">
        <v>2676.253176815193</v>
      </c>
      <c r="AK132" s="303">
        <v>2680.362644818952</v>
      </c>
      <c r="AL132" s="303">
        <v>2684.4721128227102</v>
      </c>
      <c r="AM132" s="303">
        <v>2688.5815808264679</v>
      </c>
      <c r="AN132" s="303">
        <v>2692.6910488302269</v>
      </c>
      <c r="AO132" s="303">
        <v>2696.8005168339851</v>
      </c>
      <c r="AP132" s="303">
        <v>2700.9099848377418</v>
      </c>
    </row>
    <row r="133" spans="7:43" ht="14.25" customHeight="1" thickBot="1" x14ac:dyDescent="0.25">
      <c r="G133" s="138"/>
      <c r="H133" s="380"/>
      <c r="J133" s="358"/>
      <c r="K133" s="196" t="s">
        <v>246</v>
      </c>
      <c r="L133" s="196" t="s">
        <v>278</v>
      </c>
      <c r="M133" s="306">
        <v>2481.5033557793831</v>
      </c>
      <c r="N133" s="306">
        <v>2481.5033557793831</v>
      </c>
      <c r="O133" s="306">
        <v>2481.5033557793831</v>
      </c>
      <c r="P133" s="306">
        <v>2481.5033557793831</v>
      </c>
      <c r="Q133" s="306">
        <v>2481.5033557793831</v>
      </c>
      <c r="R133" s="306">
        <v>2481.5033557793831</v>
      </c>
      <c r="S133" s="306">
        <v>2481.5033557793831</v>
      </c>
      <c r="T133" s="306">
        <v>2481.5033557793831</v>
      </c>
      <c r="U133" s="306">
        <v>2481.5033557793831</v>
      </c>
      <c r="V133" s="306">
        <v>2481.5033557793831</v>
      </c>
      <c r="W133" s="306">
        <v>2481.5033557793831</v>
      </c>
      <c r="X133" s="306">
        <v>2481.5033557793831</v>
      </c>
      <c r="Y133" s="306">
        <v>2481.5033557793831</v>
      </c>
      <c r="Z133" s="306">
        <v>2481.5033557793831</v>
      </c>
      <c r="AA133" s="306">
        <v>2481.5033557793831</v>
      </c>
      <c r="AB133" s="306">
        <v>2492.020996379516</v>
      </c>
      <c r="AC133" s="306">
        <v>2502.5386369796479</v>
      </c>
      <c r="AD133" s="306">
        <v>2513.0562775797812</v>
      </c>
      <c r="AE133" s="306">
        <v>2523.5739181799131</v>
      </c>
      <c r="AF133" s="306">
        <v>2534.091558780045</v>
      </c>
      <c r="AG133" s="306">
        <v>2544.6091993801779</v>
      </c>
      <c r="AH133" s="306">
        <v>2555.1268399803112</v>
      </c>
      <c r="AI133" s="306">
        <v>2565.644480580444</v>
      </c>
      <c r="AJ133" s="306">
        <v>2576.1621211805759</v>
      </c>
      <c r="AK133" s="306">
        <v>2586.6797617807078</v>
      </c>
      <c r="AL133" s="306">
        <v>2597.1974023808411</v>
      </c>
      <c r="AM133" s="306">
        <v>2607.715042980974</v>
      </c>
      <c r="AN133" s="306">
        <v>2618.2326835811059</v>
      </c>
      <c r="AO133" s="306">
        <v>2628.7503241812392</v>
      </c>
      <c r="AP133" s="306">
        <v>2639.2679647813688</v>
      </c>
      <c r="AQ133" s="199"/>
    </row>
    <row r="134" spans="7:43" ht="14.25" customHeight="1" thickTop="1" x14ac:dyDescent="0.2">
      <c r="G134" s="138"/>
      <c r="H134" s="380"/>
      <c r="J134" s="358"/>
      <c r="K134" s="194" t="s">
        <v>248</v>
      </c>
      <c r="L134" s="194" t="s">
        <v>276</v>
      </c>
      <c r="M134" s="302">
        <v>2352.5590055113571</v>
      </c>
      <c r="N134" s="302">
        <v>2368.0323832528961</v>
      </c>
      <c r="O134" s="302">
        <v>2383.5057609944351</v>
      </c>
      <c r="P134" s="302">
        <v>2398.9791387359742</v>
      </c>
      <c r="Q134" s="302">
        <v>2414.4525164775132</v>
      </c>
      <c r="R134" s="302">
        <v>2429.9258942190522</v>
      </c>
      <c r="S134" s="302">
        <v>2445.3992719605922</v>
      </c>
      <c r="T134" s="302">
        <v>2460.8726497021312</v>
      </c>
      <c r="U134" s="302">
        <v>2476.3460274436702</v>
      </c>
      <c r="V134" s="302">
        <v>2491.8194051852088</v>
      </c>
      <c r="W134" s="302">
        <v>2507.2927829267478</v>
      </c>
      <c r="X134" s="302">
        <v>2522.7661606682868</v>
      </c>
      <c r="Y134" s="302">
        <v>2538.2395384098259</v>
      </c>
      <c r="Z134" s="302">
        <v>2553.7129161513649</v>
      </c>
      <c r="AA134" s="302">
        <v>2569.186293892908</v>
      </c>
      <c r="AB134" s="302">
        <v>2573.5649467115618</v>
      </c>
      <c r="AC134" s="302">
        <v>2577.943599530216</v>
      </c>
      <c r="AD134" s="302">
        <v>2582.3222523488698</v>
      </c>
      <c r="AE134" s="302">
        <v>2586.700905167525</v>
      </c>
      <c r="AF134" s="302">
        <v>2591.0795579861792</v>
      </c>
      <c r="AG134" s="302">
        <v>2595.458210804833</v>
      </c>
      <c r="AH134" s="302">
        <v>2599.8368636234868</v>
      </c>
      <c r="AI134" s="302">
        <v>2604.2155164421411</v>
      </c>
      <c r="AJ134" s="302">
        <v>2608.5941692607948</v>
      </c>
      <c r="AK134" s="302">
        <v>2612.97282207945</v>
      </c>
      <c r="AL134" s="302">
        <v>2617.3514748981038</v>
      </c>
      <c r="AM134" s="302">
        <v>2621.730127716758</v>
      </c>
      <c r="AN134" s="302">
        <v>2626.1087805354118</v>
      </c>
      <c r="AO134" s="302">
        <v>2630.487433354067</v>
      </c>
      <c r="AP134" s="302">
        <v>2634.866086172719</v>
      </c>
    </row>
    <row r="135" spans="7:43" ht="14.25" customHeight="1" x14ac:dyDescent="0.2">
      <c r="G135" s="138"/>
      <c r="H135" s="380"/>
      <c r="J135" s="358"/>
      <c r="K135" s="135" t="s">
        <v>248</v>
      </c>
      <c r="L135" s="185" t="s">
        <v>277</v>
      </c>
      <c r="M135" s="303">
        <v>2352.5590055113571</v>
      </c>
      <c r="N135" s="303">
        <v>2363.6158110666088</v>
      </c>
      <c r="O135" s="303">
        <v>2374.67261662186</v>
      </c>
      <c r="P135" s="303">
        <v>2385.7294221771131</v>
      </c>
      <c r="Q135" s="303">
        <v>2396.7862277323638</v>
      </c>
      <c r="R135" s="303">
        <v>2407.843033287616</v>
      </c>
      <c r="S135" s="303">
        <v>2418.899838842869</v>
      </c>
      <c r="T135" s="303">
        <v>2429.9566443981198</v>
      </c>
      <c r="U135" s="303">
        <v>2441.0134499533719</v>
      </c>
      <c r="V135" s="303">
        <v>2452.0702555086241</v>
      </c>
      <c r="W135" s="303">
        <v>2463.1270610638762</v>
      </c>
      <c r="X135" s="303">
        <v>2474.1838666191279</v>
      </c>
      <c r="Y135" s="303">
        <v>2485.2406721743801</v>
      </c>
      <c r="Z135" s="303">
        <v>2496.2974777296322</v>
      </c>
      <c r="AA135" s="303">
        <v>2507.3542832848848</v>
      </c>
      <c r="AB135" s="303">
        <v>2511.4764173254198</v>
      </c>
      <c r="AC135" s="303">
        <v>2515.5985513659548</v>
      </c>
      <c r="AD135" s="303">
        <v>2519.7206854064898</v>
      </c>
      <c r="AE135" s="303">
        <v>2523.8428194470248</v>
      </c>
      <c r="AF135" s="303">
        <v>2527.9649534875598</v>
      </c>
      <c r="AG135" s="303">
        <v>2532.0870875280948</v>
      </c>
      <c r="AH135" s="303">
        <v>2536.2092215686298</v>
      </c>
      <c r="AI135" s="303">
        <v>2540.3313556091648</v>
      </c>
      <c r="AJ135" s="303">
        <v>2544.4534896496998</v>
      </c>
      <c r="AK135" s="303">
        <v>2548.5756236902348</v>
      </c>
      <c r="AL135" s="303">
        <v>2552.6977577307698</v>
      </c>
      <c r="AM135" s="303">
        <v>2556.8198917713048</v>
      </c>
      <c r="AN135" s="303">
        <v>2560.9420258118398</v>
      </c>
      <c r="AO135" s="303">
        <v>2565.0641598523748</v>
      </c>
      <c r="AP135" s="303">
        <v>2569.186293892908</v>
      </c>
    </row>
    <row r="136" spans="7:43" ht="14.25" customHeight="1" thickBot="1" x14ac:dyDescent="0.25">
      <c r="G136" s="138"/>
      <c r="H136" s="380"/>
      <c r="J136" s="358"/>
      <c r="K136" s="196" t="s">
        <v>248</v>
      </c>
      <c r="L136" s="196" t="s">
        <v>278</v>
      </c>
      <c r="M136" s="304">
        <v>2352.5590055113571</v>
      </c>
      <c r="N136" s="304">
        <v>2352.5590055113571</v>
      </c>
      <c r="O136" s="304">
        <v>2352.5590055113571</v>
      </c>
      <c r="P136" s="304">
        <v>2352.5590055113571</v>
      </c>
      <c r="Q136" s="304">
        <v>2352.5590055113571</v>
      </c>
      <c r="R136" s="304">
        <v>2352.5590055113571</v>
      </c>
      <c r="S136" s="304">
        <v>2352.5590055113571</v>
      </c>
      <c r="T136" s="304">
        <v>2352.5590055113571</v>
      </c>
      <c r="U136" s="304">
        <v>2352.5590055113571</v>
      </c>
      <c r="V136" s="304">
        <v>2352.5590055113571</v>
      </c>
      <c r="W136" s="304">
        <v>2352.5590055113571</v>
      </c>
      <c r="X136" s="304">
        <v>2352.5590055113571</v>
      </c>
      <c r="Y136" s="304">
        <v>2352.5590055113571</v>
      </c>
      <c r="Z136" s="304">
        <v>2352.5590055113571</v>
      </c>
      <c r="AA136" s="304">
        <v>2352.5590055113571</v>
      </c>
      <c r="AB136" s="304">
        <v>2362.8786906962582</v>
      </c>
      <c r="AC136" s="304">
        <v>2373.1983758811598</v>
      </c>
      <c r="AD136" s="304">
        <v>2383.5180610660618</v>
      </c>
      <c r="AE136" s="304">
        <v>2393.8377462509629</v>
      </c>
      <c r="AF136" s="304">
        <v>2404.157431435865</v>
      </c>
      <c r="AG136" s="304">
        <v>2414.477116620767</v>
      </c>
      <c r="AH136" s="304">
        <v>2424.796801805669</v>
      </c>
      <c r="AI136" s="304">
        <v>2435.1164869905701</v>
      </c>
      <c r="AJ136" s="304">
        <v>2445.4361721754722</v>
      </c>
      <c r="AK136" s="304">
        <v>2455.7558573603742</v>
      </c>
      <c r="AL136" s="304">
        <v>2466.0755425452749</v>
      </c>
      <c r="AM136" s="304">
        <v>2476.3952277301769</v>
      </c>
      <c r="AN136" s="304">
        <v>2486.714912915078</v>
      </c>
      <c r="AO136" s="304">
        <v>2497.03459809998</v>
      </c>
      <c r="AP136" s="304">
        <v>2507.3542832848848</v>
      </c>
    </row>
    <row r="137" spans="7:43" ht="14.25" customHeight="1" thickTop="1" x14ac:dyDescent="0.2">
      <c r="G137" s="138"/>
      <c r="H137" s="380"/>
      <c r="J137" s="358"/>
      <c r="K137" s="194" t="s">
        <v>250</v>
      </c>
      <c r="L137" s="194" t="s">
        <v>276</v>
      </c>
      <c r="M137" s="305">
        <v>2231.2269297189159</v>
      </c>
      <c r="N137" s="305">
        <v>2246.4544655587479</v>
      </c>
      <c r="O137" s="305">
        <v>2261.6820013985798</v>
      </c>
      <c r="P137" s="305">
        <v>2276.9095372384122</v>
      </c>
      <c r="Q137" s="305">
        <v>2292.1370730782442</v>
      </c>
      <c r="R137" s="305">
        <v>2307.3646089180761</v>
      </c>
      <c r="S137" s="305">
        <v>2322.592144757908</v>
      </c>
      <c r="T137" s="305">
        <v>2337.81968059774</v>
      </c>
      <c r="U137" s="305">
        <v>2353.0472164375719</v>
      </c>
      <c r="V137" s="305">
        <v>2368.2747522774039</v>
      </c>
      <c r="W137" s="305">
        <v>2383.5022881172358</v>
      </c>
      <c r="X137" s="305">
        <v>2398.7298239570682</v>
      </c>
      <c r="Y137" s="305">
        <v>2413.9573597969002</v>
      </c>
      <c r="Z137" s="305">
        <v>2429.1848956367321</v>
      </c>
      <c r="AA137" s="305">
        <v>2444.4124314765618</v>
      </c>
      <c r="AB137" s="305">
        <v>2448.0498801304711</v>
      </c>
      <c r="AC137" s="305">
        <v>2451.6873287843791</v>
      </c>
      <c r="AD137" s="305">
        <v>2455.3247774382871</v>
      </c>
      <c r="AE137" s="305">
        <v>2458.962226092196</v>
      </c>
      <c r="AF137" s="305">
        <v>2462.599674746104</v>
      </c>
      <c r="AG137" s="305">
        <v>2466.237123400012</v>
      </c>
      <c r="AH137" s="305">
        <v>2469.87457205392</v>
      </c>
      <c r="AI137" s="305">
        <v>2473.5120207078289</v>
      </c>
      <c r="AJ137" s="305">
        <v>2477.1494693617369</v>
      </c>
      <c r="AK137" s="305">
        <v>2480.7869180156449</v>
      </c>
      <c r="AL137" s="305">
        <v>2484.4243666695538</v>
      </c>
      <c r="AM137" s="305">
        <v>2488.0618153234618</v>
      </c>
      <c r="AN137" s="305">
        <v>2491.6992639773698</v>
      </c>
      <c r="AO137" s="305">
        <v>2495.3367126312792</v>
      </c>
      <c r="AP137" s="305">
        <v>2498.9741612851872</v>
      </c>
    </row>
    <row r="138" spans="7:43" ht="14.25" customHeight="1" x14ac:dyDescent="0.2">
      <c r="G138" s="138"/>
      <c r="H138" s="380"/>
      <c r="J138" s="358"/>
      <c r="K138" s="135" t="s">
        <v>250</v>
      </c>
      <c r="L138" s="185" t="s">
        <v>277</v>
      </c>
      <c r="M138" s="303">
        <v>2231.2269297189159</v>
      </c>
      <c r="N138" s="303">
        <v>2242.1116103750742</v>
      </c>
      <c r="O138" s="303">
        <v>2252.9962910312311</v>
      </c>
      <c r="P138" s="303">
        <v>2263.880971687388</v>
      </c>
      <c r="Q138" s="303">
        <v>2274.7656523435462</v>
      </c>
      <c r="R138" s="303">
        <v>2285.6503329997031</v>
      </c>
      <c r="S138" s="303">
        <v>2296.53501365586</v>
      </c>
      <c r="T138" s="303">
        <v>2307.4196943120178</v>
      </c>
      <c r="U138" s="303">
        <v>2318.3043749681751</v>
      </c>
      <c r="V138" s="303">
        <v>2329.189055624332</v>
      </c>
      <c r="W138" s="303">
        <v>2340.0737362804889</v>
      </c>
      <c r="X138" s="303">
        <v>2350.9584169366472</v>
      </c>
      <c r="Y138" s="303">
        <v>2361.843097592804</v>
      </c>
      <c r="Z138" s="303">
        <v>2372.7277782489609</v>
      </c>
      <c r="AA138" s="303">
        <v>2383.612458905121</v>
      </c>
      <c r="AB138" s="303">
        <v>2387.6657904098838</v>
      </c>
      <c r="AC138" s="303">
        <v>2391.7191219146462</v>
      </c>
      <c r="AD138" s="303">
        <v>2395.772453419409</v>
      </c>
      <c r="AE138" s="303">
        <v>2399.8257849241709</v>
      </c>
      <c r="AF138" s="303">
        <v>2403.8791164289341</v>
      </c>
      <c r="AG138" s="303">
        <v>2407.932447933696</v>
      </c>
      <c r="AH138" s="303">
        <v>2411.9857794384588</v>
      </c>
      <c r="AI138" s="303">
        <v>2416.0391109432221</v>
      </c>
      <c r="AJ138" s="303">
        <v>2420.092442447984</v>
      </c>
      <c r="AK138" s="303">
        <v>2424.1457739527468</v>
      </c>
      <c r="AL138" s="303">
        <v>2428.1991054575092</v>
      </c>
      <c r="AM138" s="303">
        <v>2432.252436962272</v>
      </c>
      <c r="AN138" s="303">
        <v>2436.3057684670339</v>
      </c>
      <c r="AO138" s="303">
        <v>2440.3590999717971</v>
      </c>
      <c r="AP138" s="303">
        <v>2444.4124314765618</v>
      </c>
    </row>
    <row r="139" spans="7:43" ht="13.5" customHeight="1" thickBot="1" x14ac:dyDescent="0.25">
      <c r="G139" s="138"/>
      <c r="H139" s="380"/>
      <c r="J139" s="358"/>
      <c r="K139" s="196" t="s">
        <v>250</v>
      </c>
      <c r="L139" s="196" t="s">
        <v>278</v>
      </c>
      <c r="M139" s="304">
        <v>2231.2269297189159</v>
      </c>
      <c r="N139" s="304">
        <v>2231.2269297189159</v>
      </c>
      <c r="O139" s="304">
        <v>2231.2269297189159</v>
      </c>
      <c r="P139" s="304">
        <v>2231.2269297189159</v>
      </c>
      <c r="Q139" s="304">
        <v>2231.2269297189159</v>
      </c>
      <c r="R139" s="304">
        <v>2231.2269297189159</v>
      </c>
      <c r="S139" s="304">
        <v>2231.2269297189159</v>
      </c>
      <c r="T139" s="304">
        <v>2231.2269297189159</v>
      </c>
      <c r="U139" s="304">
        <v>2231.2269297189159</v>
      </c>
      <c r="V139" s="304">
        <v>2231.2269297189159</v>
      </c>
      <c r="W139" s="304">
        <v>2231.2269297189159</v>
      </c>
      <c r="X139" s="304">
        <v>2231.2269297189159</v>
      </c>
      <c r="Y139" s="304">
        <v>2231.2269297189159</v>
      </c>
      <c r="Z139" s="304">
        <v>2231.2269297189159</v>
      </c>
      <c r="AA139" s="304">
        <v>2231.2269297189159</v>
      </c>
      <c r="AB139" s="304">
        <v>2241.3859649979959</v>
      </c>
      <c r="AC139" s="304">
        <v>2251.5450002770772</v>
      </c>
      <c r="AD139" s="304">
        <v>2261.7040355561571</v>
      </c>
      <c r="AE139" s="304">
        <v>2271.8630708352371</v>
      </c>
      <c r="AF139" s="304">
        <v>2282.022106114317</v>
      </c>
      <c r="AG139" s="304">
        <v>2292.181141393397</v>
      </c>
      <c r="AH139" s="304">
        <v>2302.3401766724769</v>
      </c>
      <c r="AI139" s="304">
        <v>2312.4992119515568</v>
      </c>
      <c r="AJ139" s="304">
        <v>2322.6582472306382</v>
      </c>
      <c r="AK139" s="304">
        <v>2332.8172825097181</v>
      </c>
      <c r="AL139" s="304">
        <v>2342.976317788798</v>
      </c>
      <c r="AM139" s="304">
        <v>2353.135353067878</v>
      </c>
      <c r="AN139" s="304">
        <v>2363.2943883469579</v>
      </c>
      <c r="AO139" s="304">
        <v>2373.4534236260379</v>
      </c>
      <c r="AP139" s="304">
        <v>2383.612458905121</v>
      </c>
    </row>
    <row r="140" spans="7:43" ht="14.25" customHeight="1" thickTop="1" x14ac:dyDescent="0.2">
      <c r="G140" s="138"/>
      <c r="H140" s="380"/>
      <c r="J140" s="358"/>
      <c r="K140" s="194" t="s">
        <v>252</v>
      </c>
      <c r="L140" s="194" t="s">
        <v>276</v>
      </c>
      <c r="M140" s="305">
        <v>2145.2388668274289</v>
      </c>
      <c r="N140" s="305">
        <v>2159.8898571084269</v>
      </c>
      <c r="O140" s="305">
        <v>2174.540847389424</v>
      </c>
      <c r="P140" s="305">
        <v>2189.191837670422</v>
      </c>
      <c r="Q140" s="305">
        <v>2203.8428279514192</v>
      </c>
      <c r="R140" s="305">
        <v>2218.4938182324158</v>
      </c>
      <c r="S140" s="305">
        <v>2233.1448085134139</v>
      </c>
      <c r="T140" s="305">
        <v>2247.795798794411</v>
      </c>
      <c r="U140" s="305">
        <v>2262.446789075409</v>
      </c>
      <c r="V140" s="305">
        <v>2277.0977793564061</v>
      </c>
      <c r="W140" s="305">
        <v>2291.7487696374042</v>
      </c>
      <c r="X140" s="305">
        <v>2306.3997599184008</v>
      </c>
      <c r="Y140" s="305">
        <v>2321.050750199398</v>
      </c>
      <c r="Z140" s="305">
        <v>2335.701740480396</v>
      </c>
      <c r="AA140" s="305">
        <v>2350.3527307613949</v>
      </c>
      <c r="AB140" s="305">
        <v>2353.840384100416</v>
      </c>
      <c r="AC140" s="305">
        <v>2357.328037439438</v>
      </c>
      <c r="AD140" s="305">
        <v>2360.8156907784601</v>
      </c>
      <c r="AE140" s="305">
        <v>2364.3033441174812</v>
      </c>
      <c r="AF140" s="305">
        <v>2367.7909974565032</v>
      </c>
      <c r="AG140" s="305">
        <v>2371.2786507955238</v>
      </c>
      <c r="AH140" s="305">
        <v>2374.7663041345459</v>
      </c>
      <c r="AI140" s="305">
        <v>2378.253957473567</v>
      </c>
      <c r="AJ140" s="305">
        <v>2381.741610812589</v>
      </c>
      <c r="AK140" s="305">
        <v>2385.229264151611</v>
      </c>
      <c r="AL140" s="305">
        <v>2388.716917490633</v>
      </c>
      <c r="AM140" s="305">
        <v>2392.2045708296541</v>
      </c>
      <c r="AN140" s="305">
        <v>2395.6922241686761</v>
      </c>
      <c r="AO140" s="305">
        <v>2399.1798775076968</v>
      </c>
      <c r="AP140" s="305">
        <v>2402.6675308467211</v>
      </c>
    </row>
    <row r="141" spans="7:43" ht="14.25" customHeight="1" x14ac:dyDescent="0.2">
      <c r="G141" s="138"/>
      <c r="H141" s="380"/>
      <c r="J141" s="358"/>
      <c r="K141" s="135" t="s">
        <v>252</v>
      </c>
      <c r="L141" s="185" t="s">
        <v>277</v>
      </c>
      <c r="M141" s="303">
        <v>2145.2388668274289</v>
      </c>
      <c r="N141" s="303">
        <v>2155.7886408743429</v>
      </c>
      <c r="O141" s="303">
        <v>2166.338414921257</v>
      </c>
      <c r="P141" s="303">
        <v>2176.8881889681702</v>
      </c>
      <c r="Q141" s="303">
        <v>2187.4379630150838</v>
      </c>
      <c r="R141" s="303">
        <v>2197.987737061997</v>
      </c>
      <c r="S141" s="303">
        <v>2208.5375111089111</v>
      </c>
      <c r="T141" s="303">
        <v>2219.0872851558252</v>
      </c>
      <c r="U141" s="303">
        <v>2229.6370592027379</v>
      </c>
      <c r="V141" s="303">
        <v>2240.186833249652</v>
      </c>
      <c r="W141" s="303">
        <v>2250.736607296566</v>
      </c>
      <c r="X141" s="303">
        <v>2261.2863813434801</v>
      </c>
      <c r="Y141" s="303">
        <v>2271.8361553903928</v>
      </c>
      <c r="Z141" s="303">
        <v>2282.3859294373069</v>
      </c>
      <c r="AA141" s="303">
        <v>2292.9357034842201</v>
      </c>
      <c r="AB141" s="303">
        <v>2296.7635053026979</v>
      </c>
      <c r="AC141" s="303">
        <v>2300.5913071211771</v>
      </c>
      <c r="AD141" s="303">
        <v>2304.419108939655</v>
      </c>
      <c r="AE141" s="303">
        <v>2308.2469107581328</v>
      </c>
      <c r="AF141" s="303">
        <v>2312.0747125766111</v>
      </c>
      <c r="AG141" s="303">
        <v>2315.9025143950889</v>
      </c>
      <c r="AH141" s="303">
        <v>2319.7303162135672</v>
      </c>
      <c r="AI141" s="303">
        <v>2323.558118032046</v>
      </c>
      <c r="AJ141" s="303">
        <v>2327.3859198505229</v>
      </c>
      <c r="AK141" s="303">
        <v>2331.2137216690021</v>
      </c>
      <c r="AL141" s="303">
        <v>2335.0415234874799</v>
      </c>
      <c r="AM141" s="303">
        <v>2338.8693253059578</v>
      </c>
      <c r="AN141" s="303">
        <v>2342.6971271244361</v>
      </c>
      <c r="AO141" s="303">
        <v>2346.5249289429139</v>
      </c>
      <c r="AP141" s="303">
        <v>2350.3527307613949</v>
      </c>
    </row>
    <row r="142" spans="7:43" ht="14.25" customHeight="1" thickBot="1" x14ac:dyDescent="0.25">
      <c r="G142" s="138"/>
      <c r="H142" s="380"/>
      <c r="J142" s="358"/>
      <c r="K142" s="196" t="s">
        <v>252</v>
      </c>
      <c r="L142" s="196" t="s">
        <v>278</v>
      </c>
      <c r="M142" s="306">
        <v>2145.2388668274289</v>
      </c>
      <c r="N142" s="306">
        <v>2145.2388668274289</v>
      </c>
      <c r="O142" s="306">
        <v>2145.2388668274289</v>
      </c>
      <c r="P142" s="306">
        <v>2145.2388668274289</v>
      </c>
      <c r="Q142" s="306">
        <v>2145.2388668274289</v>
      </c>
      <c r="R142" s="306">
        <v>2145.2388668274289</v>
      </c>
      <c r="S142" s="306">
        <v>2145.2388668274289</v>
      </c>
      <c r="T142" s="306">
        <v>2145.2388668274289</v>
      </c>
      <c r="U142" s="306">
        <v>2145.2388668274289</v>
      </c>
      <c r="V142" s="306">
        <v>2145.2388668274289</v>
      </c>
      <c r="W142" s="306">
        <v>2145.2388668274289</v>
      </c>
      <c r="X142" s="306">
        <v>2145.2388668274289</v>
      </c>
      <c r="Y142" s="306">
        <v>2145.2388668274289</v>
      </c>
      <c r="Z142" s="306">
        <v>2145.2388668274289</v>
      </c>
      <c r="AA142" s="306">
        <v>2145.2388668274289</v>
      </c>
      <c r="AB142" s="306">
        <v>2155.0853226045492</v>
      </c>
      <c r="AC142" s="306">
        <v>2164.9317783816682</v>
      </c>
      <c r="AD142" s="306">
        <v>2174.7782341587881</v>
      </c>
      <c r="AE142" s="306">
        <v>2184.6246899359071</v>
      </c>
      <c r="AF142" s="306">
        <v>2194.471145713027</v>
      </c>
      <c r="AG142" s="306">
        <v>2204.317601490146</v>
      </c>
      <c r="AH142" s="306">
        <v>2214.164057267265</v>
      </c>
      <c r="AI142" s="306">
        <v>2224.0105130443849</v>
      </c>
      <c r="AJ142" s="306">
        <v>2233.8569688215039</v>
      </c>
      <c r="AK142" s="306">
        <v>2243.7034245986242</v>
      </c>
      <c r="AL142" s="306">
        <v>2253.5498803757441</v>
      </c>
      <c r="AM142" s="306">
        <v>2263.3963361528631</v>
      </c>
      <c r="AN142" s="306">
        <v>2273.242791929983</v>
      </c>
      <c r="AO142" s="306">
        <v>2283.089247707102</v>
      </c>
      <c r="AP142" s="306">
        <v>2292.9357034842201</v>
      </c>
      <c r="AQ142" s="199"/>
    </row>
    <row r="143" spans="7:43" ht="14.25" customHeight="1" thickTop="1" x14ac:dyDescent="0.2">
      <c r="G143" s="138"/>
      <c r="H143" s="380"/>
      <c r="J143" s="358"/>
      <c r="K143" s="194" t="s">
        <v>254</v>
      </c>
      <c r="L143" s="194" t="s">
        <v>276</v>
      </c>
      <c r="M143" s="305">
        <v>2041.0455517170481</v>
      </c>
      <c r="N143" s="305">
        <v>2055.2716987427439</v>
      </c>
      <c r="O143" s="305">
        <v>2069.497845768441</v>
      </c>
      <c r="P143" s="305">
        <v>2083.7239927941368</v>
      </c>
      <c r="Q143" s="305">
        <v>2097.9501398198331</v>
      </c>
      <c r="R143" s="305">
        <v>2112.1762868455298</v>
      </c>
      <c r="S143" s="305">
        <v>2126.4024338712261</v>
      </c>
      <c r="T143" s="305">
        <v>2140.6285808969219</v>
      </c>
      <c r="U143" s="305">
        <v>2154.8547279226191</v>
      </c>
      <c r="V143" s="305">
        <v>2169.0808749483149</v>
      </c>
      <c r="W143" s="305">
        <v>2183.3070219740121</v>
      </c>
      <c r="X143" s="305">
        <v>2197.5331689997079</v>
      </c>
      <c r="Y143" s="305">
        <v>2211.7593160254041</v>
      </c>
      <c r="Z143" s="305">
        <v>2225.9854630510999</v>
      </c>
      <c r="AA143" s="305">
        <v>2240.2116100767971</v>
      </c>
      <c r="AB143" s="305">
        <v>2243.262237266551</v>
      </c>
      <c r="AC143" s="305">
        <v>2246.312864456303</v>
      </c>
      <c r="AD143" s="305">
        <v>2249.3634916460569</v>
      </c>
      <c r="AE143" s="305">
        <v>2252.4141188358099</v>
      </c>
      <c r="AF143" s="305">
        <v>2255.4647460255628</v>
      </c>
      <c r="AG143" s="305">
        <v>2258.5153732153171</v>
      </c>
      <c r="AH143" s="305">
        <v>2261.5660004050701</v>
      </c>
      <c r="AI143" s="305">
        <v>2264.616627594824</v>
      </c>
      <c r="AJ143" s="305">
        <v>2267.667254784576</v>
      </c>
      <c r="AK143" s="305">
        <v>2270.7178819743299</v>
      </c>
      <c r="AL143" s="305">
        <v>2273.7685091640828</v>
      </c>
      <c r="AM143" s="305">
        <v>2276.8191363538358</v>
      </c>
      <c r="AN143" s="305">
        <v>2279.8697635435901</v>
      </c>
      <c r="AO143" s="305">
        <v>2282.9203907333431</v>
      </c>
      <c r="AP143" s="305">
        <v>2285.9710179230942</v>
      </c>
    </row>
    <row r="144" spans="7:43" ht="14.25" customHeight="1" x14ac:dyDescent="0.2">
      <c r="G144" s="138"/>
      <c r="H144" s="380"/>
      <c r="J144" s="358"/>
      <c r="K144" s="135" t="s">
        <v>254</v>
      </c>
      <c r="L144" s="185" t="s">
        <v>277</v>
      </c>
      <c r="M144" s="303">
        <v>2041.0455517170481</v>
      </c>
      <c r="N144" s="303">
        <v>2051.3018689656969</v>
      </c>
      <c r="O144" s="303">
        <v>2061.5581862143458</v>
      </c>
      <c r="P144" s="303">
        <v>2071.8145034629952</v>
      </c>
      <c r="Q144" s="303">
        <v>2082.070820711644</v>
      </c>
      <c r="R144" s="303">
        <v>2092.3271379602929</v>
      </c>
      <c r="S144" s="303">
        <v>2102.5834552089418</v>
      </c>
      <c r="T144" s="303">
        <v>2112.8397724575912</v>
      </c>
      <c r="U144" s="303">
        <v>2123.09608970624</v>
      </c>
      <c r="V144" s="303">
        <v>2133.352406954888</v>
      </c>
      <c r="W144" s="303">
        <v>2143.6087242035369</v>
      </c>
      <c r="X144" s="303">
        <v>2153.8650414521871</v>
      </c>
      <c r="Y144" s="303">
        <v>2164.121358700836</v>
      </c>
      <c r="Z144" s="303">
        <v>2174.377675949484</v>
      </c>
      <c r="AA144" s="303">
        <v>2184.6339931981352</v>
      </c>
      <c r="AB144" s="303">
        <v>2188.3391676567121</v>
      </c>
      <c r="AC144" s="303">
        <v>2192.04434211529</v>
      </c>
      <c r="AD144" s="303">
        <v>2195.7495165738669</v>
      </c>
      <c r="AE144" s="303">
        <v>2199.4546910324439</v>
      </c>
      <c r="AF144" s="303">
        <v>2203.1598654910222</v>
      </c>
      <c r="AG144" s="303">
        <v>2206.8650399495991</v>
      </c>
      <c r="AH144" s="303">
        <v>2210.570214408177</v>
      </c>
      <c r="AI144" s="303">
        <v>2214.2753888667539</v>
      </c>
      <c r="AJ144" s="303">
        <v>2217.9805633253309</v>
      </c>
      <c r="AK144" s="303">
        <v>2221.6857377839092</v>
      </c>
      <c r="AL144" s="303">
        <v>2225.3909122424861</v>
      </c>
      <c r="AM144" s="303">
        <v>2229.096086701064</v>
      </c>
      <c r="AN144" s="303">
        <v>2232.8012611596409</v>
      </c>
      <c r="AO144" s="303">
        <v>2236.5064356182179</v>
      </c>
      <c r="AP144" s="303">
        <v>2240.2116100767971</v>
      </c>
    </row>
    <row r="145" spans="1:89" ht="14.25" customHeight="1" thickBot="1" x14ac:dyDescent="0.25">
      <c r="G145" s="138"/>
      <c r="H145" s="380"/>
      <c r="J145" s="358"/>
      <c r="K145" s="196" t="s">
        <v>254</v>
      </c>
      <c r="L145" s="196" t="s">
        <v>278</v>
      </c>
      <c r="M145" s="306">
        <v>2041.0455517170481</v>
      </c>
      <c r="N145" s="306">
        <v>2041.0455517170481</v>
      </c>
      <c r="O145" s="306">
        <v>2041.0455517170481</v>
      </c>
      <c r="P145" s="306">
        <v>2041.0455517170481</v>
      </c>
      <c r="Q145" s="306">
        <v>2041.0455517170481</v>
      </c>
      <c r="R145" s="306">
        <v>2041.0455517170481</v>
      </c>
      <c r="S145" s="306">
        <v>2041.0455517170481</v>
      </c>
      <c r="T145" s="306">
        <v>2041.0455517170481</v>
      </c>
      <c r="U145" s="306">
        <v>2041.0455517170481</v>
      </c>
      <c r="V145" s="306">
        <v>2041.0455517170481</v>
      </c>
      <c r="W145" s="306">
        <v>2041.0455517170481</v>
      </c>
      <c r="X145" s="306">
        <v>2041.0455517170481</v>
      </c>
      <c r="Y145" s="306">
        <v>2041.0455517170481</v>
      </c>
      <c r="Z145" s="306">
        <v>2041.0455517170481</v>
      </c>
      <c r="AA145" s="306">
        <v>2041.0455517170481</v>
      </c>
      <c r="AB145" s="306">
        <v>2050.6181144824541</v>
      </c>
      <c r="AC145" s="306">
        <v>2060.1906772478592</v>
      </c>
      <c r="AD145" s="306">
        <v>2069.7632400132652</v>
      </c>
      <c r="AE145" s="306">
        <v>2079.3358027786712</v>
      </c>
      <c r="AF145" s="306">
        <v>2088.9083655440768</v>
      </c>
      <c r="AG145" s="306">
        <v>2098.4809283094819</v>
      </c>
      <c r="AH145" s="306">
        <v>2108.0534910748879</v>
      </c>
      <c r="AI145" s="306">
        <v>2117.6260538402939</v>
      </c>
      <c r="AJ145" s="306">
        <v>2127.198616605699</v>
      </c>
      <c r="AK145" s="306">
        <v>2136.771179371106</v>
      </c>
      <c r="AL145" s="306">
        <v>2146.3437421365111</v>
      </c>
      <c r="AM145" s="306">
        <v>2155.9163049019171</v>
      </c>
      <c r="AN145" s="306">
        <v>2165.4888676673231</v>
      </c>
      <c r="AO145" s="306">
        <v>2175.0614304327291</v>
      </c>
      <c r="AP145" s="306">
        <v>2184.6339931981352</v>
      </c>
      <c r="AQ145" s="199"/>
    </row>
    <row r="146" spans="1:89" ht="14.25" customHeight="1" thickTop="1" x14ac:dyDescent="0.2">
      <c r="G146" s="138"/>
      <c r="H146" s="380"/>
      <c r="J146" s="358"/>
      <c r="K146" s="194" t="s">
        <v>256</v>
      </c>
      <c r="L146" s="194" t="s">
        <v>276</v>
      </c>
      <c r="M146" s="305">
        <v>1872.2432220108899</v>
      </c>
      <c r="N146" s="305">
        <v>1885.8512264159449</v>
      </c>
      <c r="O146" s="305">
        <v>1899.459230820999</v>
      </c>
      <c r="P146" s="305">
        <v>1913.067235226054</v>
      </c>
      <c r="Q146" s="305">
        <v>1926.675239631109</v>
      </c>
      <c r="R146" s="305">
        <v>1940.283244036164</v>
      </c>
      <c r="S146" s="305">
        <v>1953.891248441219</v>
      </c>
      <c r="T146" s="305">
        <v>1967.499252846274</v>
      </c>
      <c r="U146" s="305">
        <v>1981.107257251329</v>
      </c>
      <c r="V146" s="305">
        <v>1994.7152616563831</v>
      </c>
      <c r="W146" s="305">
        <v>2008.3232660614381</v>
      </c>
      <c r="X146" s="305">
        <v>2021.9312704664931</v>
      </c>
      <c r="Y146" s="305">
        <v>2035.5392748715481</v>
      </c>
      <c r="Z146" s="305">
        <v>2049.1472792766031</v>
      </c>
      <c r="AA146" s="305">
        <v>2062.7552836816581</v>
      </c>
      <c r="AB146" s="305">
        <v>2065.03242534636</v>
      </c>
      <c r="AC146" s="305">
        <v>2067.3095670110629</v>
      </c>
      <c r="AD146" s="305">
        <v>2069.5867086757648</v>
      </c>
      <c r="AE146" s="305">
        <v>2071.8638503404682</v>
      </c>
      <c r="AF146" s="305">
        <v>2074.1409920051701</v>
      </c>
      <c r="AG146" s="305">
        <v>2076.418133669873</v>
      </c>
      <c r="AH146" s="305">
        <v>2078.6952753345749</v>
      </c>
      <c r="AI146" s="305">
        <v>2080.9724169992778</v>
      </c>
      <c r="AJ146" s="305">
        <v>2083.2495586639802</v>
      </c>
      <c r="AK146" s="305">
        <v>2085.5267003286831</v>
      </c>
      <c r="AL146" s="305">
        <v>2087.803841993385</v>
      </c>
      <c r="AM146" s="305">
        <v>2090.080983658087</v>
      </c>
      <c r="AN146" s="305">
        <v>2092.3581253227899</v>
      </c>
      <c r="AO146" s="305">
        <v>2094.6352669874932</v>
      </c>
      <c r="AP146" s="305">
        <v>2096.912408652197</v>
      </c>
    </row>
    <row r="147" spans="1:89" ht="14.25" customHeight="1" x14ac:dyDescent="0.2">
      <c r="G147" s="138"/>
      <c r="H147" s="380"/>
      <c r="J147" s="358"/>
      <c r="K147" s="135" t="s">
        <v>256</v>
      </c>
      <c r="L147" s="185" t="s">
        <v>277</v>
      </c>
      <c r="M147" s="303">
        <v>1872.2432220108899</v>
      </c>
      <c r="N147" s="303">
        <v>1881.9693258465279</v>
      </c>
      <c r="O147" s="303">
        <v>1891.6954296821671</v>
      </c>
      <c r="P147" s="303">
        <v>1901.4215335178051</v>
      </c>
      <c r="Q147" s="303">
        <v>1911.147637353444</v>
      </c>
      <c r="R147" s="303">
        <v>1920.873741189082</v>
      </c>
      <c r="S147" s="303">
        <v>1930.5998450247209</v>
      </c>
      <c r="T147" s="303">
        <v>1940.3259488603589</v>
      </c>
      <c r="U147" s="303">
        <v>1950.0520526959981</v>
      </c>
      <c r="V147" s="303">
        <v>1959.7781565316359</v>
      </c>
      <c r="W147" s="303">
        <v>1969.504260367275</v>
      </c>
      <c r="X147" s="303">
        <v>1979.2303642029131</v>
      </c>
      <c r="Y147" s="303">
        <v>1988.956468038552</v>
      </c>
      <c r="Z147" s="303">
        <v>1998.68257187419</v>
      </c>
      <c r="AA147" s="303">
        <v>2008.4086757098271</v>
      </c>
      <c r="AB147" s="303">
        <v>2012.031782907949</v>
      </c>
      <c r="AC147" s="303">
        <v>2015.654890106071</v>
      </c>
      <c r="AD147" s="303">
        <v>2019.2779973041929</v>
      </c>
      <c r="AE147" s="303">
        <v>2022.9011045023151</v>
      </c>
      <c r="AF147" s="303">
        <v>2026.524211700437</v>
      </c>
      <c r="AG147" s="303">
        <v>2030.147318898559</v>
      </c>
      <c r="AH147" s="303">
        <v>2033.7704260966809</v>
      </c>
      <c r="AI147" s="303">
        <v>2037.3935332948031</v>
      </c>
      <c r="AJ147" s="303">
        <v>2041.016640492925</v>
      </c>
      <c r="AK147" s="303">
        <v>2044.639747691047</v>
      </c>
      <c r="AL147" s="303">
        <v>2048.2628548891689</v>
      </c>
      <c r="AM147" s="303">
        <v>2051.8859620872909</v>
      </c>
      <c r="AN147" s="303">
        <v>2055.5090692854128</v>
      </c>
      <c r="AO147" s="303">
        <v>2059.1321764835352</v>
      </c>
      <c r="AP147" s="303">
        <v>2062.7552836816581</v>
      </c>
    </row>
    <row r="148" spans="1:89" ht="14.25" customHeight="1" thickBot="1" x14ac:dyDescent="0.25">
      <c r="G148" s="138"/>
      <c r="H148" s="380"/>
      <c r="J148" s="368"/>
      <c r="K148" s="196" t="s">
        <v>256</v>
      </c>
      <c r="L148" s="196" t="s">
        <v>278</v>
      </c>
      <c r="M148" s="306">
        <v>1872.2432220108899</v>
      </c>
      <c r="N148" s="306">
        <v>1872.2432220108899</v>
      </c>
      <c r="O148" s="306">
        <v>1872.2432220108899</v>
      </c>
      <c r="P148" s="306">
        <v>1872.2432220108899</v>
      </c>
      <c r="Q148" s="306">
        <v>1872.2432220108899</v>
      </c>
      <c r="R148" s="306">
        <v>1872.2432220108899</v>
      </c>
      <c r="S148" s="306">
        <v>1872.2432220108899</v>
      </c>
      <c r="T148" s="306">
        <v>1872.2432220108899</v>
      </c>
      <c r="U148" s="306">
        <v>1872.2432220108899</v>
      </c>
      <c r="V148" s="306">
        <v>1872.2432220108899</v>
      </c>
      <c r="W148" s="306">
        <v>1872.2432220108899</v>
      </c>
      <c r="X148" s="306">
        <v>1872.2432220108899</v>
      </c>
      <c r="Y148" s="306">
        <v>1872.2432220108899</v>
      </c>
      <c r="Z148" s="306">
        <v>1872.2432220108899</v>
      </c>
      <c r="AA148" s="306">
        <v>1872.2432220108899</v>
      </c>
      <c r="AB148" s="306">
        <v>1881.320918924152</v>
      </c>
      <c r="AC148" s="306">
        <v>1890.398615837415</v>
      </c>
      <c r="AD148" s="306">
        <v>1899.4763127506781</v>
      </c>
      <c r="AE148" s="306">
        <v>1908.55400966394</v>
      </c>
      <c r="AF148" s="306">
        <v>1917.631706577203</v>
      </c>
      <c r="AG148" s="306">
        <v>1926.709403490466</v>
      </c>
      <c r="AH148" s="306">
        <v>1935.7871004037279</v>
      </c>
      <c r="AI148" s="306">
        <v>1944.8647973169909</v>
      </c>
      <c r="AJ148" s="306">
        <v>1953.942494230253</v>
      </c>
      <c r="AK148" s="306">
        <v>1963.0201911435161</v>
      </c>
      <c r="AL148" s="306">
        <v>1972.0978880567791</v>
      </c>
      <c r="AM148" s="306">
        <v>1981.175584970041</v>
      </c>
      <c r="AN148" s="306">
        <v>1990.253281883304</v>
      </c>
      <c r="AO148" s="306">
        <v>1999.330978796567</v>
      </c>
      <c r="AP148" s="306">
        <v>2008.4086757098271</v>
      </c>
      <c r="AQ148" s="199"/>
    </row>
    <row r="149" spans="1:89" ht="14.25" customHeight="1" thickTop="1" x14ac:dyDescent="0.2">
      <c r="G149" s="138"/>
      <c r="H149" s="380"/>
      <c r="J149" s="201"/>
      <c r="K149" s="135"/>
      <c r="L149" s="135"/>
      <c r="M149" s="210"/>
      <c r="N149" s="210"/>
      <c r="O149" s="210"/>
      <c r="P149" s="210"/>
      <c r="Q149" s="210"/>
      <c r="R149" s="210"/>
      <c r="S149" s="210"/>
      <c r="T149" s="210"/>
      <c r="U149" s="210"/>
      <c r="V149" s="210"/>
      <c r="W149" s="210"/>
      <c r="X149" s="210"/>
      <c r="Y149" s="210"/>
      <c r="Z149" s="210"/>
      <c r="AA149" s="288"/>
      <c r="AB149" s="288"/>
      <c r="AC149" s="288"/>
      <c r="AD149" s="210"/>
      <c r="AE149" s="210"/>
      <c r="AF149" s="210"/>
      <c r="AG149" s="210"/>
      <c r="AH149" s="210"/>
      <c r="AI149" s="210"/>
      <c r="AJ149" s="210"/>
      <c r="AK149" s="210"/>
      <c r="AL149" s="210"/>
      <c r="AM149" s="210"/>
      <c r="AN149" s="210"/>
      <c r="AO149" s="210"/>
      <c r="AP149" s="298"/>
      <c r="AQ149" s="298"/>
      <c r="AR149" s="298"/>
    </row>
    <row r="150" spans="1:89" ht="14.25" customHeight="1" x14ac:dyDescent="0.2">
      <c r="G150" s="138"/>
      <c r="H150" s="380"/>
      <c r="J150" s="140"/>
      <c r="M150" s="123">
        <v>2021</v>
      </c>
      <c r="N150" s="123">
        <v>2022</v>
      </c>
      <c r="O150" s="123">
        <v>2023</v>
      </c>
      <c r="P150" s="123">
        <v>2024</v>
      </c>
      <c r="Q150" s="123">
        <v>2025</v>
      </c>
      <c r="R150" s="123">
        <v>2026</v>
      </c>
      <c r="S150" s="123">
        <v>2027</v>
      </c>
      <c r="T150" s="123">
        <v>2028</v>
      </c>
      <c r="U150" s="123">
        <v>2029</v>
      </c>
      <c r="V150" s="123">
        <v>2030</v>
      </c>
      <c r="W150" s="123">
        <v>2031</v>
      </c>
      <c r="X150" s="123">
        <v>2032</v>
      </c>
      <c r="Y150" s="123">
        <v>2033</v>
      </c>
      <c r="Z150" s="123">
        <v>2034</v>
      </c>
      <c r="AA150" s="123">
        <v>2035</v>
      </c>
      <c r="AB150" s="123">
        <v>2036</v>
      </c>
      <c r="AC150" s="123">
        <v>2037</v>
      </c>
      <c r="AD150" s="123">
        <v>2038</v>
      </c>
      <c r="AE150" s="123">
        <v>2039</v>
      </c>
      <c r="AF150" s="123">
        <v>2040</v>
      </c>
      <c r="AG150" s="123">
        <v>2041</v>
      </c>
      <c r="AH150" s="123">
        <v>2042</v>
      </c>
      <c r="AI150" s="123">
        <v>2043</v>
      </c>
      <c r="AJ150" s="123">
        <v>2044</v>
      </c>
      <c r="AK150" s="123">
        <v>2045</v>
      </c>
      <c r="AL150" s="123">
        <v>2046</v>
      </c>
      <c r="AM150" s="123">
        <v>2047</v>
      </c>
      <c r="AN150" s="123">
        <v>2048</v>
      </c>
      <c r="AO150" s="123">
        <v>2049</v>
      </c>
      <c r="AP150" s="123">
        <v>2050</v>
      </c>
    </row>
    <row r="151" spans="1:89" ht="14.25" customHeight="1" x14ac:dyDescent="0.2">
      <c r="G151" s="138"/>
      <c r="H151" s="380"/>
      <c r="J151" s="367" t="s">
        <v>294</v>
      </c>
      <c r="K151" s="194" t="s">
        <v>235</v>
      </c>
      <c r="L151" s="194" t="s">
        <v>276</v>
      </c>
      <c r="M151" s="212">
        <v>1290.8062682686859</v>
      </c>
      <c r="N151" s="212">
        <v>1373.1981577326439</v>
      </c>
      <c r="O151" s="212">
        <v>1316.2190335666321</v>
      </c>
      <c r="P151" s="212">
        <v>1259.2399094006189</v>
      </c>
      <c r="Q151" s="212">
        <v>1202.2607852346071</v>
      </c>
      <c r="R151" s="212">
        <v>1145.2816610685941</v>
      </c>
      <c r="S151" s="212">
        <v>1088.302536902582</v>
      </c>
      <c r="T151" s="212">
        <v>1031.323412736569</v>
      </c>
      <c r="U151" s="212">
        <v>974.34428857055696</v>
      </c>
      <c r="V151" s="212">
        <v>917.36516440454443</v>
      </c>
      <c r="W151" s="212">
        <v>860.38604023853202</v>
      </c>
      <c r="X151" s="212">
        <v>803.40691607251949</v>
      </c>
      <c r="Y151" s="212">
        <v>746.42779190650708</v>
      </c>
      <c r="Z151" s="212">
        <v>689.44866774049456</v>
      </c>
      <c r="AA151" s="212">
        <v>632.46954357448169</v>
      </c>
      <c r="AB151" s="212">
        <v>625.04005636870511</v>
      </c>
      <c r="AC151" s="212">
        <v>617.61056916292853</v>
      </c>
      <c r="AD151" s="212">
        <v>610.18108195715195</v>
      </c>
      <c r="AE151" s="212">
        <v>602.75159475137548</v>
      </c>
      <c r="AF151" s="212">
        <v>595.32210754559878</v>
      </c>
      <c r="AG151" s="212">
        <v>587.89262033982232</v>
      </c>
      <c r="AH151" s="212">
        <v>580.46313313404573</v>
      </c>
      <c r="AI151" s="212">
        <v>573.03364592826892</v>
      </c>
      <c r="AJ151" s="212">
        <v>565.60415872249246</v>
      </c>
      <c r="AK151" s="212">
        <v>558.17467151671576</v>
      </c>
      <c r="AL151" s="212">
        <v>550.74518431093929</v>
      </c>
      <c r="AM151" s="212">
        <v>543.31569710516271</v>
      </c>
      <c r="AN151" s="212">
        <v>535.88620989938613</v>
      </c>
      <c r="AO151" s="212">
        <v>528.45672269360955</v>
      </c>
      <c r="AP151" s="212">
        <v>521.0272354878324</v>
      </c>
      <c r="AQ151" s="298"/>
    </row>
    <row r="152" spans="1:89" ht="14.25" customHeight="1" x14ac:dyDescent="0.2">
      <c r="G152" s="138"/>
      <c r="H152" s="380"/>
      <c r="J152" s="358"/>
      <c r="K152" s="135" t="s">
        <v>235</v>
      </c>
      <c r="L152" s="185" t="s">
        <v>277</v>
      </c>
      <c r="M152" s="213">
        <v>1290.8062682686859</v>
      </c>
      <c r="N152" s="213">
        <v>1373.1981577326439</v>
      </c>
      <c r="O152" s="213">
        <v>1331.3527873137889</v>
      </c>
      <c r="P152" s="213">
        <v>1289.5074168949341</v>
      </c>
      <c r="Q152" s="213">
        <v>1247.662046476079</v>
      </c>
      <c r="R152" s="213">
        <v>1205.816676057223</v>
      </c>
      <c r="S152" s="213">
        <v>1163.971305638368</v>
      </c>
      <c r="T152" s="213">
        <v>1122.1259352195129</v>
      </c>
      <c r="U152" s="213">
        <v>1080.2805648006581</v>
      </c>
      <c r="V152" s="213">
        <v>1038.4351943818019</v>
      </c>
      <c r="W152" s="213">
        <v>996.58982396294721</v>
      </c>
      <c r="X152" s="213">
        <v>954.74445354409204</v>
      </c>
      <c r="Y152" s="213">
        <v>912.89908312523676</v>
      </c>
      <c r="Z152" s="213">
        <v>871.05371270638148</v>
      </c>
      <c r="AA152" s="213">
        <v>829.20834228752562</v>
      </c>
      <c r="AB152" s="213">
        <v>816.09242237332262</v>
      </c>
      <c r="AC152" s="213">
        <v>802.97650245911973</v>
      </c>
      <c r="AD152" s="213">
        <v>789.86058254491684</v>
      </c>
      <c r="AE152" s="213">
        <v>776.74466263071395</v>
      </c>
      <c r="AF152" s="213">
        <v>763.62874271651094</v>
      </c>
      <c r="AG152" s="213">
        <v>750.51282280230805</v>
      </c>
      <c r="AH152" s="213">
        <v>737.39690288810516</v>
      </c>
      <c r="AI152" s="213">
        <v>724.28098297390216</v>
      </c>
      <c r="AJ152" s="213">
        <v>711.16506305969938</v>
      </c>
      <c r="AK152" s="213">
        <v>698.04914314549637</v>
      </c>
      <c r="AL152" s="213">
        <v>684.93322323129348</v>
      </c>
      <c r="AM152" s="213">
        <v>671.81730331709059</v>
      </c>
      <c r="AN152" s="213">
        <v>658.70138340288759</v>
      </c>
      <c r="AO152" s="213">
        <v>645.58546348868481</v>
      </c>
      <c r="AP152" s="213">
        <v>632.46954357448169</v>
      </c>
      <c r="AQ152" s="298"/>
    </row>
    <row r="153" spans="1:89" ht="14.25" customHeight="1" thickBot="1" x14ac:dyDescent="0.25">
      <c r="G153" s="138"/>
      <c r="H153" s="380"/>
      <c r="J153" s="358"/>
      <c r="K153" s="196" t="s">
        <v>235</v>
      </c>
      <c r="L153" s="196" t="s">
        <v>278</v>
      </c>
      <c r="M153" s="214">
        <v>1290.8062682686859</v>
      </c>
      <c r="N153" s="214">
        <v>1373.1981577326439</v>
      </c>
      <c r="O153" s="214">
        <v>1352.292918360009</v>
      </c>
      <c r="P153" s="214">
        <v>1331.387678987373</v>
      </c>
      <c r="Q153" s="214">
        <v>1310.482439614738</v>
      </c>
      <c r="R153" s="214">
        <v>1289.5772002421029</v>
      </c>
      <c r="S153" s="214">
        <v>1268.671960869468</v>
      </c>
      <c r="T153" s="214">
        <v>1247.7667214968319</v>
      </c>
      <c r="U153" s="214">
        <v>1226.861482124197</v>
      </c>
      <c r="V153" s="214">
        <v>1205.9562427515621</v>
      </c>
      <c r="W153" s="214">
        <v>1185.051003378926</v>
      </c>
      <c r="X153" s="214">
        <v>1164.1457640062911</v>
      </c>
      <c r="Y153" s="214">
        <v>1143.2405246336559</v>
      </c>
      <c r="Z153" s="214">
        <v>1122.335285261021</v>
      </c>
      <c r="AA153" s="214">
        <v>1101.430045888384</v>
      </c>
      <c r="AB153" s="214">
        <v>1083.281932314994</v>
      </c>
      <c r="AC153" s="214">
        <v>1065.133818741604</v>
      </c>
      <c r="AD153" s="214">
        <v>1046.9857051682129</v>
      </c>
      <c r="AE153" s="214">
        <v>1028.837591594822</v>
      </c>
      <c r="AF153" s="214">
        <v>1010.689478021432</v>
      </c>
      <c r="AG153" s="214">
        <v>992.54136444804124</v>
      </c>
      <c r="AH153" s="214">
        <v>974.39325087465056</v>
      </c>
      <c r="AI153" s="214">
        <v>956.24513730126012</v>
      </c>
      <c r="AJ153" s="214">
        <v>938.09702372786955</v>
      </c>
      <c r="AK153" s="214">
        <v>919.94891015447888</v>
      </c>
      <c r="AL153" s="214">
        <v>901.80079658108832</v>
      </c>
      <c r="AM153" s="214">
        <v>883.65268300769787</v>
      </c>
      <c r="AN153" s="214">
        <v>865.5045694343072</v>
      </c>
      <c r="AO153" s="214">
        <v>847.35645586091664</v>
      </c>
      <c r="AP153" s="214">
        <v>829.20834228752562</v>
      </c>
      <c r="AQ153" s="298"/>
    </row>
    <row r="154" spans="1:89" ht="14.25" customHeight="1" thickTop="1" x14ac:dyDescent="0.2">
      <c r="G154" s="138"/>
      <c r="H154" s="380"/>
      <c r="J154" s="358"/>
      <c r="K154" s="194" t="s">
        <v>240</v>
      </c>
      <c r="L154" s="194" t="s">
        <v>276</v>
      </c>
      <c r="M154" s="215">
        <v>1290.8062682686859</v>
      </c>
      <c r="N154" s="215">
        <v>1373.1981577326439</v>
      </c>
      <c r="O154" s="215">
        <v>1316.2190335666321</v>
      </c>
      <c r="P154" s="215">
        <v>1259.2399094006189</v>
      </c>
      <c r="Q154" s="215">
        <v>1202.2607852346071</v>
      </c>
      <c r="R154" s="215">
        <v>1145.2816610685941</v>
      </c>
      <c r="S154" s="215">
        <v>1088.302536902582</v>
      </c>
      <c r="T154" s="215">
        <v>1031.323412736569</v>
      </c>
      <c r="U154" s="215">
        <v>974.34428857055696</v>
      </c>
      <c r="V154" s="215">
        <v>917.36516440454443</v>
      </c>
      <c r="W154" s="215">
        <v>860.38604023853202</v>
      </c>
      <c r="X154" s="215">
        <v>803.40691607251949</v>
      </c>
      <c r="Y154" s="215">
        <v>746.42779190650708</v>
      </c>
      <c r="Z154" s="215">
        <v>689.44866774049456</v>
      </c>
      <c r="AA154" s="215">
        <v>632.46954357448169</v>
      </c>
      <c r="AB154" s="215">
        <v>625.04005636870511</v>
      </c>
      <c r="AC154" s="215">
        <v>617.61056916292853</v>
      </c>
      <c r="AD154" s="215">
        <v>610.18108195715195</v>
      </c>
      <c r="AE154" s="215">
        <v>602.75159475137548</v>
      </c>
      <c r="AF154" s="215">
        <v>595.32210754559878</v>
      </c>
      <c r="AG154" s="215">
        <v>587.89262033982232</v>
      </c>
      <c r="AH154" s="215">
        <v>580.46313313404573</v>
      </c>
      <c r="AI154" s="215">
        <v>573.03364592826892</v>
      </c>
      <c r="AJ154" s="215">
        <v>565.60415872249246</v>
      </c>
      <c r="AK154" s="215">
        <v>558.17467151671576</v>
      </c>
      <c r="AL154" s="215">
        <v>550.74518431093929</v>
      </c>
      <c r="AM154" s="215">
        <v>543.31569710516271</v>
      </c>
      <c r="AN154" s="215">
        <v>535.88620989938613</v>
      </c>
      <c r="AO154" s="215">
        <v>528.45672269360955</v>
      </c>
      <c r="AP154" s="215">
        <v>521.0272354878324</v>
      </c>
    </row>
    <row r="155" spans="1:89" ht="14.25" customHeight="1" x14ac:dyDescent="0.2">
      <c r="G155" s="138"/>
      <c r="H155" s="380"/>
      <c r="J155" s="358"/>
      <c r="K155" s="135" t="s">
        <v>240</v>
      </c>
      <c r="L155" s="185" t="s">
        <v>277</v>
      </c>
      <c r="M155" s="213">
        <v>1290.8062682686859</v>
      </c>
      <c r="N155" s="213">
        <v>1373.1981577326439</v>
      </c>
      <c r="O155" s="213">
        <v>1331.3527873137889</v>
      </c>
      <c r="P155" s="213">
        <v>1289.5074168949341</v>
      </c>
      <c r="Q155" s="213">
        <v>1247.662046476079</v>
      </c>
      <c r="R155" s="213">
        <v>1205.816676057223</v>
      </c>
      <c r="S155" s="213">
        <v>1163.971305638368</v>
      </c>
      <c r="T155" s="213">
        <v>1122.1259352195129</v>
      </c>
      <c r="U155" s="213">
        <v>1080.2805648006581</v>
      </c>
      <c r="V155" s="213">
        <v>1038.4351943818019</v>
      </c>
      <c r="W155" s="213">
        <v>996.58982396294721</v>
      </c>
      <c r="X155" s="213">
        <v>954.74445354409204</v>
      </c>
      <c r="Y155" s="213">
        <v>912.89908312523676</v>
      </c>
      <c r="Z155" s="213">
        <v>871.05371270638148</v>
      </c>
      <c r="AA155" s="213">
        <v>829.20834228752562</v>
      </c>
      <c r="AB155" s="213">
        <v>816.09242237332262</v>
      </c>
      <c r="AC155" s="213">
        <v>802.97650245911973</v>
      </c>
      <c r="AD155" s="213">
        <v>789.86058254491684</v>
      </c>
      <c r="AE155" s="213">
        <v>776.74466263071395</v>
      </c>
      <c r="AF155" s="213">
        <v>763.62874271651094</v>
      </c>
      <c r="AG155" s="213">
        <v>750.51282280230805</v>
      </c>
      <c r="AH155" s="213">
        <v>737.39690288810516</v>
      </c>
      <c r="AI155" s="213">
        <v>724.28098297390216</v>
      </c>
      <c r="AJ155" s="213">
        <v>711.16506305969938</v>
      </c>
      <c r="AK155" s="213">
        <v>698.04914314549637</v>
      </c>
      <c r="AL155" s="213">
        <v>684.93322323129348</v>
      </c>
      <c r="AM155" s="213">
        <v>671.81730331709059</v>
      </c>
      <c r="AN155" s="213">
        <v>658.70138340288759</v>
      </c>
      <c r="AO155" s="213">
        <v>645.58546348868481</v>
      </c>
      <c r="AP155" s="213">
        <v>632.46954357448169</v>
      </c>
    </row>
    <row r="156" spans="1:89" ht="13.5" customHeight="1" thickBot="1" x14ac:dyDescent="0.25">
      <c r="G156" s="138"/>
      <c r="H156" s="380"/>
      <c r="J156" s="358"/>
      <c r="K156" s="196" t="s">
        <v>240</v>
      </c>
      <c r="L156" s="196" t="s">
        <v>278</v>
      </c>
      <c r="M156" s="214">
        <v>1290.8062682686859</v>
      </c>
      <c r="N156" s="214">
        <v>1373.1981577326439</v>
      </c>
      <c r="O156" s="214">
        <v>1352.292918360009</v>
      </c>
      <c r="P156" s="214">
        <v>1331.387678987373</v>
      </c>
      <c r="Q156" s="214">
        <v>1310.482439614738</v>
      </c>
      <c r="R156" s="214">
        <v>1289.5772002421029</v>
      </c>
      <c r="S156" s="214">
        <v>1268.671960869468</v>
      </c>
      <c r="T156" s="214">
        <v>1247.7667214968319</v>
      </c>
      <c r="U156" s="214">
        <v>1226.861482124197</v>
      </c>
      <c r="V156" s="214">
        <v>1205.9562427515621</v>
      </c>
      <c r="W156" s="214">
        <v>1185.051003378926</v>
      </c>
      <c r="X156" s="214">
        <v>1164.1457640062911</v>
      </c>
      <c r="Y156" s="214">
        <v>1143.2405246336559</v>
      </c>
      <c r="Z156" s="214">
        <v>1122.335285261021</v>
      </c>
      <c r="AA156" s="214">
        <v>1101.430045888384</v>
      </c>
      <c r="AB156" s="214">
        <v>1083.281932314994</v>
      </c>
      <c r="AC156" s="214">
        <v>1065.133818741604</v>
      </c>
      <c r="AD156" s="214">
        <v>1046.9857051682129</v>
      </c>
      <c r="AE156" s="214">
        <v>1028.837591594822</v>
      </c>
      <c r="AF156" s="214">
        <v>1010.689478021432</v>
      </c>
      <c r="AG156" s="214">
        <v>992.54136444804124</v>
      </c>
      <c r="AH156" s="214">
        <v>974.39325087465056</v>
      </c>
      <c r="AI156" s="214">
        <v>956.24513730126012</v>
      </c>
      <c r="AJ156" s="214">
        <v>938.09702372786955</v>
      </c>
      <c r="AK156" s="214">
        <v>919.94891015447888</v>
      </c>
      <c r="AL156" s="214">
        <v>901.80079658108832</v>
      </c>
      <c r="AM156" s="214">
        <v>883.65268300769787</v>
      </c>
      <c r="AN156" s="214">
        <v>865.5045694343072</v>
      </c>
      <c r="AO156" s="214">
        <v>847.35645586091664</v>
      </c>
      <c r="AP156" s="214">
        <v>829.20834228752562</v>
      </c>
      <c r="AR156" s="199"/>
      <c r="AS156" s="199"/>
    </row>
    <row r="157" spans="1:89" ht="13.5" customHeight="1" thickTop="1" thickBot="1" x14ac:dyDescent="0.25">
      <c r="G157" s="138"/>
      <c r="H157" s="380"/>
      <c r="J157" s="358"/>
      <c r="K157" s="194" t="s">
        <v>242</v>
      </c>
      <c r="L157" s="194" t="s">
        <v>276</v>
      </c>
      <c r="M157" s="215">
        <v>1290.8062682686859</v>
      </c>
      <c r="N157" s="215">
        <v>1373.1981577326439</v>
      </c>
      <c r="O157" s="215">
        <v>1316.2190335666321</v>
      </c>
      <c r="P157" s="215">
        <v>1259.2399094006189</v>
      </c>
      <c r="Q157" s="215">
        <v>1202.2607852346071</v>
      </c>
      <c r="R157" s="215">
        <v>1145.2816610685941</v>
      </c>
      <c r="S157" s="215">
        <v>1088.302536902582</v>
      </c>
      <c r="T157" s="215">
        <v>1031.323412736569</v>
      </c>
      <c r="U157" s="215">
        <v>974.34428857055696</v>
      </c>
      <c r="V157" s="215">
        <v>917.36516440454443</v>
      </c>
      <c r="W157" s="215">
        <v>860.38604023853202</v>
      </c>
      <c r="X157" s="215">
        <v>803.40691607251949</v>
      </c>
      <c r="Y157" s="215">
        <v>746.42779190650708</v>
      </c>
      <c r="Z157" s="215">
        <v>689.44866774049456</v>
      </c>
      <c r="AA157" s="215">
        <v>632.46954357448169</v>
      </c>
      <c r="AB157" s="215">
        <v>625.04005636870511</v>
      </c>
      <c r="AC157" s="215">
        <v>617.61056916292853</v>
      </c>
      <c r="AD157" s="215">
        <v>610.18108195715195</v>
      </c>
      <c r="AE157" s="215">
        <v>602.75159475137548</v>
      </c>
      <c r="AF157" s="215">
        <v>595.32210754559878</v>
      </c>
      <c r="AG157" s="215">
        <v>587.89262033982232</v>
      </c>
      <c r="AH157" s="215">
        <v>580.46313313404573</v>
      </c>
      <c r="AI157" s="215">
        <v>573.03364592826892</v>
      </c>
      <c r="AJ157" s="215">
        <v>565.60415872249246</v>
      </c>
      <c r="AK157" s="215">
        <v>558.17467151671576</v>
      </c>
      <c r="AL157" s="215">
        <v>550.74518431093929</v>
      </c>
      <c r="AM157" s="215">
        <v>543.31569710516271</v>
      </c>
      <c r="AN157" s="215">
        <v>535.88620989938613</v>
      </c>
      <c r="AO157" s="215">
        <v>528.45672269360955</v>
      </c>
      <c r="AP157" s="215">
        <v>521.0272354878324</v>
      </c>
      <c r="AT157" s="199"/>
      <c r="AU157" s="199"/>
      <c r="AV157" s="199"/>
      <c r="AW157" s="199"/>
      <c r="AZ157" s="199"/>
    </row>
    <row r="158" spans="1:89" s="199" customFormat="1" ht="14.25" customHeight="1" thickTop="1" thickBot="1" x14ac:dyDescent="0.25">
      <c r="A158" s="131"/>
      <c r="B158" s="131"/>
      <c r="C158" s="131"/>
      <c r="D158" s="131"/>
      <c r="E158" s="131"/>
      <c r="F158" s="131"/>
      <c r="G158" s="138"/>
      <c r="H158" s="401"/>
      <c r="I158" s="131"/>
      <c r="J158" s="358"/>
      <c r="K158" s="135" t="s">
        <v>242</v>
      </c>
      <c r="L158" s="185" t="s">
        <v>277</v>
      </c>
      <c r="M158" s="213">
        <v>1290.8062682686859</v>
      </c>
      <c r="N158" s="213">
        <v>1373.1981577326439</v>
      </c>
      <c r="O158" s="213">
        <v>1331.3527873137889</v>
      </c>
      <c r="P158" s="213">
        <v>1289.5074168949341</v>
      </c>
      <c r="Q158" s="213">
        <v>1247.662046476079</v>
      </c>
      <c r="R158" s="213">
        <v>1205.816676057223</v>
      </c>
      <c r="S158" s="213">
        <v>1163.971305638368</v>
      </c>
      <c r="T158" s="213">
        <v>1122.1259352195129</v>
      </c>
      <c r="U158" s="213">
        <v>1080.2805648006581</v>
      </c>
      <c r="V158" s="213">
        <v>1038.4351943818019</v>
      </c>
      <c r="W158" s="213">
        <v>996.58982396294721</v>
      </c>
      <c r="X158" s="213">
        <v>954.74445354409204</v>
      </c>
      <c r="Y158" s="213">
        <v>912.89908312523676</v>
      </c>
      <c r="Z158" s="213">
        <v>871.05371270638148</v>
      </c>
      <c r="AA158" s="213">
        <v>829.20834228752562</v>
      </c>
      <c r="AB158" s="213">
        <v>816.09242237332262</v>
      </c>
      <c r="AC158" s="213">
        <v>802.97650245911973</v>
      </c>
      <c r="AD158" s="213">
        <v>789.86058254491684</v>
      </c>
      <c r="AE158" s="213">
        <v>776.74466263071395</v>
      </c>
      <c r="AF158" s="213">
        <v>763.62874271651094</v>
      </c>
      <c r="AG158" s="213">
        <v>750.51282280230805</v>
      </c>
      <c r="AH158" s="213">
        <v>737.39690288810516</v>
      </c>
      <c r="AI158" s="213">
        <v>724.28098297390216</v>
      </c>
      <c r="AJ158" s="213">
        <v>711.16506305969938</v>
      </c>
      <c r="AK158" s="213">
        <v>698.04914314549637</v>
      </c>
      <c r="AL158" s="213">
        <v>684.93322323129348</v>
      </c>
      <c r="AM158" s="213">
        <v>671.81730331709059</v>
      </c>
      <c r="AN158" s="213">
        <v>658.70138340288759</v>
      </c>
      <c r="AO158" s="213">
        <v>645.58546348868481</v>
      </c>
      <c r="AP158" s="213">
        <v>632.46954357448169</v>
      </c>
      <c r="AQ158" s="131"/>
      <c r="AR158" s="131"/>
      <c r="AS158" s="131"/>
      <c r="AT158" s="200"/>
      <c r="AU158" s="200"/>
      <c r="AV158" s="200"/>
      <c r="AW158" s="200"/>
      <c r="AZ158" s="200"/>
      <c r="BA158" s="131"/>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131"/>
      <c r="CA158" s="131"/>
      <c r="CB158" s="131"/>
      <c r="CC158" s="131"/>
      <c r="CD158" s="131"/>
      <c r="CE158" s="131"/>
      <c r="CF158" s="131"/>
      <c r="CG158" s="131"/>
      <c r="CH158" s="131"/>
      <c r="CI158" s="131"/>
      <c r="CJ158" s="131"/>
      <c r="CK158" s="131"/>
    </row>
    <row r="159" spans="1:89" s="200" customFormat="1" ht="14.25" customHeight="1" thickTop="1" thickBot="1" x14ac:dyDescent="0.25">
      <c r="A159" s="131"/>
      <c r="B159" s="131"/>
      <c r="C159" s="131"/>
      <c r="D159" s="131"/>
      <c r="E159" s="131"/>
      <c r="F159" s="131"/>
      <c r="G159" s="138"/>
      <c r="H159" s="402"/>
      <c r="I159" s="131"/>
      <c r="J159" s="358"/>
      <c r="K159" s="196" t="s">
        <v>242</v>
      </c>
      <c r="L159" s="196" t="s">
        <v>278</v>
      </c>
      <c r="M159" s="218">
        <v>1290.8062682686859</v>
      </c>
      <c r="N159" s="218">
        <v>1373.1981577326439</v>
      </c>
      <c r="O159" s="218">
        <v>1352.292918360009</v>
      </c>
      <c r="P159" s="218">
        <v>1331.387678987373</v>
      </c>
      <c r="Q159" s="218">
        <v>1310.482439614738</v>
      </c>
      <c r="R159" s="218">
        <v>1289.5772002421029</v>
      </c>
      <c r="S159" s="218">
        <v>1268.671960869468</v>
      </c>
      <c r="T159" s="218">
        <v>1247.7667214968319</v>
      </c>
      <c r="U159" s="218">
        <v>1226.861482124197</v>
      </c>
      <c r="V159" s="218">
        <v>1205.9562427515621</v>
      </c>
      <c r="W159" s="218">
        <v>1185.051003378926</v>
      </c>
      <c r="X159" s="218">
        <v>1164.1457640062911</v>
      </c>
      <c r="Y159" s="218">
        <v>1143.2405246336559</v>
      </c>
      <c r="Z159" s="218">
        <v>1122.335285261021</v>
      </c>
      <c r="AA159" s="218">
        <v>1101.430045888384</v>
      </c>
      <c r="AB159" s="218">
        <v>1083.281932314994</v>
      </c>
      <c r="AC159" s="218">
        <v>1065.133818741604</v>
      </c>
      <c r="AD159" s="218">
        <v>1046.9857051682129</v>
      </c>
      <c r="AE159" s="218">
        <v>1028.837591594822</v>
      </c>
      <c r="AF159" s="218">
        <v>1010.689478021432</v>
      </c>
      <c r="AG159" s="218">
        <v>992.54136444804124</v>
      </c>
      <c r="AH159" s="218">
        <v>974.39325087465056</v>
      </c>
      <c r="AI159" s="218">
        <v>956.24513730126012</v>
      </c>
      <c r="AJ159" s="218">
        <v>938.09702372786955</v>
      </c>
      <c r="AK159" s="218">
        <v>919.94891015447888</v>
      </c>
      <c r="AL159" s="218">
        <v>901.80079658108832</v>
      </c>
      <c r="AM159" s="218">
        <v>883.65268300769787</v>
      </c>
      <c r="AN159" s="218">
        <v>865.5045694343072</v>
      </c>
      <c r="AO159" s="218">
        <v>847.35645586091664</v>
      </c>
      <c r="AP159" s="218">
        <v>829.20834228752562</v>
      </c>
      <c r="AQ159" s="131"/>
      <c r="AR159" s="131"/>
      <c r="AS159" s="131"/>
      <c r="AT159" s="131"/>
      <c r="AU159" s="131"/>
      <c r="AV159" s="131"/>
      <c r="AW159" s="131"/>
      <c r="AZ159" s="131"/>
      <c r="BA159" s="131"/>
      <c r="BB159" s="131"/>
      <c r="BC159" s="131"/>
      <c r="BD159" s="131"/>
      <c r="BE159" s="199"/>
      <c r="BF159" s="199"/>
      <c r="BG159" s="199"/>
      <c r="BH159" s="131"/>
      <c r="BI159" s="131"/>
      <c r="BJ159" s="131"/>
      <c r="BK159" s="131"/>
      <c r="BL159" s="131"/>
      <c r="BM159" s="131"/>
      <c r="BN159" s="131"/>
      <c r="BO159" s="131"/>
      <c r="BP159" s="131"/>
      <c r="BQ159" s="131"/>
      <c r="BR159" s="131"/>
      <c r="BS159" s="131"/>
      <c r="BT159" s="131"/>
      <c r="BU159" s="131"/>
      <c r="BV159" s="131"/>
      <c r="BW159" s="131"/>
      <c r="BX159" s="131"/>
      <c r="BY159" s="131"/>
      <c r="BZ159" s="131"/>
      <c r="CA159" s="131"/>
      <c r="CB159" s="131"/>
      <c r="CC159" s="131"/>
      <c r="CD159" s="131"/>
      <c r="CE159" s="131"/>
      <c r="CF159" s="131"/>
      <c r="CG159" s="131"/>
      <c r="CH159" s="131"/>
      <c r="CI159" s="131"/>
      <c r="CJ159" s="131"/>
      <c r="CK159" s="131"/>
    </row>
    <row r="160" spans="1:89" ht="13.5" customHeight="1" thickTop="1" thickBot="1" x14ac:dyDescent="0.25">
      <c r="G160" s="138"/>
      <c r="H160" s="380"/>
      <c r="J160" s="358"/>
      <c r="K160" s="194" t="s">
        <v>244</v>
      </c>
      <c r="L160" s="194" t="s">
        <v>276</v>
      </c>
      <c r="M160" s="215">
        <v>1290.8062682686859</v>
      </c>
      <c r="N160" s="215">
        <v>1373.1981577326439</v>
      </c>
      <c r="O160" s="215">
        <v>1316.2190335666321</v>
      </c>
      <c r="P160" s="215">
        <v>1259.2399094006189</v>
      </c>
      <c r="Q160" s="215">
        <v>1202.2607852346071</v>
      </c>
      <c r="R160" s="215">
        <v>1145.2816610685941</v>
      </c>
      <c r="S160" s="215">
        <v>1088.302536902582</v>
      </c>
      <c r="T160" s="215">
        <v>1031.323412736569</v>
      </c>
      <c r="U160" s="215">
        <v>974.34428857055696</v>
      </c>
      <c r="V160" s="215">
        <v>917.36516440454443</v>
      </c>
      <c r="W160" s="215">
        <v>860.38604023853202</v>
      </c>
      <c r="X160" s="215">
        <v>803.40691607251949</v>
      </c>
      <c r="Y160" s="215">
        <v>746.42779190650708</v>
      </c>
      <c r="Z160" s="215">
        <v>689.44866774049456</v>
      </c>
      <c r="AA160" s="215">
        <v>632.46954357448169</v>
      </c>
      <c r="AB160" s="215">
        <v>625.04005636870511</v>
      </c>
      <c r="AC160" s="215">
        <v>617.61056916292853</v>
      </c>
      <c r="AD160" s="215">
        <v>610.18108195715195</v>
      </c>
      <c r="AE160" s="215">
        <v>602.75159475137548</v>
      </c>
      <c r="AF160" s="215">
        <v>595.32210754559878</v>
      </c>
      <c r="AG160" s="215">
        <v>587.89262033982232</v>
      </c>
      <c r="AH160" s="215">
        <v>580.46313313404573</v>
      </c>
      <c r="AI160" s="215">
        <v>573.03364592826892</v>
      </c>
      <c r="AJ160" s="215">
        <v>565.60415872249246</v>
      </c>
      <c r="AK160" s="215">
        <v>558.17467151671576</v>
      </c>
      <c r="AL160" s="215">
        <v>550.74518431093929</v>
      </c>
      <c r="AM160" s="215">
        <v>543.31569710516271</v>
      </c>
      <c r="AN160" s="215">
        <v>535.88620989938613</v>
      </c>
      <c r="AO160" s="215">
        <v>528.45672269360955</v>
      </c>
      <c r="AP160" s="215">
        <v>521.0272354878324</v>
      </c>
      <c r="AT160" s="199"/>
      <c r="AU160" s="199"/>
      <c r="AV160" s="199"/>
      <c r="AW160" s="199"/>
      <c r="AZ160" s="199"/>
    </row>
    <row r="161" spans="1:89" s="199" customFormat="1" ht="14.25" customHeight="1" thickTop="1" thickBot="1" x14ac:dyDescent="0.25">
      <c r="A161" s="131"/>
      <c r="B161" s="131"/>
      <c r="C161" s="131"/>
      <c r="D161" s="131"/>
      <c r="E161" s="131"/>
      <c r="F161" s="131"/>
      <c r="G161" s="138"/>
      <c r="H161" s="401"/>
      <c r="I161" s="131"/>
      <c r="J161" s="358"/>
      <c r="K161" s="135" t="s">
        <v>244</v>
      </c>
      <c r="L161" s="185" t="s">
        <v>277</v>
      </c>
      <c r="M161" s="213">
        <v>1290.8062682686859</v>
      </c>
      <c r="N161" s="213">
        <v>1373.1981577326439</v>
      </c>
      <c r="O161" s="213">
        <v>1331.3527873137889</v>
      </c>
      <c r="P161" s="213">
        <v>1289.5074168949341</v>
      </c>
      <c r="Q161" s="213">
        <v>1247.662046476079</v>
      </c>
      <c r="R161" s="213">
        <v>1205.816676057223</v>
      </c>
      <c r="S161" s="213">
        <v>1163.971305638368</v>
      </c>
      <c r="T161" s="213">
        <v>1122.1259352195129</v>
      </c>
      <c r="U161" s="213">
        <v>1080.2805648006581</v>
      </c>
      <c r="V161" s="213">
        <v>1038.4351943818019</v>
      </c>
      <c r="W161" s="213">
        <v>996.58982396294721</v>
      </c>
      <c r="X161" s="213">
        <v>954.74445354409204</v>
      </c>
      <c r="Y161" s="213">
        <v>912.89908312523676</v>
      </c>
      <c r="Z161" s="213">
        <v>871.05371270638148</v>
      </c>
      <c r="AA161" s="213">
        <v>829.20834228752562</v>
      </c>
      <c r="AB161" s="213">
        <v>816.09242237332262</v>
      </c>
      <c r="AC161" s="213">
        <v>802.97650245911973</v>
      </c>
      <c r="AD161" s="213">
        <v>789.86058254491684</v>
      </c>
      <c r="AE161" s="213">
        <v>776.74466263071395</v>
      </c>
      <c r="AF161" s="213">
        <v>763.62874271651094</v>
      </c>
      <c r="AG161" s="213">
        <v>750.51282280230805</v>
      </c>
      <c r="AH161" s="213">
        <v>737.39690288810516</v>
      </c>
      <c r="AI161" s="213">
        <v>724.28098297390216</v>
      </c>
      <c r="AJ161" s="213">
        <v>711.16506305969938</v>
      </c>
      <c r="AK161" s="213">
        <v>698.04914314549637</v>
      </c>
      <c r="AL161" s="213">
        <v>684.93322323129348</v>
      </c>
      <c r="AM161" s="213">
        <v>671.81730331709059</v>
      </c>
      <c r="AN161" s="213">
        <v>658.70138340288759</v>
      </c>
      <c r="AO161" s="213">
        <v>645.58546348868481</v>
      </c>
      <c r="AP161" s="213">
        <v>632.46954357448169</v>
      </c>
      <c r="AQ161" s="131"/>
      <c r="AR161" s="131"/>
      <c r="AS161" s="131"/>
      <c r="AT161" s="200"/>
      <c r="AU161" s="200"/>
      <c r="AV161" s="200"/>
      <c r="AW161" s="200"/>
      <c r="AZ161" s="200"/>
      <c r="BA161" s="131"/>
      <c r="BB161" s="131"/>
      <c r="BC161" s="131"/>
      <c r="BD161" s="131"/>
      <c r="BE161" s="131"/>
      <c r="BF161" s="131"/>
      <c r="BG161" s="131"/>
      <c r="BH161" s="131"/>
      <c r="BI161" s="131"/>
      <c r="BJ161" s="131"/>
      <c r="BK161" s="131"/>
      <c r="BL161" s="131"/>
      <c r="BM161" s="131"/>
      <c r="BN161" s="131"/>
      <c r="BO161" s="131"/>
      <c r="BP161" s="131"/>
      <c r="BQ161" s="131"/>
      <c r="BR161" s="131"/>
      <c r="BS161" s="131"/>
      <c r="BT161" s="131"/>
      <c r="BU161" s="131"/>
      <c r="BV161" s="131"/>
      <c r="BW161" s="131"/>
      <c r="BX161" s="131"/>
      <c r="BY161" s="131"/>
      <c r="BZ161" s="131"/>
      <c r="CA161" s="131"/>
      <c r="CB161" s="131"/>
      <c r="CC161" s="131"/>
      <c r="CD161" s="131"/>
      <c r="CE161" s="131"/>
      <c r="CF161" s="131"/>
      <c r="CG161" s="131"/>
      <c r="CH161" s="131"/>
      <c r="CI161" s="131"/>
      <c r="CJ161" s="131"/>
      <c r="CK161" s="131"/>
    </row>
    <row r="162" spans="1:89" s="200" customFormat="1" ht="14.25" customHeight="1" thickTop="1" thickBot="1" x14ac:dyDescent="0.25">
      <c r="A162" s="131"/>
      <c r="B162" s="131"/>
      <c r="C162" s="131"/>
      <c r="D162" s="131"/>
      <c r="E162" s="131"/>
      <c r="F162" s="131"/>
      <c r="G162" s="138"/>
      <c r="H162" s="402"/>
      <c r="I162" s="131"/>
      <c r="J162" s="358"/>
      <c r="K162" s="196" t="s">
        <v>244</v>
      </c>
      <c r="L162" s="196" t="s">
        <v>278</v>
      </c>
      <c r="M162" s="218">
        <v>1290.8062682686859</v>
      </c>
      <c r="N162" s="218">
        <v>1373.1981577326439</v>
      </c>
      <c r="O162" s="218">
        <v>1352.292918360009</v>
      </c>
      <c r="P162" s="218">
        <v>1331.387678987373</v>
      </c>
      <c r="Q162" s="218">
        <v>1310.482439614738</v>
      </c>
      <c r="R162" s="218">
        <v>1289.5772002421029</v>
      </c>
      <c r="S162" s="218">
        <v>1268.671960869468</v>
      </c>
      <c r="T162" s="218">
        <v>1247.7667214968319</v>
      </c>
      <c r="U162" s="218">
        <v>1226.861482124197</v>
      </c>
      <c r="V162" s="218">
        <v>1205.9562427515621</v>
      </c>
      <c r="W162" s="218">
        <v>1185.051003378926</v>
      </c>
      <c r="X162" s="218">
        <v>1164.1457640062911</v>
      </c>
      <c r="Y162" s="218">
        <v>1143.2405246336559</v>
      </c>
      <c r="Z162" s="218">
        <v>1122.335285261021</v>
      </c>
      <c r="AA162" s="218">
        <v>1101.430045888384</v>
      </c>
      <c r="AB162" s="218">
        <v>1083.281932314994</v>
      </c>
      <c r="AC162" s="218">
        <v>1065.133818741604</v>
      </c>
      <c r="AD162" s="218">
        <v>1046.9857051682129</v>
      </c>
      <c r="AE162" s="218">
        <v>1028.837591594822</v>
      </c>
      <c r="AF162" s="218">
        <v>1010.689478021432</v>
      </c>
      <c r="AG162" s="218">
        <v>992.54136444804124</v>
      </c>
      <c r="AH162" s="218">
        <v>974.39325087465056</v>
      </c>
      <c r="AI162" s="218">
        <v>956.24513730126012</v>
      </c>
      <c r="AJ162" s="218">
        <v>938.09702372786955</v>
      </c>
      <c r="AK162" s="218">
        <v>919.94891015447888</v>
      </c>
      <c r="AL162" s="218">
        <v>901.80079658108832</v>
      </c>
      <c r="AM162" s="218">
        <v>883.65268300769787</v>
      </c>
      <c r="AN162" s="218">
        <v>865.5045694343072</v>
      </c>
      <c r="AO162" s="218">
        <v>847.35645586091664</v>
      </c>
      <c r="AP162" s="218">
        <v>829.20834228752562</v>
      </c>
      <c r="AQ162" s="131"/>
      <c r="AR162" s="131"/>
      <c r="AS162" s="131"/>
      <c r="AT162" s="131"/>
      <c r="AU162" s="131"/>
      <c r="AV162" s="131"/>
      <c r="AW162" s="131"/>
      <c r="AZ162" s="131"/>
      <c r="BA162" s="131"/>
      <c r="BB162" s="131"/>
      <c r="BC162" s="131"/>
      <c r="BD162" s="131"/>
      <c r="BE162" s="199"/>
      <c r="BF162" s="199"/>
      <c r="BG162" s="199"/>
      <c r="BH162" s="131"/>
      <c r="BI162" s="131"/>
      <c r="BJ162" s="131"/>
      <c r="BK162" s="131"/>
      <c r="BL162" s="131"/>
      <c r="BM162" s="131"/>
      <c r="BN162" s="131"/>
      <c r="BO162" s="131"/>
      <c r="BP162" s="131"/>
      <c r="BQ162" s="131"/>
      <c r="BR162" s="131"/>
      <c r="BS162" s="131"/>
      <c r="BT162" s="131"/>
      <c r="BU162" s="131"/>
      <c r="BV162" s="131"/>
      <c r="BW162" s="131"/>
      <c r="BX162" s="131"/>
      <c r="BY162" s="131"/>
      <c r="BZ162" s="131"/>
      <c r="CA162" s="131"/>
      <c r="CB162" s="131"/>
      <c r="CC162" s="131"/>
      <c r="CD162" s="131"/>
      <c r="CE162" s="131"/>
      <c r="CF162" s="131"/>
      <c r="CG162" s="131"/>
      <c r="CH162" s="131"/>
      <c r="CI162" s="131"/>
      <c r="CJ162" s="131"/>
      <c r="CK162" s="131"/>
    </row>
    <row r="163" spans="1:89" ht="13.5" customHeight="1" thickTop="1" thickBot="1" x14ac:dyDescent="0.25">
      <c r="G163" s="138"/>
      <c r="H163" s="380"/>
      <c r="J163" s="358"/>
      <c r="K163" s="194" t="s">
        <v>246</v>
      </c>
      <c r="L163" s="194" t="s">
        <v>276</v>
      </c>
      <c r="M163" s="215">
        <v>1290.8062682686859</v>
      </c>
      <c r="N163" s="215">
        <v>1373.1981577326439</v>
      </c>
      <c r="O163" s="215">
        <v>1316.2190335666321</v>
      </c>
      <c r="P163" s="215">
        <v>1259.2399094006189</v>
      </c>
      <c r="Q163" s="215">
        <v>1202.2607852346071</v>
      </c>
      <c r="R163" s="215">
        <v>1145.2816610685941</v>
      </c>
      <c r="S163" s="215">
        <v>1088.302536902582</v>
      </c>
      <c r="T163" s="215">
        <v>1031.323412736569</v>
      </c>
      <c r="U163" s="215">
        <v>974.34428857055696</v>
      </c>
      <c r="V163" s="215">
        <v>917.36516440454443</v>
      </c>
      <c r="W163" s="215">
        <v>860.38604023853202</v>
      </c>
      <c r="X163" s="215">
        <v>803.40691607251949</v>
      </c>
      <c r="Y163" s="215">
        <v>746.42779190650708</v>
      </c>
      <c r="Z163" s="215">
        <v>689.44866774049456</v>
      </c>
      <c r="AA163" s="215">
        <v>632.46954357448169</v>
      </c>
      <c r="AB163" s="215">
        <v>625.04005636870511</v>
      </c>
      <c r="AC163" s="215">
        <v>617.61056916292853</v>
      </c>
      <c r="AD163" s="215">
        <v>610.18108195715195</v>
      </c>
      <c r="AE163" s="215">
        <v>602.75159475137548</v>
      </c>
      <c r="AF163" s="215">
        <v>595.32210754559878</v>
      </c>
      <c r="AG163" s="215">
        <v>587.89262033982232</v>
      </c>
      <c r="AH163" s="215">
        <v>580.46313313404573</v>
      </c>
      <c r="AI163" s="215">
        <v>573.03364592826892</v>
      </c>
      <c r="AJ163" s="215">
        <v>565.60415872249246</v>
      </c>
      <c r="AK163" s="215">
        <v>558.17467151671576</v>
      </c>
      <c r="AL163" s="215">
        <v>550.74518431093929</v>
      </c>
      <c r="AM163" s="215">
        <v>543.31569710516271</v>
      </c>
      <c r="AN163" s="215">
        <v>535.88620989938613</v>
      </c>
      <c r="AO163" s="215">
        <v>528.45672269360955</v>
      </c>
      <c r="AP163" s="215">
        <v>521.0272354878324</v>
      </c>
      <c r="AT163" s="199"/>
      <c r="AU163" s="199"/>
      <c r="AV163" s="199"/>
      <c r="AW163" s="199"/>
      <c r="AZ163" s="199"/>
    </row>
    <row r="164" spans="1:89" s="199" customFormat="1" ht="14.25" customHeight="1" thickTop="1" thickBot="1" x14ac:dyDescent="0.25">
      <c r="A164" s="131"/>
      <c r="B164" s="131"/>
      <c r="C164" s="131"/>
      <c r="D164" s="131"/>
      <c r="E164" s="131"/>
      <c r="F164" s="131"/>
      <c r="G164" s="138"/>
      <c r="H164" s="401"/>
      <c r="I164" s="131"/>
      <c r="J164" s="358"/>
      <c r="K164" s="135" t="s">
        <v>246</v>
      </c>
      <c r="L164" s="185" t="s">
        <v>277</v>
      </c>
      <c r="M164" s="213">
        <v>1290.8062682686859</v>
      </c>
      <c r="N164" s="213">
        <v>1373.1981577326439</v>
      </c>
      <c r="O164" s="213">
        <v>1331.3527873137889</v>
      </c>
      <c r="P164" s="213">
        <v>1289.5074168949341</v>
      </c>
      <c r="Q164" s="213">
        <v>1247.662046476079</v>
      </c>
      <c r="R164" s="213">
        <v>1205.816676057223</v>
      </c>
      <c r="S164" s="213">
        <v>1163.971305638368</v>
      </c>
      <c r="T164" s="213">
        <v>1122.1259352195129</v>
      </c>
      <c r="U164" s="213">
        <v>1080.2805648006581</v>
      </c>
      <c r="V164" s="213">
        <v>1038.4351943818019</v>
      </c>
      <c r="W164" s="213">
        <v>996.58982396294721</v>
      </c>
      <c r="X164" s="213">
        <v>954.74445354409204</v>
      </c>
      <c r="Y164" s="213">
        <v>912.89908312523676</v>
      </c>
      <c r="Z164" s="213">
        <v>871.05371270638148</v>
      </c>
      <c r="AA164" s="213">
        <v>829.20834228752562</v>
      </c>
      <c r="AB164" s="213">
        <v>816.09242237332262</v>
      </c>
      <c r="AC164" s="213">
        <v>802.97650245911973</v>
      </c>
      <c r="AD164" s="213">
        <v>789.86058254491684</v>
      </c>
      <c r="AE164" s="213">
        <v>776.74466263071395</v>
      </c>
      <c r="AF164" s="213">
        <v>763.62874271651094</v>
      </c>
      <c r="AG164" s="213">
        <v>750.51282280230805</v>
      </c>
      <c r="AH164" s="213">
        <v>737.39690288810516</v>
      </c>
      <c r="AI164" s="213">
        <v>724.28098297390216</v>
      </c>
      <c r="AJ164" s="213">
        <v>711.16506305969938</v>
      </c>
      <c r="AK164" s="213">
        <v>698.04914314549637</v>
      </c>
      <c r="AL164" s="213">
        <v>684.93322323129348</v>
      </c>
      <c r="AM164" s="213">
        <v>671.81730331709059</v>
      </c>
      <c r="AN164" s="213">
        <v>658.70138340288759</v>
      </c>
      <c r="AO164" s="213">
        <v>645.58546348868481</v>
      </c>
      <c r="AP164" s="213">
        <v>632.46954357448169</v>
      </c>
      <c r="AQ164" s="131"/>
      <c r="AR164" s="131"/>
      <c r="AS164" s="131"/>
      <c r="AT164" s="200"/>
      <c r="AU164" s="200"/>
      <c r="AV164" s="200"/>
      <c r="AW164" s="200"/>
      <c r="AZ164" s="200"/>
      <c r="BA164" s="131"/>
      <c r="BB164" s="131"/>
      <c r="BC164" s="131"/>
      <c r="BD164" s="131"/>
      <c r="BE164" s="131"/>
      <c r="BF164" s="131"/>
      <c r="BG164" s="131"/>
      <c r="BH164" s="131"/>
      <c r="BI164" s="131"/>
      <c r="BJ164" s="131"/>
      <c r="BK164" s="131"/>
      <c r="BL164" s="131"/>
      <c r="BM164" s="131"/>
      <c r="BN164" s="131"/>
      <c r="BO164" s="131"/>
      <c r="BP164" s="131"/>
      <c r="BQ164" s="131"/>
      <c r="BR164" s="131"/>
      <c r="BS164" s="131"/>
      <c r="BT164" s="131"/>
      <c r="BU164" s="131"/>
      <c r="BV164" s="131"/>
      <c r="BW164" s="131"/>
      <c r="BX164" s="131"/>
      <c r="BY164" s="131"/>
      <c r="BZ164" s="131"/>
      <c r="CA164" s="131"/>
      <c r="CB164" s="131"/>
      <c r="CC164" s="131"/>
      <c r="CD164" s="131"/>
      <c r="CE164" s="131"/>
      <c r="CF164" s="131"/>
      <c r="CG164" s="131"/>
      <c r="CH164" s="131"/>
      <c r="CI164" s="131"/>
      <c r="CJ164" s="131"/>
      <c r="CK164" s="131"/>
    </row>
    <row r="165" spans="1:89" s="200" customFormat="1" ht="14.25" customHeight="1" thickTop="1" thickBot="1" x14ac:dyDescent="0.25">
      <c r="A165" s="131"/>
      <c r="B165" s="131"/>
      <c r="C165" s="131"/>
      <c r="D165" s="131"/>
      <c r="E165" s="131"/>
      <c r="F165" s="131"/>
      <c r="G165" s="138"/>
      <c r="H165" s="402"/>
      <c r="I165" s="131"/>
      <c r="J165" s="358"/>
      <c r="K165" s="196" t="s">
        <v>246</v>
      </c>
      <c r="L165" s="196" t="s">
        <v>278</v>
      </c>
      <c r="M165" s="218">
        <v>1290.8062682686859</v>
      </c>
      <c r="N165" s="218">
        <v>1373.1981577326439</v>
      </c>
      <c r="O165" s="218">
        <v>1352.292918360009</v>
      </c>
      <c r="P165" s="218">
        <v>1331.387678987373</v>
      </c>
      <c r="Q165" s="218">
        <v>1310.482439614738</v>
      </c>
      <c r="R165" s="218">
        <v>1289.5772002421029</v>
      </c>
      <c r="S165" s="218">
        <v>1268.671960869468</v>
      </c>
      <c r="T165" s="218">
        <v>1247.7667214968319</v>
      </c>
      <c r="U165" s="218">
        <v>1226.861482124197</v>
      </c>
      <c r="V165" s="218">
        <v>1205.9562427515621</v>
      </c>
      <c r="W165" s="218">
        <v>1185.051003378926</v>
      </c>
      <c r="X165" s="218">
        <v>1164.1457640062911</v>
      </c>
      <c r="Y165" s="218">
        <v>1143.2405246336559</v>
      </c>
      <c r="Z165" s="218">
        <v>1122.335285261021</v>
      </c>
      <c r="AA165" s="218">
        <v>1101.430045888384</v>
      </c>
      <c r="AB165" s="218">
        <v>1083.281932314994</v>
      </c>
      <c r="AC165" s="218">
        <v>1065.133818741604</v>
      </c>
      <c r="AD165" s="218">
        <v>1046.9857051682129</v>
      </c>
      <c r="AE165" s="218">
        <v>1028.837591594822</v>
      </c>
      <c r="AF165" s="218">
        <v>1010.689478021432</v>
      </c>
      <c r="AG165" s="218">
        <v>992.54136444804124</v>
      </c>
      <c r="AH165" s="218">
        <v>974.39325087465056</v>
      </c>
      <c r="AI165" s="218">
        <v>956.24513730126012</v>
      </c>
      <c r="AJ165" s="218">
        <v>938.09702372786955</v>
      </c>
      <c r="AK165" s="218">
        <v>919.94891015447888</v>
      </c>
      <c r="AL165" s="218">
        <v>901.80079658108832</v>
      </c>
      <c r="AM165" s="218">
        <v>883.65268300769787</v>
      </c>
      <c r="AN165" s="218">
        <v>865.5045694343072</v>
      </c>
      <c r="AO165" s="218">
        <v>847.35645586091664</v>
      </c>
      <c r="AP165" s="218">
        <v>829.20834228752562</v>
      </c>
      <c r="AQ165" s="131"/>
      <c r="AR165" s="131"/>
      <c r="AS165" s="131"/>
      <c r="AT165" s="131"/>
      <c r="AU165" s="131"/>
      <c r="AV165" s="131"/>
      <c r="AW165" s="131"/>
      <c r="AZ165" s="131"/>
      <c r="BA165" s="131"/>
      <c r="BB165" s="131"/>
      <c r="BC165" s="131"/>
      <c r="BD165" s="131"/>
      <c r="BE165" s="199"/>
      <c r="BF165" s="199"/>
      <c r="BG165" s="199"/>
      <c r="BH165" s="131"/>
      <c r="BI165" s="131"/>
      <c r="BJ165" s="131"/>
      <c r="BK165" s="131"/>
      <c r="BL165" s="131"/>
      <c r="BM165" s="131"/>
      <c r="BN165" s="131"/>
      <c r="BO165" s="131"/>
      <c r="BP165" s="131"/>
      <c r="BQ165" s="131"/>
      <c r="BR165" s="131"/>
      <c r="BS165" s="131"/>
      <c r="BT165" s="131"/>
      <c r="BU165" s="131"/>
      <c r="BV165" s="131"/>
      <c r="BW165" s="131"/>
      <c r="BX165" s="131"/>
      <c r="BY165" s="131"/>
      <c r="BZ165" s="131"/>
      <c r="CA165" s="131"/>
      <c r="CB165" s="131"/>
      <c r="CC165" s="131"/>
      <c r="CD165" s="131"/>
      <c r="CE165" s="131"/>
      <c r="CF165" s="131"/>
      <c r="CG165" s="131"/>
      <c r="CH165" s="131"/>
      <c r="CI165" s="131"/>
      <c r="CJ165" s="131"/>
      <c r="CK165" s="131"/>
    </row>
    <row r="166" spans="1:89" ht="14.25" customHeight="1" thickTop="1" x14ac:dyDescent="0.2">
      <c r="G166" s="138"/>
      <c r="H166" s="380"/>
      <c r="J166" s="358"/>
      <c r="K166" s="194" t="s">
        <v>248</v>
      </c>
      <c r="L166" s="194" t="s">
        <v>276</v>
      </c>
      <c r="M166" s="212">
        <v>1290.8062682686859</v>
      </c>
      <c r="N166" s="212">
        <v>1373.1981577326439</v>
      </c>
      <c r="O166" s="212">
        <v>1316.2190335666321</v>
      </c>
      <c r="P166" s="212">
        <v>1259.2399094006189</v>
      </c>
      <c r="Q166" s="212">
        <v>1202.2607852346071</v>
      </c>
      <c r="R166" s="212">
        <v>1145.2816610685941</v>
      </c>
      <c r="S166" s="212">
        <v>1088.302536902582</v>
      </c>
      <c r="T166" s="212">
        <v>1031.323412736569</v>
      </c>
      <c r="U166" s="212">
        <v>974.34428857055696</v>
      </c>
      <c r="V166" s="212">
        <v>917.36516440454443</v>
      </c>
      <c r="W166" s="212">
        <v>860.38604023853202</v>
      </c>
      <c r="X166" s="212">
        <v>803.40691607251949</v>
      </c>
      <c r="Y166" s="212">
        <v>746.42779190650708</v>
      </c>
      <c r="Z166" s="212">
        <v>689.44866774049456</v>
      </c>
      <c r="AA166" s="212">
        <v>632.46954357448169</v>
      </c>
      <c r="AB166" s="212">
        <v>625.04005636870511</v>
      </c>
      <c r="AC166" s="212">
        <v>617.61056916292853</v>
      </c>
      <c r="AD166" s="212">
        <v>610.18108195715195</v>
      </c>
      <c r="AE166" s="212">
        <v>602.75159475137548</v>
      </c>
      <c r="AF166" s="212">
        <v>595.32210754559878</v>
      </c>
      <c r="AG166" s="212">
        <v>587.89262033982232</v>
      </c>
      <c r="AH166" s="212">
        <v>580.46313313404573</v>
      </c>
      <c r="AI166" s="212">
        <v>573.03364592826892</v>
      </c>
      <c r="AJ166" s="212">
        <v>565.60415872249246</v>
      </c>
      <c r="AK166" s="212">
        <v>558.17467151671576</v>
      </c>
      <c r="AL166" s="212">
        <v>550.74518431093929</v>
      </c>
      <c r="AM166" s="212">
        <v>543.31569710516271</v>
      </c>
      <c r="AN166" s="212">
        <v>535.88620989938613</v>
      </c>
      <c r="AO166" s="212">
        <v>528.45672269360955</v>
      </c>
      <c r="AP166" s="212">
        <v>521.0272354878324</v>
      </c>
    </row>
    <row r="167" spans="1:89" ht="14.25" customHeight="1" x14ac:dyDescent="0.2">
      <c r="G167" s="138"/>
      <c r="H167" s="380"/>
      <c r="J167" s="358"/>
      <c r="K167" s="135" t="s">
        <v>248</v>
      </c>
      <c r="L167" s="185" t="s">
        <v>277</v>
      </c>
      <c r="M167" s="213">
        <v>1290.8062682686859</v>
      </c>
      <c r="N167" s="213">
        <v>1373.1981577326439</v>
      </c>
      <c r="O167" s="213">
        <v>1331.3527873137889</v>
      </c>
      <c r="P167" s="213">
        <v>1289.5074168949341</v>
      </c>
      <c r="Q167" s="213">
        <v>1247.662046476079</v>
      </c>
      <c r="R167" s="213">
        <v>1205.816676057223</v>
      </c>
      <c r="S167" s="213">
        <v>1163.971305638368</v>
      </c>
      <c r="T167" s="213">
        <v>1122.1259352195129</v>
      </c>
      <c r="U167" s="213">
        <v>1080.2805648006581</v>
      </c>
      <c r="V167" s="213">
        <v>1038.4351943818019</v>
      </c>
      <c r="W167" s="213">
        <v>996.58982396294721</v>
      </c>
      <c r="X167" s="213">
        <v>954.74445354409204</v>
      </c>
      <c r="Y167" s="213">
        <v>912.89908312523676</v>
      </c>
      <c r="Z167" s="213">
        <v>871.05371270638148</v>
      </c>
      <c r="AA167" s="213">
        <v>829.20834228752562</v>
      </c>
      <c r="AB167" s="213">
        <v>816.09242237332262</v>
      </c>
      <c r="AC167" s="213">
        <v>802.97650245911973</v>
      </c>
      <c r="AD167" s="213">
        <v>789.86058254491684</v>
      </c>
      <c r="AE167" s="213">
        <v>776.74466263071395</v>
      </c>
      <c r="AF167" s="213">
        <v>763.62874271651094</v>
      </c>
      <c r="AG167" s="213">
        <v>750.51282280230805</v>
      </c>
      <c r="AH167" s="213">
        <v>737.39690288810516</v>
      </c>
      <c r="AI167" s="213">
        <v>724.28098297390216</v>
      </c>
      <c r="AJ167" s="213">
        <v>711.16506305969938</v>
      </c>
      <c r="AK167" s="213">
        <v>698.04914314549637</v>
      </c>
      <c r="AL167" s="213">
        <v>684.93322323129348</v>
      </c>
      <c r="AM167" s="213">
        <v>671.81730331709059</v>
      </c>
      <c r="AN167" s="213">
        <v>658.70138340288759</v>
      </c>
      <c r="AO167" s="213">
        <v>645.58546348868481</v>
      </c>
      <c r="AP167" s="213">
        <v>632.46954357448169</v>
      </c>
    </row>
    <row r="168" spans="1:89" ht="14.25" customHeight="1" thickBot="1" x14ac:dyDescent="0.25">
      <c r="G168" s="138"/>
      <c r="H168" s="380"/>
      <c r="J168" s="358"/>
      <c r="K168" s="196" t="s">
        <v>248</v>
      </c>
      <c r="L168" s="196" t="s">
        <v>278</v>
      </c>
      <c r="M168" s="214">
        <v>1290.8062682686859</v>
      </c>
      <c r="N168" s="214">
        <v>1373.1981577326439</v>
      </c>
      <c r="O168" s="214">
        <v>1352.292918360009</v>
      </c>
      <c r="P168" s="214">
        <v>1331.387678987373</v>
      </c>
      <c r="Q168" s="214">
        <v>1310.482439614738</v>
      </c>
      <c r="R168" s="214">
        <v>1289.5772002421029</v>
      </c>
      <c r="S168" s="214">
        <v>1268.671960869468</v>
      </c>
      <c r="T168" s="214">
        <v>1247.7667214968319</v>
      </c>
      <c r="U168" s="214">
        <v>1226.861482124197</v>
      </c>
      <c r="V168" s="214">
        <v>1205.9562427515621</v>
      </c>
      <c r="W168" s="214">
        <v>1185.051003378926</v>
      </c>
      <c r="X168" s="214">
        <v>1164.1457640062911</v>
      </c>
      <c r="Y168" s="214">
        <v>1143.2405246336559</v>
      </c>
      <c r="Z168" s="214">
        <v>1122.335285261021</v>
      </c>
      <c r="AA168" s="214">
        <v>1101.430045888384</v>
      </c>
      <c r="AB168" s="214">
        <v>1083.281932314994</v>
      </c>
      <c r="AC168" s="214">
        <v>1065.133818741604</v>
      </c>
      <c r="AD168" s="214">
        <v>1046.9857051682129</v>
      </c>
      <c r="AE168" s="214">
        <v>1028.837591594822</v>
      </c>
      <c r="AF168" s="214">
        <v>1010.689478021432</v>
      </c>
      <c r="AG168" s="214">
        <v>992.54136444804124</v>
      </c>
      <c r="AH168" s="214">
        <v>974.39325087465056</v>
      </c>
      <c r="AI168" s="214">
        <v>956.24513730126012</v>
      </c>
      <c r="AJ168" s="214">
        <v>938.09702372786955</v>
      </c>
      <c r="AK168" s="214">
        <v>919.94891015447888</v>
      </c>
      <c r="AL168" s="214">
        <v>901.80079658108832</v>
      </c>
      <c r="AM168" s="214">
        <v>883.65268300769787</v>
      </c>
      <c r="AN168" s="214">
        <v>865.5045694343072</v>
      </c>
      <c r="AO168" s="214">
        <v>847.35645586091664</v>
      </c>
      <c r="AP168" s="214">
        <v>829.20834228752562</v>
      </c>
    </row>
    <row r="169" spans="1:89" ht="14.25" customHeight="1" thickTop="1" x14ac:dyDescent="0.2">
      <c r="G169" s="138"/>
      <c r="H169" s="380"/>
      <c r="J169" s="358"/>
      <c r="K169" s="194" t="s">
        <v>250</v>
      </c>
      <c r="L169" s="194" t="s">
        <v>276</v>
      </c>
      <c r="M169" s="215">
        <v>1290.8062682686859</v>
      </c>
      <c r="N169" s="215">
        <v>1373.1981577326439</v>
      </c>
      <c r="O169" s="215">
        <v>1316.2190335666321</v>
      </c>
      <c r="P169" s="215">
        <v>1259.2399094006189</v>
      </c>
      <c r="Q169" s="215">
        <v>1202.2607852346071</v>
      </c>
      <c r="R169" s="215">
        <v>1145.2816610685941</v>
      </c>
      <c r="S169" s="215">
        <v>1088.302536902582</v>
      </c>
      <c r="T169" s="215">
        <v>1031.323412736569</v>
      </c>
      <c r="U169" s="215">
        <v>974.34428857055696</v>
      </c>
      <c r="V169" s="215">
        <v>917.36516440454443</v>
      </c>
      <c r="W169" s="215">
        <v>860.38604023853202</v>
      </c>
      <c r="X169" s="215">
        <v>803.40691607251949</v>
      </c>
      <c r="Y169" s="215">
        <v>746.42779190650708</v>
      </c>
      <c r="Z169" s="215">
        <v>689.44866774049456</v>
      </c>
      <c r="AA169" s="215">
        <v>632.46954357448169</v>
      </c>
      <c r="AB169" s="215">
        <v>625.04005636870511</v>
      </c>
      <c r="AC169" s="215">
        <v>617.61056916292853</v>
      </c>
      <c r="AD169" s="215">
        <v>610.18108195715195</v>
      </c>
      <c r="AE169" s="215">
        <v>602.75159475137548</v>
      </c>
      <c r="AF169" s="215">
        <v>595.32210754559878</v>
      </c>
      <c r="AG169" s="215">
        <v>587.89262033982232</v>
      </c>
      <c r="AH169" s="215">
        <v>580.46313313404573</v>
      </c>
      <c r="AI169" s="215">
        <v>573.03364592826892</v>
      </c>
      <c r="AJ169" s="215">
        <v>565.60415872249246</v>
      </c>
      <c r="AK169" s="215">
        <v>558.17467151671576</v>
      </c>
      <c r="AL169" s="215">
        <v>550.74518431093929</v>
      </c>
      <c r="AM169" s="215">
        <v>543.31569710516271</v>
      </c>
      <c r="AN169" s="215">
        <v>535.88620989938613</v>
      </c>
      <c r="AO169" s="215">
        <v>528.45672269360955</v>
      </c>
      <c r="AP169" s="215">
        <v>521.0272354878324</v>
      </c>
    </row>
    <row r="170" spans="1:89" ht="14.25" customHeight="1" x14ac:dyDescent="0.2">
      <c r="G170" s="138"/>
      <c r="H170" s="380"/>
      <c r="J170" s="358"/>
      <c r="K170" s="135" t="s">
        <v>250</v>
      </c>
      <c r="L170" s="185" t="s">
        <v>277</v>
      </c>
      <c r="M170" s="213">
        <v>1290.8062682686859</v>
      </c>
      <c r="N170" s="213">
        <v>1373.1981577326439</v>
      </c>
      <c r="O170" s="213">
        <v>1331.3527873137889</v>
      </c>
      <c r="P170" s="213">
        <v>1289.5074168949341</v>
      </c>
      <c r="Q170" s="213">
        <v>1247.662046476079</v>
      </c>
      <c r="R170" s="213">
        <v>1205.816676057223</v>
      </c>
      <c r="S170" s="213">
        <v>1163.971305638368</v>
      </c>
      <c r="T170" s="213">
        <v>1122.1259352195129</v>
      </c>
      <c r="U170" s="213">
        <v>1080.2805648006581</v>
      </c>
      <c r="V170" s="213">
        <v>1038.4351943818019</v>
      </c>
      <c r="W170" s="213">
        <v>996.58982396294721</v>
      </c>
      <c r="X170" s="213">
        <v>954.74445354409204</v>
      </c>
      <c r="Y170" s="213">
        <v>912.89908312523676</v>
      </c>
      <c r="Z170" s="213">
        <v>871.05371270638148</v>
      </c>
      <c r="AA170" s="213">
        <v>829.20834228752562</v>
      </c>
      <c r="AB170" s="213">
        <v>816.09242237332262</v>
      </c>
      <c r="AC170" s="213">
        <v>802.97650245911973</v>
      </c>
      <c r="AD170" s="213">
        <v>789.86058254491684</v>
      </c>
      <c r="AE170" s="213">
        <v>776.74466263071395</v>
      </c>
      <c r="AF170" s="213">
        <v>763.62874271651094</v>
      </c>
      <c r="AG170" s="213">
        <v>750.51282280230805</v>
      </c>
      <c r="AH170" s="213">
        <v>737.39690288810516</v>
      </c>
      <c r="AI170" s="213">
        <v>724.28098297390216</v>
      </c>
      <c r="AJ170" s="213">
        <v>711.16506305969938</v>
      </c>
      <c r="AK170" s="213">
        <v>698.04914314549637</v>
      </c>
      <c r="AL170" s="213">
        <v>684.93322323129348</v>
      </c>
      <c r="AM170" s="213">
        <v>671.81730331709059</v>
      </c>
      <c r="AN170" s="213">
        <v>658.70138340288759</v>
      </c>
      <c r="AO170" s="213">
        <v>645.58546348868481</v>
      </c>
      <c r="AP170" s="213">
        <v>632.46954357448169</v>
      </c>
    </row>
    <row r="171" spans="1:89" ht="13.5" customHeight="1" thickBot="1" x14ac:dyDescent="0.25">
      <c r="G171" s="138"/>
      <c r="H171" s="380"/>
      <c r="J171" s="358"/>
      <c r="K171" s="196" t="s">
        <v>250</v>
      </c>
      <c r="L171" s="196" t="s">
        <v>278</v>
      </c>
      <c r="M171" s="214">
        <v>1290.8062682686859</v>
      </c>
      <c r="N171" s="214">
        <v>1373.1981577326439</v>
      </c>
      <c r="O171" s="214">
        <v>1352.292918360009</v>
      </c>
      <c r="P171" s="214">
        <v>1331.387678987373</v>
      </c>
      <c r="Q171" s="214">
        <v>1310.482439614738</v>
      </c>
      <c r="R171" s="214">
        <v>1289.5772002421029</v>
      </c>
      <c r="S171" s="214">
        <v>1268.671960869468</v>
      </c>
      <c r="T171" s="214">
        <v>1247.7667214968319</v>
      </c>
      <c r="U171" s="214">
        <v>1226.861482124197</v>
      </c>
      <c r="V171" s="214">
        <v>1205.9562427515621</v>
      </c>
      <c r="W171" s="214">
        <v>1185.051003378926</v>
      </c>
      <c r="X171" s="214">
        <v>1164.1457640062911</v>
      </c>
      <c r="Y171" s="214">
        <v>1143.2405246336559</v>
      </c>
      <c r="Z171" s="214">
        <v>1122.335285261021</v>
      </c>
      <c r="AA171" s="214">
        <v>1101.430045888384</v>
      </c>
      <c r="AB171" s="214">
        <v>1083.281932314994</v>
      </c>
      <c r="AC171" s="214">
        <v>1065.133818741604</v>
      </c>
      <c r="AD171" s="214">
        <v>1046.9857051682129</v>
      </c>
      <c r="AE171" s="214">
        <v>1028.837591594822</v>
      </c>
      <c r="AF171" s="214">
        <v>1010.689478021432</v>
      </c>
      <c r="AG171" s="214">
        <v>992.54136444804124</v>
      </c>
      <c r="AH171" s="214">
        <v>974.39325087465056</v>
      </c>
      <c r="AI171" s="214">
        <v>956.24513730126012</v>
      </c>
      <c r="AJ171" s="214">
        <v>938.09702372786955</v>
      </c>
      <c r="AK171" s="214">
        <v>919.94891015447888</v>
      </c>
      <c r="AL171" s="214">
        <v>901.80079658108832</v>
      </c>
      <c r="AM171" s="214">
        <v>883.65268300769787</v>
      </c>
      <c r="AN171" s="214">
        <v>865.5045694343072</v>
      </c>
      <c r="AO171" s="214">
        <v>847.35645586091664</v>
      </c>
      <c r="AP171" s="214">
        <v>829.20834228752562</v>
      </c>
      <c r="AR171" s="199"/>
      <c r="AS171" s="199"/>
    </row>
    <row r="172" spans="1:89" ht="13.5" customHeight="1" thickTop="1" thickBot="1" x14ac:dyDescent="0.25">
      <c r="G172" s="138"/>
      <c r="H172" s="380"/>
      <c r="J172" s="358"/>
      <c r="K172" s="194" t="s">
        <v>252</v>
      </c>
      <c r="L172" s="194" t="s">
        <v>276</v>
      </c>
      <c r="M172" s="215">
        <v>1290.8062682686859</v>
      </c>
      <c r="N172" s="215">
        <v>1373.1981577326439</v>
      </c>
      <c r="O172" s="215">
        <v>1316.2190335666321</v>
      </c>
      <c r="P172" s="215">
        <v>1259.2399094006189</v>
      </c>
      <c r="Q172" s="215">
        <v>1202.2607852346071</v>
      </c>
      <c r="R172" s="215">
        <v>1145.2816610685941</v>
      </c>
      <c r="S172" s="215">
        <v>1088.302536902582</v>
      </c>
      <c r="T172" s="215">
        <v>1031.323412736569</v>
      </c>
      <c r="U172" s="215">
        <v>974.34428857055696</v>
      </c>
      <c r="V172" s="215">
        <v>917.36516440454443</v>
      </c>
      <c r="W172" s="215">
        <v>860.38604023853202</v>
      </c>
      <c r="X172" s="215">
        <v>803.40691607251949</v>
      </c>
      <c r="Y172" s="215">
        <v>746.42779190650708</v>
      </c>
      <c r="Z172" s="215">
        <v>689.44866774049456</v>
      </c>
      <c r="AA172" s="215">
        <v>632.46954357448169</v>
      </c>
      <c r="AB172" s="215">
        <v>625.04005636870511</v>
      </c>
      <c r="AC172" s="215">
        <v>617.61056916292853</v>
      </c>
      <c r="AD172" s="215">
        <v>610.18108195715195</v>
      </c>
      <c r="AE172" s="215">
        <v>602.75159475137548</v>
      </c>
      <c r="AF172" s="215">
        <v>595.32210754559878</v>
      </c>
      <c r="AG172" s="215">
        <v>587.89262033982232</v>
      </c>
      <c r="AH172" s="215">
        <v>580.46313313404573</v>
      </c>
      <c r="AI172" s="215">
        <v>573.03364592826892</v>
      </c>
      <c r="AJ172" s="215">
        <v>565.60415872249246</v>
      </c>
      <c r="AK172" s="215">
        <v>558.17467151671576</v>
      </c>
      <c r="AL172" s="215">
        <v>550.74518431093929</v>
      </c>
      <c r="AM172" s="215">
        <v>543.31569710516271</v>
      </c>
      <c r="AN172" s="215">
        <v>535.88620989938613</v>
      </c>
      <c r="AO172" s="215">
        <v>528.45672269360955</v>
      </c>
      <c r="AP172" s="215">
        <v>521.0272354878324</v>
      </c>
      <c r="AT172" s="199"/>
      <c r="AU172" s="199"/>
      <c r="AV172" s="199"/>
      <c r="AW172" s="199"/>
      <c r="AZ172" s="199"/>
    </row>
    <row r="173" spans="1:89" s="199" customFormat="1" ht="14.25" customHeight="1" thickTop="1" thickBot="1" x14ac:dyDescent="0.25">
      <c r="A173" s="131"/>
      <c r="B173" s="131"/>
      <c r="C173" s="131"/>
      <c r="D173" s="131"/>
      <c r="E173" s="131"/>
      <c r="F173" s="131"/>
      <c r="G173" s="138"/>
      <c r="H173" s="401"/>
      <c r="I173" s="131"/>
      <c r="J173" s="358"/>
      <c r="K173" s="135" t="s">
        <v>252</v>
      </c>
      <c r="L173" s="185" t="s">
        <v>277</v>
      </c>
      <c r="M173" s="213">
        <v>1290.8062682686859</v>
      </c>
      <c r="N173" s="213">
        <v>1373.1981577326439</v>
      </c>
      <c r="O173" s="213">
        <v>1331.3527873137889</v>
      </c>
      <c r="P173" s="213">
        <v>1289.5074168949341</v>
      </c>
      <c r="Q173" s="213">
        <v>1247.662046476079</v>
      </c>
      <c r="R173" s="213">
        <v>1205.816676057223</v>
      </c>
      <c r="S173" s="213">
        <v>1163.971305638368</v>
      </c>
      <c r="T173" s="213">
        <v>1122.1259352195129</v>
      </c>
      <c r="U173" s="213">
        <v>1080.2805648006581</v>
      </c>
      <c r="V173" s="213">
        <v>1038.4351943818019</v>
      </c>
      <c r="W173" s="213">
        <v>996.58982396294721</v>
      </c>
      <c r="X173" s="213">
        <v>954.74445354409204</v>
      </c>
      <c r="Y173" s="213">
        <v>912.89908312523676</v>
      </c>
      <c r="Z173" s="213">
        <v>871.05371270638148</v>
      </c>
      <c r="AA173" s="213">
        <v>829.20834228752562</v>
      </c>
      <c r="AB173" s="213">
        <v>816.09242237332262</v>
      </c>
      <c r="AC173" s="213">
        <v>802.97650245911973</v>
      </c>
      <c r="AD173" s="213">
        <v>789.86058254491684</v>
      </c>
      <c r="AE173" s="213">
        <v>776.74466263071395</v>
      </c>
      <c r="AF173" s="213">
        <v>763.62874271651094</v>
      </c>
      <c r="AG173" s="213">
        <v>750.51282280230805</v>
      </c>
      <c r="AH173" s="213">
        <v>737.39690288810516</v>
      </c>
      <c r="AI173" s="213">
        <v>724.28098297390216</v>
      </c>
      <c r="AJ173" s="213">
        <v>711.16506305969938</v>
      </c>
      <c r="AK173" s="213">
        <v>698.04914314549637</v>
      </c>
      <c r="AL173" s="213">
        <v>684.93322323129348</v>
      </c>
      <c r="AM173" s="213">
        <v>671.81730331709059</v>
      </c>
      <c r="AN173" s="213">
        <v>658.70138340288759</v>
      </c>
      <c r="AO173" s="213">
        <v>645.58546348868481</v>
      </c>
      <c r="AP173" s="213">
        <v>632.46954357448169</v>
      </c>
      <c r="AQ173" s="131"/>
      <c r="AR173" s="131"/>
      <c r="AS173" s="131"/>
      <c r="AT173" s="200"/>
      <c r="AU173" s="200"/>
      <c r="AV173" s="200"/>
      <c r="AW173" s="200"/>
      <c r="AZ173" s="200"/>
      <c r="BA173" s="131"/>
      <c r="BB173" s="131"/>
      <c r="BC173" s="131"/>
      <c r="BD173" s="131"/>
      <c r="BE173" s="131"/>
      <c r="BF173" s="131"/>
      <c r="BG173" s="131"/>
      <c r="BH173" s="131"/>
      <c r="BI173" s="131"/>
      <c r="BJ173" s="131"/>
      <c r="BK173" s="131"/>
      <c r="BL173" s="131"/>
      <c r="BM173" s="131"/>
      <c r="BN173" s="131"/>
      <c r="BO173" s="131"/>
      <c r="BP173" s="131"/>
      <c r="BQ173" s="131"/>
      <c r="BR173" s="131"/>
      <c r="BS173" s="131"/>
      <c r="BT173" s="131"/>
      <c r="BU173" s="131"/>
      <c r="BV173" s="131"/>
      <c r="BW173" s="131"/>
      <c r="BX173" s="131"/>
      <c r="BY173" s="131"/>
      <c r="BZ173" s="131"/>
      <c r="CA173" s="131"/>
      <c r="CB173" s="131"/>
      <c r="CC173" s="131"/>
      <c r="CD173" s="131"/>
      <c r="CE173" s="131"/>
      <c r="CF173" s="131"/>
      <c r="CG173" s="131"/>
      <c r="CH173" s="131"/>
      <c r="CI173" s="131"/>
      <c r="CJ173" s="131"/>
      <c r="CK173" s="131"/>
    </row>
    <row r="174" spans="1:89" s="200" customFormat="1" ht="14.25" customHeight="1" thickTop="1" thickBot="1" x14ac:dyDescent="0.25">
      <c r="A174" s="131"/>
      <c r="B174" s="131"/>
      <c r="C174" s="131"/>
      <c r="D174" s="131"/>
      <c r="E174" s="131"/>
      <c r="F174" s="131"/>
      <c r="G174" s="138"/>
      <c r="H174" s="402"/>
      <c r="I174" s="131"/>
      <c r="J174" s="358"/>
      <c r="K174" s="196" t="s">
        <v>252</v>
      </c>
      <c r="L174" s="196" t="s">
        <v>278</v>
      </c>
      <c r="M174" s="218">
        <v>1290.8062682686859</v>
      </c>
      <c r="N174" s="218">
        <v>1373.1981577326439</v>
      </c>
      <c r="O174" s="218">
        <v>1352.292918360009</v>
      </c>
      <c r="P174" s="218">
        <v>1331.387678987373</v>
      </c>
      <c r="Q174" s="218">
        <v>1310.482439614738</v>
      </c>
      <c r="R174" s="218">
        <v>1289.5772002421029</v>
      </c>
      <c r="S174" s="218">
        <v>1268.671960869468</v>
      </c>
      <c r="T174" s="218">
        <v>1247.7667214968319</v>
      </c>
      <c r="U174" s="218">
        <v>1226.861482124197</v>
      </c>
      <c r="V174" s="218">
        <v>1205.9562427515621</v>
      </c>
      <c r="W174" s="218">
        <v>1185.051003378926</v>
      </c>
      <c r="X174" s="218">
        <v>1164.1457640062911</v>
      </c>
      <c r="Y174" s="218">
        <v>1143.2405246336559</v>
      </c>
      <c r="Z174" s="218">
        <v>1122.335285261021</v>
      </c>
      <c r="AA174" s="218">
        <v>1101.430045888384</v>
      </c>
      <c r="AB174" s="218">
        <v>1083.281932314994</v>
      </c>
      <c r="AC174" s="218">
        <v>1065.133818741604</v>
      </c>
      <c r="AD174" s="218">
        <v>1046.9857051682129</v>
      </c>
      <c r="AE174" s="218">
        <v>1028.837591594822</v>
      </c>
      <c r="AF174" s="218">
        <v>1010.689478021432</v>
      </c>
      <c r="AG174" s="218">
        <v>992.54136444804124</v>
      </c>
      <c r="AH174" s="218">
        <v>974.39325087465056</v>
      </c>
      <c r="AI174" s="218">
        <v>956.24513730126012</v>
      </c>
      <c r="AJ174" s="218">
        <v>938.09702372786955</v>
      </c>
      <c r="AK174" s="218">
        <v>919.94891015447888</v>
      </c>
      <c r="AL174" s="218">
        <v>901.80079658108832</v>
      </c>
      <c r="AM174" s="218">
        <v>883.65268300769787</v>
      </c>
      <c r="AN174" s="218">
        <v>865.5045694343072</v>
      </c>
      <c r="AO174" s="218">
        <v>847.35645586091664</v>
      </c>
      <c r="AP174" s="218">
        <v>829.20834228752562</v>
      </c>
      <c r="AQ174" s="131"/>
      <c r="AR174" s="131"/>
      <c r="AS174" s="131"/>
      <c r="AT174" s="131"/>
      <c r="AU174" s="131"/>
      <c r="AV174" s="131"/>
      <c r="AW174" s="131"/>
      <c r="AZ174" s="131"/>
      <c r="BA174" s="131"/>
      <c r="BB174" s="131"/>
      <c r="BC174" s="131"/>
      <c r="BD174" s="131"/>
      <c r="BE174" s="199"/>
      <c r="BF174" s="199"/>
      <c r="BG174" s="199"/>
      <c r="BH174" s="131"/>
      <c r="BI174" s="131"/>
      <c r="BJ174" s="131"/>
      <c r="BK174" s="131"/>
      <c r="BL174" s="131"/>
      <c r="BM174" s="131"/>
      <c r="BN174" s="131"/>
      <c r="BO174" s="131"/>
      <c r="BP174" s="131"/>
      <c r="BQ174" s="131"/>
      <c r="BR174" s="131"/>
      <c r="BS174" s="131"/>
      <c r="BT174" s="131"/>
      <c r="BU174" s="131"/>
      <c r="BV174" s="131"/>
      <c r="BW174" s="131"/>
      <c r="BX174" s="131"/>
      <c r="BY174" s="131"/>
      <c r="BZ174" s="131"/>
      <c r="CA174" s="131"/>
      <c r="CB174" s="131"/>
      <c r="CC174" s="131"/>
      <c r="CD174" s="131"/>
      <c r="CE174" s="131"/>
      <c r="CF174" s="131"/>
      <c r="CG174" s="131"/>
      <c r="CH174" s="131"/>
      <c r="CI174" s="131"/>
      <c r="CJ174" s="131"/>
      <c r="CK174" s="131"/>
    </row>
    <row r="175" spans="1:89" ht="13.5" customHeight="1" thickTop="1" thickBot="1" x14ac:dyDescent="0.25">
      <c r="G175" s="138"/>
      <c r="H175" s="380"/>
      <c r="J175" s="358"/>
      <c r="K175" s="194" t="s">
        <v>254</v>
      </c>
      <c r="L175" s="194" t="s">
        <v>276</v>
      </c>
      <c r="M175" s="215">
        <v>1290.8062682686859</v>
      </c>
      <c r="N175" s="215">
        <v>1373.1981577326439</v>
      </c>
      <c r="O175" s="215">
        <v>1316.2190335666321</v>
      </c>
      <c r="P175" s="215">
        <v>1259.2399094006189</v>
      </c>
      <c r="Q175" s="215">
        <v>1202.2607852346071</v>
      </c>
      <c r="R175" s="215">
        <v>1145.2816610685941</v>
      </c>
      <c r="S175" s="215">
        <v>1088.302536902582</v>
      </c>
      <c r="T175" s="215">
        <v>1031.323412736569</v>
      </c>
      <c r="U175" s="215">
        <v>974.34428857055696</v>
      </c>
      <c r="V175" s="215">
        <v>917.36516440454443</v>
      </c>
      <c r="W175" s="215">
        <v>860.38604023853202</v>
      </c>
      <c r="X175" s="215">
        <v>803.40691607251949</v>
      </c>
      <c r="Y175" s="215">
        <v>746.42779190650708</v>
      </c>
      <c r="Z175" s="215">
        <v>689.44866774049456</v>
      </c>
      <c r="AA175" s="215">
        <v>632.46954357448169</v>
      </c>
      <c r="AB175" s="215">
        <v>625.04005636870511</v>
      </c>
      <c r="AC175" s="215">
        <v>617.61056916292853</v>
      </c>
      <c r="AD175" s="215">
        <v>610.18108195715195</v>
      </c>
      <c r="AE175" s="215">
        <v>602.75159475137548</v>
      </c>
      <c r="AF175" s="215">
        <v>595.32210754559878</v>
      </c>
      <c r="AG175" s="215">
        <v>587.89262033982232</v>
      </c>
      <c r="AH175" s="215">
        <v>580.46313313404573</v>
      </c>
      <c r="AI175" s="215">
        <v>573.03364592826892</v>
      </c>
      <c r="AJ175" s="215">
        <v>565.60415872249246</v>
      </c>
      <c r="AK175" s="215">
        <v>558.17467151671576</v>
      </c>
      <c r="AL175" s="215">
        <v>550.74518431093929</v>
      </c>
      <c r="AM175" s="215">
        <v>543.31569710516271</v>
      </c>
      <c r="AN175" s="215">
        <v>535.88620989938613</v>
      </c>
      <c r="AO175" s="215">
        <v>528.45672269360955</v>
      </c>
      <c r="AP175" s="215">
        <v>521.0272354878324</v>
      </c>
      <c r="AT175" s="199"/>
      <c r="AU175" s="199"/>
      <c r="AV175" s="199"/>
      <c r="AW175" s="199"/>
      <c r="AZ175" s="199"/>
    </row>
    <row r="176" spans="1:89" s="199" customFormat="1" ht="14.25" customHeight="1" thickTop="1" thickBot="1" x14ac:dyDescent="0.25">
      <c r="A176" s="131"/>
      <c r="B176" s="131"/>
      <c r="C176" s="131"/>
      <c r="D176" s="131"/>
      <c r="E176" s="131"/>
      <c r="F176" s="131"/>
      <c r="G176" s="138"/>
      <c r="H176" s="401"/>
      <c r="I176" s="131"/>
      <c r="J176" s="358"/>
      <c r="K176" s="135" t="s">
        <v>254</v>
      </c>
      <c r="L176" s="185" t="s">
        <v>277</v>
      </c>
      <c r="M176" s="213">
        <v>1290.8062682686859</v>
      </c>
      <c r="N176" s="213">
        <v>1373.1981577326439</v>
      </c>
      <c r="O176" s="213">
        <v>1331.3527873137889</v>
      </c>
      <c r="P176" s="213">
        <v>1289.5074168949341</v>
      </c>
      <c r="Q176" s="213">
        <v>1247.662046476079</v>
      </c>
      <c r="R176" s="213">
        <v>1205.816676057223</v>
      </c>
      <c r="S176" s="213">
        <v>1163.971305638368</v>
      </c>
      <c r="T176" s="213">
        <v>1122.1259352195129</v>
      </c>
      <c r="U176" s="213">
        <v>1080.2805648006581</v>
      </c>
      <c r="V176" s="213">
        <v>1038.4351943818019</v>
      </c>
      <c r="W176" s="213">
        <v>996.58982396294721</v>
      </c>
      <c r="X176" s="213">
        <v>954.74445354409204</v>
      </c>
      <c r="Y176" s="213">
        <v>912.89908312523676</v>
      </c>
      <c r="Z176" s="213">
        <v>871.05371270638148</v>
      </c>
      <c r="AA176" s="213">
        <v>829.20834228752562</v>
      </c>
      <c r="AB176" s="213">
        <v>816.09242237332262</v>
      </c>
      <c r="AC176" s="213">
        <v>802.97650245911973</v>
      </c>
      <c r="AD176" s="213">
        <v>789.86058254491684</v>
      </c>
      <c r="AE176" s="213">
        <v>776.74466263071395</v>
      </c>
      <c r="AF176" s="213">
        <v>763.62874271651094</v>
      </c>
      <c r="AG176" s="213">
        <v>750.51282280230805</v>
      </c>
      <c r="AH176" s="213">
        <v>737.39690288810516</v>
      </c>
      <c r="AI176" s="213">
        <v>724.28098297390216</v>
      </c>
      <c r="AJ176" s="213">
        <v>711.16506305969938</v>
      </c>
      <c r="AK176" s="213">
        <v>698.04914314549637</v>
      </c>
      <c r="AL176" s="213">
        <v>684.93322323129348</v>
      </c>
      <c r="AM176" s="213">
        <v>671.81730331709059</v>
      </c>
      <c r="AN176" s="213">
        <v>658.70138340288759</v>
      </c>
      <c r="AO176" s="213">
        <v>645.58546348868481</v>
      </c>
      <c r="AP176" s="213">
        <v>632.46954357448169</v>
      </c>
      <c r="AQ176" s="131"/>
      <c r="AR176" s="131"/>
      <c r="AS176" s="131"/>
      <c r="AT176" s="200"/>
      <c r="AU176" s="200"/>
      <c r="AV176" s="200"/>
      <c r="AW176" s="200"/>
      <c r="AZ176" s="200"/>
      <c r="BA176" s="131"/>
      <c r="BB176" s="131"/>
      <c r="BC176" s="131"/>
      <c r="BD176" s="131"/>
      <c r="BE176" s="131"/>
      <c r="BF176" s="131"/>
      <c r="BG176" s="131"/>
      <c r="BH176" s="131"/>
      <c r="BI176" s="131"/>
      <c r="BJ176" s="131"/>
      <c r="BK176" s="131"/>
      <c r="BL176" s="131"/>
      <c r="BM176" s="131"/>
      <c r="BN176" s="131"/>
      <c r="BO176" s="131"/>
      <c r="BP176" s="131"/>
      <c r="BQ176" s="131"/>
      <c r="BR176" s="131"/>
      <c r="BS176" s="131"/>
      <c r="BT176" s="131"/>
      <c r="BU176" s="131"/>
      <c r="BV176" s="131"/>
      <c r="BW176" s="131"/>
      <c r="BX176" s="131"/>
      <c r="BY176" s="131"/>
      <c r="BZ176" s="131"/>
      <c r="CA176" s="131"/>
      <c r="CB176" s="131"/>
      <c r="CC176" s="131"/>
      <c r="CD176" s="131"/>
      <c r="CE176" s="131"/>
      <c r="CF176" s="131"/>
      <c r="CG176" s="131"/>
      <c r="CH176" s="131"/>
      <c r="CI176" s="131"/>
      <c r="CJ176" s="131"/>
      <c r="CK176" s="131"/>
    </row>
    <row r="177" spans="1:89" s="200" customFormat="1" ht="14.25" customHeight="1" thickTop="1" thickBot="1" x14ac:dyDescent="0.25">
      <c r="A177" s="131"/>
      <c r="B177" s="131"/>
      <c r="C177" s="131"/>
      <c r="D177" s="131"/>
      <c r="E177" s="131"/>
      <c r="F177" s="131"/>
      <c r="G177" s="138"/>
      <c r="H177" s="402"/>
      <c r="I177" s="131"/>
      <c r="J177" s="358"/>
      <c r="K177" s="196" t="s">
        <v>254</v>
      </c>
      <c r="L177" s="196" t="s">
        <v>278</v>
      </c>
      <c r="M177" s="218">
        <v>1290.8062682686859</v>
      </c>
      <c r="N177" s="218">
        <v>1373.1981577326439</v>
      </c>
      <c r="O177" s="218">
        <v>1352.292918360009</v>
      </c>
      <c r="P177" s="218">
        <v>1331.387678987373</v>
      </c>
      <c r="Q177" s="218">
        <v>1310.482439614738</v>
      </c>
      <c r="R177" s="218">
        <v>1289.5772002421029</v>
      </c>
      <c r="S177" s="218">
        <v>1268.671960869468</v>
      </c>
      <c r="T177" s="218">
        <v>1247.7667214968319</v>
      </c>
      <c r="U177" s="218">
        <v>1226.861482124197</v>
      </c>
      <c r="V177" s="218">
        <v>1205.9562427515621</v>
      </c>
      <c r="W177" s="218">
        <v>1185.051003378926</v>
      </c>
      <c r="X177" s="218">
        <v>1164.1457640062911</v>
      </c>
      <c r="Y177" s="218">
        <v>1143.2405246336559</v>
      </c>
      <c r="Z177" s="218">
        <v>1122.335285261021</v>
      </c>
      <c r="AA177" s="218">
        <v>1101.430045888384</v>
      </c>
      <c r="AB177" s="218">
        <v>1083.281932314994</v>
      </c>
      <c r="AC177" s="218">
        <v>1065.133818741604</v>
      </c>
      <c r="AD177" s="218">
        <v>1046.9857051682129</v>
      </c>
      <c r="AE177" s="218">
        <v>1028.837591594822</v>
      </c>
      <c r="AF177" s="218">
        <v>1010.689478021432</v>
      </c>
      <c r="AG177" s="218">
        <v>992.54136444804124</v>
      </c>
      <c r="AH177" s="218">
        <v>974.39325087465056</v>
      </c>
      <c r="AI177" s="218">
        <v>956.24513730126012</v>
      </c>
      <c r="AJ177" s="218">
        <v>938.09702372786955</v>
      </c>
      <c r="AK177" s="218">
        <v>919.94891015447888</v>
      </c>
      <c r="AL177" s="218">
        <v>901.80079658108832</v>
      </c>
      <c r="AM177" s="218">
        <v>883.65268300769787</v>
      </c>
      <c r="AN177" s="218">
        <v>865.5045694343072</v>
      </c>
      <c r="AO177" s="218">
        <v>847.35645586091664</v>
      </c>
      <c r="AP177" s="218">
        <v>829.20834228752562</v>
      </c>
      <c r="AQ177" s="131"/>
      <c r="AR177" s="131"/>
      <c r="AS177" s="131"/>
      <c r="AT177" s="131"/>
      <c r="AU177" s="131"/>
      <c r="AV177" s="131"/>
      <c r="AW177" s="131"/>
      <c r="AZ177" s="131"/>
      <c r="BA177" s="131"/>
      <c r="BB177" s="131"/>
      <c r="BC177" s="131"/>
      <c r="BD177" s="131"/>
      <c r="BE177" s="199"/>
      <c r="BF177" s="199"/>
      <c r="BG177" s="199"/>
      <c r="BH177" s="131"/>
      <c r="BI177" s="131"/>
      <c r="BJ177" s="131"/>
      <c r="BK177" s="131"/>
      <c r="BL177" s="131"/>
      <c r="BM177" s="131"/>
      <c r="BN177" s="131"/>
      <c r="BO177" s="131"/>
      <c r="BP177" s="131"/>
      <c r="BQ177" s="131"/>
      <c r="BR177" s="131"/>
      <c r="BS177" s="131"/>
      <c r="BT177" s="131"/>
      <c r="BU177" s="131"/>
      <c r="BV177" s="131"/>
      <c r="BW177" s="131"/>
      <c r="BX177" s="131"/>
      <c r="BY177" s="131"/>
      <c r="BZ177" s="131"/>
      <c r="CA177" s="131"/>
      <c r="CB177" s="131"/>
      <c r="CC177" s="131"/>
      <c r="CD177" s="131"/>
      <c r="CE177" s="131"/>
      <c r="CF177" s="131"/>
      <c r="CG177" s="131"/>
      <c r="CH177" s="131"/>
      <c r="CI177" s="131"/>
      <c r="CJ177" s="131"/>
      <c r="CK177" s="131"/>
    </row>
    <row r="178" spans="1:89" ht="13.5" customHeight="1" thickTop="1" thickBot="1" x14ac:dyDescent="0.25">
      <c r="G178" s="138"/>
      <c r="H178" s="380"/>
      <c r="J178" s="358"/>
      <c r="K178" s="194" t="s">
        <v>256</v>
      </c>
      <c r="L178" s="194" t="s">
        <v>276</v>
      </c>
      <c r="M178" s="215">
        <v>1290.8062682686859</v>
      </c>
      <c r="N178" s="215">
        <v>1373.1981577326439</v>
      </c>
      <c r="O178" s="215">
        <v>1316.2190335666321</v>
      </c>
      <c r="P178" s="215">
        <v>1259.2399094006189</v>
      </c>
      <c r="Q178" s="215">
        <v>1202.2607852346071</v>
      </c>
      <c r="R178" s="215">
        <v>1145.2816610685941</v>
      </c>
      <c r="S178" s="215">
        <v>1088.302536902582</v>
      </c>
      <c r="T178" s="215">
        <v>1031.323412736569</v>
      </c>
      <c r="U178" s="215">
        <v>974.34428857055696</v>
      </c>
      <c r="V178" s="215">
        <v>917.36516440454443</v>
      </c>
      <c r="W178" s="215">
        <v>860.38604023853202</v>
      </c>
      <c r="X178" s="215">
        <v>803.40691607251949</v>
      </c>
      <c r="Y178" s="215">
        <v>746.42779190650708</v>
      </c>
      <c r="Z178" s="215">
        <v>689.44866774049456</v>
      </c>
      <c r="AA178" s="215">
        <v>632.46954357448169</v>
      </c>
      <c r="AB178" s="215">
        <v>625.04005636870511</v>
      </c>
      <c r="AC178" s="215">
        <v>617.61056916292853</v>
      </c>
      <c r="AD178" s="215">
        <v>610.18108195715195</v>
      </c>
      <c r="AE178" s="215">
        <v>602.75159475137548</v>
      </c>
      <c r="AF178" s="215">
        <v>595.32210754559878</v>
      </c>
      <c r="AG178" s="215">
        <v>587.89262033982232</v>
      </c>
      <c r="AH178" s="215">
        <v>580.46313313404573</v>
      </c>
      <c r="AI178" s="215">
        <v>573.03364592826892</v>
      </c>
      <c r="AJ178" s="215">
        <v>565.60415872249246</v>
      </c>
      <c r="AK178" s="215">
        <v>558.17467151671576</v>
      </c>
      <c r="AL178" s="215">
        <v>550.74518431093929</v>
      </c>
      <c r="AM178" s="215">
        <v>543.31569710516271</v>
      </c>
      <c r="AN178" s="215">
        <v>535.88620989938613</v>
      </c>
      <c r="AO178" s="215">
        <v>528.45672269360955</v>
      </c>
      <c r="AP178" s="215">
        <v>521.0272354878324</v>
      </c>
      <c r="AT178" s="199"/>
      <c r="AU178" s="199"/>
      <c r="AV178" s="199"/>
      <c r="AW178" s="199"/>
      <c r="AZ178" s="199"/>
    </row>
    <row r="179" spans="1:89" s="199" customFormat="1" ht="14.25" customHeight="1" thickTop="1" thickBot="1" x14ac:dyDescent="0.25">
      <c r="A179" s="131"/>
      <c r="B179" s="131"/>
      <c r="C179" s="131"/>
      <c r="D179" s="131"/>
      <c r="E179" s="131"/>
      <c r="F179" s="131"/>
      <c r="G179" s="138"/>
      <c r="H179" s="401"/>
      <c r="I179" s="131"/>
      <c r="J179" s="358"/>
      <c r="K179" s="135" t="s">
        <v>256</v>
      </c>
      <c r="L179" s="185" t="s">
        <v>277</v>
      </c>
      <c r="M179" s="213">
        <v>1290.8062682686859</v>
      </c>
      <c r="N179" s="213">
        <v>1373.1981577326439</v>
      </c>
      <c r="O179" s="213">
        <v>1331.3527873137889</v>
      </c>
      <c r="P179" s="213">
        <v>1289.5074168949341</v>
      </c>
      <c r="Q179" s="213">
        <v>1247.662046476079</v>
      </c>
      <c r="R179" s="213">
        <v>1205.816676057223</v>
      </c>
      <c r="S179" s="213">
        <v>1163.971305638368</v>
      </c>
      <c r="T179" s="213">
        <v>1122.1259352195129</v>
      </c>
      <c r="U179" s="213">
        <v>1080.2805648006581</v>
      </c>
      <c r="V179" s="213">
        <v>1038.4351943818019</v>
      </c>
      <c r="W179" s="213">
        <v>996.58982396294721</v>
      </c>
      <c r="X179" s="213">
        <v>954.74445354409204</v>
      </c>
      <c r="Y179" s="213">
        <v>912.89908312523676</v>
      </c>
      <c r="Z179" s="213">
        <v>871.05371270638148</v>
      </c>
      <c r="AA179" s="213">
        <v>829.20834228752562</v>
      </c>
      <c r="AB179" s="213">
        <v>816.09242237332262</v>
      </c>
      <c r="AC179" s="213">
        <v>802.97650245911973</v>
      </c>
      <c r="AD179" s="213">
        <v>789.86058254491684</v>
      </c>
      <c r="AE179" s="213">
        <v>776.74466263071395</v>
      </c>
      <c r="AF179" s="213">
        <v>763.62874271651094</v>
      </c>
      <c r="AG179" s="213">
        <v>750.51282280230805</v>
      </c>
      <c r="AH179" s="213">
        <v>737.39690288810516</v>
      </c>
      <c r="AI179" s="213">
        <v>724.28098297390216</v>
      </c>
      <c r="AJ179" s="213">
        <v>711.16506305969938</v>
      </c>
      <c r="AK179" s="213">
        <v>698.04914314549637</v>
      </c>
      <c r="AL179" s="213">
        <v>684.93322323129348</v>
      </c>
      <c r="AM179" s="213">
        <v>671.81730331709059</v>
      </c>
      <c r="AN179" s="213">
        <v>658.70138340288759</v>
      </c>
      <c r="AO179" s="213">
        <v>645.58546348868481</v>
      </c>
      <c r="AP179" s="213">
        <v>632.46954357448169</v>
      </c>
      <c r="AQ179" s="131"/>
      <c r="AR179" s="131"/>
      <c r="AS179" s="131"/>
      <c r="AT179" s="200"/>
      <c r="AU179" s="200"/>
      <c r="AV179" s="200"/>
      <c r="AW179" s="200"/>
      <c r="AZ179" s="200"/>
      <c r="BA179" s="131"/>
      <c r="BB179" s="131"/>
      <c r="BC179" s="131"/>
      <c r="BD179" s="131"/>
      <c r="BE179" s="131"/>
      <c r="BF179" s="131"/>
      <c r="BG179" s="131"/>
      <c r="BH179" s="131"/>
      <c r="BI179" s="131"/>
      <c r="BJ179" s="131"/>
      <c r="BK179" s="131"/>
      <c r="BL179" s="131"/>
      <c r="BM179" s="131"/>
      <c r="BN179" s="131"/>
      <c r="BO179" s="131"/>
      <c r="BP179" s="131"/>
      <c r="BQ179" s="131"/>
      <c r="BR179" s="131"/>
      <c r="BS179" s="131"/>
      <c r="BT179" s="131"/>
      <c r="BU179" s="131"/>
      <c r="BV179" s="131"/>
      <c r="BW179" s="131"/>
      <c r="BX179" s="131"/>
      <c r="BY179" s="131"/>
      <c r="BZ179" s="131"/>
      <c r="CA179" s="131"/>
      <c r="CB179" s="131"/>
      <c r="CC179" s="131"/>
      <c r="CD179" s="131"/>
      <c r="CE179" s="131"/>
      <c r="CF179" s="131"/>
      <c r="CG179" s="131"/>
      <c r="CH179" s="131"/>
      <c r="CI179" s="131"/>
      <c r="CJ179" s="131"/>
      <c r="CK179" s="131"/>
    </row>
    <row r="180" spans="1:89" s="200" customFormat="1" ht="14.25" customHeight="1" thickTop="1" thickBot="1" x14ac:dyDescent="0.25">
      <c r="A180" s="131"/>
      <c r="B180" s="131"/>
      <c r="C180" s="131"/>
      <c r="D180" s="131"/>
      <c r="E180" s="131"/>
      <c r="F180" s="131"/>
      <c r="G180" s="138"/>
      <c r="H180" s="402"/>
      <c r="I180" s="131"/>
      <c r="J180" s="368"/>
      <c r="K180" s="196" t="s">
        <v>256</v>
      </c>
      <c r="L180" s="196" t="s">
        <v>278</v>
      </c>
      <c r="M180" s="218">
        <v>1290.8062682686859</v>
      </c>
      <c r="N180" s="218">
        <v>1373.1981577326439</v>
      </c>
      <c r="O180" s="218">
        <v>1352.292918360009</v>
      </c>
      <c r="P180" s="218">
        <v>1331.387678987373</v>
      </c>
      <c r="Q180" s="218">
        <v>1310.482439614738</v>
      </c>
      <c r="R180" s="218">
        <v>1289.5772002421029</v>
      </c>
      <c r="S180" s="218">
        <v>1268.671960869468</v>
      </c>
      <c r="T180" s="218">
        <v>1247.7667214968319</v>
      </c>
      <c r="U180" s="218">
        <v>1226.861482124197</v>
      </c>
      <c r="V180" s="218">
        <v>1205.9562427515621</v>
      </c>
      <c r="W180" s="218">
        <v>1185.051003378926</v>
      </c>
      <c r="X180" s="218">
        <v>1164.1457640062911</v>
      </c>
      <c r="Y180" s="218">
        <v>1143.2405246336559</v>
      </c>
      <c r="Z180" s="218">
        <v>1122.335285261021</v>
      </c>
      <c r="AA180" s="218">
        <v>1101.430045888384</v>
      </c>
      <c r="AB180" s="218">
        <v>1083.281932314994</v>
      </c>
      <c r="AC180" s="218">
        <v>1065.133818741604</v>
      </c>
      <c r="AD180" s="218">
        <v>1046.9857051682129</v>
      </c>
      <c r="AE180" s="218">
        <v>1028.837591594822</v>
      </c>
      <c r="AF180" s="218">
        <v>1010.689478021432</v>
      </c>
      <c r="AG180" s="218">
        <v>992.54136444804124</v>
      </c>
      <c r="AH180" s="218">
        <v>974.39325087465056</v>
      </c>
      <c r="AI180" s="218">
        <v>956.24513730126012</v>
      </c>
      <c r="AJ180" s="218">
        <v>938.09702372786955</v>
      </c>
      <c r="AK180" s="218">
        <v>919.94891015447888</v>
      </c>
      <c r="AL180" s="218">
        <v>901.80079658108832</v>
      </c>
      <c r="AM180" s="218">
        <v>883.65268300769787</v>
      </c>
      <c r="AN180" s="218">
        <v>865.5045694343072</v>
      </c>
      <c r="AO180" s="218">
        <v>847.35645586091664</v>
      </c>
      <c r="AP180" s="218">
        <v>829.20834228752562</v>
      </c>
      <c r="AQ180" s="131"/>
      <c r="AR180" s="131"/>
      <c r="AS180" s="131"/>
      <c r="AT180" s="131"/>
      <c r="AU180" s="131"/>
      <c r="AV180" s="131"/>
      <c r="AW180" s="131"/>
      <c r="AZ180" s="131"/>
      <c r="BA180" s="131"/>
      <c r="BB180" s="131"/>
      <c r="BC180" s="131"/>
      <c r="BD180" s="131"/>
      <c r="BE180" s="199"/>
      <c r="BF180" s="199"/>
      <c r="BG180" s="199"/>
      <c r="BH180" s="131"/>
      <c r="BI180" s="131"/>
      <c r="BJ180" s="131"/>
      <c r="BK180" s="131"/>
      <c r="BL180" s="131"/>
      <c r="BM180" s="131"/>
      <c r="BN180" s="131"/>
      <c r="BO180" s="131"/>
      <c r="BP180" s="131"/>
      <c r="BQ180" s="131"/>
      <c r="BR180" s="131"/>
      <c r="BS180" s="131"/>
      <c r="BT180" s="131"/>
      <c r="BU180" s="131"/>
      <c r="BV180" s="131"/>
      <c r="BW180" s="131"/>
      <c r="BX180" s="131"/>
      <c r="BY180" s="131"/>
      <c r="BZ180" s="131"/>
      <c r="CA180" s="131"/>
      <c r="CB180" s="131"/>
      <c r="CC180" s="131"/>
      <c r="CD180" s="131"/>
      <c r="CE180" s="131"/>
      <c r="CF180" s="131"/>
      <c r="CG180" s="131"/>
      <c r="CH180" s="131"/>
      <c r="CI180" s="131"/>
      <c r="CJ180" s="131"/>
      <c r="CK180" s="131"/>
    </row>
    <row r="181" spans="1:89" ht="14.25" customHeight="1" thickTop="1" thickBot="1" x14ac:dyDescent="0.25">
      <c r="G181" s="138"/>
      <c r="H181" s="380"/>
      <c r="J181" s="201"/>
      <c r="K181" s="135"/>
      <c r="L181" s="135"/>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c r="AP181" s="210"/>
    </row>
    <row r="182" spans="1:89" ht="14.25" customHeight="1" thickTop="1" thickBot="1" x14ac:dyDescent="0.25">
      <c r="G182" s="138"/>
      <c r="H182" s="380"/>
      <c r="M182" s="123">
        <v>2021</v>
      </c>
      <c r="N182" s="123">
        <v>2022</v>
      </c>
      <c r="O182" s="123">
        <v>2023</v>
      </c>
      <c r="P182" s="123">
        <v>2024</v>
      </c>
      <c r="Q182" s="123">
        <v>2025</v>
      </c>
      <c r="R182" s="123">
        <v>2026</v>
      </c>
      <c r="S182" s="123">
        <v>2027</v>
      </c>
      <c r="T182" s="123">
        <v>2028</v>
      </c>
      <c r="U182" s="123">
        <v>2029</v>
      </c>
      <c r="V182" s="123">
        <v>2030</v>
      </c>
      <c r="W182" s="123">
        <v>2031</v>
      </c>
      <c r="X182" s="123">
        <v>2032</v>
      </c>
      <c r="Y182" s="123">
        <v>2033</v>
      </c>
      <c r="Z182" s="123">
        <v>2034</v>
      </c>
      <c r="AA182" s="123">
        <v>2035</v>
      </c>
      <c r="AB182" s="123">
        <v>2036</v>
      </c>
      <c r="AC182" s="123">
        <v>2037</v>
      </c>
      <c r="AD182" s="123">
        <v>2038</v>
      </c>
      <c r="AE182" s="123">
        <v>2039</v>
      </c>
      <c r="AF182" s="123">
        <v>2040</v>
      </c>
      <c r="AG182" s="123">
        <v>2041</v>
      </c>
      <c r="AH182" s="123">
        <v>2042</v>
      </c>
      <c r="AI182" s="123">
        <v>2043</v>
      </c>
      <c r="AJ182" s="123">
        <v>2044</v>
      </c>
      <c r="AK182" s="123">
        <v>2045</v>
      </c>
      <c r="AL182" s="123">
        <v>2046</v>
      </c>
      <c r="AM182" s="123">
        <v>2047</v>
      </c>
      <c r="AN182" s="123">
        <v>2048</v>
      </c>
      <c r="AO182" s="123">
        <v>2049</v>
      </c>
      <c r="AP182" s="123">
        <v>2050</v>
      </c>
      <c r="BA182" s="199"/>
      <c r="BB182" s="199"/>
      <c r="BC182" s="199"/>
      <c r="BD182" s="199"/>
      <c r="BE182" s="200"/>
      <c r="BF182" s="200"/>
      <c r="BG182" s="200"/>
      <c r="BH182" s="199"/>
      <c r="BI182" s="199"/>
      <c r="BJ182" s="199"/>
      <c r="BK182" s="199"/>
      <c r="BL182" s="199"/>
      <c r="BM182" s="199"/>
      <c r="BN182" s="199"/>
      <c r="BO182" s="199"/>
      <c r="BP182" s="199"/>
      <c r="BQ182" s="199"/>
      <c r="BR182" s="199"/>
      <c r="BS182" s="199"/>
      <c r="BT182" s="199"/>
      <c r="BU182" s="199"/>
      <c r="BV182" s="199"/>
      <c r="BW182" s="199"/>
    </row>
    <row r="183" spans="1:89" ht="14.25" customHeight="1" thickTop="1" x14ac:dyDescent="0.2">
      <c r="G183" s="138"/>
      <c r="H183" s="380"/>
      <c r="J183" s="367" t="s">
        <v>295</v>
      </c>
      <c r="K183" s="194" t="s">
        <v>235</v>
      </c>
      <c r="L183" s="194" t="s">
        <v>276</v>
      </c>
      <c r="M183" s="212">
        <v>44.991185857284947</v>
      </c>
      <c r="N183" s="212">
        <v>47.862963677962711</v>
      </c>
      <c r="O183" s="212">
        <v>45.876950417601961</v>
      </c>
      <c r="P183" s="212">
        <v>43.890937157241211</v>
      </c>
      <c r="Q183" s="212">
        <v>41.904923896880462</v>
      </c>
      <c r="R183" s="212">
        <v>39.918910636519712</v>
      </c>
      <c r="S183" s="212">
        <v>37.932897376158962</v>
      </c>
      <c r="T183" s="212">
        <v>35.94688411579822</v>
      </c>
      <c r="U183" s="212">
        <v>33.96087085543747</v>
      </c>
      <c r="V183" s="212">
        <v>31.97485759507672</v>
      </c>
      <c r="W183" s="212">
        <v>29.988844334715971</v>
      </c>
      <c r="X183" s="212">
        <v>28.002831074355221</v>
      </c>
      <c r="Y183" s="212">
        <v>26.016817813994479</v>
      </c>
      <c r="Z183" s="212">
        <v>24.030804553633729</v>
      </c>
      <c r="AA183" s="212">
        <v>22.044791293272969</v>
      </c>
      <c r="AB183" s="212">
        <v>21.78583574903956</v>
      </c>
      <c r="AC183" s="212">
        <v>21.52688020480614</v>
      </c>
      <c r="AD183" s="212">
        <v>21.267924660572739</v>
      </c>
      <c r="AE183" s="212">
        <v>21.00896911633933</v>
      </c>
      <c r="AF183" s="212">
        <v>20.75001357210591</v>
      </c>
      <c r="AG183" s="212">
        <v>20.491058027872501</v>
      </c>
      <c r="AH183" s="212">
        <v>20.2321024836391</v>
      </c>
      <c r="AI183" s="212">
        <v>19.97314693940568</v>
      </c>
      <c r="AJ183" s="212">
        <v>19.714191395172271</v>
      </c>
      <c r="AK183" s="212">
        <v>19.455235850938859</v>
      </c>
      <c r="AL183" s="212">
        <v>19.19628030670545</v>
      </c>
      <c r="AM183" s="212">
        <v>18.937324762472041</v>
      </c>
      <c r="AN183" s="212">
        <v>18.678369218238629</v>
      </c>
      <c r="AO183" s="212">
        <v>18.41941367400522</v>
      </c>
      <c r="AP183" s="212">
        <v>18.16045812977179</v>
      </c>
      <c r="BA183" s="200"/>
      <c r="BB183" s="200"/>
      <c r="BC183" s="200"/>
      <c r="BD183" s="200"/>
      <c r="BH183" s="200"/>
      <c r="BI183" s="200"/>
      <c r="BJ183" s="200"/>
      <c r="BK183" s="200"/>
      <c r="BL183" s="200"/>
      <c r="BM183" s="200"/>
      <c r="BN183" s="200"/>
      <c r="BO183" s="200"/>
      <c r="BP183" s="200"/>
      <c r="BQ183" s="200"/>
      <c r="BR183" s="200"/>
      <c r="BS183" s="200"/>
      <c r="BT183" s="200"/>
      <c r="BU183" s="200"/>
      <c r="BV183" s="200"/>
      <c r="BW183" s="200"/>
    </row>
    <row r="184" spans="1:89" ht="14.25" customHeight="1" x14ac:dyDescent="0.2">
      <c r="G184" s="138"/>
      <c r="H184" s="380"/>
      <c r="J184" s="358"/>
      <c r="K184" s="135" t="s">
        <v>235</v>
      </c>
      <c r="L184" s="185" t="s">
        <v>277</v>
      </c>
      <c r="M184" s="213">
        <v>44.991185857284947</v>
      </c>
      <c r="N184" s="213">
        <v>47.862963677962711</v>
      </c>
      <c r="O184" s="213">
        <v>46.404438968203728</v>
      </c>
      <c r="P184" s="213">
        <v>44.945914258444773</v>
      </c>
      <c r="Q184" s="213">
        <v>43.48738954868579</v>
      </c>
      <c r="R184" s="213">
        <v>42.028864838926808</v>
      </c>
      <c r="S184" s="213">
        <v>40.570340129167853</v>
      </c>
      <c r="T184" s="213">
        <v>39.11181541940887</v>
      </c>
      <c r="U184" s="213">
        <v>37.653290709649887</v>
      </c>
      <c r="V184" s="213">
        <v>36.194765999890919</v>
      </c>
      <c r="W184" s="213">
        <v>34.736241290131943</v>
      </c>
      <c r="X184" s="213">
        <v>33.277716580372967</v>
      </c>
      <c r="Y184" s="213">
        <v>31.819191870613999</v>
      </c>
      <c r="Z184" s="213">
        <v>30.360667160855019</v>
      </c>
      <c r="AA184" s="213">
        <v>28.902142451096029</v>
      </c>
      <c r="AB184" s="213">
        <v>28.444985707241148</v>
      </c>
      <c r="AC184" s="213">
        <v>27.987828963386281</v>
      </c>
      <c r="AD184" s="213">
        <v>27.530672219531411</v>
      </c>
      <c r="AE184" s="213">
        <v>27.07351547567654</v>
      </c>
      <c r="AF184" s="213">
        <v>26.61635873182167</v>
      </c>
      <c r="AG184" s="213">
        <v>26.159201987966799</v>
      </c>
      <c r="AH184" s="213">
        <v>25.702045244111929</v>
      </c>
      <c r="AI184" s="213">
        <v>25.244888500257058</v>
      </c>
      <c r="AJ184" s="213">
        <v>24.787731756402192</v>
      </c>
      <c r="AK184" s="213">
        <v>24.330575012547321</v>
      </c>
      <c r="AL184" s="213">
        <v>23.873418268692451</v>
      </c>
      <c r="AM184" s="213">
        <v>23.41626152483758</v>
      </c>
      <c r="AN184" s="213">
        <v>22.95910478098271</v>
      </c>
      <c r="AO184" s="213">
        <v>22.501948037127839</v>
      </c>
      <c r="AP184" s="213">
        <v>22.044791293272969</v>
      </c>
    </row>
    <row r="185" spans="1:89" ht="14.25" customHeight="1" thickBot="1" x14ac:dyDescent="0.25">
      <c r="G185" s="138"/>
      <c r="H185" s="380"/>
      <c r="J185" s="358"/>
      <c r="K185" s="196" t="s">
        <v>235</v>
      </c>
      <c r="L185" s="196" t="s">
        <v>278</v>
      </c>
      <c r="M185" s="214">
        <v>44.991185857284947</v>
      </c>
      <c r="N185" s="214">
        <v>47.862963677962711</v>
      </c>
      <c r="O185" s="214">
        <v>47.134309399527268</v>
      </c>
      <c r="P185" s="214">
        <v>46.405655121091819</v>
      </c>
      <c r="Q185" s="214">
        <v>45.677000842656383</v>
      </c>
      <c r="R185" s="214">
        <v>44.948346564220941</v>
      </c>
      <c r="S185" s="214">
        <v>44.219692285785499</v>
      </c>
      <c r="T185" s="214">
        <v>43.491038007350063</v>
      </c>
      <c r="U185" s="214">
        <v>42.762383728914607</v>
      </c>
      <c r="V185" s="214">
        <v>42.033729450479171</v>
      </c>
      <c r="W185" s="214">
        <v>41.305075172043729</v>
      </c>
      <c r="X185" s="214">
        <v>40.57642089360828</v>
      </c>
      <c r="Y185" s="214">
        <v>39.847766615172837</v>
      </c>
      <c r="Z185" s="214">
        <v>39.119112336737388</v>
      </c>
      <c r="AA185" s="214">
        <v>38.390458058301917</v>
      </c>
      <c r="AB185" s="214">
        <v>37.757903684488213</v>
      </c>
      <c r="AC185" s="214">
        <v>37.12534931067448</v>
      </c>
      <c r="AD185" s="214">
        <v>36.492794936860747</v>
      </c>
      <c r="AE185" s="214">
        <v>35.860240563047029</v>
      </c>
      <c r="AF185" s="214">
        <v>35.227686189233303</v>
      </c>
      <c r="AG185" s="214">
        <v>34.595131815419577</v>
      </c>
      <c r="AH185" s="214">
        <v>33.962577441605838</v>
      </c>
      <c r="AI185" s="214">
        <v>33.330023067792133</v>
      </c>
      <c r="AJ185" s="214">
        <v>32.697468693978387</v>
      </c>
      <c r="AK185" s="214">
        <v>32.064914320164668</v>
      </c>
      <c r="AL185" s="214">
        <v>31.432359946350939</v>
      </c>
      <c r="AM185" s="214">
        <v>30.79980557253722</v>
      </c>
      <c r="AN185" s="214">
        <v>30.167251198723491</v>
      </c>
      <c r="AO185" s="214">
        <v>29.534696824909759</v>
      </c>
      <c r="AP185" s="214">
        <v>28.902142451096029</v>
      </c>
    </row>
    <row r="186" spans="1:89" ht="14.25" customHeight="1" thickTop="1" thickBot="1" x14ac:dyDescent="0.25">
      <c r="G186" s="138"/>
      <c r="H186" s="380"/>
      <c r="J186" s="358"/>
      <c r="K186" s="194" t="s">
        <v>240</v>
      </c>
      <c r="L186" s="194" t="s">
        <v>276</v>
      </c>
      <c r="M186" s="215">
        <v>44.991185857284947</v>
      </c>
      <c r="N186" s="215">
        <v>47.862963677962711</v>
      </c>
      <c r="O186" s="215">
        <v>45.876950417601961</v>
      </c>
      <c r="P186" s="215">
        <v>43.890937157241211</v>
      </c>
      <c r="Q186" s="215">
        <v>41.904923896880462</v>
      </c>
      <c r="R186" s="215">
        <v>39.918910636519712</v>
      </c>
      <c r="S186" s="215">
        <v>37.932897376158962</v>
      </c>
      <c r="T186" s="215">
        <v>35.94688411579822</v>
      </c>
      <c r="U186" s="215">
        <v>33.96087085543747</v>
      </c>
      <c r="V186" s="215">
        <v>31.97485759507672</v>
      </c>
      <c r="W186" s="215">
        <v>29.988844334715971</v>
      </c>
      <c r="X186" s="215">
        <v>28.002831074355221</v>
      </c>
      <c r="Y186" s="215">
        <v>26.016817813994479</v>
      </c>
      <c r="Z186" s="215">
        <v>24.030804553633729</v>
      </c>
      <c r="AA186" s="215">
        <v>22.044791293272969</v>
      </c>
      <c r="AB186" s="215">
        <v>21.78583574903956</v>
      </c>
      <c r="AC186" s="215">
        <v>21.52688020480614</v>
      </c>
      <c r="AD186" s="215">
        <v>21.267924660572739</v>
      </c>
      <c r="AE186" s="215">
        <v>21.00896911633933</v>
      </c>
      <c r="AF186" s="215">
        <v>20.75001357210591</v>
      </c>
      <c r="AG186" s="215">
        <v>20.491058027872501</v>
      </c>
      <c r="AH186" s="215">
        <v>20.2321024836391</v>
      </c>
      <c r="AI186" s="215">
        <v>19.97314693940568</v>
      </c>
      <c r="AJ186" s="215">
        <v>19.714191395172271</v>
      </c>
      <c r="AK186" s="215">
        <v>19.455235850938859</v>
      </c>
      <c r="AL186" s="215">
        <v>19.19628030670545</v>
      </c>
      <c r="AM186" s="215">
        <v>18.937324762472041</v>
      </c>
      <c r="AN186" s="215">
        <v>18.678369218238629</v>
      </c>
      <c r="AO186" s="215">
        <v>18.41941367400522</v>
      </c>
      <c r="AP186" s="215">
        <v>18.16045812977179</v>
      </c>
      <c r="BX186" s="199"/>
      <c r="BY186" s="199"/>
      <c r="BZ186" s="199"/>
      <c r="CA186" s="199"/>
      <c r="CB186" s="199"/>
      <c r="CC186" s="199"/>
      <c r="CD186" s="199"/>
      <c r="CE186" s="199"/>
      <c r="CF186" s="199"/>
      <c r="CG186" s="199"/>
      <c r="CH186" s="199"/>
      <c r="CI186" s="199"/>
      <c r="CJ186" s="199"/>
      <c r="CK186" s="199"/>
    </row>
    <row r="187" spans="1:89" ht="14.25" customHeight="1" thickTop="1" x14ac:dyDescent="0.2">
      <c r="G187" s="138"/>
      <c r="H187" s="380"/>
      <c r="J187" s="358"/>
      <c r="K187" s="135" t="s">
        <v>240</v>
      </c>
      <c r="L187" s="185" t="s">
        <v>277</v>
      </c>
      <c r="M187" s="213">
        <v>44.991185857284947</v>
      </c>
      <c r="N187" s="213">
        <v>47.862963677962711</v>
      </c>
      <c r="O187" s="213">
        <v>46.404438968203728</v>
      </c>
      <c r="P187" s="213">
        <v>44.945914258444773</v>
      </c>
      <c r="Q187" s="213">
        <v>43.48738954868579</v>
      </c>
      <c r="R187" s="213">
        <v>42.028864838926808</v>
      </c>
      <c r="S187" s="213">
        <v>40.570340129167853</v>
      </c>
      <c r="T187" s="213">
        <v>39.11181541940887</v>
      </c>
      <c r="U187" s="213">
        <v>37.653290709649887</v>
      </c>
      <c r="V187" s="213">
        <v>36.194765999890919</v>
      </c>
      <c r="W187" s="213">
        <v>34.736241290131943</v>
      </c>
      <c r="X187" s="213">
        <v>33.277716580372967</v>
      </c>
      <c r="Y187" s="213">
        <v>31.819191870613999</v>
      </c>
      <c r="Z187" s="213">
        <v>30.360667160855019</v>
      </c>
      <c r="AA187" s="213">
        <v>28.902142451096029</v>
      </c>
      <c r="AB187" s="213">
        <v>28.444985707241148</v>
      </c>
      <c r="AC187" s="213">
        <v>27.987828963386281</v>
      </c>
      <c r="AD187" s="213">
        <v>27.530672219531411</v>
      </c>
      <c r="AE187" s="213">
        <v>27.07351547567654</v>
      </c>
      <c r="AF187" s="213">
        <v>26.61635873182167</v>
      </c>
      <c r="AG187" s="213">
        <v>26.159201987966799</v>
      </c>
      <c r="AH187" s="213">
        <v>25.702045244111929</v>
      </c>
      <c r="AI187" s="213">
        <v>25.244888500257058</v>
      </c>
      <c r="AJ187" s="213">
        <v>24.787731756402192</v>
      </c>
      <c r="AK187" s="213">
        <v>24.330575012547321</v>
      </c>
      <c r="AL187" s="213">
        <v>23.873418268692451</v>
      </c>
      <c r="AM187" s="213">
        <v>23.41626152483758</v>
      </c>
      <c r="AN187" s="213">
        <v>22.95910478098271</v>
      </c>
      <c r="AO187" s="213">
        <v>22.501948037127839</v>
      </c>
      <c r="AP187" s="213">
        <v>22.044791293272969</v>
      </c>
      <c r="BX187" s="200"/>
      <c r="BY187" s="200"/>
      <c r="BZ187" s="200"/>
      <c r="CA187" s="200"/>
      <c r="CB187" s="200"/>
      <c r="CC187" s="200"/>
      <c r="CD187" s="200"/>
      <c r="CE187" s="200"/>
      <c r="CF187" s="200"/>
      <c r="CG187" s="200"/>
      <c r="CH187" s="200"/>
      <c r="CI187" s="200"/>
      <c r="CJ187" s="200"/>
      <c r="CK187" s="200"/>
    </row>
    <row r="188" spans="1:89" ht="14.25" customHeight="1" thickBot="1" x14ac:dyDescent="0.25">
      <c r="G188" s="138"/>
      <c r="H188" s="380"/>
      <c r="J188" s="358"/>
      <c r="K188" s="196" t="s">
        <v>240</v>
      </c>
      <c r="L188" s="196" t="s">
        <v>278</v>
      </c>
      <c r="M188" s="214">
        <v>44.991185857284947</v>
      </c>
      <c r="N188" s="214">
        <v>47.862963677962711</v>
      </c>
      <c r="O188" s="214">
        <v>47.134309399527268</v>
      </c>
      <c r="P188" s="214">
        <v>46.405655121091819</v>
      </c>
      <c r="Q188" s="214">
        <v>45.677000842656383</v>
      </c>
      <c r="R188" s="214">
        <v>44.948346564220941</v>
      </c>
      <c r="S188" s="214">
        <v>44.219692285785499</v>
      </c>
      <c r="T188" s="214">
        <v>43.491038007350063</v>
      </c>
      <c r="U188" s="214">
        <v>42.762383728914607</v>
      </c>
      <c r="V188" s="214">
        <v>42.033729450479171</v>
      </c>
      <c r="W188" s="214">
        <v>41.305075172043729</v>
      </c>
      <c r="X188" s="214">
        <v>40.57642089360828</v>
      </c>
      <c r="Y188" s="214">
        <v>39.847766615172837</v>
      </c>
      <c r="Z188" s="214">
        <v>39.119112336737388</v>
      </c>
      <c r="AA188" s="214">
        <v>38.390458058301917</v>
      </c>
      <c r="AB188" s="214">
        <v>37.757903684488213</v>
      </c>
      <c r="AC188" s="214">
        <v>37.12534931067448</v>
      </c>
      <c r="AD188" s="214">
        <v>36.492794936860747</v>
      </c>
      <c r="AE188" s="214">
        <v>35.860240563047029</v>
      </c>
      <c r="AF188" s="214">
        <v>35.227686189233303</v>
      </c>
      <c r="AG188" s="214">
        <v>34.595131815419577</v>
      </c>
      <c r="AH188" s="214">
        <v>33.962577441605838</v>
      </c>
      <c r="AI188" s="214">
        <v>33.330023067792133</v>
      </c>
      <c r="AJ188" s="214">
        <v>32.697468693978387</v>
      </c>
      <c r="AK188" s="214">
        <v>32.064914320164668</v>
      </c>
      <c r="AL188" s="214">
        <v>31.432359946350939</v>
      </c>
      <c r="AM188" s="214">
        <v>30.79980557253722</v>
      </c>
      <c r="AN188" s="214">
        <v>30.167251198723491</v>
      </c>
      <c r="AO188" s="214">
        <v>29.534696824909759</v>
      </c>
      <c r="AP188" s="214">
        <v>28.902142451096029</v>
      </c>
    </row>
    <row r="189" spans="1:89" ht="13.5" customHeight="1" thickTop="1" thickBot="1" x14ac:dyDescent="0.25">
      <c r="G189" s="138"/>
      <c r="H189" s="380"/>
      <c r="J189" s="358"/>
      <c r="K189" s="194" t="s">
        <v>242</v>
      </c>
      <c r="L189" s="194" t="s">
        <v>276</v>
      </c>
      <c r="M189" s="212">
        <v>44.991185857284947</v>
      </c>
      <c r="N189" s="212">
        <v>47.862963677962711</v>
      </c>
      <c r="O189" s="212">
        <v>45.876950417601961</v>
      </c>
      <c r="P189" s="212">
        <v>43.890937157241211</v>
      </c>
      <c r="Q189" s="212">
        <v>41.904923896880462</v>
      </c>
      <c r="R189" s="212">
        <v>39.918910636519712</v>
      </c>
      <c r="S189" s="212">
        <v>37.932897376158962</v>
      </c>
      <c r="T189" s="212">
        <v>35.94688411579822</v>
      </c>
      <c r="U189" s="212">
        <v>33.96087085543747</v>
      </c>
      <c r="V189" s="212">
        <v>31.97485759507672</v>
      </c>
      <c r="W189" s="212">
        <v>29.988844334715971</v>
      </c>
      <c r="X189" s="212">
        <v>28.002831074355221</v>
      </c>
      <c r="Y189" s="212">
        <v>26.016817813994479</v>
      </c>
      <c r="Z189" s="212">
        <v>24.030804553633729</v>
      </c>
      <c r="AA189" s="212">
        <v>22.044791293272969</v>
      </c>
      <c r="AB189" s="212">
        <v>21.78583574903956</v>
      </c>
      <c r="AC189" s="212">
        <v>21.52688020480614</v>
      </c>
      <c r="AD189" s="212">
        <v>21.267924660572739</v>
      </c>
      <c r="AE189" s="212">
        <v>21.00896911633933</v>
      </c>
      <c r="AF189" s="212">
        <v>20.75001357210591</v>
      </c>
      <c r="AG189" s="212">
        <v>20.491058027872501</v>
      </c>
      <c r="AH189" s="212">
        <v>20.2321024836391</v>
      </c>
      <c r="AI189" s="212">
        <v>19.97314693940568</v>
      </c>
      <c r="AJ189" s="212">
        <v>19.714191395172271</v>
      </c>
      <c r="AK189" s="212">
        <v>19.455235850938859</v>
      </c>
      <c r="AL189" s="212">
        <v>19.19628030670545</v>
      </c>
      <c r="AM189" s="212">
        <v>18.937324762472041</v>
      </c>
      <c r="AN189" s="212">
        <v>18.678369218238629</v>
      </c>
      <c r="AO189" s="212">
        <v>18.41941367400522</v>
      </c>
      <c r="AP189" s="212">
        <v>18.16045812977179</v>
      </c>
      <c r="AT189" s="199"/>
      <c r="AU189" s="199"/>
      <c r="AV189" s="199"/>
      <c r="AW189" s="199"/>
      <c r="AZ189" s="199"/>
    </row>
    <row r="190" spans="1:89" s="199" customFormat="1" ht="14.25" customHeight="1" thickTop="1" thickBot="1" x14ac:dyDescent="0.25">
      <c r="A190" s="131"/>
      <c r="B190" s="131"/>
      <c r="C190" s="131"/>
      <c r="D190" s="131"/>
      <c r="E190" s="131"/>
      <c r="F190" s="131"/>
      <c r="G190" s="138"/>
      <c r="H190" s="401"/>
      <c r="I190" s="131"/>
      <c r="J190" s="358"/>
      <c r="K190" s="135" t="s">
        <v>242</v>
      </c>
      <c r="L190" s="185" t="s">
        <v>277</v>
      </c>
      <c r="M190" s="213">
        <v>44.991185857284947</v>
      </c>
      <c r="N190" s="213">
        <v>47.862963677962711</v>
      </c>
      <c r="O190" s="213">
        <v>46.404438968203728</v>
      </c>
      <c r="P190" s="213">
        <v>44.945914258444773</v>
      </c>
      <c r="Q190" s="213">
        <v>43.48738954868579</v>
      </c>
      <c r="R190" s="213">
        <v>42.028864838926808</v>
      </c>
      <c r="S190" s="213">
        <v>40.570340129167853</v>
      </c>
      <c r="T190" s="213">
        <v>39.11181541940887</v>
      </c>
      <c r="U190" s="213">
        <v>37.653290709649887</v>
      </c>
      <c r="V190" s="213">
        <v>36.194765999890919</v>
      </c>
      <c r="W190" s="213">
        <v>34.736241290131943</v>
      </c>
      <c r="X190" s="213">
        <v>33.277716580372967</v>
      </c>
      <c r="Y190" s="213">
        <v>31.819191870613999</v>
      </c>
      <c r="Z190" s="213">
        <v>30.360667160855019</v>
      </c>
      <c r="AA190" s="213">
        <v>28.902142451096029</v>
      </c>
      <c r="AB190" s="213">
        <v>28.444985707241148</v>
      </c>
      <c r="AC190" s="213">
        <v>27.987828963386281</v>
      </c>
      <c r="AD190" s="213">
        <v>27.530672219531411</v>
      </c>
      <c r="AE190" s="213">
        <v>27.07351547567654</v>
      </c>
      <c r="AF190" s="213">
        <v>26.61635873182167</v>
      </c>
      <c r="AG190" s="213">
        <v>26.159201987966799</v>
      </c>
      <c r="AH190" s="213">
        <v>25.702045244111929</v>
      </c>
      <c r="AI190" s="213">
        <v>25.244888500257058</v>
      </c>
      <c r="AJ190" s="213">
        <v>24.787731756402192</v>
      </c>
      <c r="AK190" s="213">
        <v>24.330575012547321</v>
      </c>
      <c r="AL190" s="213">
        <v>23.873418268692451</v>
      </c>
      <c r="AM190" s="213">
        <v>23.41626152483758</v>
      </c>
      <c r="AN190" s="213">
        <v>22.95910478098271</v>
      </c>
      <c r="AO190" s="213">
        <v>22.501948037127839</v>
      </c>
      <c r="AP190" s="213">
        <v>22.044791293272969</v>
      </c>
      <c r="AQ190" s="131"/>
      <c r="AR190" s="131"/>
      <c r="AS190" s="131"/>
      <c r="AT190" s="200"/>
      <c r="AU190" s="200"/>
      <c r="AV190" s="200"/>
      <c r="AW190" s="200"/>
      <c r="AZ190" s="200"/>
      <c r="BA190" s="131"/>
      <c r="BB190" s="131"/>
      <c r="BC190" s="131"/>
      <c r="BD190" s="131"/>
      <c r="BE190" s="131"/>
      <c r="BF190" s="131"/>
      <c r="BG190" s="131"/>
      <c r="BH190" s="131"/>
      <c r="BI190" s="131"/>
      <c r="BJ190" s="131"/>
      <c r="BK190" s="131"/>
      <c r="BL190" s="131"/>
      <c r="BM190" s="131"/>
      <c r="BN190" s="131"/>
      <c r="BO190" s="131"/>
      <c r="BP190" s="131"/>
      <c r="BQ190" s="131"/>
      <c r="BR190" s="131"/>
      <c r="BS190" s="131"/>
      <c r="BT190" s="131"/>
      <c r="BU190" s="131"/>
      <c r="BV190" s="131"/>
      <c r="BW190" s="131"/>
      <c r="BX190" s="131"/>
      <c r="BY190" s="131"/>
      <c r="BZ190" s="131"/>
      <c r="CA190" s="131"/>
      <c r="CB190" s="131"/>
      <c r="CC190" s="131"/>
      <c r="CD190" s="131"/>
      <c r="CE190" s="131"/>
      <c r="CF190" s="131"/>
      <c r="CG190" s="131"/>
      <c r="CH190" s="131"/>
      <c r="CI190" s="131"/>
      <c r="CJ190" s="131"/>
      <c r="CK190" s="131"/>
    </row>
    <row r="191" spans="1:89" s="200" customFormat="1" ht="14.25" customHeight="1" thickTop="1" thickBot="1" x14ac:dyDescent="0.25">
      <c r="A191" s="131"/>
      <c r="B191" s="131"/>
      <c r="C191" s="131"/>
      <c r="D191" s="131"/>
      <c r="E191" s="131"/>
      <c r="F191" s="131"/>
      <c r="G191" s="138"/>
      <c r="H191" s="402"/>
      <c r="I191" s="131"/>
      <c r="J191" s="358"/>
      <c r="K191" s="196" t="s">
        <v>242</v>
      </c>
      <c r="L191" s="196" t="s">
        <v>278</v>
      </c>
      <c r="M191" s="214">
        <v>44.991185857284947</v>
      </c>
      <c r="N191" s="214">
        <v>47.862963677962711</v>
      </c>
      <c r="O191" s="214">
        <v>47.134309399527268</v>
      </c>
      <c r="P191" s="214">
        <v>46.405655121091819</v>
      </c>
      <c r="Q191" s="214">
        <v>45.677000842656383</v>
      </c>
      <c r="R191" s="214">
        <v>44.948346564220941</v>
      </c>
      <c r="S191" s="214">
        <v>44.219692285785499</v>
      </c>
      <c r="T191" s="214">
        <v>43.491038007350063</v>
      </c>
      <c r="U191" s="214">
        <v>42.762383728914607</v>
      </c>
      <c r="V191" s="214">
        <v>42.033729450479171</v>
      </c>
      <c r="W191" s="214">
        <v>41.305075172043729</v>
      </c>
      <c r="X191" s="214">
        <v>40.57642089360828</v>
      </c>
      <c r="Y191" s="214">
        <v>39.847766615172837</v>
      </c>
      <c r="Z191" s="214">
        <v>39.119112336737388</v>
      </c>
      <c r="AA191" s="214">
        <v>38.390458058301917</v>
      </c>
      <c r="AB191" s="214">
        <v>37.757903684488213</v>
      </c>
      <c r="AC191" s="214">
        <v>37.12534931067448</v>
      </c>
      <c r="AD191" s="214">
        <v>36.492794936860747</v>
      </c>
      <c r="AE191" s="214">
        <v>35.860240563047029</v>
      </c>
      <c r="AF191" s="214">
        <v>35.227686189233303</v>
      </c>
      <c r="AG191" s="214">
        <v>34.595131815419577</v>
      </c>
      <c r="AH191" s="214">
        <v>33.962577441605838</v>
      </c>
      <c r="AI191" s="214">
        <v>33.330023067792133</v>
      </c>
      <c r="AJ191" s="214">
        <v>32.697468693978387</v>
      </c>
      <c r="AK191" s="214">
        <v>32.064914320164668</v>
      </c>
      <c r="AL191" s="214">
        <v>31.432359946350939</v>
      </c>
      <c r="AM191" s="214">
        <v>30.79980557253722</v>
      </c>
      <c r="AN191" s="214">
        <v>30.167251198723491</v>
      </c>
      <c r="AO191" s="214">
        <v>29.534696824909759</v>
      </c>
      <c r="AP191" s="214">
        <v>28.902142451096029</v>
      </c>
      <c r="AQ191" s="131"/>
      <c r="AR191" s="131"/>
      <c r="AS191" s="131"/>
      <c r="AT191" s="131"/>
      <c r="AU191" s="131"/>
      <c r="AV191" s="131"/>
      <c r="AW191" s="131"/>
      <c r="AZ191" s="131"/>
      <c r="BA191" s="131"/>
      <c r="BB191" s="131"/>
      <c r="BC191" s="131"/>
      <c r="BD191" s="131"/>
      <c r="BE191" s="199"/>
      <c r="BF191" s="199"/>
      <c r="BG191" s="199"/>
      <c r="BH191" s="131"/>
      <c r="BI191" s="131"/>
      <c r="BJ191" s="131"/>
      <c r="BK191" s="131"/>
      <c r="BL191" s="131"/>
      <c r="BM191" s="131"/>
      <c r="BN191" s="131"/>
      <c r="BO191" s="131"/>
      <c r="BP191" s="131"/>
      <c r="BQ191" s="131"/>
      <c r="BR191" s="131"/>
      <c r="BS191" s="131"/>
      <c r="BT191" s="131"/>
      <c r="BU191" s="131"/>
      <c r="BV191" s="131"/>
      <c r="BW191" s="131"/>
      <c r="BX191" s="131"/>
      <c r="BY191" s="131"/>
      <c r="BZ191" s="131"/>
      <c r="CA191" s="131"/>
      <c r="CB191" s="131"/>
      <c r="CC191" s="131"/>
      <c r="CD191" s="131"/>
      <c r="CE191" s="131"/>
      <c r="CF191" s="131"/>
      <c r="CG191" s="131"/>
      <c r="CH191" s="131"/>
      <c r="CI191" s="131"/>
      <c r="CJ191" s="131"/>
      <c r="CK191" s="131"/>
    </row>
    <row r="192" spans="1:89" ht="13.5" customHeight="1" thickTop="1" thickBot="1" x14ac:dyDescent="0.25">
      <c r="G192" s="138"/>
      <c r="H192" s="380"/>
      <c r="J192" s="358"/>
      <c r="K192" s="194" t="s">
        <v>244</v>
      </c>
      <c r="L192" s="194" t="s">
        <v>276</v>
      </c>
      <c r="M192" s="215">
        <v>44.991185857284947</v>
      </c>
      <c r="N192" s="215">
        <v>47.862963677962711</v>
      </c>
      <c r="O192" s="215">
        <v>45.876950417601961</v>
      </c>
      <c r="P192" s="215">
        <v>43.890937157241211</v>
      </c>
      <c r="Q192" s="215">
        <v>41.904923896880462</v>
      </c>
      <c r="R192" s="215">
        <v>39.918910636519712</v>
      </c>
      <c r="S192" s="215">
        <v>37.932897376158962</v>
      </c>
      <c r="T192" s="215">
        <v>35.94688411579822</v>
      </c>
      <c r="U192" s="215">
        <v>33.96087085543747</v>
      </c>
      <c r="V192" s="215">
        <v>31.97485759507672</v>
      </c>
      <c r="W192" s="215">
        <v>29.988844334715971</v>
      </c>
      <c r="X192" s="215">
        <v>28.002831074355221</v>
      </c>
      <c r="Y192" s="215">
        <v>26.016817813994479</v>
      </c>
      <c r="Z192" s="215">
        <v>24.030804553633729</v>
      </c>
      <c r="AA192" s="215">
        <v>22.044791293272969</v>
      </c>
      <c r="AB192" s="215">
        <v>21.78583574903956</v>
      </c>
      <c r="AC192" s="215">
        <v>21.52688020480614</v>
      </c>
      <c r="AD192" s="215">
        <v>21.267924660572739</v>
      </c>
      <c r="AE192" s="215">
        <v>21.00896911633933</v>
      </c>
      <c r="AF192" s="215">
        <v>20.75001357210591</v>
      </c>
      <c r="AG192" s="215">
        <v>20.491058027872501</v>
      </c>
      <c r="AH192" s="215">
        <v>20.2321024836391</v>
      </c>
      <c r="AI192" s="215">
        <v>19.97314693940568</v>
      </c>
      <c r="AJ192" s="215">
        <v>19.714191395172271</v>
      </c>
      <c r="AK192" s="215">
        <v>19.455235850938859</v>
      </c>
      <c r="AL192" s="215">
        <v>19.19628030670545</v>
      </c>
      <c r="AM192" s="215">
        <v>18.937324762472041</v>
      </c>
      <c r="AN192" s="215">
        <v>18.678369218238629</v>
      </c>
      <c r="AO192" s="215">
        <v>18.41941367400522</v>
      </c>
      <c r="AP192" s="215">
        <v>18.16045812977179</v>
      </c>
      <c r="AT192" s="199"/>
      <c r="AU192" s="199"/>
      <c r="AV192" s="199"/>
      <c r="AW192" s="199"/>
      <c r="AZ192" s="199"/>
    </row>
    <row r="193" spans="1:89" s="199" customFormat="1" ht="14.25" customHeight="1" thickTop="1" thickBot="1" x14ac:dyDescent="0.25">
      <c r="A193" s="131"/>
      <c r="B193" s="131"/>
      <c r="C193" s="131"/>
      <c r="D193" s="131"/>
      <c r="E193" s="131"/>
      <c r="F193" s="131"/>
      <c r="G193" s="138"/>
      <c r="H193" s="401"/>
      <c r="I193" s="131"/>
      <c r="J193" s="358"/>
      <c r="K193" s="135" t="s">
        <v>244</v>
      </c>
      <c r="L193" s="185" t="s">
        <v>277</v>
      </c>
      <c r="M193" s="213">
        <v>44.991185857284947</v>
      </c>
      <c r="N193" s="213">
        <v>47.862963677962711</v>
      </c>
      <c r="O193" s="213">
        <v>46.404438968203728</v>
      </c>
      <c r="P193" s="213">
        <v>44.945914258444773</v>
      </c>
      <c r="Q193" s="213">
        <v>43.48738954868579</v>
      </c>
      <c r="R193" s="213">
        <v>42.028864838926808</v>
      </c>
      <c r="S193" s="213">
        <v>40.570340129167853</v>
      </c>
      <c r="T193" s="213">
        <v>39.11181541940887</v>
      </c>
      <c r="U193" s="213">
        <v>37.653290709649887</v>
      </c>
      <c r="V193" s="213">
        <v>36.194765999890919</v>
      </c>
      <c r="W193" s="213">
        <v>34.736241290131943</v>
      </c>
      <c r="X193" s="213">
        <v>33.277716580372967</v>
      </c>
      <c r="Y193" s="213">
        <v>31.819191870613999</v>
      </c>
      <c r="Z193" s="213">
        <v>30.360667160855019</v>
      </c>
      <c r="AA193" s="213">
        <v>28.902142451096029</v>
      </c>
      <c r="AB193" s="213">
        <v>28.444985707241148</v>
      </c>
      <c r="AC193" s="213">
        <v>27.987828963386281</v>
      </c>
      <c r="AD193" s="213">
        <v>27.530672219531411</v>
      </c>
      <c r="AE193" s="213">
        <v>27.07351547567654</v>
      </c>
      <c r="AF193" s="213">
        <v>26.61635873182167</v>
      </c>
      <c r="AG193" s="213">
        <v>26.159201987966799</v>
      </c>
      <c r="AH193" s="213">
        <v>25.702045244111929</v>
      </c>
      <c r="AI193" s="213">
        <v>25.244888500257058</v>
      </c>
      <c r="AJ193" s="213">
        <v>24.787731756402192</v>
      </c>
      <c r="AK193" s="213">
        <v>24.330575012547321</v>
      </c>
      <c r="AL193" s="213">
        <v>23.873418268692451</v>
      </c>
      <c r="AM193" s="213">
        <v>23.41626152483758</v>
      </c>
      <c r="AN193" s="213">
        <v>22.95910478098271</v>
      </c>
      <c r="AO193" s="213">
        <v>22.501948037127839</v>
      </c>
      <c r="AP193" s="213">
        <v>22.044791293272969</v>
      </c>
      <c r="AQ193" s="131"/>
      <c r="AR193" s="131"/>
      <c r="AS193" s="131"/>
      <c r="AT193" s="200"/>
      <c r="AU193" s="200"/>
      <c r="AV193" s="200"/>
      <c r="AW193" s="200"/>
      <c r="AZ193" s="200"/>
      <c r="BA193" s="131"/>
      <c r="BB193" s="131"/>
      <c r="BC193" s="131"/>
      <c r="BD193" s="131"/>
      <c r="BE193" s="131"/>
      <c r="BF193" s="131"/>
      <c r="BG193" s="131"/>
      <c r="BH193" s="131"/>
      <c r="BI193" s="131"/>
      <c r="BJ193" s="131"/>
      <c r="BK193" s="131"/>
      <c r="BL193" s="131"/>
      <c r="BM193" s="131"/>
      <c r="BN193" s="131"/>
      <c r="BO193" s="131"/>
      <c r="BP193" s="131"/>
      <c r="BQ193" s="131"/>
      <c r="BR193" s="131"/>
      <c r="BS193" s="131"/>
      <c r="BT193" s="131"/>
      <c r="BU193" s="131"/>
      <c r="BV193" s="131"/>
      <c r="BW193" s="131"/>
      <c r="BX193" s="131"/>
      <c r="BY193" s="131"/>
      <c r="BZ193" s="131"/>
      <c r="CA193" s="131"/>
      <c r="CB193" s="131"/>
      <c r="CC193" s="131"/>
      <c r="CD193" s="131"/>
      <c r="CE193" s="131"/>
      <c r="CF193" s="131"/>
      <c r="CG193" s="131"/>
      <c r="CH193" s="131"/>
      <c r="CI193" s="131"/>
      <c r="CJ193" s="131"/>
      <c r="CK193" s="131"/>
    </row>
    <row r="194" spans="1:89" s="200" customFormat="1" ht="14.25" customHeight="1" thickTop="1" thickBot="1" x14ac:dyDescent="0.25">
      <c r="A194" s="131"/>
      <c r="B194" s="131"/>
      <c r="C194" s="131"/>
      <c r="D194" s="131"/>
      <c r="E194" s="131"/>
      <c r="F194" s="131"/>
      <c r="G194" s="138"/>
      <c r="H194" s="402"/>
      <c r="I194" s="131"/>
      <c r="J194" s="358"/>
      <c r="K194" s="196" t="s">
        <v>244</v>
      </c>
      <c r="L194" s="196" t="s">
        <v>278</v>
      </c>
      <c r="M194" s="214">
        <v>44.991185857284947</v>
      </c>
      <c r="N194" s="214">
        <v>47.862963677962711</v>
      </c>
      <c r="O194" s="214">
        <v>47.134309399527268</v>
      </c>
      <c r="P194" s="214">
        <v>46.405655121091819</v>
      </c>
      <c r="Q194" s="214">
        <v>45.677000842656383</v>
      </c>
      <c r="R194" s="214">
        <v>44.948346564220941</v>
      </c>
      <c r="S194" s="214">
        <v>44.219692285785499</v>
      </c>
      <c r="T194" s="214">
        <v>43.491038007350063</v>
      </c>
      <c r="U194" s="214">
        <v>42.762383728914607</v>
      </c>
      <c r="V194" s="214">
        <v>42.033729450479171</v>
      </c>
      <c r="W194" s="214">
        <v>41.305075172043729</v>
      </c>
      <c r="X194" s="214">
        <v>40.57642089360828</v>
      </c>
      <c r="Y194" s="214">
        <v>39.847766615172837</v>
      </c>
      <c r="Z194" s="214">
        <v>39.119112336737388</v>
      </c>
      <c r="AA194" s="214">
        <v>38.390458058301917</v>
      </c>
      <c r="AB194" s="214">
        <v>37.757903684488213</v>
      </c>
      <c r="AC194" s="214">
        <v>37.12534931067448</v>
      </c>
      <c r="AD194" s="214">
        <v>36.492794936860747</v>
      </c>
      <c r="AE194" s="214">
        <v>35.860240563047029</v>
      </c>
      <c r="AF194" s="214">
        <v>35.227686189233303</v>
      </c>
      <c r="AG194" s="214">
        <v>34.595131815419577</v>
      </c>
      <c r="AH194" s="214">
        <v>33.962577441605838</v>
      </c>
      <c r="AI194" s="214">
        <v>33.330023067792133</v>
      </c>
      <c r="AJ194" s="214">
        <v>32.697468693978387</v>
      </c>
      <c r="AK194" s="214">
        <v>32.064914320164668</v>
      </c>
      <c r="AL194" s="214">
        <v>31.432359946350939</v>
      </c>
      <c r="AM194" s="214">
        <v>30.79980557253722</v>
      </c>
      <c r="AN194" s="214">
        <v>30.167251198723491</v>
      </c>
      <c r="AO194" s="214">
        <v>29.534696824909759</v>
      </c>
      <c r="AP194" s="214">
        <v>28.902142451096029</v>
      </c>
      <c r="AQ194" s="131"/>
      <c r="AR194" s="131"/>
      <c r="AS194" s="131"/>
      <c r="AT194" s="131"/>
      <c r="AU194" s="131"/>
      <c r="AV194" s="131"/>
      <c r="AW194" s="131"/>
      <c r="AZ194" s="131"/>
      <c r="BA194" s="131"/>
      <c r="BB194" s="131"/>
      <c r="BC194" s="131"/>
      <c r="BD194" s="131"/>
      <c r="BE194" s="199"/>
      <c r="BF194" s="199"/>
      <c r="BG194" s="199"/>
      <c r="BH194" s="131"/>
      <c r="BI194" s="131"/>
      <c r="BJ194" s="131"/>
      <c r="BK194" s="131"/>
      <c r="BL194" s="131"/>
      <c r="BM194" s="131"/>
      <c r="BN194" s="131"/>
      <c r="BO194" s="131"/>
      <c r="BP194" s="131"/>
      <c r="BQ194" s="131"/>
      <c r="BR194" s="131"/>
      <c r="BS194" s="131"/>
      <c r="BT194" s="131"/>
      <c r="BU194" s="131"/>
      <c r="BV194" s="131"/>
      <c r="BW194" s="131"/>
      <c r="BX194" s="131"/>
      <c r="BY194" s="131"/>
      <c r="BZ194" s="131"/>
      <c r="CA194" s="131"/>
      <c r="CB194" s="131"/>
      <c r="CC194" s="131"/>
      <c r="CD194" s="131"/>
      <c r="CE194" s="131"/>
      <c r="CF194" s="131"/>
      <c r="CG194" s="131"/>
      <c r="CH194" s="131"/>
      <c r="CI194" s="131"/>
      <c r="CJ194" s="131"/>
      <c r="CK194" s="131"/>
    </row>
    <row r="195" spans="1:89" ht="14.25" customHeight="1" thickTop="1" x14ac:dyDescent="0.2">
      <c r="G195" s="138"/>
      <c r="H195" s="380"/>
      <c r="J195" s="358"/>
      <c r="K195" s="194" t="s">
        <v>246</v>
      </c>
      <c r="L195" s="194" t="s">
        <v>276</v>
      </c>
      <c r="M195" s="212">
        <v>44.991185857284947</v>
      </c>
      <c r="N195" s="212">
        <v>47.862963677962711</v>
      </c>
      <c r="O195" s="212">
        <v>45.876950417601961</v>
      </c>
      <c r="P195" s="212">
        <v>43.890937157241211</v>
      </c>
      <c r="Q195" s="212">
        <v>41.904923896880462</v>
      </c>
      <c r="R195" s="212">
        <v>39.918910636519712</v>
      </c>
      <c r="S195" s="212">
        <v>37.932897376158962</v>
      </c>
      <c r="T195" s="212">
        <v>35.94688411579822</v>
      </c>
      <c r="U195" s="212">
        <v>33.96087085543747</v>
      </c>
      <c r="V195" s="212">
        <v>31.97485759507672</v>
      </c>
      <c r="W195" s="212">
        <v>29.988844334715971</v>
      </c>
      <c r="X195" s="212">
        <v>28.002831074355221</v>
      </c>
      <c r="Y195" s="212">
        <v>26.016817813994479</v>
      </c>
      <c r="Z195" s="212">
        <v>24.030804553633729</v>
      </c>
      <c r="AA195" s="212">
        <v>22.044791293272969</v>
      </c>
      <c r="AB195" s="212">
        <v>21.78583574903956</v>
      </c>
      <c r="AC195" s="212">
        <v>21.52688020480614</v>
      </c>
      <c r="AD195" s="212">
        <v>21.267924660572739</v>
      </c>
      <c r="AE195" s="212">
        <v>21.00896911633933</v>
      </c>
      <c r="AF195" s="212">
        <v>20.75001357210591</v>
      </c>
      <c r="AG195" s="212">
        <v>20.491058027872501</v>
      </c>
      <c r="AH195" s="212">
        <v>20.2321024836391</v>
      </c>
      <c r="AI195" s="212">
        <v>19.97314693940568</v>
      </c>
      <c r="AJ195" s="212">
        <v>19.714191395172271</v>
      </c>
      <c r="AK195" s="212">
        <v>19.455235850938859</v>
      </c>
      <c r="AL195" s="212">
        <v>19.19628030670545</v>
      </c>
      <c r="AM195" s="212">
        <v>18.937324762472041</v>
      </c>
      <c r="AN195" s="212">
        <v>18.678369218238629</v>
      </c>
      <c r="AO195" s="212">
        <v>18.41941367400522</v>
      </c>
      <c r="AP195" s="212">
        <v>18.16045812977179</v>
      </c>
    </row>
    <row r="196" spans="1:89" ht="14.25" customHeight="1" x14ac:dyDescent="0.2">
      <c r="G196" s="138"/>
      <c r="H196" s="380"/>
      <c r="J196" s="358"/>
      <c r="K196" s="135" t="s">
        <v>246</v>
      </c>
      <c r="L196" s="185" t="s">
        <v>277</v>
      </c>
      <c r="M196" s="213">
        <v>44.991185857284947</v>
      </c>
      <c r="N196" s="213">
        <v>47.862963677962711</v>
      </c>
      <c r="O196" s="213">
        <v>46.404438968203728</v>
      </c>
      <c r="P196" s="213">
        <v>44.945914258444773</v>
      </c>
      <c r="Q196" s="213">
        <v>43.48738954868579</v>
      </c>
      <c r="R196" s="213">
        <v>42.028864838926808</v>
      </c>
      <c r="S196" s="213">
        <v>40.570340129167853</v>
      </c>
      <c r="T196" s="213">
        <v>39.11181541940887</v>
      </c>
      <c r="U196" s="213">
        <v>37.653290709649887</v>
      </c>
      <c r="V196" s="213">
        <v>36.194765999890919</v>
      </c>
      <c r="W196" s="213">
        <v>34.736241290131943</v>
      </c>
      <c r="X196" s="213">
        <v>33.277716580372967</v>
      </c>
      <c r="Y196" s="213">
        <v>31.819191870613999</v>
      </c>
      <c r="Z196" s="213">
        <v>30.360667160855019</v>
      </c>
      <c r="AA196" s="213">
        <v>28.902142451096029</v>
      </c>
      <c r="AB196" s="213">
        <v>28.444985707241148</v>
      </c>
      <c r="AC196" s="213">
        <v>27.987828963386281</v>
      </c>
      <c r="AD196" s="213">
        <v>27.530672219531411</v>
      </c>
      <c r="AE196" s="213">
        <v>27.07351547567654</v>
      </c>
      <c r="AF196" s="213">
        <v>26.61635873182167</v>
      </c>
      <c r="AG196" s="213">
        <v>26.159201987966799</v>
      </c>
      <c r="AH196" s="213">
        <v>25.702045244111929</v>
      </c>
      <c r="AI196" s="213">
        <v>25.244888500257058</v>
      </c>
      <c r="AJ196" s="213">
        <v>24.787731756402192</v>
      </c>
      <c r="AK196" s="213">
        <v>24.330575012547321</v>
      </c>
      <c r="AL196" s="213">
        <v>23.873418268692451</v>
      </c>
      <c r="AM196" s="213">
        <v>23.41626152483758</v>
      </c>
      <c r="AN196" s="213">
        <v>22.95910478098271</v>
      </c>
      <c r="AO196" s="213">
        <v>22.501948037127839</v>
      </c>
      <c r="AP196" s="213">
        <v>22.044791293272969</v>
      </c>
    </row>
    <row r="197" spans="1:89" ht="14.25" customHeight="1" thickBot="1" x14ac:dyDescent="0.25">
      <c r="G197" s="138"/>
      <c r="H197" s="380"/>
      <c r="J197" s="358"/>
      <c r="K197" s="196" t="s">
        <v>246</v>
      </c>
      <c r="L197" s="196" t="s">
        <v>278</v>
      </c>
      <c r="M197" s="214">
        <v>44.991185857284947</v>
      </c>
      <c r="N197" s="214">
        <v>47.862963677962711</v>
      </c>
      <c r="O197" s="214">
        <v>47.134309399527268</v>
      </c>
      <c r="P197" s="214">
        <v>46.405655121091819</v>
      </c>
      <c r="Q197" s="214">
        <v>45.677000842656383</v>
      </c>
      <c r="R197" s="214">
        <v>44.948346564220941</v>
      </c>
      <c r="S197" s="214">
        <v>44.219692285785499</v>
      </c>
      <c r="T197" s="214">
        <v>43.491038007350063</v>
      </c>
      <c r="U197" s="214">
        <v>42.762383728914607</v>
      </c>
      <c r="V197" s="214">
        <v>42.033729450479171</v>
      </c>
      <c r="W197" s="214">
        <v>41.305075172043729</v>
      </c>
      <c r="X197" s="214">
        <v>40.57642089360828</v>
      </c>
      <c r="Y197" s="214">
        <v>39.847766615172837</v>
      </c>
      <c r="Z197" s="214">
        <v>39.119112336737388</v>
      </c>
      <c r="AA197" s="214">
        <v>38.390458058301917</v>
      </c>
      <c r="AB197" s="214">
        <v>37.757903684488213</v>
      </c>
      <c r="AC197" s="214">
        <v>37.12534931067448</v>
      </c>
      <c r="AD197" s="214">
        <v>36.492794936860747</v>
      </c>
      <c r="AE197" s="214">
        <v>35.860240563047029</v>
      </c>
      <c r="AF197" s="214">
        <v>35.227686189233303</v>
      </c>
      <c r="AG197" s="214">
        <v>34.595131815419577</v>
      </c>
      <c r="AH197" s="214">
        <v>33.962577441605838</v>
      </c>
      <c r="AI197" s="214">
        <v>33.330023067792133</v>
      </c>
      <c r="AJ197" s="214">
        <v>32.697468693978387</v>
      </c>
      <c r="AK197" s="214">
        <v>32.064914320164668</v>
      </c>
      <c r="AL197" s="214">
        <v>31.432359946350939</v>
      </c>
      <c r="AM197" s="214">
        <v>30.79980557253722</v>
      </c>
      <c r="AN197" s="214">
        <v>30.167251198723491</v>
      </c>
      <c r="AO197" s="214">
        <v>29.534696824909759</v>
      </c>
      <c r="AP197" s="214">
        <v>28.902142451096029</v>
      </c>
    </row>
    <row r="198" spans="1:89" ht="14.25" customHeight="1" thickTop="1" x14ac:dyDescent="0.2">
      <c r="G198" s="138"/>
      <c r="H198" s="380"/>
      <c r="J198" s="358"/>
      <c r="K198" s="194" t="s">
        <v>248</v>
      </c>
      <c r="L198" s="194" t="s">
        <v>276</v>
      </c>
      <c r="M198" s="215">
        <v>44.991185857284947</v>
      </c>
      <c r="N198" s="215">
        <v>47.862963677962711</v>
      </c>
      <c r="O198" s="215">
        <v>45.876950417601961</v>
      </c>
      <c r="P198" s="215">
        <v>43.890937157241211</v>
      </c>
      <c r="Q198" s="215">
        <v>41.904923896880462</v>
      </c>
      <c r="R198" s="215">
        <v>39.918910636519712</v>
      </c>
      <c r="S198" s="215">
        <v>37.932897376158962</v>
      </c>
      <c r="T198" s="215">
        <v>35.94688411579822</v>
      </c>
      <c r="U198" s="215">
        <v>33.96087085543747</v>
      </c>
      <c r="V198" s="215">
        <v>31.97485759507672</v>
      </c>
      <c r="W198" s="215">
        <v>29.988844334715971</v>
      </c>
      <c r="X198" s="215">
        <v>28.002831074355221</v>
      </c>
      <c r="Y198" s="215">
        <v>26.016817813994479</v>
      </c>
      <c r="Z198" s="215">
        <v>24.030804553633729</v>
      </c>
      <c r="AA198" s="215">
        <v>22.044791293272969</v>
      </c>
      <c r="AB198" s="215">
        <v>21.78583574903956</v>
      </c>
      <c r="AC198" s="215">
        <v>21.52688020480614</v>
      </c>
      <c r="AD198" s="215">
        <v>21.267924660572739</v>
      </c>
      <c r="AE198" s="215">
        <v>21.00896911633933</v>
      </c>
      <c r="AF198" s="215">
        <v>20.75001357210591</v>
      </c>
      <c r="AG198" s="215">
        <v>20.491058027872501</v>
      </c>
      <c r="AH198" s="215">
        <v>20.2321024836391</v>
      </c>
      <c r="AI198" s="215">
        <v>19.97314693940568</v>
      </c>
      <c r="AJ198" s="215">
        <v>19.714191395172271</v>
      </c>
      <c r="AK198" s="215">
        <v>19.455235850938859</v>
      </c>
      <c r="AL198" s="215">
        <v>19.19628030670545</v>
      </c>
      <c r="AM198" s="215">
        <v>18.937324762472041</v>
      </c>
      <c r="AN198" s="215">
        <v>18.678369218238629</v>
      </c>
      <c r="AO198" s="215">
        <v>18.41941367400522</v>
      </c>
      <c r="AP198" s="215">
        <v>18.16045812977179</v>
      </c>
      <c r="BA198" s="200"/>
      <c r="BB198" s="200"/>
      <c r="BC198" s="200"/>
      <c r="BD198" s="200"/>
      <c r="BH198" s="200"/>
      <c r="BI198" s="200"/>
      <c r="BJ198" s="200"/>
      <c r="BK198" s="200"/>
      <c r="BL198" s="200"/>
      <c r="BM198" s="200"/>
      <c r="BN198" s="200"/>
      <c r="BO198" s="200"/>
      <c r="BP198" s="200"/>
      <c r="BQ198" s="200"/>
      <c r="BR198" s="200"/>
      <c r="BS198" s="200"/>
      <c r="BT198" s="200"/>
      <c r="BU198" s="200"/>
      <c r="BV198" s="200"/>
      <c r="BW198" s="200"/>
    </row>
    <row r="199" spans="1:89" ht="14.25" customHeight="1" x14ac:dyDescent="0.2">
      <c r="G199" s="138"/>
      <c r="H199" s="380"/>
      <c r="J199" s="358"/>
      <c r="K199" s="135" t="s">
        <v>248</v>
      </c>
      <c r="L199" s="185" t="s">
        <v>277</v>
      </c>
      <c r="M199" s="213">
        <v>44.991185857284947</v>
      </c>
      <c r="N199" s="213">
        <v>47.862963677962711</v>
      </c>
      <c r="O199" s="213">
        <v>46.404438968203728</v>
      </c>
      <c r="P199" s="213">
        <v>44.945914258444773</v>
      </c>
      <c r="Q199" s="213">
        <v>43.48738954868579</v>
      </c>
      <c r="R199" s="213">
        <v>42.028864838926808</v>
      </c>
      <c r="S199" s="213">
        <v>40.570340129167853</v>
      </c>
      <c r="T199" s="213">
        <v>39.11181541940887</v>
      </c>
      <c r="U199" s="213">
        <v>37.653290709649887</v>
      </c>
      <c r="V199" s="213">
        <v>36.194765999890919</v>
      </c>
      <c r="W199" s="213">
        <v>34.736241290131943</v>
      </c>
      <c r="X199" s="213">
        <v>33.277716580372967</v>
      </c>
      <c r="Y199" s="213">
        <v>31.819191870613999</v>
      </c>
      <c r="Z199" s="213">
        <v>30.360667160855019</v>
      </c>
      <c r="AA199" s="213">
        <v>28.902142451096029</v>
      </c>
      <c r="AB199" s="213">
        <v>28.444985707241148</v>
      </c>
      <c r="AC199" s="213">
        <v>27.987828963386281</v>
      </c>
      <c r="AD199" s="213">
        <v>27.530672219531411</v>
      </c>
      <c r="AE199" s="213">
        <v>27.07351547567654</v>
      </c>
      <c r="AF199" s="213">
        <v>26.61635873182167</v>
      </c>
      <c r="AG199" s="213">
        <v>26.159201987966799</v>
      </c>
      <c r="AH199" s="213">
        <v>25.702045244111929</v>
      </c>
      <c r="AI199" s="213">
        <v>25.244888500257058</v>
      </c>
      <c r="AJ199" s="213">
        <v>24.787731756402192</v>
      </c>
      <c r="AK199" s="213">
        <v>24.330575012547321</v>
      </c>
      <c r="AL199" s="213">
        <v>23.873418268692451</v>
      </c>
      <c r="AM199" s="213">
        <v>23.41626152483758</v>
      </c>
      <c r="AN199" s="213">
        <v>22.95910478098271</v>
      </c>
      <c r="AO199" s="213">
        <v>22.501948037127839</v>
      </c>
      <c r="AP199" s="213">
        <v>22.044791293272969</v>
      </c>
    </row>
    <row r="200" spans="1:89" ht="14.25" customHeight="1" thickBot="1" x14ac:dyDescent="0.25">
      <c r="G200" s="138"/>
      <c r="H200" s="380"/>
      <c r="J200" s="358"/>
      <c r="K200" s="196" t="s">
        <v>248</v>
      </c>
      <c r="L200" s="196" t="s">
        <v>278</v>
      </c>
      <c r="M200" s="214">
        <v>44.991185857284947</v>
      </c>
      <c r="N200" s="214">
        <v>47.862963677962711</v>
      </c>
      <c r="O200" s="214">
        <v>47.134309399527268</v>
      </c>
      <c r="P200" s="214">
        <v>46.405655121091819</v>
      </c>
      <c r="Q200" s="214">
        <v>45.677000842656383</v>
      </c>
      <c r="R200" s="214">
        <v>44.948346564220941</v>
      </c>
      <c r="S200" s="214">
        <v>44.219692285785499</v>
      </c>
      <c r="T200" s="214">
        <v>43.491038007350063</v>
      </c>
      <c r="U200" s="214">
        <v>42.762383728914607</v>
      </c>
      <c r="V200" s="214">
        <v>42.033729450479171</v>
      </c>
      <c r="W200" s="214">
        <v>41.305075172043729</v>
      </c>
      <c r="X200" s="214">
        <v>40.57642089360828</v>
      </c>
      <c r="Y200" s="214">
        <v>39.847766615172837</v>
      </c>
      <c r="Z200" s="214">
        <v>39.119112336737388</v>
      </c>
      <c r="AA200" s="214">
        <v>38.390458058301917</v>
      </c>
      <c r="AB200" s="214">
        <v>37.757903684488213</v>
      </c>
      <c r="AC200" s="214">
        <v>37.12534931067448</v>
      </c>
      <c r="AD200" s="214">
        <v>36.492794936860747</v>
      </c>
      <c r="AE200" s="214">
        <v>35.860240563047029</v>
      </c>
      <c r="AF200" s="214">
        <v>35.227686189233303</v>
      </c>
      <c r="AG200" s="214">
        <v>34.595131815419577</v>
      </c>
      <c r="AH200" s="214">
        <v>33.962577441605838</v>
      </c>
      <c r="AI200" s="214">
        <v>33.330023067792133</v>
      </c>
      <c r="AJ200" s="214">
        <v>32.697468693978387</v>
      </c>
      <c r="AK200" s="214">
        <v>32.064914320164668</v>
      </c>
      <c r="AL200" s="214">
        <v>31.432359946350939</v>
      </c>
      <c r="AM200" s="214">
        <v>30.79980557253722</v>
      </c>
      <c r="AN200" s="214">
        <v>30.167251198723491</v>
      </c>
      <c r="AO200" s="214">
        <v>29.534696824909759</v>
      </c>
      <c r="AP200" s="214">
        <v>28.902142451096029</v>
      </c>
    </row>
    <row r="201" spans="1:89" ht="14.25" customHeight="1" thickTop="1" thickBot="1" x14ac:dyDescent="0.25">
      <c r="G201" s="138"/>
      <c r="H201" s="380"/>
      <c r="J201" s="358"/>
      <c r="K201" s="194" t="s">
        <v>250</v>
      </c>
      <c r="L201" s="194" t="s">
        <v>276</v>
      </c>
      <c r="M201" s="212">
        <v>44.991185857284947</v>
      </c>
      <c r="N201" s="212">
        <v>47.862963677962711</v>
      </c>
      <c r="O201" s="212">
        <v>45.876950417601961</v>
      </c>
      <c r="P201" s="212">
        <v>43.890937157241211</v>
      </c>
      <c r="Q201" s="212">
        <v>41.904923896880462</v>
      </c>
      <c r="R201" s="212">
        <v>39.918910636519712</v>
      </c>
      <c r="S201" s="212">
        <v>37.932897376158962</v>
      </c>
      <c r="T201" s="212">
        <v>35.94688411579822</v>
      </c>
      <c r="U201" s="212">
        <v>33.96087085543747</v>
      </c>
      <c r="V201" s="212">
        <v>31.97485759507672</v>
      </c>
      <c r="W201" s="212">
        <v>29.988844334715971</v>
      </c>
      <c r="X201" s="212">
        <v>28.002831074355221</v>
      </c>
      <c r="Y201" s="212">
        <v>26.016817813994479</v>
      </c>
      <c r="Z201" s="212">
        <v>24.030804553633729</v>
      </c>
      <c r="AA201" s="212">
        <v>22.044791293272969</v>
      </c>
      <c r="AB201" s="212">
        <v>21.78583574903956</v>
      </c>
      <c r="AC201" s="212">
        <v>21.52688020480614</v>
      </c>
      <c r="AD201" s="212">
        <v>21.267924660572739</v>
      </c>
      <c r="AE201" s="212">
        <v>21.00896911633933</v>
      </c>
      <c r="AF201" s="212">
        <v>20.75001357210591</v>
      </c>
      <c r="AG201" s="212">
        <v>20.491058027872501</v>
      </c>
      <c r="AH201" s="212">
        <v>20.2321024836391</v>
      </c>
      <c r="AI201" s="212">
        <v>19.97314693940568</v>
      </c>
      <c r="AJ201" s="212">
        <v>19.714191395172271</v>
      </c>
      <c r="AK201" s="212">
        <v>19.455235850938859</v>
      </c>
      <c r="AL201" s="212">
        <v>19.19628030670545</v>
      </c>
      <c r="AM201" s="212">
        <v>18.937324762472041</v>
      </c>
      <c r="AN201" s="212">
        <v>18.678369218238629</v>
      </c>
      <c r="AO201" s="212">
        <v>18.41941367400522</v>
      </c>
      <c r="AP201" s="212">
        <v>18.16045812977179</v>
      </c>
      <c r="BX201" s="199"/>
      <c r="BY201" s="199"/>
      <c r="BZ201" s="199"/>
      <c r="CA201" s="199"/>
      <c r="CB201" s="199"/>
      <c r="CC201" s="199"/>
      <c r="CD201" s="199"/>
      <c r="CE201" s="199"/>
      <c r="CF201" s="199"/>
      <c r="CG201" s="199"/>
      <c r="CH201" s="199"/>
      <c r="CI201" s="199"/>
      <c r="CJ201" s="199"/>
      <c r="CK201" s="199"/>
    </row>
    <row r="202" spans="1:89" ht="14.25" customHeight="1" thickTop="1" x14ac:dyDescent="0.2">
      <c r="G202" s="138"/>
      <c r="H202" s="380"/>
      <c r="J202" s="358"/>
      <c r="K202" s="135" t="s">
        <v>250</v>
      </c>
      <c r="L202" s="185" t="s">
        <v>277</v>
      </c>
      <c r="M202" s="213">
        <v>44.991185857284947</v>
      </c>
      <c r="N202" s="213">
        <v>47.862963677962711</v>
      </c>
      <c r="O202" s="213">
        <v>46.404438968203728</v>
      </c>
      <c r="P202" s="213">
        <v>44.945914258444773</v>
      </c>
      <c r="Q202" s="213">
        <v>43.48738954868579</v>
      </c>
      <c r="R202" s="213">
        <v>42.028864838926808</v>
      </c>
      <c r="S202" s="213">
        <v>40.570340129167853</v>
      </c>
      <c r="T202" s="213">
        <v>39.11181541940887</v>
      </c>
      <c r="U202" s="213">
        <v>37.653290709649887</v>
      </c>
      <c r="V202" s="213">
        <v>36.194765999890919</v>
      </c>
      <c r="W202" s="213">
        <v>34.736241290131943</v>
      </c>
      <c r="X202" s="213">
        <v>33.277716580372967</v>
      </c>
      <c r="Y202" s="213">
        <v>31.819191870613999</v>
      </c>
      <c r="Z202" s="213">
        <v>30.360667160855019</v>
      </c>
      <c r="AA202" s="213">
        <v>28.902142451096029</v>
      </c>
      <c r="AB202" s="213">
        <v>28.444985707241148</v>
      </c>
      <c r="AC202" s="213">
        <v>27.987828963386281</v>
      </c>
      <c r="AD202" s="213">
        <v>27.530672219531411</v>
      </c>
      <c r="AE202" s="213">
        <v>27.07351547567654</v>
      </c>
      <c r="AF202" s="213">
        <v>26.61635873182167</v>
      </c>
      <c r="AG202" s="213">
        <v>26.159201987966799</v>
      </c>
      <c r="AH202" s="213">
        <v>25.702045244111929</v>
      </c>
      <c r="AI202" s="213">
        <v>25.244888500257058</v>
      </c>
      <c r="AJ202" s="213">
        <v>24.787731756402192</v>
      </c>
      <c r="AK202" s="213">
        <v>24.330575012547321</v>
      </c>
      <c r="AL202" s="213">
        <v>23.873418268692451</v>
      </c>
      <c r="AM202" s="213">
        <v>23.41626152483758</v>
      </c>
      <c r="AN202" s="213">
        <v>22.95910478098271</v>
      </c>
      <c r="AO202" s="213">
        <v>22.501948037127839</v>
      </c>
      <c r="AP202" s="213">
        <v>22.044791293272969</v>
      </c>
      <c r="BX202" s="200"/>
      <c r="BY202" s="200"/>
      <c r="BZ202" s="200"/>
      <c r="CA202" s="200"/>
      <c r="CB202" s="200"/>
      <c r="CC202" s="200"/>
      <c r="CD202" s="200"/>
      <c r="CE202" s="200"/>
      <c r="CF202" s="200"/>
      <c r="CG202" s="200"/>
      <c r="CH202" s="200"/>
      <c r="CI202" s="200"/>
      <c r="CJ202" s="200"/>
      <c r="CK202" s="200"/>
    </row>
    <row r="203" spans="1:89" ht="14.25" customHeight="1" thickBot="1" x14ac:dyDescent="0.25">
      <c r="G203" s="138"/>
      <c r="H203" s="380"/>
      <c r="J203" s="358"/>
      <c r="K203" s="196" t="s">
        <v>250</v>
      </c>
      <c r="L203" s="196" t="s">
        <v>278</v>
      </c>
      <c r="M203" s="214">
        <v>44.991185857284947</v>
      </c>
      <c r="N203" s="214">
        <v>47.862963677962711</v>
      </c>
      <c r="O203" s="214">
        <v>47.134309399527268</v>
      </c>
      <c r="P203" s="214">
        <v>46.405655121091819</v>
      </c>
      <c r="Q203" s="214">
        <v>45.677000842656383</v>
      </c>
      <c r="R203" s="214">
        <v>44.948346564220941</v>
      </c>
      <c r="S203" s="214">
        <v>44.219692285785499</v>
      </c>
      <c r="T203" s="214">
        <v>43.491038007350063</v>
      </c>
      <c r="U203" s="214">
        <v>42.762383728914607</v>
      </c>
      <c r="V203" s="214">
        <v>42.033729450479171</v>
      </c>
      <c r="W203" s="214">
        <v>41.305075172043729</v>
      </c>
      <c r="X203" s="214">
        <v>40.57642089360828</v>
      </c>
      <c r="Y203" s="214">
        <v>39.847766615172837</v>
      </c>
      <c r="Z203" s="214">
        <v>39.119112336737388</v>
      </c>
      <c r="AA203" s="214">
        <v>38.390458058301917</v>
      </c>
      <c r="AB203" s="214">
        <v>37.757903684488213</v>
      </c>
      <c r="AC203" s="214">
        <v>37.12534931067448</v>
      </c>
      <c r="AD203" s="214">
        <v>36.492794936860747</v>
      </c>
      <c r="AE203" s="214">
        <v>35.860240563047029</v>
      </c>
      <c r="AF203" s="214">
        <v>35.227686189233303</v>
      </c>
      <c r="AG203" s="214">
        <v>34.595131815419577</v>
      </c>
      <c r="AH203" s="214">
        <v>33.962577441605838</v>
      </c>
      <c r="AI203" s="214">
        <v>33.330023067792133</v>
      </c>
      <c r="AJ203" s="214">
        <v>32.697468693978387</v>
      </c>
      <c r="AK203" s="214">
        <v>32.064914320164668</v>
      </c>
      <c r="AL203" s="214">
        <v>31.432359946350939</v>
      </c>
      <c r="AM203" s="214">
        <v>30.79980557253722</v>
      </c>
      <c r="AN203" s="214">
        <v>30.167251198723491</v>
      </c>
      <c r="AO203" s="214">
        <v>29.534696824909759</v>
      </c>
      <c r="AP203" s="214">
        <v>28.902142451096029</v>
      </c>
    </row>
    <row r="204" spans="1:89" ht="13.5" customHeight="1" thickTop="1" thickBot="1" x14ac:dyDescent="0.25">
      <c r="G204" s="138"/>
      <c r="H204" s="380"/>
      <c r="J204" s="358"/>
      <c r="K204" s="194" t="s">
        <v>252</v>
      </c>
      <c r="L204" s="194" t="s">
        <v>276</v>
      </c>
      <c r="M204" s="215">
        <v>44.991185857284947</v>
      </c>
      <c r="N204" s="215">
        <v>47.862963677962711</v>
      </c>
      <c r="O204" s="215">
        <v>45.876950417601961</v>
      </c>
      <c r="P204" s="215">
        <v>43.890937157241211</v>
      </c>
      <c r="Q204" s="215">
        <v>41.904923896880462</v>
      </c>
      <c r="R204" s="215">
        <v>39.918910636519712</v>
      </c>
      <c r="S204" s="215">
        <v>37.932897376158962</v>
      </c>
      <c r="T204" s="215">
        <v>35.94688411579822</v>
      </c>
      <c r="U204" s="215">
        <v>33.96087085543747</v>
      </c>
      <c r="V204" s="215">
        <v>31.97485759507672</v>
      </c>
      <c r="W204" s="215">
        <v>29.988844334715971</v>
      </c>
      <c r="X204" s="215">
        <v>28.002831074355221</v>
      </c>
      <c r="Y204" s="215">
        <v>26.016817813994479</v>
      </c>
      <c r="Z204" s="215">
        <v>24.030804553633729</v>
      </c>
      <c r="AA204" s="215">
        <v>22.044791293272969</v>
      </c>
      <c r="AB204" s="215">
        <v>21.78583574903956</v>
      </c>
      <c r="AC204" s="215">
        <v>21.52688020480614</v>
      </c>
      <c r="AD204" s="215">
        <v>21.267924660572739</v>
      </c>
      <c r="AE204" s="215">
        <v>21.00896911633933</v>
      </c>
      <c r="AF204" s="215">
        <v>20.75001357210591</v>
      </c>
      <c r="AG204" s="215">
        <v>20.491058027872501</v>
      </c>
      <c r="AH204" s="215">
        <v>20.2321024836391</v>
      </c>
      <c r="AI204" s="215">
        <v>19.97314693940568</v>
      </c>
      <c r="AJ204" s="215">
        <v>19.714191395172271</v>
      </c>
      <c r="AK204" s="215">
        <v>19.455235850938859</v>
      </c>
      <c r="AL204" s="215">
        <v>19.19628030670545</v>
      </c>
      <c r="AM204" s="215">
        <v>18.937324762472041</v>
      </c>
      <c r="AN204" s="215">
        <v>18.678369218238629</v>
      </c>
      <c r="AO204" s="215">
        <v>18.41941367400522</v>
      </c>
      <c r="AP204" s="215">
        <v>18.16045812977179</v>
      </c>
      <c r="AT204" s="199"/>
      <c r="AU204" s="199"/>
      <c r="AV204" s="199"/>
      <c r="AW204" s="199"/>
      <c r="AZ204" s="199"/>
    </row>
    <row r="205" spans="1:89" s="199" customFormat="1" ht="14.25" customHeight="1" thickTop="1" thickBot="1" x14ac:dyDescent="0.25">
      <c r="A205" s="131"/>
      <c r="B205" s="131"/>
      <c r="C205" s="131"/>
      <c r="D205" s="131"/>
      <c r="E205" s="131"/>
      <c r="F205" s="131"/>
      <c r="G205" s="138"/>
      <c r="H205" s="401"/>
      <c r="I205" s="131"/>
      <c r="J205" s="358"/>
      <c r="K205" s="135" t="s">
        <v>252</v>
      </c>
      <c r="L205" s="185" t="s">
        <v>277</v>
      </c>
      <c r="M205" s="213">
        <v>44.991185857284947</v>
      </c>
      <c r="N205" s="213">
        <v>47.862963677962711</v>
      </c>
      <c r="O205" s="213">
        <v>46.404438968203728</v>
      </c>
      <c r="P205" s="213">
        <v>44.945914258444773</v>
      </c>
      <c r="Q205" s="213">
        <v>43.48738954868579</v>
      </c>
      <c r="R205" s="213">
        <v>42.028864838926808</v>
      </c>
      <c r="S205" s="213">
        <v>40.570340129167853</v>
      </c>
      <c r="T205" s="213">
        <v>39.11181541940887</v>
      </c>
      <c r="U205" s="213">
        <v>37.653290709649887</v>
      </c>
      <c r="V205" s="213">
        <v>36.194765999890919</v>
      </c>
      <c r="W205" s="213">
        <v>34.736241290131943</v>
      </c>
      <c r="X205" s="213">
        <v>33.277716580372967</v>
      </c>
      <c r="Y205" s="213">
        <v>31.819191870613999</v>
      </c>
      <c r="Z205" s="213">
        <v>30.360667160855019</v>
      </c>
      <c r="AA205" s="213">
        <v>28.902142451096029</v>
      </c>
      <c r="AB205" s="213">
        <v>28.444985707241148</v>
      </c>
      <c r="AC205" s="213">
        <v>27.987828963386281</v>
      </c>
      <c r="AD205" s="213">
        <v>27.530672219531411</v>
      </c>
      <c r="AE205" s="213">
        <v>27.07351547567654</v>
      </c>
      <c r="AF205" s="213">
        <v>26.61635873182167</v>
      </c>
      <c r="AG205" s="213">
        <v>26.159201987966799</v>
      </c>
      <c r="AH205" s="213">
        <v>25.702045244111929</v>
      </c>
      <c r="AI205" s="213">
        <v>25.244888500257058</v>
      </c>
      <c r="AJ205" s="213">
        <v>24.787731756402192</v>
      </c>
      <c r="AK205" s="213">
        <v>24.330575012547321</v>
      </c>
      <c r="AL205" s="213">
        <v>23.873418268692451</v>
      </c>
      <c r="AM205" s="213">
        <v>23.41626152483758</v>
      </c>
      <c r="AN205" s="213">
        <v>22.95910478098271</v>
      </c>
      <c r="AO205" s="213">
        <v>22.501948037127839</v>
      </c>
      <c r="AP205" s="213">
        <v>22.044791293272969</v>
      </c>
      <c r="AQ205" s="131"/>
      <c r="AR205" s="131"/>
      <c r="AS205" s="131"/>
      <c r="AT205" s="200"/>
      <c r="AU205" s="200"/>
      <c r="AV205" s="200"/>
      <c r="AW205" s="200"/>
      <c r="AZ205" s="200"/>
      <c r="BA205" s="131"/>
      <c r="BB205" s="131"/>
      <c r="BC205" s="131"/>
      <c r="BD205" s="131"/>
      <c r="BE205" s="131"/>
      <c r="BF205" s="131"/>
      <c r="BG205" s="131"/>
      <c r="BH205" s="131"/>
      <c r="BI205" s="131"/>
      <c r="BJ205" s="131"/>
      <c r="BK205" s="131"/>
      <c r="BL205" s="131"/>
      <c r="BM205" s="131"/>
      <c r="BN205" s="131"/>
      <c r="BO205" s="131"/>
      <c r="BP205" s="131"/>
      <c r="BQ205" s="131"/>
      <c r="BR205" s="131"/>
      <c r="BS205" s="131"/>
      <c r="BT205" s="131"/>
      <c r="BU205" s="131"/>
      <c r="BV205" s="131"/>
      <c r="BW205" s="131"/>
      <c r="BX205" s="131"/>
      <c r="BY205" s="131"/>
      <c r="BZ205" s="131"/>
      <c r="CA205" s="131"/>
      <c r="CB205" s="131"/>
      <c r="CC205" s="131"/>
      <c r="CD205" s="131"/>
      <c r="CE205" s="131"/>
      <c r="CF205" s="131"/>
      <c r="CG205" s="131"/>
      <c r="CH205" s="131"/>
      <c r="CI205" s="131"/>
      <c r="CJ205" s="131"/>
      <c r="CK205" s="131"/>
    </row>
    <row r="206" spans="1:89" s="200" customFormat="1" ht="14.25" customHeight="1" thickTop="1" thickBot="1" x14ac:dyDescent="0.25">
      <c r="A206" s="131"/>
      <c r="B206" s="131"/>
      <c r="C206" s="131"/>
      <c r="D206" s="131"/>
      <c r="E206" s="131"/>
      <c r="F206" s="131"/>
      <c r="G206" s="138"/>
      <c r="H206" s="402"/>
      <c r="I206" s="131"/>
      <c r="J206" s="358"/>
      <c r="K206" s="196" t="s">
        <v>252</v>
      </c>
      <c r="L206" s="196" t="s">
        <v>278</v>
      </c>
      <c r="M206" s="214">
        <v>44.991185857284947</v>
      </c>
      <c r="N206" s="214">
        <v>47.862963677962711</v>
      </c>
      <c r="O206" s="214">
        <v>47.134309399527268</v>
      </c>
      <c r="P206" s="214">
        <v>46.405655121091819</v>
      </c>
      <c r="Q206" s="214">
        <v>45.677000842656383</v>
      </c>
      <c r="R206" s="214">
        <v>44.948346564220941</v>
      </c>
      <c r="S206" s="214">
        <v>44.219692285785499</v>
      </c>
      <c r="T206" s="214">
        <v>43.491038007350063</v>
      </c>
      <c r="U206" s="214">
        <v>42.762383728914607</v>
      </c>
      <c r="V206" s="214">
        <v>42.033729450479171</v>
      </c>
      <c r="W206" s="214">
        <v>41.305075172043729</v>
      </c>
      <c r="X206" s="214">
        <v>40.57642089360828</v>
      </c>
      <c r="Y206" s="214">
        <v>39.847766615172837</v>
      </c>
      <c r="Z206" s="214">
        <v>39.119112336737388</v>
      </c>
      <c r="AA206" s="214">
        <v>38.390458058301917</v>
      </c>
      <c r="AB206" s="214">
        <v>37.757903684488213</v>
      </c>
      <c r="AC206" s="214">
        <v>37.12534931067448</v>
      </c>
      <c r="AD206" s="214">
        <v>36.492794936860747</v>
      </c>
      <c r="AE206" s="214">
        <v>35.860240563047029</v>
      </c>
      <c r="AF206" s="214">
        <v>35.227686189233303</v>
      </c>
      <c r="AG206" s="214">
        <v>34.595131815419577</v>
      </c>
      <c r="AH206" s="214">
        <v>33.962577441605838</v>
      </c>
      <c r="AI206" s="214">
        <v>33.330023067792133</v>
      </c>
      <c r="AJ206" s="214">
        <v>32.697468693978387</v>
      </c>
      <c r="AK206" s="214">
        <v>32.064914320164668</v>
      </c>
      <c r="AL206" s="214">
        <v>31.432359946350939</v>
      </c>
      <c r="AM206" s="214">
        <v>30.79980557253722</v>
      </c>
      <c r="AN206" s="214">
        <v>30.167251198723491</v>
      </c>
      <c r="AO206" s="214">
        <v>29.534696824909759</v>
      </c>
      <c r="AP206" s="214">
        <v>28.902142451096029</v>
      </c>
      <c r="AQ206" s="131"/>
      <c r="AR206" s="131"/>
      <c r="AS206" s="131"/>
      <c r="AT206" s="131"/>
      <c r="AU206" s="131"/>
      <c r="AV206" s="131"/>
      <c r="AW206" s="131"/>
      <c r="AZ206" s="131"/>
      <c r="BA206" s="131"/>
      <c r="BB206" s="131"/>
      <c r="BC206" s="131"/>
      <c r="BD206" s="131"/>
      <c r="BE206" s="199"/>
      <c r="BF206" s="199"/>
      <c r="BG206" s="199"/>
      <c r="BH206" s="131"/>
      <c r="BI206" s="131"/>
      <c r="BJ206" s="131"/>
      <c r="BK206" s="131"/>
      <c r="BL206" s="131"/>
      <c r="BM206" s="131"/>
      <c r="BN206" s="131"/>
      <c r="BO206" s="131"/>
      <c r="BP206" s="131"/>
      <c r="BQ206" s="131"/>
      <c r="BR206" s="131"/>
      <c r="BS206" s="131"/>
      <c r="BT206" s="131"/>
      <c r="BU206" s="131"/>
      <c r="BV206" s="131"/>
      <c r="BW206" s="131"/>
      <c r="BX206" s="131"/>
      <c r="BY206" s="131"/>
      <c r="BZ206" s="131"/>
      <c r="CA206" s="131"/>
      <c r="CB206" s="131"/>
      <c r="CC206" s="131"/>
      <c r="CD206" s="131"/>
      <c r="CE206" s="131"/>
      <c r="CF206" s="131"/>
      <c r="CG206" s="131"/>
      <c r="CH206" s="131"/>
      <c r="CI206" s="131"/>
      <c r="CJ206" s="131"/>
      <c r="CK206" s="131"/>
    </row>
    <row r="207" spans="1:89" ht="13.5" customHeight="1" thickTop="1" thickBot="1" x14ac:dyDescent="0.25">
      <c r="G207" s="138"/>
      <c r="H207" s="380"/>
      <c r="J207" s="358"/>
      <c r="K207" s="194" t="s">
        <v>254</v>
      </c>
      <c r="L207" s="194" t="s">
        <v>276</v>
      </c>
      <c r="M207" s="212">
        <v>44.991185857284947</v>
      </c>
      <c r="N207" s="212">
        <v>47.862963677962711</v>
      </c>
      <c r="O207" s="212">
        <v>45.876950417601961</v>
      </c>
      <c r="P207" s="212">
        <v>43.890937157241211</v>
      </c>
      <c r="Q207" s="212">
        <v>41.904923896880462</v>
      </c>
      <c r="R207" s="212">
        <v>39.918910636519712</v>
      </c>
      <c r="S207" s="212">
        <v>37.932897376158962</v>
      </c>
      <c r="T207" s="212">
        <v>35.94688411579822</v>
      </c>
      <c r="U207" s="212">
        <v>33.96087085543747</v>
      </c>
      <c r="V207" s="212">
        <v>31.97485759507672</v>
      </c>
      <c r="W207" s="212">
        <v>29.988844334715971</v>
      </c>
      <c r="X207" s="212">
        <v>28.002831074355221</v>
      </c>
      <c r="Y207" s="212">
        <v>26.016817813994479</v>
      </c>
      <c r="Z207" s="212">
        <v>24.030804553633729</v>
      </c>
      <c r="AA207" s="212">
        <v>22.044791293272969</v>
      </c>
      <c r="AB207" s="212">
        <v>21.78583574903956</v>
      </c>
      <c r="AC207" s="212">
        <v>21.52688020480614</v>
      </c>
      <c r="AD207" s="212">
        <v>21.267924660572739</v>
      </c>
      <c r="AE207" s="212">
        <v>21.00896911633933</v>
      </c>
      <c r="AF207" s="212">
        <v>20.75001357210591</v>
      </c>
      <c r="AG207" s="212">
        <v>20.491058027872501</v>
      </c>
      <c r="AH207" s="212">
        <v>20.2321024836391</v>
      </c>
      <c r="AI207" s="212">
        <v>19.97314693940568</v>
      </c>
      <c r="AJ207" s="212">
        <v>19.714191395172271</v>
      </c>
      <c r="AK207" s="212">
        <v>19.455235850938859</v>
      </c>
      <c r="AL207" s="212">
        <v>19.19628030670545</v>
      </c>
      <c r="AM207" s="212">
        <v>18.937324762472041</v>
      </c>
      <c r="AN207" s="212">
        <v>18.678369218238629</v>
      </c>
      <c r="AO207" s="212">
        <v>18.41941367400522</v>
      </c>
      <c r="AP207" s="212">
        <v>18.16045812977179</v>
      </c>
      <c r="AT207" s="199"/>
      <c r="AU207" s="199"/>
      <c r="AV207" s="199"/>
      <c r="AW207" s="199"/>
      <c r="AZ207" s="199"/>
    </row>
    <row r="208" spans="1:89" s="199" customFormat="1" ht="14.25" customHeight="1" thickTop="1" thickBot="1" x14ac:dyDescent="0.25">
      <c r="A208" s="131"/>
      <c r="B208" s="131"/>
      <c r="C208" s="131"/>
      <c r="D208" s="131"/>
      <c r="E208" s="131"/>
      <c r="F208" s="131"/>
      <c r="G208" s="138"/>
      <c r="H208" s="401"/>
      <c r="I208" s="131"/>
      <c r="J208" s="358"/>
      <c r="K208" s="135" t="s">
        <v>254</v>
      </c>
      <c r="L208" s="185" t="s">
        <v>277</v>
      </c>
      <c r="M208" s="213">
        <v>44.991185857284947</v>
      </c>
      <c r="N208" s="213">
        <v>47.862963677962711</v>
      </c>
      <c r="O208" s="213">
        <v>46.404438968203728</v>
      </c>
      <c r="P208" s="213">
        <v>44.945914258444773</v>
      </c>
      <c r="Q208" s="213">
        <v>43.48738954868579</v>
      </c>
      <c r="R208" s="213">
        <v>42.028864838926808</v>
      </c>
      <c r="S208" s="213">
        <v>40.570340129167853</v>
      </c>
      <c r="T208" s="213">
        <v>39.11181541940887</v>
      </c>
      <c r="U208" s="213">
        <v>37.653290709649887</v>
      </c>
      <c r="V208" s="213">
        <v>36.194765999890919</v>
      </c>
      <c r="W208" s="213">
        <v>34.736241290131943</v>
      </c>
      <c r="X208" s="213">
        <v>33.277716580372967</v>
      </c>
      <c r="Y208" s="213">
        <v>31.819191870613999</v>
      </c>
      <c r="Z208" s="213">
        <v>30.360667160855019</v>
      </c>
      <c r="AA208" s="213">
        <v>28.902142451096029</v>
      </c>
      <c r="AB208" s="213">
        <v>28.444985707241148</v>
      </c>
      <c r="AC208" s="213">
        <v>27.987828963386281</v>
      </c>
      <c r="AD208" s="213">
        <v>27.530672219531411</v>
      </c>
      <c r="AE208" s="213">
        <v>27.07351547567654</v>
      </c>
      <c r="AF208" s="213">
        <v>26.61635873182167</v>
      </c>
      <c r="AG208" s="213">
        <v>26.159201987966799</v>
      </c>
      <c r="AH208" s="213">
        <v>25.702045244111929</v>
      </c>
      <c r="AI208" s="213">
        <v>25.244888500257058</v>
      </c>
      <c r="AJ208" s="213">
        <v>24.787731756402192</v>
      </c>
      <c r="AK208" s="213">
        <v>24.330575012547321</v>
      </c>
      <c r="AL208" s="213">
        <v>23.873418268692451</v>
      </c>
      <c r="AM208" s="213">
        <v>23.41626152483758</v>
      </c>
      <c r="AN208" s="213">
        <v>22.95910478098271</v>
      </c>
      <c r="AO208" s="213">
        <v>22.501948037127839</v>
      </c>
      <c r="AP208" s="213">
        <v>22.044791293272969</v>
      </c>
      <c r="AQ208" s="131"/>
      <c r="AR208" s="131"/>
      <c r="AS208" s="131"/>
      <c r="AT208" s="200"/>
      <c r="AU208" s="200"/>
      <c r="AV208" s="200"/>
      <c r="AW208" s="200"/>
      <c r="AZ208" s="200"/>
      <c r="BA208" s="131"/>
      <c r="BB208" s="131"/>
      <c r="BC208" s="131"/>
      <c r="BD208" s="131"/>
      <c r="BE208" s="131"/>
      <c r="BF208" s="131"/>
      <c r="BG208" s="131"/>
      <c r="BH208" s="131"/>
      <c r="BI208" s="131"/>
      <c r="BJ208" s="131"/>
      <c r="BK208" s="131"/>
      <c r="BL208" s="131"/>
      <c r="BM208" s="131"/>
      <c r="BN208" s="131"/>
      <c r="BO208" s="131"/>
      <c r="BP208" s="131"/>
      <c r="BQ208" s="131"/>
      <c r="BR208" s="131"/>
      <c r="BS208" s="131"/>
      <c r="BT208" s="131"/>
      <c r="BU208" s="131"/>
      <c r="BV208" s="131"/>
      <c r="BW208" s="131"/>
      <c r="BX208" s="131"/>
      <c r="BY208" s="131"/>
      <c r="BZ208" s="131"/>
      <c r="CA208" s="131"/>
      <c r="CB208" s="131"/>
      <c r="CC208" s="131"/>
      <c r="CD208" s="131"/>
      <c r="CE208" s="131"/>
      <c r="CF208" s="131"/>
      <c r="CG208" s="131"/>
      <c r="CH208" s="131"/>
      <c r="CI208" s="131"/>
      <c r="CJ208" s="131"/>
      <c r="CK208" s="131"/>
    </row>
    <row r="209" spans="1:89" s="200" customFormat="1" ht="14.25" customHeight="1" thickTop="1" thickBot="1" x14ac:dyDescent="0.25">
      <c r="A209" s="131"/>
      <c r="B209" s="131"/>
      <c r="C209" s="131"/>
      <c r="D209" s="131"/>
      <c r="E209" s="131"/>
      <c r="F209" s="131"/>
      <c r="G209" s="138"/>
      <c r="H209" s="402"/>
      <c r="I209" s="131"/>
      <c r="J209" s="358"/>
      <c r="K209" s="196" t="s">
        <v>254</v>
      </c>
      <c r="L209" s="196" t="s">
        <v>278</v>
      </c>
      <c r="M209" s="214">
        <v>44.991185857284947</v>
      </c>
      <c r="N209" s="214">
        <v>47.862963677962711</v>
      </c>
      <c r="O209" s="214">
        <v>47.134309399527268</v>
      </c>
      <c r="P209" s="214">
        <v>46.405655121091819</v>
      </c>
      <c r="Q209" s="214">
        <v>45.677000842656383</v>
      </c>
      <c r="R209" s="214">
        <v>44.948346564220941</v>
      </c>
      <c r="S209" s="214">
        <v>44.219692285785499</v>
      </c>
      <c r="T209" s="214">
        <v>43.491038007350063</v>
      </c>
      <c r="U209" s="214">
        <v>42.762383728914607</v>
      </c>
      <c r="V209" s="214">
        <v>42.033729450479171</v>
      </c>
      <c r="W209" s="214">
        <v>41.305075172043729</v>
      </c>
      <c r="X209" s="214">
        <v>40.57642089360828</v>
      </c>
      <c r="Y209" s="214">
        <v>39.847766615172837</v>
      </c>
      <c r="Z209" s="214">
        <v>39.119112336737388</v>
      </c>
      <c r="AA209" s="214">
        <v>38.390458058301917</v>
      </c>
      <c r="AB209" s="214">
        <v>37.757903684488213</v>
      </c>
      <c r="AC209" s="214">
        <v>37.12534931067448</v>
      </c>
      <c r="AD209" s="214">
        <v>36.492794936860747</v>
      </c>
      <c r="AE209" s="214">
        <v>35.860240563047029</v>
      </c>
      <c r="AF209" s="214">
        <v>35.227686189233303</v>
      </c>
      <c r="AG209" s="214">
        <v>34.595131815419577</v>
      </c>
      <c r="AH209" s="214">
        <v>33.962577441605838</v>
      </c>
      <c r="AI209" s="214">
        <v>33.330023067792133</v>
      </c>
      <c r="AJ209" s="214">
        <v>32.697468693978387</v>
      </c>
      <c r="AK209" s="214">
        <v>32.064914320164668</v>
      </c>
      <c r="AL209" s="214">
        <v>31.432359946350939</v>
      </c>
      <c r="AM209" s="214">
        <v>30.79980557253722</v>
      </c>
      <c r="AN209" s="214">
        <v>30.167251198723491</v>
      </c>
      <c r="AO209" s="214">
        <v>29.534696824909759</v>
      </c>
      <c r="AP209" s="214">
        <v>28.902142451096029</v>
      </c>
      <c r="AQ209" s="131"/>
      <c r="AR209" s="131"/>
      <c r="AS209" s="131"/>
      <c r="AT209" s="131"/>
      <c r="AU209" s="131"/>
      <c r="AV209" s="131"/>
      <c r="AW209" s="131"/>
      <c r="AZ209" s="131"/>
      <c r="BA209" s="131"/>
      <c r="BB209" s="131"/>
      <c r="BC209" s="131"/>
      <c r="BD209" s="131"/>
      <c r="BE209" s="199"/>
      <c r="BF209" s="199"/>
      <c r="BG209" s="199"/>
      <c r="BH209" s="131"/>
      <c r="BI209" s="131"/>
      <c r="BJ209" s="131"/>
      <c r="BK209" s="131"/>
      <c r="BL209" s="131"/>
      <c r="BM209" s="131"/>
      <c r="BN209" s="131"/>
      <c r="BO209" s="131"/>
      <c r="BP209" s="131"/>
      <c r="BQ209" s="131"/>
      <c r="BR209" s="131"/>
      <c r="BS209" s="131"/>
      <c r="BT209" s="131"/>
      <c r="BU209" s="131"/>
      <c r="BV209" s="131"/>
      <c r="BW209" s="131"/>
      <c r="BX209" s="131"/>
      <c r="BY209" s="131"/>
      <c r="BZ209" s="131"/>
      <c r="CA209" s="131"/>
      <c r="CB209" s="131"/>
      <c r="CC209" s="131"/>
      <c r="CD209" s="131"/>
      <c r="CE209" s="131"/>
      <c r="CF209" s="131"/>
      <c r="CG209" s="131"/>
      <c r="CH209" s="131"/>
      <c r="CI209" s="131"/>
      <c r="CJ209" s="131"/>
      <c r="CK209" s="131"/>
    </row>
    <row r="210" spans="1:89" ht="14.25" customHeight="1" thickTop="1" x14ac:dyDescent="0.2">
      <c r="G210" s="138"/>
      <c r="H210" s="380"/>
      <c r="J210" s="358"/>
      <c r="K210" s="194" t="s">
        <v>256</v>
      </c>
      <c r="L210" s="194" t="s">
        <v>276</v>
      </c>
      <c r="M210" s="215">
        <v>44.991185857284947</v>
      </c>
      <c r="N210" s="215">
        <v>47.862963677962711</v>
      </c>
      <c r="O210" s="215">
        <v>45.876950417601961</v>
      </c>
      <c r="P210" s="215">
        <v>43.890937157241211</v>
      </c>
      <c r="Q210" s="215">
        <v>41.904923896880462</v>
      </c>
      <c r="R210" s="215">
        <v>39.918910636519712</v>
      </c>
      <c r="S210" s="215">
        <v>37.932897376158962</v>
      </c>
      <c r="T210" s="215">
        <v>35.94688411579822</v>
      </c>
      <c r="U210" s="215">
        <v>33.96087085543747</v>
      </c>
      <c r="V210" s="215">
        <v>31.97485759507672</v>
      </c>
      <c r="W210" s="215">
        <v>29.988844334715971</v>
      </c>
      <c r="X210" s="215">
        <v>28.002831074355221</v>
      </c>
      <c r="Y210" s="215">
        <v>26.016817813994479</v>
      </c>
      <c r="Z210" s="215">
        <v>24.030804553633729</v>
      </c>
      <c r="AA210" s="215">
        <v>22.044791293272969</v>
      </c>
      <c r="AB210" s="215">
        <v>21.78583574903956</v>
      </c>
      <c r="AC210" s="215">
        <v>21.52688020480614</v>
      </c>
      <c r="AD210" s="215">
        <v>21.267924660572739</v>
      </c>
      <c r="AE210" s="215">
        <v>21.00896911633933</v>
      </c>
      <c r="AF210" s="215">
        <v>20.75001357210591</v>
      </c>
      <c r="AG210" s="215">
        <v>20.491058027872501</v>
      </c>
      <c r="AH210" s="215">
        <v>20.2321024836391</v>
      </c>
      <c r="AI210" s="215">
        <v>19.97314693940568</v>
      </c>
      <c r="AJ210" s="215">
        <v>19.714191395172271</v>
      </c>
      <c r="AK210" s="215">
        <v>19.455235850938859</v>
      </c>
      <c r="AL210" s="215">
        <v>19.19628030670545</v>
      </c>
      <c r="AM210" s="215">
        <v>18.937324762472041</v>
      </c>
      <c r="AN210" s="215">
        <v>18.678369218238629</v>
      </c>
      <c r="AO210" s="215">
        <v>18.41941367400522</v>
      </c>
      <c r="AP210" s="215">
        <v>18.16045812977179</v>
      </c>
    </row>
    <row r="211" spans="1:89" ht="14.25" customHeight="1" x14ac:dyDescent="0.2">
      <c r="G211" s="138"/>
      <c r="H211" s="380"/>
      <c r="J211" s="358"/>
      <c r="K211" s="135" t="s">
        <v>256</v>
      </c>
      <c r="L211" s="185" t="s">
        <v>277</v>
      </c>
      <c r="M211" s="213">
        <v>44.991185857284947</v>
      </c>
      <c r="N211" s="213">
        <v>47.862963677962711</v>
      </c>
      <c r="O211" s="213">
        <v>46.404438968203728</v>
      </c>
      <c r="P211" s="213">
        <v>44.945914258444773</v>
      </c>
      <c r="Q211" s="213">
        <v>43.48738954868579</v>
      </c>
      <c r="R211" s="213">
        <v>42.028864838926808</v>
      </c>
      <c r="S211" s="213">
        <v>40.570340129167853</v>
      </c>
      <c r="T211" s="213">
        <v>39.11181541940887</v>
      </c>
      <c r="U211" s="213">
        <v>37.653290709649887</v>
      </c>
      <c r="V211" s="213">
        <v>36.194765999890919</v>
      </c>
      <c r="W211" s="213">
        <v>34.736241290131943</v>
      </c>
      <c r="X211" s="213">
        <v>33.277716580372967</v>
      </c>
      <c r="Y211" s="213">
        <v>31.819191870613999</v>
      </c>
      <c r="Z211" s="213">
        <v>30.360667160855019</v>
      </c>
      <c r="AA211" s="213">
        <v>28.902142451096029</v>
      </c>
      <c r="AB211" s="213">
        <v>28.444985707241148</v>
      </c>
      <c r="AC211" s="213">
        <v>27.987828963386281</v>
      </c>
      <c r="AD211" s="213">
        <v>27.530672219531411</v>
      </c>
      <c r="AE211" s="213">
        <v>27.07351547567654</v>
      </c>
      <c r="AF211" s="213">
        <v>26.61635873182167</v>
      </c>
      <c r="AG211" s="213">
        <v>26.159201987966799</v>
      </c>
      <c r="AH211" s="213">
        <v>25.702045244111929</v>
      </c>
      <c r="AI211" s="213">
        <v>25.244888500257058</v>
      </c>
      <c r="AJ211" s="213">
        <v>24.787731756402192</v>
      </c>
      <c r="AK211" s="213">
        <v>24.330575012547321</v>
      </c>
      <c r="AL211" s="213">
        <v>23.873418268692451</v>
      </c>
      <c r="AM211" s="213">
        <v>23.41626152483758</v>
      </c>
      <c r="AN211" s="213">
        <v>22.95910478098271</v>
      </c>
      <c r="AO211" s="213">
        <v>22.501948037127839</v>
      </c>
      <c r="AP211" s="213">
        <v>22.044791293272969</v>
      </c>
    </row>
    <row r="212" spans="1:89" ht="14.25" customHeight="1" thickBot="1" x14ac:dyDescent="0.25">
      <c r="G212" s="138"/>
      <c r="H212" s="380"/>
      <c r="J212" s="368"/>
      <c r="K212" s="196" t="s">
        <v>256</v>
      </c>
      <c r="L212" s="196" t="s">
        <v>278</v>
      </c>
      <c r="M212" s="214">
        <v>44.991185857284947</v>
      </c>
      <c r="N212" s="214">
        <v>47.862963677962711</v>
      </c>
      <c r="O212" s="214">
        <v>47.134309399527268</v>
      </c>
      <c r="P212" s="214">
        <v>46.405655121091819</v>
      </c>
      <c r="Q212" s="214">
        <v>45.677000842656383</v>
      </c>
      <c r="R212" s="214">
        <v>44.948346564220941</v>
      </c>
      <c r="S212" s="214">
        <v>44.219692285785499</v>
      </c>
      <c r="T212" s="214">
        <v>43.491038007350063</v>
      </c>
      <c r="U212" s="214">
        <v>42.762383728914607</v>
      </c>
      <c r="V212" s="214">
        <v>42.033729450479171</v>
      </c>
      <c r="W212" s="214">
        <v>41.305075172043729</v>
      </c>
      <c r="X212" s="214">
        <v>40.57642089360828</v>
      </c>
      <c r="Y212" s="214">
        <v>39.847766615172837</v>
      </c>
      <c r="Z212" s="214">
        <v>39.119112336737388</v>
      </c>
      <c r="AA212" s="214">
        <v>38.390458058301917</v>
      </c>
      <c r="AB212" s="214">
        <v>37.757903684488213</v>
      </c>
      <c r="AC212" s="214">
        <v>37.12534931067448</v>
      </c>
      <c r="AD212" s="214">
        <v>36.492794936860747</v>
      </c>
      <c r="AE212" s="214">
        <v>35.860240563047029</v>
      </c>
      <c r="AF212" s="214">
        <v>35.227686189233303</v>
      </c>
      <c r="AG212" s="214">
        <v>34.595131815419577</v>
      </c>
      <c r="AH212" s="214">
        <v>33.962577441605838</v>
      </c>
      <c r="AI212" s="214">
        <v>33.330023067792133</v>
      </c>
      <c r="AJ212" s="214">
        <v>32.697468693978387</v>
      </c>
      <c r="AK212" s="214">
        <v>32.064914320164668</v>
      </c>
      <c r="AL212" s="214">
        <v>31.432359946350939</v>
      </c>
      <c r="AM212" s="214">
        <v>30.79980557253722</v>
      </c>
      <c r="AN212" s="214">
        <v>30.167251198723491</v>
      </c>
      <c r="AO212" s="214">
        <v>29.534696824909759</v>
      </c>
      <c r="AP212" s="214">
        <v>28.902142451096029</v>
      </c>
    </row>
    <row r="213" spans="1:89" ht="14.25" customHeight="1" thickTop="1" x14ac:dyDescent="0.2">
      <c r="G213" s="138"/>
      <c r="H213" s="380"/>
      <c r="J213" s="201"/>
      <c r="K213" s="135"/>
      <c r="L213" s="135"/>
    </row>
    <row r="214" spans="1:89" ht="14.25" customHeight="1" x14ac:dyDescent="0.2">
      <c r="G214" s="138"/>
      <c r="H214" s="380"/>
      <c r="M214" s="123">
        <v>2021</v>
      </c>
      <c r="N214" s="123">
        <v>2022</v>
      </c>
      <c r="O214" s="123">
        <v>2023</v>
      </c>
      <c r="P214" s="123">
        <v>2024</v>
      </c>
      <c r="Q214" s="123">
        <v>2025</v>
      </c>
      <c r="R214" s="123">
        <v>2026</v>
      </c>
      <c r="S214" s="123">
        <v>2027</v>
      </c>
      <c r="T214" s="123">
        <v>2028</v>
      </c>
      <c r="U214" s="123">
        <v>2029</v>
      </c>
      <c r="V214" s="123">
        <v>2030</v>
      </c>
      <c r="W214" s="123">
        <v>2031</v>
      </c>
      <c r="X214" s="123">
        <v>2032</v>
      </c>
      <c r="Y214" s="123">
        <v>2033</v>
      </c>
      <c r="Z214" s="123">
        <v>2034</v>
      </c>
      <c r="AA214" s="123">
        <v>2035</v>
      </c>
      <c r="AB214" s="123">
        <v>2036</v>
      </c>
      <c r="AC214" s="123">
        <v>2037</v>
      </c>
      <c r="AD214" s="123">
        <v>2038</v>
      </c>
      <c r="AE214" s="123">
        <v>2039</v>
      </c>
      <c r="AF214" s="123">
        <v>2040</v>
      </c>
      <c r="AG214" s="123">
        <v>2041</v>
      </c>
      <c r="AH214" s="123">
        <v>2042</v>
      </c>
      <c r="AI214" s="123">
        <v>2043</v>
      </c>
      <c r="AJ214" s="123">
        <v>2044</v>
      </c>
      <c r="AK214" s="123">
        <v>2045</v>
      </c>
      <c r="AL214" s="123">
        <v>2046</v>
      </c>
      <c r="AM214" s="123">
        <v>2047</v>
      </c>
      <c r="AN214" s="123">
        <v>2048</v>
      </c>
      <c r="AO214" s="123">
        <v>2049</v>
      </c>
      <c r="AP214" s="123">
        <v>2050</v>
      </c>
    </row>
    <row r="215" spans="1:89" ht="14.25" customHeight="1" x14ac:dyDescent="0.2">
      <c r="G215" s="138"/>
      <c r="H215" s="380"/>
      <c r="J215" s="367" t="s">
        <v>296</v>
      </c>
      <c r="K215" s="194" t="s">
        <v>235</v>
      </c>
      <c r="L215" s="194" t="s">
        <v>276</v>
      </c>
      <c r="M215" s="220">
        <v>1245.8150824114009</v>
      </c>
      <c r="N215" s="220">
        <v>1325.335194054682</v>
      </c>
      <c r="O215" s="220">
        <v>1270.34208314903</v>
      </c>
      <c r="P215" s="220">
        <v>1215.3489722433781</v>
      </c>
      <c r="Q215" s="220">
        <v>1160.3558613377261</v>
      </c>
      <c r="R215" s="220">
        <v>1105.362750432075</v>
      </c>
      <c r="S215" s="220">
        <v>1050.369639526423</v>
      </c>
      <c r="T215" s="220">
        <v>995.37652862077118</v>
      </c>
      <c r="U215" s="220">
        <v>940.38341771511944</v>
      </c>
      <c r="V215" s="220">
        <v>885.39030680946769</v>
      </c>
      <c r="W215" s="220">
        <v>830.39719590381605</v>
      </c>
      <c r="X215" s="220">
        <v>775.40408499816431</v>
      </c>
      <c r="Y215" s="220">
        <v>720.41097409251256</v>
      </c>
      <c r="Z215" s="220">
        <v>665.41786318686081</v>
      </c>
      <c r="AA215" s="220">
        <v>610.42475228120873</v>
      </c>
      <c r="AB215" s="220">
        <v>603.2542206196656</v>
      </c>
      <c r="AC215" s="220">
        <v>596.08368895812237</v>
      </c>
      <c r="AD215" s="220">
        <v>588.91315729657924</v>
      </c>
      <c r="AE215" s="220">
        <v>581.74262563503612</v>
      </c>
      <c r="AF215" s="220">
        <v>574.57209397349288</v>
      </c>
      <c r="AG215" s="220">
        <v>567.40156231194976</v>
      </c>
      <c r="AH215" s="220">
        <v>560.23103065040664</v>
      </c>
      <c r="AI215" s="220">
        <v>553.06049898886329</v>
      </c>
      <c r="AJ215" s="220">
        <v>545.88996732732016</v>
      </c>
      <c r="AK215" s="220">
        <v>538.71943566577693</v>
      </c>
      <c r="AL215" s="220">
        <v>531.5489040042338</v>
      </c>
      <c r="AM215" s="220">
        <v>524.37837234269068</v>
      </c>
      <c r="AN215" s="220">
        <v>517.20784068114745</v>
      </c>
      <c r="AO215" s="220">
        <v>510.03730901960432</v>
      </c>
      <c r="AP215" s="220">
        <v>502.86677735806057</v>
      </c>
    </row>
    <row r="216" spans="1:89" ht="14.25" customHeight="1" x14ac:dyDescent="0.2">
      <c r="G216" s="138"/>
      <c r="H216" s="380"/>
      <c r="J216" s="358"/>
      <c r="K216" s="135" t="s">
        <v>235</v>
      </c>
      <c r="L216" s="185" t="s">
        <v>277</v>
      </c>
      <c r="M216" s="221">
        <v>1245.8150824114009</v>
      </c>
      <c r="N216" s="221">
        <v>1325.335194054682</v>
      </c>
      <c r="O216" s="221">
        <v>1284.9483483455849</v>
      </c>
      <c r="P216" s="221">
        <v>1244.561502636489</v>
      </c>
      <c r="Q216" s="221">
        <v>1204.174656927393</v>
      </c>
      <c r="R216" s="221">
        <v>1163.7878112182959</v>
      </c>
      <c r="S216" s="221">
        <v>1123.4009655092</v>
      </c>
      <c r="T216" s="221">
        <v>1083.014119800104</v>
      </c>
      <c r="U216" s="221">
        <v>1042.6272740910081</v>
      </c>
      <c r="V216" s="221">
        <v>1002.240428381912</v>
      </c>
      <c r="W216" s="221">
        <v>961.85358267281526</v>
      </c>
      <c r="X216" s="221">
        <v>921.46673696371909</v>
      </c>
      <c r="Y216" s="221">
        <v>881.07989125462279</v>
      </c>
      <c r="Z216" s="221">
        <v>840.6930455455265</v>
      </c>
      <c r="AA216" s="221">
        <v>800.30619983642964</v>
      </c>
      <c r="AB216" s="221">
        <v>787.64743666608149</v>
      </c>
      <c r="AC216" s="221">
        <v>774.98867349573345</v>
      </c>
      <c r="AD216" s="221">
        <v>762.32991032538541</v>
      </c>
      <c r="AE216" s="221">
        <v>749.67114715503737</v>
      </c>
      <c r="AF216" s="221">
        <v>737.01238398468922</v>
      </c>
      <c r="AG216" s="221">
        <v>724.3536208143413</v>
      </c>
      <c r="AH216" s="221">
        <v>711.69485764399326</v>
      </c>
      <c r="AI216" s="221">
        <v>699.03609447364511</v>
      </c>
      <c r="AJ216" s="221">
        <v>686.37733130329718</v>
      </c>
      <c r="AK216" s="221">
        <v>673.71856813294903</v>
      </c>
      <c r="AL216" s="221">
        <v>661.05980496260099</v>
      </c>
      <c r="AM216" s="221">
        <v>648.40104179225295</v>
      </c>
      <c r="AN216" s="221">
        <v>635.74227862190492</v>
      </c>
      <c r="AO216" s="221">
        <v>623.08351545155699</v>
      </c>
      <c r="AP216" s="221">
        <v>610.42475228120873</v>
      </c>
    </row>
    <row r="217" spans="1:89" ht="14.25" customHeight="1" thickBot="1" x14ac:dyDescent="0.25">
      <c r="G217" s="138"/>
      <c r="H217" s="380"/>
      <c r="J217" s="358"/>
      <c r="K217" s="196" t="s">
        <v>235</v>
      </c>
      <c r="L217" s="196" t="s">
        <v>278</v>
      </c>
      <c r="M217" s="222">
        <v>1245.8150824114009</v>
      </c>
      <c r="N217" s="222">
        <v>1325.335194054682</v>
      </c>
      <c r="O217" s="222">
        <v>1305.1586089604821</v>
      </c>
      <c r="P217" s="222">
        <v>1284.9820238662819</v>
      </c>
      <c r="Q217" s="222">
        <v>1264.805438772082</v>
      </c>
      <c r="R217" s="222">
        <v>1244.628853677882</v>
      </c>
      <c r="S217" s="222">
        <v>1224.4522685836821</v>
      </c>
      <c r="T217" s="222">
        <v>1204.2756834894819</v>
      </c>
      <c r="U217" s="222">
        <v>1184.0990983952829</v>
      </c>
      <c r="V217" s="222">
        <v>1163.922513301083</v>
      </c>
      <c r="W217" s="222">
        <v>1143.745928206883</v>
      </c>
      <c r="X217" s="222">
        <v>1123.5693431126831</v>
      </c>
      <c r="Y217" s="222">
        <v>1103.3927580184829</v>
      </c>
      <c r="Z217" s="222">
        <v>1083.216172924283</v>
      </c>
      <c r="AA217" s="222">
        <v>1063.0395878300831</v>
      </c>
      <c r="AB217" s="222">
        <v>1045.5240286305061</v>
      </c>
      <c r="AC217" s="222">
        <v>1028.0084694309289</v>
      </c>
      <c r="AD217" s="222">
        <v>1010.492910231352</v>
      </c>
      <c r="AE217" s="222">
        <v>992.97735103177536</v>
      </c>
      <c r="AF217" s="222">
        <v>975.46179183219851</v>
      </c>
      <c r="AG217" s="222">
        <v>957.94623263262167</v>
      </c>
      <c r="AH217" s="222">
        <v>940.43067343304472</v>
      </c>
      <c r="AI217" s="222">
        <v>922.91511423346799</v>
      </c>
      <c r="AJ217" s="222">
        <v>905.39955503389115</v>
      </c>
      <c r="AK217" s="222">
        <v>887.88399583431419</v>
      </c>
      <c r="AL217" s="222">
        <v>870.36843663473735</v>
      </c>
      <c r="AM217" s="222">
        <v>852.85287743516062</v>
      </c>
      <c r="AN217" s="222">
        <v>835.33731823558367</v>
      </c>
      <c r="AO217" s="222">
        <v>817.82175903600682</v>
      </c>
      <c r="AP217" s="222">
        <v>800.30619983642964</v>
      </c>
    </row>
    <row r="218" spans="1:89" ht="14.25" customHeight="1" thickTop="1" x14ac:dyDescent="0.2">
      <c r="G218" s="138"/>
      <c r="H218" s="380"/>
      <c r="J218" s="358"/>
      <c r="K218" s="194" t="s">
        <v>240</v>
      </c>
      <c r="L218" s="194" t="s">
        <v>276</v>
      </c>
      <c r="M218" s="220">
        <v>1245.8150824114009</v>
      </c>
      <c r="N218" s="220">
        <v>1325.335194054682</v>
      </c>
      <c r="O218" s="220">
        <v>1270.34208314903</v>
      </c>
      <c r="P218" s="220">
        <v>1215.3489722433781</v>
      </c>
      <c r="Q218" s="220">
        <v>1160.3558613377261</v>
      </c>
      <c r="R218" s="220">
        <v>1105.362750432075</v>
      </c>
      <c r="S218" s="220">
        <v>1050.369639526423</v>
      </c>
      <c r="T218" s="220">
        <v>995.37652862077118</v>
      </c>
      <c r="U218" s="220">
        <v>940.38341771511944</v>
      </c>
      <c r="V218" s="220">
        <v>885.39030680946769</v>
      </c>
      <c r="W218" s="220">
        <v>830.39719590381605</v>
      </c>
      <c r="X218" s="220">
        <v>775.40408499816431</v>
      </c>
      <c r="Y218" s="220">
        <v>720.41097409251256</v>
      </c>
      <c r="Z218" s="220">
        <v>665.41786318686081</v>
      </c>
      <c r="AA218" s="220">
        <v>610.42475228120873</v>
      </c>
      <c r="AB218" s="220">
        <v>603.2542206196656</v>
      </c>
      <c r="AC218" s="220">
        <v>596.08368895812237</v>
      </c>
      <c r="AD218" s="220">
        <v>588.91315729657924</v>
      </c>
      <c r="AE218" s="220">
        <v>581.74262563503612</v>
      </c>
      <c r="AF218" s="220">
        <v>574.57209397349288</v>
      </c>
      <c r="AG218" s="220">
        <v>567.40156231194976</v>
      </c>
      <c r="AH218" s="220">
        <v>560.23103065040664</v>
      </c>
      <c r="AI218" s="220">
        <v>553.06049898886329</v>
      </c>
      <c r="AJ218" s="220">
        <v>545.88996732732016</v>
      </c>
      <c r="AK218" s="220">
        <v>538.71943566577693</v>
      </c>
      <c r="AL218" s="220">
        <v>531.5489040042338</v>
      </c>
      <c r="AM218" s="220">
        <v>524.37837234269068</v>
      </c>
      <c r="AN218" s="220">
        <v>517.20784068114745</v>
      </c>
      <c r="AO218" s="220">
        <v>510.03730901960432</v>
      </c>
      <c r="AP218" s="220">
        <v>502.86677735806057</v>
      </c>
    </row>
    <row r="219" spans="1:89" ht="14.25" customHeight="1" x14ac:dyDescent="0.2">
      <c r="G219" s="138"/>
      <c r="H219" s="380"/>
      <c r="J219" s="358"/>
      <c r="K219" s="135" t="s">
        <v>240</v>
      </c>
      <c r="L219" s="185" t="s">
        <v>277</v>
      </c>
      <c r="M219" s="221">
        <v>1245.8150824114009</v>
      </c>
      <c r="N219" s="221">
        <v>1325.335194054682</v>
      </c>
      <c r="O219" s="221">
        <v>1284.9483483455849</v>
      </c>
      <c r="P219" s="221">
        <v>1244.561502636489</v>
      </c>
      <c r="Q219" s="221">
        <v>1204.174656927393</v>
      </c>
      <c r="R219" s="221">
        <v>1163.7878112182959</v>
      </c>
      <c r="S219" s="221">
        <v>1123.4009655092</v>
      </c>
      <c r="T219" s="221">
        <v>1083.014119800104</v>
      </c>
      <c r="U219" s="221">
        <v>1042.6272740910081</v>
      </c>
      <c r="V219" s="221">
        <v>1002.240428381912</v>
      </c>
      <c r="W219" s="221">
        <v>961.85358267281526</v>
      </c>
      <c r="X219" s="221">
        <v>921.46673696371909</v>
      </c>
      <c r="Y219" s="221">
        <v>881.07989125462279</v>
      </c>
      <c r="Z219" s="221">
        <v>840.6930455455265</v>
      </c>
      <c r="AA219" s="221">
        <v>800.30619983642964</v>
      </c>
      <c r="AB219" s="221">
        <v>787.64743666608149</v>
      </c>
      <c r="AC219" s="221">
        <v>774.98867349573345</v>
      </c>
      <c r="AD219" s="221">
        <v>762.32991032538541</v>
      </c>
      <c r="AE219" s="221">
        <v>749.67114715503737</v>
      </c>
      <c r="AF219" s="221">
        <v>737.01238398468922</v>
      </c>
      <c r="AG219" s="221">
        <v>724.3536208143413</v>
      </c>
      <c r="AH219" s="221">
        <v>711.69485764399326</v>
      </c>
      <c r="AI219" s="221">
        <v>699.03609447364511</v>
      </c>
      <c r="AJ219" s="221">
        <v>686.37733130329718</v>
      </c>
      <c r="AK219" s="221">
        <v>673.71856813294903</v>
      </c>
      <c r="AL219" s="221">
        <v>661.05980496260099</v>
      </c>
      <c r="AM219" s="221">
        <v>648.40104179225295</v>
      </c>
      <c r="AN219" s="221">
        <v>635.74227862190492</v>
      </c>
      <c r="AO219" s="221">
        <v>623.08351545155699</v>
      </c>
      <c r="AP219" s="221">
        <v>610.42475228120873</v>
      </c>
    </row>
    <row r="220" spans="1:89" ht="14.25" customHeight="1" thickBot="1" x14ac:dyDescent="0.25">
      <c r="G220" s="138"/>
      <c r="H220" s="380"/>
      <c r="J220" s="358"/>
      <c r="K220" s="196" t="s">
        <v>240</v>
      </c>
      <c r="L220" s="196" t="s">
        <v>278</v>
      </c>
      <c r="M220" s="222">
        <v>1245.8150824114009</v>
      </c>
      <c r="N220" s="222">
        <v>1325.335194054682</v>
      </c>
      <c r="O220" s="222">
        <v>1305.1586089604821</v>
      </c>
      <c r="P220" s="222">
        <v>1284.9820238662819</v>
      </c>
      <c r="Q220" s="222">
        <v>1264.805438772082</v>
      </c>
      <c r="R220" s="222">
        <v>1244.628853677882</v>
      </c>
      <c r="S220" s="222">
        <v>1224.4522685836821</v>
      </c>
      <c r="T220" s="222">
        <v>1204.2756834894819</v>
      </c>
      <c r="U220" s="222">
        <v>1184.0990983952829</v>
      </c>
      <c r="V220" s="222">
        <v>1163.922513301083</v>
      </c>
      <c r="W220" s="222">
        <v>1143.745928206883</v>
      </c>
      <c r="X220" s="222">
        <v>1123.5693431126831</v>
      </c>
      <c r="Y220" s="222">
        <v>1103.3927580184829</v>
      </c>
      <c r="Z220" s="222">
        <v>1083.216172924283</v>
      </c>
      <c r="AA220" s="222">
        <v>1063.0395878300831</v>
      </c>
      <c r="AB220" s="222">
        <v>1045.5240286305061</v>
      </c>
      <c r="AC220" s="222">
        <v>1028.0084694309289</v>
      </c>
      <c r="AD220" s="222">
        <v>1010.492910231352</v>
      </c>
      <c r="AE220" s="222">
        <v>992.97735103177536</v>
      </c>
      <c r="AF220" s="222">
        <v>975.46179183219851</v>
      </c>
      <c r="AG220" s="222">
        <v>957.94623263262167</v>
      </c>
      <c r="AH220" s="222">
        <v>940.43067343304472</v>
      </c>
      <c r="AI220" s="222">
        <v>922.91511423346799</v>
      </c>
      <c r="AJ220" s="222">
        <v>905.39955503389115</v>
      </c>
      <c r="AK220" s="222">
        <v>887.88399583431419</v>
      </c>
      <c r="AL220" s="222">
        <v>870.36843663473735</v>
      </c>
      <c r="AM220" s="222">
        <v>852.85287743516062</v>
      </c>
      <c r="AN220" s="222">
        <v>835.33731823558367</v>
      </c>
      <c r="AO220" s="222">
        <v>817.82175903600682</v>
      </c>
      <c r="AP220" s="222">
        <v>800.30619983642964</v>
      </c>
    </row>
    <row r="221" spans="1:89" ht="13.5" customHeight="1" thickTop="1" thickBot="1" x14ac:dyDescent="0.25">
      <c r="G221" s="138"/>
      <c r="H221" s="380"/>
      <c r="J221" s="358"/>
      <c r="K221" s="194" t="s">
        <v>242</v>
      </c>
      <c r="L221" s="194" t="s">
        <v>276</v>
      </c>
      <c r="M221" s="220">
        <v>1245.8150824114009</v>
      </c>
      <c r="N221" s="220">
        <v>1325.335194054682</v>
      </c>
      <c r="O221" s="220">
        <v>1270.34208314903</v>
      </c>
      <c r="P221" s="220">
        <v>1215.3489722433781</v>
      </c>
      <c r="Q221" s="220">
        <v>1160.3558613377261</v>
      </c>
      <c r="R221" s="220">
        <v>1105.362750432075</v>
      </c>
      <c r="S221" s="220">
        <v>1050.369639526423</v>
      </c>
      <c r="T221" s="220">
        <v>995.37652862077118</v>
      </c>
      <c r="U221" s="220">
        <v>940.38341771511944</v>
      </c>
      <c r="V221" s="220">
        <v>885.39030680946769</v>
      </c>
      <c r="W221" s="220">
        <v>830.39719590381605</v>
      </c>
      <c r="X221" s="220">
        <v>775.40408499816431</v>
      </c>
      <c r="Y221" s="220">
        <v>720.41097409251256</v>
      </c>
      <c r="Z221" s="220">
        <v>665.41786318686081</v>
      </c>
      <c r="AA221" s="220">
        <v>610.42475228120873</v>
      </c>
      <c r="AB221" s="220">
        <v>603.2542206196656</v>
      </c>
      <c r="AC221" s="220">
        <v>596.08368895812237</v>
      </c>
      <c r="AD221" s="220">
        <v>588.91315729657924</v>
      </c>
      <c r="AE221" s="220">
        <v>581.74262563503612</v>
      </c>
      <c r="AF221" s="220">
        <v>574.57209397349288</v>
      </c>
      <c r="AG221" s="220">
        <v>567.40156231194976</v>
      </c>
      <c r="AH221" s="220">
        <v>560.23103065040664</v>
      </c>
      <c r="AI221" s="220">
        <v>553.06049898886329</v>
      </c>
      <c r="AJ221" s="220">
        <v>545.88996732732016</v>
      </c>
      <c r="AK221" s="220">
        <v>538.71943566577693</v>
      </c>
      <c r="AL221" s="220">
        <v>531.5489040042338</v>
      </c>
      <c r="AM221" s="220">
        <v>524.37837234269068</v>
      </c>
      <c r="AN221" s="220">
        <v>517.20784068114745</v>
      </c>
      <c r="AO221" s="220">
        <v>510.03730901960432</v>
      </c>
      <c r="AP221" s="220">
        <v>502.86677735806057</v>
      </c>
      <c r="AT221" s="199"/>
      <c r="AU221" s="199"/>
      <c r="AV221" s="199"/>
      <c r="AW221" s="199"/>
      <c r="AZ221" s="199"/>
    </row>
    <row r="222" spans="1:89" s="199" customFormat="1" ht="14.25" customHeight="1" thickTop="1" thickBot="1" x14ac:dyDescent="0.25">
      <c r="A222" s="131"/>
      <c r="B222" s="131"/>
      <c r="C222" s="131"/>
      <c r="D222" s="131"/>
      <c r="E222" s="131"/>
      <c r="F222" s="131"/>
      <c r="G222" s="138"/>
      <c r="H222" s="401"/>
      <c r="I222" s="131"/>
      <c r="J222" s="358"/>
      <c r="K222" s="135" t="s">
        <v>242</v>
      </c>
      <c r="L222" s="185" t="s">
        <v>277</v>
      </c>
      <c r="M222" s="221">
        <v>1245.8150824114009</v>
      </c>
      <c r="N222" s="221">
        <v>1325.335194054682</v>
      </c>
      <c r="O222" s="221">
        <v>1284.9483483455849</v>
      </c>
      <c r="P222" s="221">
        <v>1244.561502636489</v>
      </c>
      <c r="Q222" s="221">
        <v>1204.174656927393</v>
      </c>
      <c r="R222" s="221">
        <v>1163.7878112182959</v>
      </c>
      <c r="S222" s="221">
        <v>1123.4009655092</v>
      </c>
      <c r="T222" s="221">
        <v>1083.014119800104</v>
      </c>
      <c r="U222" s="221">
        <v>1042.6272740910081</v>
      </c>
      <c r="V222" s="221">
        <v>1002.240428381912</v>
      </c>
      <c r="W222" s="221">
        <v>961.85358267281526</v>
      </c>
      <c r="X222" s="221">
        <v>921.46673696371909</v>
      </c>
      <c r="Y222" s="221">
        <v>881.07989125462279</v>
      </c>
      <c r="Z222" s="221">
        <v>840.6930455455265</v>
      </c>
      <c r="AA222" s="221">
        <v>800.30619983642964</v>
      </c>
      <c r="AB222" s="221">
        <v>787.64743666608149</v>
      </c>
      <c r="AC222" s="221">
        <v>774.98867349573345</v>
      </c>
      <c r="AD222" s="221">
        <v>762.32991032538541</v>
      </c>
      <c r="AE222" s="221">
        <v>749.67114715503737</v>
      </c>
      <c r="AF222" s="221">
        <v>737.01238398468922</v>
      </c>
      <c r="AG222" s="221">
        <v>724.3536208143413</v>
      </c>
      <c r="AH222" s="221">
        <v>711.69485764399326</v>
      </c>
      <c r="AI222" s="221">
        <v>699.03609447364511</v>
      </c>
      <c r="AJ222" s="221">
        <v>686.37733130329718</v>
      </c>
      <c r="AK222" s="221">
        <v>673.71856813294903</v>
      </c>
      <c r="AL222" s="221">
        <v>661.05980496260099</v>
      </c>
      <c r="AM222" s="221">
        <v>648.40104179225295</v>
      </c>
      <c r="AN222" s="221">
        <v>635.74227862190492</v>
      </c>
      <c r="AO222" s="221">
        <v>623.08351545155699</v>
      </c>
      <c r="AP222" s="221">
        <v>610.42475228120873</v>
      </c>
      <c r="AQ222" s="131"/>
      <c r="AR222" s="131"/>
      <c r="AS222" s="131"/>
      <c r="AT222" s="200"/>
      <c r="AU222" s="200"/>
      <c r="AV222" s="200"/>
      <c r="AW222" s="200"/>
      <c r="AZ222" s="200"/>
      <c r="BA222" s="131"/>
      <c r="BB222" s="131"/>
      <c r="BC222" s="131"/>
      <c r="BD222" s="131"/>
      <c r="BE222" s="131"/>
      <c r="BF222" s="131"/>
      <c r="BG222" s="131"/>
      <c r="BH222" s="131"/>
      <c r="BI222" s="131"/>
      <c r="BJ222" s="131"/>
      <c r="BK222" s="131"/>
      <c r="BL222" s="131"/>
      <c r="BM222" s="131"/>
      <c r="BN222" s="131"/>
      <c r="BO222" s="131"/>
      <c r="BP222" s="131"/>
      <c r="BQ222" s="131"/>
      <c r="BR222" s="131"/>
      <c r="BS222" s="131"/>
      <c r="BT222" s="131"/>
      <c r="BU222" s="131"/>
      <c r="BV222" s="131"/>
      <c r="BW222" s="131"/>
      <c r="BX222" s="131"/>
      <c r="BY222" s="131"/>
      <c r="BZ222" s="131"/>
      <c r="CA222" s="131"/>
      <c r="CB222" s="131"/>
      <c r="CC222" s="131"/>
      <c r="CD222" s="131"/>
      <c r="CE222" s="131"/>
      <c r="CF222" s="131"/>
      <c r="CG222" s="131"/>
      <c r="CH222" s="131"/>
      <c r="CI222" s="131"/>
      <c r="CJ222" s="131"/>
      <c r="CK222" s="131"/>
    </row>
    <row r="223" spans="1:89" s="200" customFormat="1" ht="14.25" customHeight="1" thickTop="1" thickBot="1" x14ac:dyDescent="0.25">
      <c r="A223" s="131"/>
      <c r="B223" s="131"/>
      <c r="C223" s="131"/>
      <c r="D223" s="131"/>
      <c r="E223" s="131"/>
      <c r="F223" s="131"/>
      <c r="G223" s="138"/>
      <c r="H223" s="402"/>
      <c r="I223" s="131"/>
      <c r="J223" s="358"/>
      <c r="K223" s="196" t="s">
        <v>242</v>
      </c>
      <c r="L223" s="196" t="s">
        <v>278</v>
      </c>
      <c r="M223" s="222">
        <v>1245.8150824114009</v>
      </c>
      <c r="N223" s="222">
        <v>1325.335194054682</v>
      </c>
      <c r="O223" s="222">
        <v>1305.1586089604821</v>
      </c>
      <c r="P223" s="222">
        <v>1284.9820238662819</v>
      </c>
      <c r="Q223" s="222">
        <v>1264.805438772082</v>
      </c>
      <c r="R223" s="222">
        <v>1244.628853677882</v>
      </c>
      <c r="S223" s="222">
        <v>1224.4522685836821</v>
      </c>
      <c r="T223" s="222">
        <v>1204.2756834894819</v>
      </c>
      <c r="U223" s="222">
        <v>1184.0990983952829</v>
      </c>
      <c r="V223" s="222">
        <v>1163.922513301083</v>
      </c>
      <c r="W223" s="222">
        <v>1143.745928206883</v>
      </c>
      <c r="X223" s="222">
        <v>1123.5693431126831</v>
      </c>
      <c r="Y223" s="222">
        <v>1103.3927580184829</v>
      </c>
      <c r="Z223" s="222">
        <v>1083.216172924283</v>
      </c>
      <c r="AA223" s="222">
        <v>1063.0395878300831</v>
      </c>
      <c r="AB223" s="222">
        <v>1045.5240286305061</v>
      </c>
      <c r="AC223" s="222">
        <v>1028.0084694309289</v>
      </c>
      <c r="AD223" s="222">
        <v>1010.492910231352</v>
      </c>
      <c r="AE223" s="222">
        <v>992.97735103177536</v>
      </c>
      <c r="AF223" s="222">
        <v>975.46179183219851</v>
      </c>
      <c r="AG223" s="222">
        <v>957.94623263262167</v>
      </c>
      <c r="AH223" s="222">
        <v>940.43067343304472</v>
      </c>
      <c r="AI223" s="222">
        <v>922.91511423346799</v>
      </c>
      <c r="AJ223" s="222">
        <v>905.39955503389115</v>
      </c>
      <c r="AK223" s="222">
        <v>887.88399583431419</v>
      </c>
      <c r="AL223" s="222">
        <v>870.36843663473735</v>
      </c>
      <c r="AM223" s="222">
        <v>852.85287743516062</v>
      </c>
      <c r="AN223" s="222">
        <v>835.33731823558367</v>
      </c>
      <c r="AO223" s="222">
        <v>817.82175903600682</v>
      </c>
      <c r="AP223" s="222">
        <v>800.30619983642964</v>
      </c>
      <c r="AQ223" s="131"/>
      <c r="AR223" s="131"/>
      <c r="AS223" s="131"/>
      <c r="AT223" s="131"/>
      <c r="AU223" s="131"/>
      <c r="AV223" s="131"/>
      <c r="AW223" s="131"/>
      <c r="AZ223" s="131"/>
      <c r="BA223" s="131"/>
      <c r="BB223" s="131"/>
      <c r="BC223" s="131"/>
      <c r="BD223" s="131"/>
      <c r="BE223" s="199"/>
      <c r="BF223" s="199"/>
      <c r="BG223" s="199"/>
      <c r="BH223" s="131"/>
      <c r="BI223" s="131"/>
      <c r="BJ223" s="131"/>
      <c r="BK223" s="131"/>
      <c r="BL223" s="131"/>
      <c r="BM223" s="131"/>
      <c r="BN223" s="131"/>
      <c r="BO223" s="131"/>
      <c r="BP223" s="131"/>
      <c r="BQ223" s="131"/>
      <c r="BR223" s="131"/>
      <c r="BS223" s="131"/>
      <c r="BT223" s="131"/>
      <c r="BU223" s="131"/>
      <c r="BV223" s="131"/>
      <c r="BW223" s="131"/>
      <c r="BX223" s="131"/>
      <c r="BY223" s="131"/>
      <c r="BZ223" s="131"/>
      <c r="CA223" s="131"/>
      <c r="CB223" s="131"/>
      <c r="CC223" s="131"/>
      <c r="CD223" s="131"/>
      <c r="CE223" s="131"/>
      <c r="CF223" s="131"/>
      <c r="CG223" s="131"/>
      <c r="CH223" s="131"/>
      <c r="CI223" s="131"/>
      <c r="CJ223" s="131"/>
      <c r="CK223" s="131"/>
    </row>
    <row r="224" spans="1:89" ht="13.5" customHeight="1" thickTop="1" thickBot="1" x14ac:dyDescent="0.25">
      <c r="G224" s="138"/>
      <c r="H224" s="380"/>
      <c r="J224" s="358"/>
      <c r="K224" s="194" t="s">
        <v>244</v>
      </c>
      <c r="L224" s="194" t="s">
        <v>276</v>
      </c>
      <c r="M224" s="220">
        <v>1245.8150824114009</v>
      </c>
      <c r="N224" s="220">
        <v>1325.335194054682</v>
      </c>
      <c r="O224" s="220">
        <v>1270.34208314903</v>
      </c>
      <c r="P224" s="220">
        <v>1215.3489722433781</v>
      </c>
      <c r="Q224" s="220">
        <v>1160.3558613377261</v>
      </c>
      <c r="R224" s="220">
        <v>1105.362750432075</v>
      </c>
      <c r="S224" s="220">
        <v>1050.369639526423</v>
      </c>
      <c r="T224" s="220">
        <v>995.37652862077118</v>
      </c>
      <c r="U224" s="220">
        <v>940.38341771511944</v>
      </c>
      <c r="V224" s="220">
        <v>885.39030680946769</v>
      </c>
      <c r="W224" s="220">
        <v>830.39719590381605</v>
      </c>
      <c r="X224" s="220">
        <v>775.40408499816431</v>
      </c>
      <c r="Y224" s="220">
        <v>720.41097409251256</v>
      </c>
      <c r="Z224" s="220">
        <v>665.41786318686081</v>
      </c>
      <c r="AA224" s="220">
        <v>610.42475228120873</v>
      </c>
      <c r="AB224" s="220">
        <v>603.2542206196656</v>
      </c>
      <c r="AC224" s="220">
        <v>596.08368895812237</v>
      </c>
      <c r="AD224" s="220">
        <v>588.91315729657924</v>
      </c>
      <c r="AE224" s="220">
        <v>581.74262563503612</v>
      </c>
      <c r="AF224" s="220">
        <v>574.57209397349288</v>
      </c>
      <c r="AG224" s="220">
        <v>567.40156231194976</v>
      </c>
      <c r="AH224" s="220">
        <v>560.23103065040664</v>
      </c>
      <c r="AI224" s="220">
        <v>553.06049898886329</v>
      </c>
      <c r="AJ224" s="220">
        <v>545.88996732732016</v>
      </c>
      <c r="AK224" s="220">
        <v>538.71943566577693</v>
      </c>
      <c r="AL224" s="220">
        <v>531.5489040042338</v>
      </c>
      <c r="AM224" s="220">
        <v>524.37837234269068</v>
      </c>
      <c r="AN224" s="220">
        <v>517.20784068114745</v>
      </c>
      <c r="AO224" s="220">
        <v>510.03730901960432</v>
      </c>
      <c r="AP224" s="220">
        <v>502.86677735806057</v>
      </c>
      <c r="AT224" s="199"/>
      <c r="AU224" s="199"/>
      <c r="AV224" s="199"/>
      <c r="AW224" s="199"/>
      <c r="AZ224" s="199"/>
    </row>
    <row r="225" spans="1:89" s="199" customFormat="1" ht="14.25" customHeight="1" thickTop="1" thickBot="1" x14ac:dyDescent="0.25">
      <c r="A225" s="131"/>
      <c r="B225" s="131"/>
      <c r="C225" s="131"/>
      <c r="D225" s="131"/>
      <c r="E225" s="131"/>
      <c r="F225" s="131"/>
      <c r="G225" s="138"/>
      <c r="H225" s="401"/>
      <c r="I225" s="131"/>
      <c r="J225" s="358"/>
      <c r="K225" s="135" t="s">
        <v>244</v>
      </c>
      <c r="L225" s="185" t="s">
        <v>277</v>
      </c>
      <c r="M225" s="221">
        <v>1245.8150824114009</v>
      </c>
      <c r="N225" s="221">
        <v>1325.335194054682</v>
      </c>
      <c r="O225" s="221">
        <v>1284.9483483455849</v>
      </c>
      <c r="P225" s="221">
        <v>1244.561502636489</v>
      </c>
      <c r="Q225" s="221">
        <v>1204.174656927393</v>
      </c>
      <c r="R225" s="221">
        <v>1163.7878112182959</v>
      </c>
      <c r="S225" s="221">
        <v>1123.4009655092</v>
      </c>
      <c r="T225" s="221">
        <v>1083.014119800104</v>
      </c>
      <c r="U225" s="221">
        <v>1042.6272740910081</v>
      </c>
      <c r="V225" s="221">
        <v>1002.240428381912</v>
      </c>
      <c r="W225" s="221">
        <v>961.85358267281526</v>
      </c>
      <c r="X225" s="221">
        <v>921.46673696371909</v>
      </c>
      <c r="Y225" s="221">
        <v>881.07989125462279</v>
      </c>
      <c r="Z225" s="221">
        <v>840.6930455455265</v>
      </c>
      <c r="AA225" s="221">
        <v>800.30619983642964</v>
      </c>
      <c r="AB225" s="221">
        <v>787.64743666608149</v>
      </c>
      <c r="AC225" s="221">
        <v>774.98867349573345</v>
      </c>
      <c r="AD225" s="221">
        <v>762.32991032538541</v>
      </c>
      <c r="AE225" s="221">
        <v>749.67114715503737</v>
      </c>
      <c r="AF225" s="221">
        <v>737.01238398468922</v>
      </c>
      <c r="AG225" s="221">
        <v>724.3536208143413</v>
      </c>
      <c r="AH225" s="221">
        <v>711.69485764399326</v>
      </c>
      <c r="AI225" s="221">
        <v>699.03609447364511</v>
      </c>
      <c r="AJ225" s="221">
        <v>686.37733130329718</v>
      </c>
      <c r="AK225" s="221">
        <v>673.71856813294903</v>
      </c>
      <c r="AL225" s="221">
        <v>661.05980496260099</v>
      </c>
      <c r="AM225" s="221">
        <v>648.40104179225295</v>
      </c>
      <c r="AN225" s="221">
        <v>635.74227862190492</v>
      </c>
      <c r="AO225" s="221">
        <v>623.08351545155699</v>
      </c>
      <c r="AP225" s="221">
        <v>610.42475228120873</v>
      </c>
      <c r="AQ225" s="131"/>
      <c r="AR225" s="131"/>
      <c r="AS225" s="131"/>
      <c r="AT225" s="200"/>
      <c r="AU225" s="200"/>
      <c r="AV225" s="200"/>
      <c r="AW225" s="200"/>
      <c r="AZ225" s="200"/>
      <c r="BA225" s="131"/>
      <c r="BB225" s="131"/>
      <c r="BC225" s="131"/>
      <c r="BD225" s="131"/>
      <c r="BE225" s="131"/>
      <c r="BF225" s="131"/>
      <c r="BG225" s="131"/>
      <c r="BH225" s="131"/>
      <c r="BI225" s="131"/>
      <c r="BJ225" s="131"/>
      <c r="BK225" s="131"/>
      <c r="BL225" s="131"/>
      <c r="BM225" s="131"/>
      <c r="BN225" s="131"/>
      <c r="BO225" s="131"/>
      <c r="BP225" s="131"/>
      <c r="BQ225" s="131"/>
      <c r="BR225" s="131"/>
      <c r="BS225" s="131"/>
      <c r="BT225" s="131"/>
      <c r="BU225" s="131"/>
      <c r="BV225" s="131"/>
      <c r="BW225" s="131"/>
      <c r="BX225" s="131"/>
      <c r="BY225" s="131"/>
      <c r="BZ225" s="131"/>
      <c r="CA225" s="131"/>
      <c r="CB225" s="131"/>
      <c r="CC225" s="131"/>
      <c r="CD225" s="131"/>
      <c r="CE225" s="131"/>
      <c r="CF225" s="131"/>
      <c r="CG225" s="131"/>
      <c r="CH225" s="131"/>
      <c r="CI225" s="131"/>
      <c r="CJ225" s="131"/>
      <c r="CK225" s="131"/>
    </row>
    <row r="226" spans="1:89" s="200" customFormat="1" ht="14.25" customHeight="1" thickTop="1" thickBot="1" x14ac:dyDescent="0.25">
      <c r="A226" s="131"/>
      <c r="B226" s="131"/>
      <c r="C226" s="131"/>
      <c r="D226" s="131"/>
      <c r="E226" s="131"/>
      <c r="F226" s="131"/>
      <c r="G226" s="138"/>
      <c r="H226" s="402"/>
      <c r="I226" s="131"/>
      <c r="J226" s="358"/>
      <c r="K226" s="196" t="s">
        <v>244</v>
      </c>
      <c r="L226" s="196" t="s">
        <v>278</v>
      </c>
      <c r="M226" s="222">
        <v>1245.8150824114009</v>
      </c>
      <c r="N226" s="222">
        <v>1325.335194054682</v>
      </c>
      <c r="O226" s="222">
        <v>1305.1586089604821</v>
      </c>
      <c r="P226" s="222">
        <v>1284.9820238662819</v>
      </c>
      <c r="Q226" s="222">
        <v>1264.805438772082</v>
      </c>
      <c r="R226" s="222">
        <v>1244.628853677882</v>
      </c>
      <c r="S226" s="222">
        <v>1224.4522685836821</v>
      </c>
      <c r="T226" s="222">
        <v>1204.2756834894819</v>
      </c>
      <c r="U226" s="222">
        <v>1184.0990983952829</v>
      </c>
      <c r="V226" s="222">
        <v>1163.922513301083</v>
      </c>
      <c r="W226" s="222">
        <v>1143.745928206883</v>
      </c>
      <c r="X226" s="222">
        <v>1123.5693431126831</v>
      </c>
      <c r="Y226" s="222">
        <v>1103.3927580184829</v>
      </c>
      <c r="Z226" s="222">
        <v>1083.216172924283</v>
      </c>
      <c r="AA226" s="222">
        <v>1063.0395878300831</v>
      </c>
      <c r="AB226" s="222">
        <v>1045.5240286305061</v>
      </c>
      <c r="AC226" s="222">
        <v>1028.0084694309289</v>
      </c>
      <c r="AD226" s="222">
        <v>1010.492910231352</v>
      </c>
      <c r="AE226" s="222">
        <v>992.97735103177536</v>
      </c>
      <c r="AF226" s="222">
        <v>975.46179183219851</v>
      </c>
      <c r="AG226" s="222">
        <v>957.94623263262167</v>
      </c>
      <c r="AH226" s="222">
        <v>940.43067343304472</v>
      </c>
      <c r="AI226" s="222">
        <v>922.91511423346799</v>
      </c>
      <c r="AJ226" s="222">
        <v>905.39955503389115</v>
      </c>
      <c r="AK226" s="222">
        <v>887.88399583431419</v>
      </c>
      <c r="AL226" s="222">
        <v>870.36843663473735</v>
      </c>
      <c r="AM226" s="222">
        <v>852.85287743516062</v>
      </c>
      <c r="AN226" s="222">
        <v>835.33731823558367</v>
      </c>
      <c r="AO226" s="222">
        <v>817.82175903600682</v>
      </c>
      <c r="AP226" s="222">
        <v>800.30619983642964</v>
      </c>
      <c r="AQ226" s="131"/>
      <c r="AR226" s="131"/>
      <c r="AS226" s="131"/>
      <c r="AT226" s="131"/>
      <c r="AU226" s="131"/>
      <c r="AV226" s="131"/>
      <c r="AW226" s="131"/>
      <c r="AZ226" s="131"/>
      <c r="BA226" s="131"/>
      <c r="BB226" s="131"/>
      <c r="BC226" s="131"/>
      <c r="BD226" s="131"/>
      <c r="BE226" s="199"/>
      <c r="BF226" s="199"/>
      <c r="BG226" s="199"/>
      <c r="BH226" s="131"/>
      <c r="BI226" s="131"/>
      <c r="BJ226" s="131"/>
      <c r="BK226" s="131"/>
      <c r="BL226" s="131"/>
      <c r="BM226" s="131"/>
      <c r="BN226" s="131"/>
      <c r="BO226" s="131"/>
      <c r="BP226" s="131"/>
      <c r="BQ226" s="131"/>
      <c r="BR226" s="131"/>
      <c r="BS226" s="131"/>
      <c r="BT226" s="131"/>
      <c r="BU226" s="131"/>
      <c r="BV226" s="131"/>
      <c r="BW226" s="131"/>
      <c r="BX226" s="131"/>
      <c r="BY226" s="131"/>
      <c r="BZ226" s="131"/>
      <c r="CA226" s="131"/>
      <c r="CB226" s="131"/>
      <c r="CC226" s="131"/>
      <c r="CD226" s="131"/>
      <c r="CE226" s="131"/>
      <c r="CF226" s="131"/>
      <c r="CG226" s="131"/>
      <c r="CH226" s="131"/>
      <c r="CI226" s="131"/>
      <c r="CJ226" s="131"/>
      <c r="CK226" s="131"/>
    </row>
    <row r="227" spans="1:89" ht="14.25" customHeight="1" thickTop="1" x14ac:dyDescent="0.2">
      <c r="G227" s="138"/>
      <c r="H227" s="380"/>
      <c r="J227" s="358"/>
      <c r="K227" s="194" t="s">
        <v>246</v>
      </c>
      <c r="L227" s="194" t="s">
        <v>276</v>
      </c>
      <c r="M227" s="220">
        <v>1245.8150824114009</v>
      </c>
      <c r="N227" s="220">
        <v>1325.335194054682</v>
      </c>
      <c r="O227" s="220">
        <v>1270.34208314903</v>
      </c>
      <c r="P227" s="220">
        <v>1215.3489722433781</v>
      </c>
      <c r="Q227" s="220">
        <v>1160.3558613377261</v>
      </c>
      <c r="R227" s="220">
        <v>1105.362750432075</v>
      </c>
      <c r="S227" s="220">
        <v>1050.369639526423</v>
      </c>
      <c r="T227" s="220">
        <v>995.37652862077118</v>
      </c>
      <c r="U227" s="220">
        <v>940.38341771511944</v>
      </c>
      <c r="V227" s="220">
        <v>885.39030680946769</v>
      </c>
      <c r="W227" s="220">
        <v>830.39719590381605</v>
      </c>
      <c r="X227" s="220">
        <v>775.40408499816431</v>
      </c>
      <c r="Y227" s="220">
        <v>720.41097409251256</v>
      </c>
      <c r="Z227" s="220">
        <v>665.41786318686081</v>
      </c>
      <c r="AA227" s="220">
        <v>610.42475228120873</v>
      </c>
      <c r="AB227" s="220">
        <v>603.2542206196656</v>
      </c>
      <c r="AC227" s="220">
        <v>596.08368895812237</v>
      </c>
      <c r="AD227" s="220">
        <v>588.91315729657924</v>
      </c>
      <c r="AE227" s="220">
        <v>581.74262563503612</v>
      </c>
      <c r="AF227" s="220">
        <v>574.57209397349288</v>
      </c>
      <c r="AG227" s="220">
        <v>567.40156231194976</v>
      </c>
      <c r="AH227" s="220">
        <v>560.23103065040664</v>
      </c>
      <c r="AI227" s="220">
        <v>553.06049898886329</v>
      </c>
      <c r="AJ227" s="220">
        <v>545.88996732732016</v>
      </c>
      <c r="AK227" s="220">
        <v>538.71943566577693</v>
      </c>
      <c r="AL227" s="220">
        <v>531.5489040042338</v>
      </c>
      <c r="AM227" s="220">
        <v>524.37837234269068</v>
      </c>
      <c r="AN227" s="220">
        <v>517.20784068114745</v>
      </c>
      <c r="AO227" s="220">
        <v>510.03730901960432</v>
      </c>
      <c r="AP227" s="220">
        <v>502.86677735806057</v>
      </c>
    </row>
    <row r="228" spans="1:89" ht="14.25" customHeight="1" x14ac:dyDescent="0.2">
      <c r="G228" s="138"/>
      <c r="H228" s="380"/>
      <c r="J228" s="358"/>
      <c r="K228" s="135" t="s">
        <v>246</v>
      </c>
      <c r="L228" s="185" t="s">
        <v>277</v>
      </c>
      <c r="M228" s="221">
        <v>1245.8150824114009</v>
      </c>
      <c r="N228" s="221">
        <v>1325.335194054682</v>
      </c>
      <c r="O228" s="221">
        <v>1284.9483483455849</v>
      </c>
      <c r="P228" s="221">
        <v>1244.561502636489</v>
      </c>
      <c r="Q228" s="221">
        <v>1204.174656927393</v>
      </c>
      <c r="R228" s="221">
        <v>1163.7878112182959</v>
      </c>
      <c r="S228" s="221">
        <v>1123.4009655092</v>
      </c>
      <c r="T228" s="221">
        <v>1083.014119800104</v>
      </c>
      <c r="U228" s="221">
        <v>1042.6272740910081</v>
      </c>
      <c r="V228" s="221">
        <v>1002.240428381912</v>
      </c>
      <c r="W228" s="221">
        <v>961.85358267281526</v>
      </c>
      <c r="X228" s="221">
        <v>921.46673696371909</v>
      </c>
      <c r="Y228" s="221">
        <v>881.07989125462279</v>
      </c>
      <c r="Z228" s="221">
        <v>840.6930455455265</v>
      </c>
      <c r="AA228" s="221">
        <v>800.30619983642964</v>
      </c>
      <c r="AB228" s="221">
        <v>787.64743666608149</v>
      </c>
      <c r="AC228" s="221">
        <v>774.98867349573345</v>
      </c>
      <c r="AD228" s="221">
        <v>762.32991032538541</v>
      </c>
      <c r="AE228" s="221">
        <v>749.67114715503737</v>
      </c>
      <c r="AF228" s="221">
        <v>737.01238398468922</v>
      </c>
      <c r="AG228" s="221">
        <v>724.3536208143413</v>
      </c>
      <c r="AH228" s="221">
        <v>711.69485764399326</v>
      </c>
      <c r="AI228" s="221">
        <v>699.03609447364511</v>
      </c>
      <c r="AJ228" s="221">
        <v>686.37733130329718</v>
      </c>
      <c r="AK228" s="221">
        <v>673.71856813294903</v>
      </c>
      <c r="AL228" s="221">
        <v>661.05980496260099</v>
      </c>
      <c r="AM228" s="221">
        <v>648.40104179225295</v>
      </c>
      <c r="AN228" s="221">
        <v>635.74227862190492</v>
      </c>
      <c r="AO228" s="221">
        <v>623.08351545155699</v>
      </c>
      <c r="AP228" s="221">
        <v>610.42475228120873</v>
      </c>
    </row>
    <row r="229" spans="1:89" ht="14.25" customHeight="1" thickBot="1" x14ac:dyDescent="0.25">
      <c r="G229" s="138"/>
      <c r="H229" s="380"/>
      <c r="J229" s="358"/>
      <c r="K229" s="196" t="s">
        <v>246</v>
      </c>
      <c r="L229" s="196" t="s">
        <v>278</v>
      </c>
      <c r="M229" s="222">
        <v>1245.8150824114009</v>
      </c>
      <c r="N229" s="222">
        <v>1325.335194054682</v>
      </c>
      <c r="O229" s="222">
        <v>1305.1586089604821</v>
      </c>
      <c r="P229" s="222">
        <v>1284.9820238662819</v>
      </c>
      <c r="Q229" s="222">
        <v>1264.805438772082</v>
      </c>
      <c r="R229" s="222">
        <v>1244.628853677882</v>
      </c>
      <c r="S229" s="222">
        <v>1224.4522685836821</v>
      </c>
      <c r="T229" s="222">
        <v>1204.2756834894819</v>
      </c>
      <c r="U229" s="222">
        <v>1184.0990983952829</v>
      </c>
      <c r="V229" s="222">
        <v>1163.922513301083</v>
      </c>
      <c r="W229" s="222">
        <v>1143.745928206883</v>
      </c>
      <c r="X229" s="222">
        <v>1123.5693431126831</v>
      </c>
      <c r="Y229" s="222">
        <v>1103.3927580184829</v>
      </c>
      <c r="Z229" s="222">
        <v>1083.216172924283</v>
      </c>
      <c r="AA229" s="222">
        <v>1063.0395878300831</v>
      </c>
      <c r="AB229" s="222">
        <v>1045.5240286305061</v>
      </c>
      <c r="AC229" s="222">
        <v>1028.0084694309289</v>
      </c>
      <c r="AD229" s="222">
        <v>1010.492910231352</v>
      </c>
      <c r="AE229" s="222">
        <v>992.97735103177536</v>
      </c>
      <c r="AF229" s="222">
        <v>975.46179183219851</v>
      </c>
      <c r="AG229" s="222">
        <v>957.94623263262167</v>
      </c>
      <c r="AH229" s="222">
        <v>940.43067343304472</v>
      </c>
      <c r="AI229" s="222">
        <v>922.91511423346799</v>
      </c>
      <c r="AJ229" s="222">
        <v>905.39955503389115</v>
      </c>
      <c r="AK229" s="222">
        <v>887.88399583431419</v>
      </c>
      <c r="AL229" s="222">
        <v>870.36843663473735</v>
      </c>
      <c r="AM229" s="222">
        <v>852.85287743516062</v>
      </c>
      <c r="AN229" s="222">
        <v>835.33731823558367</v>
      </c>
      <c r="AO229" s="222">
        <v>817.82175903600682</v>
      </c>
      <c r="AP229" s="222">
        <v>800.30619983642964</v>
      </c>
    </row>
    <row r="230" spans="1:89" ht="14.25" customHeight="1" thickTop="1" x14ac:dyDescent="0.2">
      <c r="G230" s="138"/>
      <c r="H230" s="380"/>
      <c r="J230" s="358"/>
      <c r="K230" s="194" t="s">
        <v>248</v>
      </c>
      <c r="L230" s="194" t="s">
        <v>276</v>
      </c>
      <c r="M230" s="220">
        <v>1245.8150824114009</v>
      </c>
      <c r="N230" s="220">
        <v>1325.335194054682</v>
      </c>
      <c r="O230" s="220">
        <v>1270.34208314903</v>
      </c>
      <c r="P230" s="220">
        <v>1215.3489722433781</v>
      </c>
      <c r="Q230" s="220">
        <v>1160.3558613377261</v>
      </c>
      <c r="R230" s="220">
        <v>1105.362750432075</v>
      </c>
      <c r="S230" s="220">
        <v>1050.369639526423</v>
      </c>
      <c r="T230" s="220">
        <v>995.37652862077118</v>
      </c>
      <c r="U230" s="220">
        <v>940.38341771511944</v>
      </c>
      <c r="V230" s="220">
        <v>885.39030680946769</v>
      </c>
      <c r="W230" s="220">
        <v>830.39719590381605</v>
      </c>
      <c r="X230" s="220">
        <v>775.40408499816431</v>
      </c>
      <c r="Y230" s="220">
        <v>720.41097409251256</v>
      </c>
      <c r="Z230" s="220">
        <v>665.41786318686081</v>
      </c>
      <c r="AA230" s="220">
        <v>610.42475228120873</v>
      </c>
      <c r="AB230" s="220">
        <v>603.2542206196656</v>
      </c>
      <c r="AC230" s="220">
        <v>596.08368895812237</v>
      </c>
      <c r="AD230" s="220">
        <v>588.91315729657924</v>
      </c>
      <c r="AE230" s="220">
        <v>581.74262563503612</v>
      </c>
      <c r="AF230" s="220">
        <v>574.57209397349288</v>
      </c>
      <c r="AG230" s="220">
        <v>567.40156231194976</v>
      </c>
      <c r="AH230" s="220">
        <v>560.23103065040664</v>
      </c>
      <c r="AI230" s="220">
        <v>553.06049898886329</v>
      </c>
      <c r="AJ230" s="220">
        <v>545.88996732732016</v>
      </c>
      <c r="AK230" s="220">
        <v>538.71943566577693</v>
      </c>
      <c r="AL230" s="220">
        <v>531.5489040042338</v>
      </c>
      <c r="AM230" s="220">
        <v>524.37837234269068</v>
      </c>
      <c r="AN230" s="220">
        <v>517.20784068114745</v>
      </c>
      <c r="AO230" s="220">
        <v>510.03730901960432</v>
      </c>
      <c r="AP230" s="220">
        <v>502.86677735806057</v>
      </c>
    </row>
    <row r="231" spans="1:89" ht="14.25" customHeight="1" x14ac:dyDescent="0.2">
      <c r="G231" s="138"/>
      <c r="H231" s="380"/>
      <c r="J231" s="358"/>
      <c r="K231" s="135" t="s">
        <v>248</v>
      </c>
      <c r="L231" s="185" t="s">
        <v>277</v>
      </c>
      <c r="M231" s="221">
        <v>1245.8150824114009</v>
      </c>
      <c r="N231" s="221">
        <v>1325.335194054682</v>
      </c>
      <c r="O231" s="221">
        <v>1284.9483483455849</v>
      </c>
      <c r="P231" s="221">
        <v>1244.561502636489</v>
      </c>
      <c r="Q231" s="221">
        <v>1204.174656927393</v>
      </c>
      <c r="R231" s="221">
        <v>1163.7878112182959</v>
      </c>
      <c r="S231" s="221">
        <v>1123.4009655092</v>
      </c>
      <c r="T231" s="221">
        <v>1083.014119800104</v>
      </c>
      <c r="U231" s="221">
        <v>1042.6272740910081</v>
      </c>
      <c r="V231" s="221">
        <v>1002.240428381912</v>
      </c>
      <c r="W231" s="221">
        <v>961.85358267281526</v>
      </c>
      <c r="X231" s="221">
        <v>921.46673696371909</v>
      </c>
      <c r="Y231" s="221">
        <v>881.07989125462279</v>
      </c>
      <c r="Z231" s="221">
        <v>840.6930455455265</v>
      </c>
      <c r="AA231" s="221">
        <v>800.30619983642964</v>
      </c>
      <c r="AB231" s="221">
        <v>787.64743666608149</v>
      </c>
      <c r="AC231" s="221">
        <v>774.98867349573345</v>
      </c>
      <c r="AD231" s="221">
        <v>762.32991032538541</v>
      </c>
      <c r="AE231" s="221">
        <v>749.67114715503737</v>
      </c>
      <c r="AF231" s="221">
        <v>737.01238398468922</v>
      </c>
      <c r="AG231" s="221">
        <v>724.3536208143413</v>
      </c>
      <c r="AH231" s="221">
        <v>711.69485764399326</v>
      </c>
      <c r="AI231" s="221">
        <v>699.03609447364511</v>
      </c>
      <c r="AJ231" s="221">
        <v>686.37733130329718</v>
      </c>
      <c r="AK231" s="221">
        <v>673.71856813294903</v>
      </c>
      <c r="AL231" s="221">
        <v>661.05980496260099</v>
      </c>
      <c r="AM231" s="221">
        <v>648.40104179225295</v>
      </c>
      <c r="AN231" s="221">
        <v>635.74227862190492</v>
      </c>
      <c r="AO231" s="221">
        <v>623.08351545155699</v>
      </c>
      <c r="AP231" s="221">
        <v>610.42475228120873</v>
      </c>
    </row>
    <row r="232" spans="1:89" ht="14.25" customHeight="1" thickBot="1" x14ac:dyDescent="0.25">
      <c r="G232" s="138"/>
      <c r="H232" s="380"/>
      <c r="J232" s="358"/>
      <c r="K232" s="196" t="s">
        <v>248</v>
      </c>
      <c r="L232" s="196" t="s">
        <v>278</v>
      </c>
      <c r="M232" s="222">
        <v>1245.8150824114009</v>
      </c>
      <c r="N232" s="222">
        <v>1325.335194054682</v>
      </c>
      <c r="O232" s="222">
        <v>1305.1586089604821</v>
      </c>
      <c r="P232" s="222">
        <v>1284.9820238662819</v>
      </c>
      <c r="Q232" s="222">
        <v>1264.805438772082</v>
      </c>
      <c r="R232" s="222">
        <v>1244.628853677882</v>
      </c>
      <c r="S232" s="222">
        <v>1224.4522685836821</v>
      </c>
      <c r="T232" s="222">
        <v>1204.2756834894819</v>
      </c>
      <c r="U232" s="222">
        <v>1184.0990983952829</v>
      </c>
      <c r="V232" s="222">
        <v>1163.922513301083</v>
      </c>
      <c r="W232" s="222">
        <v>1143.745928206883</v>
      </c>
      <c r="X232" s="222">
        <v>1123.5693431126831</v>
      </c>
      <c r="Y232" s="222">
        <v>1103.3927580184829</v>
      </c>
      <c r="Z232" s="222">
        <v>1083.216172924283</v>
      </c>
      <c r="AA232" s="222">
        <v>1063.0395878300831</v>
      </c>
      <c r="AB232" s="222">
        <v>1045.5240286305061</v>
      </c>
      <c r="AC232" s="222">
        <v>1028.0084694309289</v>
      </c>
      <c r="AD232" s="222">
        <v>1010.492910231352</v>
      </c>
      <c r="AE232" s="222">
        <v>992.97735103177536</v>
      </c>
      <c r="AF232" s="222">
        <v>975.46179183219851</v>
      </c>
      <c r="AG232" s="222">
        <v>957.94623263262167</v>
      </c>
      <c r="AH232" s="222">
        <v>940.43067343304472</v>
      </c>
      <c r="AI232" s="222">
        <v>922.91511423346799</v>
      </c>
      <c r="AJ232" s="222">
        <v>905.39955503389115</v>
      </c>
      <c r="AK232" s="222">
        <v>887.88399583431419</v>
      </c>
      <c r="AL232" s="222">
        <v>870.36843663473735</v>
      </c>
      <c r="AM232" s="222">
        <v>852.85287743516062</v>
      </c>
      <c r="AN232" s="222">
        <v>835.33731823558367</v>
      </c>
      <c r="AO232" s="222">
        <v>817.82175903600682</v>
      </c>
      <c r="AP232" s="222">
        <v>800.30619983642964</v>
      </c>
    </row>
    <row r="233" spans="1:89" ht="14.25" customHeight="1" thickTop="1" x14ac:dyDescent="0.2">
      <c r="G233" s="138"/>
      <c r="H233" s="380"/>
      <c r="J233" s="358"/>
      <c r="K233" s="194" t="s">
        <v>250</v>
      </c>
      <c r="L233" s="194" t="s">
        <v>276</v>
      </c>
      <c r="M233" s="220">
        <v>1245.8150824114009</v>
      </c>
      <c r="N233" s="220">
        <v>1325.335194054682</v>
      </c>
      <c r="O233" s="220">
        <v>1270.34208314903</v>
      </c>
      <c r="P233" s="220">
        <v>1215.3489722433781</v>
      </c>
      <c r="Q233" s="220">
        <v>1160.3558613377261</v>
      </c>
      <c r="R233" s="220">
        <v>1105.362750432075</v>
      </c>
      <c r="S233" s="220">
        <v>1050.369639526423</v>
      </c>
      <c r="T233" s="220">
        <v>995.37652862077118</v>
      </c>
      <c r="U233" s="220">
        <v>940.38341771511944</v>
      </c>
      <c r="V233" s="220">
        <v>885.39030680946769</v>
      </c>
      <c r="W233" s="220">
        <v>830.39719590381605</v>
      </c>
      <c r="X233" s="220">
        <v>775.40408499816431</v>
      </c>
      <c r="Y233" s="220">
        <v>720.41097409251256</v>
      </c>
      <c r="Z233" s="220">
        <v>665.41786318686081</v>
      </c>
      <c r="AA233" s="220">
        <v>610.42475228120873</v>
      </c>
      <c r="AB233" s="220">
        <v>603.2542206196656</v>
      </c>
      <c r="AC233" s="220">
        <v>596.08368895812237</v>
      </c>
      <c r="AD233" s="220">
        <v>588.91315729657924</v>
      </c>
      <c r="AE233" s="220">
        <v>581.74262563503612</v>
      </c>
      <c r="AF233" s="220">
        <v>574.57209397349288</v>
      </c>
      <c r="AG233" s="220">
        <v>567.40156231194976</v>
      </c>
      <c r="AH233" s="220">
        <v>560.23103065040664</v>
      </c>
      <c r="AI233" s="220">
        <v>553.06049898886329</v>
      </c>
      <c r="AJ233" s="220">
        <v>545.88996732732016</v>
      </c>
      <c r="AK233" s="220">
        <v>538.71943566577693</v>
      </c>
      <c r="AL233" s="220">
        <v>531.5489040042338</v>
      </c>
      <c r="AM233" s="220">
        <v>524.37837234269068</v>
      </c>
      <c r="AN233" s="220">
        <v>517.20784068114745</v>
      </c>
      <c r="AO233" s="220">
        <v>510.03730901960432</v>
      </c>
      <c r="AP233" s="220">
        <v>502.86677735806057</v>
      </c>
    </row>
    <row r="234" spans="1:89" ht="14.25" customHeight="1" x14ac:dyDescent="0.2">
      <c r="G234" s="138"/>
      <c r="H234" s="380"/>
      <c r="J234" s="358"/>
      <c r="K234" s="135" t="s">
        <v>250</v>
      </c>
      <c r="L234" s="185" t="s">
        <v>277</v>
      </c>
      <c r="M234" s="221">
        <v>1245.8150824114009</v>
      </c>
      <c r="N234" s="221">
        <v>1325.335194054682</v>
      </c>
      <c r="O234" s="221">
        <v>1284.9483483455849</v>
      </c>
      <c r="P234" s="221">
        <v>1244.561502636489</v>
      </c>
      <c r="Q234" s="221">
        <v>1204.174656927393</v>
      </c>
      <c r="R234" s="221">
        <v>1163.7878112182959</v>
      </c>
      <c r="S234" s="221">
        <v>1123.4009655092</v>
      </c>
      <c r="T234" s="221">
        <v>1083.014119800104</v>
      </c>
      <c r="U234" s="221">
        <v>1042.6272740910081</v>
      </c>
      <c r="V234" s="221">
        <v>1002.240428381912</v>
      </c>
      <c r="W234" s="221">
        <v>961.85358267281526</v>
      </c>
      <c r="X234" s="221">
        <v>921.46673696371909</v>
      </c>
      <c r="Y234" s="221">
        <v>881.07989125462279</v>
      </c>
      <c r="Z234" s="221">
        <v>840.6930455455265</v>
      </c>
      <c r="AA234" s="221">
        <v>800.30619983642964</v>
      </c>
      <c r="AB234" s="221">
        <v>787.64743666608149</v>
      </c>
      <c r="AC234" s="221">
        <v>774.98867349573345</v>
      </c>
      <c r="AD234" s="221">
        <v>762.32991032538541</v>
      </c>
      <c r="AE234" s="221">
        <v>749.67114715503737</v>
      </c>
      <c r="AF234" s="221">
        <v>737.01238398468922</v>
      </c>
      <c r="AG234" s="221">
        <v>724.3536208143413</v>
      </c>
      <c r="AH234" s="221">
        <v>711.69485764399326</v>
      </c>
      <c r="AI234" s="221">
        <v>699.03609447364511</v>
      </c>
      <c r="AJ234" s="221">
        <v>686.37733130329718</v>
      </c>
      <c r="AK234" s="221">
        <v>673.71856813294903</v>
      </c>
      <c r="AL234" s="221">
        <v>661.05980496260099</v>
      </c>
      <c r="AM234" s="221">
        <v>648.40104179225295</v>
      </c>
      <c r="AN234" s="221">
        <v>635.74227862190492</v>
      </c>
      <c r="AO234" s="221">
        <v>623.08351545155699</v>
      </c>
      <c r="AP234" s="221">
        <v>610.42475228120873</v>
      </c>
    </row>
    <row r="235" spans="1:89" ht="14.25" customHeight="1" thickBot="1" x14ac:dyDescent="0.25">
      <c r="G235" s="138"/>
      <c r="H235" s="380"/>
      <c r="J235" s="358"/>
      <c r="K235" s="196" t="s">
        <v>250</v>
      </c>
      <c r="L235" s="196" t="s">
        <v>278</v>
      </c>
      <c r="M235" s="222">
        <v>1245.8150824114009</v>
      </c>
      <c r="N235" s="222">
        <v>1325.335194054682</v>
      </c>
      <c r="O235" s="222">
        <v>1305.1586089604821</v>
      </c>
      <c r="P235" s="222">
        <v>1284.9820238662819</v>
      </c>
      <c r="Q235" s="222">
        <v>1264.805438772082</v>
      </c>
      <c r="R235" s="222">
        <v>1244.628853677882</v>
      </c>
      <c r="S235" s="222">
        <v>1224.4522685836821</v>
      </c>
      <c r="T235" s="222">
        <v>1204.2756834894819</v>
      </c>
      <c r="U235" s="222">
        <v>1184.0990983952829</v>
      </c>
      <c r="V235" s="222">
        <v>1163.922513301083</v>
      </c>
      <c r="W235" s="222">
        <v>1143.745928206883</v>
      </c>
      <c r="X235" s="222">
        <v>1123.5693431126831</v>
      </c>
      <c r="Y235" s="222">
        <v>1103.3927580184829</v>
      </c>
      <c r="Z235" s="222">
        <v>1083.216172924283</v>
      </c>
      <c r="AA235" s="222">
        <v>1063.0395878300831</v>
      </c>
      <c r="AB235" s="222">
        <v>1045.5240286305061</v>
      </c>
      <c r="AC235" s="222">
        <v>1028.0084694309289</v>
      </c>
      <c r="AD235" s="222">
        <v>1010.492910231352</v>
      </c>
      <c r="AE235" s="222">
        <v>992.97735103177536</v>
      </c>
      <c r="AF235" s="222">
        <v>975.46179183219851</v>
      </c>
      <c r="AG235" s="222">
        <v>957.94623263262167</v>
      </c>
      <c r="AH235" s="222">
        <v>940.43067343304472</v>
      </c>
      <c r="AI235" s="222">
        <v>922.91511423346799</v>
      </c>
      <c r="AJ235" s="222">
        <v>905.39955503389115</v>
      </c>
      <c r="AK235" s="222">
        <v>887.88399583431419</v>
      </c>
      <c r="AL235" s="222">
        <v>870.36843663473735</v>
      </c>
      <c r="AM235" s="222">
        <v>852.85287743516062</v>
      </c>
      <c r="AN235" s="222">
        <v>835.33731823558367</v>
      </c>
      <c r="AO235" s="222">
        <v>817.82175903600682</v>
      </c>
      <c r="AP235" s="222">
        <v>800.30619983642964</v>
      </c>
    </row>
    <row r="236" spans="1:89" ht="13.5" customHeight="1" thickTop="1" thickBot="1" x14ac:dyDescent="0.25">
      <c r="G236" s="138"/>
      <c r="H236" s="380"/>
      <c r="J236" s="358"/>
      <c r="K236" s="194" t="s">
        <v>252</v>
      </c>
      <c r="L236" s="194" t="s">
        <v>276</v>
      </c>
      <c r="M236" s="220">
        <v>1245.8150824114009</v>
      </c>
      <c r="N236" s="220">
        <v>1325.335194054682</v>
      </c>
      <c r="O236" s="220">
        <v>1270.34208314903</v>
      </c>
      <c r="P236" s="220">
        <v>1215.3489722433781</v>
      </c>
      <c r="Q236" s="220">
        <v>1160.3558613377261</v>
      </c>
      <c r="R236" s="220">
        <v>1105.362750432075</v>
      </c>
      <c r="S236" s="220">
        <v>1050.369639526423</v>
      </c>
      <c r="T236" s="220">
        <v>995.37652862077118</v>
      </c>
      <c r="U236" s="220">
        <v>940.38341771511944</v>
      </c>
      <c r="V236" s="220">
        <v>885.39030680946769</v>
      </c>
      <c r="W236" s="220">
        <v>830.39719590381605</v>
      </c>
      <c r="X236" s="220">
        <v>775.40408499816431</v>
      </c>
      <c r="Y236" s="220">
        <v>720.41097409251256</v>
      </c>
      <c r="Z236" s="220">
        <v>665.41786318686081</v>
      </c>
      <c r="AA236" s="220">
        <v>610.42475228120873</v>
      </c>
      <c r="AB236" s="220">
        <v>603.2542206196656</v>
      </c>
      <c r="AC236" s="220">
        <v>596.08368895812237</v>
      </c>
      <c r="AD236" s="220">
        <v>588.91315729657924</v>
      </c>
      <c r="AE236" s="220">
        <v>581.74262563503612</v>
      </c>
      <c r="AF236" s="220">
        <v>574.57209397349288</v>
      </c>
      <c r="AG236" s="220">
        <v>567.40156231194976</v>
      </c>
      <c r="AH236" s="220">
        <v>560.23103065040664</v>
      </c>
      <c r="AI236" s="220">
        <v>553.06049898886329</v>
      </c>
      <c r="AJ236" s="220">
        <v>545.88996732732016</v>
      </c>
      <c r="AK236" s="220">
        <v>538.71943566577693</v>
      </c>
      <c r="AL236" s="220">
        <v>531.5489040042338</v>
      </c>
      <c r="AM236" s="220">
        <v>524.37837234269068</v>
      </c>
      <c r="AN236" s="220">
        <v>517.20784068114745</v>
      </c>
      <c r="AO236" s="220">
        <v>510.03730901960432</v>
      </c>
      <c r="AP236" s="220">
        <v>502.86677735806057</v>
      </c>
      <c r="AT236" s="199"/>
      <c r="AU236" s="199"/>
      <c r="AV236" s="199"/>
      <c r="AW236" s="199"/>
      <c r="AZ236" s="199"/>
    </row>
    <row r="237" spans="1:89" s="199" customFormat="1" ht="14.25" customHeight="1" thickTop="1" thickBot="1" x14ac:dyDescent="0.25">
      <c r="A237" s="131"/>
      <c r="B237" s="131"/>
      <c r="C237" s="131"/>
      <c r="D237" s="131"/>
      <c r="E237" s="131"/>
      <c r="F237" s="131"/>
      <c r="G237" s="138"/>
      <c r="H237" s="401"/>
      <c r="I237" s="131"/>
      <c r="J237" s="358"/>
      <c r="K237" s="135" t="s">
        <v>252</v>
      </c>
      <c r="L237" s="185" t="s">
        <v>277</v>
      </c>
      <c r="M237" s="221">
        <v>1245.8150824114009</v>
      </c>
      <c r="N237" s="221">
        <v>1325.335194054682</v>
      </c>
      <c r="O237" s="221">
        <v>1284.9483483455849</v>
      </c>
      <c r="P237" s="221">
        <v>1244.561502636489</v>
      </c>
      <c r="Q237" s="221">
        <v>1204.174656927393</v>
      </c>
      <c r="R237" s="221">
        <v>1163.7878112182959</v>
      </c>
      <c r="S237" s="221">
        <v>1123.4009655092</v>
      </c>
      <c r="T237" s="221">
        <v>1083.014119800104</v>
      </c>
      <c r="U237" s="221">
        <v>1042.6272740910081</v>
      </c>
      <c r="V237" s="221">
        <v>1002.240428381912</v>
      </c>
      <c r="W237" s="221">
        <v>961.85358267281526</v>
      </c>
      <c r="X237" s="221">
        <v>921.46673696371909</v>
      </c>
      <c r="Y237" s="221">
        <v>881.07989125462279</v>
      </c>
      <c r="Z237" s="221">
        <v>840.6930455455265</v>
      </c>
      <c r="AA237" s="221">
        <v>800.30619983642964</v>
      </c>
      <c r="AB237" s="221">
        <v>787.64743666608149</v>
      </c>
      <c r="AC237" s="221">
        <v>774.98867349573345</v>
      </c>
      <c r="AD237" s="221">
        <v>762.32991032538541</v>
      </c>
      <c r="AE237" s="221">
        <v>749.67114715503737</v>
      </c>
      <c r="AF237" s="221">
        <v>737.01238398468922</v>
      </c>
      <c r="AG237" s="221">
        <v>724.3536208143413</v>
      </c>
      <c r="AH237" s="221">
        <v>711.69485764399326</v>
      </c>
      <c r="AI237" s="221">
        <v>699.03609447364511</v>
      </c>
      <c r="AJ237" s="221">
        <v>686.37733130329718</v>
      </c>
      <c r="AK237" s="221">
        <v>673.71856813294903</v>
      </c>
      <c r="AL237" s="221">
        <v>661.05980496260099</v>
      </c>
      <c r="AM237" s="221">
        <v>648.40104179225295</v>
      </c>
      <c r="AN237" s="221">
        <v>635.74227862190492</v>
      </c>
      <c r="AO237" s="221">
        <v>623.08351545155699</v>
      </c>
      <c r="AP237" s="221">
        <v>610.42475228120873</v>
      </c>
      <c r="AQ237" s="131"/>
      <c r="AR237" s="131"/>
      <c r="AS237" s="131"/>
      <c r="AT237" s="200"/>
      <c r="AU237" s="200"/>
      <c r="AV237" s="200"/>
      <c r="AW237" s="200"/>
      <c r="AZ237" s="200"/>
      <c r="BA237" s="131"/>
      <c r="BB237" s="131"/>
      <c r="BC237" s="131"/>
      <c r="BD237" s="131"/>
      <c r="BE237" s="131"/>
      <c r="BF237" s="131"/>
      <c r="BG237" s="131"/>
      <c r="BH237" s="131"/>
      <c r="BI237" s="131"/>
      <c r="BJ237" s="131"/>
      <c r="BK237" s="131"/>
      <c r="BL237" s="131"/>
      <c r="BM237" s="131"/>
      <c r="BN237" s="131"/>
      <c r="BO237" s="131"/>
      <c r="BP237" s="131"/>
      <c r="BQ237" s="131"/>
      <c r="BR237" s="131"/>
      <c r="BS237" s="131"/>
      <c r="BT237" s="131"/>
      <c r="BU237" s="131"/>
      <c r="BV237" s="131"/>
      <c r="BW237" s="131"/>
      <c r="BX237" s="131"/>
      <c r="BY237" s="131"/>
      <c r="BZ237" s="131"/>
      <c r="CA237" s="131"/>
      <c r="CB237" s="131"/>
      <c r="CC237" s="131"/>
      <c r="CD237" s="131"/>
      <c r="CE237" s="131"/>
      <c r="CF237" s="131"/>
      <c r="CG237" s="131"/>
      <c r="CH237" s="131"/>
      <c r="CI237" s="131"/>
      <c r="CJ237" s="131"/>
      <c r="CK237" s="131"/>
    </row>
    <row r="238" spans="1:89" s="200" customFormat="1" ht="14.25" customHeight="1" thickTop="1" thickBot="1" x14ac:dyDescent="0.25">
      <c r="A238" s="131"/>
      <c r="B238" s="131"/>
      <c r="C238" s="131"/>
      <c r="D238" s="131"/>
      <c r="E238" s="131"/>
      <c r="F238" s="131"/>
      <c r="G238" s="138"/>
      <c r="H238" s="402"/>
      <c r="I238" s="131"/>
      <c r="J238" s="358"/>
      <c r="K238" s="196" t="s">
        <v>252</v>
      </c>
      <c r="L238" s="196" t="s">
        <v>278</v>
      </c>
      <c r="M238" s="222">
        <v>1245.8150824114009</v>
      </c>
      <c r="N238" s="222">
        <v>1325.335194054682</v>
      </c>
      <c r="O238" s="222">
        <v>1305.1586089604821</v>
      </c>
      <c r="P238" s="222">
        <v>1284.9820238662819</v>
      </c>
      <c r="Q238" s="222">
        <v>1264.805438772082</v>
      </c>
      <c r="R238" s="222">
        <v>1244.628853677882</v>
      </c>
      <c r="S238" s="222">
        <v>1224.4522685836821</v>
      </c>
      <c r="T238" s="222">
        <v>1204.2756834894819</v>
      </c>
      <c r="U238" s="222">
        <v>1184.0990983952829</v>
      </c>
      <c r="V238" s="222">
        <v>1163.922513301083</v>
      </c>
      <c r="W238" s="222">
        <v>1143.745928206883</v>
      </c>
      <c r="X238" s="222">
        <v>1123.5693431126831</v>
      </c>
      <c r="Y238" s="222">
        <v>1103.3927580184829</v>
      </c>
      <c r="Z238" s="222">
        <v>1083.216172924283</v>
      </c>
      <c r="AA238" s="222">
        <v>1063.0395878300831</v>
      </c>
      <c r="AB238" s="222">
        <v>1045.5240286305061</v>
      </c>
      <c r="AC238" s="222">
        <v>1028.0084694309289</v>
      </c>
      <c r="AD238" s="222">
        <v>1010.492910231352</v>
      </c>
      <c r="AE238" s="222">
        <v>992.97735103177536</v>
      </c>
      <c r="AF238" s="222">
        <v>975.46179183219851</v>
      </c>
      <c r="AG238" s="222">
        <v>957.94623263262167</v>
      </c>
      <c r="AH238" s="222">
        <v>940.43067343304472</v>
      </c>
      <c r="AI238" s="222">
        <v>922.91511423346799</v>
      </c>
      <c r="AJ238" s="222">
        <v>905.39955503389115</v>
      </c>
      <c r="AK238" s="222">
        <v>887.88399583431419</v>
      </c>
      <c r="AL238" s="222">
        <v>870.36843663473735</v>
      </c>
      <c r="AM238" s="222">
        <v>852.85287743516062</v>
      </c>
      <c r="AN238" s="222">
        <v>835.33731823558367</v>
      </c>
      <c r="AO238" s="222">
        <v>817.82175903600682</v>
      </c>
      <c r="AP238" s="222">
        <v>800.30619983642964</v>
      </c>
      <c r="AQ238" s="131"/>
      <c r="AR238" s="131"/>
      <c r="AS238" s="131"/>
      <c r="AT238" s="131"/>
      <c r="AU238" s="131"/>
      <c r="AV238" s="131"/>
      <c r="AW238" s="131"/>
      <c r="AZ238" s="131"/>
      <c r="BA238" s="131"/>
      <c r="BB238" s="131"/>
      <c r="BC238" s="131"/>
      <c r="BD238" s="131"/>
      <c r="BE238" s="199"/>
      <c r="BF238" s="199"/>
      <c r="BG238" s="199"/>
      <c r="BH238" s="131"/>
      <c r="BI238" s="131"/>
      <c r="BJ238" s="131"/>
      <c r="BK238" s="131"/>
      <c r="BL238" s="131"/>
      <c r="BM238" s="131"/>
      <c r="BN238" s="131"/>
      <c r="BO238" s="131"/>
      <c r="BP238" s="131"/>
      <c r="BQ238" s="131"/>
      <c r="BR238" s="131"/>
      <c r="BS238" s="131"/>
      <c r="BT238" s="131"/>
      <c r="BU238" s="131"/>
      <c r="BV238" s="131"/>
      <c r="BW238" s="131"/>
      <c r="BX238" s="131"/>
      <c r="BY238" s="131"/>
      <c r="BZ238" s="131"/>
      <c r="CA238" s="131"/>
      <c r="CB238" s="131"/>
      <c r="CC238" s="131"/>
      <c r="CD238" s="131"/>
      <c r="CE238" s="131"/>
      <c r="CF238" s="131"/>
      <c r="CG238" s="131"/>
      <c r="CH238" s="131"/>
      <c r="CI238" s="131"/>
      <c r="CJ238" s="131"/>
      <c r="CK238" s="131"/>
    </row>
    <row r="239" spans="1:89" ht="13.5" customHeight="1" thickTop="1" thickBot="1" x14ac:dyDescent="0.25">
      <c r="G239" s="138"/>
      <c r="H239" s="380"/>
      <c r="J239" s="358"/>
      <c r="K239" s="194" t="s">
        <v>254</v>
      </c>
      <c r="L239" s="194" t="s">
        <v>276</v>
      </c>
      <c r="M239" s="220">
        <v>1245.8150824114009</v>
      </c>
      <c r="N239" s="220">
        <v>1325.335194054682</v>
      </c>
      <c r="O239" s="220">
        <v>1270.34208314903</v>
      </c>
      <c r="P239" s="220">
        <v>1215.3489722433781</v>
      </c>
      <c r="Q239" s="220">
        <v>1160.3558613377261</v>
      </c>
      <c r="R239" s="220">
        <v>1105.362750432075</v>
      </c>
      <c r="S239" s="220">
        <v>1050.369639526423</v>
      </c>
      <c r="T239" s="220">
        <v>995.37652862077118</v>
      </c>
      <c r="U239" s="220">
        <v>940.38341771511944</v>
      </c>
      <c r="V239" s="220">
        <v>885.39030680946769</v>
      </c>
      <c r="W239" s="220">
        <v>830.39719590381605</v>
      </c>
      <c r="X239" s="220">
        <v>775.40408499816431</v>
      </c>
      <c r="Y239" s="220">
        <v>720.41097409251256</v>
      </c>
      <c r="Z239" s="220">
        <v>665.41786318686081</v>
      </c>
      <c r="AA239" s="220">
        <v>610.42475228120873</v>
      </c>
      <c r="AB239" s="220">
        <v>603.2542206196656</v>
      </c>
      <c r="AC239" s="220">
        <v>596.08368895812237</v>
      </c>
      <c r="AD239" s="220">
        <v>588.91315729657924</v>
      </c>
      <c r="AE239" s="220">
        <v>581.74262563503612</v>
      </c>
      <c r="AF239" s="220">
        <v>574.57209397349288</v>
      </c>
      <c r="AG239" s="220">
        <v>567.40156231194976</v>
      </c>
      <c r="AH239" s="220">
        <v>560.23103065040664</v>
      </c>
      <c r="AI239" s="220">
        <v>553.06049898886329</v>
      </c>
      <c r="AJ239" s="220">
        <v>545.88996732732016</v>
      </c>
      <c r="AK239" s="220">
        <v>538.71943566577693</v>
      </c>
      <c r="AL239" s="220">
        <v>531.5489040042338</v>
      </c>
      <c r="AM239" s="220">
        <v>524.37837234269068</v>
      </c>
      <c r="AN239" s="220">
        <v>517.20784068114745</v>
      </c>
      <c r="AO239" s="220">
        <v>510.03730901960432</v>
      </c>
      <c r="AP239" s="220">
        <v>502.86677735806057</v>
      </c>
      <c r="AT239" s="199"/>
      <c r="AU239" s="199"/>
      <c r="AV239" s="199"/>
      <c r="AW239" s="199"/>
      <c r="AZ239" s="199"/>
    </row>
    <row r="240" spans="1:89" s="199" customFormat="1" ht="14.25" customHeight="1" thickTop="1" thickBot="1" x14ac:dyDescent="0.25">
      <c r="A240" s="131"/>
      <c r="B240" s="131"/>
      <c r="C240" s="131"/>
      <c r="D240" s="131"/>
      <c r="E240" s="131"/>
      <c r="F240" s="131"/>
      <c r="G240" s="138"/>
      <c r="H240" s="401"/>
      <c r="I240" s="131"/>
      <c r="J240" s="358"/>
      <c r="K240" s="135" t="s">
        <v>254</v>
      </c>
      <c r="L240" s="185" t="s">
        <v>277</v>
      </c>
      <c r="M240" s="221">
        <v>1245.8150824114009</v>
      </c>
      <c r="N240" s="221">
        <v>1325.335194054682</v>
      </c>
      <c r="O240" s="221">
        <v>1284.9483483455849</v>
      </c>
      <c r="P240" s="221">
        <v>1244.561502636489</v>
      </c>
      <c r="Q240" s="221">
        <v>1204.174656927393</v>
      </c>
      <c r="R240" s="221">
        <v>1163.7878112182959</v>
      </c>
      <c r="S240" s="221">
        <v>1123.4009655092</v>
      </c>
      <c r="T240" s="221">
        <v>1083.014119800104</v>
      </c>
      <c r="U240" s="221">
        <v>1042.6272740910081</v>
      </c>
      <c r="V240" s="221">
        <v>1002.240428381912</v>
      </c>
      <c r="W240" s="221">
        <v>961.85358267281526</v>
      </c>
      <c r="X240" s="221">
        <v>921.46673696371909</v>
      </c>
      <c r="Y240" s="221">
        <v>881.07989125462279</v>
      </c>
      <c r="Z240" s="221">
        <v>840.6930455455265</v>
      </c>
      <c r="AA240" s="221">
        <v>800.30619983642964</v>
      </c>
      <c r="AB240" s="221">
        <v>787.64743666608149</v>
      </c>
      <c r="AC240" s="221">
        <v>774.98867349573345</v>
      </c>
      <c r="AD240" s="221">
        <v>762.32991032538541</v>
      </c>
      <c r="AE240" s="221">
        <v>749.67114715503737</v>
      </c>
      <c r="AF240" s="221">
        <v>737.01238398468922</v>
      </c>
      <c r="AG240" s="221">
        <v>724.3536208143413</v>
      </c>
      <c r="AH240" s="221">
        <v>711.69485764399326</v>
      </c>
      <c r="AI240" s="221">
        <v>699.03609447364511</v>
      </c>
      <c r="AJ240" s="221">
        <v>686.37733130329718</v>
      </c>
      <c r="AK240" s="221">
        <v>673.71856813294903</v>
      </c>
      <c r="AL240" s="221">
        <v>661.05980496260099</v>
      </c>
      <c r="AM240" s="221">
        <v>648.40104179225295</v>
      </c>
      <c r="AN240" s="221">
        <v>635.74227862190492</v>
      </c>
      <c r="AO240" s="221">
        <v>623.08351545155699</v>
      </c>
      <c r="AP240" s="221">
        <v>610.42475228120873</v>
      </c>
      <c r="AQ240" s="131"/>
      <c r="AR240" s="131"/>
      <c r="AS240" s="131"/>
      <c r="AT240" s="200"/>
      <c r="AU240" s="200"/>
      <c r="AV240" s="200"/>
      <c r="AW240" s="200"/>
      <c r="AZ240" s="200"/>
      <c r="BA240" s="131"/>
      <c r="BB240" s="131"/>
      <c r="BC240" s="131"/>
      <c r="BD240" s="131"/>
      <c r="BE240" s="131"/>
      <c r="BF240" s="131"/>
      <c r="BG240" s="131"/>
      <c r="BH240" s="131"/>
      <c r="BI240" s="131"/>
      <c r="BJ240" s="131"/>
      <c r="BK240" s="131"/>
      <c r="BL240" s="131"/>
      <c r="BM240" s="131"/>
      <c r="BN240" s="131"/>
      <c r="BO240" s="131"/>
      <c r="BP240" s="131"/>
      <c r="BQ240" s="131"/>
      <c r="BR240" s="131"/>
      <c r="BS240" s="131"/>
      <c r="BT240" s="131"/>
      <c r="BU240" s="131"/>
      <c r="BV240" s="131"/>
      <c r="BW240" s="131"/>
      <c r="BX240" s="131"/>
      <c r="BY240" s="131"/>
      <c r="BZ240" s="131"/>
      <c r="CA240" s="131"/>
      <c r="CB240" s="131"/>
      <c r="CC240" s="131"/>
      <c r="CD240" s="131"/>
      <c r="CE240" s="131"/>
      <c r="CF240" s="131"/>
      <c r="CG240" s="131"/>
      <c r="CH240" s="131"/>
      <c r="CI240" s="131"/>
      <c r="CJ240" s="131"/>
      <c r="CK240" s="131"/>
    </row>
    <row r="241" spans="1:89" s="200" customFormat="1" ht="14.25" customHeight="1" thickTop="1" thickBot="1" x14ac:dyDescent="0.25">
      <c r="A241" s="131"/>
      <c r="B241" s="131"/>
      <c r="C241" s="131"/>
      <c r="D241" s="131"/>
      <c r="E241" s="131"/>
      <c r="F241" s="131"/>
      <c r="G241" s="138"/>
      <c r="H241" s="402"/>
      <c r="I241" s="131"/>
      <c r="J241" s="358"/>
      <c r="K241" s="196" t="s">
        <v>254</v>
      </c>
      <c r="L241" s="196" t="s">
        <v>278</v>
      </c>
      <c r="M241" s="222">
        <v>1245.8150824114009</v>
      </c>
      <c r="N241" s="222">
        <v>1325.335194054682</v>
      </c>
      <c r="O241" s="222">
        <v>1305.1586089604821</v>
      </c>
      <c r="P241" s="222">
        <v>1284.9820238662819</v>
      </c>
      <c r="Q241" s="222">
        <v>1264.805438772082</v>
      </c>
      <c r="R241" s="222">
        <v>1244.628853677882</v>
      </c>
      <c r="S241" s="222">
        <v>1224.4522685836821</v>
      </c>
      <c r="T241" s="222">
        <v>1204.2756834894819</v>
      </c>
      <c r="U241" s="222">
        <v>1184.0990983952829</v>
      </c>
      <c r="V241" s="222">
        <v>1163.922513301083</v>
      </c>
      <c r="W241" s="222">
        <v>1143.745928206883</v>
      </c>
      <c r="X241" s="222">
        <v>1123.5693431126831</v>
      </c>
      <c r="Y241" s="222">
        <v>1103.3927580184829</v>
      </c>
      <c r="Z241" s="222">
        <v>1083.216172924283</v>
      </c>
      <c r="AA241" s="222">
        <v>1063.0395878300831</v>
      </c>
      <c r="AB241" s="222">
        <v>1045.5240286305061</v>
      </c>
      <c r="AC241" s="222">
        <v>1028.0084694309289</v>
      </c>
      <c r="AD241" s="222">
        <v>1010.492910231352</v>
      </c>
      <c r="AE241" s="222">
        <v>992.97735103177536</v>
      </c>
      <c r="AF241" s="222">
        <v>975.46179183219851</v>
      </c>
      <c r="AG241" s="222">
        <v>957.94623263262167</v>
      </c>
      <c r="AH241" s="222">
        <v>940.43067343304472</v>
      </c>
      <c r="AI241" s="222">
        <v>922.91511423346799</v>
      </c>
      <c r="AJ241" s="222">
        <v>905.39955503389115</v>
      </c>
      <c r="AK241" s="222">
        <v>887.88399583431419</v>
      </c>
      <c r="AL241" s="222">
        <v>870.36843663473735</v>
      </c>
      <c r="AM241" s="222">
        <v>852.85287743516062</v>
      </c>
      <c r="AN241" s="222">
        <v>835.33731823558367</v>
      </c>
      <c r="AO241" s="222">
        <v>817.82175903600682</v>
      </c>
      <c r="AP241" s="222">
        <v>800.30619983642964</v>
      </c>
      <c r="AQ241" s="131"/>
      <c r="AR241" s="131"/>
      <c r="AS241" s="131"/>
      <c r="AT241" s="131"/>
      <c r="AU241" s="131"/>
      <c r="AV241" s="131"/>
      <c r="AW241" s="131"/>
      <c r="AZ241" s="131"/>
      <c r="BA241" s="131"/>
      <c r="BB241" s="131"/>
      <c r="BC241" s="131"/>
      <c r="BD241" s="131"/>
      <c r="BE241" s="199"/>
      <c r="BF241" s="199"/>
      <c r="BG241" s="199"/>
      <c r="BH241" s="131"/>
      <c r="BI241" s="131"/>
      <c r="BJ241" s="131"/>
      <c r="BK241" s="131"/>
      <c r="BL241" s="131"/>
      <c r="BM241" s="131"/>
      <c r="BN241" s="131"/>
      <c r="BO241" s="131"/>
      <c r="BP241" s="131"/>
      <c r="BQ241" s="131"/>
      <c r="BR241" s="131"/>
      <c r="BS241" s="131"/>
      <c r="BT241" s="131"/>
      <c r="BU241" s="131"/>
      <c r="BV241" s="131"/>
      <c r="BW241" s="131"/>
      <c r="BX241" s="131"/>
      <c r="BY241" s="131"/>
      <c r="BZ241" s="131"/>
      <c r="CA241" s="131"/>
      <c r="CB241" s="131"/>
      <c r="CC241" s="131"/>
      <c r="CD241" s="131"/>
      <c r="CE241" s="131"/>
      <c r="CF241" s="131"/>
      <c r="CG241" s="131"/>
      <c r="CH241" s="131"/>
      <c r="CI241" s="131"/>
      <c r="CJ241" s="131"/>
      <c r="CK241" s="131"/>
    </row>
    <row r="242" spans="1:89" ht="14.25" customHeight="1" thickTop="1" x14ac:dyDescent="0.2">
      <c r="G242" s="138"/>
      <c r="H242" s="380"/>
      <c r="J242" s="358"/>
      <c r="K242" s="194" t="s">
        <v>256</v>
      </c>
      <c r="L242" s="194" t="s">
        <v>276</v>
      </c>
      <c r="M242" s="220">
        <v>1245.8150824114009</v>
      </c>
      <c r="N242" s="220">
        <v>1325.335194054682</v>
      </c>
      <c r="O242" s="220">
        <v>1270.34208314903</v>
      </c>
      <c r="P242" s="220">
        <v>1215.3489722433781</v>
      </c>
      <c r="Q242" s="220">
        <v>1160.3558613377261</v>
      </c>
      <c r="R242" s="220">
        <v>1105.362750432075</v>
      </c>
      <c r="S242" s="220">
        <v>1050.369639526423</v>
      </c>
      <c r="T242" s="220">
        <v>995.37652862077118</v>
      </c>
      <c r="U242" s="220">
        <v>940.38341771511944</v>
      </c>
      <c r="V242" s="220">
        <v>885.39030680946769</v>
      </c>
      <c r="W242" s="220">
        <v>830.39719590381605</v>
      </c>
      <c r="X242" s="220">
        <v>775.40408499816431</v>
      </c>
      <c r="Y242" s="220">
        <v>720.41097409251256</v>
      </c>
      <c r="Z242" s="220">
        <v>665.41786318686081</v>
      </c>
      <c r="AA242" s="220">
        <v>610.42475228120873</v>
      </c>
      <c r="AB242" s="220">
        <v>603.2542206196656</v>
      </c>
      <c r="AC242" s="220">
        <v>596.08368895812237</v>
      </c>
      <c r="AD242" s="220">
        <v>588.91315729657924</v>
      </c>
      <c r="AE242" s="220">
        <v>581.74262563503612</v>
      </c>
      <c r="AF242" s="220">
        <v>574.57209397349288</v>
      </c>
      <c r="AG242" s="220">
        <v>567.40156231194976</v>
      </c>
      <c r="AH242" s="220">
        <v>560.23103065040664</v>
      </c>
      <c r="AI242" s="220">
        <v>553.06049898886329</v>
      </c>
      <c r="AJ242" s="220">
        <v>545.88996732732016</v>
      </c>
      <c r="AK242" s="220">
        <v>538.71943566577693</v>
      </c>
      <c r="AL242" s="220">
        <v>531.5489040042338</v>
      </c>
      <c r="AM242" s="220">
        <v>524.37837234269068</v>
      </c>
      <c r="AN242" s="220">
        <v>517.20784068114745</v>
      </c>
      <c r="AO242" s="220">
        <v>510.03730901960432</v>
      </c>
      <c r="AP242" s="220">
        <v>502.86677735806057</v>
      </c>
    </row>
    <row r="243" spans="1:89" ht="14.25" customHeight="1" x14ac:dyDescent="0.2">
      <c r="G243" s="138"/>
      <c r="H243" s="380"/>
      <c r="J243" s="358"/>
      <c r="K243" s="135" t="s">
        <v>256</v>
      </c>
      <c r="L243" s="185" t="s">
        <v>277</v>
      </c>
      <c r="M243" s="220">
        <v>1245.8150824114009</v>
      </c>
      <c r="N243" s="220">
        <v>1325.335194054682</v>
      </c>
      <c r="O243" s="220">
        <v>1284.9483483455849</v>
      </c>
      <c r="P243" s="220">
        <v>1244.561502636489</v>
      </c>
      <c r="Q243" s="220">
        <v>1204.174656927393</v>
      </c>
      <c r="R243" s="220">
        <v>1163.7878112182959</v>
      </c>
      <c r="S243" s="220">
        <v>1123.4009655092</v>
      </c>
      <c r="T243" s="220">
        <v>1083.014119800104</v>
      </c>
      <c r="U243" s="220">
        <v>1042.6272740910081</v>
      </c>
      <c r="V243" s="220">
        <v>1002.240428381912</v>
      </c>
      <c r="W243" s="220">
        <v>961.85358267281526</v>
      </c>
      <c r="X243" s="220">
        <v>921.46673696371909</v>
      </c>
      <c r="Y243" s="220">
        <v>881.07989125462279</v>
      </c>
      <c r="Z243" s="220">
        <v>840.6930455455265</v>
      </c>
      <c r="AA243" s="220">
        <v>800.30619983642964</v>
      </c>
      <c r="AB243" s="220">
        <v>787.64743666608149</v>
      </c>
      <c r="AC243" s="220">
        <v>774.98867349573345</v>
      </c>
      <c r="AD243" s="220">
        <v>762.32991032538541</v>
      </c>
      <c r="AE243" s="220">
        <v>749.67114715503737</v>
      </c>
      <c r="AF243" s="220">
        <v>737.01238398468922</v>
      </c>
      <c r="AG243" s="220">
        <v>724.3536208143413</v>
      </c>
      <c r="AH243" s="220">
        <v>711.69485764399326</v>
      </c>
      <c r="AI243" s="220">
        <v>699.03609447364511</v>
      </c>
      <c r="AJ243" s="220">
        <v>686.37733130329718</v>
      </c>
      <c r="AK243" s="220">
        <v>673.71856813294903</v>
      </c>
      <c r="AL243" s="220">
        <v>661.05980496260099</v>
      </c>
      <c r="AM243" s="220">
        <v>648.40104179225295</v>
      </c>
      <c r="AN243" s="220">
        <v>635.74227862190492</v>
      </c>
      <c r="AO243" s="220">
        <v>623.08351545155699</v>
      </c>
      <c r="AP243" s="220">
        <v>610.42475228120873</v>
      </c>
    </row>
    <row r="244" spans="1:89" ht="14.25" customHeight="1" x14ac:dyDescent="0.2">
      <c r="G244" s="138"/>
      <c r="H244" s="380"/>
      <c r="J244" s="368"/>
      <c r="K244" s="196" t="s">
        <v>256</v>
      </c>
      <c r="L244" s="196" t="s">
        <v>278</v>
      </c>
      <c r="M244" s="220">
        <v>1245.8150824114009</v>
      </c>
      <c r="N244" s="220">
        <v>1325.335194054682</v>
      </c>
      <c r="O244" s="220">
        <v>1305.1586089604821</v>
      </c>
      <c r="P244" s="220">
        <v>1284.9820238662819</v>
      </c>
      <c r="Q244" s="220">
        <v>1264.805438772082</v>
      </c>
      <c r="R244" s="220">
        <v>1244.628853677882</v>
      </c>
      <c r="S244" s="220">
        <v>1224.4522685836821</v>
      </c>
      <c r="T244" s="220">
        <v>1204.2756834894819</v>
      </c>
      <c r="U244" s="220">
        <v>1184.0990983952829</v>
      </c>
      <c r="V244" s="220">
        <v>1163.922513301083</v>
      </c>
      <c r="W244" s="220">
        <v>1143.745928206883</v>
      </c>
      <c r="X244" s="220">
        <v>1123.5693431126831</v>
      </c>
      <c r="Y244" s="220">
        <v>1103.3927580184829</v>
      </c>
      <c r="Z244" s="220">
        <v>1083.216172924283</v>
      </c>
      <c r="AA244" s="220">
        <v>1063.0395878300831</v>
      </c>
      <c r="AB244" s="220">
        <v>1045.5240286305061</v>
      </c>
      <c r="AC244" s="220">
        <v>1028.0084694309289</v>
      </c>
      <c r="AD244" s="220">
        <v>1010.492910231352</v>
      </c>
      <c r="AE244" s="220">
        <v>992.97735103177536</v>
      </c>
      <c r="AF244" s="220">
        <v>975.46179183219851</v>
      </c>
      <c r="AG244" s="220">
        <v>957.94623263262167</v>
      </c>
      <c r="AH244" s="220">
        <v>940.43067343304472</v>
      </c>
      <c r="AI244" s="220">
        <v>922.91511423346799</v>
      </c>
      <c r="AJ244" s="220">
        <v>905.39955503389115</v>
      </c>
      <c r="AK244" s="220">
        <v>887.88399583431419</v>
      </c>
      <c r="AL244" s="220">
        <v>870.36843663473735</v>
      </c>
      <c r="AM244" s="220">
        <v>852.85287743516062</v>
      </c>
      <c r="AN244" s="220">
        <v>835.33731823558367</v>
      </c>
      <c r="AO244" s="220">
        <v>817.82175903600682</v>
      </c>
      <c r="AP244" s="220">
        <v>800.30619983642964</v>
      </c>
    </row>
    <row r="245" spans="1:89" ht="14.25" customHeight="1" x14ac:dyDescent="0.2">
      <c r="G245" s="138"/>
      <c r="H245" s="380"/>
      <c r="J245" s="201"/>
      <c r="K245" s="135"/>
      <c r="L245" s="135"/>
    </row>
    <row r="246" spans="1:89" ht="14.25" customHeight="1" x14ac:dyDescent="0.2">
      <c r="G246" s="138"/>
      <c r="H246" s="380"/>
      <c r="M246" s="123">
        <v>2021</v>
      </c>
      <c r="N246" s="123">
        <v>2022</v>
      </c>
      <c r="O246" s="123">
        <v>2023</v>
      </c>
      <c r="P246" s="123">
        <v>2024</v>
      </c>
      <c r="Q246" s="123">
        <v>2025</v>
      </c>
      <c r="R246" s="123">
        <v>2026</v>
      </c>
      <c r="S246" s="123">
        <v>2027</v>
      </c>
      <c r="T246" s="123">
        <v>2028</v>
      </c>
      <c r="U246" s="123">
        <v>2029</v>
      </c>
      <c r="V246" s="123">
        <v>2030</v>
      </c>
      <c r="W246" s="123">
        <v>2031</v>
      </c>
      <c r="X246" s="123">
        <v>2032</v>
      </c>
      <c r="Y246" s="123">
        <v>2033</v>
      </c>
      <c r="Z246" s="123">
        <v>2034</v>
      </c>
      <c r="AA246" s="123">
        <v>2035</v>
      </c>
      <c r="AB246" s="123">
        <v>2036</v>
      </c>
      <c r="AC246" s="123">
        <v>2037</v>
      </c>
      <c r="AD246" s="123">
        <v>2038</v>
      </c>
      <c r="AE246" s="123">
        <v>2039</v>
      </c>
      <c r="AF246" s="123">
        <v>2040</v>
      </c>
      <c r="AG246" s="123">
        <v>2041</v>
      </c>
      <c r="AH246" s="123">
        <v>2042</v>
      </c>
      <c r="AI246" s="123">
        <v>2043</v>
      </c>
      <c r="AJ246" s="123">
        <v>2044</v>
      </c>
      <c r="AK246" s="123">
        <v>2045</v>
      </c>
      <c r="AL246" s="123">
        <v>2046</v>
      </c>
      <c r="AM246" s="123">
        <v>2047</v>
      </c>
      <c r="AN246" s="123">
        <v>2048</v>
      </c>
      <c r="AO246" s="123">
        <v>2049</v>
      </c>
      <c r="AP246" s="123">
        <v>2050</v>
      </c>
    </row>
    <row r="247" spans="1:89" ht="14.25" customHeight="1" x14ac:dyDescent="0.2">
      <c r="G247" s="138"/>
      <c r="H247" s="380"/>
      <c r="J247" s="367" t="s">
        <v>297</v>
      </c>
      <c r="K247" s="194" t="s">
        <v>235</v>
      </c>
      <c r="L247" s="194" t="s">
        <v>276</v>
      </c>
      <c r="M247" s="220">
        <v>22.52890893215887</v>
      </c>
      <c r="N247" s="220">
        <v>22.00463196791447</v>
      </c>
      <c r="O247" s="220">
        <v>21.299393786603758</v>
      </c>
      <c r="P247" s="220">
        <v>20.59868736326689</v>
      </c>
      <c r="Q247" s="220">
        <v>19.902236921884811</v>
      </c>
      <c r="R247" s="220">
        <v>19.209788617701928</v>
      </c>
      <c r="S247" s="220">
        <v>18.521108399602991</v>
      </c>
      <c r="T247" s="220">
        <v>17.83598011773211</v>
      </c>
      <c r="U247" s="220">
        <v>17.154203844144909</v>
      </c>
      <c r="V247" s="220">
        <v>16.475594379029939</v>
      </c>
      <c r="W247" s="220">
        <v>15.799979919008759</v>
      </c>
      <c r="X247" s="220">
        <v>15.12720086736247</v>
      </c>
      <c r="Y247" s="220">
        <v>14.457108768845449</v>
      </c>
      <c r="Z247" s="220">
        <v>13.789565354127269</v>
      </c>
      <c r="AA247" s="220">
        <v>13.12444168092104</v>
      </c>
      <c r="AB247" s="220">
        <v>13.02613593466643</v>
      </c>
      <c r="AC247" s="220">
        <v>12.92803952420288</v>
      </c>
      <c r="AD247" s="220">
        <v>12.83014927777597</v>
      </c>
      <c r="AE247" s="220">
        <v>12.73246208738516</v>
      </c>
      <c r="AF247" s="220">
        <v>12.6349749071899</v>
      </c>
      <c r="AG247" s="220">
        <v>12.5376847519634</v>
      </c>
      <c r="AH247" s="220">
        <v>12.44058869559225</v>
      </c>
      <c r="AI247" s="220">
        <v>12.343683869620479</v>
      </c>
      <c r="AJ247" s="220">
        <v>12.246967461836309</v>
      </c>
      <c r="AK247" s="220">
        <v>12.15043671490043</v>
      </c>
      <c r="AL247" s="220">
        <v>12.05408892501406</v>
      </c>
      <c r="AM247" s="220">
        <v>11.957921440625769</v>
      </c>
      <c r="AN247" s="220">
        <v>11.86193166117549</v>
      </c>
      <c r="AO247" s="220">
        <v>11.76611703587464</v>
      </c>
      <c r="AP247" s="220">
        <v>11.670475062521071</v>
      </c>
    </row>
    <row r="248" spans="1:89" ht="14.25" customHeight="1" x14ac:dyDescent="0.2">
      <c r="G248" s="138"/>
      <c r="H248" s="380"/>
      <c r="J248" s="358"/>
      <c r="K248" s="135" t="s">
        <v>235</v>
      </c>
      <c r="L248" s="185" t="s">
        <v>277</v>
      </c>
      <c r="M248" s="221">
        <v>22.52890893215887</v>
      </c>
      <c r="N248" s="221">
        <v>22.00463196791447</v>
      </c>
      <c r="O248" s="221">
        <v>21.495507707971591</v>
      </c>
      <c r="P248" s="221">
        <v>20.988335586592061</v>
      </c>
      <c r="Q248" s="221">
        <v>20.48303680836478</v>
      </c>
      <c r="R248" s="221">
        <v>19.979536762206191</v>
      </c>
      <c r="S248" s="221">
        <v>19.47776474724532</v>
      </c>
      <c r="T248" s="221">
        <v>18.97765371997885</v>
      </c>
      <c r="U248" s="221">
        <v>18.47914006079532</v>
      </c>
      <c r="V248" s="221">
        <v>17.982163358159031</v>
      </c>
      <c r="W248" s="221">
        <v>17.486666208914979</v>
      </c>
      <c r="X248" s="221">
        <v>16.992594033326839</v>
      </c>
      <c r="Y248" s="221">
        <v>16.49989490359561</v>
      </c>
      <c r="Z248" s="221">
        <v>16.00851938472611</v>
      </c>
      <c r="AA248" s="221">
        <v>15.518420386716519</v>
      </c>
      <c r="AB248" s="221">
        <v>15.383614277355649</v>
      </c>
      <c r="AC248" s="221">
        <v>15.24881067071612</v>
      </c>
      <c r="AD248" s="221">
        <v>15.11400957081514</v>
      </c>
      <c r="AE248" s="221">
        <v>14.979210981678531</v>
      </c>
      <c r="AF248" s="221">
        <v>14.844414907340729</v>
      </c>
      <c r="AG248" s="221">
        <v>14.70962135184481</v>
      </c>
      <c r="AH248" s="221">
        <v>14.57483031924253</v>
      </c>
      <c r="AI248" s="221">
        <v>14.44004181359435</v>
      </c>
      <c r="AJ248" s="221">
        <v>14.30525583896944</v>
      </c>
      <c r="AK248" s="221">
        <v>14.170472399445689</v>
      </c>
      <c r="AL248" s="221">
        <v>14.035691499109801</v>
      </c>
      <c r="AM248" s="221">
        <v>13.900913142057229</v>
      </c>
      <c r="AN248" s="221">
        <v>13.76613733239224</v>
      </c>
      <c r="AO248" s="221">
        <v>13.63136407422796</v>
      </c>
      <c r="AP248" s="221">
        <v>13.49659337168635</v>
      </c>
    </row>
    <row r="249" spans="1:89" ht="14.25" customHeight="1" thickBot="1" x14ac:dyDescent="0.25">
      <c r="G249" s="138"/>
      <c r="H249" s="380"/>
      <c r="J249" s="358"/>
      <c r="K249" s="196" t="s">
        <v>235</v>
      </c>
      <c r="L249" s="196" t="s">
        <v>278</v>
      </c>
      <c r="M249" s="222">
        <v>22.52890893215887</v>
      </c>
      <c r="N249" s="222">
        <v>22.00463196791447</v>
      </c>
      <c r="O249" s="222">
        <v>21.743242279363081</v>
      </c>
      <c r="P249" s="222">
        <v>21.48255440623781</v>
      </c>
      <c r="Q249" s="222">
        <v>21.22255122476118</v>
      </c>
      <c r="R249" s="222">
        <v>20.96321616373816</v>
      </c>
      <c r="S249" s="222">
        <v>20.70453318244488</v>
      </c>
      <c r="T249" s="222">
        <v>20.44648674957056</v>
      </c>
      <c r="U249" s="222">
        <v>20.189061823154709</v>
      </c>
      <c r="V249" s="222">
        <v>19.932243831465101</v>
      </c>
      <c r="W249" s="222">
        <v>19.676018654765389</v>
      </c>
      <c r="X249" s="222">
        <v>19.420372607924669</v>
      </c>
      <c r="Y249" s="222">
        <v>19.16529242382363</v>
      </c>
      <c r="Z249" s="222">
        <v>18.910765237515388</v>
      </c>
      <c r="AA249" s="222">
        <v>18.656778571101022</v>
      </c>
      <c r="AB249" s="222">
        <v>18.465949293045998</v>
      </c>
      <c r="AC249" s="222">
        <v>18.275120499861149</v>
      </c>
      <c r="AD249" s="222">
        <v>18.084292191215152</v>
      </c>
      <c r="AE249" s="222">
        <v>17.893464366776989</v>
      </c>
      <c r="AF249" s="222">
        <v>17.702637026215982</v>
      </c>
      <c r="AG249" s="222">
        <v>17.511810169201699</v>
      </c>
      <c r="AH249" s="222">
        <v>17.320983795404061</v>
      </c>
      <c r="AI249" s="222">
        <v>17.130157904493249</v>
      </c>
      <c r="AJ249" s="222">
        <v>16.939332496139759</v>
      </c>
      <c r="AK249" s="222">
        <v>16.7485075700144</v>
      </c>
      <c r="AL249" s="222">
        <v>16.557683125788252</v>
      </c>
      <c r="AM249" s="222">
        <v>16.36685916313272</v>
      </c>
      <c r="AN249" s="222">
        <v>16.176035681719501</v>
      </c>
      <c r="AO249" s="222">
        <v>15.985212681220579</v>
      </c>
      <c r="AP249" s="222">
        <v>15.79439016130824</v>
      </c>
    </row>
    <row r="250" spans="1:89" ht="14.25" customHeight="1" thickTop="1" x14ac:dyDescent="0.2">
      <c r="G250" s="138"/>
      <c r="H250" s="380"/>
      <c r="J250" s="358"/>
      <c r="K250" s="194" t="s">
        <v>240</v>
      </c>
      <c r="L250" s="194" t="s">
        <v>276</v>
      </c>
      <c r="M250" s="220">
        <v>22.52890893215887</v>
      </c>
      <c r="N250" s="220">
        <v>22.00463196791447</v>
      </c>
      <c r="O250" s="220">
        <v>21.299393786603758</v>
      </c>
      <c r="P250" s="220">
        <v>20.59868736326689</v>
      </c>
      <c r="Q250" s="220">
        <v>19.902236921884811</v>
      </c>
      <c r="R250" s="220">
        <v>19.209788617701928</v>
      </c>
      <c r="S250" s="220">
        <v>18.521108399602991</v>
      </c>
      <c r="T250" s="220">
        <v>17.83598011773211</v>
      </c>
      <c r="U250" s="220">
        <v>17.154203844144909</v>
      </c>
      <c r="V250" s="220">
        <v>16.475594379029939</v>
      </c>
      <c r="W250" s="220">
        <v>15.799979919008759</v>
      </c>
      <c r="X250" s="220">
        <v>15.12720086736247</v>
      </c>
      <c r="Y250" s="220">
        <v>14.457108768845449</v>
      </c>
      <c r="Z250" s="220">
        <v>13.789565354127269</v>
      </c>
      <c r="AA250" s="220">
        <v>13.12444168092104</v>
      </c>
      <c r="AB250" s="220">
        <v>13.02613593466643</v>
      </c>
      <c r="AC250" s="220">
        <v>12.92803952420288</v>
      </c>
      <c r="AD250" s="220">
        <v>12.83014927777597</v>
      </c>
      <c r="AE250" s="220">
        <v>12.73246208738516</v>
      </c>
      <c r="AF250" s="220">
        <v>12.6349749071899</v>
      </c>
      <c r="AG250" s="220">
        <v>12.5376847519634</v>
      </c>
      <c r="AH250" s="220">
        <v>12.44058869559225</v>
      </c>
      <c r="AI250" s="220">
        <v>12.343683869620479</v>
      </c>
      <c r="AJ250" s="220">
        <v>12.246967461836309</v>
      </c>
      <c r="AK250" s="220">
        <v>12.15043671490043</v>
      </c>
      <c r="AL250" s="220">
        <v>12.05408892501406</v>
      </c>
      <c r="AM250" s="220">
        <v>11.957921440625769</v>
      </c>
      <c r="AN250" s="220">
        <v>11.86193166117549</v>
      </c>
      <c r="AO250" s="220">
        <v>11.76611703587464</v>
      </c>
      <c r="AP250" s="220">
        <v>11.670475062521071</v>
      </c>
    </row>
    <row r="251" spans="1:89" ht="14.25" customHeight="1" x14ac:dyDescent="0.2">
      <c r="G251" s="138"/>
      <c r="H251" s="380"/>
      <c r="J251" s="358"/>
      <c r="K251" s="135" t="s">
        <v>240</v>
      </c>
      <c r="L251" s="185" t="s">
        <v>277</v>
      </c>
      <c r="M251" s="221">
        <v>22.52890893215887</v>
      </c>
      <c r="N251" s="221">
        <v>22.00463196791447</v>
      </c>
      <c r="O251" s="221">
        <v>21.495507707971591</v>
      </c>
      <c r="P251" s="221">
        <v>20.988335586592061</v>
      </c>
      <c r="Q251" s="221">
        <v>20.48303680836478</v>
      </c>
      <c r="R251" s="221">
        <v>19.979536762206191</v>
      </c>
      <c r="S251" s="221">
        <v>19.47776474724532</v>
      </c>
      <c r="T251" s="221">
        <v>18.97765371997885</v>
      </c>
      <c r="U251" s="221">
        <v>18.47914006079532</v>
      </c>
      <c r="V251" s="221">
        <v>17.982163358159031</v>
      </c>
      <c r="W251" s="221">
        <v>17.486666208914979</v>
      </c>
      <c r="X251" s="221">
        <v>16.992594033326839</v>
      </c>
      <c r="Y251" s="221">
        <v>16.49989490359561</v>
      </c>
      <c r="Z251" s="221">
        <v>16.00851938472611</v>
      </c>
      <c r="AA251" s="221">
        <v>15.518420386716519</v>
      </c>
      <c r="AB251" s="221">
        <v>15.383614277355649</v>
      </c>
      <c r="AC251" s="221">
        <v>15.24881067071612</v>
      </c>
      <c r="AD251" s="221">
        <v>15.11400957081514</v>
      </c>
      <c r="AE251" s="221">
        <v>14.979210981678531</v>
      </c>
      <c r="AF251" s="221">
        <v>14.844414907340729</v>
      </c>
      <c r="AG251" s="221">
        <v>14.70962135184481</v>
      </c>
      <c r="AH251" s="221">
        <v>14.57483031924253</v>
      </c>
      <c r="AI251" s="221">
        <v>14.44004181359435</v>
      </c>
      <c r="AJ251" s="221">
        <v>14.30525583896944</v>
      </c>
      <c r="AK251" s="221">
        <v>14.170472399445689</v>
      </c>
      <c r="AL251" s="221">
        <v>14.035691499109801</v>
      </c>
      <c r="AM251" s="221">
        <v>13.900913142057229</v>
      </c>
      <c r="AN251" s="221">
        <v>13.76613733239224</v>
      </c>
      <c r="AO251" s="221">
        <v>13.63136407422796</v>
      </c>
      <c r="AP251" s="221">
        <v>13.49659337168635</v>
      </c>
    </row>
    <row r="252" spans="1:89" ht="14.25" customHeight="1" thickBot="1" x14ac:dyDescent="0.25">
      <c r="G252" s="138"/>
      <c r="H252" s="380"/>
      <c r="J252" s="358"/>
      <c r="K252" s="196" t="s">
        <v>240</v>
      </c>
      <c r="L252" s="196" t="s">
        <v>278</v>
      </c>
      <c r="M252" s="222">
        <v>22.52890893215887</v>
      </c>
      <c r="N252" s="222">
        <v>22.00463196791447</v>
      </c>
      <c r="O252" s="222">
        <v>21.743242279363081</v>
      </c>
      <c r="P252" s="222">
        <v>21.48255440623781</v>
      </c>
      <c r="Q252" s="222">
        <v>21.22255122476118</v>
      </c>
      <c r="R252" s="222">
        <v>20.96321616373816</v>
      </c>
      <c r="S252" s="222">
        <v>20.70453318244488</v>
      </c>
      <c r="T252" s="222">
        <v>20.44648674957056</v>
      </c>
      <c r="U252" s="222">
        <v>20.189061823154709</v>
      </c>
      <c r="V252" s="222">
        <v>19.932243831465101</v>
      </c>
      <c r="W252" s="222">
        <v>19.676018654765389</v>
      </c>
      <c r="X252" s="222">
        <v>19.420372607924669</v>
      </c>
      <c r="Y252" s="222">
        <v>19.16529242382363</v>
      </c>
      <c r="Z252" s="222">
        <v>18.910765237515388</v>
      </c>
      <c r="AA252" s="222">
        <v>18.656778571101022</v>
      </c>
      <c r="AB252" s="222">
        <v>18.465949293045998</v>
      </c>
      <c r="AC252" s="222">
        <v>18.275120499861149</v>
      </c>
      <c r="AD252" s="222">
        <v>18.084292191215152</v>
      </c>
      <c r="AE252" s="222">
        <v>17.893464366776989</v>
      </c>
      <c r="AF252" s="222">
        <v>17.702637026215982</v>
      </c>
      <c r="AG252" s="222">
        <v>17.511810169201699</v>
      </c>
      <c r="AH252" s="222">
        <v>17.320983795404061</v>
      </c>
      <c r="AI252" s="222">
        <v>17.130157904493249</v>
      </c>
      <c r="AJ252" s="222">
        <v>16.939332496139759</v>
      </c>
      <c r="AK252" s="222">
        <v>16.7485075700144</v>
      </c>
      <c r="AL252" s="222">
        <v>16.557683125788252</v>
      </c>
      <c r="AM252" s="222">
        <v>16.36685916313272</v>
      </c>
      <c r="AN252" s="222">
        <v>16.176035681719501</v>
      </c>
      <c r="AO252" s="222">
        <v>15.985212681220579</v>
      </c>
      <c r="AP252" s="222">
        <v>15.79439016130824</v>
      </c>
    </row>
    <row r="253" spans="1:89" ht="14.25" customHeight="1" thickTop="1" x14ac:dyDescent="0.2">
      <c r="G253" s="138"/>
      <c r="H253" s="380"/>
      <c r="J253" s="358"/>
      <c r="K253" s="194" t="s">
        <v>242</v>
      </c>
      <c r="L253" s="194" t="s">
        <v>276</v>
      </c>
      <c r="M253" s="220">
        <v>22.52890893215887</v>
      </c>
      <c r="N253" s="220">
        <v>22.00463196791447</v>
      </c>
      <c r="O253" s="220">
        <v>21.299393786603758</v>
      </c>
      <c r="P253" s="220">
        <v>20.59868736326689</v>
      </c>
      <c r="Q253" s="220">
        <v>19.902236921884811</v>
      </c>
      <c r="R253" s="220">
        <v>19.209788617701928</v>
      </c>
      <c r="S253" s="220">
        <v>18.521108399602991</v>
      </c>
      <c r="T253" s="220">
        <v>17.83598011773211</v>
      </c>
      <c r="U253" s="220">
        <v>17.154203844144909</v>
      </c>
      <c r="V253" s="220">
        <v>16.475594379029939</v>
      </c>
      <c r="W253" s="220">
        <v>15.799979919008759</v>
      </c>
      <c r="X253" s="220">
        <v>15.12720086736247</v>
      </c>
      <c r="Y253" s="220">
        <v>14.457108768845449</v>
      </c>
      <c r="Z253" s="220">
        <v>13.789565354127269</v>
      </c>
      <c r="AA253" s="220">
        <v>13.12444168092104</v>
      </c>
      <c r="AB253" s="220">
        <v>13.02613593466643</v>
      </c>
      <c r="AC253" s="220">
        <v>12.92803952420288</v>
      </c>
      <c r="AD253" s="220">
        <v>12.83014927777597</v>
      </c>
      <c r="AE253" s="220">
        <v>12.73246208738516</v>
      </c>
      <c r="AF253" s="220">
        <v>12.6349749071899</v>
      </c>
      <c r="AG253" s="220">
        <v>12.5376847519634</v>
      </c>
      <c r="AH253" s="220">
        <v>12.44058869559225</v>
      </c>
      <c r="AI253" s="220">
        <v>12.343683869620479</v>
      </c>
      <c r="AJ253" s="220">
        <v>12.246967461836309</v>
      </c>
      <c r="AK253" s="220">
        <v>12.15043671490043</v>
      </c>
      <c r="AL253" s="220">
        <v>12.05408892501406</v>
      </c>
      <c r="AM253" s="220">
        <v>11.957921440625769</v>
      </c>
      <c r="AN253" s="220">
        <v>11.86193166117549</v>
      </c>
      <c r="AO253" s="220">
        <v>11.76611703587464</v>
      </c>
      <c r="AP253" s="220">
        <v>11.670475062521071</v>
      </c>
    </row>
    <row r="254" spans="1:89" ht="14.25" customHeight="1" x14ac:dyDescent="0.2">
      <c r="G254" s="138"/>
      <c r="H254" s="380"/>
      <c r="J254" s="358"/>
      <c r="K254" s="135" t="s">
        <v>242</v>
      </c>
      <c r="L254" s="185" t="s">
        <v>277</v>
      </c>
      <c r="M254" s="221">
        <v>22.52890893215887</v>
      </c>
      <c r="N254" s="221">
        <v>22.00463196791447</v>
      </c>
      <c r="O254" s="221">
        <v>21.495507707971591</v>
      </c>
      <c r="P254" s="221">
        <v>20.988335586592061</v>
      </c>
      <c r="Q254" s="221">
        <v>20.48303680836478</v>
      </c>
      <c r="R254" s="221">
        <v>19.979536762206191</v>
      </c>
      <c r="S254" s="221">
        <v>19.47776474724532</v>
      </c>
      <c r="T254" s="221">
        <v>18.97765371997885</v>
      </c>
      <c r="U254" s="221">
        <v>18.47914006079532</v>
      </c>
      <c r="V254" s="221">
        <v>17.982163358159031</v>
      </c>
      <c r="W254" s="221">
        <v>17.486666208914979</v>
      </c>
      <c r="X254" s="221">
        <v>16.992594033326839</v>
      </c>
      <c r="Y254" s="221">
        <v>16.49989490359561</v>
      </c>
      <c r="Z254" s="221">
        <v>16.00851938472611</v>
      </c>
      <c r="AA254" s="221">
        <v>15.518420386716519</v>
      </c>
      <c r="AB254" s="221">
        <v>15.383614277355649</v>
      </c>
      <c r="AC254" s="221">
        <v>15.24881067071612</v>
      </c>
      <c r="AD254" s="221">
        <v>15.11400957081514</v>
      </c>
      <c r="AE254" s="221">
        <v>14.979210981678531</v>
      </c>
      <c r="AF254" s="221">
        <v>14.844414907340729</v>
      </c>
      <c r="AG254" s="221">
        <v>14.70962135184481</v>
      </c>
      <c r="AH254" s="221">
        <v>14.57483031924253</v>
      </c>
      <c r="AI254" s="221">
        <v>14.44004181359435</v>
      </c>
      <c r="AJ254" s="221">
        <v>14.30525583896944</v>
      </c>
      <c r="AK254" s="221">
        <v>14.170472399445689</v>
      </c>
      <c r="AL254" s="221">
        <v>14.035691499109801</v>
      </c>
      <c r="AM254" s="221">
        <v>13.900913142057229</v>
      </c>
      <c r="AN254" s="221">
        <v>13.76613733239224</v>
      </c>
      <c r="AO254" s="221">
        <v>13.63136407422796</v>
      </c>
      <c r="AP254" s="221">
        <v>13.49659337168635</v>
      </c>
    </row>
    <row r="255" spans="1:89" ht="14.25" customHeight="1" thickBot="1" x14ac:dyDescent="0.25">
      <c r="G255" s="138"/>
      <c r="H255" s="380"/>
      <c r="J255" s="358"/>
      <c r="K255" s="196" t="s">
        <v>242</v>
      </c>
      <c r="L255" s="196" t="s">
        <v>278</v>
      </c>
      <c r="M255" s="222">
        <v>22.52890893215887</v>
      </c>
      <c r="N255" s="222">
        <v>22.00463196791447</v>
      </c>
      <c r="O255" s="222">
        <v>21.743242279363081</v>
      </c>
      <c r="P255" s="222">
        <v>21.48255440623781</v>
      </c>
      <c r="Q255" s="222">
        <v>21.22255122476118</v>
      </c>
      <c r="R255" s="222">
        <v>20.96321616373816</v>
      </c>
      <c r="S255" s="222">
        <v>20.70453318244488</v>
      </c>
      <c r="T255" s="222">
        <v>20.44648674957056</v>
      </c>
      <c r="U255" s="222">
        <v>20.189061823154709</v>
      </c>
      <c r="V255" s="222">
        <v>19.932243831465101</v>
      </c>
      <c r="W255" s="222">
        <v>19.676018654765389</v>
      </c>
      <c r="X255" s="222">
        <v>19.420372607924669</v>
      </c>
      <c r="Y255" s="222">
        <v>19.16529242382363</v>
      </c>
      <c r="Z255" s="222">
        <v>18.910765237515388</v>
      </c>
      <c r="AA255" s="222">
        <v>18.656778571101022</v>
      </c>
      <c r="AB255" s="222">
        <v>18.465949293045998</v>
      </c>
      <c r="AC255" s="222">
        <v>18.275120499861149</v>
      </c>
      <c r="AD255" s="222">
        <v>18.084292191215152</v>
      </c>
      <c r="AE255" s="222">
        <v>17.893464366776989</v>
      </c>
      <c r="AF255" s="222">
        <v>17.702637026215982</v>
      </c>
      <c r="AG255" s="222">
        <v>17.511810169201699</v>
      </c>
      <c r="AH255" s="222">
        <v>17.320983795404061</v>
      </c>
      <c r="AI255" s="222">
        <v>17.130157904493249</v>
      </c>
      <c r="AJ255" s="222">
        <v>16.939332496139759</v>
      </c>
      <c r="AK255" s="222">
        <v>16.7485075700144</v>
      </c>
      <c r="AL255" s="222">
        <v>16.557683125788252</v>
      </c>
      <c r="AM255" s="222">
        <v>16.36685916313272</v>
      </c>
      <c r="AN255" s="222">
        <v>16.176035681719501</v>
      </c>
      <c r="AO255" s="222">
        <v>15.985212681220579</v>
      </c>
      <c r="AP255" s="222">
        <v>15.79439016130824</v>
      </c>
    </row>
    <row r="256" spans="1:89" ht="14.25" customHeight="1" thickTop="1" x14ac:dyDescent="0.2">
      <c r="G256" s="138"/>
      <c r="H256" s="380"/>
      <c r="J256" s="358"/>
      <c r="K256" s="194" t="s">
        <v>244</v>
      </c>
      <c r="L256" s="194" t="s">
        <v>276</v>
      </c>
      <c r="M256" s="220">
        <v>22.52890893215887</v>
      </c>
      <c r="N256" s="220">
        <v>22.00463196791447</v>
      </c>
      <c r="O256" s="220">
        <v>21.299393786603758</v>
      </c>
      <c r="P256" s="220">
        <v>20.59868736326689</v>
      </c>
      <c r="Q256" s="220">
        <v>19.902236921884811</v>
      </c>
      <c r="R256" s="220">
        <v>19.209788617701928</v>
      </c>
      <c r="S256" s="220">
        <v>18.521108399602991</v>
      </c>
      <c r="T256" s="220">
        <v>17.83598011773211</v>
      </c>
      <c r="U256" s="220">
        <v>17.154203844144909</v>
      </c>
      <c r="V256" s="220">
        <v>16.475594379029939</v>
      </c>
      <c r="W256" s="220">
        <v>15.799979919008759</v>
      </c>
      <c r="X256" s="220">
        <v>15.12720086736247</v>
      </c>
      <c r="Y256" s="220">
        <v>14.457108768845449</v>
      </c>
      <c r="Z256" s="220">
        <v>13.789565354127269</v>
      </c>
      <c r="AA256" s="220">
        <v>13.12444168092104</v>
      </c>
      <c r="AB256" s="220">
        <v>13.02613593466643</v>
      </c>
      <c r="AC256" s="220">
        <v>12.92803952420288</v>
      </c>
      <c r="AD256" s="220">
        <v>12.83014927777597</v>
      </c>
      <c r="AE256" s="220">
        <v>12.73246208738516</v>
      </c>
      <c r="AF256" s="220">
        <v>12.6349749071899</v>
      </c>
      <c r="AG256" s="220">
        <v>12.5376847519634</v>
      </c>
      <c r="AH256" s="220">
        <v>12.44058869559225</v>
      </c>
      <c r="AI256" s="220">
        <v>12.343683869620479</v>
      </c>
      <c r="AJ256" s="220">
        <v>12.246967461836309</v>
      </c>
      <c r="AK256" s="220">
        <v>12.15043671490043</v>
      </c>
      <c r="AL256" s="220">
        <v>12.05408892501406</v>
      </c>
      <c r="AM256" s="220">
        <v>11.957921440625769</v>
      </c>
      <c r="AN256" s="220">
        <v>11.86193166117549</v>
      </c>
      <c r="AO256" s="220">
        <v>11.76611703587464</v>
      </c>
      <c r="AP256" s="220">
        <v>11.670475062521071</v>
      </c>
    </row>
    <row r="257" spans="7:42" ht="14.25" customHeight="1" x14ac:dyDescent="0.2">
      <c r="G257" s="138"/>
      <c r="H257" s="380"/>
      <c r="J257" s="358"/>
      <c r="K257" s="135" t="s">
        <v>244</v>
      </c>
      <c r="L257" s="185" t="s">
        <v>277</v>
      </c>
      <c r="M257" s="221">
        <v>22.52890893215887</v>
      </c>
      <c r="N257" s="221">
        <v>22.00463196791447</v>
      </c>
      <c r="O257" s="221">
        <v>21.495507707971591</v>
      </c>
      <c r="P257" s="221">
        <v>20.988335586592061</v>
      </c>
      <c r="Q257" s="221">
        <v>20.48303680836478</v>
      </c>
      <c r="R257" s="221">
        <v>19.979536762206191</v>
      </c>
      <c r="S257" s="221">
        <v>19.47776474724532</v>
      </c>
      <c r="T257" s="221">
        <v>18.97765371997885</v>
      </c>
      <c r="U257" s="221">
        <v>18.47914006079532</v>
      </c>
      <c r="V257" s="221">
        <v>17.982163358159031</v>
      </c>
      <c r="W257" s="221">
        <v>17.486666208914979</v>
      </c>
      <c r="X257" s="221">
        <v>16.992594033326839</v>
      </c>
      <c r="Y257" s="221">
        <v>16.49989490359561</v>
      </c>
      <c r="Z257" s="221">
        <v>16.00851938472611</v>
      </c>
      <c r="AA257" s="221">
        <v>15.518420386716519</v>
      </c>
      <c r="AB257" s="221">
        <v>15.383614277355649</v>
      </c>
      <c r="AC257" s="221">
        <v>15.24881067071612</v>
      </c>
      <c r="AD257" s="221">
        <v>15.11400957081514</v>
      </c>
      <c r="AE257" s="221">
        <v>14.979210981678531</v>
      </c>
      <c r="AF257" s="221">
        <v>14.844414907340729</v>
      </c>
      <c r="AG257" s="221">
        <v>14.70962135184481</v>
      </c>
      <c r="AH257" s="221">
        <v>14.57483031924253</v>
      </c>
      <c r="AI257" s="221">
        <v>14.44004181359435</v>
      </c>
      <c r="AJ257" s="221">
        <v>14.30525583896944</v>
      </c>
      <c r="AK257" s="221">
        <v>14.170472399445689</v>
      </c>
      <c r="AL257" s="221">
        <v>14.035691499109801</v>
      </c>
      <c r="AM257" s="221">
        <v>13.900913142057229</v>
      </c>
      <c r="AN257" s="221">
        <v>13.76613733239224</v>
      </c>
      <c r="AO257" s="221">
        <v>13.63136407422796</v>
      </c>
      <c r="AP257" s="221">
        <v>13.49659337168635</v>
      </c>
    </row>
    <row r="258" spans="7:42" ht="14.25" customHeight="1" thickBot="1" x14ac:dyDescent="0.25">
      <c r="G258" s="138"/>
      <c r="H258" s="380"/>
      <c r="J258" s="358"/>
      <c r="K258" s="196" t="s">
        <v>244</v>
      </c>
      <c r="L258" s="196" t="s">
        <v>278</v>
      </c>
      <c r="M258" s="222">
        <v>22.52890893215887</v>
      </c>
      <c r="N258" s="222">
        <v>22.00463196791447</v>
      </c>
      <c r="O258" s="222">
        <v>21.743242279363081</v>
      </c>
      <c r="P258" s="222">
        <v>21.48255440623781</v>
      </c>
      <c r="Q258" s="222">
        <v>21.22255122476118</v>
      </c>
      <c r="R258" s="222">
        <v>20.96321616373816</v>
      </c>
      <c r="S258" s="222">
        <v>20.70453318244488</v>
      </c>
      <c r="T258" s="222">
        <v>20.44648674957056</v>
      </c>
      <c r="U258" s="222">
        <v>20.189061823154709</v>
      </c>
      <c r="V258" s="222">
        <v>19.932243831465101</v>
      </c>
      <c r="W258" s="222">
        <v>19.676018654765389</v>
      </c>
      <c r="X258" s="222">
        <v>19.420372607924669</v>
      </c>
      <c r="Y258" s="222">
        <v>19.16529242382363</v>
      </c>
      <c r="Z258" s="222">
        <v>18.910765237515388</v>
      </c>
      <c r="AA258" s="222">
        <v>18.656778571101022</v>
      </c>
      <c r="AB258" s="222">
        <v>18.465949293045998</v>
      </c>
      <c r="AC258" s="222">
        <v>18.275120499861149</v>
      </c>
      <c r="AD258" s="222">
        <v>18.084292191215152</v>
      </c>
      <c r="AE258" s="222">
        <v>17.893464366776989</v>
      </c>
      <c r="AF258" s="222">
        <v>17.702637026215982</v>
      </c>
      <c r="AG258" s="222">
        <v>17.511810169201699</v>
      </c>
      <c r="AH258" s="222">
        <v>17.320983795404061</v>
      </c>
      <c r="AI258" s="222">
        <v>17.130157904493249</v>
      </c>
      <c r="AJ258" s="222">
        <v>16.939332496139759</v>
      </c>
      <c r="AK258" s="222">
        <v>16.7485075700144</v>
      </c>
      <c r="AL258" s="222">
        <v>16.557683125788252</v>
      </c>
      <c r="AM258" s="222">
        <v>16.36685916313272</v>
      </c>
      <c r="AN258" s="222">
        <v>16.176035681719501</v>
      </c>
      <c r="AO258" s="222">
        <v>15.985212681220579</v>
      </c>
      <c r="AP258" s="222">
        <v>15.79439016130824</v>
      </c>
    </row>
    <row r="259" spans="7:42" ht="14.25" customHeight="1" thickTop="1" x14ac:dyDescent="0.2">
      <c r="G259" s="138"/>
      <c r="H259" s="380"/>
      <c r="J259" s="358"/>
      <c r="K259" s="194" t="s">
        <v>246</v>
      </c>
      <c r="L259" s="194" t="s">
        <v>276</v>
      </c>
      <c r="M259" s="220">
        <v>22.52890893215887</v>
      </c>
      <c r="N259" s="220">
        <v>22.00463196791447</v>
      </c>
      <c r="O259" s="220">
        <v>21.299393786603758</v>
      </c>
      <c r="P259" s="220">
        <v>20.59868736326689</v>
      </c>
      <c r="Q259" s="220">
        <v>19.902236921884811</v>
      </c>
      <c r="R259" s="220">
        <v>19.209788617701928</v>
      </c>
      <c r="S259" s="220">
        <v>18.521108399602991</v>
      </c>
      <c r="T259" s="220">
        <v>17.83598011773211</v>
      </c>
      <c r="U259" s="220">
        <v>17.154203844144909</v>
      </c>
      <c r="V259" s="220">
        <v>16.475594379029939</v>
      </c>
      <c r="W259" s="220">
        <v>15.799979919008759</v>
      </c>
      <c r="X259" s="220">
        <v>15.12720086736247</v>
      </c>
      <c r="Y259" s="220">
        <v>14.457108768845449</v>
      </c>
      <c r="Z259" s="220">
        <v>13.789565354127269</v>
      </c>
      <c r="AA259" s="220">
        <v>13.12444168092104</v>
      </c>
      <c r="AB259" s="220">
        <v>13.02613593466643</v>
      </c>
      <c r="AC259" s="220">
        <v>12.92803952420288</v>
      </c>
      <c r="AD259" s="220">
        <v>12.83014927777597</v>
      </c>
      <c r="AE259" s="220">
        <v>12.73246208738516</v>
      </c>
      <c r="AF259" s="220">
        <v>12.6349749071899</v>
      </c>
      <c r="AG259" s="220">
        <v>12.5376847519634</v>
      </c>
      <c r="AH259" s="220">
        <v>12.44058869559225</v>
      </c>
      <c r="AI259" s="220">
        <v>12.343683869620479</v>
      </c>
      <c r="AJ259" s="220">
        <v>12.246967461836309</v>
      </c>
      <c r="AK259" s="220">
        <v>12.15043671490043</v>
      </c>
      <c r="AL259" s="220">
        <v>12.05408892501406</v>
      </c>
      <c r="AM259" s="220">
        <v>11.957921440625769</v>
      </c>
      <c r="AN259" s="220">
        <v>11.86193166117549</v>
      </c>
      <c r="AO259" s="220">
        <v>11.76611703587464</v>
      </c>
      <c r="AP259" s="220">
        <v>11.670475062521071</v>
      </c>
    </row>
    <row r="260" spans="7:42" ht="14.25" customHeight="1" x14ac:dyDescent="0.2">
      <c r="G260" s="138"/>
      <c r="H260" s="380"/>
      <c r="J260" s="358"/>
      <c r="K260" s="135" t="s">
        <v>246</v>
      </c>
      <c r="L260" s="185" t="s">
        <v>277</v>
      </c>
      <c r="M260" s="221">
        <v>22.52890893215887</v>
      </c>
      <c r="N260" s="221">
        <v>22.00463196791447</v>
      </c>
      <c r="O260" s="221">
        <v>21.495507707971591</v>
      </c>
      <c r="P260" s="221">
        <v>20.988335586592061</v>
      </c>
      <c r="Q260" s="221">
        <v>20.48303680836478</v>
      </c>
      <c r="R260" s="221">
        <v>19.979536762206191</v>
      </c>
      <c r="S260" s="221">
        <v>19.47776474724532</v>
      </c>
      <c r="T260" s="221">
        <v>18.97765371997885</v>
      </c>
      <c r="U260" s="221">
        <v>18.47914006079532</v>
      </c>
      <c r="V260" s="221">
        <v>17.982163358159031</v>
      </c>
      <c r="W260" s="221">
        <v>17.486666208914979</v>
      </c>
      <c r="X260" s="221">
        <v>16.992594033326839</v>
      </c>
      <c r="Y260" s="221">
        <v>16.49989490359561</v>
      </c>
      <c r="Z260" s="221">
        <v>16.00851938472611</v>
      </c>
      <c r="AA260" s="221">
        <v>15.518420386716519</v>
      </c>
      <c r="AB260" s="221">
        <v>15.383614277355649</v>
      </c>
      <c r="AC260" s="221">
        <v>15.24881067071612</v>
      </c>
      <c r="AD260" s="221">
        <v>15.11400957081514</v>
      </c>
      <c r="AE260" s="221">
        <v>14.979210981678531</v>
      </c>
      <c r="AF260" s="221">
        <v>14.844414907340729</v>
      </c>
      <c r="AG260" s="221">
        <v>14.70962135184481</v>
      </c>
      <c r="AH260" s="221">
        <v>14.57483031924253</v>
      </c>
      <c r="AI260" s="221">
        <v>14.44004181359435</v>
      </c>
      <c r="AJ260" s="221">
        <v>14.30525583896944</v>
      </c>
      <c r="AK260" s="221">
        <v>14.170472399445689</v>
      </c>
      <c r="AL260" s="221">
        <v>14.035691499109801</v>
      </c>
      <c r="AM260" s="221">
        <v>13.900913142057229</v>
      </c>
      <c r="AN260" s="221">
        <v>13.76613733239224</v>
      </c>
      <c r="AO260" s="221">
        <v>13.63136407422796</v>
      </c>
      <c r="AP260" s="221">
        <v>13.49659337168635</v>
      </c>
    </row>
    <row r="261" spans="7:42" ht="14.25" customHeight="1" thickBot="1" x14ac:dyDescent="0.25">
      <c r="G261" s="138"/>
      <c r="H261" s="380"/>
      <c r="J261" s="358"/>
      <c r="K261" s="196" t="s">
        <v>246</v>
      </c>
      <c r="L261" s="196" t="s">
        <v>278</v>
      </c>
      <c r="M261" s="222">
        <v>22.52890893215887</v>
      </c>
      <c r="N261" s="222">
        <v>22.00463196791447</v>
      </c>
      <c r="O261" s="222">
        <v>21.743242279363081</v>
      </c>
      <c r="P261" s="222">
        <v>21.48255440623781</v>
      </c>
      <c r="Q261" s="222">
        <v>21.22255122476118</v>
      </c>
      <c r="R261" s="222">
        <v>20.96321616373816</v>
      </c>
      <c r="S261" s="222">
        <v>20.70453318244488</v>
      </c>
      <c r="T261" s="222">
        <v>20.44648674957056</v>
      </c>
      <c r="U261" s="222">
        <v>20.189061823154709</v>
      </c>
      <c r="V261" s="222">
        <v>19.932243831465101</v>
      </c>
      <c r="W261" s="222">
        <v>19.676018654765389</v>
      </c>
      <c r="X261" s="222">
        <v>19.420372607924669</v>
      </c>
      <c r="Y261" s="222">
        <v>19.16529242382363</v>
      </c>
      <c r="Z261" s="222">
        <v>18.910765237515388</v>
      </c>
      <c r="AA261" s="222">
        <v>18.656778571101022</v>
      </c>
      <c r="AB261" s="222">
        <v>18.465949293045998</v>
      </c>
      <c r="AC261" s="222">
        <v>18.275120499861149</v>
      </c>
      <c r="AD261" s="222">
        <v>18.084292191215152</v>
      </c>
      <c r="AE261" s="222">
        <v>17.893464366776989</v>
      </c>
      <c r="AF261" s="222">
        <v>17.702637026215982</v>
      </c>
      <c r="AG261" s="222">
        <v>17.511810169201699</v>
      </c>
      <c r="AH261" s="222">
        <v>17.320983795404061</v>
      </c>
      <c r="AI261" s="222">
        <v>17.130157904493249</v>
      </c>
      <c r="AJ261" s="222">
        <v>16.939332496139759</v>
      </c>
      <c r="AK261" s="222">
        <v>16.7485075700144</v>
      </c>
      <c r="AL261" s="222">
        <v>16.557683125788252</v>
      </c>
      <c r="AM261" s="222">
        <v>16.36685916313272</v>
      </c>
      <c r="AN261" s="222">
        <v>16.176035681719501</v>
      </c>
      <c r="AO261" s="222">
        <v>15.985212681220579</v>
      </c>
      <c r="AP261" s="222">
        <v>15.79439016130824</v>
      </c>
    </row>
    <row r="262" spans="7:42" ht="14.25" customHeight="1" thickTop="1" x14ac:dyDescent="0.2">
      <c r="G262" s="138"/>
      <c r="H262" s="380"/>
      <c r="J262" s="358"/>
      <c r="K262" s="194" t="s">
        <v>248</v>
      </c>
      <c r="L262" s="194" t="s">
        <v>276</v>
      </c>
      <c r="M262" s="220">
        <v>22.52890893215887</v>
      </c>
      <c r="N262" s="220">
        <v>22.00463196791447</v>
      </c>
      <c r="O262" s="220">
        <v>21.299393786603758</v>
      </c>
      <c r="P262" s="220">
        <v>20.59868736326689</v>
      </c>
      <c r="Q262" s="220">
        <v>19.902236921884811</v>
      </c>
      <c r="R262" s="220">
        <v>19.209788617701928</v>
      </c>
      <c r="S262" s="220">
        <v>18.521108399602991</v>
      </c>
      <c r="T262" s="220">
        <v>17.83598011773211</v>
      </c>
      <c r="U262" s="220">
        <v>17.154203844144909</v>
      </c>
      <c r="V262" s="220">
        <v>16.475594379029939</v>
      </c>
      <c r="W262" s="220">
        <v>15.799979919008759</v>
      </c>
      <c r="X262" s="220">
        <v>15.12720086736247</v>
      </c>
      <c r="Y262" s="220">
        <v>14.457108768845449</v>
      </c>
      <c r="Z262" s="220">
        <v>13.789565354127269</v>
      </c>
      <c r="AA262" s="220">
        <v>13.12444168092104</v>
      </c>
      <c r="AB262" s="220">
        <v>13.02613593466643</v>
      </c>
      <c r="AC262" s="220">
        <v>12.92803952420288</v>
      </c>
      <c r="AD262" s="220">
        <v>12.83014927777597</v>
      </c>
      <c r="AE262" s="220">
        <v>12.73246208738516</v>
      </c>
      <c r="AF262" s="220">
        <v>12.6349749071899</v>
      </c>
      <c r="AG262" s="220">
        <v>12.5376847519634</v>
      </c>
      <c r="AH262" s="220">
        <v>12.44058869559225</v>
      </c>
      <c r="AI262" s="220">
        <v>12.343683869620479</v>
      </c>
      <c r="AJ262" s="220">
        <v>12.246967461836309</v>
      </c>
      <c r="AK262" s="220">
        <v>12.15043671490043</v>
      </c>
      <c r="AL262" s="220">
        <v>12.05408892501406</v>
      </c>
      <c r="AM262" s="220">
        <v>11.957921440625769</v>
      </c>
      <c r="AN262" s="220">
        <v>11.86193166117549</v>
      </c>
      <c r="AO262" s="220">
        <v>11.76611703587464</v>
      </c>
      <c r="AP262" s="220">
        <v>11.670475062521071</v>
      </c>
    </row>
    <row r="263" spans="7:42" ht="14.25" customHeight="1" x14ac:dyDescent="0.2">
      <c r="G263" s="138"/>
      <c r="H263" s="380"/>
      <c r="J263" s="358"/>
      <c r="K263" s="135" t="s">
        <v>248</v>
      </c>
      <c r="L263" s="185" t="s">
        <v>277</v>
      </c>
      <c r="M263" s="221">
        <v>22.52890893215887</v>
      </c>
      <c r="N263" s="221">
        <v>22.00463196791447</v>
      </c>
      <c r="O263" s="221">
        <v>21.495507707971591</v>
      </c>
      <c r="P263" s="221">
        <v>20.988335586592061</v>
      </c>
      <c r="Q263" s="221">
        <v>20.48303680836478</v>
      </c>
      <c r="R263" s="221">
        <v>19.979536762206191</v>
      </c>
      <c r="S263" s="221">
        <v>19.47776474724532</v>
      </c>
      <c r="T263" s="221">
        <v>18.97765371997885</v>
      </c>
      <c r="U263" s="221">
        <v>18.47914006079532</v>
      </c>
      <c r="V263" s="221">
        <v>17.982163358159031</v>
      </c>
      <c r="W263" s="221">
        <v>17.486666208914979</v>
      </c>
      <c r="X263" s="221">
        <v>16.992594033326839</v>
      </c>
      <c r="Y263" s="221">
        <v>16.49989490359561</v>
      </c>
      <c r="Z263" s="221">
        <v>16.00851938472611</v>
      </c>
      <c r="AA263" s="221">
        <v>15.518420386716519</v>
      </c>
      <c r="AB263" s="221">
        <v>15.383614277355649</v>
      </c>
      <c r="AC263" s="221">
        <v>15.24881067071612</v>
      </c>
      <c r="AD263" s="221">
        <v>15.11400957081514</v>
      </c>
      <c r="AE263" s="221">
        <v>14.979210981678531</v>
      </c>
      <c r="AF263" s="221">
        <v>14.844414907340729</v>
      </c>
      <c r="AG263" s="221">
        <v>14.70962135184481</v>
      </c>
      <c r="AH263" s="221">
        <v>14.57483031924253</v>
      </c>
      <c r="AI263" s="221">
        <v>14.44004181359435</v>
      </c>
      <c r="AJ263" s="221">
        <v>14.30525583896944</v>
      </c>
      <c r="AK263" s="221">
        <v>14.170472399445689</v>
      </c>
      <c r="AL263" s="221">
        <v>14.035691499109801</v>
      </c>
      <c r="AM263" s="221">
        <v>13.900913142057229</v>
      </c>
      <c r="AN263" s="221">
        <v>13.76613733239224</v>
      </c>
      <c r="AO263" s="221">
        <v>13.63136407422796</v>
      </c>
      <c r="AP263" s="221">
        <v>13.49659337168635</v>
      </c>
    </row>
    <row r="264" spans="7:42" ht="14.25" customHeight="1" thickBot="1" x14ac:dyDescent="0.25">
      <c r="G264" s="138"/>
      <c r="H264" s="380"/>
      <c r="J264" s="358"/>
      <c r="K264" s="196" t="s">
        <v>248</v>
      </c>
      <c r="L264" s="196" t="s">
        <v>278</v>
      </c>
      <c r="M264" s="222">
        <v>22.52890893215887</v>
      </c>
      <c r="N264" s="222">
        <v>22.00463196791447</v>
      </c>
      <c r="O264" s="222">
        <v>21.743242279363081</v>
      </c>
      <c r="P264" s="222">
        <v>21.48255440623781</v>
      </c>
      <c r="Q264" s="222">
        <v>21.22255122476118</v>
      </c>
      <c r="R264" s="222">
        <v>20.96321616373816</v>
      </c>
      <c r="S264" s="222">
        <v>20.70453318244488</v>
      </c>
      <c r="T264" s="222">
        <v>20.44648674957056</v>
      </c>
      <c r="U264" s="222">
        <v>20.189061823154709</v>
      </c>
      <c r="V264" s="222">
        <v>19.932243831465101</v>
      </c>
      <c r="W264" s="222">
        <v>19.676018654765389</v>
      </c>
      <c r="X264" s="222">
        <v>19.420372607924669</v>
      </c>
      <c r="Y264" s="222">
        <v>19.16529242382363</v>
      </c>
      <c r="Z264" s="222">
        <v>18.910765237515388</v>
      </c>
      <c r="AA264" s="222">
        <v>18.656778571101022</v>
      </c>
      <c r="AB264" s="222">
        <v>18.465949293045998</v>
      </c>
      <c r="AC264" s="222">
        <v>18.275120499861149</v>
      </c>
      <c r="AD264" s="222">
        <v>18.084292191215152</v>
      </c>
      <c r="AE264" s="222">
        <v>17.893464366776989</v>
      </c>
      <c r="AF264" s="222">
        <v>17.702637026215982</v>
      </c>
      <c r="AG264" s="222">
        <v>17.511810169201699</v>
      </c>
      <c r="AH264" s="222">
        <v>17.320983795404061</v>
      </c>
      <c r="AI264" s="222">
        <v>17.130157904493249</v>
      </c>
      <c r="AJ264" s="222">
        <v>16.939332496139759</v>
      </c>
      <c r="AK264" s="222">
        <v>16.7485075700144</v>
      </c>
      <c r="AL264" s="222">
        <v>16.557683125788252</v>
      </c>
      <c r="AM264" s="222">
        <v>16.36685916313272</v>
      </c>
      <c r="AN264" s="222">
        <v>16.176035681719501</v>
      </c>
      <c r="AO264" s="222">
        <v>15.985212681220579</v>
      </c>
      <c r="AP264" s="222">
        <v>15.79439016130824</v>
      </c>
    </row>
    <row r="265" spans="7:42" ht="14.25" customHeight="1" thickTop="1" x14ac:dyDescent="0.2">
      <c r="G265" s="138"/>
      <c r="H265" s="380"/>
      <c r="J265" s="358"/>
      <c r="K265" s="194" t="s">
        <v>250</v>
      </c>
      <c r="L265" s="194" t="s">
        <v>276</v>
      </c>
      <c r="M265" s="220">
        <v>22.52890893215887</v>
      </c>
      <c r="N265" s="220">
        <v>22.00463196791447</v>
      </c>
      <c r="O265" s="220">
        <v>21.299393786603758</v>
      </c>
      <c r="P265" s="220">
        <v>20.59868736326689</v>
      </c>
      <c r="Q265" s="220">
        <v>19.902236921884811</v>
      </c>
      <c r="R265" s="220">
        <v>19.209788617701928</v>
      </c>
      <c r="S265" s="220">
        <v>18.521108399602991</v>
      </c>
      <c r="T265" s="220">
        <v>17.83598011773211</v>
      </c>
      <c r="U265" s="220">
        <v>17.154203844144909</v>
      </c>
      <c r="V265" s="220">
        <v>16.475594379029939</v>
      </c>
      <c r="W265" s="220">
        <v>15.799979919008759</v>
      </c>
      <c r="X265" s="220">
        <v>15.12720086736247</v>
      </c>
      <c r="Y265" s="220">
        <v>14.457108768845449</v>
      </c>
      <c r="Z265" s="220">
        <v>13.789565354127269</v>
      </c>
      <c r="AA265" s="220">
        <v>13.12444168092104</v>
      </c>
      <c r="AB265" s="220">
        <v>13.02613593466643</v>
      </c>
      <c r="AC265" s="220">
        <v>12.92803952420288</v>
      </c>
      <c r="AD265" s="220">
        <v>12.83014927777597</v>
      </c>
      <c r="AE265" s="220">
        <v>12.73246208738516</v>
      </c>
      <c r="AF265" s="220">
        <v>12.6349749071899</v>
      </c>
      <c r="AG265" s="220">
        <v>12.5376847519634</v>
      </c>
      <c r="AH265" s="220">
        <v>12.44058869559225</v>
      </c>
      <c r="AI265" s="220">
        <v>12.343683869620479</v>
      </c>
      <c r="AJ265" s="220">
        <v>12.246967461836309</v>
      </c>
      <c r="AK265" s="220">
        <v>12.15043671490043</v>
      </c>
      <c r="AL265" s="220">
        <v>12.05408892501406</v>
      </c>
      <c r="AM265" s="220">
        <v>11.957921440625769</v>
      </c>
      <c r="AN265" s="220">
        <v>11.86193166117549</v>
      </c>
      <c r="AO265" s="220">
        <v>11.76611703587464</v>
      </c>
      <c r="AP265" s="220">
        <v>11.670475062521071</v>
      </c>
    </row>
    <row r="266" spans="7:42" ht="14.25" customHeight="1" x14ac:dyDescent="0.2">
      <c r="G266" s="138"/>
      <c r="H266" s="380"/>
      <c r="J266" s="358"/>
      <c r="K266" s="135" t="s">
        <v>250</v>
      </c>
      <c r="L266" s="185" t="s">
        <v>277</v>
      </c>
      <c r="M266" s="221">
        <v>22.52890893215887</v>
      </c>
      <c r="N266" s="221">
        <v>22.00463196791447</v>
      </c>
      <c r="O266" s="221">
        <v>21.495507707971591</v>
      </c>
      <c r="P266" s="221">
        <v>20.988335586592061</v>
      </c>
      <c r="Q266" s="221">
        <v>20.48303680836478</v>
      </c>
      <c r="R266" s="221">
        <v>19.979536762206191</v>
      </c>
      <c r="S266" s="221">
        <v>19.47776474724532</v>
      </c>
      <c r="T266" s="221">
        <v>18.97765371997885</v>
      </c>
      <c r="U266" s="221">
        <v>18.47914006079532</v>
      </c>
      <c r="V266" s="221">
        <v>17.982163358159031</v>
      </c>
      <c r="W266" s="221">
        <v>17.486666208914979</v>
      </c>
      <c r="X266" s="221">
        <v>16.992594033326839</v>
      </c>
      <c r="Y266" s="221">
        <v>16.49989490359561</v>
      </c>
      <c r="Z266" s="221">
        <v>16.00851938472611</v>
      </c>
      <c r="AA266" s="221">
        <v>15.518420386716519</v>
      </c>
      <c r="AB266" s="221">
        <v>15.383614277355649</v>
      </c>
      <c r="AC266" s="221">
        <v>15.24881067071612</v>
      </c>
      <c r="AD266" s="221">
        <v>15.11400957081514</v>
      </c>
      <c r="AE266" s="221">
        <v>14.979210981678531</v>
      </c>
      <c r="AF266" s="221">
        <v>14.844414907340729</v>
      </c>
      <c r="AG266" s="221">
        <v>14.70962135184481</v>
      </c>
      <c r="AH266" s="221">
        <v>14.57483031924253</v>
      </c>
      <c r="AI266" s="221">
        <v>14.44004181359435</v>
      </c>
      <c r="AJ266" s="221">
        <v>14.30525583896944</v>
      </c>
      <c r="AK266" s="221">
        <v>14.170472399445689</v>
      </c>
      <c r="AL266" s="221">
        <v>14.035691499109801</v>
      </c>
      <c r="AM266" s="221">
        <v>13.900913142057229</v>
      </c>
      <c r="AN266" s="221">
        <v>13.76613733239224</v>
      </c>
      <c r="AO266" s="221">
        <v>13.63136407422796</v>
      </c>
      <c r="AP266" s="221">
        <v>13.49659337168635</v>
      </c>
    </row>
    <row r="267" spans="7:42" ht="14.25" customHeight="1" thickBot="1" x14ac:dyDescent="0.25">
      <c r="G267" s="138"/>
      <c r="H267" s="380"/>
      <c r="J267" s="358"/>
      <c r="K267" s="196" t="s">
        <v>250</v>
      </c>
      <c r="L267" s="196" t="s">
        <v>278</v>
      </c>
      <c r="M267" s="222">
        <v>22.52890893215887</v>
      </c>
      <c r="N267" s="222">
        <v>22.00463196791447</v>
      </c>
      <c r="O267" s="222">
        <v>21.743242279363081</v>
      </c>
      <c r="P267" s="222">
        <v>21.48255440623781</v>
      </c>
      <c r="Q267" s="222">
        <v>21.22255122476118</v>
      </c>
      <c r="R267" s="222">
        <v>20.96321616373816</v>
      </c>
      <c r="S267" s="222">
        <v>20.70453318244488</v>
      </c>
      <c r="T267" s="222">
        <v>20.44648674957056</v>
      </c>
      <c r="U267" s="222">
        <v>20.189061823154709</v>
      </c>
      <c r="V267" s="222">
        <v>19.932243831465101</v>
      </c>
      <c r="W267" s="222">
        <v>19.676018654765389</v>
      </c>
      <c r="X267" s="222">
        <v>19.420372607924669</v>
      </c>
      <c r="Y267" s="222">
        <v>19.16529242382363</v>
      </c>
      <c r="Z267" s="222">
        <v>18.910765237515388</v>
      </c>
      <c r="AA267" s="222">
        <v>18.656778571101022</v>
      </c>
      <c r="AB267" s="222">
        <v>18.465949293045998</v>
      </c>
      <c r="AC267" s="222">
        <v>18.275120499861149</v>
      </c>
      <c r="AD267" s="222">
        <v>18.084292191215152</v>
      </c>
      <c r="AE267" s="222">
        <v>17.893464366776989</v>
      </c>
      <c r="AF267" s="222">
        <v>17.702637026215982</v>
      </c>
      <c r="AG267" s="222">
        <v>17.511810169201699</v>
      </c>
      <c r="AH267" s="222">
        <v>17.320983795404061</v>
      </c>
      <c r="AI267" s="222">
        <v>17.130157904493249</v>
      </c>
      <c r="AJ267" s="222">
        <v>16.939332496139759</v>
      </c>
      <c r="AK267" s="222">
        <v>16.7485075700144</v>
      </c>
      <c r="AL267" s="222">
        <v>16.557683125788252</v>
      </c>
      <c r="AM267" s="222">
        <v>16.36685916313272</v>
      </c>
      <c r="AN267" s="222">
        <v>16.176035681719501</v>
      </c>
      <c r="AO267" s="222">
        <v>15.985212681220579</v>
      </c>
      <c r="AP267" s="222">
        <v>15.79439016130824</v>
      </c>
    </row>
    <row r="268" spans="7:42" ht="14.25" customHeight="1" thickTop="1" x14ac:dyDescent="0.2">
      <c r="G268" s="138"/>
      <c r="H268" s="380"/>
      <c r="J268" s="358"/>
      <c r="K268" s="194" t="s">
        <v>252</v>
      </c>
      <c r="L268" s="194" t="s">
        <v>276</v>
      </c>
      <c r="M268" s="220">
        <v>22.52890893215887</v>
      </c>
      <c r="N268" s="220">
        <v>22.00463196791447</v>
      </c>
      <c r="O268" s="220">
        <v>21.299393786603758</v>
      </c>
      <c r="P268" s="220">
        <v>20.59868736326689</v>
      </c>
      <c r="Q268" s="220">
        <v>19.902236921884811</v>
      </c>
      <c r="R268" s="220">
        <v>19.209788617701928</v>
      </c>
      <c r="S268" s="220">
        <v>18.521108399602991</v>
      </c>
      <c r="T268" s="220">
        <v>17.83598011773211</v>
      </c>
      <c r="U268" s="220">
        <v>17.154203844144909</v>
      </c>
      <c r="V268" s="220">
        <v>16.475594379029939</v>
      </c>
      <c r="W268" s="220">
        <v>15.799979919008759</v>
      </c>
      <c r="X268" s="220">
        <v>15.12720086736247</v>
      </c>
      <c r="Y268" s="220">
        <v>14.457108768845449</v>
      </c>
      <c r="Z268" s="220">
        <v>13.789565354127269</v>
      </c>
      <c r="AA268" s="220">
        <v>13.12444168092104</v>
      </c>
      <c r="AB268" s="220">
        <v>13.02613593466643</v>
      </c>
      <c r="AC268" s="220">
        <v>12.92803952420288</v>
      </c>
      <c r="AD268" s="220">
        <v>12.83014927777597</v>
      </c>
      <c r="AE268" s="220">
        <v>12.73246208738516</v>
      </c>
      <c r="AF268" s="220">
        <v>12.6349749071899</v>
      </c>
      <c r="AG268" s="220">
        <v>12.5376847519634</v>
      </c>
      <c r="AH268" s="220">
        <v>12.44058869559225</v>
      </c>
      <c r="AI268" s="220">
        <v>12.343683869620479</v>
      </c>
      <c r="AJ268" s="220">
        <v>12.246967461836309</v>
      </c>
      <c r="AK268" s="220">
        <v>12.15043671490043</v>
      </c>
      <c r="AL268" s="220">
        <v>12.05408892501406</v>
      </c>
      <c r="AM268" s="220">
        <v>11.957921440625769</v>
      </c>
      <c r="AN268" s="220">
        <v>11.86193166117549</v>
      </c>
      <c r="AO268" s="220">
        <v>11.76611703587464</v>
      </c>
      <c r="AP268" s="220">
        <v>11.670475062521071</v>
      </c>
    </row>
    <row r="269" spans="7:42" ht="14.25" customHeight="1" x14ac:dyDescent="0.2">
      <c r="G269" s="138"/>
      <c r="H269" s="380"/>
      <c r="J269" s="358"/>
      <c r="K269" s="135" t="s">
        <v>252</v>
      </c>
      <c r="L269" s="185" t="s">
        <v>277</v>
      </c>
      <c r="M269" s="221">
        <v>22.52890893215887</v>
      </c>
      <c r="N269" s="221">
        <v>22.00463196791447</v>
      </c>
      <c r="O269" s="221">
        <v>21.495507707971591</v>
      </c>
      <c r="P269" s="221">
        <v>20.988335586592061</v>
      </c>
      <c r="Q269" s="221">
        <v>20.48303680836478</v>
      </c>
      <c r="R269" s="221">
        <v>19.979536762206191</v>
      </c>
      <c r="S269" s="221">
        <v>19.47776474724532</v>
      </c>
      <c r="T269" s="221">
        <v>18.97765371997885</v>
      </c>
      <c r="U269" s="221">
        <v>18.47914006079532</v>
      </c>
      <c r="V269" s="221">
        <v>17.982163358159031</v>
      </c>
      <c r="W269" s="221">
        <v>17.486666208914979</v>
      </c>
      <c r="X269" s="221">
        <v>16.992594033326839</v>
      </c>
      <c r="Y269" s="221">
        <v>16.49989490359561</v>
      </c>
      <c r="Z269" s="221">
        <v>16.00851938472611</v>
      </c>
      <c r="AA269" s="221">
        <v>15.518420386716519</v>
      </c>
      <c r="AB269" s="221">
        <v>15.383614277355649</v>
      </c>
      <c r="AC269" s="221">
        <v>15.24881067071612</v>
      </c>
      <c r="AD269" s="221">
        <v>15.11400957081514</v>
      </c>
      <c r="AE269" s="221">
        <v>14.979210981678531</v>
      </c>
      <c r="AF269" s="221">
        <v>14.844414907340729</v>
      </c>
      <c r="AG269" s="221">
        <v>14.70962135184481</v>
      </c>
      <c r="AH269" s="221">
        <v>14.57483031924253</v>
      </c>
      <c r="AI269" s="221">
        <v>14.44004181359435</v>
      </c>
      <c r="AJ269" s="221">
        <v>14.30525583896944</v>
      </c>
      <c r="AK269" s="221">
        <v>14.170472399445689</v>
      </c>
      <c r="AL269" s="221">
        <v>14.035691499109801</v>
      </c>
      <c r="AM269" s="221">
        <v>13.900913142057229</v>
      </c>
      <c r="AN269" s="221">
        <v>13.76613733239224</v>
      </c>
      <c r="AO269" s="221">
        <v>13.63136407422796</v>
      </c>
      <c r="AP269" s="221">
        <v>13.49659337168635</v>
      </c>
    </row>
    <row r="270" spans="7:42" ht="14.25" customHeight="1" thickBot="1" x14ac:dyDescent="0.25">
      <c r="G270" s="138"/>
      <c r="H270" s="380"/>
      <c r="J270" s="358"/>
      <c r="K270" s="196" t="s">
        <v>252</v>
      </c>
      <c r="L270" s="196" t="s">
        <v>278</v>
      </c>
      <c r="M270" s="222">
        <v>22.52890893215887</v>
      </c>
      <c r="N270" s="222">
        <v>22.00463196791447</v>
      </c>
      <c r="O270" s="222">
        <v>21.743242279363081</v>
      </c>
      <c r="P270" s="222">
        <v>21.48255440623781</v>
      </c>
      <c r="Q270" s="222">
        <v>21.22255122476118</v>
      </c>
      <c r="R270" s="222">
        <v>20.96321616373816</v>
      </c>
      <c r="S270" s="222">
        <v>20.70453318244488</v>
      </c>
      <c r="T270" s="222">
        <v>20.44648674957056</v>
      </c>
      <c r="U270" s="222">
        <v>20.189061823154709</v>
      </c>
      <c r="V270" s="222">
        <v>19.932243831465101</v>
      </c>
      <c r="W270" s="222">
        <v>19.676018654765389</v>
      </c>
      <c r="X270" s="222">
        <v>19.420372607924669</v>
      </c>
      <c r="Y270" s="222">
        <v>19.16529242382363</v>
      </c>
      <c r="Z270" s="222">
        <v>18.910765237515388</v>
      </c>
      <c r="AA270" s="222">
        <v>18.656778571101022</v>
      </c>
      <c r="AB270" s="222">
        <v>18.465949293045998</v>
      </c>
      <c r="AC270" s="222">
        <v>18.275120499861149</v>
      </c>
      <c r="AD270" s="222">
        <v>18.084292191215152</v>
      </c>
      <c r="AE270" s="222">
        <v>17.893464366776989</v>
      </c>
      <c r="AF270" s="222">
        <v>17.702637026215982</v>
      </c>
      <c r="AG270" s="222">
        <v>17.511810169201699</v>
      </c>
      <c r="AH270" s="222">
        <v>17.320983795404061</v>
      </c>
      <c r="AI270" s="222">
        <v>17.130157904493249</v>
      </c>
      <c r="AJ270" s="222">
        <v>16.939332496139759</v>
      </c>
      <c r="AK270" s="222">
        <v>16.7485075700144</v>
      </c>
      <c r="AL270" s="222">
        <v>16.557683125788252</v>
      </c>
      <c r="AM270" s="222">
        <v>16.36685916313272</v>
      </c>
      <c r="AN270" s="222">
        <v>16.176035681719501</v>
      </c>
      <c r="AO270" s="222">
        <v>15.985212681220579</v>
      </c>
      <c r="AP270" s="222">
        <v>15.79439016130824</v>
      </c>
    </row>
    <row r="271" spans="7:42" ht="14.25" customHeight="1" thickTop="1" x14ac:dyDescent="0.2">
      <c r="G271" s="138"/>
      <c r="H271" s="380"/>
      <c r="J271" s="358"/>
      <c r="K271" s="194" t="s">
        <v>254</v>
      </c>
      <c r="L271" s="194" t="s">
        <v>276</v>
      </c>
      <c r="M271" s="220">
        <v>22.52890893215887</v>
      </c>
      <c r="N271" s="220">
        <v>22.00463196791447</v>
      </c>
      <c r="O271" s="220">
        <v>21.299393786603758</v>
      </c>
      <c r="P271" s="220">
        <v>20.59868736326689</v>
      </c>
      <c r="Q271" s="220">
        <v>19.902236921884811</v>
      </c>
      <c r="R271" s="220">
        <v>19.209788617701928</v>
      </c>
      <c r="S271" s="220">
        <v>18.521108399602991</v>
      </c>
      <c r="T271" s="220">
        <v>17.83598011773211</v>
      </c>
      <c r="U271" s="220">
        <v>17.154203844144909</v>
      </c>
      <c r="V271" s="220">
        <v>16.475594379029939</v>
      </c>
      <c r="W271" s="220">
        <v>15.799979919008759</v>
      </c>
      <c r="X271" s="220">
        <v>15.12720086736247</v>
      </c>
      <c r="Y271" s="220">
        <v>14.457108768845449</v>
      </c>
      <c r="Z271" s="220">
        <v>13.789565354127269</v>
      </c>
      <c r="AA271" s="220">
        <v>13.12444168092104</v>
      </c>
      <c r="AB271" s="220">
        <v>13.02613593466643</v>
      </c>
      <c r="AC271" s="220">
        <v>12.92803952420288</v>
      </c>
      <c r="AD271" s="220">
        <v>12.83014927777597</v>
      </c>
      <c r="AE271" s="220">
        <v>12.73246208738516</v>
      </c>
      <c r="AF271" s="220">
        <v>12.6349749071899</v>
      </c>
      <c r="AG271" s="220">
        <v>12.5376847519634</v>
      </c>
      <c r="AH271" s="220">
        <v>12.44058869559225</v>
      </c>
      <c r="AI271" s="220">
        <v>12.343683869620479</v>
      </c>
      <c r="AJ271" s="220">
        <v>12.246967461836309</v>
      </c>
      <c r="AK271" s="220">
        <v>12.15043671490043</v>
      </c>
      <c r="AL271" s="220">
        <v>12.05408892501406</v>
      </c>
      <c r="AM271" s="220">
        <v>11.957921440625769</v>
      </c>
      <c r="AN271" s="220">
        <v>11.86193166117549</v>
      </c>
      <c r="AO271" s="220">
        <v>11.76611703587464</v>
      </c>
      <c r="AP271" s="220">
        <v>11.670475062521071</v>
      </c>
    </row>
    <row r="272" spans="7:42" ht="14.25" customHeight="1" x14ac:dyDescent="0.2">
      <c r="G272" s="138"/>
      <c r="H272" s="380"/>
      <c r="J272" s="358"/>
      <c r="K272" s="135" t="s">
        <v>254</v>
      </c>
      <c r="L272" s="185" t="s">
        <v>277</v>
      </c>
      <c r="M272" s="221">
        <v>22.52890893215887</v>
      </c>
      <c r="N272" s="221">
        <v>22.00463196791447</v>
      </c>
      <c r="O272" s="221">
        <v>21.495507707971591</v>
      </c>
      <c r="P272" s="221">
        <v>20.988335586592061</v>
      </c>
      <c r="Q272" s="221">
        <v>20.48303680836478</v>
      </c>
      <c r="R272" s="221">
        <v>19.979536762206191</v>
      </c>
      <c r="S272" s="221">
        <v>19.47776474724532</v>
      </c>
      <c r="T272" s="221">
        <v>18.97765371997885</v>
      </c>
      <c r="U272" s="221">
        <v>18.47914006079532</v>
      </c>
      <c r="V272" s="221">
        <v>17.982163358159031</v>
      </c>
      <c r="W272" s="221">
        <v>17.486666208914979</v>
      </c>
      <c r="X272" s="221">
        <v>16.992594033326839</v>
      </c>
      <c r="Y272" s="221">
        <v>16.49989490359561</v>
      </c>
      <c r="Z272" s="221">
        <v>16.00851938472611</v>
      </c>
      <c r="AA272" s="221">
        <v>15.518420386716519</v>
      </c>
      <c r="AB272" s="221">
        <v>15.383614277355649</v>
      </c>
      <c r="AC272" s="221">
        <v>15.24881067071612</v>
      </c>
      <c r="AD272" s="221">
        <v>15.11400957081514</v>
      </c>
      <c r="AE272" s="221">
        <v>14.979210981678531</v>
      </c>
      <c r="AF272" s="221">
        <v>14.844414907340729</v>
      </c>
      <c r="AG272" s="221">
        <v>14.70962135184481</v>
      </c>
      <c r="AH272" s="221">
        <v>14.57483031924253</v>
      </c>
      <c r="AI272" s="221">
        <v>14.44004181359435</v>
      </c>
      <c r="AJ272" s="221">
        <v>14.30525583896944</v>
      </c>
      <c r="AK272" s="221">
        <v>14.170472399445689</v>
      </c>
      <c r="AL272" s="221">
        <v>14.035691499109801</v>
      </c>
      <c r="AM272" s="221">
        <v>13.900913142057229</v>
      </c>
      <c r="AN272" s="221">
        <v>13.76613733239224</v>
      </c>
      <c r="AO272" s="221">
        <v>13.63136407422796</v>
      </c>
      <c r="AP272" s="221">
        <v>13.49659337168635</v>
      </c>
    </row>
    <row r="273" spans="1:42" ht="14.25" customHeight="1" thickBot="1" x14ac:dyDescent="0.25">
      <c r="G273" s="138"/>
      <c r="H273" s="380"/>
      <c r="J273" s="358"/>
      <c r="K273" s="196" t="s">
        <v>254</v>
      </c>
      <c r="L273" s="196" t="s">
        <v>278</v>
      </c>
      <c r="M273" s="222">
        <v>22.52890893215887</v>
      </c>
      <c r="N273" s="222">
        <v>22.00463196791447</v>
      </c>
      <c r="O273" s="222">
        <v>21.743242279363081</v>
      </c>
      <c r="P273" s="222">
        <v>21.48255440623781</v>
      </c>
      <c r="Q273" s="222">
        <v>21.22255122476118</v>
      </c>
      <c r="R273" s="222">
        <v>20.96321616373816</v>
      </c>
      <c r="S273" s="222">
        <v>20.70453318244488</v>
      </c>
      <c r="T273" s="222">
        <v>20.44648674957056</v>
      </c>
      <c r="U273" s="222">
        <v>20.189061823154709</v>
      </c>
      <c r="V273" s="222">
        <v>19.932243831465101</v>
      </c>
      <c r="W273" s="222">
        <v>19.676018654765389</v>
      </c>
      <c r="X273" s="222">
        <v>19.420372607924669</v>
      </c>
      <c r="Y273" s="222">
        <v>19.16529242382363</v>
      </c>
      <c r="Z273" s="222">
        <v>18.910765237515388</v>
      </c>
      <c r="AA273" s="222">
        <v>18.656778571101022</v>
      </c>
      <c r="AB273" s="222">
        <v>18.465949293045998</v>
      </c>
      <c r="AC273" s="222">
        <v>18.275120499861149</v>
      </c>
      <c r="AD273" s="222">
        <v>18.084292191215152</v>
      </c>
      <c r="AE273" s="222">
        <v>17.893464366776989</v>
      </c>
      <c r="AF273" s="222">
        <v>17.702637026215982</v>
      </c>
      <c r="AG273" s="222">
        <v>17.511810169201699</v>
      </c>
      <c r="AH273" s="222">
        <v>17.320983795404061</v>
      </c>
      <c r="AI273" s="222">
        <v>17.130157904493249</v>
      </c>
      <c r="AJ273" s="222">
        <v>16.939332496139759</v>
      </c>
      <c r="AK273" s="222">
        <v>16.7485075700144</v>
      </c>
      <c r="AL273" s="222">
        <v>16.557683125788252</v>
      </c>
      <c r="AM273" s="222">
        <v>16.36685916313272</v>
      </c>
      <c r="AN273" s="222">
        <v>16.176035681719501</v>
      </c>
      <c r="AO273" s="222">
        <v>15.985212681220579</v>
      </c>
      <c r="AP273" s="222">
        <v>15.79439016130824</v>
      </c>
    </row>
    <row r="274" spans="1:42" ht="14.25" customHeight="1" thickTop="1" x14ac:dyDescent="0.2">
      <c r="G274" s="138"/>
      <c r="H274" s="380"/>
      <c r="J274" s="358"/>
      <c r="K274" s="194" t="s">
        <v>256</v>
      </c>
      <c r="L274" s="194" t="s">
        <v>276</v>
      </c>
      <c r="M274" s="220">
        <v>22.52890893215887</v>
      </c>
      <c r="N274" s="220">
        <v>22.00463196791447</v>
      </c>
      <c r="O274" s="220">
        <v>21.299393786603758</v>
      </c>
      <c r="P274" s="220">
        <v>20.59868736326689</v>
      </c>
      <c r="Q274" s="220">
        <v>19.902236921884811</v>
      </c>
      <c r="R274" s="220">
        <v>19.209788617701928</v>
      </c>
      <c r="S274" s="220">
        <v>18.521108399602991</v>
      </c>
      <c r="T274" s="220">
        <v>17.83598011773211</v>
      </c>
      <c r="U274" s="220">
        <v>17.154203844144909</v>
      </c>
      <c r="V274" s="220">
        <v>16.475594379029939</v>
      </c>
      <c r="W274" s="220">
        <v>15.799979919008759</v>
      </c>
      <c r="X274" s="220">
        <v>15.12720086736247</v>
      </c>
      <c r="Y274" s="220">
        <v>14.457108768845449</v>
      </c>
      <c r="Z274" s="220">
        <v>13.789565354127269</v>
      </c>
      <c r="AA274" s="220">
        <v>13.12444168092104</v>
      </c>
      <c r="AB274" s="220">
        <v>13.02613593466643</v>
      </c>
      <c r="AC274" s="220">
        <v>12.92803952420288</v>
      </c>
      <c r="AD274" s="220">
        <v>12.83014927777597</v>
      </c>
      <c r="AE274" s="220">
        <v>12.73246208738516</v>
      </c>
      <c r="AF274" s="220">
        <v>12.6349749071899</v>
      </c>
      <c r="AG274" s="220">
        <v>12.5376847519634</v>
      </c>
      <c r="AH274" s="220">
        <v>12.44058869559225</v>
      </c>
      <c r="AI274" s="220">
        <v>12.343683869620479</v>
      </c>
      <c r="AJ274" s="220">
        <v>12.246967461836309</v>
      </c>
      <c r="AK274" s="220">
        <v>12.15043671490043</v>
      </c>
      <c r="AL274" s="220">
        <v>12.05408892501406</v>
      </c>
      <c r="AM274" s="220">
        <v>11.957921440625769</v>
      </c>
      <c r="AN274" s="220">
        <v>11.86193166117549</v>
      </c>
      <c r="AO274" s="220">
        <v>11.76611703587464</v>
      </c>
      <c r="AP274" s="220">
        <v>11.670475062521071</v>
      </c>
    </row>
    <row r="275" spans="1:42" ht="14.25" customHeight="1" x14ac:dyDescent="0.2">
      <c r="G275" s="138"/>
      <c r="H275" s="380"/>
      <c r="J275" s="358"/>
      <c r="K275" s="135" t="s">
        <v>256</v>
      </c>
      <c r="L275" s="185" t="s">
        <v>277</v>
      </c>
      <c r="M275" s="221">
        <v>22.52890893215887</v>
      </c>
      <c r="N275" s="221">
        <v>22.00463196791447</v>
      </c>
      <c r="O275" s="221">
        <v>21.495507707971591</v>
      </c>
      <c r="P275" s="221">
        <v>20.988335586592061</v>
      </c>
      <c r="Q275" s="221">
        <v>20.48303680836478</v>
      </c>
      <c r="R275" s="221">
        <v>19.979536762206191</v>
      </c>
      <c r="S275" s="221">
        <v>19.47776474724532</v>
      </c>
      <c r="T275" s="221">
        <v>18.97765371997885</v>
      </c>
      <c r="U275" s="221">
        <v>18.47914006079532</v>
      </c>
      <c r="V275" s="221">
        <v>17.982163358159031</v>
      </c>
      <c r="W275" s="221">
        <v>17.486666208914979</v>
      </c>
      <c r="X275" s="221">
        <v>16.992594033326839</v>
      </c>
      <c r="Y275" s="221">
        <v>16.49989490359561</v>
      </c>
      <c r="Z275" s="221">
        <v>16.00851938472611</v>
      </c>
      <c r="AA275" s="221">
        <v>15.518420386716519</v>
      </c>
      <c r="AB275" s="221">
        <v>15.383614277355649</v>
      </c>
      <c r="AC275" s="221">
        <v>15.24881067071612</v>
      </c>
      <c r="AD275" s="221">
        <v>15.11400957081514</v>
      </c>
      <c r="AE275" s="221">
        <v>14.979210981678531</v>
      </c>
      <c r="AF275" s="221">
        <v>14.844414907340729</v>
      </c>
      <c r="AG275" s="221">
        <v>14.70962135184481</v>
      </c>
      <c r="AH275" s="221">
        <v>14.57483031924253</v>
      </c>
      <c r="AI275" s="221">
        <v>14.44004181359435</v>
      </c>
      <c r="AJ275" s="221">
        <v>14.30525583896944</v>
      </c>
      <c r="AK275" s="221">
        <v>14.170472399445689</v>
      </c>
      <c r="AL275" s="221">
        <v>14.035691499109801</v>
      </c>
      <c r="AM275" s="221">
        <v>13.900913142057229</v>
      </c>
      <c r="AN275" s="221">
        <v>13.76613733239224</v>
      </c>
      <c r="AO275" s="221">
        <v>13.63136407422796</v>
      </c>
      <c r="AP275" s="221">
        <v>13.49659337168635</v>
      </c>
    </row>
    <row r="276" spans="1:42" ht="14.25" customHeight="1" thickBot="1" x14ac:dyDescent="0.25">
      <c r="G276" s="138"/>
      <c r="H276" s="380"/>
      <c r="J276" s="368"/>
      <c r="K276" s="196" t="s">
        <v>256</v>
      </c>
      <c r="L276" s="196" t="s">
        <v>278</v>
      </c>
      <c r="M276" s="222">
        <v>22.52890893215887</v>
      </c>
      <c r="N276" s="222">
        <v>22.00463196791447</v>
      </c>
      <c r="O276" s="222">
        <v>21.743242279363081</v>
      </c>
      <c r="P276" s="222">
        <v>21.48255440623781</v>
      </c>
      <c r="Q276" s="222">
        <v>21.22255122476118</v>
      </c>
      <c r="R276" s="222">
        <v>20.96321616373816</v>
      </c>
      <c r="S276" s="222">
        <v>20.70453318244488</v>
      </c>
      <c r="T276" s="222">
        <v>20.44648674957056</v>
      </c>
      <c r="U276" s="222">
        <v>20.189061823154709</v>
      </c>
      <c r="V276" s="222">
        <v>19.932243831465101</v>
      </c>
      <c r="W276" s="222">
        <v>19.676018654765389</v>
      </c>
      <c r="X276" s="222">
        <v>19.420372607924669</v>
      </c>
      <c r="Y276" s="222">
        <v>19.16529242382363</v>
      </c>
      <c r="Z276" s="222">
        <v>18.910765237515388</v>
      </c>
      <c r="AA276" s="222">
        <v>18.656778571101022</v>
      </c>
      <c r="AB276" s="222">
        <v>18.465949293045998</v>
      </c>
      <c r="AC276" s="222">
        <v>18.275120499861149</v>
      </c>
      <c r="AD276" s="222">
        <v>18.084292191215152</v>
      </c>
      <c r="AE276" s="222">
        <v>17.893464366776989</v>
      </c>
      <c r="AF276" s="222">
        <v>17.702637026215982</v>
      </c>
      <c r="AG276" s="222">
        <v>17.511810169201699</v>
      </c>
      <c r="AH276" s="222">
        <v>17.320983795404061</v>
      </c>
      <c r="AI276" s="222">
        <v>17.130157904493249</v>
      </c>
      <c r="AJ276" s="222">
        <v>16.939332496139759</v>
      </c>
      <c r="AK276" s="222">
        <v>16.7485075700144</v>
      </c>
      <c r="AL276" s="222">
        <v>16.557683125788252</v>
      </c>
      <c r="AM276" s="222">
        <v>16.36685916313272</v>
      </c>
      <c r="AN276" s="222">
        <v>16.176035681719501</v>
      </c>
      <c r="AO276" s="222">
        <v>15.985212681220579</v>
      </c>
      <c r="AP276" s="222">
        <v>15.79439016130824</v>
      </c>
    </row>
    <row r="277" spans="1:42" ht="14.25" customHeight="1" thickTop="1" x14ac:dyDescent="0.2">
      <c r="G277" s="138"/>
      <c r="H277" s="380"/>
      <c r="J277" s="201"/>
      <c r="K277" s="135"/>
      <c r="L277" s="135"/>
      <c r="M277" s="224"/>
      <c r="N277" s="224"/>
      <c r="O277" s="224"/>
      <c r="P277" s="224"/>
      <c r="Q277" s="224"/>
      <c r="R277" s="224"/>
      <c r="S277" s="224"/>
      <c r="T277" s="224"/>
      <c r="U277" s="224"/>
      <c r="V277" s="224"/>
      <c r="W277" s="224"/>
      <c r="X277" s="224"/>
      <c r="Y277" s="224"/>
      <c r="Z277" s="224"/>
      <c r="AA277" s="224"/>
      <c r="AB277" s="224"/>
      <c r="AC277" s="224"/>
      <c r="AD277" s="224"/>
      <c r="AE277" s="224"/>
      <c r="AF277" s="224"/>
      <c r="AG277" s="224"/>
      <c r="AH277" s="224"/>
      <c r="AI277" s="224"/>
      <c r="AJ277" s="224"/>
      <c r="AK277" s="224"/>
      <c r="AL277" s="224"/>
      <c r="AM277" s="224"/>
      <c r="AN277" s="224"/>
      <c r="AO277" s="224"/>
      <c r="AP277" s="224"/>
    </row>
    <row r="278" spans="1:42" ht="14.25" customHeight="1" x14ac:dyDescent="0.2">
      <c r="A278" s="131" t="s">
        <v>298</v>
      </c>
      <c r="G278" s="138"/>
      <c r="H278" s="380"/>
      <c r="M278" s="123">
        <v>2021</v>
      </c>
      <c r="N278" s="123">
        <v>2022</v>
      </c>
      <c r="O278" s="123">
        <v>2023</v>
      </c>
      <c r="P278" s="123">
        <v>2024</v>
      </c>
      <c r="Q278" s="123">
        <v>2025</v>
      </c>
      <c r="R278" s="123">
        <v>2026</v>
      </c>
      <c r="S278" s="123">
        <v>2027</v>
      </c>
      <c r="T278" s="123">
        <v>2028</v>
      </c>
      <c r="U278" s="123">
        <v>2029</v>
      </c>
      <c r="V278" s="123">
        <v>2030</v>
      </c>
      <c r="W278" s="123">
        <v>2031</v>
      </c>
      <c r="X278" s="123">
        <v>2032</v>
      </c>
      <c r="Y278" s="123">
        <v>2033</v>
      </c>
      <c r="Z278" s="123">
        <v>2034</v>
      </c>
      <c r="AA278" s="123">
        <v>2035</v>
      </c>
      <c r="AB278" s="123">
        <v>2036</v>
      </c>
      <c r="AC278" s="123">
        <v>2037</v>
      </c>
      <c r="AD278" s="123">
        <v>2038</v>
      </c>
      <c r="AE278" s="123">
        <v>2039</v>
      </c>
      <c r="AF278" s="123">
        <v>2040</v>
      </c>
      <c r="AG278" s="123">
        <v>2041</v>
      </c>
      <c r="AH278" s="123">
        <v>2042</v>
      </c>
      <c r="AI278" s="123">
        <v>2043</v>
      </c>
      <c r="AJ278" s="123">
        <v>2044</v>
      </c>
      <c r="AK278" s="123">
        <v>2045</v>
      </c>
      <c r="AL278" s="123">
        <v>2046</v>
      </c>
      <c r="AM278" s="123">
        <v>2047</v>
      </c>
      <c r="AN278" s="123">
        <v>2048</v>
      </c>
      <c r="AO278" s="123">
        <v>2049</v>
      </c>
      <c r="AP278" s="123">
        <v>2050</v>
      </c>
    </row>
    <row r="279" spans="1:42" ht="14.25" customHeight="1" x14ac:dyDescent="0.2">
      <c r="G279" s="138"/>
      <c r="H279" s="380"/>
      <c r="J279" s="367" t="s">
        <v>299</v>
      </c>
      <c r="K279" s="194" t="s">
        <v>235</v>
      </c>
      <c r="L279" s="194" t="s">
        <v>276</v>
      </c>
      <c r="M279" s="225">
        <v>0</v>
      </c>
      <c r="N279" s="225">
        <v>0</v>
      </c>
      <c r="O279" s="225">
        <v>0</v>
      </c>
      <c r="P279" s="225">
        <v>0</v>
      </c>
      <c r="Q279" s="225">
        <v>0</v>
      </c>
      <c r="R279" s="225">
        <v>0</v>
      </c>
      <c r="S279" s="225">
        <v>0</v>
      </c>
      <c r="T279" s="225">
        <v>0</v>
      </c>
      <c r="U279" s="225">
        <v>0</v>
      </c>
      <c r="V279" s="225">
        <v>0</v>
      </c>
      <c r="W279" s="225">
        <v>0</v>
      </c>
      <c r="X279" s="225">
        <v>0</v>
      </c>
      <c r="Y279" s="225">
        <v>0</v>
      </c>
      <c r="Z279" s="225">
        <v>0</v>
      </c>
      <c r="AA279" s="225">
        <v>0</v>
      </c>
      <c r="AB279" s="225">
        <v>0</v>
      </c>
      <c r="AC279" s="225">
        <v>0</v>
      </c>
      <c r="AD279" s="225">
        <v>0</v>
      </c>
      <c r="AE279" s="225">
        <v>0</v>
      </c>
      <c r="AF279" s="225">
        <v>0</v>
      </c>
      <c r="AG279" s="225">
        <v>0</v>
      </c>
      <c r="AH279" s="225">
        <v>0</v>
      </c>
      <c r="AI279" s="225">
        <v>0</v>
      </c>
      <c r="AJ279" s="225">
        <v>0</v>
      </c>
      <c r="AK279" s="225">
        <v>0</v>
      </c>
      <c r="AL279" s="225">
        <v>0</v>
      </c>
      <c r="AM279" s="225">
        <v>0</v>
      </c>
      <c r="AN279" s="225">
        <v>0</v>
      </c>
      <c r="AO279" s="225">
        <v>0</v>
      </c>
      <c r="AP279" s="225">
        <v>0</v>
      </c>
    </row>
    <row r="280" spans="1:42" ht="14.25" customHeight="1" x14ac:dyDescent="0.2">
      <c r="G280" s="138"/>
      <c r="H280" s="380"/>
      <c r="J280" s="358"/>
      <c r="K280" s="135" t="s">
        <v>235</v>
      </c>
      <c r="L280" s="185" t="s">
        <v>277</v>
      </c>
      <c r="M280" s="226">
        <v>0</v>
      </c>
      <c r="N280" s="226">
        <v>0</v>
      </c>
      <c r="O280" s="226">
        <v>0</v>
      </c>
      <c r="P280" s="226">
        <v>0</v>
      </c>
      <c r="Q280" s="226">
        <v>0</v>
      </c>
      <c r="R280" s="226">
        <v>0</v>
      </c>
      <c r="S280" s="226">
        <v>0</v>
      </c>
      <c r="T280" s="226">
        <v>0</v>
      </c>
      <c r="U280" s="226">
        <v>0</v>
      </c>
      <c r="V280" s="226">
        <v>0</v>
      </c>
      <c r="W280" s="226">
        <v>0</v>
      </c>
      <c r="X280" s="226">
        <v>0</v>
      </c>
      <c r="Y280" s="226">
        <v>0</v>
      </c>
      <c r="Z280" s="226">
        <v>0</v>
      </c>
      <c r="AA280" s="226">
        <v>0</v>
      </c>
      <c r="AB280" s="226">
        <v>0</v>
      </c>
      <c r="AC280" s="226">
        <v>0</v>
      </c>
      <c r="AD280" s="226">
        <v>0</v>
      </c>
      <c r="AE280" s="226">
        <v>0</v>
      </c>
      <c r="AF280" s="226">
        <v>0</v>
      </c>
      <c r="AG280" s="226">
        <v>0</v>
      </c>
      <c r="AH280" s="226">
        <v>0</v>
      </c>
      <c r="AI280" s="226">
        <v>0</v>
      </c>
      <c r="AJ280" s="226">
        <v>0</v>
      </c>
      <c r="AK280" s="226">
        <v>0</v>
      </c>
      <c r="AL280" s="226">
        <v>0</v>
      </c>
      <c r="AM280" s="226">
        <v>0</v>
      </c>
      <c r="AN280" s="226">
        <v>0</v>
      </c>
      <c r="AO280" s="226">
        <v>0</v>
      </c>
      <c r="AP280" s="226">
        <v>0</v>
      </c>
    </row>
    <row r="281" spans="1:42" ht="14.25" customHeight="1" thickBot="1" x14ac:dyDescent="0.25">
      <c r="G281" s="138"/>
      <c r="H281" s="380"/>
      <c r="J281" s="358"/>
      <c r="K281" s="196" t="s">
        <v>235</v>
      </c>
      <c r="L281" s="196" t="s">
        <v>278</v>
      </c>
      <c r="M281" s="227">
        <v>0</v>
      </c>
      <c r="N281" s="227">
        <v>0</v>
      </c>
      <c r="O281" s="227">
        <v>0</v>
      </c>
      <c r="P281" s="227">
        <v>0</v>
      </c>
      <c r="Q281" s="227">
        <v>0</v>
      </c>
      <c r="R281" s="227">
        <v>0</v>
      </c>
      <c r="S281" s="227">
        <v>0</v>
      </c>
      <c r="T281" s="227">
        <v>0</v>
      </c>
      <c r="U281" s="227">
        <v>0</v>
      </c>
      <c r="V281" s="227">
        <v>0</v>
      </c>
      <c r="W281" s="227">
        <v>0</v>
      </c>
      <c r="X281" s="227">
        <v>0</v>
      </c>
      <c r="Y281" s="227">
        <v>0</v>
      </c>
      <c r="Z281" s="227">
        <v>0</v>
      </c>
      <c r="AA281" s="227">
        <v>0</v>
      </c>
      <c r="AB281" s="227">
        <v>0</v>
      </c>
      <c r="AC281" s="227">
        <v>0</v>
      </c>
      <c r="AD281" s="227">
        <v>0</v>
      </c>
      <c r="AE281" s="227">
        <v>0</v>
      </c>
      <c r="AF281" s="227">
        <v>0</v>
      </c>
      <c r="AG281" s="227">
        <v>0</v>
      </c>
      <c r="AH281" s="227">
        <v>0</v>
      </c>
      <c r="AI281" s="227">
        <v>0</v>
      </c>
      <c r="AJ281" s="227">
        <v>0</v>
      </c>
      <c r="AK281" s="227">
        <v>0</v>
      </c>
      <c r="AL281" s="227">
        <v>0</v>
      </c>
      <c r="AM281" s="227">
        <v>0</v>
      </c>
      <c r="AN281" s="227">
        <v>0</v>
      </c>
      <c r="AO281" s="227">
        <v>0</v>
      </c>
      <c r="AP281" s="227">
        <v>0</v>
      </c>
    </row>
    <row r="282" spans="1:42" ht="14.25" customHeight="1" thickTop="1" x14ac:dyDescent="0.2">
      <c r="G282" s="138"/>
      <c r="H282" s="380"/>
      <c r="J282" s="358"/>
      <c r="K282" s="194" t="s">
        <v>240</v>
      </c>
      <c r="L282" s="194" t="s">
        <v>276</v>
      </c>
      <c r="M282" s="228">
        <v>0</v>
      </c>
      <c r="N282" s="228">
        <v>0</v>
      </c>
      <c r="O282" s="228">
        <v>0</v>
      </c>
      <c r="P282" s="228">
        <v>0</v>
      </c>
      <c r="Q282" s="228">
        <v>0</v>
      </c>
      <c r="R282" s="228">
        <v>0</v>
      </c>
      <c r="S282" s="228">
        <v>0</v>
      </c>
      <c r="T282" s="228">
        <v>0</v>
      </c>
      <c r="U282" s="228">
        <v>0</v>
      </c>
      <c r="V282" s="228">
        <v>0</v>
      </c>
      <c r="W282" s="228">
        <v>0</v>
      </c>
      <c r="X282" s="228">
        <v>0</v>
      </c>
      <c r="Y282" s="228">
        <v>0</v>
      </c>
      <c r="Z282" s="228">
        <v>0</v>
      </c>
      <c r="AA282" s="228">
        <v>0</v>
      </c>
      <c r="AB282" s="228">
        <v>0</v>
      </c>
      <c r="AC282" s="228">
        <v>0</v>
      </c>
      <c r="AD282" s="228">
        <v>0</v>
      </c>
      <c r="AE282" s="228">
        <v>0</v>
      </c>
      <c r="AF282" s="228">
        <v>0</v>
      </c>
      <c r="AG282" s="228">
        <v>0</v>
      </c>
      <c r="AH282" s="228">
        <v>0</v>
      </c>
      <c r="AI282" s="228">
        <v>0</v>
      </c>
      <c r="AJ282" s="228">
        <v>0</v>
      </c>
      <c r="AK282" s="228">
        <v>0</v>
      </c>
      <c r="AL282" s="228">
        <v>0</v>
      </c>
      <c r="AM282" s="228">
        <v>0</v>
      </c>
      <c r="AN282" s="228">
        <v>0</v>
      </c>
      <c r="AO282" s="228">
        <v>0</v>
      </c>
      <c r="AP282" s="228">
        <v>0</v>
      </c>
    </row>
    <row r="283" spans="1:42" ht="14.25" customHeight="1" x14ac:dyDescent="0.2">
      <c r="G283" s="138"/>
      <c r="H283" s="380"/>
      <c r="J283" s="358"/>
      <c r="K283" s="135" t="s">
        <v>240</v>
      </c>
      <c r="L283" s="185" t="s">
        <v>277</v>
      </c>
      <c r="M283" s="226">
        <v>0</v>
      </c>
      <c r="N283" s="226">
        <v>0</v>
      </c>
      <c r="O283" s="226">
        <v>0</v>
      </c>
      <c r="P283" s="226">
        <v>0</v>
      </c>
      <c r="Q283" s="226">
        <v>0</v>
      </c>
      <c r="R283" s="226">
        <v>0</v>
      </c>
      <c r="S283" s="226">
        <v>0</v>
      </c>
      <c r="T283" s="226">
        <v>0</v>
      </c>
      <c r="U283" s="226">
        <v>0</v>
      </c>
      <c r="V283" s="226">
        <v>0</v>
      </c>
      <c r="W283" s="226">
        <v>0</v>
      </c>
      <c r="X283" s="226">
        <v>0</v>
      </c>
      <c r="Y283" s="226">
        <v>0</v>
      </c>
      <c r="Z283" s="226">
        <v>0</v>
      </c>
      <c r="AA283" s="226">
        <v>0</v>
      </c>
      <c r="AB283" s="226">
        <v>0</v>
      </c>
      <c r="AC283" s="226">
        <v>0</v>
      </c>
      <c r="AD283" s="226">
        <v>0</v>
      </c>
      <c r="AE283" s="226">
        <v>0</v>
      </c>
      <c r="AF283" s="226">
        <v>0</v>
      </c>
      <c r="AG283" s="226">
        <v>0</v>
      </c>
      <c r="AH283" s="226">
        <v>0</v>
      </c>
      <c r="AI283" s="226">
        <v>0</v>
      </c>
      <c r="AJ283" s="226">
        <v>0</v>
      </c>
      <c r="AK283" s="226">
        <v>0</v>
      </c>
      <c r="AL283" s="226">
        <v>0</v>
      </c>
      <c r="AM283" s="226">
        <v>0</v>
      </c>
      <c r="AN283" s="226">
        <v>0</v>
      </c>
      <c r="AO283" s="226">
        <v>0</v>
      </c>
      <c r="AP283" s="226">
        <v>0</v>
      </c>
    </row>
    <row r="284" spans="1:42" ht="14.25" customHeight="1" thickBot="1" x14ac:dyDescent="0.25">
      <c r="G284" s="138"/>
      <c r="H284" s="380"/>
      <c r="J284" s="358"/>
      <c r="K284" s="196" t="s">
        <v>240</v>
      </c>
      <c r="L284" s="196" t="s">
        <v>278</v>
      </c>
      <c r="M284" s="227">
        <v>0</v>
      </c>
      <c r="N284" s="227">
        <v>0</v>
      </c>
      <c r="O284" s="227">
        <v>0</v>
      </c>
      <c r="P284" s="227">
        <v>0</v>
      </c>
      <c r="Q284" s="227">
        <v>0</v>
      </c>
      <c r="R284" s="227">
        <v>0</v>
      </c>
      <c r="S284" s="227">
        <v>0</v>
      </c>
      <c r="T284" s="227">
        <v>0</v>
      </c>
      <c r="U284" s="227">
        <v>0</v>
      </c>
      <c r="V284" s="227">
        <v>0</v>
      </c>
      <c r="W284" s="227">
        <v>0</v>
      </c>
      <c r="X284" s="227">
        <v>0</v>
      </c>
      <c r="Y284" s="227">
        <v>0</v>
      </c>
      <c r="Z284" s="227">
        <v>0</v>
      </c>
      <c r="AA284" s="227">
        <v>0</v>
      </c>
      <c r="AB284" s="227">
        <v>0</v>
      </c>
      <c r="AC284" s="227">
        <v>0</v>
      </c>
      <c r="AD284" s="227">
        <v>0</v>
      </c>
      <c r="AE284" s="227">
        <v>0</v>
      </c>
      <c r="AF284" s="227">
        <v>0</v>
      </c>
      <c r="AG284" s="227">
        <v>0</v>
      </c>
      <c r="AH284" s="227">
        <v>0</v>
      </c>
      <c r="AI284" s="227">
        <v>0</v>
      </c>
      <c r="AJ284" s="227">
        <v>0</v>
      </c>
      <c r="AK284" s="227">
        <v>0</v>
      </c>
      <c r="AL284" s="227">
        <v>0</v>
      </c>
      <c r="AM284" s="227">
        <v>0</v>
      </c>
      <c r="AN284" s="227">
        <v>0</v>
      </c>
      <c r="AO284" s="227">
        <v>0</v>
      </c>
      <c r="AP284" s="227">
        <v>0</v>
      </c>
    </row>
    <row r="285" spans="1:42" ht="14.25" customHeight="1" thickTop="1" x14ac:dyDescent="0.2">
      <c r="G285" s="138"/>
      <c r="H285" s="380"/>
      <c r="J285" s="358"/>
      <c r="K285" s="194" t="s">
        <v>242</v>
      </c>
      <c r="L285" s="194" t="s">
        <v>276</v>
      </c>
      <c r="M285" s="228">
        <v>0</v>
      </c>
      <c r="N285" s="228">
        <v>0</v>
      </c>
      <c r="O285" s="228">
        <v>0</v>
      </c>
      <c r="P285" s="228">
        <v>0</v>
      </c>
      <c r="Q285" s="228">
        <v>0</v>
      </c>
      <c r="R285" s="228">
        <v>0</v>
      </c>
      <c r="S285" s="228">
        <v>0</v>
      </c>
      <c r="T285" s="228">
        <v>0</v>
      </c>
      <c r="U285" s="228">
        <v>0</v>
      </c>
      <c r="V285" s="228">
        <v>0</v>
      </c>
      <c r="W285" s="228">
        <v>0</v>
      </c>
      <c r="X285" s="228">
        <v>0</v>
      </c>
      <c r="Y285" s="228">
        <v>0</v>
      </c>
      <c r="Z285" s="228">
        <v>0</v>
      </c>
      <c r="AA285" s="228">
        <v>0</v>
      </c>
      <c r="AB285" s="228">
        <v>0</v>
      </c>
      <c r="AC285" s="228">
        <v>0</v>
      </c>
      <c r="AD285" s="228">
        <v>0</v>
      </c>
      <c r="AE285" s="228">
        <v>0</v>
      </c>
      <c r="AF285" s="228">
        <v>0</v>
      </c>
      <c r="AG285" s="228">
        <v>0</v>
      </c>
      <c r="AH285" s="228">
        <v>0</v>
      </c>
      <c r="AI285" s="228">
        <v>0</v>
      </c>
      <c r="AJ285" s="228">
        <v>0</v>
      </c>
      <c r="AK285" s="228">
        <v>0</v>
      </c>
      <c r="AL285" s="228">
        <v>0</v>
      </c>
      <c r="AM285" s="228">
        <v>0</v>
      </c>
      <c r="AN285" s="228">
        <v>0</v>
      </c>
      <c r="AO285" s="228">
        <v>0</v>
      </c>
      <c r="AP285" s="228">
        <v>0</v>
      </c>
    </row>
    <row r="286" spans="1:42" ht="14.25" customHeight="1" x14ac:dyDescent="0.2">
      <c r="G286" s="138"/>
      <c r="H286" s="380"/>
      <c r="J286" s="358"/>
      <c r="K286" s="135" t="s">
        <v>242</v>
      </c>
      <c r="L286" s="185" t="s">
        <v>277</v>
      </c>
      <c r="M286" s="226">
        <v>0</v>
      </c>
      <c r="N286" s="226">
        <v>0</v>
      </c>
      <c r="O286" s="226">
        <v>0</v>
      </c>
      <c r="P286" s="226">
        <v>0</v>
      </c>
      <c r="Q286" s="226">
        <v>0</v>
      </c>
      <c r="R286" s="226">
        <v>0</v>
      </c>
      <c r="S286" s="226">
        <v>0</v>
      </c>
      <c r="T286" s="226">
        <v>0</v>
      </c>
      <c r="U286" s="226">
        <v>0</v>
      </c>
      <c r="V286" s="226">
        <v>0</v>
      </c>
      <c r="W286" s="226">
        <v>0</v>
      </c>
      <c r="X286" s="226">
        <v>0</v>
      </c>
      <c r="Y286" s="226">
        <v>0</v>
      </c>
      <c r="Z286" s="226">
        <v>0</v>
      </c>
      <c r="AA286" s="226">
        <v>0</v>
      </c>
      <c r="AB286" s="226">
        <v>0</v>
      </c>
      <c r="AC286" s="226">
        <v>0</v>
      </c>
      <c r="AD286" s="226">
        <v>0</v>
      </c>
      <c r="AE286" s="226">
        <v>0</v>
      </c>
      <c r="AF286" s="226">
        <v>0</v>
      </c>
      <c r="AG286" s="226">
        <v>0</v>
      </c>
      <c r="AH286" s="226">
        <v>0</v>
      </c>
      <c r="AI286" s="226">
        <v>0</v>
      </c>
      <c r="AJ286" s="226">
        <v>0</v>
      </c>
      <c r="AK286" s="226">
        <v>0</v>
      </c>
      <c r="AL286" s="226">
        <v>0</v>
      </c>
      <c r="AM286" s="226">
        <v>0</v>
      </c>
      <c r="AN286" s="226">
        <v>0</v>
      </c>
      <c r="AO286" s="226">
        <v>0</v>
      </c>
      <c r="AP286" s="226">
        <v>0</v>
      </c>
    </row>
    <row r="287" spans="1:42" ht="14.25" customHeight="1" thickBot="1" x14ac:dyDescent="0.25">
      <c r="G287" s="138"/>
      <c r="H287" s="380"/>
      <c r="J287" s="358"/>
      <c r="K287" s="196" t="s">
        <v>242</v>
      </c>
      <c r="L287" s="196" t="s">
        <v>278</v>
      </c>
      <c r="M287" s="229">
        <v>0</v>
      </c>
      <c r="N287" s="229">
        <v>0</v>
      </c>
      <c r="O287" s="229">
        <v>0</v>
      </c>
      <c r="P287" s="229">
        <v>0</v>
      </c>
      <c r="Q287" s="229">
        <v>0</v>
      </c>
      <c r="R287" s="229">
        <v>0</v>
      </c>
      <c r="S287" s="229">
        <v>0</v>
      </c>
      <c r="T287" s="229">
        <v>0</v>
      </c>
      <c r="U287" s="229">
        <v>0</v>
      </c>
      <c r="V287" s="229">
        <v>0</v>
      </c>
      <c r="W287" s="229">
        <v>0</v>
      </c>
      <c r="X287" s="229">
        <v>0</v>
      </c>
      <c r="Y287" s="229">
        <v>0</v>
      </c>
      <c r="Z287" s="229">
        <v>0</v>
      </c>
      <c r="AA287" s="229">
        <v>0</v>
      </c>
      <c r="AB287" s="229">
        <v>0</v>
      </c>
      <c r="AC287" s="229">
        <v>0</v>
      </c>
      <c r="AD287" s="229">
        <v>0</v>
      </c>
      <c r="AE287" s="229">
        <v>0</v>
      </c>
      <c r="AF287" s="229">
        <v>0</v>
      </c>
      <c r="AG287" s="229">
        <v>0</v>
      </c>
      <c r="AH287" s="229">
        <v>0</v>
      </c>
      <c r="AI287" s="229">
        <v>0</v>
      </c>
      <c r="AJ287" s="229">
        <v>0</v>
      </c>
      <c r="AK287" s="229">
        <v>0</v>
      </c>
      <c r="AL287" s="229">
        <v>0</v>
      </c>
      <c r="AM287" s="229">
        <v>0</v>
      </c>
      <c r="AN287" s="229">
        <v>0</v>
      </c>
      <c r="AO287" s="229">
        <v>0</v>
      </c>
      <c r="AP287" s="229">
        <v>0</v>
      </c>
    </row>
    <row r="288" spans="1:42" ht="14.25" customHeight="1" thickTop="1" x14ac:dyDescent="0.2">
      <c r="G288" s="138"/>
      <c r="H288" s="380"/>
      <c r="J288" s="358"/>
      <c r="K288" s="194" t="s">
        <v>244</v>
      </c>
      <c r="L288" s="194" t="s">
        <v>276</v>
      </c>
      <c r="M288" s="228">
        <v>0</v>
      </c>
      <c r="N288" s="228">
        <v>0</v>
      </c>
      <c r="O288" s="228">
        <v>0</v>
      </c>
      <c r="P288" s="228">
        <v>0</v>
      </c>
      <c r="Q288" s="228">
        <v>0</v>
      </c>
      <c r="R288" s="228">
        <v>0</v>
      </c>
      <c r="S288" s="228">
        <v>0</v>
      </c>
      <c r="T288" s="228">
        <v>0</v>
      </c>
      <c r="U288" s="228">
        <v>0</v>
      </c>
      <c r="V288" s="228">
        <v>0</v>
      </c>
      <c r="W288" s="228">
        <v>0</v>
      </c>
      <c r="X288" s="228">
        <v>0</v>
      </c>
      <c r="Y288" s="228">
        <v>0</v>
      </c>
      <c r="Z288" s="228">
        <v>0</v>
      </c>
      <c r="AA288" s="228">
        <v>0</v>
      </c>
      <c r="AB288" s="228">
        <v>0</v>
      </c>
      <c r="AC288" s="228">
        <v>0</v>
      </c>
      <c r="AD288" s="228">
        <v>0</v>
      </c>
      <c r="AE288" s="228">
        <v>0</v>
      </c>
      <c r="AF288" s="228">
        <v>0</v>
      </c>
      <c r="AG288" s="228">
        <v>0</v>
      </c>
      <c r="AH288" s="228">
        <v>0</v>
      </c>
      <c r="AI288" s="228">
        <v>0</v>
      </c>
      <c r="AJ288" s="228">
        <v>0</v>
      </c>
      <c r="AK288" s="228">
        <v>0</v>
      </c>
      <c r="AL288" s="228">
        <v>0</v>
      </c>
      <c r="AM288" s="228">
        <v>0</v>
      </c>
      <c r="AN288" s="228">
        <v>0</v>
      </c>
      <c r="AO288" s="228">
        <v>0</v>
      </c>
      <c r="AP288" s="228">
        <v>0</v>
      </c>
    </row>
    <row r="289" spans="7:42" ht="14.25" customHeight="1" x14ac:dyDescent="0.2">
      <c r="G289" s="138"/>
      <c r="H289" s="380"/>
      <c r="J289" s="358"/>
      <c r="K289" s="135" t="s">
        <v>244</v>
      </c>
      <c r="L289" s="185" t="s">
        <v>277</v>
      </c>
      <c r="M289" s="226">
        <v>0</v>
      </c>
      <c r="N289" s="226">
        <v>0</v>
      </c>
      <c r="O289" s="226">
        <v>0</v>
      </c>
      <c r="P289" s="226">
        <v>0</v>
      </c>
      <c r="Q289" s="226">
        <v>0</v>
      </c>
      <c r="R289" s="226">
        <v>0</v>
      </c>
      <c r="S289" s="226">
        <v>0</v>
      </c>
      <c r="T289" s="226">
        <v>0</v>
      </c>
      <c r="U289" s="226">
        <v>0</v>
      </c>
      <c r="V289" s="226">
        <v>0</v>
      </c>
      <c r="W289" s="226">
        <v>0</v>
      </c>
      <c r="X289" s="226">
        <v>0</v>
      </c>
      <c r="Y289" s="226">
        <v>0</v>
      </c>
      <c r="Z289" s="226">
        <v>0</v>
      </c>
      <c r="AA289" s="226">
        <v>0</v>
      </c>
      <c r="AB289" s="226">
        <v>0</v>
      </c>
      <c r="AC289" s="226">
        <v>0</v>
      </c>
      <c r="AD289" s="226">
        <v>0</v>
      </c>
      <c r="AE289" s="226">
        <v>0</v>
      </c>
      <c r="AF289" s="226">
        <v>0</v>
      </c>
      <c r="AG289" s="226">
        <v>0</v>
      </c>
      <c r="AH289" s="226">
        <v>0</v>
      </c>
      <c r="AI289" s="226">
        <v>0</v>
      </c>
      <c r="AJ289" s="226">
        <v>0</v>
      </c>
      <c r="AK289" s="226">
        <v>0</v>
      </c>
      <c r="AL289" s="226">
        <v>0</v>
      </c>
      <c r="AM289" s="226">
        <v>0</v>
      </c>
      <c r="AN289" s="226">
        <v>0</v>
      </c>
      <c r="AO289" s="226">
        <v>0</v>
      </c>
      <c r="AP289" s="226">
        <v>0</v>
      </c>
    </row>
    <row r="290" spans="7:42" ht="14.25" customHeight="1" thickBot="1" x14ac:dyDescent="0.25">
      <c r="G290" s="138"/>
      <c r="H290" s="380"/>
      <c r="J290" s="358"/>
      <c r="K290" s="196" t="s">
        <v>244</v>
      </c>
      <c r="L290" s="196" t="s">
        <v>278</v>
      </c>
      <c r="M290" s="229">
        <v>0</v>
      </c>
      <c r="N290" s="229">
        <v>0</v>
      </c>
      <c r="O290" s="229">
        <v>0</v>
      </c>
      <c r="P290" s="229">
        <v>0</v>
      </c>
      <c r="Q290" s="229">
        <v>0</v>
      </c>
      <c r="R290" s="229">
        <v>0</v>
      </c>
      <c r="S290" s="229">
        <v>0</v>
      </c>
      <c r="T290" s="229">
        <v>0</v>
      </c>
      <c r="U290" s="229">
        <v>0</v>
      </c>
      <c r="V290" s="229">
        <v>0</v>
      </c>
      <c r="W290" s="229">
        <v>0</v>
      </c>
      <c r="X290" s="229">
        <v>0</v>
      </c>
      <c r="Y290" s="229">
        <v>0</v>
      </c>
      <c r="Z290" s="229">
        <v>0</v>
      </c>
      <c r="AA290" s="229">
        <v>0</v>
      </c>
      <c r="AB290" s="229">
        <v>0</v>
      </c>
      <c r="AC290" s="229">
        <v>0</v>
      </c>
      <c r="AD290" s="229">
        <v>0</v>
      </c>
      <c r="AE290" s="229">
        <v>0</v>
      </c>
      <c r="AF290" s="229">
        <v>0</v>
      </c>
      <c r="AG290" s="229">
        <v>0</v>
      </c>
      <c r="AH290" s="229">
        <v>0</v>
      </c>
      <c r="AI290" s="229">
        <v>0</v>
      </c>
      <c r="AJ290" s="229">
        <v>0</v>
      </c>
      <c r="AK290" s="229">
        <v>0</v>
      </c>
      <c r="AL290" s="229">
        <v>0</v>
      </c>
      <c r="AM290" s="229">
        <v>0</v>
      </c>
      <c r="AN290" s="229">
        <v>0</v>
      </c>
      <c r="AO290" s="229">
        <v>0</v>
      </c>
      <c r="AP290" s="229">
        <v>0</v>
      </c>
    </row>
    <row r="291" spans="7:42" ht="14.25" customHeight="1" thickTop="1" x14ac:dyDescent="0.2">
      <c r="G291" s="138"/>
      <c r="H291" s="380"/>
      <c r="J291" s="358"/>
      <c r="K291" s="194" t="s">
        <v>246</v>
      </c>
      <c r="L291" s="194" t="s">
        <v>276</v>
      </c>
      <c r="M291" s="228">
        <v>0</v>
      </c>
      <c r="N291" s="228">
        <v>0</v>
      </c>
      <c r="O291" s="228">
        <v>0</v>
      </c>
      <c r="P291" s="228">
        <v>0</v>
      </c>
      <c r="Q291" s="228">
        <v>0</v>
      </c>
      <c r="R291" s="228">
        <v>0</v>
      </c>
      <c r="S291" s="228">
        <v>0</v>
      </c>
      <c r="T291" s="228">
        <v>0</v>
      </c>
      <c r="U291" s="228">
        <v>0</v>
      </c>
      <c r="V291" s="228">
        <v>0</v>
      </c>
      <c r="W291" s="228">
        <v>0</v>
      </c>
      <c r="X291" s="228">
        <v>0</v>
      </c>
      <c r="Y291" s="228">
        <v>0</v>
      </c>
      <c r="Z291" s="228">
        <v>0</v>
      </c>
      <c r="AA291" s="228">
        <v>0</v>
      </c>
      <c r="AB291" s="228">
        <v>0</v>
      </c>
      <c r="AC291" s="228">
        <v>0</v>
      </c>
      <c r="AD291" s="228">
        <v>0</v>
      </c>
      <c r="AE291" s="228">
        <v>0</v>
      </c>
      <c r="AF291" s="228">
        <v>0</v>
      </c>
      <c r="AG291" s="228">
        <v>0</v>
      </c>
      <c r="AH291" s="228">
        <v>0</v>
      </c>
      <c r="AI291" s="228">
        <v>0</v>
      </c>
      <c r="AJ291" s="228">
        <v>0</v>
      </c>
      <c r="AK291" s="228">
        <v>0</v>
      </c>
      <c r="AL291" s="228">
        <v>0</v>
      </c>
      <c r="AM291" s="228">
        <v>0</v>
      </c>
      <c r="AN291" s="228">
        <v>0</v>
      </c>
      <c r="AO291" s="228">
        <v>0</v>
      </c>
      <c r="AP291" s="228">
        <v>0</v>
      </c>
    </row>
    <row r="292" spans="7:42" ht="14.25" customHeight="1" x14ac:dyDescent="0.2">
      <c r="G292" s="138"/>
      <c r="H292" s="380"/>
      <c r="J292" s="358"/>
      <c r="K292" s="135" t="s">
        <v>246</v>
      </c>
      <c r="L292" s="185" t="s">
        <v>277</v>
      </c>
      <c r="M292" s="226">
        <v>0</v>
      </c>
      <c r="N292" s="226">
        <v>0</v>
      </c>
      <c r="O292" s="226">
        <v>0</v>
      </c>
      <c r="P292" s="226">
        <v>0</v>
      </c>
      <c r="Q292" s="226">
        <v>0</v>
      </c>
      <c r="R292" s="226">
        <v>0</v>
      </c>
      <c r="S292" s="226">
        <v>0</v>
      </c>
      <c r="T292" s="226">
        <v>0</v>
      </c>
      <c r="U292" s="226">
        <v>0</v>
      </c>
      <c r="V292" s="226">
        <v>0</v>
      </c>
      <c r="W292" s="226">
        <v>0</v>
      </c>
      <c r="X292" s="226">
        <v>0</v>
      </c>
      <c r="Y292" s="226">
        <v>0</v>
      </c>
      <c r="Z292" s="226">
        <v>0</v>
      </c>
      <c r="AA292" s="226">
        <v>0</v>
      </c>
      <c r="AB292" s="226">
        <v>0</v>
      </c>
      <c r="AC292" s="226">
        <v>0</v>
      </c>
      <c r="AD292" s="226">
        <v>0</v>
      </c>
      <c r="AE292" s="226">
        <v>0</v>
      </c>
      <c r="AF292" s="226">
        <v>0</v>
      </c>
      <c r="AG292" s="226">
        <v>0</v>
      </c>
      <c r="AH292" s="226">
        <v>0</v>
      </c>
      <c r="AI292" s="226">
        <v>0</v>
      </c>
      <c r="AJ292" s="226">
        <v>0</v>
      </c>
      <c r="AK292" s="226">
        <v>0</v>
      </c>
      <c r="AL292" s="226">
        <v>0</v>
      </c>
      <c r="AM292" s="226">
        <v>0</v>
      </c>
      <c r="AN292" s="226">
        <v>0</v>
      </c>
      <c r="AO292" s="226">
        <v>0</v>
      </c>
      <c r="AP292" s="226">
        <v>0</v>
      </c>
    </row>
    <row r="293" spans="7:42" ht="14.25" customHeight="1" x14ac:dyDescent="0.2">
      <c r="G293" s="138"/>
      <c r="H293" s="380"/>
      <c r="J293" s="358"/>
      <c r="K293" s="196" t="s">
        <v>246</v>
      </c>
      <c r="L293" s="196" t="s">
        <v>278</v>
      </c>
      <c r="M293" s="229">
        <v>0</v>
      </c>
      <c r="N293" s="229">
        <v>0</v>
      </c>
      <c r="O293" s="229">
        <v>0</v>
      </c>
      <c r="P293" s="229">
        <v>0</v>
      </c>
      <c r="Q293" s="229">
        <v>0</v>
      </c>
      <c r="R293" s="229">
        <v>0</v>
      </c>
      <c r="S293" s="229">
        <v>0</v>
      </c>
      <c r="T293" s="229">
        <v>0</v>
      </c>
      <c r="U293" s="229">
        <v>0</v>
      </c>
      <c r="V293" s="229">
        <v>0</v>
      </c>
      <c r="W293" s="229">
        <v>0</v>
      </c>
      <c r="X293" s="229">
        <v>0</v>
      </c>
      <c r="Y293" s="229">
        <v>0</v>
      </c>
      <c r="Z293" s="229">
        <v>0</v>
      </c>
      <c r="AA293" s="229">
        <v>0</v>
      </c>
      <c r="AB293" s="229">
        <v>0</v>
      </c>
      <c r="AC293" s="229">
        <v>0</v>
      </c>
      <c r="AD293" s="229">
        <v>0</v>
      </c>
      <c r="AE293" s="229">
        <v>0</v>
      </c>
      <c r="AF293" s="229">
        <v>0</v>
      </c>
      <c r="AG293" s="229">
        <v>0</v>
      </c>
      <c r="AH293" s="229">
        <v>0</v>
      </c>
      <c r="AI293" s="229">
        <v>0</v>
      </c>
      <c r="AJ293" s="229">
        <v>0</v>
      </c>
      <c r="AK293" s="229">
        <v>0</v>
      </c>
      <c r="AL293" s="229">
        <v>0</v>
      </c>
      <c r="AM293" s="229">
        <v>0</v>
      </c>
      <c r="AN293" s="229">
        <v>0</v>
      </c>
      <c r="AO293" s="229">
        <v>0</v>
      </c>
      <c r="AP293" s="229">
        <v>0</v>
      </c>
    </row>
    <row r="294" spans="7:42" ht="14.25" customHeight="1" x14ac:dyDescent="0.2">
      <c r="G294" s="138"/>
      <c r="H294" s="380"/>
      <c r="J294" s="358"/>
      <c r="K294" s="194" t="s">
        <v>248</v>
      </c>
      <c r="L294" s="194" t="s">
        <v>276</v>
      </c>
      <c r="M294" s="225">
        <v>0</v>
      </c>
      <c r="N294" s="225">
        <v>0</v>
      </c>
      <c r="O294" s="225">
        <v>0</v>
      </c>
      <c r="P294" s="225">
        <v>0</v>
      </c>
      <c r="Q294" s="225">
        <v>0</v>
      </c>
      <c r="R294" s="225">
        <v>0</v>
      </c>
      <c r="S294" s="225">
        <v>0</v>
      </c>
      <c r="T294" s="225">
        <v>0</v>
      </c>
      <c r="U294" s="225">
        <v>0</v>
      </c>
      <c r="V294" s="225">
        <v>0</v>
      </c>
      <c r="W294" s="225">
        <v>0</v>
      </c>
      <c r="X294" s="225">
        <v>0</v>
      </c>
      <c r="Y294" s="225">
        <v>0</v>
      </c>
      <c r="Z294" s="225">
        <v>0</v>
      </c>
      <c r="AA294" s="225">
        <v>0</v>
      </c>
      <c r="AB294" s="225">
        <v>0</v>
      </c>
      <c r="AC294" s="225">
        <v>0</v>
      </c>
      <c r="AD294" s="225">
        <v>0</v>
      </c>
      <c r="AE294" s="225">
        <v>0</v>
      </c>
      <c r="AF294" s="225">
        <v>0</v>
      </c>
      <c r="AG294" s="225">
        <v>0</v>
      </c>
      <c r="AH294" s="225">
        <v>0</v>
      </c>
      <c r="AI294" s="225">
        <v>0</v>
      </c>
      <c r="AJ294" s="225">
        <v>0</v>
      </c>
      <c r="AK294" s="225">
        <v>0</v>
      </c>
      <c r="AL294" s="225">
        <v>0</v>
      </c>
      <c r="AM294" s="225">
        <v>0</v>
      </c>
      <c r="AN294" s="225">
        <v>0</v>
      </c>
      <c r="AO294" s="225">
        <v>0</v>
      </c>
      <c r="AP294" s="225">
        <v>0</v>
      </c>
    </row>
    <row r="295" spans="7:42" ht="14.25" customHeight="1" x14ac:dyDescent="0.2">
      <c r="G295" s="138"/>
      <c r="H295" s="380"/>
      <c r="J295" s="358"/>
      <c r="K295" s="135" t="s">
        <v>248</v>
      </c>
      <c r="L295" s="185" t="s">
        <v>277</v>
      </c>
      <c r="M295" s="226">
        <v>0</v>
      </c>
      <c r="N295" s="226">
        <v>0</v>
      </c>
      <c r="O295" s="226">
        <v>0</v>
      </c>
      <c r="P295" s="226">
        <v>0</v>
      </c>
      <c r="Q295" s="226">
        <v>0</v>
      </c>
      <c r="R295" s="226">
        <v>0</v>
      </c>
      <c r="S295" s="226">
        <v>0</v>
      </c>
      <c r="T295" s="226">
        <v>0</v>
      </c>
      <c r="U295" s="226">
        <v>0</v>
      </c>
      <c r="V295" s="226">
        <v>0</v>
      </c>
      <c r="W295" s="226">
        <v>0</v>
      </c>
      <c r="X295" s="226">
        <v>0</v>
      </c>
      <c r="Y295" s="226">
        <v>0</v>
      </c>
      <c r="Z295" s="226">
        <v>0</v>
      </c>
      <c r="AA295" s="226">
        <v>0</v>
      </c>
      <c r="AB295" s="226">
        <v>0</v>
      </c>
      <c r="AC295" s="226">
        <v>0</v>
      </c>
      <c r="AD295" s="226">
        <v>0</v>
      </c>
      <c r="AE295" s="226">
        <v>0</v>
      </c>
      <c r="AF295" s="226">
        <v>0</v>
      </c>
      <c r="AG295" s="226">
        <v>0</v>
      </c>
      <c r="AH295" s="226">
        <v>0</v>
      </c>
      <c r="AI295" s="226">
        <v>0</v>
      </c>
      <c r="AJ295" s="226">
        <v>0</v>
      </c>
      <c r="AK295" s="226">
        <v>0</v>
      </c>
      <c r="AL295" s="226">
        <v>0</v>
      </c>
      <c r="AM295" s="226">
        <v>0</v>
      </c>
      <c r="AN295" s="226">
        <v>0</v>
      </c>
      <c r="AO295" s="226">
        <v>0</v>
      </c>
      <c r="AP295" s="226">
        <v>0</v>
      </c>
    </row>
    <row r="296" spans="7:42" ht="14.25" customHeight="1" thickBot="1" x14ac:dyDescent="0.25">
      <c r="G296" s="138"/>
      <c r="H296" s="380"/>
      <c r="J296" s="358"/>
      <c r="K296" s="196" t="s">
        <v>248</v>
      </c>
      <c r="L296" s="196" t="s">
        <v>278</v>
      </c>
      <c r="M296" s="227">
        <v>0</v>
      </c>
      <c r="N296" s="227">
        <v>0</v>
      </c>
      <c r="O296" s="227">
        <v>0</v>
      </c>
      <c r="P296" s="227">
        <v>0</v>
      </c>
      <c r="Q296" s="227">
        <v>0</v>
      </c>
      <c r="R296" s="227">
        <v>0</v>
      </c>
      <c r="S296" s="227">
        <v>0</v>
      </c>
      <c r="T296" s="227">
        <v>0</v>
      </c>
      <c r="U296" s="227">
        <v>0</v>
      </c>
      <c r="V296" s="227">
        <v>0</v>
      </c>
      <c r="W296" s="227">
        <v>0</v>
      </c>
      <c r="X296" s="227">
        <v>0</v>
      </c>
      <c r="Y296" s="227">
        <v>0</v>
      </c>
      <c r="Z296" s="227">
        <v>0</v>
      </c>
      <c r="AA296" s="227">
        <v>0</v>
      </c>
      <c r="AB296" s="227">
        <v>0</v>
      </c>
      <c r="AC296" s="227">
        <v>0</v>
      </c>
      <c r="AD296" s="227">
        <v>0</v>
      </c>
      <c r="AE296" s="227">
        <v>0</v>
      </c>
      <c r="AF296" s="227">
        <v>0</v>
      </c>
      <c r="AG296" s="227">
        <v>0</v>
      </c>
      <c r="AH296" s="227">
        <v>0</v>
      </c>
      <c r="AI296" s="227">
        <v>0</v>
      </c>
      <c r="AJ296" s="227">
        <v>0</v>
      </c>
      <c r="AK296" s="227">
        <v>0</v>
      </c>
      <c r="AL296" s="227">
        <v>0</v>
      </c>
      <c r="AM296" s="227">
        <v>0</v>
      </c>
      <c r="AN296" s="227">
        <v>0</v>
      </c>
      <c r="AO296" s="227">
        <v>0</v>
      </c>
      <c r="AP296" s="227">
        <v>0</v>
      </c>
    </row>
    <row r="297" spans="7:42" ht="14.25" customHeight="1" thickTop="1" x14ac:dyDescent="0.2">
      <c r="G297" s="138"/>
      <c r="H297" s="380"/>
      <c r="J297" s="358"/>
      <c r="K297" s="194" t="s">
        <v>250</v>
      </c>
      <c r="L297" s="194" t="s">
        <v>276</v>
      </c>
      <c r="M297" s="228">
        <v>0</v>
      </c>
      <c r="N297" s="228">
        <v>0</v>
      </c>
      <c r="O297" s="228">
        <v>0</v>
      </c>
      <c r="P297" s="228">
        <v>0</v>
      </c>
      <c r="Q297" s="228">
        <v>0</v>
      </c>
      <c r="R297" s="228">
        <v>0</v>
      </c>
      <c r="S297" s="228">
        <v>0</v>
      </c>
      <c r="T297" s="228">
        <v>0</v>
      </c>
      <c r="U297" s="228">
        <v>0</v>
      </c>
      <c r="V297" s="228">
        <v>0</v>
      </c>
      <c r="W297" s="228">
        <v>0</v>
      </c>
      <c r="X297" s="228">
        <v>0</v>
      </c>
      <c r="Y297" s="228">
        <v>0</v>
      </c>
      <c r="Z297" s="228">
        <v>0</v>
      </c>
      <c r="AA297" s="228">
        <v>0</v>
      </c>
      <c r="AB297" s="228">
        <v>0</v>
      </c>
      <c r="AC297" s="228">
        <v>0</v>
      </c>
      <c r="AD297" s="228">
        <v>0</v>
      </c>
      <c r="AE297" s="228">
        <v>0</v>
      </c>
      <c r="AF297" s="228">
        <v>0</v>
      </c>
      <c r="AG297" s="228">
        <v>0</v>
      </c>
      <c r="AH297" s="228">
        <v>0</v>
      </c>
      <c r="AI297" s="228">
        <v>0</v>
      </c>
      <c r="AJ297" s="228">
        <v>0</v>
      </c>
      <c r="AK297" s="228">
        <v>0</v>
      </c>
      <c r="AL297" s="228">
        <v>0</v>
      </c>
      <c r="AM297" s="228">
        <v>0</v>
      </c>
      <c r="AN297" s="228">
        <v>0</v>
      </c>
      <c r="AO297" s="228">
        <v>0</v>
      </c>
      <c r="AP297" s="228">
        <v>0</v>
      </c>
    </row>
    <row r="298" spans="7:42" ht="14.25" customHeight="1" x14ac:dyDescent="0.2">
      <c r="G298" s="138"/>
      <c r="H298" s="380"/>
      <c r="J298" s="358"/>
      <c r="K298" s="135" t="s">
        <v>250</v>
      </c>
      <c r="L298" s="185" t="s">
        <v>277</v>
      </c>
      <c r="M298" s="226">
        <v>0</v>
      </c>
      <c r="N298" s="226">
        <v>0</v>
      </c>
      <c r="O298" s="226">
        <v>0</v>
      </c>
      <c r="P298" s="226">
        <v>0</v>
      </c>
      <c r="Q298" s="226">
        <v>0</v>
      </c>
      <c r="R298" s="226">
        <v>0</v>
      </c>
      <c r="S298" s="226">
        <v>0</v>
      </c>
      <c r="T298" s="226">
        <v>0</v>
      </c>
      <c r="U298" s="226">
        <v>0</v>
      </c>
      <c r="V298" s="226">
        <v>0</v>
      </c>
      <c r="W298" s="226">
        <v>0</v>
      </c>
      <c r="X298" s="226">
        <v>0</v>
      </c>
      <c r="Y298" s="226">
        <v>0</v>
      </c>
      <c r="Z298" s="226">
        <v>0</v>
      </c>
      <c r="AA298" s="226">
        <v>0</v>
      </c>
      <c r="AB298" s="226">
        <v>0</v>
      </c>
      <c r="AC298" s="226">
        <v>0</v>
      </c>
      <c r="AD298" s="226">
        <v>0</v>
      </c>
      <c r="AE298" s="226">
        <v>0</v>
      </c>
      <c r="AF298" s="226">
        <v>0</v>
      </c>
      <c r="AG298" s="226">
        <v>0</v>
      </c>
      <c r="AH298" s="226">
        <v>0</v>
      </c>
      <c r="AI298" s="226">
        <v>0</v>
      </c>
      <c r="AJ298" s="226">
        <v>0</v>
      </c>
      <c r="AK298" s="226">
        <v>0</v>
      </c>
      <c r="AL298" s="226">
        <v>0</v>
      </c>
      <c r="AM298" s="226">
        <v>0</v>
      </c>
      <c r="AN298" s="226">
        <v>0</v>
      </c>
      <c r="AO298" s="226">
        <v>0</v>
      </c>
      <c r="AP298" s="226">
        <v>0</v>
      </c>
    </row>
    <row r="299" spans="7:42" ht="14.25" customHeight="1" thickBot="1" x14ac:dyDescent="0.25">
      <c r="G299" s="138"/>
      <c r="H299" s="380"/>
      <c r="J299" s="358"/>
      <c r="K299" s="196" t="s">
        <v>250</v>
      </c>
      <c r="L299" s="196" t="s">
        <v>278</v>
      </c>
      <c r="M299" s="227">
        <v>0</v>
      </c>
      <c r="N299" s="227">
        <v>0</v>
      </c>
      <c r="O299" s="227">
        <v>0</v>
      </c>
      <c r="P299" s="227">
        <v>0</v>
      </c>
      <c r="Q299" s="227">
        <v>0</v>
      </c>
      <c r="R299" s="227">
        <v>0</v>
      </c>
      <c r="S299" s="227">
        <v>0</v>
      </c>
      <c r="T299" s="227">
        <v>0</v>
      </c>
      <c r="U299" s="227">
        <v>0</v>
      </c>
      <c r="V299" s="227">
        <v>0</v>
      </c>
      <c r="W299" s="227">
        <v>0</v>
      </c>
      <c r="X299" s="227">
        <v>0</v>
      </c>
      <c r="Y299" s="227">
        <v>0</v>
      </c>
      <c r="Z299" s="227">
        <v>0</v>
      </c>
      <c r="AA299" s="227">
        <v>0</v>
      </c>
      <c r="AB299" s="227">
        <v>0</v>
      </c>
      <c r="AC299" s="227">
        <v>0</v>
      </c>
      <c r="AD299" s="227">
        <v>0</v>
      </c>
      <c r="AE299" s="227">
        <v>0</v>
      </c>
      <c r="AF299" s="227">
        <v>0</v>
      </c>
      <c r="AG299" s="227">
        <v>0</v>
      </c>
      <c r="AH299" s="227">
        <v>0</v>
      </c>
      <c r="AI299" s="227">
        <v>0</v>
      </c>
      <c r="AJ299" s="227">
        <v>0</v>
      </c>
      <c r="AK299" s="227">
        <v>0</v>
      </c>
      <c r="AL299" s="227">
        <v>0</v>
      </c>
      <c r="AM299" s="227">
        <v>0</v>
      </c>
      <c r="AN299" s="227">
        <v>0</v>
      </c>
      <c r="AO299" s="227">
        <v>0</v>
      </c>
      <c r="AP299" s="227">
        <v>0</v>
      </c>
    </row>
    <row r="300" spans="7:42" ht="14.25" customHeight="1" thickTop="1" x14ac:dyDescent="0.2">
      <c r="G300" s="138"/>
      <c r="H300" s="380"/>
      <c r="J300" s="358"/>
      <c r="K300" s="194" t="s">
        <v>252</v>
      </c>
      <c r="L300" s="194" t="s">
        <v>276</v>
      </c>
      <c r="M300" s="228">
        <v>0</v>
      </c>
      <c r="N300" s="228">
        <v>0</v>
      </c>
      <c r="O300" s="228">
        <v>0</v>
      </c>
      <c r="P300" s="228">
        <v>0</v>
      </c>
      <c r="Q300" s="228">
        <v>0</v>
      </c>
      <c r="R300" s="228">
        <v>0</v>
      </c>
      <c r="S300" s="228">
        <v>0</v>
      </c>
      <c r="T300" s="228">
        <v>0</v>
      </c>
      <c r="U300" s="228">
        <v>0</v>
      </c>
      <c r="V300" s="228">
        <v>0</v>
      </c>
      <c r="W300" s="228">
        <v>0</v>
      </c>
      <c r="X300" s="228">
        <v>0</v>
      </c>
      <c r="Y300" s="228">
        <v>0</v>
      </c>
      <c r="Z300" s="228">
        <v>0</v>
      </c>
      <c r="AA300" s="228">
        <v>0</v>
      </c>
      <c r="AB300" s="228">
        <v>0</v>
      </c>
      <c r="AC300" s="228">
        <v>0</v>
      </c>
      <c r="AD300" s="228">
        <v>0</v>
      </c>
      <c r="AE300" s="228">
        <v>0</v>
      </c>
      <c r="AF300" s="228">
        <v>0</v>
      </c>
      <c r="AG300" s="228">
        <v>0</v>
      </c>
      <c r="AH300" s="228">
        <v>0</v>
      </c>
      <c r="AI300" s="228">
        <v>0</v>
      </c>
      <c r="AJ300" s="228">
        <v>0</v>
      </c>
      <c r="AK300" s="228">
        <v>0</v>
      </c>
      <c r="AL300" s="228">
        <v>0</v>
      </c>
      <c r="AM300" s="228">
        <v>0</v>
      </c>
      <c r="AN300" s="228">
        <v>0</v>
      </c>
      <c r="AO300" s="228">
        <v>0</v>
      </c>
      <c r="AP300" s="228">
        <v>0</v>
      </c>
    </row>
    <row r="301" spans="7:42" ht="14.25" customHeight="1" x14ac:dyDescent="0.2">
      <c r="G301" s="138"/>
      <c r="H301" s="380"/>
      <c r="J301" s="358"/>
      <c r="K301" s="135" t="s">
        <v>252</v>
      </c>
      <c r="L301" s="185" t="s">
        <v>277</v>
      </c>
      <c r="M301" s="226">
        <v>0</v>
      </c>
      <c r="N301" s="226">
        <v>0</v>
      </c>
      <c r="O301" s="226">
        <v>0</v>
      </c>
      <c r="P301" s="226">
        <v>0</v>
      </c>
      <c r="Q301" s="226">
        <v>0</v>
      </c>
      <c r="R301" s="226">
        <v>0</v>
      </c>
      <c r="S301" s="226">
        <v>0</v>
      </c>
      <c r="T301" s="226">
        <v>0</v>
      </c>
      <c r="U301" s="226">
        <v>0</v>
      </c>
      <c r="V301" s="226">
        <v>0</v>
      </c>
      <c r="W301" s="226">
        <v>0</v>
      </c>
      <c r="X301" s="226">
        <v>0</v>
      </c>
      <c r="Y301" s="226">
        <v>0</v>
      </c>
      <c r="Z301" s="226">
        <v>0</v>
      </c>
      <c r="AA301" s="226">
        <v>0</v>
      </c>
      <c r="AB301" s="226">
        <v>0</v>
      </c>
      <c r="AC301" s="226">
        <v>0</v>
      </c>
      <c r="AD301" s="226">
        <v>0</v>
      </c>
      <c r="AE301" s="226">
        <v>0</v>
      </c>
      <c r="AF301" s="226">
        <v>0</v>
      </c>
      <c r="AG301" s="226">
        <v>0</v>
      </c>
      <c r="AH301" s="226">
        <v>0</v>
      </c>
      <c r="AI301" s="226">
        <v>0</v>
      </c>
      <c r="AJ301" s="226">
        <v>0</v>
      </c>
      <c r="AK301" s="226">
        <v>0</v>
      </c>
      <c r="AL301" s="226">
        <v>0</v>
      </c>
      <c r="AM301" s="226">
        <v>0</v>
      </c>
      <c r="AN301" s="226">
        <v>0</v>
      </c>
      <c r="AO301" s="226">
        <v>0</v>
      </c>
      <c r="AP301" s="226">
        <v>0</v>
      </c>
    </row>
    <row r="302" spans="7:42" ht="14.25" customHeight="1" thickBot="1" x14ac:dyDescent="0.25">
      <c r="G302" s="138"/>
      <c r="H302" s="380"/>
      <c r="J302" s="358"/>
      <c r="K302" s="196" t="s">
        <v>252</v>
      </c>
      <c r="L302" s="196" t="s">
        <v>278</v>
      </c>
      <c r="M302" s="229">
        <v>0</v>
      </c>
      <c r="N302" s="229">
        <v>0</v>
      </c>
      <c r="O302" s="229">
        <v>0</v>
      </c>
      <c r="P302" s="229">
        <v>0</v>
      </c>
      <c r="Q302" s="229">
        <v>0</v>
      </c>
      <c r="R302" s="229">
        <v>0</v>
      </c>
      <c r="S302" s="229">
        <v>0</v>
      </c>
      <c r="T302" s="229">
        <v>0</v>
      </c>
      <c r="U302" s="229">
        <v>0</v>
      </c>
      <c r="V302" s="229">
        <v>0</v>
      </c>
      <c r="W302" s="229">
        <v>0</v>
      </c>
      <c r="X302" s="229">
        <v>0</v>
      </c>
      <c r="Y302" s="229">
        <v>0</v>
      </c>
      <c r="Z302" s="229">
        <v>0</v>
      </c>
      <c r="AA302" s="229">
        <v>0</v>
      </c>
      <c r="AB302" s="229">
        <v>0</v>
      </c>
      <c r="AC302" s="229">
        <v>0</v>
      </c>
      <c r="AD302" s="229">
        <v>0</v>
      </c>
      <c r="AE302" s="229">
        <v>0</v>
      </c>
      <c r="AF302" s="229">
        <v>0</v>
      </c>
      <c r="AG302" s="229">
        <v>0</v>
      </c>
      <c r="AH302" s="229">
        <v>0</v>
      </c>
      <c r="AI302" s="229">
        <v>0</v>
      </c>
      <c r="AJ302" s="229">
        <v>0</v>
      </c>
      <c r="AK302" s="229">
        <v>0</v>
      </c>
      <c r="AL302" s="229">
        <v>0</v>
      </c>
      <c r="AM302" s="229">
        <v>0</v>
      </c>
      <c r="AN302" s="229">
        <v>0</v>
      </c>
      <c r="AO302" s="229">
        <v>0</v>
      </c>
      <c r="AP302" s="229">
        <v>0</v>
      </c>
    </row>
    <row r="303" spans="7:42" ht="14.25" customHeight="1" thickTop="1" x14ac:dyDescent="0.2">
      <c r="G303" s="138"/>
      <c r="H303" s="380"/>
      <c r="J303" s="358"/>
      <c r="K303" s="194" t="s">
        <v>254</v>
      </c>
      <c r="L303" s="194" t="s">
        <v>276</v>
      </c>
      <c r="M303" s="228">
        <v>0</v>
      </c>
      <c r="N303" s="228">
        <v>0</v>
      </c>
      <c r="O303" s="228">
        <v>0</v>
      </c>
      <c r="P303" s="228">
        <v>0</v>
      </c>
      <c r="Q303" s="228">
        <v>0</v>
      </c>
      <c r="R303" s="228">
        <v>0</v>
      </c>
      <c r="S303" s="228">
        <v>0</v>
      </c>
      <c r="T303" s="228">
        <v>0</v>
      </c>
      <c r="U303" s="228">
        <v>0</v>
      </c>
      <c r="V303" s="228">
        <v>0</v>
      </c>
      <c r="W303" s="228">
        <v>0</v>
      </c>
      <c r="X303" s="228">
        <v>0</v>
      </c>
      <c r="Y303" s="228">
        <v>0</v>
      </c>
      <c r="Z303" s="228">
        <v>0</v>
      </c>
      <c r="AA303" s="228">
        <v>0</v>
      </c>
      <c r="AB303" s="228">
        <v>0</v>
      </c>
      <c r="AC303" s="228">
        <v>0</v>
      </c>
      <c r="AD303" s="228">
        <v>0</v>
      </c>
      <c r="AE303" s="228">
        <v>0</v>
      </c>
      <c r="AF303" s="228">
        <v>0</v>
      </c>
      <c r="AG303" s="228">
        <v>0</v>
      </c>
      <c r="AH303" s="228">
        <v>0</v>
      </c>
      <c r="AI303" s="228">
        <v>0</v>
      </c>
      <c r="AJ303" s="228">
        <v>0</v>
      </c>
      <c r="AK303" s="228">
        <v>0</v>
      </c>
      <c r="AL303" s="228">
        <v>0</v>
      </c>
      <c r="AM303" s="228">
        <v>0</v>
      </c>
      <c r="AN303" s="228">
        <v>0</v>
      </c>
      <c r="AO303" s="228">
        <v>0</v>
      </c>
      <c r="AP303" s="228">
        <v>0</v>
      </c>
    </row>
    <row r="304" spans="7:42" ht="14.25" customHeight="1" x14ac:dyDescent="0.2">
      <c r="G304" s="138"/>
      <c r="H304" s="380"/>
      <c r="J304" s="358"/>
      <c r="K304" s="135" t="s">
        <v>254</v>
      </c>
      <c r="L304" s="185" t="s">
        <v>277</v>
      </c>
      <c r="M304" s="226">
        <v>0</v>
      </c>
      <c r="N304" s="226">
        <v>0</v>
      </c>
      <c r="O304" s="226">
        <v>0</v>
      </c>
      <c r="P304" s="226">
        <v>0</v>
      </c>
      <c r="Q304" s="226">
        <v>0</v>
      </c>
      <c r="R304" s="226">
        <v>0</v>
      </c>
      <c r="S304" s="226">
        <v>0</v>
      </c>
      <c r="T304" s="226">
        <v>0</v>
      </c>
      <c r="U304" s="226">
        <v>0</v>
      </c>
      <c r="V304" s="226">
        <v>0</v>
      </c>
      <c r="W304" s="226">
        <v>0</v>
      </c>
      <c r="X304" s="226">
        <v>0</v>
      </c>
      <c r="Y304" s="226">
        <v>0</v>
      </c>
      <c r="Z304" s="226">
        <v>0</v>
      </c>
      <c r="AA304" s="226">
        <v>0</v>
      </c>
      <c r="AB304" s="226">
        <v>0</v>
      </c>
      <c r="AC304" s="226">
        <v>0</v>
      </c>
      <c r="AD304" s="226">
        <v>0</v>
      </c>
      <c r="AE304" s="226">
        <v>0</v>
      </c>
      <c r="AF304" s="226">
        <v>0</v>
      </c>
      <c r="AG304" s="226">
        <v>0</v>
      </c>
      <c r="AH304" s="226">
        <v>0</v>
      </c>
      <c r="AI304" s="226">
        <v>0</v>
      </c>
      <c r="AJ304" s="226">
        <v>0</v>
      </c>
      <c r="AK304" s="226">
        <v>0</v>
      </c>
      <c r="AL304" s="226">
        <v>0</v>
      </c>
      <c r="AM304" s="226">
        <v>0</v>
      </c>
      <c r="AN304" s="226">
        <v>0</v>
      </c>
      <c r="AO304" s="226">
        <v>0</v>
      </c>
      <c r="AP304" s="226">
        <v>0</v>
      </c>
    </row>
    <row r="305" spans="7:42" ht="14.25" customHeight="1" thickBot="1" x14ac:dyDescent="0.25">
      <c r="G305" s="138"/>
      <c r="H305" s="380"/>
      <c r="J305" s="358"/>
      <c r="K305" s="196" t="s">
        <v>254</v>
      </c>
      <c r="L305" s="196" t="s">
        <v>278</v>
      </c>
      <c r="M305" s="229">
        <v>0</v>
      </c>
      <c r="N305" s="229">
        <v>0</v>
      </c>
      <c r="O305" s="229">
        <v>0</v>
      </c>
      <c r="P305" s="229">
        <v>0</v>
      </c>
      <c r="Q305" s="229">
        <v>0</v>
      </c>
      <c r="R305" s="229">
        <v>0</v>
      </c>
      <c r="S305" s="229">
        <v>0</v>
      </c>
      <c r="T305" s="229">
        <v>0</v>
      </c>
      <c r="U305" s="229">
        <v>0</v>
      </c>
      <c r="V305" s="229">
        <v>0</v>
      </c>
      <c r="W305" s="229">
        <v>0</v>
      </c>
      <c r="X305" s="229">
        <v>0</v>
      </c>
      <c r="Y305" s="229">
        <v>0</v>
      </c>
      <c r="Z305" s="229">
        <v>0</v>
      </c>
      <c r="AA305" s="229">
        <v>0</v>
      </c>
      <c r="AB305" s="229">
        <v>0</v>
      </c>
      <c r="AC305" s="229">
        <v>0</v>
      </c>
      <c r="AD305" s="229">
        <v>0</v>
      </c>
      <c r="AE305" s="229">
        <v>0</v>
      </c>
      <c r="AF305" s="229">
        <v>0</v>
      </c>
      <c r="AG305" s="229">
        <v>0</v>
      </c>
      <c r="AH305" s="229">
        <v>0</v>
      </c>
      <c r="AI305" s="229">
        <v>0</v>
      </c>
      <c r="AJ305" s="229">
        <v>0</v>
      </c>
      <c r="AK305" s="229">
        <v>0</v>
      </c>
      <c r="AL305" s="229">
        <v>0</v>
      </c>
      <c r="AM305" s="229">
        <v>0</v>
      </c>
      <c r="AN305" s="229">
        <v>0</v>
      </c>
      <c r="AO305" s="229">
        <v>0</v>
      </c>
      <c r="AP305" s="229">
        <v>0</v>
      </c>
    </row>
    <row r="306" spans="7:42" ht="14.25" customHeight="1" thickTop="1" x14ac:dyDescent="0.2">
      <c r="G306" s="138"/>
      <c r="H306" s="380"/>
      <c r="J306" s="358"/>
      <c r="K306" s="194" t="s">
        <v>256</v>
      </c>
      <c r="L306" s="194" t="s">
        <v>276</v>
      </c>
      <c r="M306" s="228">
        <v>0</v>
      </c>
      <c r="N306" s="228">
        <v>0</v>
      </c>
      <c r="O306" s="228">
        <v>0</v>
      </c>
      <c r="P306" s="228">
        <v>0</v>
      </c>
      <c r="Q306" s="228">
        <v>0</v>
      </c>
      <c r="R306" s="228">
        <v>0</v>
      </c>
      <c r="S306" s="228">
        <v>0</v>
      </c>
      <c r="T306" s="228">
        <v>0</v>
      </c>
      <c r="U306" s="228">
        <v>0</v>
      </c>
      <c r="V306" s="228">
        <v>0</v>
      </c>
      <c r="W306" s="228">
        <v>0</v>
      </c>
      <c r="X306" s="228">
        <v>0</v>
      </c>
      <c r="Y306" s="228">
        <v>0</v>
      </c>
      <c r="Z306" s="228">
        <v>0</v>
      </c>
      <c r="AA306" s="228">
        <v>0</v>
      </c>
      <c r="AB306" s="228">
        <v>0</v>
      </c>
      <c r="AC306" s="228">
        <v>0</v>
      </c>
      <c r="AD306" s="228">
        <v>0</v>
      </c>
      <c r="AE306" s="228">
        <v>0</v>
      </c>
      <c r="AF306" s="228">
        <v>0</v>
      </c>
      <c r="AG306" s="228">
        <v>0</v>
      </c>
      <c r="AH306" s="228">
        <v>0</v>
      </c>
      <c r="AI306" s="228">
        <v>0</v>
      </c>
      <c r="AJ306" s="228">
        <v>0</v>
      </c>
      <c r="AK306" s="228">
        <v>0</v>
      </c>
      <c r="AL306" s="228">
        <v>0</v>
      </c>
      <c r="AM306" s="228">
        <v>0</v>
      </c>
      <c r="AN306" s="228">
        <v>0</v>
      </c>
      <c r="AO306" s="228">
        <v>0</v>
      </c>
      <c r="AP306" s="228">
        <v>0</v>
      </c>
    </row>
    <row r="307" spans="7:42" ht="14.25" customHeight="1" x14ac:dyDescent="0.2">
      <c r="G307" s="138"/>
      <c r="H307" s="380"/>
      <c r="J307" s="358"/>
      <c r="K307" s="135" t="s">
        <v>256</v>
      </c>
      <c r="L307" s="185" t="s">
        <v>277</v>
      </c>
      <c r="M307" s="226">
        <v>0</v>
      </c>
      <c r="N307" s="226">
        <v>0</v>
      </c>
      <c r="O307" s="226">
        <v>0</v>
      </c>
      <c r="P307" s="226">
        <v>0</v>
      </c>
      <c r="Q307" s="226">
        <v>0</v>
      </c>
      <c r="R307" s="226">
        <v>0</v>
      </c>
      <c r="S307" s="226">
        <v>0</v>
      </c>
      <c r="T307" s="226">
        <v>0</v>
      </c>
      <c r="U307" s="226">
        <v>0</v>
      </c>
      <c r="V307" s="226">
        <v>0</v>
      </c>
      <c r="W307" s="226">
        <v>0</v>
      </c>
      <c r="X307" s="226">
        <v>0</v>
      </c>
      <c r="Y307" s="226">
        <v>0</v>
      </c>
      <c r="Z307" s="226">
        <v>0</v>
      </c>
      <c r="AA307" s="226">
        <v>0</v>
      </c>
      <c r="AB307" s="226">
        <v>0</v>
      </c>
      <c r="AC307" s="226">
        <v>0</v>
      </c>
      <c r="AD307" s="226">
        <v>0</v>
      </c>
      <c r="AE307" s="226">
        <v>0</v>
      </c>
      <c r="AF307" s="226">
        <v>0</v>
      </c>
      <c r="AG307" s="226">
        <v>0</v>
      </c>
      <c r="AH307" s="226">
        <v>0</v>
      </c>
      <c r="AI307" s="226">
        <v>0</v>
      </c>
      <c r="AJ307" s="226">
        <v>0</v>
      </c>
      <c r="AK307" s="226">
        <v>0</v>
      </c>
      <c r="AL307" s="226">
        <v>0</v>
      </c>
      <c r="AM307" s="226">
        <v>0</v>
      </c>
      <c r="AN307" s="226">
        <v>0</v>
      </c>
      <c r="AO307" s="226">
        <v>0</v>
      </c>
      <c r="AP307" s="226">
        <v>0</v>
      </c>
    </row>
    <row r="308" spans="7:42" ht="14.25" customHeight="1" x14ac:dyDescent="0.2">
      <c r="G308" s="138"/>
      <c r="H308" s="380"/>
      <c r="J308" s="368"/>
      <c r="K308" s="196" t="s">
        <v>256</v>
      </c>
      <c r="L308" s="196" t="s">
        <v>278</v>
      </c>
      <c r="M308" s="229">
        <v>0</v>
      </c>
      <c r="N308" s="229">
        <v>0</v>
      </c>
      <c r="O308" s="229">
        <v>0</v>
      </c>
      <c r="P308" s="229">
        <v>0</v>
      </c>
      <c r="Q308" s="229">
        <v>0</v>
      </c>
      <c r="R308" s="229">
        <v>0</v>
      </c>
      <c r="S308" s="229">
        <v>0</v>
      </c>
      <c r="T308" s="229">
        <v>0</v>
      </c>
      <c r="U308" s="229">
        <v>0</v>
      </c>
      <c r="V308" s="229">
        <v>0</v>
      </c>
      <c r="W308" s="229">
        <v>0</v>
      </c>
      <c r="X308" s="229">
        <v>0</v>
      </c>
      <c r="Y308" s="229">
        <v>0</v>
      </c>
      <c r="Z308" s="229">
        <v>0</v>
      </c>
      <c r="AA308" s="229">
        <v>0</v>
      </c>
      <c r="AB308" s="229">
        <v>0</v>
      </c>
      <c r="AC308" s="229">
        <v>0</v>
      </c>
      <c r="AD308" s="229">
        <v>0</v>
      </c>
      <c r="AE308" s="229">
        <v>0</v>
      </c>
      <c r="AF308" s="229">
        <v>0</v>
      </c>
      <c r="AG308" s="229">
        <v>0</v>
      </c>
      <c r="AH308" s="229">
        <v>0</v>
      </c>
      <c r="AI308" s="229">
        <v>0</v>
      </c>
      <c r="AJ308" s="229">
        <v>0</v>
      </c>
      <c r="AK308" s="229">
        <v>0</v>
      </c>
      <c r="AL308" s="229">
        <v>0</v>
      </c>
      <c r="AM308" s="229">
        <v>0</v>
      </c>
      <c r="AN308" s="229">
        <v>0</v>
      </c>
      <c r="AO308" s="229">
        <v>0</v>
      </c>
      <c r="AP308" s="229">
        <v>0</v>
      </c>
    </row>
    <row r="309" spans="7:42" ht="15.75" customHeight="1" thickBot="1" x14ac:dyDescent="0.25">
      <c r="G309" s="138"/>
      <c r="H309" s="230"/>
      <c r="I309" s="230"/>
      <c r="J309" s="230"/>
      <c r="K309" s="230"/>
      <c r="L309" s="230"/>
      <c r="M309" s="230"/>
      <c r="N309" s="230"/>
      <c r="O309" s="230"/>
      <c r="P309" s="230"/>
      <c r="Q309" s="230"/>
      <c r="R309" s="230"/>
      <c r="S309" s="230"/>
      <c r="T309" s="230"/>
      <c r="U309" s="230"/>
      <c r="V309" s="230"/>
      <c r="W309" s="230"/>
      <c r="X309" s="230"/>
      <c r="Y309" s="230"/>
      <c r="Z309" s="230"/>
      <c r="AA309" s="230"/>
      <c r="AB309" s="230"/>
      <c r="AC309" s="230"/>
      <c r="AD309" s="230"/>
      <c r="AE309" s="230"/>
      <c r="AF309" s="230"/>
      <c r="AG309" s="230"/>
      <c r="AH309" s="230"/>
      <c r="AI309" s="230"/>
      <c r="AJ309" s="230"/>
      <c r="AK309" s="230"/>
      <c r="AL309" s="230"/>
      <c r="AM309" s="230"/>
      <c r="AN309" s="230"/>
      <c r="AO309" s="230"/>
      <c r="AP309" s="230"/>
    </row>
    <row r="310" spans="7:42" ht="14.25" customHeight="1" x14ac:dyDescent="0.2">
      <c r="G310" s="138"/>
      <c r="H310" s="231"/>
      <c r="I310" s="231"/>
      <c r="J310" s="231"/>
      <c r="K310" s="231"/>
      <c r="L310" s="231"/>
      <c r="M310" s="231"/>
      <c r="N310" s="231"/>
      <c r="O310" s="231"/>
      <c r="P310" s="231"/>
      <c r="Q310" s="231"/>
      <c r="R310" s="231"/>
      <c r="S310" s="231"/>
      <c r="T310" s="231"/>
      <c r="U310" s="231"/>
      <c r="V310" s="231"/>
      <c r="W310" s="231"/>
      <c r="X310" s="231"/>
      <c r="Y310" s="231"/>
      <c r="Z310" s="231"/>
      <c r="AA310" s="231"/>
      <c r="AB310" s="231"/>
      <c r="AC310" s="231"/>
      <c r="AD310" s="231"/>
      <c r="AE310" s="231"/>
      <c r="AF310" s="231"/>
      <c r="AG310" s="231"/>
      <c r="AH310" s="231"/>
      <c r="AI310" s="231"/>
      <c r="AJ310" s="231"/>
      <c r="AK310" s="231"/>
      <c r="AL310" s="231"/>
      <c r="AM310" s="231"/>
      <c r="AN310" s="231"/>
      <c r="AO310" s="231"/>
      <c r="AP310" s="231"/>
    </row>
    <row r="311" spans="7:42" ht="14.25" customHeight="1" thickBot="1" x14ac:dyDescent="0.25">
      <c r="G311" s="138"/>
      <c r="H311" s="230"/>
      <c r="I311" s="230"/>
      <c r="J311" s="230"/>
      <c r="K311" s="230"/>
      <c r="L311" s="230"/>
      <c r="M311" s="230"/>
      <c r="N311" s="230"/>
      <c r="O311" s="230"/>
      <c r="P311" s="230"/>
      <c r="Q311" s="230"/>
      <c r="R311" s="230"/>
      <c r="S311" s="230"/>
      <c r="T311" s="230"/>
      <c r="U311" s="230"/>
      <c r="V311" s="230"/>
      <c r="W311" s="230"/>
      <c r="X311" s="230"/>
      <c r="Y311" s="230"/>
      <c r="Z311" s="230"/>
      <c r="AA311" s="230"/>
      <c r="AB311" s="230"/>
      <c r="AC311" s="230"/>
      <c r="AD311" s="230"/>
      <c r="AE311" s="230"/>
      <c r="AF311" s="230"/>
      <c r="AG311" s="230"/>
      <c r="AH311" s="230"/>
      <c r="AI311" s="230"/>
      <c r="AJ311" s="230"/>
      <c r="AK311" s="230"/>
      <c r="AL311" s="230"/>
      <c r="AM311" s="230"/>
      <c r="AN311" s="230"/>
      <c r="AO311" s="230"/>
      <c r="AP311" s="230"/>
    </row>
    <row r="312" spans="7:42" ht="14.25" customHeight="1" x14ac:dyDescent="0.2">
      <c r="G312" s="138"/>
      <c r="H312" s="231"/>
      <c r="I312" s="231"/>
      <c r="J312" s="231"/>
      <c r="K312" s="231"/>
      <c r="L312" s="231"/>
      <c r="M312" s="231"/>
      <c r="N312" s="231"/>
      <c r="O312" s="231"/>
      <c r="P312" s="231"/>
      <c r="Q312" s="231"/>
      <c r="R312" s="231"/>
      <c r="S312" s="231"/>
      <c r="T312" s="231"/>
      <c r="U312" s="231"/>
      <c r="V312" s="231"/>
      <c r="W312" s="231"/>
      <c r="X312" s="231"/>
      <c r="Y312" s="231"/>
      <c r="Z312" s="231"/>
      <c r="AA312" s="231"/>
      <c r="AB312" s="231"/>
      <c r="AC312" s="231"/>
      <c r="AD312" s="231"/>
      <c r="AE312" s="231"/>
      <c r="AF312" s="231"/>
      <c r="AG312" s="231"/>
      <c r="AH312" s="231"/>
      <c r="AI312" s="231"/>
      <c r="AJ312" s="231"/>
      <c r="AK312" s="231"/>
      <c r="AL312" s="231"/>
      <c r="AM312" s="231"/>
      <c r="AN312" s="231"/>
      <c r="AO312" s="231"/>
      <c r="AP312" s="231"/>
    </row>
    <row r="313" spans="7:42" ht="14.25" customHeight="1" x14ac:dyDescent="0.2">
      <c r="G313" s="138"/>
      <c r="M313" s="123">
        <v>2021</v>
      </c>
      <c r="N313" s="123">
        <v>2022</v>
      </c>
      <c r="O313" s="123">
        <v>2023</v>
      </c>
      <c r="P313" s="123">
        <v>2024</v>
      </c>
      <c r="Q313" s="123">
        <v>2025</v>
      </c>
      <c r="R313" s="123">
        <v>2026</v>
      </c>
      <c r="S313" s="123">
        <v>2027</v>
      </c>
      <c r="T313" s="123">
        <v>2028</v>
      </c>
      <c r="U313" s="123">
        <v>2029</v>
      </c>
      <c r="V313" s="123">
        <v>2030</v>
      </c>
      <c r="W313" s="123">
        <v>2031</v>
      </c>
      <c r="X313" s="123">
        <v>2032</v>
      </c>
      <c r="Y313" s="123">
        <v>2033</v>
      </c>
      <c r="Z313" s="123">
        <v>2034</v>
      </c>
      <c r="AA313" s="123">
        <v>2035</v>
      </c>
      <c r="AB313" s="123">
        <v>2036</v>
      </c>
      <c r="AC313" s="123">
        <v>2037</v>
      </c>
      <c r="AD313" s="123">
        <v>2038</v>
      </c>
      <c r="AE313" s="123">
        <v>2039</v>
      </c>
      <c r="AF313" s="123">
        <v>2040</v>
      </c>
      <c r="AG313" s="123">
        <v>2041</v>
      </c>
      <c r="AH313" s="123">
        <v>2042</v>
      </c>
      <c r="AI313" s="123">
        <v>2043</v>
      </c>
      <c r="AJ313" s="123">
        <v>2044</v>
      </c>
      <c r="AK313" s="123">
        <v>2045</v>
      </c>
      <c r="AL313" s="123">
        <v>2046</v>
      </c>
      <c r="AM313" s="123">
        <v>2047</v>
      </c>
      <c r="AN313" s="123">
        <v>2048</v>
      </c>
      <c r="AO313" s="123">
        <v>2049</v>
      </c>
      <c r="AP313" s="123">
        <v>2050</v>
      </c>
    </row>
    <row r="314" spans="7:42" ht="14.25" customHeight="1" x14ac:dyDescent="0.2">
      <c r="G314" s="138"/>
      <c r="H314" s="416" t="s">
        <v>300</v>
      </c>
      <c r="J314" s="367" t="s">
        <v>301</v>
      </c>
      <c r="K314" s="194" t="s">
        <v>235</v>
      </c>
      <c r="L314" s="194" t="s">
        <v>276</v>
      </c>
      <c r="M314" s="225">
        <v>0</v>
      </c>
      <c r="N314" s="225">
        <v>0</v>
      </c>
      <c r="O314" s="225">
        <v>0</v>
      </c>
      <c r="P314" s="225">
        <v>0</v>
      </c>
      <c r="Q314" s="225">
        <v>0</v>
      </c>
      <c r="R314" s="225">
        <v>0</v>
      </c>
      <c r="S314" s="225">
        <v>0</v>
      </c>
      <c r="T314" s="225">
        <v>0</v>
      </c>
      <c r="U314" s="225">
        <v>0</v>
      </c>
      <c r="V314" s="225">
        <v>0</v>
      </c>
      <c r="W314" s="225">
        <v>0</v>
      </c>
      <c r="X314" s="225">
        <v>0</v>
      </c>
      <c r="Y314" s="225">
        <v>0</v>
      </c>
      <c r="Z314" s="225">
        <v>0</v>
      </c>
      <c r="AA314" s="225">
        <v>0</v>
      </c>
      <c r="AB314" s="225">
        <v>0</v>
      </c>
      <c r="AC314" s="225">
        <v>0</v>
      </c>
      <c r="AD314" s="225">
        <v>0</v>
      </c>
      <c r="AE314" s="225">
        <v>0</v>
      </c>
      <c r="AF314" s="225">
        <v>0</v>
      </c>
      <c r="AG314" s="225">
        <v>0</v>
      </c>
      <c r="AH314" s="225">
        <v>0</v>
      </c>
      <c r="AI314" s="225">
        <v>0</v>
      </c>
      <c r="AJ314" s="225">
        <v>0</v>
      </c>
      <c r="AK314" s="225">
        <v>0</v>
      </c>
      <c r="AL314" s="225">
        <v>0</v>
      </c>
      <c r="AM314" s="225">
        <v>0</v>
      </c>
      <c r="AN314" s="225">
        <v>0</v>
      </c>
      <c r="AO314" s="225">
        <v>0</v>
      </c>
      <c r="AP314" s="225">
        <v>0</v>
      </c>
    </row>
    <row r="315" spans="7:42" ht="14.25" customHeight="1" x14ac:dyDescent="0.2">
      <c r="G315" s="138"/>
      <c r="H315" s="380"/>
      <c r="J315" s="358"/>
      <c r="K315" s="135" t="s">
        <v>235</v>
      </c>
      <c r="L315" s="185" t="s">
        <v>277</v>
      </c>
      <c r="M315" s="226">
        <v>0</v>
      </c>
      <c r="N315" s="226">
        <v>0</v>
      </c>
      <c r="O315" s="226">
        <v>0</v>
      </c>
      <c r="P315" s="226">
        <v>0</v>
      </c>
      <c r="Q315" s="226">
        <v>0</v>
      </c>
      <c r="R315" s="226">
        <v>0</v>
      </c>
      <c r="S315" s="226">
        <v>0</v>
      </c>
      <c r="T315" s="226">
        <v>0</v>
      </c>
      <c r="U315" s="226">
        <v>0</v>
      </c>
      <c r="V315" s="226">
        <v>0</v>
      </c>
      <c r="W315" s="226">
        <v>0</v>
      </c>
      <c r="X315" s="226">
        <v>0</v>
      </c>
      <c r="Y315" s="226">
        <v>0</v>
      </c>
      <c r="Z315" s="226">
        <v>0</v>
      </c>
      <c r="AA315" s="226">
        <v>0</v>
      </c>
      <c r="AB315" s="226">
        <v>0</v>
      </c>
      <c r="AC315" s="226">
        <v>0</v>
      </c>
      <c r="AD315" s="226">
        <v>0</v>
      </c>
      <c r="AE315" s="226">
        <v>0</v>
      </c>
      <c r="AF315" s="226">
        <v>0</v>
      </c>
      <c r="AG315" s="226">
        <v>0</v>
      </c>
      <c r="AH315" s="226">
        <v>0</v>
      </c>
      <c r="AI315" s="226">
        <v>0</v>
      </c>
      <c r="AJ315" s="226">
        <v>0</v>
      </c>
      <c r="AK315" s="226">
        <v>0</v>
      </c>
      <c r="AL315" s="226">
        <v>0</v>
      </c>
      <c r="AM315" s="226">
        <v>0</v>
      </c>
      <c r="AN315" s="226">
        <v>0</v>
      </c>
      <c r="AO315" s="226">
        <v>0</v>
      </c>
      <c r="AP315" s="226">
        <v>0</v>
      </c>
    </row>
    <row r="316" spans="7:42" ht="14.25" customHeight="1" thickBot="1" x14ac:dyDescent="0.25">
      <c r="G316" s="138"/>
      <c r="H316" s="380"/>
      <c r="J316" s="358"/>
      <c r="K316" s="196" t="s">
        <v>235</v>
      </c>
      <c r="L316" s="196" t="s">
        <v>278</v>
      </c>
      <c r="M316" s="227">
        <v>0</v>
      </c>
      <c r="N316" s="227">
        <v>0</v>
      </c>
      <c r="O316" s="227">
        <v>0</v>
      </c>
      <c r="P316" s="227">
        <v>0</v>
      </c>
      <c r="Q316" s="227">
        <v>0</v>
      </c>
      <c r="R316" s="227">
        <v>0</v>
      </c>
      <c r="S316" s="227">
        <v>0</v>
      </c>
      <c r="T316" s="227">
        <v>0</v>
      </c>
      <c r="U316" s="227">
        <v>0</v>
      </c>
      <c r="V316" s="227">
        <v>0</v>
      </c>
      <c r="W316" s="227">
        <v>0</v>
      </c>
      <c r="X316" s="227">
        <v>0</v>
      </c>
      <c r="Y316" s="227">
        <v>0</v>
      </c>
      <c r="Z316" s="227">
        <v>0</v>
      </c>
      <c r="AA316" s="227">
        <v>0</v>
      </c>
      <c r="AB316" s="227">
        <v>0</v>
      </c>
      <c r="AC316" s="227">
        <v>0</v>
      </c>
      <c r="AD316" s="227">
        <v>0</v>
      </c>
      <c r="AE316" s="227">
        <v>0</v>
      </c>
      <c r="AF316" s="227">
        <v>0</v>
      </c>
      <c r="AG316" s="227">
        <v>0</v>
      </c>
      <c r="AH316" s="227">
        <v>0</v>
      </c>
      <c r="AI316" s="227">
        <v>0</v>
      </c>
      <c r="AJ316" s="227">
        <v>0</v>
      </c>
      <c r="AK316" s="227">
        <v>0</v>
      </c>
      <c r="AL316" s="227">
        <v>0</v>
      </c>
      <c r="AM316" s="227">
        <v>0</v>
      </c>
      <c r="AN316" s="227">
        <v>0</v>
      </c>
      <c r="AO316" s="227">
        <v>0</v>
      </c>
      <c r="AP316" s="227">
        <v>0</v>
      </c>
    </row>
    <row r="317" spans="7:42" ht="14.25" customHeight="1" thickTop="1" x14ac:dyDescent="0.2">
      <c r="G317" s="138"/>
      <c r="H317" s="380"/>
      <c r="J317" s="358"/>
      <c r="K317" s="194" t="s">
        <v>240</v>
      </c>
      <c r="L317" s="194" t="s">
        <v>276</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x14ac:dyDescent="0.2">
      <c r="G318" s="138"/>
      <c r="H318" s="380"/>
      <c r="J318" s="358"/>
      <c r="K318" s="135" t="s">
        <v>240</v>
      </c>
      <c r="L318" s="185" t="s">
        <v>277</v>
      </c>
      <c r="M318" s="226">
        <v>0</v>
      </c>
      <c r="N318" s="226">
        <v>0</v>
      </c>
      <c r="O318" s="226">
        <v>0</v>
      </c>
      <c r="P318" s="226">
        <v>0</v>
      </c>
      <c r="Q318" s="226">
        <v>0</v>
      </c>
      <c r="R318" s="226">
        <v>0</v>
      </c>
      <c r="S318" s="226">
        <v>0</v>
      </c>
      <c r="T318" s="226">
        <v>0</v>
      </c>
      <c r="U318" s="226">
        <v>0</v>
      </c>
      <c r="V318" s="226">
        <v>0</v>
      </c>
      <c r="W318" s="226">
        <v>0</v>
      </c>
      <c r="X318" s="226">
        <v>0</v>
      </c>
      <c r="Y318" s="226">
        <v>0</v>
      </c>
      <c r="Z318" s="226">
        <v>0</v>
      </c>
      <c r="AA318" s="226">
        <v>0</v>
      </c>
      <c r="AB318" s="226">
        <v>0</v>
      </c>
      <c r="AC318" s="226">
        <v>0</v>
      </c>
      <c r="AD318" s="226">
        <v>0</v>
      </c>
      <c r="AE318" s="226">
        <v>0</v>
      </c>
      <c r="AF318" s="226">
        <v>0</v>
      </c>
      <c r="AG318" s="226">
        <v>0</v>
      </c>
      <c r="AH318" s="226">
        <v>0</v>
      </c>
      <c r="AI318" s="226">
        <v>0</v>
      </c>
      <c r="AJ318" s="226">
        <v>0</v>
      </c>
      <c r="AK318" s="226">
        <v>0</v>
      </c>
      <c r="AL318" s="226">
        <v>0</v>
      </c>
      <c r="AM318" s="226">
        <v>0</v>
      </c>
      <c r="AN318" s="226">
        <v>0</v>
      </c>
      <c r="AO318" s="226">
        <v>0</v>
      </c>
      <c r="AP318" s="226">
        <v>0</v>
      </c>
    </row>
    <row r="319" spans="7:42" ht="14.25" customHeight="1" thickBot="1" x14ac:dyDescent="0.25">
      <c r="G319" s="138"/>
      <c r="H319" s="380"/>
      <c r="J319" s="358"/>
      <c r="K319" s="196" t="s">
        <v>240</v>
      </c>
      <c r="L319" s="196" t="s">
        <v>278</v>
      </c>
      <c r="M319" s="227">
        <v>0</v>
      </c>
      <c r="N319" s="227">
        <v>0</v>
      </c>
      <c r="O319" s="227">
        <v>0</v>
      </c>
      <c r="P319" s="227">
        <v>0</v>
      </c>
      <c r="Q319" s="227">
        <v>0</v>
      </c>
      <c r="R319" s="227">
        <v>0</v>
      </c>
      <c r="S319" s="227">
        <v>0</v>
      </c>
      <c r="T319" s="227">
        <v>0</v>
      </c>
      <c r="U319" s="227">
        <v>0</v>
      </c>
      <c r="V319" s="227">
        <v>0</v>
      </c>
      <c r="W319" s="227">
        <v>0</v>
      </c>
      <c r="X319" s="227">
        <v>0</v>
      </c>
      <c r="Y319" s="227">
        <v>0</v>
      </c>
      <c r="Z319" s="227">
        <v>0</v>
      </c>
      <c r="AA319" s="227">
        <v>0</v>
      </c>
      <c r="AB319" s="227">
        <v>0</v>
      </c>
      <c r="AC319" s="227">
        <v>0</v>
      </c>
      <c r="AD319" s="227">
        <v>0</v>
      </c>
      <c r="AE319" s="227">
        <v>0</v>
      </c>
      <c r="AF319" s="227">
        <v>0</v>
      </c>
      <c r="AG319" s="227">
        <v>0</v>
      </c>
      <c r="AH319" s="227">
        <v>0</v>
      </c>
      <c r="AI319" s="227">
        <v>0</v>
      </c>
      <c r="AJ319" s="227">
        <v>0</v>
      </c>
      <c r="AK319" s="227">
        <v>0</v>
      </c>
      <c r="AL319" s="227">
        <v>0</v>
      </c>
      <c r="AM319" s="227">
        <v>0</v>
      </c>
      <c r="AN319" s="227">
        <v>0</v>
      </c>
      <c r="AO319" s="227">
        <v>0</v>
      </c>
      <c r="AP319" s="227">
        <v>0</v>
      </c>
    </row>
    <row r="320" spans="7:42" ht="14.25" customHeight="1" thickTop="1" x14ac:dyDescent="0.2">
      <c r="G320" s="138"/>
      <c r="H320" s="380"/>
      <c r="J320" s="358"/>
      <c r="K320" s="194" t="s">
        <v>242</v>
      </c>
      <c r="L320" s="194" t="s">
        <v>276</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x14ac:dyDescent="0.2">
      <c r="G321" s="138"/>
      <c r="H321" s="380"/>
      <c r="J321" s="358"/>
      <c r="K321" s="135" t="s">
        <v>242</v>
      </c>
      <c r="L321" s="185" t="s">
        <v>277</v>
      </c>
      <c r="M321" s="226">
        <v>0</v>
      </c>
      <c r="N321" s="226">
        <v>0</v>
      </c>
      <c r="O321" s="226">
        <v>0</v>
      </c>
      <c r="P321" s="226">
        <v>0</v>
      </c>
      <c r="Q321" s="226">
        <v>0</v>
      </c>
      <c r="R321" s="226">
        <v>0</v>
      </c>
      <c r="S321" s="226">
        <v>0</v>
      </c>
      <c r="T321" s="226">
        <v>0</v>
      </c>
      <c r="U321" s="226">
        <v>0</v>
      </c>
      <c r="V321" s="226">
        <v>0</v>
      </c>
      <c r="W321" s="226">
        <v>0</v>
      </c>
      <c r="X321" s="226">
        <v>0</v>
      </c>
      <c r="Y321" s="226">
        <v>0</v>
      </c>
      <c r="Z321" s="226">
        <v>0</v>
      </c>
      <c r="AA321" s="226">
        <v>0</v>
      </c>
      <c r="AB321" s="226">
        <v>0</v>
      </c>
      <c r="AC321" s="226">
        <v>0</v>
      </c>
      <c r="AD321" s="226">
        <v>0</v>
      </c>
      <c r="AE321" s="226">
        <v>0</v>
      </c>
      <c r="AF321" s="226">
        <v>0</v>
      </c>
      <c r="AG321" s="226">
        <v>0</v>
      </c>
      <c r="AH321" s="226">
        <v>0</v>
      </c>
      <c r="AI321" s="226">
        <v>0</v>
      </c>
      <c r="AJ321" s="226">
        <v>0</v>
      </c>
      <c r="AK321" s="226">
        <v>0</v>
      </c>
      <c r="AL321" s="226">
        <v>0</v>
      </c>
      <c r="AM321" s="226">
        <v>0</v>
      </c>
      <c r="AN321" s="226">
        <v>0</v>
      </c>
      <c r="AO321" s="226">
        <v>0</v>
      </c>
      <c r="AP321" s="226">
        <v>0</v>
      </c>
    </row>
    <row r="322" spans="7:42" ht="14.25" customHeight="1" thickBot="1" x14ac:dyDescent="0.25">
      <c r="G322" s="138"/>
      <c r="H322" s="380"/>
      <c r="J322" s="358"/>
      <c r="K322" s="196" t="s">
        <v>242</v>
      </c>
      <c r="L322" s="196" t="s">
        <v>278</v>
      </c>
      <c r="M322" s="229">
        <v>0</v>
      </c>
      <c r="N322" s="229">
        <v>0</v>
      </c>
      <c r="O322" s="229">
        <v>0</v>
      </c>
      <c r="P322" s="229">
        <v>0</v>
      </c>
      <c r="Q322" s="229">
        <v>0</v>
      </c>
      <c r="R322" s="229">
        <v>0</v>
      </c>
      <c r="S322" s="229">
        <v>0</v>
      </c>
      <c r="T322" s="229">
        <v>0</v>
      </c>
      <c r="U322" s="229">
        <v>0</v>
      </c>
      <c r="V322" s="229">
        <v>0</v>
      </c>
      <c r="W322" s="229">
        <v>0</v>
      </c>
      <c r="X322" s="229">
        <v>0</v>
      </c>
      <c r="Y322" s="229">
        <v>0</v>
      </c>
      <c r="Z322" s="229">
        <v>0</v>
      </c>
      <c r="AA322" s="229">
        <v>0</v>
      </c>
      <c r="AB322" s="229">
        <v>0</v>
      </c>
      <c r="AC322" s="229">
        <v>0</v>
      </c>
      <c r="AD322" s="229">
        <v>0</v>
      </c>
      <c r="AE322" s="229">
        <v>0</v>
      </c>
      <c r="AF322" s="229">
        <v>0</v>
      </c>
      <c r="AG322" s="229">
        <v>0</v>
      </c>
      <c r="AH322" s="229">
        <v>0</v>
      </c>
      <c r="AI322" s="229">
        <v>0</v>
      </c>
      <c r="AJ322" s="229">
        <v>0</v>
      </c>
      <c r="AK322" s="229">
        <v>0</v>
      </c>
      <c r="AL322" s="229">
        <v>0</v>
      </c>
      <c r="AM322" s="229">
        <v>0</v>
      </c>
      <c r="AN322" s="229">
        <v>0</v>
      </c>
      <c r="AO322" s="229">
        <v>0</v>
      </c>
      <c r="AP322" s="229">
        <v>0</v>
      </c>
    </row>
    <row r="323" spans="7:42" ht="14.25" customHeight="1" thickTop="1" x14ac:dyDescent="0.2">
      <c r="G323" s="138"/>
      <c r="H323" s="380"/>
      <c r="J323" s="358"/>
      <c r="K323" s="194" t="s">
        <v>244</v>
      </c>
      <c r="L323" s="194" t="s">
        <v>276</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x14ac:dyDescent="0.2">
      <c r="G324" s="138"/>
      <c r="H324" s="380"/>
      <c r="J324" s="358"/>
      <c r="K324" s="135" t="s">
        <v>244</v>
      </c>
      <c r="L324" s="185" t="s">
        <v>277</v>
      </c>
      <c r="M324" s="226">
        <v>0</v>
      </c>
      <c r="N324" s="226">
        <v>0</v>
      </c>
      <c r="O324" s="226">
        <v>0</v>
      </c>
      <c r="P324" s="226">
        <v>0</v>
      </c>
      <c r="Q324" s="226">
        <v>0</v>
      </c>
      <c r="R324" s="226">
        <v>0</v>
      </c>
      <c r="S324" s="226">
        <v>0</v>
      </c>
      <c r="T324" s="226">
        <v>0</v>
      </c>
      <c r="U324" s="226">
        <v>0</v>
      </c>
      <c r="V324" s="226">
        <v>0</v>
      </c>
      <c r="W324" s="226">
        <v>0</v>
      </c>
      <c r="X324" s="226">
        <v>0</v>
      </c>
      <c r="Y324" s="226">
        <v>0</v>
      </c>
      <c r="Z324" s="226">
        <v>0</v>
      </c>
      <c r="AA324" s="226">
        <v>0</v>
      </c>
      <c r="AB324" s="226">
        <v>0</v>
      </c>
      <c r="AC324" s="226">
        <v>0</v>
      </c>
      <c r="AD324" s="226">
        <v>0</v>
      </c>
      <c r="AE324" s="226">
        <v>0</v>
      </c>
      <c r="AF324" s="226">
        <v>0</v>
      </c>
      <c r="AG324" s="226">
        <v>0</v>
      </c>
      <c r="AH324" s="226">
        <v>0</v>
      </c>
      <c r="AI324" s="226">
        <v>0</v>
      </c>
      <c r="AJ324" s="226">
        <v>0</v>
      </c>
      <c r="AK324" s="226">
        <v>0</v>
      </c>
      <c r="AL324" s="226">
        <v>0</v>
      </c>
      <c r="AM324" s="226">
        <v>0</v>
      </c>
      <c r="AN324" s="226">
        <v>0</v>
      </c>
      <c r="AO324" s="226">
        <v>0</v>
      </c>
      <c r="AP324" s="226">
        <v>0</v>
      </c>
    </row>
    <row r="325" spans="7:42" ht="14.25" customHeight="1" thickBot="1" x14ac:dyDescent="0.25">
      <c r="G325" s="138"/>
      <c r="H325" s="380"/>
      <c r="J325" s="358"/>
      <c r="K325" s="196" t="s">
        <v>244</v>
      </c>
      <c r="L325" s="196" t="s">
        <v>278</v>
      </c>
      <c r="M325" s="229">
        <v>0</v>
      </c>
      <c r="N325" s="229">
        <v>0</v>
      </c>
      <c r="O325" s="229">
        <v>0</v>
      </c>
      <c r="P325" s="229">
        <v>0</v>
      </c>
      <c r="Q325" s="229">
        <v>0</v>
      </c>
      <c r="R325" s="229">
        <v>0</v>
      </c>
      <c r="S325" s="229">
        <v>0</v>
      </c>
      <c r="T325" s="229">
        <v>0</v>
      </c>
      <c r="U325" s="229">
        <v>0</v>
      </c>
      <c r="V325" s="229">
        <v>0</v>
      </c>
      <c r="W325" s="229">
        <v>0</v>
      </c>
      <c r="X325" s="229">
        <v>0</v>
      </c>
      <c r="Y325" s="229">
        <v>0</v>
      </c>
      <c r="Z325" s="229">
        <v>0</v>
      </c>
      <c r="AA325" s="229">
        <v>0</v>
      </c>
      <c r="AB325" s="229">
        <v>0</v>
      </c>
      <c r="AC325" s="229">
        <v>0</v>
      </c>
      <c r="AD325" s="229">
        <v>0</v>
      </c>
      <c r="AE325" s="229">
        <v>0</v>
      </c>
      <c r="AF325" s="229">
        <v>0</v>
      </c>
      <c r="AG325" s="229">
        <v>0</v>
      </c>
      <c r="AH325" s="229">
        <v>0</v>
      </c>
      <c r="AI325" s="229">
        <v>0</v>
      </c>
      <c r="AJ325" s="229">
        <v>0</v>
      </c>
      <c r="AK325" s="229">
        <v>0</v>
      </c>
      <c r="AL325" s="229">
        <v>0</v>
      </c>
      <c r="AM325" s="229">
        <v>0</v>
      </c>
      <c r="AN325" s="229">
        <v>0</v>
      </c>
      <c r="AO325" s="229">
        <v>0</v>
      </c>
      <c r="AP325" s="229">
        <v>0</v>
      </c>
    </row>
    <row r="326" spans="7:42" ht="14.25" customHeight="1" thickTop="1" x14ac:dyDescent="0.2">
      <c r="G326" s="138"/>
      <c r="H326" s="380"/>
      <c r="J326" s="358"/>
      <c r="K326" s="194" t="s">
        <v>246</v>
      </c>
      <c r="L326" s="194" t="s">
        <v>276</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x14ac:dyDescent="0.2">
      <c r="G327" s="138"/>
      <c r="H327" s="380"/>
      <c r="J327" s="358"/>
      <c r="K327" s="135" t="s">
        <v>246</v>
      </c>
      <c r="L327" s="185" t="s">
        <v>277</v>
      </c>
      <c r="M327" s="226">
        <v>0</v>
      </c>
      <c r="N327" s="226">
        <v>0</v>
      </c>
      <c r="O327" s="226">
        <v>0</v>
      </c>
      <c r="P327" s="226">
        <v>0</v>
      </c>
      <c r="Q327" s="226">
        <v>0</v>
      </c>
      <c r="R327" s="226">
        <v>0</v>
      </c>
      <c r="S327" s="226">
        <v>0</v>
      </c>
      <c r="T327" s="226">
        <v>0</v>
      </c>
      <c r="U327" s="226">
        <v>0</v>
      </c>
      <c r="V327" s="226">
        <v>0</v>
      </c>
      <c r="W327" s="226">
        <v>0</v>
      </c>
      <c r="X327" s="226">
        <v>0</v>
      </c>
      <c r="Y327" s="226">
        <v>0</v>
      </c>
      <c r="Z327" s="226">
        <v>0</v>
      </c>
      <c r="AA327" s="226">
        <v>0</v>
      </c>
      <c r="AB327" s="226">
        <v>0</v>
      </c>
      <c r="AC327" s="226">
        <v>0</v>
      </c>
      <c r="AD327" s="226">
        <v>0</v>
      </c>
      <c r="AE327" s="226">
        <v>0</v>
      </c>
      <c r="AF327" s="226">
        <v>0</v>
      </c>
      <c r="AG327" s="226">
        <v>0</v>
      </c>
      <c r="AH327" s="226">
        <v>0</v>
      </c>
      <c r="AI327" s="226">
        <v>0</v>
      </c>
      <c r="AJ327" s="226">
        <v>0</v>
      </c>
      <c r="AK327" s="226">
        <v>0</v>
      </c>
      <c r="AL327" s="226">
        <v>0</v>
      </c>
      <c r="AM327" s="226">
        <v>0</v>
      </c>
      <c r="AN327" s="226">
        <v>0</v>
      </c>
      <c r="AO327" s="226">
        <v>0</v>
      </c>
      <c r="AP327" s="226">
        <v>0</v>
      </c>
    </row>
    <row r="328" spans="7:42" ht="14.25" customHeight="1" x14ac:dyDescent="0.2">
      <c r="G328" s="138"/>
      <c r="H328" s="380"/>
      <c r="J328" s="358"/>
      <c r="K328" s="196" t="s">
        <v>246</v>
      </c>
      <c r="L328" s="196" t="s">
        <v>278</v>
      </c>
      <c r="M328" s="229">
        <v>0</v>
      </c>
      <c r="N328" s="229">
        <v>0</v>
      </c>
      <c r="O328" s="229">
        <v>0</v>
      </c>
      <c r="P328" s="229">
        <v>0</v>
      </c>
      <c r="Q328" s="229">
        <v>0</v>
      </c>
      <c r="R328" s="229">
        <v>0</v>
      </c>
      <c r="S328" s="229">
        <v>0</v>
      </c>
      <c r="T328" s="229">
        <v>0</v>
      </c>
      <c r="U328" s="229">
        <v>0</v>
      </c>
      <c r="V328" s="229">
        <v>0</v>
      </c>
      <c r="W328" s="229">
        <v>0</v>
      </c>
      <c r="X328" s="229">
        <v>0</v>
      </c>
      <c r="Y328" s="229">
        <v>0</v>
      </c>
      <c r="Z328" s="229">
        <v>0</v>
      </c>
      <c r="AA328" s="229">
        <v>0</v>
      </c>
      <c r="AB328" s="229">
        <v>0</v>
      </c>
      <c r="AC328" s="229">
        <v>0</v>
      </c>
      <c r="AD328" s="229">
        <v>0</v>
      </c>
      <c r="AE328" s="229">
        <v>0</v>
      </c>
      <c r="AF328" s="229">
        <v>0</v>
      </c>
      <c r="AG328" s="229">
        <v>0</v>
      </c>
      <c r="AH328" s="229">
        <v>0</v>
      </c>
      <c r="AI328" s="229">
        <v>0</v>
      </c>
      <c r="AJ328" s="229">
        <v>0</v>
      </c>
      <c r="AK328" s="229">
        <v>0</v>
      </c>
      <c r="AL328" s="229">
        <v>0</v>
      </c>
      <c r="AM328" s="229">
        <v>0</v>
      </c>
      <c r="AN328" s="229">
        <v>0</v>
      </c>
      <c r="AO328" s="229">
        <v>0</v>
      </c>
      <c r="AP328" s="229">
        <v>0</v>
      </c>
    </row>
    <row r="329" spans="7:42" ht="14.25" customHeight="1" x14ac:dyDescent="0.2">
      <c r="G329" s="138"/>
      <c r="H329" s="380"/>
      <c r="J329" s="358"/>
      <c r="K329" s="194" t="s">
        <v>248</v>
      </c>
      <c r="L329" s="194" t="s">
        <v>276</v>
      </c>
      <c r="M329" s="225">
        <v>0</v>
      </c>
      <c r="N329" s="225">
        <v>0</v>
      </c>
      <c r="O329" s="225">
        <v>0</v>
      </c>
      <c r="P329" s="225">
        <v>0</v>
      </c>
      <c r="Q329" s="225">
        <v>0</v>
      </c>
      <c r="R329" s="225">
        <v>0</v>
      </c>
      <c r="S329" s="225">
        <v>0</v>
      </c>
      <c r="T329" s="225">
        <v>0</v>
      </c>
      <c r="U329" s="225">
        <v>0</v>
      </c>
      <c r="V329" s="225">
        <v>0</v>
      </c>
      <c r="W329" s="225">
        <v>0</v>
      </c>
      <c r="X329" s="225">
        <v>0</v>
      </c>
      <c r="Y329" s="225">
        <v>0</v>
      </c>
      <c r="Z329" s="225">
        <v>0</v>
      </c>
      <c r="AA329" s="225">
        <v>0</v>
      </c>
      <c r="AB329" s="225">
        <v>0</v>
      </c>
      <c r="AC329" s="225">
        <v>0</v>
      </c>
      <c r="AD329" s="225">
        <v>0</v>
      </c>
      <c r="AE329" s="225">
        <v>0</v>
      </c>
      <c r="AF329" s="225">
        <v>0</v>
      </c>
      <c r="AG329" s="225">
        <v>0</v>
      </c>
      <c r="AH329" s="225">
        <v>0</v>
      </c>
      <c r="AI329" s="225">
        <v>0</v>
      </c>
      <c r="AJ329" s="225">
        <v>0</v>
      </c>
      <c r="AK329" s="225">
        <v>0</v>
      </c>
      <c r="AL329" s="225">
        <v>0</v>
      </c>
      <c r="AM329" s="225">
        <v>0</v>
      </c>
      <c r="AN329" s="225">
        <v>0</v>
      </c>
      <c r="AO329" s="225">
        <v>0</v>
      </c>
      <c r="AP329" s="225">
        <v>0</v>
      </c>
    </row>
    <row r="330" spans="7:42" ht="14.25" customHeight="1" x14ac:dyDescent="0.2">
      <c r="G330" s="138"/>
      <c r="H330" s="380"/>
      <c r="J330" s="358"/>
      <c r="K330" s="135" t="s">
        <v>248</v>
      </c>
      <c r="L330" s="185" t="s">
        <v>277</v>
      </c>
      <c r="M330" s="226">
        <v>0</v>
      </c>
      <c r="N330" s="226">
        <v>0</v>
      </c>
      <c r="O330" s="226">
        <v>0</v>
      </c>
      <c r="P330" s="226">
        <v>0</v>
      </c>
      <c r="Q330" s="226">
        <v>0</v>
      </c>
      <c r="R330" s="226">
        <v>0</v>
      </c>
      <c r="S330" s="226">
        <v>0</v>
      </c>
      <c r="T330" s="226">
        <v>0</v>
      </c>
      <c r="U330" s="226">
        <v>0</v>
      </c>
      <c r="V330" s="226">
        <v>0</v>
      </c>
      <c r="W330" s="226">
        <v>0</v>
      </c>
      <c r="X330" s="226">
        <v>0</v>
      </c>
      <c r="Y330" s="226">
        <v>0</v>
      </c>
      <c r="Z330" s="226">
        <v>0</v>
      </c>
      <c r="AA330" s="226">
        <v>0</v>
      </c>
      <c r="AB330" s="226">
        <v>0</v>
      </c>
      <c r="AC330" s="226">
        <v>0</v>
      </c>
      <c r="AD330" s="226">
        <v>0</v>
      </c>
      <c r="AE330" s="226">
        <v>0</v>
      </c>
      <c r="AF330" s="226">
        <v>0</v>
      </c>
      <c r="AG330" s="226">
        <v>0</v>
      </c>
      <c r="AH330" s="226">
        <v>0</v>
      </c>
      <c r="AI330" s="226">
        <v>0</v>
      </c>
      <c r="AJ330" s="226">
        <v>0</v>
      </c>
      <c r="AK330" s="226">
        <v>0</v>
      </c>
      <c r="AL330" s="226">
        <v>0</v>
      </c>
      <c r="AM330" s="226">
        <v>0</v>
      </c>
      <c r="AN330" s="226">
        <v>0</v>
      </c>
      <c r="AO330" s="226">
        <v>0</v>
      </c>
      <c r="AP330" s="226">
        <v>0</v>
      </c>
    </row>
    <row r="331" spans="7:42" ht="14.25" customHeight="1" thickBot="1" x14ac:dyDescent="0.25">
      <c r="G331" s="138"/>
      <c r="H331" s="380"/>
      <c r="J331" s="358"/>
      <c r="K331" s="196" t="s">
        <v>248</v>
      </c>
      <c r="L331" s="196" t="s">
        <v>278</v>
      </c>
      <c r="M331" s="227">
        <v>0</v>
      </c>
      <c r="N331" s="227">
        <v>0</v>
      </c>
      <c r="O331" s="227">
        <v>0</v>
      </c>
      <c r="P331" s="227">
        <v>0</v>
      </c>
      <c r="Q331" s="227">
        <v>0</v>
      </c>
      <c r="R331" s="227">
        <v>0</v>
      </c>
      <c r="S331" s="227">
        <v>0</v>
      </c>
      <c r="T331" s="227">
        <v>0</v>
      </c>
      <c r="U331" s="227">
        <v>0</v>
      </c>
      <c r="V331" s="227">
        <v>0</v>
      </c>
      <c r="W331" s="227">
        <v>0</v>
      </c>
      <c r="X331" s="227">
        <v>0</v>
      </c>
      <c r="Y331" s="227">
        <v>0</v>
      </c>
      <c r="Z331" s="227">
        <v>0</v>
      </c>
      <c r="AA331" s="227">
        <v>0</v>
      </c>
      <c r="AB331" s="227">
        <v>0</v>
      </c>
      <c r="AC331" s="227">
        <v>0</v>
      </c>
      <c r="AD331" s="227">
        <v>0</v>
      </c>
      <c r="AE331" s="227">
        <v>0</v>
      </c>
      <c r="AF331" s="227">
        <v>0</v>
      </c>
      <c r="AG331" s="227">
        <v>0</v>
      </c>
      <c r="AH331" s="227">
        <v>0</v>
      </c>
      <c r="AI331" s="227">
        <v>0</v>
      </c>
      <c r="AJ331" s="227">
        <v>0</v>
      </c>
      <c r="AK331" s="227">
        <v>0</v>
      </c>
      <c r="AL331" s="227">
        <v>0</v>
      </c>
      <c r="AM331" s="227">
        <v>0</v>
      </c>
      <c r="AN331" s="227">
        <v>0</v>
      </c>
      <c r="AO331" s="227">
        <v>0</v>
      </c>
      <c r="AP331" s="227">
        <v>0</v>
      </c>
    </row>
    <row r="332" spans="7:42" ht="14.25" customHeight="1" thickTop="1" x14ac:dyDescent="0.2">
      <c r="G332" s="138"/>
      <c r="H332" s="380"/>
      <c r="J332" s="358"/>
      <c r="K332" s="194" t="s">
        <v>250</v>
      </c>
      <c r="L332" s="194" t="s">
        <v>276</v>
      </c>
      <c r="M332" s="228">
        <v>0</v>
      </c>
      <c r="N332" s="228">
        <v>0</v>
      </c>
      <c r="O332" s="228">
        <v>0</v>
      </c>
      <c r="P332" s="228">
        <v>0</v>
      </c>
      <c r="Q332" s="228">
        <v>0</v>
      </c>
      <c r="R332" s="228">
        <v>0</v>
      </c>
      <c r="S332" s="228">
        <v>0</v>
      </c>
      <c r="T332" s="228">
        <v>0</v>
      </c>
      <c r="U332" s="228">
        <v>0</v>
      </c>
      <c r="V332" s="228">
        <v>0</v>
      </c>
      <c r="W332" s="228">
        <v>0</v>
      </c>
      <c r="X332" s="228">
        <v>0</v>
      </c>
      <c r="Y332" s="228">
        <v>0</v>
      </c>
      <c r="Z332" s="228">
        <v>0</v>
      </c>
      <c r="AA332" s="228">
        <v>0</v>
      </c>
      <c r="AB332" s="228">
        <v>0</v>
      </c>
      <c r="AC332" s="228">
        <v>0</v>
      </c>
      <c r="AD332" s="228">
        <v>0</v>
      </c>
      <c r="AE332" s="228">
        <v>0</v>
      </c>
      <c r="AF332" s="228">
        <v>0</v>
      </c>
      <c r="AG332" s="228">
        <v>0</v>
      </c>
      <c r="AH332" s="228">
        <v>0</v>
      </c>
      <c r="AI332" s="228">
        <v>0</v>
      </c>
      <c r="AJ332" s="228">
        <v>0</v>
      </c>
      <c r="AK332" s="228">
        <v>0</v>
      </c>
      <c r="AL332" s="228">
        <v>0</v>
      </c>
      <c r="AM332" s="228">
        <v>0</v>
      </c>
      <c r="AN332" s="228">
        <v>0</v>
      </c>
      <c r="AO332" s="228">
        <v>0</v>
      </c>
      <c r="AP332" s="228">
        <v>0</v>
      </c>
    </row>
    <row r="333" spans="7:42" ht="14.25" customHeight="1" x14ac:dyDescent="0.2">
      <c r="G333" s="138"/>
      <c r="H333" s="380"/>
      <c r="J333" s="358"/>
      <c r="K333" s="135" t="s">
        <v>250</v>
      </c>
      <c r="L333" s="185" t="s">
        <v>277</v>
      </c>
      <c r="M333" s="226">
        <v>0</v>
      </c>
      <c r="N333" s="226">
        <v>0</v>
      </c>
      <c r="O333" s="226">
        <v>0</v>
      </c>
      <c r="P333" s="226">
        <v>0</v>
      </c>
      <c r="Q333" s="226">
        <v>0</v>
      </c>
      <c r="R333" s="226">
        <v>0</v>
      </c>
      <c r="S333" s="226">
        <v>0</v>
      </c>
      <c r="T333" s="226">
        <v>0</v>
      </c>
      <c r="U333" s="226">
        <v>0</v>
      </c>
      <c r="V333" s="226">
        <v>0</v>
      </c>
      <c r="W333" s="226">
        <v>0</v>
      </c>
      <c r="X333" s="226">
        <v>0</v>
      </c>
      <c r="Y333" s="226">
        <v>0</v>
      </c>
      <c r="Z333" s="226">
        <v>0</v>
      </c>
      <c r="AA333" s="226">
        <v>0</v>
      </c>
      <c r="AB333" s="226">
        <v>0</v>
      </c>
      <c r="AC333" s="226">
        <v>0</v>
      </c>
      <c r="AD333" s="226">
        <v>0</v>
      </c>
      <c r="AE333" s="226">
        <v>0</v>
      </c>
      <c r="AF333" s="226">
        <v>0</v>
      </c>
      <c r="AG333" s="226">
        <v>0</v>
      </c>
      <c r="AH333" s="226">
        <v>0</v>
      </c>
      <c r="AI333" s="226">
        <v>0</v>
      </c>
      <c r="AJ333" s="226">
        <v>0</v>
      </c>
      <c r="AK333" s="226">
        <v>0</v>
      </c>
      <c r="AL333" s="226">
        <v>0</v>
      </c>
      <c r="AM333" s="226">
        <v>0</v>
      </c>
      <c r="AN333" s="226">
        <v>0</v>
      </c>
      <c r="AO333" s="226">
        <v>0</v>
      </c>
      <c r="AP333" s="226">
        <v>0</v>
      </c>
    </row>
    <row r="334" spans="7:42" ht="14.25" customHeight="1" thickBot="1" x14ac:dyDescent="0.25">
      <c r="G334" s="138"/>
      <c r="H334" s="380"/>
      <c r="J334" s="358"/>
      <c r="K334" s="196" t="s">
        <v>250</v>
      </c>
      <c r="L334" s="196" t="s">
        <v>278</v>
      </c>
      <c r="M334" s="227">
        <v>0</v>
      </c>
      <c r="N334" s="227">
        <v>0</v>
      </c>
      <c r="O334" s="227">
        <v>0</v>
      </c>
      <c r="P334" s="227">
        <v>0</v>
      </c>
      <c r="Q334" s="227">
        <v>0</v>
      </c>
      <c r="R334" s="227">
        <v>0</v>
      </c>
      <c r="S334" s="227">
        <v>0</v>
      </c>
      <c r="T334" s="227">
        <v>0</v>
      </c>
      <c r="U334" s="227">
        <v>0</v>
      </c>
      <c r="V334" s="227">
        <v>0</v>
      </c>
      <c r="W334" s="227">
        <v>0</v>
      </c>
      <c r="X334" s="227">
        <v>0</v>
      </c>
      <c r="Y334" s="227">
        <v>0</v>
      </c>
      <c r="Z334" s="227">
        <v>0</v>
      </c>
      <c r="AA334" s="227">
        <v>0</v>
      </c>
      <c r="AB334" s="227">
        <v>0</v>
      </c>
      <c r="AC334" s="227">
        <v>0</v>
      </c>
      <c r="AD334" s="227">
        <v>0</v>
      </c>
      <c r="AE334" s="227">
        <v>0</v>
      </c>
      <c r="AF334" s="227">
        <v>0</v>
      </c>
      <c r="AG334" s="227">
        <v>0</v>
      </c>
      <c r="AH334" s="227">
        <v>0</v>
      </c>
      <c r="AI334" s="227">
        <v>0</v>
      </c>
      <c r="AJ334" s="227">
        <v>0</v>
      </c>
      <c r="AK334" s="227">
        <v>0</v>
      </c>
      <c r="AL334" s="227">
        <v>0</v>
      </c>
      <c r="AM334" s="227">
        <v>0</v>
      </c>
      <c r="AN334" s="227">
        <v>0</v>
      </c>
      <c r="AO334" s="227">
        <v>0</v>
      </c>
      <c r="AP334" s="227">
        <v>0</v>
      </c>
    </row>
    <row r="335" spans="7:42" ht="14.25" customHeight="1" thickTop="1" x14ac:dyDescent="0.2">
      <c r="G335" s="138"/>
      <c r="H335" s="380"/>
      <c r="J335" s="358"/>
      <c r="K335" s="194" t="s">
        <v>252</v>
      </c>
      <c r="L335" s="194" t="s">
        <v>276</v>
      </c>
      <c r="M335" s="228">
        <v>0</v>
      </c>
      <c r="N335" s="228">
        <v>0</v>
      </c>
      <c r="O335" s="228">
        <v>0</v>
      </c>
      <c r="P335" s="228">
        <v>0</v>
      </c>
      <c r="Q335" s="228">
        <v>0</v>
      </c>
      <c r="R335" s="228">
        <v>0</v>
      </c>
      <c r="S335" s="228">
        <v>0</v>
      </c>
      <c r="T335" s="228">
        <v>0</v>
      </c>
      <c r="U335" s="228">
        <v>0</v>
      </c>
      <c r="V335" s="228">
        <v>0</v>
      </c>
      <c r="W335" s="228">
        <v>0</v>
      </c>
      <c r="X335" s="228">
        <v>0</v>
      </c>
      <c r="Y335" s="228">
        <v>0</v>
      </c>
      <c r="Z335" s="228">
        <v>0</v>
      </c>
      <c r="AA335" s="228">
        <v>0</v>
      </c>
      <c r="AB335" s="228">
        <v>0</v>
      </c>
      <c r="AC335" s="228">
        <v>0</v>
      </c>
      <c r="AD335" s="228">
        <v>0</v>
      </c>
      <c r="AE335" s="228">
        <v>0</v>
      </c>
      <c r="AF335" s="228">
        <v>0</v>
      </c>
      <c r="AG335" s="228">
        <v>0</v>
      </c>
      <c r="AH335" s="228">
        <v>0</v>
      </c>
      <c r="AI335" s="228">
        <v>0</v>
      </c>
      <c r="AJ335" s="228">
        <v>0</v>
      </c>
      <c r="AK335" s="228">
        <v>0</v>
      </c>
      <c r="AL335" s="228">
        <v>0</v>
      </c>
      <c r="AM335" s="228">
        <v>0</v>
      </c>
      <c r="AN335" s="228">
        <v>0</v>
      </c>
      <c r="AO335" s="228">
        <v>0</v>
      </c>
      <c r="AP335" s="228">
        <v>0</v>
      </c>
    </row>
    <row r="336" spans="7:42" ht="14.25" customHeight="1" x14ac:dyDescent="0.2">
      <c r="G336" s="138"/>
      <c r="H336" s="380"/>
      <c r="J336" s="358"/>
      <c r="K336" s="135" t="s">
        <v>252</v>
      </c>
      <c r="L336" s="185" t="s">
        <v>277</v>
      </c>
      <c r="M336" s="226">
        <v>0</v>
      </c>
      <c r="N336" s="226">
        <v>0</v>
      </c>
      <c r="O336" s="226">
        <v>0</v>
      </c>
      <c r="P336" s="226">
        <v>0</v>
      </c>
      <c r="Q336" s="226">
        <v>0</v>
      </c>
      <c r="R336" s="226">
        <v>0</v>
      </c>
      <c r="S336" s="226">
        <v>0</v>
      </c>
      <c r="T336" s="226">
        <v>0</v>
      </c>
      <c r="U336" s="226">
        <v>0</v>
      </c>
      <c r="V336" s="226">
        <v>0</v>
      </c>
      <c r="W336" s="226">
        <v>0</v>
      </c>
      <c r="X336" s="226">
        <v>0</v>
      </c>
      <c r="Y336" s="226">
        <v>0</v>
      </c>
      <c r="Z336" s="226">
        <v>0</v>
      </c>
      <c r="AA336" s="226">
        <v>0</v>
      </c>
      <c r="AB336" s="226">
        <v>0</v>
      </c>
      <c r="AC336" s="226">
        <v>0</v>
      </c>
      <c r="AD336" s="226">
        <v>0</v>
      </c>
      <c r="AE336" s="226">
        <v>0</v>
      </c>
      <c r="AF336" s="226">
        <v>0</v>
      </c>
      <c r="AG336" s="226">
        <v>0</v>
      </c>
      <c r="AH336" s="226">
        <v>0</v>
      </c>
      <c r="AI336" s="226">
        <v>0</v>
      </c>
      <c r="AJ336" s="226">
        <v>0</v>
      </c>
      <c r="AK336" s="226">
        <v>0</v>
      </c>
      <c r="AL336" s="226">
        <v>0</v>
      </c>
      <c r="AM336" s="226">
        <v>0</v>
      </c>
      <c r="AN336" s="226">
        <v>0</v>
      </c>
      <c r="AO336" s="226">
        <v>0</v>
      </c>
      <c r="AP336" s="226">
        <v>0</v>
      </c>
    </row>
    <row r="337" spans="7:42" ht="14.25" customHeight="1" thickBot="1" x14ac:dyDescent="0.25">
      <c r="G337" s="138"/>
      <c r="H337" s="380"/>
      <c r="J337" s="358"/>
      <c r="K337" s="196" t="s">
        <v>252</v>
      </c>
      <c r="L337" s="196" t="s">
        <v>278</v>
      </c>
      <c r="M337" s="229">
        <v>0</v>
      </c>
      <c r="N337" s="229">
        <v>0</v>
      </c>
      <c r="O337" s="229">
        <v>0</v>
      </c>
      <c r="P337" s="229">
        <v>0</v>
      </c>
      <c r="Q337" s="229">
        <v>0</v>
      </c>
      <c r="R337" s="229">
        <v>0</v>
      </c>
      <c r="S337" s="229">
        <v>0</v>
      </c>
      <c r="T337" s="229">
        <v>0</v>
      </c>
      <c r="U337" s="229">
        <v>0</v>
      </c>
      <c r="V337" s="229">
        <v>0</v>
      </c>
      <c r="W337" s="229">
        <v>0</v>
      </c>
      <c r="X337" s="229">
        <v>0</v>
      </c>
      <c r="Y337" s="229">
        <v>0</v>
      </c>
      <c r="Z337" s="229">
        <v>0</v>
      </c>
      <c r="AA337" s="229">
        <v>0</v>
      </c>
      <c r="AB337" s="229">
        <v>0</v>
      </c>
      <c r="AC337" s="229">
        <v>0</v>
      </c>
      <c r="AD337" s="229">
        <v>0</v>
      </c>
      <c r="AE337" s="229">
        <v>0</v>
      </c>
      <c r="AF337" s="229">
        <v>0</v>
      </c>
      <c r="AG337" s="229">
        <v>0</v>
      </c>
      <c r="AH337" s="229">
        <v>0</v>
      </c>
      <c r="AI337" s="229">
        <v>0</v>
      </c>
      <c r="AJ337" s="229">
        <v>0</v>
      </c>
      <c r="AK337" s="229">
        <v>0</v>
      </c>
      <c r="AL337" s="229">
        <v>0</v>
      </c>
      <c r="AM337" s="229">
        <v>0</v>
      </c>
      <c r="AN337" s="229">
        <v>0</v>
      </c>
      <c r="AO337" s="229">
        <v>0</v>
      </c>
      <c r="AP337" s="229">
        <v>0</v>
      </c>
    </row>
    <row r="338" spans="7:42" ht="14.25" customHeight="1" thickTop="1" x14ac:dyDescent="0.2">
      <c r="G338" s="138"/>
      <c r="H338" s="380"/>
      <c r="J338" s="358"/>
      <c r="K338" s="194" t="s">
        <v>254</v>
      </c>
      <c r="L338" s="194" t="s">
        <v>276</v>
      </c>
      <c r="M338" s="228">
        <v>0</v>
      </c>
      <c r="N338" s="228">
        <v>0</v>
      </c>
      <c r="O338" s="228">
        <v>0</v>
      </c>
      <c r="P338" s="228">
        <v>0</v>
      </c>
      <c r="Q338" s="228">
        <v>0</v>
      </c>
      <c r="R338" s="228">
        <v>0</v>
      </c>
      <c r="S338" s="228">
        <v>0</v>
      </c>
      <c r="T338" s="228">
        <v>0</v>
      </c>
      <c r="U338" s="228">
        <v>0</v>
      </c>
      <c r="V338" s="228">
        <v>0</v>
      </c>
      <c r="W338" s="228">
        <v>0</v>
      </c>
      <c r="X338" s="228">
        <v>0</v>
      </c>
      <c r="Y338" s="228">
        <v>0</v>
      </c>
      <c r="Z338" s="228">
        <v>0</v>
      </c>
      <c r="AA338" s="228">
        <v>0</v>
      </c>
      <c r="AB338" s="228">
        <v>0</v>
      </c>
      <c r="AC338" s="228">
        <v>0</v>
      </c>
      <c r="AD338" s="228">
        <v>0</v>
      </c>
      <c r="AE338" s="228">
        <v>0</v>
      </c>
      <c r="AF338" s="228">
        <v>0</v>
      </c>
      <c r="AG338" s="228">
        <v>0</v>
      </c>
      <c r="AH338" s="228">
        <v>0</v>
      </c>
      <c r="AI338" s="228">
        <v>0</v>
      </c>
      <c r="AJ338" s="228">
        <v>0</v>
      </c>
      <c r="AK338" s="228">
        <v>0</v>
      </c>
      <c r="AL338" s="228">
        <v>0</v>
      </c>
      <c r="AM338" s="228">
        <v>0</v>
      </c>
      <c r="AN338" s="228">
        <v>0</v>
      </c>
      <c r="AO338" s="228">
        <v>0</v>
      </c>
      <c r="AP338" s="228">
        <v>0</v>
      </c>
    </row>
    <row r="339" spans="7:42" ht="14.25" customHeight="1" x14ac:dyDescent="0.2">
      <c r="G339" s="138"/>
      <c r="H339" s="380"/>
      <c r="J339" s="358"/>
      <c r="K339" s="135" t="s">
        <v>254</v>
      </c>
      <c r="L339" s="185" t="s">
        <v>277</v>
      </c>
      <c r="M339" s="226">
        <v>0</v>
      </c>
      <c r="N339" s="226">
        <v>0</v>
      </c>
      <c r="O339" s="226">
        <v>0</v>
      </c>
      <c r="P339" s="226">
        <v>0</v>
      </c>
      <c r="Q339" s="226">
        <v>0</v>
      </c>
      <c r="R339" s="226">
        <v>0</v>
      </c>
      <c r="S339" s="226">
        <v>0</v>
      </c>
      <c r="T339" s="226">
        <v>0</v>
      </c>
      <c r="U339" s="226">
        <v>0</v>
      </c>
      <c r="V339" s="226">
        <v>0</v>
      </c>
      <c r="W339" s="226">
        <v>0</v>
      </c>
      <c r="X339" s="226">
        <v>0</v>
      </c>
      <c r="Y339" s="226">
        <v>0</v>
      </c>
      <c r="Z339" s="226">
        <v>0</v>
      </c>
      <c r="AA339" s="226">
        <v>0</v>
      </c>
      <c r="AB339" s="226">
        <v>0</v>
      </c>
      <c r="AC339" s="226">
        <v>0</v>
      </c>
      <c r="AD339" s="226">
        <v>0</v>
      </c>
      <c r="AE339" s="226">
        <v>0</v>
      </c>
      <c r="AF339" s="226">
        <v>0</v>
      </c>
      <c r="AG339" s="226">
        <v>0</v>
      </c>
      <c r="AH339" s="226">
        <v>0</v>
      </c>
      <c r="AI339" s="226">
        <v>0</v>
      </c>
      <c r="AJ339" s="226">
        <v>0</v>
      </c>
      <c r="AK339" s="226">
        <v>0</v>
      </c>
      <c r="AL339" s="226">
        <v>0</v>
      </c>
      <c r="AM339" s="226">
        <v>0</v>
      </c>
      <c r="AN339" s="226">
        <v>0</v>
      </c>
      <c r="AO339" s="226">
        <v>0</v>
      </c>
      <c r="AP339" s="226">
        <v>0</v>
      </c>
    </row>
    <row r="340" spans="7:42" ht="14.25" customHeight="1" thickBot="1" x14ac:dyDescent="0.25">
      <c r="G340" s="138"/>
      <c r="H340" s="380"/>
      <c r="J340" s="358"/>
      <c r="K340" s="196" t="s">
        <v>254</v>
      </c>
      <c r="L340" s="196" t="s">
        <v>278</v>
      </c>
      <c r="M340" s="229">
        <v>0</v>
      </c>
      <c r="N340" s="229">
        <v>0</v>
      </c>
      <c r="O340" s="229">
        <v>0</v>
      </c>
      <c r="P340" s="229">
        <v>0</v>
      </c>
      <c r="Q340" s="229">
        <v>0</v>
      </c>
      <c r="R340" s="229">
        <v>0</v>
      </c>
      <c r="S340" s="229">
        <v>0</v>
      </c>
      <c r="T340" s="229">
        <v>0</v>
      </c>
      <c r="U340" s="229">
        <v>0</v>
      </c>
      <c r="V340" s="229">
        <v>0</v>
      </c>
      <c r="W340" s="229">
        <v>0</v>
      </c>
      <c r="X340" s="229">
        <v>0</v>
      </c>
      <c r="Y340" s="229">
        <v>0</v>
      </c>
      <c r="Z340" s="229">
        <v>0</v>
      </c>
      <c r="AA340" s="229">
        <v>0</v>
      </c>
      <c r="AB340" s="229">
        <v>0</v>
      </c>
      <c r="AC340" s="229">
        <v>0</v>
      </c>
      <c r="AD340" s="229">
        <v>0</v>
      </c>
      <c r="AE340" s="229">
        <v>0</v>
      </c>
      <c r="AF340" s="229">
        <v>0</v>
      </c>
      <c r="AG340" s="229">
        <v>0</v>
      </c>
      <c r="AH340" s="229">
        <v>0</v>
      </c>
      <c r="AI340" s="229">
        <v>0</v>
      </c>
      <c r="AJ340" s="229">
        <v>0</v>
      </c>
      <c r="AK340" s="229">
        <v>0</v>
      </c>
      <c r="AL340" s="229">
        <v>0</v>
      </c>
      <c r="AM340" s="229">
        <v>0</v>
      </c>
      <c r="AN340" s="229">
        <v>0</v>
      </c>
      <c r="AO340" s="229">
        <v>0</v>
      </c>
      <c r="AP340" s="229">
        <v>0</v>
      </c>
    </row>
    <row r="341" spans="7:42" ht="14.25" customHeight="1" thickTop="1" x14ac:dyDescent="0.2">
      <c r="G341" s="138"/>
      <c r="H341" s="380"/>
      <c r="J341" s="358"/>
      <c r="K341" s="194" t="s">
        <v>256</v>
      </c>
      <c r="L341" s="194" t="s">
        <v>276</v>
      </c>
      <c r="M341" s="228">
        <v>0</v>
      </c>
      <c r="N341" s="228">
        <v>0</v>
      </c>
      <c r="O341" s="228">
        <v>0</v>
      </c>
      <c r="P341" s="228">
        <v>0</v>
      </c>
      <c r="Q341" s="228">
        <v>0</v>
      </c>
      <c r="R341" s="228">
        <v>0</v>
      </c>
      <c r="S341" s="228">
        <v>0</v>
      </c>
      <c r="T341" s="228">
        <v>0</v>
      </c>
      <c r="U341" s="228">
        <v>0</v>
      </c>
      <c r="V341" s="228">
        <v>0</v>
      </c>
      <c r="W341" s="228">
        <v>0</v>
      </c>
      <c r="X341" s="228">
        <v>0</v>
      </c>
      <c r="Y341" s="228">
        <v>0</v>
      </c>
      <c r="Z341" s="228">
        <v>0</v>
      </c>
      <c r="AA341" s="228">
        <v>0</v>
      </c>
      <c r="AB341" s="228">
        <v>0</v>
      </c>
      <c r="AC341" s="228">
        <v>0</v>
      </c>
      <c r="AD341" s="228">
        <v>0</v>
      </c>
      <c r="AE341" s="228">
        <v>0</v>
      </c>
      <c r="AF341" s="228">
        <v>0</v>
      </c>
      <c r="AG341" s="228">
        <v>0</v>
      </c>
      <c r="AH341" s="228">
        <v>0</v>
      </c>
      <c r="AI341" s="228">
        <v>0</v>
      </c>
      <c r="AJ341" s="228">
        <v>0</v>
      </c>
      <c r="AK341" s="228">
        <v>0</v>
      </c>
      <c r="AL341" s="228">
        <v>0</v>
      </c>
      <c r="AM341" s="228">
        <v>0</v>
      </c>
      <c r="AN341" s="228">
        <v>0</v>
      </c>
      <c r="AO341" s="228">
        <v>0</v>
      </c>
      <c r="AP341" s="228">
        <v>0</v>
      </c>
    </row>
    <row r="342" spans="7:42" ht="14.25" customHeight="1" x14ac:dyDescent="0.2">
      <c r="G342" s="138"/>
      <c r="H342" s="380"/>
      <c r="J342" s="358"/>
      <c r="K342" s="135" t="s">
        <v>256</v>
      </c>
      <c r="L342" s="185" t="s">
        <v>277</v>
      </c>
      <c r="M342" s="226">
        <v>0</v>
      </c>
      <c r="N342" s="226">
        <v>0</v>
      </c>
      <c r="O342" s="226">
        <v>0</v>
      </c>
      <c r="P342" s="226">
        <v>0</v>
      </c>
      <c r="Q342" s="226">
        <v>0</v>
      </c>
      <c r="R342" s="226">
        <v>0</v>
      </c>
      <c r="S342" s="226">
        <v>0</v>
      </c>
      <c r="T342" s="226">
        <v>0</v>
      </c>
      <c r="U342" s="226">
        <v>0</v>
      </c>
      <c r="V342" s="226">
        <v>0</v>
      </c>
      <c r="W342" s="226">
        <v>0</v>
      </c>
      <c r="X342" s="226">
        <v>0</v>
      </c>
      <c r="Y342" s="226">
        <v>0</v>
      </c>
      <c r="Z342" s="226">
        <v>0</v>
      </c>
      <c r="AA342" s="226">
        <v>0</v>
      </c>
      <c r="AB342" s="226">
        <v>0</v>
      </c>
      <c r="AC342" s="226">
        <v>0</v>
      </c>
      <c r="AD342" s="226">
        <v>0</v>
      </c>
      <c r="AE342" s="226">
        <v>0</v>
      </c>
      <c r="AF342" s="226">
        <v>0</v>
      </c>
      <c r="AG342" s="226">
        <v>0</v>
      </c>
      <c r="AH342" s="226">
        <v>0</v>
      </c>
      <c r="AI342" s="226">
        <v>0</v>
      </c>
      <c r="AJ342" s="226">
        <v>0</v>
      </c>
      <c r="AK342" s="226">
        <v>0</v>
      </c>
      <c r="AL342" s="226">
        <v>0</v>
      </c>
      <c r="AM342" s="226">
        <v>0</v>
      </c>
      <c r="AN342" s="226">
        <v>0</v>
      </c>
      <c r="AO342" s="226">
        <v>0</v>
      </c>
      <c r="AP342" s="226">
        <v>0</v>
      </c>
    </row>
    <row r="343" spans="7:42" ht="14.25" customHeight="1" x14ac:dyDescent="0.2">
      <c r="G343" s="138"/>
      <c r="H343" s="380"/>
      <c r="J343" s="368"/>
      <c r="K343" s="196" t="s">
        <v>256</v>
      </c>
      <c r="L343" s="196" t="s">
        <v>278</v>
      </c>
      <c r="M343" s="229">
        <v>0</v>
      </c>
      <c r="N343" s="229">
        <v>0</v>
      </c>
      <c r="O343" s="229">
        <v>0</v>
      </c>
      <c r="P343" s="229">
        <v>0</v>
      </c>
      <c r="Q343" s="229">
        <v>0</v>
      </c>
      <c r="R343" s="229">
        <v>0</v>
      </c>
      <c r="S343" s="229">
        <v>0</v>
      </c>
      <c r="T343" s="229">
        <v>0</v>
      </c>
      <c r="U343" s="229">
        <v>0</v>
      </c>
      <c r="V343" s="229">
        <v>0</v>
      </c>
      <c r="W343" s="229">
        <v>0</v>
      </c>
      <c r="X343" s="229">
        <v>0</v>
      </c>
      <c r="Y343" s="229">
        <v>0</v>
      </c>
      <c r="Z343" s="229">
        <v>0</v>
      </c>
      <c r="AA343" s="229">
        <v>0</v>
      </c>
      <c r="AB343" s="229">
        <v>0</v>
      </c>
      <c r="AC343" s="229">
        <v>0</v>
      </c>
      <c r="AD343" s="229">
        <v>0</v>
      </c>
      <c r="AE343" s="229">
        <v>0</v>
      </c>
      <c r="AF343" s="229">
        <v>0</v>
      </c>
      <c r="AG343" s="229">
        <v>0</v>
      </c>
      <c r="AH343" s="229">
        <v>0</v>
      </c>
      <c r="AI343" s="229">
        <v>0</v>
      </c>
      <c r="AJ343" s="229">
        <v>0</v>
      </c>
      <c r="AK343" s="229">
        <v>0</v>
      </c>
      <c r="AL343" s="229">
        <v>0</v>
      </c>
      <c r="AM343" s="229">
        <v>0</v>
      </c>
      <c r="AN343" s="229">
        <v>0</v>
      </c>
      <c r="AO343" s="229">
        <v>0</v>
      </c>
      <c r="AP343" s="229">
        <v>0</v>
      </c>
    </row>
    <row r="344" spans="7:42" ht="14.25" customHeight="1" thickBot="1" x14ac:dyDescent="0.25">
      <c r="G344" s="138"/>
      <c r="H344" s="230"/>
      <c r="I344" s="230"/>
      <c r="J344" s="230"/>
      <c r="K344" s="230"/>
      <c r="L344" s="230"/>
      <c r="M344" s="230"/>
      <c r="N344" s="230"/>
      <c r="O344" s="230"/>
      <c r="P344" s="230"/>
      <c r="Q344" s="230"/>
      <c r="R344" s="230"/>
      <c r="S344" s="230"/>
      <c r="T344" s="230"/>
      <c r="U344" s="230"/>
      <c r="V344" s="230"/>
      <c r="W344" s="230"/>
      <c r="X344" s="230"/>
      <c r="Y344" s="230"/>
      <c r="Z344" s="230"/>
      <c r="AA344" s="230"/>
      <c r="AB344" s="230"/>
      <c r="AC344" s="230"/>
      <c r="AD344" s="230"/>
      <c r="AE344" s="230"/>
      <c r="AF344" s="230"/>
      <c r="AG344" s="230"/>
      <c r="AH344" s="230"/>
      <c r="AI344" s="230"/>
      <c r="AJ344" s="230"/>
      <c r="AK344" s="230"/>
      <c r="AL344" s="230"/>
      <c r="AM344" s="230"/>
      <c r="AN344" s="230"/>
      <c r="AO344" s="230"/>
      <c r="AP344" s="230"/>
    </row>
    <row r="345" spans="7:42" ht="14.25" customHeight="1" x14ac:dyDescent="0.2">
      <c r="G345" s="138"/>
      <c r="H345" s="231"/>
      <c r="I345" s="231"/>
      <c r="J345" s="231"/>
      <c r="K345" s="231"/>
      <c r="L345" s="231"/>
      <c r="M345" s="231"/>
      <c r="N345" s="231"/>
      <c r="O345" s="231"/>
      <c r="P345" s="231"/>
      <c r="Q345" s="231"/>
      <c r="R345" s="231"/>
      <c r="S345" s="231"/>
      <c r="T345" s="231"/>
      <c r="U345" s="231"/>
      <c r="V345" s="231"/>
      <c r="W345" s="231"/>
      <c r="X345" s="231"/>
      <c r="Y345" s="231"/>
      <c r="Z345" s="231"/>
      <c r="AA345" s="231"/>
      <c r="AB345" s="231"/>
      <c r="AC345" s="231"/>
      <c r="AD345" s="231"/>
      <c r="AE345" s="231"/>
      <c r="AF345" s="231"/>
      <c r="AG345" s="231"/>
      <c r="AH345" s="231"/>
      <c r="AI345" s="231"/>
      <c r="AJ345" s="231"/>
      <c r="AK345" s="231"/>
      <c r="AL345" s="231"/>
      <c r="AM345" s="231"/>
      <c r="AN345" s="231"/>
      <c r="AO345" s="231"/>
      <c r="AP345" s="231"/>
    </row>
    <row r="346" spans="7:42" ht="14.25" customHeight="1" x14ac:dyDescent="0.2">
      <c r="G346" s="138"/>
      <c r="M346" s="123">
        <v>2021</v>
      </c>
      <c r="N346" s="123">
        <v>2022</v>
      </c>
      <c r="O346" s="123">
        <v>2023</v>
      </c>
      <c r="P346" s="123">
        <v>2024</v>
      </c>
      <c r="Q346" s="123">
        <v>2025</v>
      </c>
      <c r="R346" s="123">
        <v>2026</v>
      </c>
      <c r="S346" s="123">
        <v>2027</v>
      </c>
      <c r="T346" s="123">
        <v>2028</v>
      </c>
      <c r="U346" s="123">
        <v>2029</v>
      </c>
      <c r="V346" s="123">
        <v>2030</v>
      </c>
      <c r="W346" s="123">
        <v>2031</v>
      </c>
      <c r="X346" s="123">
        <v>2032</v>
      </c>
      <c r="Y346" s="123">
        <v>2033</v>
      </c>
      <c r="Z346" s="123">
        <v>2034</v>
      </c>
      <c r="AA346" s="123">
        <v>2035</v>
      </c>
      <c r="AB346" s="123">
        <v>2036</v>
      </c>
      <c r="AC346" s="123">
        <v>2037</v>
      </c>
      <c r="AD346" s="123">
        <v>2038</v>
      </c>
      <c r="AE346" s="123">
        <v>2039</v>
      </c>
      <c r="AF346" s="123">
        <v>2040</v>
      </c>
      <c r="AG346" s="123">
        <v>2041</v>
      </c>
      <c r="AH346" s="123">
        <v>2042</v>
      </c>
      <c r="AI346" s="123">
        <v>2043</v>
      </c>
      <c r="AJ346" s="123">
        <v>2044</v>
      </c>
      <c r="AK346" s="123">
        <v>2045</v>
      </c>
      <c r="AL346" s="123">
        <v>2046</v>
      </c>
      <c r="AM346" s="123">
        <v>2047</v>
      </c>
      <c r="AN346" s="123">
        <v>2048</v>
      </c>
      <c r="AO346" s="123">
        <v>2049</v>
      </c>
      <c r="AP346" s="123">
        <v>2050</v>
      </c>
    </row>
    <row r="347" spans="7:42" ht="14.25" customHeight="1" x14ac:dyDescent="0.2">
      <c r="G347" s="138"/>
      <c r="H347" s="426" t="s">
        <v>302</v>
      </c>
      <c r="J347" s="419" t="s">
        <v>303</v>
      </c>
      <c r="K347" s="194" t="s">
        <v>235</v>
      </c>
      <c r="L347" s="194" t="s">
        <v>276</v>
      </c>
      <c r="M347" s="212">
        <v>29.91568484364419</v>
      </c>
      <c r="N347" s="212">
        <v>31.149639699109581</v>
      </c>
      <c r="O347" s="212">
        <v>21.35962084531424</v>
      </c>
      <c r="P347" s="212">
        <v>19.522664825530139</v>
      </c>
      <c r="Q347" s="212">
        <v>17.633475128490719</v>
      </c>
      <c r="R347" s="212">
        <v>15.76085320344321</v>
      </c>
      <c r="S347" s="212">
        <v>13.904079737763549</v>
      </c>
      <c r="T347" s="212">
        <v>12.062410000773619</v>
      </c>
      <c r="U347" s="212">
        <v>10.23506687135349</v>
      </c>
      <c r="V347" s="212">
        <v>8.4212327899212482</v>
      </c>
      <c r="W347" s="212">
        <v>6.6200403563350818</v>
      </c>
      <c r="X347" s="212">
        <v>4.830561223838572</v>
      </c>
      <c r="Y347" s="212">
        <v>3.0517928444404672</v>
      </c>
      <c r="Z347" s="212">
        <v>1.282642494684421</v>
      </c>
      <c r="AA347" s="212">
        <v>-0.4780921592538796</v>
      </c>
      <c r="AB347" s="212">
        <v>-0.74738364413684977</v>
      </c>
      <c r="AC347" s="212">
        <v>-1.015458869036582</v>
      </c>
      <c r="AD347" s="212">
        <v>-1.2823412129599561</v>
      </c>
      <c r="AE347" s="212">
        <v>-1.5480543626378851</v>
      </c>
      <c r="AF347" s="212">
        <v>-1.8126223440993561</v>
      </c>
      <c r="AG347" s="212">
        <v>-2.0760695562958418</v>
      </c>
      <c r="AH347" s="212">
        <v>-2.3384208069520969</v>
      </c>
      <c r="AI347" s="212">
        <v>-2.5997013508531772</v>
      </c>
      <c r="AJ347" s="212">
        <v>2.1902233492898908</v>
      </c>
      <c r="AK347" s="212">
        <v>6.874077650642306</v>
      </c>
      <c r="AL347" s="212">
        <v>16.067674936042081</v>
      </c>
      <c r="AM347" s="212">
        <v>15.82810221556351</v>
      </c>
      <c r="AN347" s="212">
        <v>15.58987596225945</v>
      </c>
      <c r="AO347" s="212">
        <v>15.35298453903888</v>
      </c>
      <c r="AP347" s="212">
        <v>15.11741644831041</v>
      </c>
    </row>
    <row r="348" spans="7:42" ht="14.25" customHeight="1" x14ac:dyDescent="0.2">
      <c r="G348" s="138"/>
      <c r="H348" s="380"/>
      <c r="J348" s="380"/>
      <c r="K348" s="135" t="s">
        <v>235</v>
      </c>
      <c r="L348" s="185" t="s">
        <v>277</v>
      </c>
      <c r="M348" s="213">
        <v>29.91568484364419</v>
      </c>
      <c r="N348" s="213">
        <v>31.194872757697269</v>
      </c>
      <c r="O348" s="213">
        <v>21.950175627295788</v>
      </c>
      <c r="P348" s="213">
        <v>20.634015869000219</v>
      </c>
      <c r="Q348" s="213">
        <v>19.25620535067867</v>
      </c>
      <c r="R348" s="213">
        <v>17.887292566960369</v>
      </c>
      <c r="S348" s="213">
        <v>16.52696166265984</v>
      </c>
      <c r="T348" s="213">
        <v>15.174880145036481</v>
      </c>
      <c r="U348" s="213">
        <v>13.8306956753626</v>
      </c>
      <c r="V348" s="213">
        <v>12.494032288839961</v>
      </c>
      <c r="W348" s="213">
        <v>11.164485909883901</v>
      </c>
      <c r="X348" s="213">
        <v>9.8416189942655876</v>
      </c>
      <c r="Y348" s="213">
        <v>8.5249540829579651</v>
      </c>
      <c r="Z348" s="213">
        <v>7.213965990728525</v>
      </c>
      <c r="AA348" s="213">
        <v>5.9080722699054391</v>
      </c>
      <c r="AB348" s="213">
        <v>5.5023946115710913</v>
      </c>
      <c r="AC348" s="213">
        <v>5.0971844123677528</v>
      </c>
      <c r="AD348" s="213">
        <v>4.6924188029097706</v>
      </c>
      <c r="AE348" s="213">
        <v>4.2880739946610582</v>
      </c>
      <c r="AF348" s="213">
        <v>3.884125221336546</v>
      </c>
      <c r="AG348" s="213">
        <v>3.4805466758753769</v>
      </c>
      <c r="AH348" s="213">
        <v>3.077311442604</v>
      </c>
      <c r="AI348" s="213">
        <v>2.6743914241394928</v>
      </c>
      <c r="AJ348" s="213">
        <v>7.1915153851544034</v>
      </c>
      <c r="AK348" s="213">
        <v>11.60844930000799</v>
      </c>
      <c r="AL348" s="213">
        <v>20.402096514353239</v>
      </c>
      <c r="AM348" s="213">
        <v>20.027982250968261</v>
      </c>
      <c r="AN348" s="213">
        <v>19.654818492904049</v>
      </c>
      <c r="AO348" s="213">
        <v>19.282601636746261</v>
      </c>
      <c r="AP348" s="213">
        <v>18.911328097851541</v>
      </c>
    </row>
    <row r="349" spans="7:42" ht="14.25" customHeight="1" thickBot="1" x14ac:dyDescent="0.25">
      <c r="G349" s="138"/>
      <c r="H349" s="380"/>
      <c r="J349" s="380"/>
      <c r="K349" s="196" t="s">
        <v>235</v>
      </c>
      <c r="L349" s="196" t="s">
        <v>278</v>
      </c>
      <c r="M349" s="214">
        <v>29.91568484364419</v>
      </c>
      <c r="N349" s="214">
        <v>31.316314648021439</v>
      </c>
      <c r="O349" s="214">
        <v>22.928173772287941</v>
      </c>
      <c r="P349" s="214">
        <v>22.414273976325749</v>
      </c>
      <c r="Q349" s="214">
        <v>21.828423240433921</v>
      </c>
      <c r="R349" s="214">
        <v>21.243790624503429</v>
      </c>
      <c r="S349" s="214">
        <v>20.66046243407154</v>
      </c>
      <c r="T349" s="214">
        <v>20.078536719063131</v>
      </c>
      <c r="U349" s="214">
        <v>19.498125145480682</v>
      </c>
      <c r="V349" s="214">
        <v>18.919355243949461</v>
      </c>
      <c r="W349" s="214">
        <v>18.342373125883778</v>
      </c>
      <c r="X349" s="214">
        <v>17.76734678381921</v>
      </c>
      <c r="Y349" s="214">
        <v>17.194470126790669</v>
      </c>
      <c r="Z349" s="214">
        <v>16.623967947724271</v>
      </c>
      <c r="AA349" s="214">
        <v>16.056102082290959</v>
      </c>
      <c r="AB349" s="214">
        <v>15.384143189801501</v>
      </c>
      <c r="AC349" s="214">
        <v>14.716235622873061</v>
      </c>
      <c r="AD349" s="214">
        <v>14.052306557435861</v>
      </c>
      <c r="AE349" s="214">
        <v>13.392282775270109</v>
      </c>
      <c r="AF349" s="214">
        <v>12.73609058137443</v>
      </c>
      <c r="AG349" s="214">
        <v>12.0836557162948</v>
      </c>
      <c r="AH349" s="214">
        <v>11.43490326295281</v>
      </c>
      <c r="AI349" s="214">
        <v>10.78975754741777</v>
      </c>
      <c r="AJ349" s="214">
        <v>14.862412026913651</v>
      </c>
      <c r="AK349" s="214">
        <v>18.847986803756111</v>
      </c>
      <c r="AL349" s="214">
        <v>27.003353676621991</v>
      </c>
      <c r="AM349" s="214">
        <v>26.413591518967269</v>
      </c>
      <c r="AN349" s="214">
        <v>25.827922324395029</v>
      </c>
      <c r="AO349" s="214">
        <v>25.246303651962268</v>
      </c>
      <c r="AP349" s="214">
        <v>24.66869364650023</v>
      </c>
    </row>
    <row r="350" spans="7:42" ht="14.25" customHeight="1" thickTop="1" x14ac:dyDescent="0.2">
      <c r="G350" s="138"/>
      <c r="H350" s="380"/>
      <c r="J350" s="380"/>
      <c r="K350" s="194" t="s">
        <v>240</v>
      </c>
      <c r="L350" s="194" t="s">
        <v>276</v>
      </c>
      <c r="M350" s="212">
        <v>30.922858212251551</v>
      </c>
      <c r="N350" s="212">
        <v>32.201297409627188</v>
      </c>
      <c r="O350" s="212">
        <v>22.783855556922251</v>
      </c>
      <c r="P350" s="212">
        <v>20.88989957633871</v>
      </c>
      <c r="Q350" s="212">
        <v>18.940781147352052</v>
      </c>
      <c r="R350" s="212">
        <v>17.008457841026448</v>
      </c>
      <c r="S350" s="212">
        <v>15.09219948999999</v>
      </c>
      <c r="T350" s="212">
        <v>13.191249580719511</v>
      </c>
      <c r="U350" s="212">
        <v>11.30481810270479</v>
      </c>
      <c r="V350" s="212">
        <v>9.432073292702885</v>
      </c>
      <c r="W350" s="212">
        <v>7.572131987645669</v>
      </c>
      <c r="X350" s="212">
        <v>5.7240482269023687</v>
      </c>
      <c r="Y350" s="212">
        <v>3.8867996469440018</v>
      </c>
      <c r="Z350" s="212">
        <v>2.059271081560567</v>
      </c>
      <c r="AA350" s="212">
        <v>0.2402346059761484</v>
      </c>
      <c r="AB350" s="212">
        <v>-3.976258582573422E-2</v>
      </c>
      <c r="AC350" s="212">
        <v>-0.3184371320617565</v>
      </c>
      <c r="AD350" s="212">
        <v>-0.59581370617876672</v>
      </c>
      <c r="AE350" s="212">
        <v>-0.87191726870876352</v>
      </c>
      <c r="AF350" s="212">
        <v>-1.1467730991694971</v>
      </c>
      <c r="AG350" s="212">
        <v>-1.420406830004538</v>
      </c>
      <c r="AH350" s="212">
        <v>-1.6928444827382201</v>
      </c>
      <c r="AI350" s="212">
        <v>-1.9641125065558851</v>
      </c>
      <c r="AJ350" s="212">
        <v>2.801022127379845</v>
      </c>
      <c r="AK350" s="212">
        <v>7.4605073278537226</v>
      </c>
      <c r="AL350" s="212">
        <v>16.613766028485589</v>
      </c>
      <c r="AM350" s="212">
        <v>16.364774652738809</v>
      </c>
      <c r="AN350" s="212">
        <v>16.117220904285581</v>
      </c>
      <c r="AO350" s="212">
        <v>15.87109205242162</v>
      </c>
      <c r="AP350" s="212">
        <v>15.62637552206934</v>
      </c>
    </row>
    <row r="351" spans="7:42" ht="14.25" customHeight="1" x14ac:dyDescent="0.2">
      <c r="G351" s="138"/>
      <c r="H351" s="380"/>
      <c r="J351" s="380"/>
      <c r="K351" s="135" t="s">
        <v>240</v>
      </c>
      <c r="L351" s="185" t="s">
        <v>277</v>
      </c>
      <c r="M351" s="213">
        <v>30.922858212251551</v>
      </c>
      <c r="N351" s="213">
        <v>32.247380441858617</v>
      </c>
      <c r="O351" s="213">
        <v>23.392569847466959</v>
      </c>
      <c r="P351" s="213">
        <v>22.036336006830201</v>
      </c>
      <c r="Q351" s="213">
        <v>20.615373634824749</v>
      </c>
      <c r="R351" s="213">
        <v>19.203436260853149</v>
      </c>
      <c r="S351" s="213">
        <v>17.800204994437749</v>
      </c>
      <c r="T351" s="213">
        <v>16.405343987953909</v>
      </c>
      <c r="U351" s="213">
        <v>15.018497175357689</v>
      </c>
      <c r="V351" s="213">
        <v>13.639284429478041</v>
      </c>
      <c r="W351" s="213">
        <v>12.2672970025449</v>
      </c>
      <c r="X351" s="213">
        <v>10.902092078453469</v>
      </c>
      <c r="Y351" s="213">
        <v>9.5431862177702769</v>
      </c>
      <c r="Z351" s="213">
        <v>8.1900474135507046</v>
      </c>
      <c r="AA351" s="213">
        <v>6.8420853918949716</v>
      </c>
      <c r="AB351" s="213">
        <v>6.4232736126205232</v>
      </c>
      <c r="AC351" s="213">
        <v>6.0049402041310671</v>
      </c>
      <c r="AD351" s="213">
        <v>5.5870619662261269</v>
      </c>
      <c r="AE351" s="213">
        <v>5.1696147635944847</v>
      </c>
      <c r="AF351" s="213">
        <v>4.7525734662006798</v>
      </c>
      <c r="AG351" s="213">
        <v>4.335911885163366</v>
      </c>
      <c r="AH351" s="213">
        <v>3.919602703736949</v>
      </c>
      <c r="AI351" s="213">
        <v>3.5036174029380618</v>
      </c>
      <c r="AJ351" s="213">
        <v>7.9879629141653403</v>
      </c>
      <c r="AK351" s="213">
        <v>12.372596102343371</v>
      </c>
      <c r="AL351" s="213">
        <v>21.1127866110896</v>
      </c>
      <c r="AM351" s="213">
        <v>20.725994274349951</v>
      </c>
      <c r="AN351" s="213">
        <v>20.340171496083428</v>
      </c>
      <c r="AO351" s="213">
        <v>19.955314650152911</v>
      </c>
      <c r="AP351" s="213">
        <v>19.571420129080192</v>
      </c>
    </row>
    <row r="352" spans="7:42" ht="14.25" customHeight="1" thickBot="1" x14ac:dyDescent="0.25">
      <c r="G352" s="138"/>
      <c r="H352" s="380"/>
      <c r="J352" s="380"/>
      <c r="K352" s="196" t="s">
        <v>240</v>
      </c>
      <c r="L352" s="196" t="s">
        <v>278</v>
      </c>
      <c r="M352" s="214">
        <v>30.922858212251551</v>
      </c>
      <c r="N352" s="214">
        <v>32.370643114217891</v>
      </c>
      <c r="O352" s="214">
        <v>24.397315336579851</v>
      </c>
      <c r="P352" s="214">
        <v>23.867572234920981</v>
      </c>
      <c r="Q352" s="214">
        <v>23.262681881333119</v>
      </c>
      <c r="R352" s="214">
        <v>22.659088321295339</v>
      </c>
      <c r="S352" s="214">
        <v>22.056883961797929</v>
      </c>
      <c r="T352" s="214">
        <v>21.456173721321779</v>
      </c>
      <c r="U352" s="214">
        <v>20.857077020152222</v>
      </c>
      <c r="V352" s="214">
        <v>20.259730170515532</v>
      </c>
      <c r="W352" s="214">
        <v>19.664289262645621</v>
      </c>
      <c r="X352" s="214">
        <v>19.070933670133371</v>
      </c>
      <c r="Y352" s="214">
        <v>18.47987033418298</v>
      </c>
      <c r="Z352" s="214">
        <v>17.891339035067109</v>
      </c>
      <c r="AA352" s="214">
        <v>17.305618925017448</v>
      </c>
      <c r="AB352" s="214">
        <v>16.613933617116789</v>
      </c>
      <c r="AC352" s="214">
        <v>15.9263397998147</v>
      </c>
      <c r="AD352" s="214">
        <v>15.24276453865656</v>
      </c>
      <c r="AE352" s="214">
        <v>14.56313446387105</v>
      </c>
      <c r="AF352" s="214">
        <v>13.88737568677506</v>
      </c>
      <c r="AG352" s="214">
        <v>13.2154137110048</v>
      </c>
      <c r="AH352" s="214">
        <v>12.54717333810289</v>
      </c>
      <c r="AI352" s="214">
        <v>11.88257856689302</v>
      </c>
      <c r="AJ352" s="214">
        <v>15.9093655925434</v>
      </c>
      <c r="AK352" s="214">
        <v>19.849836000005759</v>
      </c>
      <c r="AL352" s="214">
        <v>27.931944900378319</v>
      </c>
      <c r="AM352" s="214">
        <v>27.32356205608065</v>
      </c>
      <c r="AN352" s="214">
        <v>26.719328238153999</v>
      </c>
      <c r="AO352" s="214">
        <v>26.11920116796437</v>
      </c>
      <c r="AP352" s="214">
        <v>25.52313914041277</v>
      </c>
    </row>
    <row r="353" spans="7:42" ht="14.25" customHeight="1" thickTop="1" x14ac:dyDescent="0.2">
      <c r="G353" s="138"/>
      <c r="H353" s="380"/>
      <c r="J353" s="380"/>
      <c r="K353" s="194" t="s">
        <v>242</v>
      </c>
      <c r="L353" s="194" t="s">
        <v>276</v>
      </c>
      <c r="M353" s="212">
        <v>32.470459041738458</v>
      </c>
      <c r="N353" s="212">
        <v>33.797711382646042</v>
      </c>
      <c r="O353" s="212">
        <v>24.919812419298701</v>
      </c>
      <c r="P353" s="212">
        <v>22.91579347101268</v>
      </c>
      <c r="Q353" s="212">
        <v>20.854754793145929</v>
      </c>
      <c r="R353" s="212">
        <v>18.813314235613191</v>
      </c>
      <c r="S353" s="212">
        <v>16.790655390921088</v>
      </c>
      <c r="T353" s="212">
        <v>14.78593714156289</v>
      </c>
      <c r="U353" s="212">
        <v>12.79828622308924</v>
      </c>
      <c r="V353" s="212">
        <v>10.826788660511619</v>
      </c>
      <c r="W353" s="212">
        <v>8.8704797838199205</v>
      </c>
      <c r="X353" s="212">
        <v>6.9283324531200172</v>
      </c>
      <c r="Y353" s="212">
        <v>4.9992430240177583</v>
      </c>
      <c r="Z353" s="212">
        <v>3.0820144505097531</v>
      </c>
      <c r="AA353" s="212">
        <v>1.175335743242375</v>
      </c>
      <c r="AB353" s="212">
        <v>0.89250416354850159</v>
      </c>
      <c r="AC353" s="212">
        <v>0.61079771666231153</v>
      </c>
      <c r="AD353" s="212">
        <v>0.3301951079089136</v>
      </c>
      <c r="AE353" s="212">
        <v>5.067470207994873E-2</v>
      </c>
      <c r="AF353" s="212">
        <v>-0.2277855073322286</v>
      </c>
      <c r="AG353" s="212">
        <v>-0.50520793095393657</v>
      </c>
      <c r="AH353" s="212">
        <v>-0.78161541857650718</v>
      </c>
      <c r="AI353" s="212">
        <v>-1.057031296639583</v>
      </c>
      <c r="AJ353" s="212">
        <v>3.682282344191663</v>
      </c>
      <c r="AK353" s="212">
        <v>8.3157815353607702</v>
      </c>
      <c r="AL353" s="212">
        <v>17.41874847883313</v>
      </c>
      <c r="AM353" s="212">
        <v>17.164262822329569</v>
      </c>
      <c r="AN353" s="212">
        <v>16.91105467222237</v>
      </c>
      <c r="AO353" s="212">
        <v>16.65911403651705</v>
      </c>
      <c r="AP353" s="212">
        <v>16.408431034332661</v>
      </c>
    </row>
    <row r="354" spans="7:42" ht="14.25" customHeight="1" x14ac:dyDescent="0.2">
      <c r="G354" s="138"/>
      <c r="H354" s="380"/>
      <c r="J354" s="380"/>
      <c r="K354" s="135" t="s">
        <v>242</v>
      </c>
      <c r="L354" s="185" t="s">
        <v>277</v>
      </c>
      <c r="M354" s="213">
        <v>32.470459041738458</v>
      </c>
      <c r="N354" s="213">
        <v>33.850534498349568</v>
      </c>
      <c r="O354" s="213">
        <v>25.570493533842999</v>
      </c>
      <c r="P354" s="213">
        <v>24.13541020105254</v>
      </c>
      <c r="Q354" s="213">
        <v>22.63229429214471</v>
      </c>
      <c r="R354" s="213">
        <v>21.13970967472417</v>
      </c>
      <c r="S354" s="213">
        <v>19.657304657178528</v>
      </c>
      <c r="T354" s="213">
        <v>18.184710946693119</v>
      </c>
      <c r="U354" s="213">
        <v>16.721540308097719</v>
      </c>
      <c r="V354" s="213">
        <v>15.267380631356851</v>
      </c>
      <c r="W354" s="213">
        <v>13.82179126972915</v>
      </c>
      <c r="X354" s="213">
        <v>12.38429747374102</v>
      </c>
      <c r="Y354" s="213">
        <v>10.954383697694039</v>
      </c>
      <c r="Z354" s="213">
        <v>9.5314854912391596</v>
      </c>
      <c r="AA354" s="213">
        <v>8.1149796027261729</v>
      </c>
      <c r="AB354" s="213">
        <v>7.6744223220331023</v>
      </c>
      <c r="AC354" s="213">
        <v>7.2344820764626974</v>
      </c>
      <c r="AD354" s="213">
        <v>6.7951343907016906</v>
      </c>
      <c r="AE354" s="213">
        <v>6.3563538444166703</v>
      </c>
      <c r="AF354" s="213">
        <v>5.9181140115002364</v>
      </c>
      <c r="AG354" s="213">
        <v>5.4803873947243673</v>
      </c>
      <c r="AH354" s="213">
        <v>5.0431453554059473</v>
      </c>
      <c r="AI354" s="213">
        <v>4.6063580376159621</v>
      </c>
      <c r="AJ354" s="213">
        <v>9.0438846096733236</v>
      </c>
      <c r="AK354" s="213">
        <v>13.382607463059511</v>
      </c>
      <c r="AL354" s="213">
        <v>22.049281646890609</v>
      </c>
      <c r="AM354" s="213">
        <v>21.64298451241233</v>
      </c>
      <c r="AN354" s="213">
        <v>21.237793626180231</v>
      </c>
      <c r="AO354" s="213">
        <v>20.833704492112918</v>
      </c>
      <c r="AP354" s="213">
        <v>20.430712639090771</v>
      </c>
    </row>
    <row r="355" spans="7:42" ht="14.25" customHeight="1" thickBot="1" x14ac:dyDescent="0.25">
      <c r="G355" s="138"/>
      <c r="H355" s="380"/>
      <c r="J355" s="380"/>
      <c r="K355" s="196" t="s">
        <v>242</v>
      </c>
      <c r="L355" s="196" t="s">
        <v>278</v>
      </c>
      <c r="M355" s="214">
        <v>32.470459041738458</v>
      </c>
      <c r="N355" s="214">
        <v>33.990701447465369</v>
      </c>
      <c r="O355" s="214">
        <v>26.654766510726422</v>
      </c>
      <c r="P355" s="214">
        <v>26.100678927966062</v>
      </c>
      <c r="Q355" s="214">
        <v>25.46653270934252</v>
      </c>
      <c r="R355" s="214">
        <v>24.833804172405149</v>
      </c>
      <c r="S355" s="214">
        <v>24.202595099504961</v>
      </c>
      <c r="T355" s="214">
        <v>23.573020963197681</v>
      </c>
      <c r="U355" s="214">
        <v>22.945213098831989</v>
      </c>
      <c r="V355" s="214">
        <v>22.319321312252491</v>
      </c>
      <c r="W355" s="214">
        <v>21.695517026931661</v>
      </c>
      <c r="X355" s="214">
        <v>21.07399710434391</v>
      </c>
      <c r="Y355" s="214">
        <v>20.454988510643119</v>
      </c>
      <c r="Z355" s="214">
        <v>19.838754055334711</v>
      </c>
      <c r="AA355" s="214">
        <v>19.22559949890336</v>
      </c>
      <c r="AB355" s="214">
        <v>18.488212965477441</v>
      </c>
      <c r="AC355" s="214">
        <v>17.755645055626822</v>
      </c>
      <c r="AD355" s="214">
        <v>17.027809889186781</v>
      </c>
      <c r="AE355" s="214">
        <v>16.304621380090211</v>
      </c>
      <c r="AF355" s="214">
        <v>15.585993145795531</v>
      </c>
      <c r="AG355" s="214">
        <v>14.871838411593171</v>
      </c>
      <c r="AH355" s="214">
        <v>14.16206990930832</v>
      </c>
      <c r="AI355" s="214">
        <v>13.456599769815631</v>
      </c>
      <c r="AJ355" s="214">
        <v>17.405348497449431</v>
      </c>
      <c r="AK355" s="214">
        <v>21.270036552670732</v>
      </c>
      <c r="AL355" s="214">
        <v>29.237906183924029</v>
      </c>
      <c r="AM355" s="214">
        <v>28.593263478205412</v>
      </c>
      <c r="AN355" s="214">
        <v>27.9533656654312</v>
      </c>
      <c r="AO355" s="214">
        <v>27.318160572065739</v>
      </c>
      <c r="AP355" s="214">
        <v>26.687596787812151</v>
      </c>
    </row>
    <row r="356" spans="7:42" ht="14.25" customHeight="1" thickTop="1" x14ac:dyDescent="0.2">
      <c r="G356" s="138"/>
      <c r="H356" s="380"/>
      <c r="J356" s="380"/>
      <c r="K356" s="194" t="s">
        <v>244</v>
      </c>
      <c r="L356" s="194" t="s">
        <v>276</v>
      </c>
      <c r="M356" s="212">
        <v>34.10534557572506</v>
      </c>
      <c r="N356" s="212">
        <v>35.486531674924663</v>
      </c>
      <c r="O356" s="212">
        <v>27.18262577820115</v>
      </c>
      <c r="P356" s="212">
        <v>25.065109862303</v>
      </c>
      <c r="Q356" s="212">
        <v>22.888310373707071</v>
      </c>
      <c r="R356" s="212">
        <v>20.733787233041941</v>
      </c>
      <c r="S356" s="212">
        <v>18.60063753963772</v>
      </c>
      <c r="T356" s="212">
        <v>16.48793526165359</v>
      </c>
      <c r="U356" s="212">
        <v>14.394723484142959</v>
      </c>
      <c r="V356" s="212">
        <v>12.32000550523945</v>
      </c>
      <c r="W356" s="212">
        <v>10.26273447710094</v>
      </c>
      <c r="X356" s="212">
        <v>8.2218012108548209</v>
      </c>
      <c r="Y356" s="212">
        <v>6.1960196620515546</v>
      </c>
      <c r="Z356" s="212">
        <v>4.1841094759088833</v>
      </c>
      <c r="AA356" s="212">
        <v>2.1846747869933338</v>
      </c>
      <c r="AB356" s="212">
        <v>1.897040944059508</v>
      </c>
      <c r="AC356" s="212">
        <v>1.610382272831153</v>
      </c>
      <c r="AD356" s="212">
        <v>1.324679788541097</v>
      </c>
      <c r="AE356" s="212">
        <v>1.0399141348076351</v>
      </c>
      <c r="AF356" s="212">
        <v>0.75606555351746252</v>
      </c>
      <c r="AG356" s="212">
        <v>0.47311385265272682</v>
      </c>
      <c r="AH356" s="212">
        <v>0.1910383718905706</v>
      </c>
      <c r="AI356" s="212">
        <v>-9.0182054234826836E-2</v>
      </c>
      <c r="AJ356" s="212">
        <v>4.6203096000462587</v>
      </c>
      <c r="AK356" s="212">
        <v>9.2249234292803592</v>
      </c>
      <c r="AL356" s="212">
        <v>18.27331033093127</v>
      </c>
      <c r="AM356" s="212">
        <v>18.011910207301032</v>
      </c>
      <c r="AN356" s="212">
        <v>17.75166298375181</v>
      </c>
      <c r="AO356" s="212">
        <v>17.492560578040379</v>
      </c>
      <c r="AP356" s="212">
        <v>17.234594991774571</v>
      </c>
    </row>
    <row r="357" spans="7:42" ht="14.25" customHeight="1" x14ac:dyDescent="0.2">
      <c r="G357" s="138"/>
      <c r="H357" s="380"/>
      <c r="J357" s="380"/>
      <c r="K357" s="135" t="s">
        <v>244</v>
      </c>
      <c r="L357" s="185" t="s">
        <v>277</v>
      </c>
      <c r="M357" s="213">
        <v>34.10534557572506</v>
      </c>
      <c r="N357" s="213">
        <v>35.545929555547303</v>
      </c>
      <c r="O357" s="213">
        <v>27.876230613291739</v>
      </c>
      <c r="P357" s="213">
        <v>26.360107127805751</v>
      </c>
      <c r="Q357" s="213">
        <v>24.772286922249169</v>
      </c>
      <c r="R357" s="213">
        <v>23.196428830040471</v>
      </c>
      <c r="S357" s="213">
        <v>21.632148715877879</v>
      </c>
      <c r="T357" s="213">
        <v>20.079046171580391</v>
      </c>
      <c r="U357" s="213">
        <v>18.536701087594221</v>
      </c>
      <c r="V357" s="213">
        <v>17.004669622057701</v>
      </c>
      <c r="W357" s="213">
        <v>15.48247942651229</v>
      </c>
      <c r="X357" s="213">
        <v>13.96962394968279</v>
      </c>
      <c r="Y357" s="213">
        <v>12.46555559128417</v>
      </c>
      <c r="Z357" s="213">
        <v>10.969677412239211</v>
      </c>
      <c r="AA357" s="213">
        <v>9.4813330199948638</v>
      </c>
      <c r="AB357" s="213">
        <v>9.0179152580506781</v>
      </c>
      <c r="AC357" s="213">
        <v>8.5552489923594912</v>
      </c>
      <c r="AD357" s="213">
        <v>8.0933084225532888</v>
      </c>
      <c r="AE357" s="213">
        <v>7.6320667919586711</v>
      </c>
      <c r="AF357" s="213">
        <v>7.171496325573429</v>
      </c>
      <c r="AG357" s="213">
        <v>6.7115681633564712</v>
      </c>
      <c r="AH357" s="213">
        <v>6.252252288428469</v>
      </c>
      <c r="AI357" s="213">
        <v>5.7935174497038844</v>
      </c>
      <c r="AJ357" s="213">
        <v>10.18106294017946</v>
      </c>
      <c r="AK357" s="213">
        <v>14.47074804521448</v>
      </c>
      <c r="AL357" s="213">
        <v>23.058596818986238</v>
      </c>
      <c r="AM357" s="213">
        <v>22.631649819231029</v>
      </c>
      <c r="AN357" s="213">
        <v>22.20594235814934</v>
      </c>
      <c r="AO357" s="213">
        <v>21.781469062382829</v>
      </c>
      <c r="AP357" s="213">
        <v>21.358224590249382</v>
      </c>
    </row>
    <row r="358" spans="7:42" ht="14.25" customHeight="1" thickBot="1" x14ac:dyDescent="0.25">
      <c r="G358" s="138"/>
      <c r="H358" s="380"/>
      <c r="J358" s="380"/>
      <c r="K358" s="196" t="s">
        <v>244</v>
      </c>
      <c r="L358" s="196" t="s">
        <v>278</v>
      </c>
      <c r="M358" s="214">
        <v>34.10534557572506</v>
      </c>
      <c r="N358" s="214">
        <v>35.702132136073359</v>
      </c>
      <c r="O358" s="214">
        <v>29.039539415615639</v>
      </c>
      <c r="P358" s="214">
        <v>28.45973430701051</v>
      </c>
      <c r="Q358" s="214">
        <v>27.794682173324361</v>
      </c>
      <c r="R358" s="214">
        <v>27.131175427630819</v>
      </c>
      <c r="S358" s="214">
        <v>26.469325756418179</v>
      </c>
      <c r="T358" s="214">
        <v>25.809259781573711</v>
      </c>
      <c r="U358" s="214">
        <v>25.151121425526899</v>
      </c>
      <c r="V358" s="214">
        <v>24.495074748789602</v>
      </c>
      <c r="W358" s="214">
        <v>23.841307372877601</v>
      </c>
      <c r="X358" s="214">
        <v>23.190034633476969</v>
      </c>
      <c r="Y358" s="214">
        <v>22.541504651111602</v>
      </c>
      <c r="Z358" s="214">
        <v>21.896004563383549</v>
      </c>
      <c r="AA358" s="214">
        <v>21.25386823975342</v>
      </c>
      <c r="AB358" s="214">
        <v>20.47019038410988</v>
      </c>
      <c r="AC358" s="214">
        <v>19.692023263546819</v>
      </c>
      <c r="AD358" s="214">
        <v>18.919268204531541</v>
      </c>
      <c r="AE358" s="214">
        <v>18.151826561141149</v>
      </c>
      <c r="AF358" s="214">
        <v>17.389599616771449</v>
      </c>
      <c r="AG358" s="214">
        <v>16.632488480782101</v>
      </c>
      <c r="AH358" s="214">
        <v>15.880393979581481</v>
      </c>
      <c r="AI358" s="214">
        <v>15.13321654154797</v>
      </c>
      <c r="AJ358" s="214">
        <v>19.00055376188616</v>
      </c>
      <c r="AK358" s="214">
        <v>22.78607487274579</v>
      </c>
      <c r="AL358" s="214">
        <v>30.633519801311181</v>
      </c>
      <c r="AM358" s="214">
        <v>29.951622989739921</v>
      </c>
      <c r="AN358" s="214">
        <v>29.275037105735109</v>
      </c>
      <c r="AO358" s="214">
        <v>28.60370036697002</v>
      </c>
      <c r="AP358" s="214">
        <v>27.937551946890011</v>
      </c>
    </row>
    <row r="359" spans="7:42" ht="14.25" customHeight="1" thickTop="1" x14ac:dyDescent="0.2">
      <c r="G359" s="138"/>
      <c r="H359" s="380"/>
      <c r="J359" s="380"/>
      <c r="K359" s="194" t="s">
        <v>246</v>
      </c>
      <c r="L359" s="194" t="s">
        <v>276</v>
      </c>
      <c r="M359" s="212">
        <v>35.904782594522821</v>
      </c>
      <c r="N359" s="212">
        <v>37.349934415478643</v>
      </c>
      <c r="O359" s="212">
        <v>29.685559902488379</v>
      </c>
      <c r="P359" s="212">
        <v>27.448425258419451</v>
      </c>
      <c r="Q359" s="212">
        <v>25.148894833976449</v>
      </c>
      <c r="R359" s="212">
        <v>22.87401213997515</v>
      </c>
      <c r="S359" s="212">
        <v>20.622794988798809</v>
      </c>
      <c r="T359" s="212">
        <v>18.394239112826341</v>
      </c>
      <c r="U359" s="212">
        <v>16.187310066142071</v>
      </c>
      <c r="V359" s="212">
        <v>14.00093394114942</v>
      </c>
      <c r="W359" s="212">
        <v>11.83398658579322</v>
      </c>
      <c r="X359" s="212">
        <v>9.6852809270843814</v>
      </c>
      <c r="Y359" s="212">
        <v>7.5535519003727032</v>
      </c>
      <c r="Z359" s="212">
        <v>5.4374383418544836</v>
      </c>
      <c r="AA359" s="212">
        <v>3.3354610107544889</v>
      </c>
      <c r="AB359" s="212">
        <v>3.0393160799723451</v>
      </c>
      <c r="AC359" s="212">
        <v>2.7440678818314912</v>
      </c>
      <c r="AD359" s="212">
        <v>2.4496986619992822</v>
      </c>
      <c r="AE359" s="212">
        <v>2.156190280736471</v>
      </c>
      <c r="AF359" s="212">
        <v>1.863524183118852</v>
      </c>
      <c r="AG359" s="212">
        <v>1.571681367207074</v>
      </c>
      <c r="AH359" s="212">
        <v>1.2806423499947139</v>
      </c>
      <c r="AI359" s="212">
        <v>0.99038713092442876</v>
      </c>
      <c r="AJ359" s="212">
        <v>5.6662581501663114</v>
      </c>
      <c r="AK359" s="212">
        <v>10.236374308805081</v>
      </c>
      <c r="AL359" s="212">
        <v>19.22192907460763</v>
      </c>
      <c r="AM359" s="212">
        <v>18.950800665206259</v>
      </c>
      <c r="AN359" s="212">
        <v>18.680759701314422</v>
      </c>
      <c r="AO359" s="212">
        <v>18.41179911891793</v>
      </c>
      <c r="AP359" s="212">
        <v>18.14391192460927</v>
      </c>
    </row>
    <row r="360" spans="7:42" ht="14.25" customHeight="1" x14ac:dyDescent="0.2">
      <c r="G360" s="138"/>
      <c r="H360" s="380"/>
      <c r="J360" s="380"/>
      <c r="K360" s="135" t="s">
        <v>246</v>
      </c>
      <c r="L360" s="185" t="s">
        <v>277</v>
      </c>
      <c r="M360" s="213">
        <v>35.904782594522821</v>
      </c>
      <c r="N360" s="213">
        <v>37.41590587128055</v>
      </c>
      <c r="O360" s="213">
        <v>30.42477293816377</v>
      </c>
      <c r="P360" s="213">
        <v>28.824276154999591</v>
      </c>
      <c r="Q360" s="213">
        <v>27.147650947389639</v>
      </c>
      <c r="R360" s="213">
        <v>25.48419597036607</v>
      </c>
      <c r="S360" s="213">
        <v>23.83349931854163</v>
      </c>
      <c r="T360" s="213">
        <v>22.19513293657154</v>
      </c>
      <c r="U360" s="213">
        <v>20.568649094194679</v>
      </c>
      <c r="V360" s="213">
        <v>18.953576245209199</v>
      </c>
      <c r="W360" s="213">
        <v>17.349414125969609</v>
      </c>
      <c r="X360" s="213">
        <v>15.75562791038503</v>
      </c>
      <c r="Y360" s="213">
        <v>14.17164118768622</v>
      </c>
      <c r="Z360" s="213">
        <v>12.59682746199066</v>
      </c>
      <c r="AA360" s="213">
        <v>11.030499782754401</v>
      </c>
      <c r="AB360" s="213">
        <v>10.541720141814711</v>
      </c>
      <c r="AC360" s="213">
        <v>10.053827112267671</v>
      </c>
      <c r="AD360" s="213">
        <v>9.5667934781672592</v>
      </c>
      <c r="AE360" s="213">
        <v>9.0805910532540288</v>
      </c>
      <c r="AF360" s="213">
        <v>8.5951906174476953</v>
      </c>
      <c r="AG360" s="213">
        <v>8.110561848543103</v>
      </c>
      <c r="AH360" s="213">
        <v>7.6266732486979123</v>
      </c>
      <c r="AI360" s="213">
        <v>7.1434920652202116</v>
      </c>
      <c r="AJ360" s="213">
        <v>11.474683822805609</v>
      </c>
      <c r="AK360" s="213">
        <v>15.70904756737162</v>
      </c>
      <c r="AL360" s="213">
        <v>24.207623542795151</v>
      </c>
      <c r="AM360" s="213">
        <v>23.75759080057475</v>
      </c>
      <c r="AN360" s="213">
        <v>23.308932904961871</v>
      </c>
      <c r="AO360" s="213">
        <v>22.861643583330391</v>
      </c>
      <c r="AP360" s="213">
        <v>22.41571660185387</v>
      </c>
    </row>
    <row r="361" spans="7:42" ht="14.25" customHeight="1" thickBot="1" x14ac:dyDescent="0.25">
      <c r="G361" s="138"/>
      <c r="H361" s="380"/>
      <c r="J361" s="380"/>
      <c r="K361" s="196" t="s">
        <v>246</v>
      </c>
      <c r="L361" s="196" t="s">
        <v>278</v>
      </c>
      <c r="M361" s="214">
        <v>35.904782594522821</v>
      </c>
      <c r="N361" s="214">
        <v>37.58581743910063</v>
      </c>
      <c r="O361" s="214">
        <v>31.664338481040389</v>
      </c>
      <c r="P361" s="214">
        <v>31.05622739090386</v>
      </c>
      <c r="Q361" s="214">
        <v>30.357158677774791</v>
      </c>
      <c r="R361" s="214">
        <v>29.659775912518551</v>
      </c>
      <c r="S361" s="214">
        <v>28.964201682606969</v>
      </c>
      <c r="T361" s="214">
        <v>28.27057488143334</v>
      </c>
      <c r="U361" s="214">
        <v>27.579053285391119</v>
      </c>
      <c r="V361" s="214">
        <v>26.889816644384311</v>
      </c>
      <c r="W361" s="214">
        <v>26.203070408296689</v>
      </c>
      <c r="X361" s="214">
        <v>25.51905024644585</v>
      </c>
      <c r="Y361" s="214">
        <v>24.838027562902109</v>
      </c>
      <c r="Z361" s="214">
        <v>24.16031627197453</v>
      </c>
      <c r="AA361" s="214">
        <v>23.486281181253531</v>
      </c>
      <c r="AB361" s="214">
        <v>22.655952003539401</v>
      </c>
      <c r="AC361" s="214">
        <v>21.83170885783192</v>
      </c>
      <c r="AD361" s="214">
        <v>21.013442595530311</v>
      </c>
      <c r="AE361" s="214">
        <v>20.201044270241781</v>
      </c>
      <c r="AF361" s="214">
        <v>19.394405032527668</v>
      </c>
      <c r="AG361" s="214">
        <v>18.593416019578932</v>
      </c>
      <c r="AH361" s="214">
        <v>17.797968239307341</v>
      </c>
      <c r="AI361" s="214">
        <v>17.007952448227339</v>
      </c>
      <c r="AJ361" s="214">
        <v>20.787792552036489</v>
      </c>
      <c r="AK361" s="214">
        <v>24.487984264462259</v>
      </c>
      <c r="AL361" s="214">
        <v>32.20334835608336</v>
      </c>
      <c r="AM361" s="214">
        <v>31.482580142041879</v>
      </c>
      <c r="AN361" s="214">
        <v>30.767603285660179</v>
      </c>
      <c r="AO361" s="214">
        <v>30.058348290390661</v>
      </c>
      <c r="AP361" s="214">
        <v>29.35474676845676</v>
      </c>
    </row>
    <row r="362" spans="7:42" ht="14.25" customHeight="1" thickTop="1" x14ac:dyDescent="0.2">
      <c r="G362" s="138"/>
      <c r="H362" s="380"/>
      <c r="J362" s="380"/>
      <c r="K362" s="194" t="s">
        <v>248</v>
      </c>
      <c r="L362" s="194" t="s">
        <v>276</v>
      </c>
      <c r="M362" s="212">
        <v>37.872732751062742</v>
      </c>
      <c r="N362" s="212">
        <v>39.386848239261887</v>
      </c>
      <c r="O362" s="212">
        <v>32.420239917980311</v>
      </c>
      <c r="P362" s="212">
        <v>30.051175092667481</v>
      </c>
      <c r="Q362" s="212">
        <v>27.61645669325943</v>
      </c>
      <c r="R362" s="212">
        <v>25.209113138028311</v>
      </c>
      <c r="S362" s="212">
        <v>22.828069529857679</v>
      </c>
      <c r="T362" s="212">
        <v>20.472230352381079</v>
      </c>
      <c r="U362" s="212">
        <v>18.140470981820371</v>
      </c>
      <c r="V362" s="212">
        <v>15.83162797901721</v>
      </c>
      <c r="W362" s="212">
        <v>13.544487835506491</v>
      </c>
      <c r="X362" s="212">
        <v>11.277773764661671</v>
      </c>
      <c r="Y362" s="212">
        <v>9.0301300189190314</v>
      </c>
      <c r="Z362" s="212">
        <v>6.8001030670393448</v>
      </c>
      <c r="AA362" s="212">
        <v>4.5861187674190909</v>
      </c>
      <c r="AB362" s="212">
        <v>4.2812583486326652</v>
      </c>
      <c r="AC362" s="212">
        <v>3.9771996995622199</v>
      </c>
      <c r="AD362" s="212">
        <v>3.6739263395877551</v>
      </c>
      <c r="AE362" s="212">
        <v>3.3714213904654389</v>
      </c>
      <c r="AF362" s="212">
        <v>3.06966754686156</v>
      </c>
      <c r="AG362" s="212">
        <v>2.7686470448405238</v>
      </c>
      <c r="AH362" s="212">
        <v>2.468341628138965</v>
      </c>
      <c r="AI362" s="212">
        <v>2.1687325120155312</v>
      </c>
      <c r="AJ362" s="212">
        <v>6.8073271559389674</v>
      </c>
      <c r="AK362" s="212">
        <v>11.34026811409524</v>
      </c>
      <c r="AL362" s="212">
        <v>20.257677946802879</v>
      </c>
      <c r="AM362" s="212">
        <v>19.97635179642544</v>
      </c>
      <c r="AN362" s="212">
        <v>19.696031456459469</v>
      </c>
      <c r="AO362" s="212">
        <v>19.416710934542909</v>
      </c>
      <c r="AP362" s="212">
        <v>19.1383842965915</v>
      </c>
    </row>
    <row r="363" spans="7:42" ht="14.25" customHeight="1" x14ac:dyDescent="0.2">
      <c r="G363" s="138"/>
      <c r="H363" s="380"/>
      <c r="J363" s="380"/>
      <c r="K363" s="135" t="s">
        <v>248</v>
      </c>
      <c r="L363" s="185" t="s">
        <v>277</v>
      </c>
      <c r="M363" s="213">
        <v>37.872732751062742</v>
      </c>
      <c r="N363" s="213">
        <v>39.460445165473232</v>
      </c>
      <c r="O363" s="213">
        <v>33.210472417612777</v>
      </c>
      <c r="P363" s="213">
        <v>31.517032717296981</v>
      </c>
      <c r="Q363" s="213">
        <v>29.742679094342471</v>
      </c>
      <c r="R363" s="213">
        <v>27.982872938930679</v>
      </c>
      <c r="S363" s="213">
        <v>26.237170154144032</v>
      </c>
      <c r="T363" s="213">
        <v>24.505110694102719</v>
      </c>
      <c r="U363" s="213">
        <v>22.786214931981139</v>
      </c>
      <c r="V363" s="213">
        <v>21.079979397300662</v>
      </c>
      <c r="W363" s="213">
        <v>19.38587173428715</v>
      </c>
      <c r="X363" s="213">
        <v>17.703324693452011</v>
      </c>
      <c r="Y363" s="213">
        <v>16.031728916492959</v>
      </c>
      <c r="Z363" s="213">
        <v>14.370424205568559</v>
      </c>
      <c r="AA363" s="213">
        <v>12.71868887562847</v>
      </c>
      <c r="AB363" s="213">
        <v>12.201965017413389</v>
      </c>
      <c r="AC363" s="213">
        <v>11.68628604634139</v>
      </c>
      <c r="AD363" s="213">
        <v>11.171623074096861</v>
      </c>
      <c r="AE363" s="213">
        <v>10.65794622872833</v>
      </c>
      <c r="AF363" s="213">
        <v>10.14522458952446</v>
      </c>
      <c r="AG363" s="213">
        <v>9.6334261169753539</v>
      </c>
      <c r="AH363" s="213">
        <v>9.1225175773982237</v>
      </c>
      <c r="AI363" s="213">
        <v>8.6124644617217321</v>
      </c>
      <c r="AJ363" s="213">
        <v>12.882080978283421</v>
      </c>
      <c r="AK363" s="213">
        <v>17.05601529142487</v>
      </c>
      <c r="AL363" s="213">
        <v>25.45725992101487</v>
      </c>
      <c r="AM363" s="213">
        <v>24.98190085144677</v>
      </c>
      <c r="AN363" s="213">
        <v>24.508073341128661</v>
      </c>
      <c r="AO363" s="213">
        <v>24.035770019393208</v>
      </c>
      <c r="AP363" s="213">
        <v>23.564983563532859</v>
      </c>
    </row>
    <row r="364" spans="7:42" ht="14.25" customHeight="1" thickBot="1" x14ac:dyDescent="0.25">
      <c r="G364" s="138"/>
      <c r="H364" s="380"/>
      <c r="J364" s="380"/>
      <c r="K364" s="196" t="s">
        <v>248</v>
      </c>
      <c r="L364" s="196" t="s">
        <v>278</v>
      </c>
      <c r="M364" s="214">
        <v>37.872732751062742</v>
      </c>
      <c r="N364" s="214">
        <v>39.645905537900113</v>
      </c>
      <c r="O364" s="214">
        <v>34.534943941374657</v>
      </c>
      <c r="P364" s="214">
        <v>33.895876079645788</v>
      </c>
      <c r="Q364" s="214">
        <v>33.159605212653993</v>
      </c>
      <c r="R364" s="214">
        <v>32.425174016524657</v>
      </c>
      <c r="S364" s="214">
        <v>31.692717000565281</v>
      </c>
      <c r="T364" s="214">
        <v>30.96238647887343</v>
      </c>
      <c r="U364" s="214">
        <v>30.234355379198419</v>
      </c>
      <c r="V364" s="214">
        <v>29.508820610111879</v>
      </c>
      <c r="W364" s="214">
        <v>28.786007119451209</v>
      </c>
      <c r="X364" s="214">
        <v>28.066172814363391</v>
      </c>
      <c r="Y364" s="214">
        <v>27.349614562915701</v>
      </c>
      <c r="Z364" s="214">
        <v>26.636675563701221</v>
      </c>
      <c r="AA364" s="214">
        <v>25.927754459724881</v>
      </c>
      <c r="AB364" s="214">
        <v>25.045798399797611</v>
      </c>
      <c r="AC364" s="214">
        <v>24.170588652642309</v>
      </c>
      <c r="AD364" s="214">
        <v>23.302003718711401</v>
      </c>
      <c r="AE364" s="214">
        <v>22.439922519036919</v>
      </c>
      <c r="AF364" s="214">
        <v>21.58422428152285</v>
      </c>
      <c r="AG364" s="214">
        <v>20.73478842219237</v>
      </c>
      <c r="AH364" s="214">
        <v>19.891494420857111</v>
      </c>
      <c r="AI364" s="214">
        <v>19.054221690558752</v>
      </c>
      <c r="AJ364" s="214">
        <v>22.738098058818561</v>
      </c>
      <c r="AK364" s="214">
        <v>26.344740057469991</v>
      </c>
      <c r="AL364" s="214">
        <v>33.915608526760892</v>
      </c>
      <c r="AM364" s="214">
        <v>33.152057841553017</v>
      </c>
      <c r="AN364" s="214">
        <v>32.394845142718587</v>
      </c>
      <c r="AO364" s="214">
        <v>31.643891867914459</v>
      </c>
      <c r="AP364" s="214">
        <v>30.89912074920553</v>
      </c>
    </row>
    <row r="365" spans="7:42" ht="14.25" customHeight="1" thickTop="1" x14ac:dyDescent="0.2">
      <c r="G365" s="138"/>
      <c r="H365" s="380"/>
      <c r="J365" s="380"/>
      <c r="K365" s="194" t="s">
        <v>250</v>
      </c>
      <c r="L365" s="194" t="s">
        <v>276</v>
      </c>
      <c r="M365" s="212">
        <v>39.932217252353553</v>
      </c>
      <c r="N365" s="212">
        <v>41.518460994775197</v>
      </c>
      <c r="O365" s="212">
        <v>35.282014969927722</v>
      </c>
      <c r="P365" s="212">
        <v>32.774859437793303</v>
      </c>
      <c r="Q365" s="212">
        <v>30.198656035133489</v>
      </c>
      <c r="R365" s="212">
        <v>27.652693959804349</v>
      </c>
      <c r="S365" s="212">
        <v>25.13579916622524</v>
      </c>
      <c r="T365" s="212">
        <v>22.646778656413201</v>
      </c>
      <c r="U365" s="212">
        <v>20.184411574657329</v>
      </c>
      <c r="V365" s="212">
        <v>17.74743904651805</v>
      </c>
      <c r="W365" s="212">
        <v>15.33455242352993</v>
      </c>
      <c r="X365" s="212">
        <v>12.944379509226851</v>
      </c>
      <c r="Y365" s="212">
        <v>10.575468228129489</v>
      </c>
      <c r="Z365" s="212">
        <v>8.2262670469512393</v>
      </c>
      <c r="AA365" s="212">
        <v>5.8951012521008286</v>
      </c>
      <c r="AB365" s="212">
        <v>5.581072724525022</v>
      </c>
      <c r="AC365" s="212">
        <v>5.2677528549169956</v>
      </c>
      <c r="AD365" s="212">
        <v>4.9551262566729193</v>
      </c>
      <c r="AE365" s="212">
        <v>4.6431771371198494</v>
      </c>
      <c r="AF365" s="212">
        <v>4.3318892683042662</v>
      </c>
      <c r="AG365" s="212">
        <v>4.0212459557421738</v>
      </c>
      <c r="AH365" s="212">
        <v>3.7112300049649458</v>
      </c>
      <c r="AI365" s="212">
        <v>3.4018236856501081</v>
      </c>
      <c r="AJ365" s="212">
        <v>8.0014061489702577</v>
      </c>
      <c r="AK365" s="212">
        <v>12.49544525227761</v>
      </c>
      <c r="AL365" s="212">
        <v>21.341548554827689</v>
      </c>
      <c r="AM365" s="212">
        <v>21.049558746493052</v>
      </c>
      <c r="AN365" s="212">
        <v>20.75849276727951</v>
      </c>
      <c r="AO365" s="212">
        <v>20.468345555067671</v>
      </c>
      <c r="AP365" s="212">
        <v>20.179112096659519</v>
      </c>
    </row>
    <row r="366" spans="7:42" ht="14.25" customHeight="1" x14ac:dyDescent="0.2">
      <c r="G366" s="138"/>
      <c r="H366" s="380"/>
      <c r="J366" s="380"/>
      <c r="K366" s="135" t="s">
        <v>250</v>
      </c>
      <c r="L366" s="185" t="s">
        <v>277</v>
      </c>
      <c r="M366" s="213">
        <v>39.932217252353553</v>
      </c>
      <c r="N366" s="213">
        <v>41.598880124097313</v>
      </c>
      <c r="O366" s="213">
        <v>36.122481042558363</v>
      </c>
      <c r="P366" s="213">
        <v>34.330325527513033</v>
      </c>
      <c r="Q366" s="213">
        <v>32.452377681830008</v>
      </c>
      <c r="R366" s="213">
        <v>30.590537317502129</v>
      </c>
      <c r="S366" s="213">
        <v>28.744323073785271</v>
      </c>
      <c r="T366" s="213">
        <v>26.913237979253921</v>
      </c>
      <c r="U366" s="213">
        <v>25.096765705238901</v>
      </c>
      <c r="V366" s="213">
        <v>23.294366173710269</v>
      </c>
      <c r="W366" s="213">
        <v>21.505470367485081</v>
      </c>
      <c r="X366" s="213">
        <v>19.729474149961948</v>
      </c>
      <c r="Y366" s="213">
        <v>17.96573084813808</v>
      </c>
      <c r="Z366" s="213">
        <v>16.213542281770991</v>
      </c>
      <c r="AA366" s="213">
        <v>14.47214782668175</v>
      </c>
      <c r="AB366" s="213">
        <v>13.927276739472619</v>
      </c>
      <c r="AC366" s="213">
        <v>13.383586286302309</v>
      </c>
      <c r="AD366" s="213">
        <v>12.84104605100185</v>
      </c>
      <c r="AE366" s="213">
        <v>12.29962461696822</v>
      </c>
      <c r="AF366" s="213">
        <v>11.75928950030997</v>
      </c>
      <c r="AG366" s="213">
        <v>11.220007077950459</v>
      </c>
      <c r="AH366" s="213">
        <v>10.68174251025674</v>
      </c>
      <c r="AI366" s="213">
        <v>10.14445965767408</v>
      </c>
      <c r="AJ366" s="213">
        <v>14.35060785840632</v>
      </c>
      <c r="AK366" s="213">
        <v>18.462205109700921</v>
      </c>
      <c r="AL366" s="213">
        <v>26.762504842493129</v>
      </c>
      <c r="AM366" s="213">
        <v>26.261345270153139</v>
      </c>
      <c r="AN366" s="213">
        <v>25.76185460927066</v>
      </c>
      <c r="AO366" s="213">
        <v>25.264024557661319</v>
      </c>
      <c r="AP366" s="213">
        <v>24.767846868897241</v>
      </c>
    </row>
    <row r="367" spans="7:42" ht="14.25" customHeight="1" thickBot="1" x14ac:dyDescent="0.25">
      <c r="G367" s="138"/>
      <c r="H367" s="380"/>
      <c r="J367" s="380"/>
      <c r="K367" s="196" t="s">
        <v>250</v>
      </c>
      <c r="L367" s="196" t="s">
        <v>278</v>
      </c>
      <c r="M367" s="214">
        <v>39.932217252353553</v>
      </c>
      <c r="N367" s="214">
        <v>41.80181355044386</v>
      </c>
      <c r="O367" s="214">
        <v>37.539068530217747</v>
      </c>
      <c r="P367" s="214">
        <v>36.867604019065332</v>
      </c>
      <c r="Q367" s="214">
        <v>36.092400631836497</v>
      </c>
      <c r="R367" s="214">
        <v>35.319197788505321</v>
      </c>
      <c r="S367" s="214">
        <v>34.548142474729573</v>
      </c>
      <c r="T367" s="214">
        <v>33.77940104954213</v>
      </c>
      <c r="U367" s="214">
        <v>33.013162296776073</v>
      </c>
      <c r="V367" s="214">
        <v>32.249641081763727</v>
      </c>
      <c r="W367" s="214">
        <v>31.48908275719533</v>
      </c>
      <c r="X367" s="214">
        <v>30.73176850238498</v>
      </c>
      <c r="Y367" s="214">
        <v>29.978021833791889</v>
      </c>
      <c r="Z367" s="214">
        <v>29.228216596379369</v>
      </c>
      <c r="AA367" s="214">
        <v>28.48278684233766</v>
      </c>
      <c r="AB367" s="214">
        <v>27.54549199150453</v>
      </c>
      <c r="AC367" s="214">
        <v>26.615699165122891</v>
      </c>
      <c r="AD367" s="214">
        <v>25.69327219909864</v>
      </c>
      <c r="AE367" s="214">
        <v>24.77807563021798</v>
      </c>
      <c r="AF367" s="214">
        <v>23.869974572055568</v>
      </c>
      <c r="AG367" s="214">
        <v>22.968834585926789</v>
      </c>
      <c r="AH367" s="214">
        <v>22.074521546330239</v>
      </c>
      <c r="AI367" s="214">
        <v>21.18690150020279</v>
      </c>
      <c r="AJ367" s="214">
        <v>24.769748609091309</v>
      </c>
      <c r="AK367" s="214">
        <v>28.277980868441912</v>
      </c>
      <c r="AL367" s="214">
        <v>35.697523727990337</v>
      </c>
      <c r="AM367" s="214">
        <v>34.888599893424207</v>
      </c>
      <c r="AN367" s="214">
        <v>34.086631320746939</v>
      </c>
      <c r="AO367" s="214">
        <v>33.291528717677828</v>
      </c>
      <c r="AP367" s="214">
        <v>32.503204315287228</v>
      </c>
    </row>
    <row r="368" spans="7:42" ht="14.25" customHeight="1" thickTop="1" x14ac:dyDescent="0.2">
      <c r="G368" s="138"/>
      <c r="H368" s="380"/>
      <c r="J368" s="380"/>
      <c r="K368" s="194" t="s">
        <v>252</v>
      </c>
      <c r="L368" s="194" t="s">
        <v>276</v>
      </c>
      <c r="M368" s="212">
        <v>41.532828756083177</v>
      </c>
      <c r="N368" s="212">
        <v>43.182448307667258</v>
      </c>
      <c r="O368" s="212">
        <v>37.525769992820187</v>
      </c>
      <c r="P368" s="212">
        <v>34.919621567367983</v>
      </c>
      <c r="Q368" s="212">
        <v>32.240765039322653</v>
      </c>
      <c r="R368" s="212">
        <v>29.593433487901301</v>
      </c>
      <c r="S368" s="212">
        <v>26.97640866826266</v>
      </c>
      <c r="T368" s="212">
        <v>24.388453111495711</v>
      </c>
      <c r="U368" s="212">
        <v>21.828300927537221</v>
      </c>
      <c r="V368" s="212">
        <v>19.294647314605861</v>
      </c>
      <c r="W368" s="212">
        <v>16.786136425710939</v>
      </c>
      <c r="X368" s="212">
        <v>14.301347154319931</v>
      </c>
      <c r="Y368" s="212">
        <v>11.83877628366783</v>
      </c>
      <c r="Z368" s="212">
        <v>9.3968182869419188</v>
      </c>
      <c r="AA368" s="212">
        <v>6.97374085382177</v>
      </c>
      <c r="AB368" s="212">
        <v>6.6477628596011256</v>
      </c>
      <c r="AC368" s="212">
        <v>6.3225307025872759</v>
      </c>
      <c r="AD368" s="212">
        <v>5.9980288244245159</v>
      </c>
      <c r="AE368" s="212">
        <v>5.6742412642001661</v>
      </c>
      <c r="AF368" s="212">
        <v>5.3511516292765471</v>
      </c>
      <c r="AG368" s="212">
        <v>5.0287430640914081</v>
      </c>
      <c r="AH368" s="212">
        <v>4.70699821676223</v>
      </c>
      <c r="AI368" s="212">
        <v>4.3858992032832624</v>
      </c>
      <c r="AJ368" s="212">
        <v>8.9506679435808181</v>
      </c>
      <c r="AK368" s="212">
        <v>13.41026110448689</v>
      </c>
      <c r="AL368" s="212">
        <v>22.196629020308858</v>
      </c>
      <c r="AM368" s="212">
        <v>21.893028708825561</v>
      </c>
      <c r="AN368" s="212">
        <v>21.590386539514071</v>
      </c>
      <c r="AO368" s="212">
        <v>21.288697270769671</v>
      </c>
      <c r="AP368" s="212">
        <v>20.987955711649601</v>
      </c>
    </row>
    <row r="369" spans="7:43" ht="14.25" customHeight="1" x14ac:dyDescent="0.2">
      <c r="G369" s="138"/>
      <c r="H369" s="380"/>
      <c r="J369" s="380"/>
      <c r="K369" s="135" t="s">
        <v>252</v>
      </c>
      <c r="L369" s="185" t="s">
        <v>277</v>
      </c>
      <c r="M369" s="213">
        <v>41.532828756083177</v>
      </c>
      <c r="N369" s="213">
        <v>43.264599477159948</v>
      </c>
      <c r="O369" s="213">
        <v>38.39586114550255</v>
      </c>
      <c r="P369" s="213">
        <v>36.531544322263933</v>
      </c>
      <c r="Q369" s="213">
        <v>34.577252945629269</v>
      </c>
      <c r="R369" s="213">
        <v>32.639922851384533</v>
      </c>
      <c r="S369" s="213">
        <v>30.71905288276615</v>
      </c>
      <c r="T369" s="213">
        <v>28.814126233576609</v>
      </c>
      <c r="U369" s="213">
        <v>26.924606615800808</v>
      </c>
      <c r="V369" s="213">
        <v>25.04993376869712</v>
      </c>
      <c r="W369" s="213">
        <v>23.18951815397034</v>
      </c>
      <c r="X369" s="213">
        <v>21.342734640070681</v>
      </c>
      <c r="Y369" s="213">
        <v>19.508914924045481</v>
      </c>
      <c r="Z369" s="213">
        <v>17.687338366915569</v>
      </c>
      <c r="AA369" s="213">
        <v>15.87722082157546</v>
      </c>
      <c r="AB369" s="213">
        <v>15.31242823978587</v>
      </c>
      <c r="AC369" s="213">
        <v>14.748836627852009</v>
      </c>
      <c r="AD369" s="213">
        <v>14.186415109511341</v>
      </c>
      <c r="AE369" s="213">
        <v>13.62513178344971</v>
      </c>
      <c r="AF369" s="213">
        <v>13.0649536549515</v>
      </c>
      <c r="AG369" s="213">
        <v>12.50584656238777</v>
      </c>
      <c r="AH369" s="213">
        <v>11.947775098101379</v>
      </c>
      <c r="AI369" s="213">
        <v>11.390702523155451</v>
      </c>
      <c r="AJ369" s="213">
        <v>15.54744190489953</v>
      </c>
      <c r="AK369" s="213">
        <v>19.610359615897892</v>
      </c>
      <c r="AL369" s="213">
        <v>27.830207585039759</v>
      </c>
      <c r="AM369" s="213">
        <v>27.309871629053902</v>
      </c>
      <c r="AN369" s="213">
        <v>26.791237443491081</v>
      </c>
      <c r="AO369" s="213">
        <v>26.274296714577812</v>
      </c>
      <c r="AP369" s="213">
        <v>25.759041183417381</v>
      </c>
    </row>
    <row r="370" spans="7:43" ht="14.25" customHeight="1" thickBot="1" x14ac:dyDescent="0.25">
      <c r="G370" s="138"/>
      <c r="H370" s="380"/>
      <c r="J370" s="380"/>
      <c r="K370" s="196" t="s">
        <v>252</v>
      </c>
      <c r="L370" s="196" t="s">
        <v>278</v>
      </c>
      <c r="M370" s="214">
        <v>41.532828756083177</v>
      </c>
      <c r="N370" s="214">
        <v>43.477364477725729</v>
      </c>
      <c r="O370" s="214">
        <v>39.873845204927157</v>
      </c>
      <c r="P370" s="214">
        <v>39.1772023301031</v>
      </c>
      <c r="Q370" s="214">
        <v>38.371740963403433</v>
      </c>
      <c r="R370" s="214">
        <v>37.56840516957373</v>
      </c>
      <c r="S370" s="214">
        <v>36.767351630771017</v>
      </c>
      <c r="T370" s="214">
        <v>35.968757621616497</v>
      </c>
      <c r="U370" s="214">
        <v>35.172824249138714</v>
      </c>
      <c r="V370" s="214">
        <v>34.379780334491308</v>
      </c>
      <c r="W370" s="214">
        <v>33.589887088819509</v>
      </c>
      <c r="X370" s="214">
        <v>32.803443778341332</v>
      </c>
      <c r="Y370" s="214">
        <v>32.020794630389403</v>
      </c>
      <c r="Z370" s="214">
        <v>31.242337307990539</v>
      </c>
      <c r="AA370" s="214">
        <v>30.468533383012559</v>
      </c>
      <c r="AB370" s="214">
        <v>29.492319554364141</v>
      </c>
      <c r="AC370" s="214">
        <v>28.524006633255961</v>
      </c>
      <c r="AD370" s="214">
        <v>27.563451374249439</v>
      </c>
      <c r="AE370" s="214">
        <v>26.610511336445999</v>
      </c>
      <c r="AF370" s="214">
        <v>25.66504475417873</v>
      </c>
      <c r="AG370" s="214">
        <v>24.72691040269893</v>
      </c>
      <c r="AH370" s="214">
        <v>23.795967458287858</v>
      </c>
      <c r="AI370" s="214">
        <v>22.8720753520962</v>
      </c>
      <c r="AJ370" s="214">
        <v>26.378351736096821</v>
      </c>
      <c r="AK370" s="214">
        <v>29.811759784734669</v>
      </c>
      <c r="AL370" s="214">
        <v>37.114089830769423</v>
      </c>
      <c r="AM370" s="214">
        <v>36.271861236551928</v>
      </c>
      <c r="AN370" s="214">
        <v>35.436929484149047</v>
      </c>
      <c r="AO370" s="214">
        <v>34.609200184387177</v>
      </c>
      <c r="AP370" s="214">
        <v>33.788580570545648</v>
      </c>
    </row>
    <row r="371" spans="7:43" ht="14.25" customHeight="1" thickTop="1" x14ac:dyDescent="0.2">
      <c r="G371" s="138"/>
      <c r="H371" s="380"/>
      <c r="J371" s="380"/>
      <c r="K371" s="194" t="s">
        <v>254</v>
      </c>
      <c r="L371" s="194" t="s">
        <v>276</v>
      </c>
      <c r="M371" s="212">
        <v>43.653037739350403</v>
      </c>
      <c r="N371" s="212">
        <v>45.380536384505469</v>
      </c>
      <c r="O371" s="212">
        <v>40.481643313777766</v>
      </c>
      <c r="P371" s="212">
        <v>37.737469514562861</v>
      </c>
      <c r="Q371" s="212">
        <v>34.916591342890086</v>
      </c>
      <c r="R371" s="212">
        <v>32.129724927381119</v>
      </c>
      <c r="S371" s="212">
        <v>29.375565288659981</v>
      </c>
      <c r="T371" s="212">
        <v>26.65278922749496</v>
      </c>
      <c r="U371" s="212">
        <v>23.960045709761189</v>
      </c>
      <c r="V371" s="212">
        <v>21.295944916292061</v>
      </c>
      <c r="W371" s="212">
        <v>18.659045594745731</v>
      </c>
      <c r="X371" s="212">
        <v>16.04784025889688</v>
      </c>
      <c r="Y371" s="212">
        <v>13.46073765881466</v>
      </c>
      <c r="Z371" s="212">
        <v>10.8960417822842</v>
      </c>
      <c r="AA371" s="212">
        <v>8.3519264281487011</v>
      </c>
      <c r="AB371" s="212">
        <v>8.0140850521843419</v>
      </c>
      <c r="AC371" s="212">
        <v>7.6769511692423116</v>
      </c>
      <c r="AD371" s="212">
        <v>7.3405097297068016</v>
      </c>
      <c r="AE371" s="212">
        <v>7.004745279508775</v>
      </c>
      <c r="AF371" s="212">
        <v>6.6696419311164767</v>
      </c>
      <c r="AG371" s="212">
        <v>6.3351833325031457</v>
      </c>
      <c r="AH371" s="212">
        <v>6.0013526339293897</v>
      </c>
      <c r="AI371" s="212">
        <v>5.6681324523284964</v>
      </c>
      <c r="AJ371" s="212">
        <v>10.190499720485329</v>
      </c>
      <c r="AK371" s="212">
        <v>14.607947573055149</v>
      </c>
      <c r="AL371" s="212">
        <v>23.318760479961021</v>
      </c>
      <c r="AM371" s="212">
        <v>23.002531255261829</v>
      </c>
      <c r="AN371" s="212">
        <v>22.68722625151872</v>
      </c>
      <c r="AO371" s="212">
        <v>22.372840646439119</v>
      </c>
      <c r="AP371" s="212">
        <v>22.05936966473211</v>
      </c>
    </row>
    <row r="372" spans="7:43" ht="14.25" customHeight="1" x14ac:dyDescent="0.2">
      <c r="G372" s="138"/>
      <c r="H372" s="380"/>
      <c r="J372" s="380"/>
      <c r="K372" s="135" t="s">
        <v>254</v>
      </c>
      <c r="L372" s="185" t="s">
        <v>277</v>
      </c>
      <c r="M372" s="213">
        <v>43.653037739350403</v>
      </c>
      <c r="N372" s="213">
        <v>45.468360125790518</v>
      </c>
      <c r="O372" s="213">
        <v>41.399918608034639</v>
      </c>
      <c r="P372" s="213">
        <v>39.436748599295619</v>
      </c>
      <c r="Q372" s="213">
        <v>37.378347941637763</v>
      </c>
      <c r="R372" s="213">
        <v>35.338299756522211</v>
      </c>
      <c r="S372" s="213">
        <v>33.316069627891089</v>
      </c>
      <c r="T372" s="213">
        <v>31.311107678598528</v>
      </c>
      <c r="U372" s="213">
        <v>29.322844620863879</v>
      </c>
      <c r="V372" s="213">
        <v>27.350687132092911</v>
      </c>
      <c r="W372" s="213">
        <v>25.39401239650201</v>
      </c>
      <c r="X372" s="213">
        <v>23.452161610294151</v>
      </c>
      <c r="Y372" s="213">
        <v>21.524432192035</v>
      </c>
      <c r="Z372" s="213">
        <v>19.61006836543989</v>
      </c>
      <c r="AA372" s="213">
        <v>17.70824968213925</v>
      </c>
      <c r="AB372" s="213">
        <v>17.11506472673231</v>
      </c>
      <c r="AC372" s="213">
        <v>16.523188966707679</v>
      </c>
      <c r="AD372" s="213">
        <v>15.93259021722854</v>
      </c>
      <c r="AE372" s="213">
        <v>15.343235246685079</v>
      </c>
      <c r="AF372" s="213">
        <v>14.755089706495109</v>
      </c>
      <c r="AG372" s="213">
        <v>14.16811805560298</v>
      </c>
      <c r="AH372" s="213">
        <v>13.58228347922396</v>
      </c>
      <c r="AI372" s="213">
        <v>12.997547801284499</v>
      </c>
      <c r="AJ372" s="213">
        <v>17.08856187874574</v>
      </c>
      <c r="AK372" s="213">
        <v>21.086868298774931</v>
      </c>
      <c r="AL372" s="213">
        <v>29.201471957508879</v>
      </c>
      <c r="AM372" s="213">
        <v>28.654763431830279</v>
      </c>
      <c r="AN372" s="213">
        <v>28.109870807927539</v>
      </c>
      <c r="AO372" s="213">
        <v>27.566785075741329</v>
      </c>
      <c r="AP372" s="213">
        <v>27.025497285573302</v>
      </c>
    </row>
    <row r="373" spans="7:43" ht="14.25" customHeight="1" thickBot="1" x14ac:dyDescent="0.25">
      <c r="G373" s="138"/>
      <c r="H373" s="380"/>
      <c r="J373" s="380"/>
      <c r="K373" s="196" t="s">
        <v>254</v>
      </c>
      <c r="L373" s="196" t="s">
        <v>278</v>
      </c>
      <c r="M373" s="214">
        <v>43.653037739350403</v>
      </c>
      <c r="N373" s="214">
        <v>45.696840046698519</v>
      </c>
      <c r="O373" s="214">
        <v>42.96654725542912</v>
      </c>
      <c r="P373" s="214">
        <v>42.236552506826683</v>
      </c>
      <c r="Q373" s="214">
        <v>41.391010683538951</v>
      </c>
      <c r="R373" s="214">
        <v>40.5477600495432</v>
      </c>
      <c r="S373" s="214">
        <v>39.70697013121552</v>
      </c>
      <c r="T373" s="214">
        <v>38.868832662231277</v>
      </c>
      <c r="U373" s="214">
        <v>38.033565073223848</v>
      </c>
      <c r="V373" s="214">
        <v>37.201414671567782</v>
      </c>
      <c r="W373" s="214">
        <v>36.372663674903947</v>
      </c>
      <c r="X373" s="214">
        <v>35.54763530780393</v>
      </c>
      <c r="Y373" s="214">
        <v>34.726701231727631</v>
      </c>
      <c r="Z373" s="214">
        <v>33.910290659688982</v>
      </c>
      <c r="AA373" s="214">
        <v>33.098901616790947</v>
      </c>
      <c r="AB373" s="214">
        <v>32.068197643177307</v>
      </c>
      <c r="AC373" s="214">
        <v>31.046061352465699</v>
      </c>
      <c r="AD373" s="214">
        <v>30.03233676311698</v>
      </c>
      <c r="AE373" s="214">
        <v>29.02686892873648</v>
      </c>
      <c r="AF373" s="214">
        <v>28.02950379932857</v>
      </c>
      <c r="AG373" s="214">
        <v>27.04008807758601</v>
      </c>
      <c r="AH373" s="214">
        <v>26.058469069621459</v>
      </c>
      <c r="AI373" s="214">
        <v>25.084494529415711</v>
      </c>
      <c r="AJ373" s="214">
        <v>28.487960065742222</v>
      </c>
      <c r="AK373" s="214">
        <v>31.821078875241849</v>
      </c>
      <c r="AL373" s="214">
        <v>38.967874090442628</v>
      </c>
      <c r="AM373" s="214">
        <v>38.080141442221567</v>
      </c>
      <c r="AN373" s="214">
        <v>37.200257974426393</v>
      </c>
      <c r="AO373" s="214">
        <v>36.328120073830192</v>
      </c>
      <c r="AP373" s="214">
        <v>35.463625944426461</v>
      </c>
    </row>
    <row r="374" spans="7:43" ht="14.25" customHeight="1" thickTop="1" x14ac:dyDescent="0.2">
      <c r="G374" s="138"/>
      <c r="H374" s="380"/>
      <c r="J374" s="380"/>
      <c r="K374" s="194" t="s">
        <v>256</v>
      </c>
      <c r="L374" s="194" t="s">
        <v>276</v>
      </c>
      <c r="M374" s="212">
        <v>47.588816158801038</v>
      </c>
      <c r="N374" s="212">
        <v>49.457417848436307</v>
      </c>
      <c r="O374" s="212">
        <v>45.9594139885846</v>
      </c>
      <c r="P374" s="212">
        <v>42.955114901474893</v>
      </c>
      <c r="Q374" s="212">
        <v>39.867190583887691</v>
      </c>
      <c r="R374" s="212">
        <v>36.818351676722088</v>
      </c>
      <c r="S374" s="212">
        <v>33.807113698182462</v>
      </c>
      <c r="T374" s="212">
        <v>30.83197676023374</v>
      </c>
      <c r="U374" s="212">
        <v>27.891415147333039</v>
      </c>
      <c r="V374" s="212">
        <v>24.98386548822894</v>
      </c>
      <c r="W374" s="212">
        <v>22.107713133440239</v>
      </c>
      <c r="X374" s="212">
        <v>19.261276253486521</v>
      </c>
      <c r="Y374" s="212">
        <v>16.442787043171421</v>
      </c>
      <c r="Z374" s="212">
        <v>13.650369243571999</v>
      </c>
      <c r="AA374" s="212">
        <v>10.88201095941931</v>
      </c>
      <c r="AB374" s="212">
        <v>10.524319575403419</v>
      </c>
      <c r="AC374" s="212">
        <v>10.167222714575111</v>
      </c>
      <c r="AD374" s="212">
        <v>9.8107064231324266</v>
      </c>
      <c r="AE374" s="212">
        <v>9.4547563394314231</v>
      </c>
      <c r="AF374" s="212">
        <v>9.0993576652773029</v>
      </c>
      <c r="AG374" s="212">
        <v>8.7444951352098315</v>
      </c>
      <c r="AH374" s="212">
        <v>8.3901529836239881</v>
      </c>
      <c r="AI374" s="212">
        <v>8.0363149095136492</v>
      </c>
      <c r="AJ374" s="212">
        <v>12.4820567781249</v>
      </c>
      <c r="AK374" s="212">
        <v>16.823230312488</v>
      </c>
      <c r="AL374" s="212">
        <v>25.395806917115209</v>
      </c>
      <c r="AM374" s="212">
        <v>25.05769094884263</v>
      </c>
      <c r="AN374" s="212">
        <v>24.72039586508663</v>
      </c>
      <c r="AO374" s="212">
        <v>24.383917770963699</v>
      </c>
      <c r="AP374" s="212">
        <v>24.048252811686009</v>
      </c>
    </row>
    <row r="375" spans="7:43" ht="14.25" customHeight="1" x14ac:dyDescent="0.2">
      <c r="G375" s="138"/>
      <c r="H375" s="380"/>
      <c r="J375" s="380"/>
      <c r="K375" s="135" t="s">
        <v>256</v>
      </c>
      <c r="L375" s="185" t="s">
        <v>277</v>
      </c>
      <c r="M375" s="213">
        <v>47.588816158801038</v>
      </c>
      <c r="N375" s="213">
        <v>49.55943267719627</v>
      </c>
      <c r="O375" s="213">
        <v>46.976937910065672</v>
      </c>
      <c r="P375" s="213">
        <v>44.830514546088857</v>
      </c>
      <c r="Q375" s="213">
        <v>42.579087622244323</v>
      </c>
      <c r="R375" s="213">
        <v>40.348580728218153</v>
      </c>
      <c r="S375" s="213">
        <v>38.138397534101323</v>
      </c>
      <c r="T375" s="213">
        <v>35.947926616888957</v>
      </c>
      <c r="U375" s="213">
        <v>33.77653729184393</v>
      </c>
      <c r="V375" s="213">
        <v>31.623574739315568</v>
      </c>
      <c r="W375" s="213">
        <v>29.488354259681781</v>
      </c>
      <c r="X375" s="213">
        <v>27.370154444307531</v>
      </c>
      <c r="Y375" s="213">
        <v>25.268208991552282</v>
      </c>
      <c r="Z375" s="213">
        <v>23.18169681873319</v>
      </c>
      <c r="AA375" s="213">
        <v>21.109730016337579</v>
      </c>
      <c r="AB375" s="213">
        <v>20.461121650361829</v>
      </c>
      <c r="AC375" s="213">
        <v>19.814114742706231</v>
      </c>
      <c r="AD375" s="213">
        <v>19.16867383086641</v>
      </c>
      <c r="AE375" s="213">
        <v>18.524762377777101</v>
      </c>
      <c r="AF375" s="213">
        <v>17.882342698264321</v>
      </c>
      <c r="AG375" s="213">
        <v>17.241375879952741</v>
      </c>
      <c r="AH375" s="213">
        <v>16.601821698155518</v>
      </c>
      <c r="AI375" s="213">
        <v>15.96363852416918</v>
      </c>
      <c r="AJ375" s="213">
        <v>19.931087955088941</v>
      </c>
      <c r="AK375" s="213">
        <v>23.808079801659151</v>
      </c>
      <c r="AL375" s="213">
        <v>31.726733784790699</v>
      </c>
      <c r="AM375" s="213">
        <v>31.129518019734999</v>
      </c>
      <c r="AN375" s="213">
        <v>30.53440917815783</v>
      </c>
      <c r="AO375" s="213">
        <v>29.941396154805179</v>
      </c>
      <c r="AP375" s="213">
        <v>29.350467923263238</v>
      </c>
    </row>
    <row r="376" spans="7:43" ht="14.25" customHeight="1" thickBot="1" x14ac:dyDescent="0.25">
      <c r="G376" s="138"/>
      <c r="H376" s="420"/>
      <c r="J376" s="420"/>
      <c r="K376" s="196" t="s">
        <v>256</v>
      </c>
      <c r="L376" s="196" t="s">
        <v>278</v>
      </c>
      <c r="M376" s="214">
        <v>47.588816158801038</v>
      </c>
      <c r="N376" s="214">
        <v>49.816888643700473</v>
      </c>
      <c r="O376" s="214">
        <v>48.70758037255095</v>
      </c>
      <c r="P376" s="214">
        <v>47.915673998207318</v>
      </c>
      <c r="Q376" s="214">
        <v>46.995730171472772</v>
      </c>
      <c r="R376" s="214">
        <v>46.078384970488031</v>
      </c>
      <c r="S376" s="214">
        <v>45.163831764561962</v>
      </c>
      <c r="T376" s="214">
        <v>44.252289127947279</v>
      </c>
      <c r="U376" s="214">
        <v>43.344004793050587</v>
      </c>
      <c r="V376" s="214">
        <v>42.439260383518899</v>
      </c>
      <c r="W376" s="214">
        <v>41.538377111692682</v>
      </c>
      <c r="X376" s="214">
        <v>40.641722676424827</v>
      </c>
      <c r="Y376" s="214">
        <v>39.749719665591982</v>
      </c>
      <c r="Z376" s="214">
        <v>38.862855858962227</v>
      </c>
      <c r="AA376" s="214">
        <v>37.981696950371841</v>
      </c>
      <c r="AB376" s="214">
        <v>36.850055529812167</v>
      </c>
      <c r="AC376" s="214">
        <v>35.728214074790017</v>
      </c>
      <c r="AD376" s="214">
        <v>34.615992815201572</v>
      </c>
      <c r="AE376" s="214">
        <v>33.513213455074357</v>
      </c>
      <c r="AF376" s="214">
        <v>32.41969901571759</v>
      </c>
      <c r="AG376" s="214">
        <v>31.335273674005428</v>
      </c>
      <c r="AH376" s="214">
        <v>30.259762595158669</v>
      </c>
      <c r="AI376" s="214">
        <v>29.192991759244261</v>
      </c>
      <c r="AJ376" s="214">
        <v>32.405731869166843</v>
      </c>
      <c r="AK376" s="214">
        <v>35.552791504393888</v>
      </c>
      <c r="AL376" s="214">
        <v>42.41090323401685</v>
      </c>
      <c r="AM376" s="214">
        <v>41.438829779187969</v>
      </c>
      <c r="AN376" s="214">
        <v>40.475624510336189</v>
      </c>
      <c r="AO376" s="214">
        <v>39.521166655597021</v>
      </c>
      <c r="AP376" s="214">
        <v>38.575337627873729</v>
      </c>
    </row>
    <row r="377" spans="7:43" ht="14.25" customHeight="1" x14ac:dyDescent="0.2">
      <c r="G377" s="138"/>
      <c r="H377" s="231"/>
      <c r="I377" s="231"/>
      <c r="J377" s="231"/>
      <c r="K377" s="231"/>
      <c r="L377" s="231"/>
      <c r="M377" s="231"/>
      <c r="N377" s="231"/>
      <c r="O377" s="231"/>
      <c r="P377" s="231"/>
      <c r="Q377" s="231"/>
      <c r="R377" s="231"/>
      <c r="S377" s="231"/>
      <c r="T377" s="231"/>
      <c r="U377" s="231"/>
      <c r="V377" s="231"/>
      <c r="W377" s="231"/>
      <c r="X377" s="231"/>
      <c r="Y377" s="231"/>
      <c r="Z377" s="231"/>
      <c r="AA377" s="231"/>
      <c r="AB377" s="231"/>
      <c r="AC377" s="231"/>
      <c r="AD377" s="231"/>
      <c r="AE377" s="231"/>
      <c r="AF377" s="231"/>
      <c r="AG377" s="231"/>
      <c r="AH377" s="231"/>
      <c r="AI377" s="231"/>
      <c r="AJ377" s="231"/>
      <c r="AK377" s="231"/>
      <c r="AL377" s="231"/>
      <c r="AM377" s="231"/>
      <c r="AN377" s="231"/>
      <c r="AO377" s="231"/>
      <c r="AP377" s="231"/>
      <c r="AQ377" s="231"/>
    </row>
    <row r="378" spans="7:43" ht="14.25" customHeight="1" x14ac:dyDescent="0.2">
      <c r="G378" s="138"/>
      <c r="M378" s="123">
        <v>2021</v>
      </c>
      <c r="N378" s="123">
        <v>2022</v>
      </c>
      <c r="O378" s="123">
        <v>2023</v>
      </c>
      <c r="P378" s="123">
        <v>2024</v>
      </c>
      <c r="Q378" s="123">
        <v>2025</v>
      </c>
      <c r="R378" s="123">
        <v>2026</v>
      </c>
      <c r="S378" s="123">
        <v>2027</v>
      </c>
      <c r="T378" s="123">
        <v>2028</v>
      </c>
      <c r="U378" s="123">
        <v>2029</v>
      </c>
      <c r="V378" s="123">
        <v>2030</v>
      </c>
      <c r="W378" s="123">
        <v>2031</v>
      </c>
      <c r="X378" s="123">
        <v>2032</v>
      </c>
      <c r="Y378" s="123">
        <v>2033</v>
      </c>
      <c r="Z378" s="123">
        <v>2034</v>
      </c>
      <c r="AA378" s="123">
        <v>2035</v>
      </c>
      <c r="AB378" s="123">
        <v>2036</v>
      </c>
      <c r="AC378" s="123">
        <v>2037</v>
      </c>
      <c r="AD378" s="123">
        <v>2038</v>
      </c>
      <c r="AE378" s="123">
        <v>2039</v>
      </c>
      <c r="AF378" s="123">
        <v>2040</v>
      </c>
      <c r="AG378" s="123">
        <v>2041</v>
      </c>
      <c r="AH378" s="123">
        <v>2042</v>
      </c>
      <c r="AI378" s="123">
        <v>2043</v>
      </c>
      <c r="AJ378" s="123">
        <v>2044</v>
      </c>
      <c r="AK378" s="123">
        <v>2045</v>
      </c>
      <c r="AL378" s="123">
        <v>2046</v>
      </c>
      <c r="AM378" s="123">
        <v>2047</v>
      </c>
      <c r="AN378" s="123">
        <v>2048</v>
      </c>
      <c r="AO378" s="123">
        <v>2049</v>
      </c>
      <c r="AP378" s="123">
        <v>2050</v>
      </c>
    </row>
    <row r="379" spans="7:43" ht="14.25" customHeight="1" x14ac:dyDescent="0.2">
      <c r="G379" s="138"/>
      <c r="H379" s="429" t="s">
        <v>304</v>
      </c>
      <c r="J379" s="357" t="s">
        <v>305</v>
      </c>
      <c r="K379" s="135" t="s">
        <v>306</v>
      </c>
      <c r="L379" s="135" t="s">
        <v>276</v>
      </c>
      <c r="M379" s="124">
        <v>0.12363699102240761</v>
      </c>
      <c r="N379" s="124">
        <v>0.1240753390351009</v>
      </c>
      <c r="O379" s="124">
        <v>0.12522157879350049</v>
      </c>
      <c r="P379" s="124">
        <v>0.12556288543653779</v>
      </c>
      <c r="Q379" s="124">
        <v>0.1257233964322069</v>
      </c>
      <c r="R379" s="124">
        <v>0.12589298767474311</v>
      </c>
      <c r="S379" s="124">
        <v>0.12607245211575799</v>
      </c>
      <c r="T379" s="124">
        <v>0.1262626777669314</v>
      </c>
      <c r="U379" s="124">
        <v>0.12646466238183779</v>
      </c>
      <c r="V379" s="124">
        <v>0.12667953094471299</v>
      </c>
      <c r="W379" s="124">
        <v>0.12690855661271899</v>
      </c>
      <c r="X379" s="124">
        <v>0.12715318593413291</v>
      </c>
      <c r="Y379" s="124">
        <v>0.12741506939655339</v>
      </c>
      <c r="Z379" s="124">
        <v>0.12769609866692841</v>
      </c>
      <c r="AA379" s="124">
        <v>0.12799845229772849</v>
      </c>
      <c r="AB379" s="124">
        <v>0.12809964876253921</v>
      </c>
      <c r="AC379" s="124">
        <v>0.12820331136258981</v>
      </c>
      <c r="AD379" s="124">
        <v>0.1283095313166473</v>
      </c>
      <c r="AE379" s="124">
        <v>0.12841840439628091</v>
      </c>
      <c r="AF379" s="124">
        <v>0.1285300312133803</v>
      </c>
      <c r="AG379" s="124">
        <v>0.1286445175296953</v>
      </c>
      <c r="AH379" s="124">
        <v>0.12876197459046551</v>
      </c>
      <c r="AI379" s="124">
        <v>0.12888251948427079</v>
      </c>
      <c r="AJ379" s="124">
        <v>0.1269540096608188</v>
      </c>
      <c r="AK379" s="124">
        <v>0.1249830363272986</v>
      </c>
      <c r="AL379" s="124">
        <v>0.12056305880727471</v>
      </c>
      <c r="AM379" s="124">
        <v>0.120562985803678</v>
      </c>
      <c r="AN379" s="124">
        <v>0.120562910781338</v>
      </c>
      <c r="AO379" s="124">
        <v>0.1205628336554893</v>
      </c>
      <c r="AP379" s="124">
        <v>0.12056275433655329</v>
      </c>
    </row>
    <row r="380" spans="7:43" ht="14.25" customHeight="1" x14ac:dyDescent="0.2">
      <c r="G380" s="138"/>
      <c r="H380" s="380"/>
      <c r="J380" s="358"/>
      <c r="K380" s="135" t="s">
        <v>306</v>
      </c>
      <c r="L380" s="135" t="s">
        <v>277</v>
      </c>
      <c r="M380" s="124">
        <v>0.12363699102240761</v>
      </c>
      <c r="N380" s="124">
        <v>0.1240753390351009</v>
      </c>
      <c r="O380" s="124">
        <v>0.12522157879350049</v>
      </c>
      <c r="P380" s="124">
        <v>0.12556288543653779</v>
      </c>
      <c r="Q380" s="124">
        <v>0.1257233964322069</v>
      </c>
      <c r="R380" s="124">
        <v>0.12589298767474311</v>
      </c>
      <c r="S380" s="124">
        <v>0.12607245211575799</v>
      </c>
      <c r="T380" s="124">
        <v>0.1262626777669314</v>
      </c>
      <c r="U380" s="124">
        <v>0.12646466238183779</v>
      </c>
      <c r="V380" s="124">
        <v>0.12667953094471299</v>
      </c>
      <c r="W380" s="124">
        <v>0.12690855661271899</v>
      </c>
      <c r="X380" s="124">
        <v>0.12715318593413291</v>
      </c>
      <c r="Y380" s="124">
        <v>0.12741506939655339</v>
      </c>
      <c r="Z380" s="124">
        <v>0.12769609866692841</v>
      </c>
      <c r="AA380" s="124">
        <v>0.12799845229772849</v>
      </c>
      <c r="AB380" s="124">
        <v>0.12809964876253921</v>
      </c>
      <c r="AC380" s="124">
        <v>0.12820331136258981</v>
      </c>
      <c r="AD380" s="124">
        <v>0.1283095313166473</v>
      </c>
      <c r="AE380" s="124">
        <v>0.12841840439628091</v>
      </c>
      <c r="AF380" s="124">
        <v>0.1285300312133803</v>
      </c>
      <c r="AG380" s="124">
        <v>0.1286445175296953</v>
      </c>
      <c r="AH380" s="124">
        <v>0.12876197459046551</v>
      </c>
      <c r="AI380" s="124">
        <v>0.12888251948427079</v>
      </c>
      <c r="AJ380" s="124">
        <v>0.1269540096608188</v>
      </c>
      <c r="AK380" s="124">
        <v>0.1249830363272986</v>
      </c>
      <c r="AL380" s="124">
        <v>0.12056305880727471</v>
      </c>
      <c r="AM380" s="124">
        <v>0.120562985803678</v>
      </c>
      <c r="AN380" s="124">
        <v>0.120562910781338</v>
      </c>
      <c r="AO380" s="124">
        <v>0.1205628336554893</v>
      </c>
      <c r="AP380" s="124">
        <v>0.12056275433655329</v>
      </c>
    </row>
    <row r="381" spans="7:43" ht="14.25" customHeight="1" x14ac:dyDescent="0.2">
      <c r="G381" s="138"/>
      <c r="H381" s="380"/>
      <c r="J381" s="358"/>
      <c r="K381" s="135" t="s">
        <v>306</v>
      </c>
      <c r="L381" s="135" t="s">
        <v>278</v>
      </c>
      <c r="M381" s="124">
        <v>0.12363699102240761</v>
      </c>
      <c r="N381" s="124">
        <v>0.1240753390351009</v>
      </c>
      <c r="O381" s="124">
        <v>0.12522157879350049</v>
      </c>
      <c r="P381" s="124">
        <v>0.12556288543653779</v>
      </c>
      <c r="Q381" s="124">
        <v>0.1257233964322069</v>
      </c>
      <c r="R381" s="124">
        <v>0.12589298767474311</v>
      </c>
      <c r="S381" s="124">
        <v>0.12607245211575799</v>
      </c>
      <c r="T381" s="124">
        <v>0.1262626777669314</v>
      </c>
      <c r="U381" s="124">
        <v>0.12646466238183779</v>
      </c>
      <c r="V381" s="124">
        <v>0.12667953094471299</v>
      </c>
      <c r="W381" s="124">
        <v>0.12690855661271899</v>
      </c>
      <c r="X381" s="124">
        <v>0.12715318593413291</v>
      </c>
      <c r="Y381" s="124">
        <v>0.12741506939655339</v>
      </c>
      <c r="Z381" s="124">
        <v>0.12769609866692841</v>
      </c>
      <c r="AA381" s="124">
        <v>0.12799845229772849</v>
      </c>
      <c r="AB381" s="124">
        <v>0.12809964876253921</v>
      </c>
      <c r="AC381" s="124">
        <v>0.12820331136258981</v>
      </c>
      <c r="AD381" s="124">
        <v>0.1283095313166473</v>
      </c>
      <c r="AE381" s="124">
        <v>0.12841840439628091</v>
      </c>
      <c r="AF381" s="124">
        <v>0.1285300312133803</v>
      </c>
      <c r="AG381" s="124">
        <v>0.1286445175296953</v>
      </c>
      <c r="AH381" s="124">
        <v>0.12876197459046551</v>
      </c>
      <c r="AI381" s="124">
        <v>0.12888251948427079</v>
      </c>
      <c r="AJ381" s="124">
        <v>0.1269540096608188</v>
      </c>
      <c r="AK381" s="124">
        <v>0.1249830363272986</v>
      </c>
      <c r="AL381" s="124">
        <v>0.12056305880727471</v>
      </c>
      <c r="AM381" s="124">
        <v>0.120562985803678</v>
      </c>
      <c r="AN381" s="124">
        <v>0.120562910781338</v>
      </c>
      <c r="AO381" s="124">
        <v>0.1205628336554893</v>
      </c>
      <c r="AP381" s="124">
        <v>0.12056275433655329</v>
      </c>
    </row>
    <row r="382" spans="7:43" ht="14.25" customHeight="1" x14ac:dyDescent="0.2">
      <c r="G382" s="138"/>
      <c r="H382" s="380"/>
      <c r="J382" s="358"/>
      <c r="K382" s="135" t="s">
        <v>307</v>
      </c>
      <c r="L382" s="135" t="s">
        <v>274</v>
      </c>
      <c r="M382" s="234">
        <v>0.30000001192092901</v>
      </c>
      <c r="N382" s="234">
        <v>0.30000001192092901</v>
      </c>
      <c r="O382" s="234">
        <v>0</v>
      </c>
      <c r="P382" s="234">
        <v>0</v>
      </c>
      <c r="Q382" s="234">
        <v>0</v>
      </c>
      <c r="R382" s="234">
        <v>0</v>
      </c>
      <c r="S382" s="234">
        <v>0</v>
      </c>
      <c r="T382" s="234">
        <v>0</v>
      </c>
      <c r="U382" s="234">
        <v>0</v>
      </c>
      <c r="V382" s="234">
        <v>0</v>
      </c>
      <c r="W382" s="234">
        <v>0</v>
      </c>
      <c r="X382" s="234">
        <v>0</v>
      </c>
      <c r="Y382" s="234">
        <v>0</v>
      </c>
      <c r="Z382" s="234">
        <v>0</v>
      </c>
      <c r="AA382" s="234">
        <v>0</v>
      </c>
      <c r="AB382" s="234">
        <v>0</v>
      </c>
      <c r="AC382" s="234">
        <v>0</v>
      </c>
      <c r="AD382" s="234">
        <v>0</v>
      </c>
      <c r="AE382" s="234">
        <v>0</v>
      </c>
      <c r="AF382" s="234">
        <v>0</v>
      </c>
      <c r="AG382" s="234">
        <v>0</v>
      </c>
      <c r="AH382" s="234">
        <v>0</v>
      </c>
      <c r="AI382" s="234">
        <v>0</v>
      </c>
      <c r="AJ382" s="234">
        <v>0</v>
      </c>
      <c r="AK382" s="234">
        <v>0</v>
      </c>
      <c r="AL382" s="234">
        <v>0</v>
      </c>
      <c r="AM382" s="234">
        <v>0</v>
      </c>
      <c r="AN382" s="234">
        <v>0</v>
      </c>
      <c r="AO382" s="234">
        <v>0</v>
      </c>
      <c r="AP382" s="234">
        <v>0</v>
      </c>
    </row>
    <row r="383" spans="7:43" ht="14.25" customHeight="1" x14ac:dyDescent="0.2">
      <c r="G383" s="138"/>
      <c r="H383" s="380"/>
      <c r="J383" s="358"/>
      <c r="K383" s="135" t="s">
        <v>137</v>
      </c>
      <c r="L383" s="135" t="s">
        <v>276</v>
      </c>
      <c r="M383" s="235">
        <v>0</v>
      </c>
      <c r="N383" s="235">
        <v>0</v>
      </c>
      <c r="O383" s="235">
        <v>20.709175464642382</v>
      </c>
      <c r="P383" s="235">
        <v>20.752487619115929</v>
      </c>
      <c r="Q383" s="235">
        <v>20.772811882315359</v>
      </c>
      <c r="R383" s="235">
        <v>20.79425483703055</v>
      </c>
      <c r="S383" s="235">
        <v>20.816911406844891</v>
      </c>
      <c r="T383" s="235">
        <v>20.84088755592391</v>
      </c>
      <c r="U383" s="235">
        <v>20.866301940758039</v>
      </c>
      <c r="V383" s="235">
        <v>20.893287867253608</v>
      </c>
      <c r="W383" s="235">
        <v>20.921995621054108</v>
      </c>
      <c r="X383" s="235">
        <v>20.952595256750001</v>
      </c>
      <c r="Y383" s="235">
        <v>20.985279954840109</v>
      </c>
      <c r="Z383" s="235">
        <v>21.020270085812861</v>
      </c>
      <c r="AA383" s="235">
        <v>21.057818161169219</v>
      </c>
      <c r="AB383" s="235">
        <v>21.070362885136571</v>
      </c>
      <c r="AC383" s="235">
        <v>21.083201652505551</v>
      </c>
      <c r="AD383" s="235">
        <v>21.096344907820601</v>
      </c>
      <c r="AE383" s="235">
        <v>21.109803595388112</v>
      </c>
      <c r="AF383" s="235">
        <v>21.123589189479642</v>
      </c>
      <c r="AG383" s="235">
        <v>21.13771372674378</v>
      </c>
      <c r="AH383" s="235">
        <v>21.152189841026981</v>
      </c>
      <c r="AI383" s="235">
        <v>21.167030800802721</v>
      </c>
      <c r="AJ383" s="235">
        <v>15.695764609913679</v>
      </c>
      <c r="AK383" s="235">
        <v>10.33941363934124</v>
      </c>
      <c r="AL383" s="235">
        <v>0</v>
      </c>
      <c r="AM383" s="235">
        <v>0</v>
      </c>
      <c r="AN383" s="235">
        <v>0</v>
      </c>
      <c r="AO383" s="235">
        <v>0</v>
      </c>
      <c r="AP383" s="235">
        <v>0</v>
      </c>
    </row>
    <row r="384" spans="7:43" ht="14.25" customHeight="1" x14ac:dyDescent="0.2">
      <c r="G384" s="138"/>
      <c r="H384" s="380"/>
      <c r="J384" s="358"/>
      <c r="K384" s="135" t="s">
        <v>137</v>
      </c>
      <c r="L384" s="135" t="s">
        <v>277</v>
      </c>
      <c r="M384" s="235">
        <v>0</v>
      </c>
      <c r="N384" s="235">
        <v>0</v>
      </c>
      <c r="O384" s="235">
        <v>20.709175464642382</v>
      </c>
      <c r="P384" s="235">
        <v>20.752487619115929</v>
      </c>
      <c r="Q384" s="235">
        <v>20.772811882315359</v>
      </c>
      <c r="R384" s="235">
        <v>20.79425483703055</v>
      </c>
      <c r="S384" s="235">
        <v>20.816911406844891</v>
      </c>
      <c r="T384" s="235">
        <v>20.84088755592391</v>
      </c>
      <c r="U384" s="235">
        <v>20.866301940758039</v>
      </c>
      <c r="V384" s="235">
        <v>20.893287867253608</v>
      </c>
      <c r="W384" s="235">
        <v>20.921995621054108</v>
      </c>
      <c r="X384" s="235">
        <v>20.952595256750001</v>
      </c>
      <c r="Y384" s="235">
        <v>20.985279954840109</v>
      </c>
      <c r="Z384" s="235">
        <v>21.020270085812861</v>
      </c>
      <c r="AA384" s="235">
        <v>21.057818161169219</v>
      </c>
      <c r="AB384" s="235">
        <v>21.070362885136571</v>
      </c>
      <c r="AC384" s="235">
        <v>21.083201652505551</v>
      </c>
      <c r="AD384" s="235">
        <v>21.096344907820601</v>
      </c>
      <c r="AE384" s="235">
        <v>21.109803595388112</v>
      </c>
      <c r="AF384" s="235">
        <v>21.123589189479642</v>
      </c>
      <c r="AG384" s="235">
        <v>21.13771372674378</v>
      </c>
      <c r="AH384" s="235">
        <v>21.152189841026981</v>
      </c>
      <c r="AI384" s="235">
        <v>21.167030800802721</v>
      </c>
      <c r="AJ384" s="235">
        <v>15.695764609913679</v>
      </c>
      <c r="AK384" s="235">
        <v>10.33941363934124</v>
      </c>
      <c r="AL384" s="235">
        <v>0</v>
      </c>
      <c r="AM384" s="235">
        <v>0</v>
      </c>
      <c r="AN384" s="235">
        <v>0</v>
      </c>
      <c r="AO384" s="235">
        <v>0</v>
      </c>
      <c r="AP384" s="235">
        <v>0</v>
      </c>
    </row>
    <row r="385" spans="7:42" ht="14.25" customHeight="1" x14ac:dyDescent="0.2">
      <c r="G385" s="138"/>
      <c r="H385" s="380"/>
      <c r="J385" s="358"/>
      <c r="K385" s="135" t="s">
        <v>137</v>
      </c>
      <c r="L385" s="135" t="s">
        <v>278</v>
      </c>
      <c r="M385" s="235">
        <v>0</v>
      </c>
      <c r="N385" s="235">
        <v>0</v>
      </c>
      <c r="O385" s="235">
        <v>20.709175464642382</v>
      </c>
      <c r="P385" s="235">
        <v>20.752487619115929</v>
      </c>
      <c r="Q385" s="235">
        <v>20.772811882315359</v>
      </c>
      <c r="R385" s="235">
        <v>20.79425483703055</v>
      </c>
      <c r="S385" s="235">
        <v>20.816911406844891</v>
      </c>
      <c r="T385" s="235">
        <v>20.84088755592391</v>
      </c>
      <c r="U385" s="235">
        <v>20.866301940758039</v>
      </c>
      <c r="V385" s="235">
        <v>20.893287867253608</v>
      </c>
      <c r="W385" s="235">
        <v>20.921995621054108</v>
      </c>
      <c r="X385" s="235">
        <v>20.952595256750001</v>
      </c>
      <c r="Y385" s="235">
        <v>20.985279954840109</v>
      </c>
      <c r="Z385" s="235">
        <v>21.020270085812861</v>
      </c>
      <c r="AA385" s="235">
        <v>21.057818161169219</v>
      </c>
      <c r="AB385" s="235">
        <v>21.070362885136571</v>
      </c>
      <c r="AC385" s="235">
        <v>21.083201652505551</v>
      </c>
      <c r="AD385" s="235">
        <v>21.096344907820601</v>
      </c>
      <c r="AE385" s="235">
        <v>21.109803595388112</v>
      </c>
      <c r="AF385" s="235">
        <v>21.123589189479642</v>
      </c>
      <c r="AG385" s="235">
        <v>21.13771372674378</v>
      </c>
      <c r="AH385" s="235">
        <v>21.152189841026981</v>
      </c>
      <c r="AI385" s="235">
        <v>21.167030800802721</v>
      </c>
      <c r="AJ385" s="235">
        <v>15.695764609913679</v>
      </c>
      <c r="AK385" s="235">
        <v>10.33941363934124</v>
      </c>
      <c r="AL385" s="235">
        <v>0</v>
      </c>
      <c r="AM385" s="235">
        <v>0</v>
      </c>
      <c r="AN385" s="235">
        <v>0</v>
      </c>
      <c r="AO385" s="235">
        <v>0</v>
      </c>
      <c r="AP385" s="235">
        <v>0</v>
      </c>
    </row>
    <row r="386" spans="7:42" ht="14.25" customHeight="1" x14ac:dyDescent="0.2">
      <c r="G386" s="138"/>
      <c r="H386" s="380"/>
      <c r="J386" s="358"/>
      <c r="K386" s="135" t="s">
        <v>308</v>
      </c>
      <c r="L386" s="135" t="s">
        <v>276</v>
      </c>
      <c r="M386" s="238">
        <v>0.8323847066597686</v>
      </c>
      <c r="N386" s="238">
        <v>0.83237735642491062</v>
      </c>
      <c r="O386" s="238">
        <v>0.83253049529129575</v>
      </c>
      <c r="P386" s="238">
        <v>0.83200904143567667</v>
      </c>
      <c r="Q386" s="238">
        <v>0.83146072596802689</v>
      </c>
      <c r="R386" s="238">
        <v>0.83088242234251153</v>
      </c>
      <c r="S386" s="238">
        <v>0.83027160067817385</v>
      </c>
      <c r="T386" s="238">
        <v>0.82962543834541935</v>
      </c>
      <c r="U386" s="238">
        <v>0.82894077635972574</v>
      </c>
      <c r="V386" s="238">
        <v>0.82821406774244388</v>
      </c>
      <c r="W386" s="238">
        <v>0.82744131606750493</v>
      </c>
      <c r="X386" s="238">
        <v>0.82661800194705326</v>
      </c>
      <c r="Y386" s="238">
        <v>0.82573899460111588</v>
      </c>
      <c r="Z386" s="238">
        <v>0.82479844485719245</v>
      </c>
      <c r="AA386" s="238">
        <v>0.82378965486565259</v>
      </c>
      <c r="AB386" s="238">
        <v>0.82345273834432042</v>
      </c>
      <c r="AC386" s="238">
        <v>0.82310798507763572</v>
      </c>
      <c r="AD386" s="238">
        <v>0.8227551184488654</v>
      </c>
      <c r="AE386" s="238">
        <v>0.82239384866919618</v>
      </c>
      <c r="AF386" s="238">
        <v>0.82202387198427473</v>
      </c>
      <c r="AG386" s="238">
        <v>0.82164486982281804</v>
      </c>
      <c r="AH386" s="238">
        <v>0.82125650788204152</v>
      </c>
      <c r="AI386" s="238">
        <v>0.82085843514466439</v>
      </c>
      <c r="AJ386" s="238">
        <v>0.82728817853653891</v>
      </c>
      <c r="AK386" s="238">
        <v>0.83399779006778796</v>
      </c>
      <c r="AL386" s="238">
        <v>0.84958031705673931</v>
      </c>
      <c r="AM386" s="238">
        <v>0.84958058080930599</v>
      </c>
      <c r="AN386" s="238">
        <v>0.84958085185555665</v>
      </c>
      <c r="AO386" s="238">
        <v>0.84958113050175876</v>
      </c>
      <c r="AP386" s="238">
        <v>0.84958141707156665</v>
      </c>
    </row>
    <row r="387" spans="7:42" ht="14.25" customHeight="1" x14ac:dyDescent="0.2">
      <c r="G387" s="138"/>
      <c r="H387" s="380"/>
      <c r="J387" s="358"/>
      <c r="K387" s="135" t="s">
        <v>308</v>
      </c>
      <c r="L387" s="135" t="s">
        <v>277</v>
      </c>
      <c r="M387" s="238">
        <v>0.8323847066597686</v>
      </c>
      <c r="N387" s="238">
        <v>0.83237735642491062</v>
      </c>
      <c r="O387" s="238">
        <v>0.83253049529129575</v>
      </c>
      <c r="P387" s="238">
        <v>0.83200904143567667</v>
      </c>
      <c r="Q387" s="238">
        <v>0.83146072596802689</v>
      </c>
      <c r="R387" s="238">
        <v>0.83088242234251153</v>
      </c>
      <c r="S387" s="238">
        <v>0.83027160067817385</v>
      </c>
      <c r="T387" s="238">
        <v>0.82962543834541935</v>
      </c>
      <c r="U387" s="238">
        <v>0.82894077635972574</v>
      </c>
      <c r="V387" s="238">
        <v>0.82821406774244388</v>
      </c>
      <c r="W387" s="238">
        <v>0.82744131606750493</v>
      </c>
      <c r="X387" s="238">
        <v>0.82661800194705326</v>
      </c>
      <c r="Y387" s="238">
        <v>0.82573899460111588</v>
      </c>
      <c r="Z387" s="238">
        <v>0.82479844485719245</v>
      </c>
      <c r="AA387" s="238">
        <v>0.82378965486565259</v>
      </c>
      <c r="AB387" s="238">
        <v>0.82345273834432042</v>
      </c>
      <c r="AC387" s="238">
        <v>0.82310798507763572</v>
      </c>
      <c r="AD387" s="238">
        <v>0.8227551184488654</v>
      </c>
      <c r="AE387" s="238">
        <v>0.82239384866919618</v>
      </c>
      <c r="AF387" s="238">
        <v>0.82202387198427473</v>
      </c>
      <c r="AG387" s="238">
        <v>0.82164486982281804</v>
      </c>
      <c r="AH387" s="238">
        <v>0.82125650788204152</v>
      </c>
      <c r="AI387" s="238">
        <v>0.82085843514466439</v>
      </c>
      <c r="AJ387" s="238">
        <v>0.82728817853653891</v>
      </c>
      <c r="AK387" s="238">
        <v>0.83399779006778796</v>
      </c>
      <c r="AL387" s="238">
        <v>0.84958031705673931</v>
      </c>
      <c r="AM387" s="238">
        <v>0.84958058080930599</v>
      </c>
      <c r="AN387" s="238">
        <v>0.84958085185555665</v>
      </c>
      <c r="AO387" s="238">
        <v>0.84958113050175876</v>
      </c>
      <c r="AP387" s="238">
        <v>0.84958141707156665</v>
      </c>
    </row>
    <row r="388" spans="7:42" ht="14.25" customHeight="1" x14ac:dyDescent="0.2">
      <c r="G388" s="138"/>
      <c r="H388" s="380"/>
      <c r="J388" s="358"/>
      <c r="K388" s="135" t="s">
        <v>308</v>
      </c>
      <c r="L388" s="135" t="s">
        <v>278</v>
      </c>
      <c r="M388" s="238">
        <v>0.8323847066597686</v>
      </c>
      <c r="N388" s="238">
        <v>0.83237735642491062</v>
      </c>
      <c r="O388" s="238">
        <v>0.83253049529129575</v>
      </c>
      <c r="P388" s="238">
        <v>0.83200904143567667</v>
      </c>
      <c r="Q388" s="238">
        <v>0.83146072596802689</v>
      </c>
      <c r="R388" s="238">
        <v>0.83088242234251153</v>
      </c>
      <c r="S388" s="238">
        <v>0.83027160067817385</v>
      </c>
      <c r="T388" s="238">
        <v>0.82962543834541935</v>
      </c>
      <c r="U388" s="238">
        <v>0.82894077635972574</v>
      </c>
      <c r="V388" s="238">
        <v>0.82821406774244388</v>
      </c>
      <c r="W388" s="238">
        <v>0.82744131606750493</v>
      </c>
      <c r="X388" s="238">
        <v>0.82661800194705326</v>
      </c>
      <c r="Y388" s="238">
        <v>0.82573899460111588</v>
      </c>
      <c r="Z388" s="238">
        <v>0.82479844485719245</v>
      </c>
      <c r="AA388" s="238">
        <v>0.82378965486565259</v>
      </c>
      <c r="AB388" s="238">
        <v>0.82345273834432042</v>
      </c>
      <c r="AC388" s="238">
        <v>0.82310798507763572</v>
      </c>
      <c r="AD388" s="238">
        <v>0.8227551184488654</v>
      </c>
      <c r="AE388" s="238">
        <v>0.82239384866919618</v>
      </c>
      <c r="AF388" s="238">
        <v>0.82202387198427473</v>
      </c>
      <c r="AG388" s="238">
        <v>0.82164486982281804</v>
      </c>
      <c r="AH388" s="238">
        <v>0.82125650788204152</v>
      </c>
      <c r="AI388" s="238">
        <v>0.82085843514466439</v>
      </c>
      <c r="AJ388" s="238">
        <v>0.82728817853653891</v>
      </c>
      <c r="AK388" s="238">
        <v>0.83399779006778796</v>
      </c>
      <c r="AL388" s="238">
        <v>0.84958031705673931</v>
      </c>
      <c r="AM388" s="238">
        <v>0.84958058080930599</v>
      </c>
      <c r="AN388" s="238">
        <v>0.84958085185555665</v>
      </c>
      <c r="AO388" s="238">
        <v>0.84958113050175876</v>
      </c>
      <c r="AP388" s="238">
        <v>0.84958141707156665</v>
      </c>
    </row>
    <row r="389" spans="7:42" ht="14.25" customHeight="1" x14ac:dyDescent="0.2">
      <c r="G389" s="138"/>
      <c r="H389" s="380"/>
      <c r="J389" s="358"/>
      <c r="K389" s="135" t="s">
        <v>309</v>
      </c>
      <c r="L389" s="135" t="s">
        <v>276</v>
      </c>
      <c r="M389" s="238">
        <v>0.69739097681934359</v>
      </c>
      <c r="N389" s="238">
        <v>0.69739314239687289</v>
      </c>
      <c r="O389" s="238">
        <v>1.0580482770159181</v>
      </c>
      <c r="P389" s="238">
        <v>1.0582290233429259</v>
      </c>
      <c r="Q389" s="238">
        <v>1.0584190804414619</v>
      </c>
      <c r="R389" s="238">
        <v>1.0586195320347931</v>
      </c>
      <c r="S389" s="238">
        <v>1.058831255030215</v>
      </c>
      <c r="T389" s="238">
        <v>1.0590552278075529</v>
      </c>
      <c r="U389" s="238">
        <v>1.059292545333971</v>
      </c>
      <c r="V389" s="238">
        <v>1.0595444370631499</v>
      </c>
      <c r="W389" s="238">
        <v>1.05981228823623</v>
      </c>
      <c r="X389" s="238">
        <v>1.060097665363356</v>
      </c>
      <c r="Y389" s="238">
        <v>1.0604023468754009</v>
      </c>
      <c r="Z389" s="238">
        <v>1.0607283602124411</v>
      </c>
      <c r="AA389" s="238">
        <v>1.0610780269830069</v>
      </c>
      <c r="AB389" s="238">
        <v>1.061194808982187</v>
      </c>
      <c r="AC389" s="238">
        <v>1.061314307353914</v>
      </c>
      <c r="AD389" s="238">
        <v>1.061436617979076</v>
      </c>
      <c r="AE389" s="238">
        <v>1.0615618413042669</v>
      </c>
      <c r="AF389" s="238">
        <v>1.0616900826168161</v>
      </c>
      <c r="AG389" s="238">
        <v>1.0618214523398961</v>
      </c>
      <c r="AH389" s="238">
        <v>1.061956066349532</v>
      </c>
      <c r="AI389" s="238">
        <v>1.062094046315329</v>
      </c>
      <c r="AJ389" s="238">
        <v>1.059865368764739</v>
      </c>
      <c r="AK389" s="238">
        <v>1.057539683324201</v>
      </c>
      <c r="AL389" s="238">
        <v>1.052138468071095</v>
      </c>
      <c r="AM389" s="238">
        <v>1.052138376649185</v>
      </c>
      <c r="AN389" s="238">
        <v>1.0521382826991379</v>
      </c>
      <c r="AO389" s="238">
        <v>1.052138186114796</v>
      </c>
      <c r="AP389" s="238">
        <v>1.052138086783974</v>
      </c>
    </row>
    <row r="390" spans="7:42" ht="14.25" customHeight="1" x14ac:dyDescent="0.2">
      <c r="G390" s="138"/>
      <c r="H390" s="380"/>
      <c r="J390" s="358"/>
      <c r="K390" s="135" t="s">
        <v>309</v>
      </c>
      <c r="L390" s="135" t="s">
        <v>277</v>
      </c>
      <c r="M390" s="238">
        <v>0.69739097681934359</v>
      </c>
      <c r="N390" s="238">
        <v>0.69739314239687289</v>
      </c>
      <c r="O390" s="238">
        <v>1.0580482770159181</v>
      </c>
      <c r="P390" s="238">
        <v>1.0582290233429259</v>
      </c>
      <c r="Q390" s="238">
        <v>1.0584190804414619</v>
      </c>
      <c r="R390" s="238">
        <v>1.0586195320347931</v>
      </c>
      <c r="S390" s="238">
        <v>1.058831255030215</v>
      </c>
      <c r="T390" s="238">
        <v>1.0590552278075529</v>
      </c>
      <c r="U390" s="238">
        <v>1.059292545333971</v>
      </c>
      <c r="V390" s="238">
        <v>1.0595444370631499</v>
      </c>
      <c r="W390" s="238">
        <v>1.05981228823623</v>
      </c>
      <c r="X390" s="238">
        <v>1.060097665363356</v>
      </c>
      <c r="Y390" s="238">
        <v>1.0604023468754009</v>
      </c>
      <c r="Z390" s="238">
        <v>1.0607283602124411</v>
      </c>
      <c r="AA390" s="238">
        <v>1.0610780269830069</v>
      </c>
      <c r="AB390" s="238">
        <v>1.061194808982187</v>
      </c>
      <c r="AC390" s="238">
        <v>1.061314307353914</v>
      </c>
      <c r="AD390" s="238">
        <v>1.061436617979076</v>
      </c>
      <c r="AE390" s="238">
        <v>1.0615618413042669</v>
      </c>
      <c r="AF390" s="238">
        <v>1.0616900826168161</v>
      </c>
      <c r="AG390" s="238">
        <v>1.0618214523398961</v>
      </c>
      <c r="AH390" s="238">
        <v>1.061956066349532</v>
      </c>
      <c r="AI390" s="238">
        <v>1.062094046315329</v>
      </c>
      <c r="AJ390" s="238">
        <v>1.059865368764739</v>
      </c>
      <c r="AK390" s="238">
        <v>1.057539683324201</v>
      </c>
      <c r="AL390" s="238">
        <v>1.052138468071095</v>
      </c>
      <c r="AM390" s="238">
        <v>1.052138376649185</v>
      </c>
      <c r="AN390" s="238">
        <v>1.0521382826991379</v>
      </c>
      <c r="AO390" s="238">
        <v>1.052138186114796</v>
      </c>
      <c r="AP390" s="238">
        <v>1.052138086783974</v>
      </c>
    </row>
    <row r="391" spans="7:42" ht="15" customHeight="1" x14ac:dyDescent="0.2">
      <c r="G391" s="138"/>
      <c r="H391" s="380"/>
      <c r="J391" s="358"/>
      <c r="K391" s="135" t="s">
        <v>309</v>
      </c>
      <c r="L391" s="135" t="s">
        <v>278</v>
      </c>
      <c r="M391" s="238">
        <v>0.69739097681934359</v>
      </c>
      <c r="N391" s="238">
        <v>0.69739314239687289</v>
      </c>
      <c r="O391" s="238">
        <v>1.0580482770159181</v>
      </c>
      <c r="P391" s="238">
        <v>1.0582290233429259</v>
      </c>
      <c r="Q391" s="238">
        <v>1.0584190804414619</v>
      </c>
      <c r="R391" s="238">
        <v>1.0586195320347931</v>
      </c>
      <c r="S391" s="238">
        <v>1.058831255030215</v>
      </c>
      <c r="T391" s="238">
        <v>1.0590552278075529</v>
      </c>
      <c r="U391" s="238">
        <v>1.059292545333971</v>
      </c>
      <c r="V391" s="238">
        <v>1.0595444370631499</v>
      </c>
      <c r="W391" s="238">
        <v>1.05981228823623</v>
      </c>
      <c r="X391" s="238">
        <v>1.060097665363356</v>
      </c>
      <c r="Y391" s="238">
        <v>1.0604023468754009</v>
      </c>
      <c r="Z391" s="238">
        <v>1.0607283602124411</v>
      </c>
      <c r="AA391" s="238">
        <v>1.0610780269830069</v>
      </c>
      <c r="AB391" s="238">
        <v>1.061194808982187</v>
      </c>
      <c r="AC391" s="238">
        <v>1.061314307353914</v>
      </c>
      <c r="AD391" s="238">
        <v>1.061436617979076</v>
      </c>
      <c r="AE391" s="238">
        <v>1.0615618413042669</v>
      </c>
      <c r="AF391" s="238">
        <v>1.0616900826168161</v>
      </c>
      <c r="AG391" s="238">
        <v>1.0618214523398961</v>
      </c>
      <c r="AH391" s="238">
        <v>1.061956066349532</v>
      </c>
      <c r="AI391" s="238">
        <v>1.062094046315329</v>
      </c>
      <c r="AJ391" s="238">
        <v>1.059865368764739</v>
      </c>
      <c r="AK391" s="238">
        <v>1.057539683324201</v>
      </c>
      <c r="AL391" s="238">
        <v>1.052138468071095</v>
      </c>
      <c r="AM391" s="238">
        <v>1.052138376649185</v>
      </c>
      <c r="AN391" s="238">
        <v>1.0521382826991379</v>
      </c>
      <c r="AO391" s="238">
        <v>1.052138186114796</v>
      </c>
      <c r="AP391" s="238">
        <v>1.052138086783974</v>
      </c>
    </row>
    <row r="392" spans="7:42" ht="14.25" customHeight="1" x14ac:dyDescent="0.2">
      <c r="G392" s="138"/>
      <c r="H392" s="233"/>
      <c r="I392" s="239" t="s">
        <v>310</v>
      </c>
      <c r="J392" s="240"/>
      <c r="K392" s="241" t="s">
        <v>311</v>
      </c>
      <c r="L392" s="241"/>
      <c r="M392" s="123">
        <v>2021</v>
      </c>
      <c r="N392" s="123">
        <v>2022</v>
      </c>
      <c r="O392" s="123">
        <v>2023</v>
      </c>
      <c r="P392" s="123">
        <v>2024</v>
      </c>
      <c r="Q392" s="123">
        <v>2025</v>
      </c>
      <c r="R392" s="123">
        <v>2026</v>
      </c>
      <c r="S392" s="123">
        <v>2027</v>
      </c>
      <c r="T392" s="123">
        <v>2028</v>
      </c>
      <c r="U392" s="123">
        <v>2029</v>
      </c>
      <c r="V392" s="123">
        <v>2030</v>
      </c>
      <c r="W392" s="123">
        <v>2031</v>
      </c>
      <c r="X392" s="123">
        <v>2032</v>
      </c>
      <c r="Y392" s="123">
        <v>2033</v>
      </c>
      <c r="Z392" s="123">
        <v>2034</v>
      </c>
      <c r="AA392" s="123">
        <v>2035</v>
      </c>
      <c r="AB392" s="123">
        <v>2036</v>
      </c>
      <c r="AC392" s="123">
        <v>2037</v>
      </c>
      <c r="AD392" s="123">
        <v>2038</v>
      </c>
      <c r="AE392" s="123">
        <v>2039</v>
      </c>
      <c r="AF392" s="123">
        <v>2040</v>
      </c>
      <c r="AG392" s="123">
        <v>2041</v>
      </c>
      <c r="AH392" s="123">
        <v>2042</v>
      </c>
      <c r="AI392" s="123">
        <v>2043</v>
      </c>
      <c r="AJ392" s="123">
        <v>2044</v>
      </c>
      <c r="AK392" s="123">
        <v>2045</v>
      </c>
      <c r="AL392" s="123">
        <v>2046</v>
      </c>
      <c r="AM392" s="123">
        <v>2047</v>
      </c>
      <c r="AN392" s="123">
        <v>2048</v>
      </c>
      <c r="AO392" s="123">
        <v>2049</v>
      </c>
      <c r="AP392" s="123">
        <v>2050</v>
      </c>
    </row>
    <row r="393" spans="7:42" ht="14.25" customHeight="1" x14ac:dyDescent="0.2">
      <c r="G393" s="138"/>
      <c r="H393" s="233"/>
      <c r="I393" s="131">
        <v>0.2</v>
      </c>
      <c r="J393" s="244" t="s">
        <v>312</v>
      </c>
      <c r="K393" s="242">
        <v>1</v>
      </c>
      <c r="L393" s="242"/>
      <c r="M393" s="243">
        <v>0.93493319502615368</v>
      </c>
      <c r="N393" s="243">
        <v>0.93493008759690233</v>
      </c>
      <c r="O393" s="243">
        <v>0.93499482433121783</v>
      </c>
      <c r="P393" s="243">
        <v>0.93477434450358987</v>
      </c>
      <c r="Q393" s="243">
        <v>0.93454237118559647</v>
      </c>
      <c r="R393" s="243">
        <v>0.93429755974723527</v>
      </c>
      <c r="S393" s="243">
        <v>0.93403881380718035</v>
      </c>
      <c r="T393" s="243">
        <v>0.93376490850058314</v>
      </c>
      <c r="U393" s="243">
        <v>0.93347447108886061</v>
      </c>
      <c r="V393" s="243">
        <v>0.93316595794878821</v>
      </c>
      <c r="W393" s="243">
        <v>0.9328376271267006</v>
      </c>
      <c r="X393" s="243">
        <v>0.93248750542754388</v>
      </c>
      <c r="Y393" s="243">
        <v>0.93211334872555573</v>
      </c>
      <c r="Z393" s="243">
        <v>0.93171259380990601</v>
      </c>
      <c r="AA393" s="243">
        <v>0.93128229958133191</v>
      </c>
      <c r="AB393" s="243">
        <v>0.93113848259923415</v>
      </c>
      <c r="AC393" s="243">
        <v>0.93099126489576667</v>
      </c>
      <c r="AD393" s="243">
        <v>0.93084052440651943</v>
      </c>
      <c r="AE393" s="243">
        <v>0.93068613315456505</v>
      </c>
      <c r="AF393" s="243">
        <v>0.93052795688806045</v>
      </c>
      <c r="AG393" s="243">
        <v>0.93036585469091493</v>
      </c>
      <c r="AH393" s="243">
        <v>0.93019967856404639</v>
      </c>
      <c r="AI393" s="243">
        <v>0.93002927297473192</v>
      </c>
      <c r="AJ393" s="243">
        <v>0.9327725280641872</v>
      </c>
      <c r="AK393" s="243">
        <v>0.93561454731665972</v>
      </c>
      <c r="AL393" s="243">
        <v>0.94213528112168754</v>
      </c>
      <c r="AM393" s="243">
        <v>0.94213539056597673</v>
      </c>
      <c r="AN393" s="243">
        <v>0.94213550303675231</v>
      </c>
      <c r="AO393" s="243">
        <v>0.94213561866109741</v>
      </c>
      <c r="AP393" s="243">
        <v>0.94213573757330948</v>
      </c>
    </row>
    <row r="394" spans="7:42" ht="14.25" customHeight="1" x14ac:dyDescent="0.2">
      <c r="G394" s="138"/>
      <c r="H394" s="233"/>
      <c r="I394" s="131">
        <v>0.32</v>
      </c>
      <c r="J394" s="244"/>
      <c r="K394" s="242">
        <v>2</v>
      </c>
      <c r="L394" s="242"/>
      <c r="M394" s="243">
        <v>0.87410007916181187</v>
      </c>
      <c r="N394" s="243">
        <v>0.87409426869395135</v>
      </c>
      <c r="O394" s="243">
        <v>0.87421532152616488</v>
      </c>
      <c r="P394" s="243">
        <v>0.87380307514211619</v>
      </c>
      <c r="Q394" s="243">
        <v>0.87336944354119705</v>
      </c>
      <c r="R394" s="243">
        <v>0.87291193014963864</v>
      </c>
      <c r="S394" s="243">
        <v>0.87242850569832464</v>
      </c>
      <c r="T394" s="243">
        <v>0.87191690434710245</v>
      </c>
      <c r="U394" s="243">
        <v>0.8713745881746281</v>
      </c>
      <c r="V394" s="243">
        <v>0.87079870507447943</v>
      </c>
      <c r="W394" s="243">
        <v>0.87018603858337329</v>
      </c>
      <c r="X394" s="243">
        <v>0.86953294777848356</v>
      </c>
      <c r="Y394" s="243">
        <v>0.86883529487236943</v>
      </c>
      <c r="Z394" s="243">
        <v>0.86808835746398283</v>
      </c>
      <c r="AA394" s="243">
        <v>0.86728672151349362</v>
      </c>
      <c r="AB394" s="243">
        <v>0.86701887377720432</v>
      </c>
      <c r="AC394" s="243">
        <v>0.86674473531221952</v>
      </c>
      <c r="AD394" s="243">
        <v>0.86646408187740409</v>
      </c>
      <c r="AE394" s="243">
        <v>0.86617667844619672</v>
      </c>
      <c r="AF394" s="243">
        <v>0.86588227855026823</v>
      </c>
      <c r="AG394" s="243">
        <v>0.86558062357475662</v>
      </c>
      <c r="AH394" s="243">
        <v>0.8652714420006552</v>
      </c>
      <c r="AI394" s="243">
        <v>0.86495444858990844</v>
      </c>
      <c r="AJ394" s="243">
        <v>0.87006458911125495</v>
      </c>
      <c r="AK394" s="243">
        <v>0.875374581150558</v>
      </c>
      <c r="AL394" s="243">
        <v>0.88761888793424126</v>
      </c>
      <c r="AM394" s="243">
        <v>0.88761909415690554</v>
      </c>
      <c r="AN394" s="243">
        <v>0.88761930608231443</v>
      </c>
      <c r="AO394" s="243">
        <v>0.88761952394992871</v>
      </c>
      <c r="AP394" s="243">
        <v>0.88761974801280386</v>
      </c>
    </row>
    <row r="395" spans="7:42" ht="14.25" customHeight="1" x14ac:dyDescent="0.2">
      <c r="G395" s="138"/>
      <c r="H395" s="233"/>
      <c r="I395" s="131">
        <v>0.192</v>
      </c>
      <c r="J395" s="244"/>
      <c r="K395" s="242">
        <v>3</v>
      </c>
      <c r="L395" s="242"/>
      <c r="M395" s="243">
        <v>0.81722517978336662</v>
      </c>
      <c r="N395" s="243">
        <v>0.81721703119798628</v>
      </c>
      <c r="O395" s="243">
        <v>0.81738680097801564</v>
      </c>
      <c r="P395" s="243">
        <v>0.81680869679119283</v>
      </c>
      <c r="Q395" s="243">
        <v>0.81620075068803521</v>
      </c>
      <c r="R395" s="243">
        <v>0.81555948621305641</v>
      </c>
      <c r="S395" s="243">
        <v>0.81488208659403416</v>
      </c>
      <c r="T395" s="243">
        <v>0.81416540840778384</v>
      </c>
      <c r="U395" s="243">
        <v>0.81340593281658458</v>
      </c>
      <c r="V395" s="243">
        <v>0.8125997078013909</v>
      </c>
      <c r="W395" s="243">
        <v>0.81174227939089749</v>
      </c>
      <c r="X395" s="243">
        <v>0.81082860936101686</v>
      </c>
      <c r="Y395" s="243">
        <v>0.80985297619443997</v>
      </c>
      <c r="Z395" s="243">
        <v>0.80880885518894829</v>
      </c>
      <c r="AA395" s="243">
        <v>0.80768877240744041</v>
      </c>
      <c r="AB395" s="243">
        <v>0.80731463851380292</v>
      </c>
      <c r="AC395" s="243">
        <v>0.80693177747006983</v>
      </c>
      <c r="AD395" s="243">
        <v>0.80653988035417612</v>
      </c>
      <c r="AE395" s="243">
        <v>0.80613862349175602</v>
      </c>
      <c r="AF395" s="243">
        <v>0.80572766756495962</v>
      </c>
      <c r="AG395" s="243">
        <v>0.80530665665602352</v>
      </c>
      <c r="AH395" s="243">
        <v>0.80487521721965838</v>
      </c>
      <c r="AI395" s="243">
        <v>0.80443295697833261</v>
      </c>
      <c r="AJ395" s="243">
        <v>0.81157234636443354</v>
      </c>
      <c r="AK395" s="243">
        <v>0.81901319247568993</v>
      </c>
      <c r="AL395" s="243">
        <v>0.83625707051284592</v>
      </c>
      <c r="AM395" s="243">
        <v>0.83625736194733469</v>
      </c>
      <c r="AN395" s="243">
        <v>0.83625766144099445</v>
      </c>
      <c r="AO395" s="243">
        <v>0.83625796933223484</v>
      </c>
      <c r="AP395" s="243">
        <v>0.83625828597867802</v>
      </c>
    </row>
    <row r="396" spans="7:42" ht="14.25" customHeight="1" x14ac:dyDescent="0.2">
      <c r="G396" s="138"/>
      <c r="H396" s="233"/>
      <c r="I396" s="131">
        <v>0.1152</v>
      </c>
      <c r="J396" s="244"/>
      <c r="K396" s="242">
        <v>4</v>
      </c>
      <c r="L396" s="242"/>
      <c r="M396" s="243">
        <v>0.76405094839068577</v>
      </c>
      <c r="N396" s="243">
        <v>0.76404079056361363</v>
      </c>
      <c r="O396" s="243">
        <v>0.76425242839109575</v>
      </c>
      <c r="P396" s="243">
        <v>0.76353181412781868</v>
      </c>
      <c r="Q396" s="243">
        <v>0.76277418491146021</v>
      </c>
      <c r="R396" s="243">
        <v>0.76197523779756759</v>
      </c>
      <c r="S396" s="243">
        <v>0.76113149755501175</v>
      </c>
      <c r="T396" s="243">
        <v>0.7602390880862343</v>
      </c>
      <c r="U396" s="243">
        <v>0.75929367291650263</v>
      </c>
      <c r="V396" s="243">
        <v>0.75829038475939037</v>
      </c>
      <c r="W396" s="243">
        <v>0.75722374174542406</v>
      </c>
      <c r="X396" s="243">
        <v>0.75608754727233907</v>
      </c>
      <c r="Y396" s="243">
        <v>0.75487476961595701</v>
      </c>
      <c r="Z396" s="243">
        <v>0.75357739636451548</v>
      </c>
      <c r="AA396" s="243">
        <v>0.7521862573136241</v>
      </c>
      <c r="AB396" s="243">
        <v>0.75172172748589172</v>
      </c>
      <c r="AC396" s="243">
        <v>0.75124643619144948</v>
      </c>
      <c r="AD396" s="243">
        <v>0.75076000518365271</v>
      </c>
      <c r="AE396" s="243">
        <v>0.75026203828408622</v>
      </c>
      <c r="AF396" s="243">
        <v>0.74975212030740424</v>
      </c>
      <c r="AG396" s="243">
        <v>0.74922981590806459</v>
      </c>
      <c r="AH396" s="243">
        <v>0.74869466834189324</v>
      </c>
      <c r="AI396" s="243">
        <v>0.74814619813547256</v>
      </c>
      <c r="AJ396" s="243">
        <v>0.75701238922533687</v>
      </c>
      <c r="AK396" s="243">
        <v>0.76628065732451489</v>
      </c>
      <c r="AL396" s="243">
        <v>0.78786729021761903</v>
      </c>
      <c r="AM396" s="243">
        <v>0.78786765631192557</v>
      </c>
      <c r="AN396" s="243">
        <v>0.78786803253004944</v>
      </c>
      <c r="AO396" s="243">
        <v>0.78786841929709817</v>
      </c>
      <c r="AP396" s="243">
        <v>0.78786881706231349</v>
      </c>
    </row>
    <row r="397" spans="7:42" ht="14.25" customHeight="1" x14ac:dyDescent="0.2">
      <c r="G397" s="138"/>
      <c r="H397" s="233"/>
      <c r="I397" s="131">
        <v>0.1152</v>
      </c>
      <c r="J397" s="244"/>
      <c r="K397" s="242">
        <v>5</v>
      </c>
      <c r="L397" s="242"/>
      <c r="M397" s="243">
        <v>0.71433659434166674</v>
      </c>
      <c r="N397" s="243">
        <v>0.71432472324924579</v>
      </c>
      <c r="O397" s="243">
        <v>0.71457206502823922</v>
      </c>
      <c r="P397" s="243">
        <v>0.71372995105896853</v>
      </c>
      <c r="Q397" s="243">
        <v>0.71284479544631663</v>
      </c>
      <c r="R397" s="243">
        <v>0.71191160526208663</v>
      </c>
      <c r="S397" s="243">
        <v>0.71092636112756602</v>
      </c>
      <c r="T397" s="243">
        <v>0.70988458252540931</v>
      </c>
      <c r="U397" s="243">
        <v>0.70878125972685058</v>
      </c>
      <c r="V397" s="243">
        <v>0.70761077329735167</v>
      </c>
      <c r="W397" s="243">
        <v>0.7063667984538029</v>
      </c>
      <c r="X397" s="243">
        <v>0.70504219084081354</v>
      </c>
      <c r="Y397" s="243">
        <v>0.70362884937516201</v>
      </c>
      <c r="Z397" s="243">
        <v>0.70211755060329839</v>
      </c>
      <c r="AA397" s="243">
        <v>0.70049774742450721</v>
      </c>
      <c r="AB397" s="243">
        <v>0.69995702866808829</v>
      </c>
      <c r="AC397" s="243">
        <v>0.69940386987831438</v>
      </c>
      <c r="AD397" s="243">
        <v>0.69883783692859258</v>
      </c>
      <c r="AE397" s="243">
        <v>0.69825847526327844</v>
      </c>
      <c r="AF397" s="243">
        <v>0.69766530868214016</v>
      </c>
      <c r="AG397" s="243">
        <v>0.69705783803722332</v>
      </c>
      <c r="AH397" s="243">
        <v>0.69643553983424444</v>
      </c>
      <c r="AI397" s="243">
        <v>0.69579786473074323</v>
      </c>
      <c r="AJ397" s="243">
        <v>0.70612036007362788</v>
      </c>
      <c r="AK397" s="243">
        <v>0.71694333032018842</v>
      </c>
      <c r="AL397" s="243">
        <v>0.74227757095575864</v>
      </c>
      <c r="AM397" s="243">
        <v>0.74227800209373673</v>
      </c>
      <c r="AN397" s="243">
        <v>0.74227844515427444</v>
      </c>
      <c r="AO397" s="243">
        <v>0.74227890063801238</v>
      </c>
      <c r="AP397" s="243">
        <v>0.7422793690740136</v>
      </c>
    </row>
    <row r="398" spans="7:42" ht="14.25" customHeight="1" x14ac:dyDescent="0.2">
      <c r="G398" s="138"/>
      <c r="H398" s="233"/>
      <c r="I398" s="131">
        <v>5.7599999999999998E-2</v>
      </c>
      <c r="J398" s="244"/>
      <c r="K398" s="242">
        <v>6</v>
      </c>
      <c r="L398" s="242"/>
      <c r="M398" s="243">
        <v>0.6678569944719559</v>
      </c>
      <c r="N398" s="243">
        <v>0.66784367608005035</v>
      </c>
      <c r="O398" s="243">
        <v>0.66812118241307417</v>
      </c>
      <c r="P398" s="243">
        <v>0.66717644715372648</v>
      </c>
      <c r="Q398" s="243">
        <v>0.6661836654237121</v>
      </c>
      <c r="R398" s="243">
        <v>0.66513727555210456</v>
      </c>
      <c r="S398" s="243">
        <v>0.66403281505184697</v>
      </c>
      <c r="T398" s="243">
        <v>0.66286531224781353</v>
      </c>
      <c r="U398" s="243">
        <v>0.66162921154121823</v>
      </c>
      <c r="V398" s="243">
        <v>0.66031828511890589</v>
      </c>
      <c r="W398" s="243">
        <v>0.65892552815072991</v>
      </c>
      <c r="X398" s="243">
        <v>0.65744303375832047</v>
      </c>
      <c r="Y398" s="243">
        <v>0.65586184305099193</v>
      </c>
      <c r="Z398" s="243">
        <v>0.65417176423205703</v>
      </c>
      <c r="AA398" s="243">
        <v>0.6523611530730381</v>
      </c>
      <c r="AB398" s="243">
        <v>0.65175692555867226</v>
      </c>
      <c r="AC398" s="243">
        <v>0.65113889349100618</v>
      </c>
      <c r="AD398" s="243">
        <v>0.65050657860172878</v>
      </c>
      <c r="AE398" s="243">
        <v>0.64985948028518303</v>
      </c>
      <c r="AF398" s="243">
        <v>0.64919707427966999</v>
      </c>
      <c r="AG398" s="243">
        <v>0.64851881125450261</v>
      </c>
      <c r="AH398" s="243">
        <v>0.64782411529439232</v>
      </c>
      <c r="AI398" s="243">
        <v>0.64711238227290402</v>
      </c>
      <c r="AJ398" s="243">
        <v>0.65864967338347202</v>
      </c>
      <c r="AK398" s="243">
        <v>0.67078260944922152</v>
      </c>
      <c r="AL398" s="243">
        <v>0.6993258879827271</v>
      </c>
      <c r="AM398" s="243">
        <v>0.69932637541111553</v>
      </c>
      <c r="AN398" s="243">
        <v>0.69932687631876078</v>
      </c>
      <c r="AO398" s="243">
        <v>0.6993273912716732</v>
      </c>
      <c r="AP398" s="243">
        <v>0.69932792086799656</v>
      </c>
    </row>
    <row r="399" spans="7:42" ht="14.25" customHeight="1" x14ac:dyDescent="0.2">
      <c r="G399" s="138"/>
      <c r="H399" s="233"/>
      <c r="J399" s="244"/>
      <c r="K399" s="241" t="s">
        <v>313</v>
      </c>
      <c r="L399" s="241"/>
      <c r="M399" s="123">
        <v>2021</v>
      </c>
      <c r="N399" s="123">
        <v>2022</v>
      </c>
      <c r="O399" s="123">
        <v>2023</v>
      </c>
      <c r="P399" s="123">
        <v>2024</v>
      </c>
      <c r="Q399" s="123">
        <v>2025</v>
      </c>
      <c r="R399" s="123">
        <v>2026</v>
      </c>
      <c r="S399" s="123">
        <v>2027</v>
      </c>
      <c r="T399" s="123">
        <v>2028</v>
      </c>
      <c r="U399" s="123">
        <v>2029</v>
      </c>
      <c r="V399" s="123">
        <v>2030</v>
      </c>
      <c r="W399" s="123">
        <v>2031</v>
      </c>
      <c r="X399" s="123">
        <v>2032</v>
      </c>
      <c r="Y399" s="123">
        <v>2033</v>
      </c>
      <c r="Z399" s="123">
        <v>2034</v>
      </c>
      <c r="AA399" s="123">
        <v>2035</v>
      </c>
      <c r="AB399" s="123">
        <v>2036</v>
      </c>
      <c r="AC399" s="123">
        <v>2037</v>
      </c>
      <c r="AD399" s="123">
        <v>2038</v>
      </c>
      <c r="AE399" s="123">
        <v>2039</v>
      </c>
      <c r="AF399" s="123">
        <v>2040</v>
      </c>
      <c r="AG399" s="123">
        <v>2041</v>
      </c>
      <c r="AH399" s="123">
        <v>2042</v>
      </c>
      <c r="AI399" s="123">
        <v>2043</v>
      </c>
      <c r="AJ399" s="123">
        <v>2044</v>
      </c>
      <c r="AK399" s="123">
        <v>2045</v>
      </c>
      <c r="AL399" s="123">
        <v>2046</v>
      </c>
      <c r="AM399" s="123">
        <v>2047</v>
      </c>
      <c r="AN399" s="123">
        <v>2048</v>
      </c>
      <c r="AO399" s="123">
        <v>2049</v>
      </c>
      <c r="AP399" s="123">
        <v>2050</v>
      </c>
    </row>
    <row r="400" spans="7:42" ht="14.25" customHeight="1" x14ac:dyDescent="0.2">
      <c r="G400" s="138"/>
      <c r="H400" s="233"/>
      <c r="J400" s="244"/>
      <c r="K400" s="242">
        <v>1</v>
      </c>
      <c r="L400" s="242"/>
      <c r="M400" s="243">
        <v>0.93493319502615368</v>
      </c>
      <c r="N400" s="243">
        <v>0.93493008759690233</v>
      </c>
      <c r="O400" s="243">
        <v>0.93499482433121783</v>
      </c>
      <c r="P400" s="243">
        <v>0.93477434450358987</v>
      </c>
      <c r="Q400" s="243">
        <v>0.93454237118559647</v>
      </c>
      <c r="R400" s="243">
        <v>0.93429755974723527</v>
      </c>
      <c r="S400" s="243">
        <v>0.93403881380718035</v>
      </c>
      <c r="T400" s="243">
        <v>0.93376490850058314</v>
      </c>
      <c r="U400" s="243">
        <v>0.93347447108886061</v>
      </c>
      <c r="V400" s="243">
        <v>0.93316595794878821</v>
      </c>
      <c r="W400" s="243">
        <v>0.9328376271267006</v>
      </c>
      <c r="X400" s="243">
        <v>0.93248750542754388</v>
      </c>
      <c r="Y400" s="243">
        <v>0.93211334872555573</v>
      </c>
      <c r="Z400" s="243">
        <v>0.93171259380990601</v>
      </c>
      <c r="AA400" s="243">
        <v>0.93128229958133191</v>
      </c>
      <c r="AB400" s="243">
        <v>0.93113848259923415</v>
      </c>
      <c r="AC400" s="243">
        <v>0.93099126489576667</v>
      </c>
      <c r="AD400" s="243">
        <v>0.93084052440651943</v>
      </c>
      <c r="AE400" s="243">
        <v>0.93068613315456505</v>
      </c>
      <c r="AF400" s="243">
        <v>0.93052795688806045</v>
      </c>
      <c r="AG400" s="243">
        <v>0.93036585469091493</v>
      </c>
      <c r="AH400" s="243">
        <v>0.93019967856404639</v>
      </c>
      <c r="AI400" s="243">
        <v>0.93002927297473192</v>
      </c>
      <c r="AJ400" s="243">
        <v>0.9327725280641872</v>
      </c>
      <c r="AK400" s="243">
        <v>0.93561454731665972</v>
      </c>
      <c r="AL400" s="243">
        <v>0.94213528112168754</v>
      </c>
      <c r="AM400" s="243">
        <v>0.94213539056597673</v>
      </c>
      <c r="AN400" s="243">
        <v>0.94213550303675231</v>
      </c>
      <c r="AO400" s="243">
        <v>0.94213561866109741</v>
      </c>
      <c r="AP400" s="243">
        <v>0.94213573757330948</v>
      </c>
    </row>
    <row r="401" spans="6:42" ht="14.25" customHeight="1" x14ac:dyDescent="0.2">
      <c r="G401" s="138"/>
      <c r="H401" s="233"/>
      <c r="J401" s="244"/>
      <c r="K401" s="242">
        <v>2</v>
      </c>
      <c r="L401" s="242"/>
      <c r="M401" s="243">
        <v>0.87410007916181187</v>
      </c>
      <c r="N401" s="243">
        <v>0.87409426869395135</v>
      </c>
      <c r="O401" s="243">
        <v>0.87421532152616488</v>
      </c>
      <c r="P401" s="243">
        <v>0.87380307514211619</v>
      </c>
      <c r="Q401" s="243">
        <v>0.87336944354119705</v>
      </c>
      <c r="R401" s="243">
        <v>0.87291193014963864</v>
      </c>
      <c r="S401" s="243">
        <v>0.87242850569832464</v>
      </c>
      <c r="T401" s="243">
        <v>0.87191690434710245</v>
      </c>
      <c r="U401" s="243">
        <v>0.8713745881746281</v>
      </c>
      <c r="V401" s="243">
        <v>0.87079870507447943</v>
      </c>
      <c r="W401" s="243">
        <v>0.87018603858337329</v>
      </c>
      <c r="X401" s="243">
        <v>0.86953294777848356</v>
      </c>
      <c r="Y401" s="243">
        <v>0.86883529487236943</v>
      </c>
      <c r="Z401" s="243">
        <v>0.86808835746398283</v>
      </c>
      <c r="AA401" s="243">
        <v>0.86728672151349362</v>
      </c>
      <c r="AB401" s="243">
        <v>0.86701887377720432</v>
      </c>
      <c r="AC401" s="243">
        <v>0.86674473531221952</v>
      </c>
      <c r="AD401" s="243">
        <v>0.86646408187740409</v>
      </c>
      <c r="AE401" s="243">
        <v>0.86617667844619672</v>
      </c>
      <c r="AF401" s="243">
        <v>0.86588227855026823</v>
      </c>
      <c r="AG401" s="243">
        <v>0.86558062357475662</v>
      </c>
      <c r="AH401" s="243">
        <v>0.8652714420006552</v>
      </c>
      <c r="AI401" s="243">
        <v>0.86495444858990844</v>
      </c>
      <c r="AJ401" s="243">
        <v>0.87006458911125495</v>
      </c>
      <c r="AK401" s="243">
        <v>0.875374581150558</v>
      </c>
      <c r="AL401" s="243">
        <v>0.88761888793424126</v>
      </c>
      <c r="AM401" s="243">
        <v>0.88761909415690554</v>
      </c>
      <c r="AN401" s="243">
        <v>0.88761930608231443</v>
      </c>
      <c r="AO401" s="243">
        <v>0.88761952394992871</v>
      </c>
      <c r="AP401" s="243">
        <v>0.88761974801280386</v>
      </c>
    </row>
    <row r="402" spans="6:42" ht="14.25" customHeight="1" x14ac:dyDescent="0.2">
      <c r="G402" s="138"/>
      <c r="H402" s="233"/>
      <c r="J402" s="244"/>
      <c r="K402" s="242">
        <v>3</v>
      </c>
      <c r="L402" s="242"/>
      <c r="M402" s="243">
        <v>0.81722517978336662</v>
      </c>
      <c r="N402" s="243">
        <v>0.81721703119798628</v>
      </c>
      <c r="O402" s="243">
        <v>0.81738680097801564</v>
      </c>
      <c r="P402" s="243">
        <v>0.81680869679119283</v>
      </c>
      <c r="Q402" s="243">
        <v>0.81620075068803521</v>
      </c>
      <c r="R402" s="243">
        <v>0.81555948621305641</v>
      </c>
      <c r="S402" s="243">
        <v>0.81488208659403416</v>
      </c>
      <c r="T402" s="243">
        <v>0.81416540840778384</v>
      </c>
      <c r="U402" s="243">
        <v>0.81340593281658458</v>
      </c>
      <c r="V402" s="243">
        <v>0.8125997078013909</v>
      </c>
      <c r="W402" s="243">
        <v>0.81174227939089749</v>
      </c>
      <c r="X402" s="243">
        <v>0.81082860936101686</v>
      </c>
      <c r="Y402" s="243">
        <v>0.80985297619443997</v>
      </c>
      <c r="Z402" s="243">
        <v>0.80880885518894829</v>
      </c>
      <c r="AA402" s="243">
        <v>0.80768877240744041</v>
      </c>
      <c r="AB402" s="243">
        <v>0.80731463851380292</v>
      </c>
      <c r="AC402" s="243">
        <v>0.80693177747006983</v>
      </c>
      <c r="AD402" s="243">
        <v>0.80653988035417612</v>
      </c>
      <c r="AE402" s="243">
        <v>0.80613862349175602</v>
      </c>
      <c r="AF402" s="243">
        <v>0.80572766756495962</v>
      </c>
      <c r="AG402" s="243">
        <v>0.80530665665602352</v>
      </c>
      <c r="AH402" s="243">
        <v>0.80487521721965838</v>
      </c>
      <c r="AI402" s="243">
        <v>0.80443295697833261</v>
      </c>
      <c r="AJ402" s="243">
        <v>0.81157234636443354</v>
      </c>
      <c r="AK402" s="243">
        <v>0.81901319247568993</v>
      </c>
      <c r="AL402" s="243">
        <v>0.83625707051284592</v>
      </c>
      <c r="AM402" s="243">
        <v>0.83625736194733469</v>
      </c>
      <c r="AN402" s="243">
        <v>0.83625766144099445</v>
      </c>
      <c r="AO402" s="243">
        <v>0.83625796933223484</v>
      </c>
      <c r="AP402" s="243">
        <v>0.83625828597867802</v>
      </c>
    </row>
    <row r="403" spans="6:42" ht="14.25" customHeight="1" x14ac:dyDescent="0.2">
      <c r="G403" s="138"/>
      <c r="H403" s="233"/>
      <c r="J403" s="244"/>
      <c r="K403" s="242">
        <v>4</v>
      </c>
      <c r="L403" s="242"/>
      <c r="M403" s="243">
        <v>0.76405094839068577</v>
      </c>
      <c r="N403" s="243">
        <v>0.76404079056361363</v>
      </c>
      <c r="O403" s="243">
        <v>0.76425242839109575</v>
      </c>
      <c r="P403" s="243">
        <v>0.76353181412781868</v>
      </c>
      <c r="Q403" s="243">
        <v>0.76277418491146021</v>
      </c>
      <c r="R403" s="243">
        <v>0.76197523779756759</v>
      </c>
      <c r="S403" s="243">
        <v>0.76113149755501175</v>
      </c>
      <c r="T403" s="243">
        <v>0.7602390880862343</v>
      </c>
      <c r="U403" s="243">
        <v>0.75929367291650263</v>
      </c>
      <c r="V403" s="243">
        <v>0.75829038475939037</v>
      </c>
      <c r="W403" s="243">
        <v>0.75722374174542406</v>
      </c>
      <c r="X403" s="243">
        <v>0.75608754727233907</v>
      </c>
      <c r="Y403" s="243">
        <v>0.75487476961595701</v>
      </c>
      <c r="Z403" s="243">
        <v>0.75357739636451548</v>
      </c>
      <c r="AA403" s="243">
        <v>0.7521862573136241</v>
      </c>
      <c r="AB403" s="243">
        <v>0.75172172748589172</v>
      </c>
      <c r="AC403" s="243">
        <v>0.75124643619144948</v>
      </c>
      <c r="AD403" s="243">
        <v>0.75076000518365271</v>
      </c>
      <c r="AE403" s="243">
        <v>0.75026203828408622</v>
      </c>
      <c r="AF403" s="243">
        <v>0.74975212030740424</v>
      </c>
      <c r="AG403" s="243">
        <v>0.74922981590806459</v>
      </c>
      <c r="AH403" s="243">
        <v>0.74869466834189324</v>
      </c>
      <c r="AI403" s="243">
        <v>0.74814619813547256</v>
      </c>
      <c r="AJ403" s="243">
        <v>0.75701238922533687</v>
      </c>
      <c r="AK403" s="243">
        <v>0.76628065732451489</v>
      </c>
      <c r="AL403" s="243">
        <v>0.78786729021761903</v>
      </c>
      <c r="AM403" s="243">
        <v>0.78786765631192557</v>
      </c>
      <c r="AN403" s="243">
        <v>0.78786803253004944</v>
      </c>
      <c r="AO403" s="243">
        <v>0.78786841929709817</v>
      </c>
      <c r="AP403" s="243">
        <v>0.78786881706231349</v>
      </c>
    </row>
    <row r="404" spans="6:42" ht="14.25" customHeight="1" x14ac:dyDescent="0.2">
      <c r="G404" s="138"/>
      <c r="H404" s="233"/>
      <c r="J404" s="244"/>
      <c r="K404" s="242">
        <v>5</v>
      </c>
      <c r="L404" s="242"/>
      <c r="M404" s="243">
        <v>0.71433659434166674</v>
      </c>
      <c r="N404" s="243">
        <v>0.71432472324924579</v>
      </c>
      <c r="O404" s="243">
        <v>0.71457206502823922</v>
      </c>
      <c r="P404" s="243">
        <v>0.71372995105896853</v>
      </c>
      <c r="Q404" s="243">
        <v>0.71284479544631663</v>
      </c>
      <c r="R404" s="243">
        <v>0.71191160526208663</v>
      </c>
      <c r="S404" s="243">
        <v>0.71092636112756602</v>
      </c>
      <c r="T404" s="243">
        <v>0.70988458252540931</v>
      </c>
      <c r="U404" s="243">
        <v>0.70878125972685058</v>
      </c>
      <c r="V404" s="243">
        <v>0.70761077329735167</v>
      </c>
      <c r="W404" s="243">
        <v>0.7063667984538029</v>
      </c>
      <c r="X404" s="243">
        <v>0.70504219084081354</v>
      </c>
      <c r="Y404" s="243">
        <v>0.70362884937516201</v>
      </c>
      <c r="Z404" s="243">
        <v>0.70211755060329839</v>
      </c>
      <c r="AA404" s="243">
        <v>0.70049774742450721</v>
      </c>
      <c r="AB404" s="243">
        <v>0.69995702866808829</v>
      </c>
      <c r="AC404" s="243">
        <v>0.69940386987831438</v>
      </c>
      <c r="AD404" s="243">
        <v>0.69883783692859258</v>
      </c>
      <c r="AE404" s="243">
        <v>0.69825847526327844</v>
      </c>
      <c r="AF404" s="243">
        <v>0.69766530868214016</v>
      </c>
      <c r="AG404" s="243">
        <v>0.69705783803722332</v>
      </c>
      <c r="AH404" s="243">
        <v>0.69643553983424444</v>
      </c>
      <c r="AI404" s="243">
        <v>0.69579786473074323</v>
      </c>
      <c r="AJ404" s="243">
        <v>0.70612036007362788</v>
      </c>
      <c r="AK404" s="243">
        <v>0.71694333032018842</v>
      </c>
      <c r="AL404" s="243">
        <v>0.74227757095575864</v>
      </c>
      <c r="AM404" s="243">
        <v>0.74227800209373673</v>
      </c>
      <c r="AN404" s="243">
        <v>0.74227844515427444</v>
      </c>
      <c r="AO404" s="243">
        <v>0.74227890063801238</v>
      </c>
      <c r="AP404" s="243">
        <v>0.7422793690740136</v>
      </c>
    </row>
    <row r="405" spans="6:42" ht="14.25" customHeight="1" x14ac:dyDescent="0.2">
      <c r="G405" s="138"/>
      <c r="H405" s="233"/>
      <c r="J405" s="244"/>
      <c r="K405" s="242">
        <v>6</v>
      </c>
      <c r="L405" s="242"/>
      <c r="M405" s="243">
        <v>0.6678569944719559</v>
      </c>
      <c r="N405" s="243">
        <v>0.66784367608005035</v>
      </c>
      <c r="O405" s="243">
        <v>0.66812118241307417</v>
      </c>
      <c r="P405" s="243">
        <v>0.66717644715372648</v>
      </c>
      <c r="Q405" s="243">
        <v>0.6661836654237121</v>
      </c>
      <c r="R405" s="243">
        <v>0.66513727555210456</v>
      </c>
      <c r="S405" s="243">
        <v>0.66403281505184697</v>
      </c>
      <c r="T405" s="243">
        <v>0.66286531224781353</v>
      </c>
      <c r="U405" s="243">
        <v>0.66162921154121823</v>
      </c>
      <c r="V405" s="243">
        <v>0.66031828511890589</v>
      </c>
      <c r="W405" s="243">
        <v>0.65892552815072991</v>
      </c>
      <c r="X405" s="243">
        <v>0.65744303375832047</v>
      </c>
      <c r="Y405" s="243">
        <v>0.65586184305099193</v>
      </c>
      <c r="Z405" s="243">
        <v>0.65417176423205703</v>
      </c>
      <c r="AA405" s="243">
        <v>0.6523611530730381</v>
      </c>
      <c r="AB405" s="243">
        <v>0.65175692555867226</v>
      </c>
      <c r="AC405" s="243">
        <v>0.65113889349100618</v>
      </c>
      <c r="AD405" s="243">
        <v>0.65050657860172878</v>
      </c>
      <c r="AE405" s="243">
        <v>0.64985948028518303</v>
      </c>
      <c r="AF405" s="243">
        <v>0.64919707427966999</v>
      </c>
      <c r="AG405" s="243">
        <v>0.64851881125450261</v>
      </c>
      <c r="AH405" s="243">
        <v>0.64782411529439232</v>
      </c>
      <c r="AI405" s="243">
        <v>0.64711238227290402</v>
      </c>
      <c r="AJ405" s="243">
        <v>0.65864967338347202</v>
      </c>
      <c r="AK405" s="243">
        <v>0.67078260944922152</v>
      </c>
      <c r="AL405" s="243">
        <v>0.6993258879827271</v>
      </c>
      <c r="AM405" s="243">
        <v>0.69932637541111553</v>
      </c>
      <c r="AN405" s="243">
        <v>0.69932687631876078</v>
      </c>
      <c r="AO405" s="243">
        <v>0.6993273912716732</v>
      </c>
      <c r="AP405" s="243">
        <v>0.69932792086799656</v>
      </c>
    </row>
    <row r="406" spans="6:42" ht="14.25" customHeight="1" x14ac:dyDescent="0.2">
      <c r="G406" s="138"/>
      <c r="H406" s="233"/>
      <c r="J406" s="244"/>
      <c r="K406" s="242" t="s">
        <v>314</v>
      </c>
      <c r="L406" s="242"/>
      <c r="M406" s="123">
        <v>2021</v>
      </c>
      <c r="N406" s="123">
        <v>2022</v>
      </c>
      <c r="O406" s="123">
        <v>2023</v>
      </c>
      <c r="P406" s="123">
        <v>2024</v>
      </c>
      <c r="Q406" s="123">
        <v>2025</v>
      </c>
      <c r="R406" s="123">
        <v>2026</v>
      </c>
      <c r="S406" s="123">
        <v>2027</v>
      </c>
      <c r="T406" s="123">
        <v>2028</v>
      </c>
      <c r="U406" s="123">
        <v>2029</v>
      </c>
      <c r="V406" s="123">
        <v>2030</v>
      </c>
      <c r="W406" s="123">
        <v>2031</v>
      </c>
      <c r="X406" s="123">
        <v>2032</v>
      </c>
      <c r="Y406" s="123">
        <v>2033</v>
      </c>
      <c r="Z406" s="123">
        <v>2034</v>
      </c>
      <c r="AA406" s="123">
        <v>2035</v>
      </c>
      <c r="AB406" s="123">
        <v>2036</v>
      </c>
      <c r="AC406" s="123">
        <v>2037</v>
      </c>
      <c r="AD406" s="123">
        <v>2038</v>
      </c>
      <c r="AE406" s="123">
        <v>2039</v>
      </c>
      <c r="AF406" s="123">
        <v>2040</v>
      </c>
      <c r="AG406" s="123">
        <v>2041</v>
      </c>
      <c r="AH406" s="123">
        <v>2042</v>
      </c>
      <c r="AI406" s="123">
        <v>2043</v>
      </c>
      <c r="AJ406" s="123">
        <v>2044</v>
      </c>
      <c r="AK406" s="123">
        <v>2045</v>
      </c>
      <c r="AL406" s="123">
        <v>2046</v>
      </c>
      <c r="AM406" s="123">
        <v>2047</v>
      </c>
      <c r="AN406" s="123">
        <v>2048</v>
      </c>
      <c r="AO406" s="123">
        <v>2049</v>
      </c>
      <c r="AP406" s="123">
        <v>2050</v>
      </c>
    </row>
    <row r="407" spans="6:42" ht="14.25" customHeight="1" x14ac:dyDescent="0.2">
      <c r="G407" s="138"/>
      <c r="H407" s="233"/>
      <c r="J407" s="244"/>
      <c r="K407" s="242">
        <v>1</v>
      </c>
      <c r="L407" s="242"/>
      <c r="M407" s="243">
        <v>0.93493319502615368</v>
      </c>
      <c r="N407" s="243">
        <v>0.93493008759690233</v>
      </c>
      <c r="O407" s="243">
        <v>0.93499482433121783</v>
      </c>
      <c r="P407" s="243">
        <v>0.93477434450358987</v>
      </c>
      <c r="Q407" s="243">
        <v>0.93454237118559647</v>
      </c>
      <c r="R407" s="243">
        <v>0.93429755974723527</v>
      </c>
      <c r="S407" s="243">
        <v>0.93403881380718035</v>
      </c>
      <c r="T407" s="243">
        <v>0.93376490850058314</v>
      </c>
      <c r="U407" s="243">
        <v>0.93347447108886061</v>
      </c>
      <c r="V407" s="243">
        <v>0.93316595794878821</v>
      </c>
      <c r="W407" s="243">
        <v>0.9328376271267006</v>
      </c>
      <c r="X407" s="243">
        <v>0.93248750542754388</v>
      </c>
      <c r="Y407" s="243">
        <v>0.93211334872555573</v>
      </c>
      <c r="Z407" s="243">
        <v>0.93171259380990601</v>
      </c>
      <c r="AA407" s="243">
        <v>0.93128229958133191</v>
      </c>
      <c r="AB407" s="243">
        <v>0.93113848259923415</v>
      </c>
      <c r="AC407" s="243">
        <v>0.93099126489576667</v>
      </c>
      <c r="AD407" s="243">
        <v>0.93084052440651943</v>
      </c>
      <c r="AE407" s="243">
        <v>0.93068613315456505</v>
      </c>
      <c r="AF407" s="243">
        <v>0.93052795688806045</v>
      </c>
      <c r="AG407" s="243">
        <v>0.93036585469091493</v>
      </c>
      <c r="AH407" s="243">
        <v>0.93019967856404639</v>
      </c>
      <c r="AI407" s="243">
        <v>0.93002927297473192</v>
      </c>
      <c r="AJ407" s="243">
        <v>0.9327725280641872</v>
      </c>
      <c r="AK407" s="243">
        <v>0.93561454731665972</v>
      </c>
      <c r="AL407" s="243">
        <v>0.94213528112168754</v>
      </c>
      <c r="AM407" s="243">
        <v>0.94213539056597673</v>
      </c>
      <c r="AN407" s="243">
        <v>0.94213550303675231</v>
      </c>
      <c r="AO407" s="243">
        <v>0.94213561866109741</v>
      </c>
      <c r="AP407" s="243">
        <v>0.94213573757330948</v>
      </c>
    </row>
    <row r="408" spans="6:42" ht="14.25" customHeight="1" x14ac:dyDescent="0.2">
      <c r="G408" s="138"/>
      <c r="H408" s="233"/>
      <c r="J408" s="244"/>
      <c r="K408" s="242">
        <v>2</v>
      </c>
      <c r="L408" s="242"/>
      <c r="M408" s="243">
        <v>0.87410007916181187</v>
      </c>
      <c r="N408" s="243">
        <v>0.87409426869395135</v>
      </c>
      <c r="O408" s="243">
        <v>0.87421532152616488</v>
      </c>
      <c r="P408" s="243">
        <v>0.87380307514211619</v>
      </c>
      <c r="Q408" s="243">
        <v>0.87336944354119705</v>
      </c>
      <c r="R408" s="243">
        <v>0.87291193014963864</v>
      </c>
      <c r="S408" s="243">
        <v>0.87242850569832464</v>
      </c>
      <c r="T408" s="243">
        <v>0.87191690434710245</v>
      </c>
      <c r="U408" s="243">
        <v>0.8713745881746281</v>
      </c>
      <c r="V408" s="243">
        <v>0.87079870507447943</v>
      </c>
      <c r="W408" s="243">
        <v>0.87018603858337329</v>
      </c>
      <c r="X408" s="243">
        <v>0.86953294777848356</v>
      </c>
      <c r="Y408" s="243">
        <v>0.86883529487236943</v>
      </c>
      <c r="Z408" s="243">
        <v>0.86808835746398283</v>
      </c>
      <c r="AA408" s="243">
        <v>0.86728672151349362</v>
      </c>
      <c r="AB408" s="243">
        <v>0.86701887377720432</v>
      </c>
      <c r="AC408" s="243">
        <v>0.86674473531221952</v>
      </c>
      <c r="AD408" s="243">
        <v>0.86646408187740409</v>
      </c>
      <c r="AE408" s="243">
        <v>0.86617667844619672</v>
      </c>
      <c r="AF408" s="243">
        <v>0.86588227855026823</v>
      </c>
      <c r="AG408" s="243">
        <v>0.86558062357475662</v>
      </c>
      <c r="AH408" s="243">
        <v>0.8652714420006552</v>
      </c>
      <c r="AI408" s="243">
        <v>0.86495444858990844</v>
      </c>
      <c r="AJ408" s="243">
        <v>0.87006458911125495</v>
      </c>
      <c r="AK408" s="243">
        <v>0.875374581150558</v>
      </c>
      <c r="AL408" s="243">
        <v>0.88761888793424126</v>
      </c>
      <c r="AM408" s="243">
        <v>0.88761909415690554</v>
      </c>
      <c r="AN408" s="243">
        <v>0.88761930608231443</v>
      </c>
      <c r="AO408" s="243">
        <v>0.88761952394992871</v>
      </c>
      <c r="AP408" s="243">
        <v>0.88761974801280386</v>
      </c>
    </row>
    <row r="409" spans="6:42" ht="14.25" customHeight="1" x14ac:dyDescent="0.2">
      <c r="G409" s="138"/>
      <c r="H409" s="233"/>
      <c r="J409" s="244"/>
      <c r="K409" s="242">
        <v>3</v>
      </c>
      <c r="L409" s="242"/>
      <c r="M409" s="243">
        <v>0.81722517978336662</v>
      </c>
      <c r="N409" s="243">
        <v>0.81721703119798628</v>
      </c>
      <c r="O409" s="243">
        <v>0.81738680097801564</v>
      </c>
      <c r="P409" s="243">
        <v>0.81680869679119283</v>
      </c>
      <c r="Q409" s="243">
        <v>0.81620075068803521</v>
      </c>
      <c r="R409" s="243">
        <v>0.81555948621305641</v>
      </c>
      <c r="S409" s="243">
        <v>0.81488208659403416</v>
      </c>
      <c r="T409" s="243">
        <v>0.81416540840778384</v>
      </c>
      <c r="U409" s="243">
        <v>0.81340593281658458</v>
      </c>
      <c r="V409" s="243">
        <v>0.8125997078013909</v>
      </c>
      <c r="W409" s="243">
        <v>0.81174227939089749</v>
      </c>
      <c r="X409" s="243">
        <v>0.81082860936101686</v>
      </c>
      <c r="Y409" s="243">
        <v>0.80985297619443997</v>
      </c>
      <c r="Z409" s="243">
        <v>0.80880885518894829</v>
      </c>
      <c r="AA409" s="243">
        <v>0.80768877240744041</v>
      </c>
      <c r="AB409" s="243">
        <v>0.80731463851380292</v>
      </c>
      <c r="AC409" s="243">
        <v>0.80693177747006983</v>
      </c>
      <c r="AD409" s="243">
        <v>0.80653988035417612</v>
      </c>
      <c r="AE409" s="243">
        <v>0.80613862349175602</v>
      </c>
      <c r="AF409" s="243">
        <v>0.80572766756495962</v>
      </c>
      <c r="AG409" s="243">
        <v>0.80530665665602352</v>
      </c>
      <c r="AH409" s="243">
        <v>0.80487521721965838</v>
      </c>
      <c r="AI409" s="243">
        <v>0.80443295697833261</v>
      </c>
      <c r="AJ409" s="243">
        <v>0.81157234636443354</v>
      </c>
      <c r="AK409" s="243">
        <v>0.81901319247568993</v>
      </c>
      <c r="AL409" s="243">
        <v>0.83625707051284592</v>
      </c>
      <c r="AM409" s="243">
        <v>0.83625736194733469</v>
      </c>
      <c r="AN409" s="243">
        <v>0.83625766144099445</v>
      </c>
      <c r="AO409" s="243">
        <v>0.83625796933223484</v>
      </c>
      <c r="AP409" s="243">
        <v>0.83625828597867802</v>
      </c>
    </row>
    <row r="410" spans="6:42" ht="14.25" customHeight="1" x14ac:dyDescent="0.2">
      <c r="G410" s="138"/>
      <c r="H410" s="233"/>
      <c r="J410" s="244"/>
      <c r="K410" s="242">
        <v>4</v>
      </c>
      <c r="L410" s="242"/>
      <c r="M410" s="243">
        <v>0.76405094839068577</v>
      </c>
      <c r="N410" s="243">
        <v>0.76404079056361363</v>
      </c>
      <c r="O410" s="243">
        <v>0.76425242839109575</v>
      </c>
      <c r="P410" s="243">
        <v>0.76353181412781868</v>
      </c>
      <c r="Q410" s="243">
        <v>0.76277418491146021</v>
      </c>
      <c r="R410" s="243">
        <v>0.76197523779756759</v>
      </c>
      <c r="S410" s="243">
        <v>0.76113149755501175</v>
      </c>
      <c r="T410" s="243">
        <v>0.7602390880862343</v>
      </c>
      <c r="U410" s="243">
        <v>0.75929367291650263</v>
      </c>
      <c r="V410" s="243">
        <v>0.75829038475939037</v>
      </c>
      <c r="W410" s="243">
        <v>0.75722374174542406</v>
      </c>
      <c r="X410" s="243">
        <v>0.75608754727233907</v>
      </c>
      <c r="Y410" s="243">
        <v>0.75487476961595701</v>
      </c>
      <c r="Z410" s="243">
        <v>0.75357739636451548</v>
      </c>
      <c r="AA410" s="243">
        <v>0.7521862573136241</v>
      </c>
      <c r="AB410" s="243">
        <v>0.75172172748589172</v>
      </c>
      <c r="AC410" s="243">
        <v>0.75124643619144948</v>
      </c>
      <c r="AD410" s="243">
        <v>0.75076000518365271</v>
      </c>
      <c r="AE410" s="243">
        <v>0.75026203828408622</v>
      </c>
      <c r="AF410" s="243">
        <v>0.74975212030740424</v>
      </c>
      <c r="AG410" s="243">
        <v>0.74922981590806459</v>
      </c>
      <c r="AH410" s="243">
        <v>0.74869466834189324</v>
      </c>
      <c r="AI410" s="243">
        <v>0.74814619813547256</v>
      </c>
      <c r="AJ410" s="243">
        <v>0.75701238922533687</v>
      </c>
      <c r="AK410" s="243">
        <v>0.76628065732451489</v>
      </c>
      <c r="AL410" s="243">
        <v>0.78786729021761903</v>
      </c>
      <c r="AM410" s="243">
        <v>0.78786765631192557</v>
      </c>
      <c r="AN410" s="243">
        <v>0.78786803253004944</v>
      </c>
      <c r="AO410" s="243">
        <v>0.78786841929709817</v>
      </c>
      <c r="AP410" s="243">
        <v>0.78786881706231349</v>
      </c>
    </row>
    <row r="411" spans="6:42" ht="14.25" customHeight="1" x14ac:dyDescent="0.2">
      <c r="G411" s="138"/>
      <c r="H411" s="233"/>
      <c r="J411" s="244"/>
      <c r="K411" s="242">
        <v>5</v>
      </c>
      <c r="L411" s="242"/>
      <c r="M411" s="243">
        <v>0.71433659434166674</v>
      </c>
      <c r="N411" s="243">
        <v>0.71432472324924579</v>
      </c>
      <c r="O411" s="243">
        <v>0.71457206502823922</v>
      </c>
      <c r="P411" s="243">
        <v>0.71372995105896853</v>
      </c>
      <c r="Q411" s="243">
        <v>0.71284479544631663</v>
      </c>
      <c r="R411" s="243">
        <v>0.71191160526208663</v>
      </c>
      <c r="S411" s="243">
        <v>0.71092636112756602</v>
      </c>
      <c r="T411" s="243">
        <v>0.70988458252540931</v>
      </c>
      <c r="U411" s="243">
        <v>0.70878125972685058</v>
      </c>
      <c r="V411" s="243">
        <v>0.70761077329735167</v>
      </c>
      <c r="W411" s="243">
        <v>0.7063667984538029</v>
      </c>
      <c r="X411" s="243">
        <v>0.70504219084081354</v>
      </c>
      <c r="Y411" s="243">
        <v>0.70362884937516201</v>
      </c>
      <c r="Z411" s="243">
        <v>0.70211755060329839</v>
      </c>
      <c r="AA411" s="243">
        <v>0.70049774742450721</v>
      </c>
      <c r="AB411" s="243">
        <v>0.69995702866808829</v>
      </c>
      <c r="AC411" s="243">
        <v>0.69940386987831438</v>
      </c>
      <c r="AD411" s="243">
        <v>0.69883783692859258</v>
      </c>
      <c r="AE411" s="243">
        <v>0.69825847526327844</v>
      </c>
      <c r="AF411" s="243">
        <v>0.69766530868214016</v>
      </c>
      <c r="AG411" s="243">
        <v>0.69705783803722332</v>
      </c>
      <c r="AH411" s="243">
        <v>0.69643553983424444</v>
      </c>
      <c r="AI411" s="243">
        <v>0.69579786473074323</v>
      </c>
      <c r="AJ411" s="243">
        <v>0.70612036007362788</v>
      </c>
      <c r="AK411" s="243">
        <v>0.71694333032018842</v>
      </c>
      <c r="AL411" s="243">
        <v>0.74227757095575864</v>
      </c>
      <c r="AM411" s="243">
        <v>0.74227800209373673</v>
      </c>
      <c r="AN411" s="243">
        <v>0.74227844515427444</v>
      </c>
      <c r="AO411" s="243">
        <v>0.74227890063801238</v>
      </c>
      <c r="AP411" s="243">
        <v>0.7422793690740136</v>
      </c>
    </row>
    <row r="412" spans="6:42" ht="14.25" customHeight="1" x14ac:dyDescent="0.2">
      <c r="G412" s="245"/>
      <c r="H412" s="233"/>
      <c r="I412" s="246"/>
      <c r="J412" s="247"/>
      <c r="K412" s="242">
        <v>6</v>
      </c>
      <c r="L412" s="242"/>
      <c r="M412" s="243">
        <v>0.6678569944719559</v>
      </c>
      <c r="N412" s="243">
        <v>0.66784367608005035</v>
      </c>
      <c r="O412" s="243">
        <v>0.66812118241307417</v>
      </c>
      <c r="P412" s="243">
        <v>0.66717644715372648</v>
      </c>
      <c r="Q412" s="243">
        <v>0.6661836654237121</v>
      </c>
      <c r="R412" s="243">
        <v>0.66513727555210456</v>
      </c>
      <c r="S412" s="243">
        <v>0.66403281505184697</v>
      </c>
      <c r="T412" s="243">
        <v>0.66286531224781353</v>
      </c>
      <c r="U412" s="243">
        <v>0.66162921154121823</v>
      </c>
      <c r="V412" s="243">
        <v>0.66031828511890589</v>
      </c>
      <c r="W412" s="243">
        <v>0.65892552815072991</v>
      </c>
      <c r="X412" s="243">
        <v>0.65744303375832047</v>
      </c>
      <c r="Y412" s="243">
        <v>0.65586184305099193</v>
      </c>
      <c r="Z412" s="243">
        <v>0.65417176423205703</v>
      </c>
      <c r="AA412" s="243">
        <v>0.6523611530730381</v>
      </c>
      <c r="AB412" s="243">
        <v>0.65175692555867226</v>
      </c>
      <c r="AC412" s="243">
        <v>0.65113889349100618</v>
      </c>
      <c r="AD412" s="243">
        <v>0.65050657860172878</v>
      </c>
      <c r="AE412" s="243">
        <v>0.64985948028518303</v>
      </c>
      <c r="AF412" s="243">
        <v>0.64919707427966999</v>
      </c>
      <c r="AG412" s="243">
        <v>0.64851881125450261</v>
      </c>
      <c r="AH412" s="243">
        <v>0.64782411529439232</v>
      </c>
      <c r="AI412" s="243">
        <v>0.64711238227290402</v>
      </c>
      <c r="AJ412" s="243">
        <v>0.65864967338347202</v>
      </c>
      <c r="AK412" s="243">
        <v>0.67078260944922152</v>
      </c>
      <c r="AL412" s="243">
        <v>0.6993258879827271</v>
      </c>
      <c r="AM412" s="243">
        <v>0.69932637541111553</v>
      </c>
      <c r="AN412" s="243">
        <v>0.69932687631876078</v>
      </c>
      <c r="AO412" s="243">
        <v>0.6993273912716732</v>
      </c>
      <c r="AP412" s="243">
        <v>0.69932792086799656</v>
      </c>
    </row>
    <row r="413" spans="6:42" ht="14.25" customHeight="1" x14ac:dyDescent="0.2">
      <c r="G413" s="307"/>
      <c r="J413" s="308"/>
      <c r="K413" s="308"/>
      <c r="L413" s="308"/>
      <c r="M413" s="308"/>
      <c r="N413" s="308"/>
    </row>
    <row r="414" spans="6:42" ht="15.75" customHeight="1" thickBot="1" x14ac:dyDescent="0.25">
      <c r="G414" s="138"/>
      <c r="M414" s="123">
        <v>2021</v>
      </c>
      <c r="N414" s="123">
        <v>2022</v>
      </c>
      <c r="O414" s="123">
        <v>2023</v>
      </c>
      <c r="P414" s="123">
        <v>2024</v>
      </c>
      <c r="Q414" s="123">
        <v>2025</v>
      </c>
      <c r="R414" s="123">
        <v>2026</v>
      </c>
      <c r="S414" s="123">
        <v>2027</v>
      </c>
      <c r="T414" s="123">
        <v>2028</v>
      </c>
      <c r="U414" s="123">
        <v>2029</v>
      </c>
      <c r="V414" s="123">
        <v>2030</v>
      </c>
      <c r="W414" s="123">
        <v>2031</v>
      </c>
      <c r="X414" s="123">
        <v>2032</v>
      </c>
      <c r="Y414" s="123">
        <v>2033</v>
      </c>
      <c r="Z414" s="123">
        <v>2034</v>
      </c>
      <c r="AA414" s="123">
        <v>2035</v>
      </c>
      <c r="AB414" s="123">
        <v>2036</v>
      </c>
      <c r="AC414" s="123">
        <v>2037</v>
      </c>
      <c r="AD414" s="123">
        <v>2038</v>
      </c>
      <c r="AE414" s="123">
        <v>2039</v>
      </c>
      <c r="AF414" s="123">
        <v>2040</v>
      </c>
      <c r="AG414" s="123">
        <v>2041</v>
      </c>
      <c r="AH414" s="123">
        <v>2042</v>
      </c>
      <c r="AI414" s="123">
        <v>2043</v>
      </c>
      <c r="AJ414" s="123">
        <v>2044</v>
      </c>
      <c r="AK414" s="123">
        <v>2045</v>
      </c>
      <c r="AL414" s="123">
        <v>2046</v>
      </c>
      <c r="AM414" s="123">
        <v>2047</v>
      </c>
      <c r="AN414" s="123">
        <v>2048</v>
      </c>
      <c r="AO414" s="123">
        <v>2049</v>
      </c>
      <c r="AP414" s="123">
        <v>2050</v>
      </c>
    </row>
    <row r="415" spans="6:42" ht="14.25" customHeight="1" thickTop="1" thickBot="1" x14ac:dyDescent="0.25">
      <c r="F415" s="250"/>
      <c r="H415" s="233"/>
      <c r="J415" s="357" t="s">
        <v>315</v>
      </c>
      <c r="K415" s="135" t="s">
        <v>316</v>
      </c>
      <c r="L415" s="135" t="s">
        <v>276</v>
      </c>
      <c r="M415" s="249">
        <v>1.036113855493064</v>
      </c>
      <c r="N415" s="249">
        <v>1.036113855493064</v>
      </c>
      <c r="O415" s="249">
        <v>1.036113855493064</v>
      </c>
      <c r="P415" s="249">
        <v>1.036113855493064</v>
      </c>
      <c r="Q415" s="249">
        <v>1.036113855493064</v>
      </c>
      <c r="R415" s="249">
        <v>1.036113855493064</v>
      </c>
      <c r="S415" s="249">
        <v>1.036113855493064</v>
      </c>
      <c r="T415" s="249">
        <v>1.036113855493064</v>
      </c>
      <c r="U415" s="249">
        <v>1.036113855493064</v>
      </c>
      <c r="V415" s="249">
        <v>1.036113855493064</v>
      </c>
      <c r="W415" s="249">
        <v>1.036113855493064</v>
      </c>
      <c r="X415" s="249">
        <v>1.036113855493064</v>
      </c>
      <c r="Y415" s="249">
        <v>1.036113855493064</v>
      </c>
      <c r="Z415" s="249">
        <v>1.036113855493064</v>
      </c>
      <c r="AA415" s="249">
        <v>1.036113855493064</v>
      </c>
      <c r="AB415" s="249">
        <v>1.036113855493064</v>
      </c>
      <c r="AC415" s="249">
        <v>1.036113855493064</v>
      </c>
      <c r="AD415" s="249">
        <v>1.036113855493064</v>
      </c>
      <c r="AE415" s="249">
        <v>1.036113855493064</v>
      </c>
      <c r="AF415" s="249">
        <v>1.036113855493064</v>
      </c>
      <c r="AG415" s="249">
        <v>1.036113855493064</v>
      </c>
      <c r="AH415" s="249">
        <v>1.036113855493064</v>
      </c>
      <c r="AI415" s="249">
        <v>1.036113855493064</v>
      </c>
      <c r="AJ415" s="249">
        <v>1.036113855493064</v>
      </c>
      <c r="AK415" s="249">
        <v>1.036113855493064</v>
      </c>
      <c r="AL415" s="249">
        <v>1.036113855493064</v>
      </c>
      <c r="AM415" s="249">
        <v>1.036113855493064</v>
      </c>
      <c r="AN415" s="249">
        <v>1.036113855493064</v>
      </c>
      <c r="AO415" s="249">
        <v>1.036113855493064</v>
      </c>
      <c r="AP415" s="249">
        <v>1.036113855493064</v>
      </c>
    </row>
    <row r="416" spans="6:42" ht="14.25" customHeight="1" thickTop="1" thickBot="1" x14ac:dyDescent="0.25">
      <c r="F416" s="250"/>
      <c r="H416" s="233"/>
      <c r="J416" s="358"/>
      <c r="K416" s="135" t="s">
        <v>316</v>
      </c>
      <c r="L416" s="135" t="s">
        <v>277</v>
      </c>
      <c r="M416" s="249">
        <v>1.036113855493064</v>
      </c>
      <c r="N416" s="249">
        <v>1.036113855493064</v>
      </c>
      <c r="O416" s="249">
        <v>1.036113855493064</v>
      </c>
      <c r="P416" s="249">
        <v>1.036113855493064</v>
      </c>
      <c r="Q416" s="249">
        <v>1.036113855493064</v>
      </c>
      <c r="R416" s="249">
        <v>1.036113855493064</v>
      </c>
      <c r="S416" s="249">
        <v>1.036113855493064</v>
      </c>
      <c r="T416" s="249">
        <v>1.036113855493064</v>
      </c>
      <c r="U416" s="249">
        <v>1.036113855493064</v>
      </c>
      <c r="V416" s="249">
        <v>1.036113855493064</v>
      </c>
      <c r="W416" s="249">
        <v>1.036113855493064</v>
      </c>
      <c r="X416" s="249">
        <v>1.036113855493064</v>
      </c>
      <c r="Y416" s="249">
        <v>1.036113855493064</v>
      </c>
      <c r="Z416" s="249">
        <v>1.036113855493064</v>
      </c>
      <c r="AA416" s="249">
        <v>1.036113855493064</v>
      </c>
      <c r="AB416" s="249">
        <v>1.036113855493064</v>
      </c>
      <c r="AC416" s="249">
        <v>1.036113855493064</v>
      </c>
      <c r="AD416" s="249">
        <v>1.036113855493064</v>
      </c>
      <c r="AE416" s="249">
        <v>1.036113855493064</v>
      </c>
      <c r="AF416" s="249">
        <v>1.036113855493064</v>
      </c>
      <c r="AG416" s="249">
        <v>1.036113855493064</v>
      </c>
      <c r="AH416" s="249">
        <v>1.036113855493064</v>
      </c>
      <c r="AI416" s="249">
        <v>1.036113855493064</v>
      </c>
      <c r="AJ416" s="249">
        <v>1.036113855493064</v>
      </c>
      <c r="AK416" s="249">
        <v>1.036113855493064</v>
      </c>
      <c r="AL416" s="249">
        <v>1.036113855493064</v>
      </c>
      <c r="AM416" s="249">
        <v>1.036113855493064</v>
      </c>
      <c r="AN416" s="249">
        <v>1.036113855493064</v>
      </c>
      <c r="AO416" s="249">
        <v>1.036113855493064</v>
      </c>
      <c r="AP416" s="249">
        <v>1.036113855493064</v>
      </c>
    </row>
    <row r="417" spans="6:42" ht="14.25" customHeight="1" thickTop="1" x14ac:dyDescent="0.2">
      <c r="F417" s="250"/>
      <c r="H417" s="233"/>
      <c r="J417" s="358"/>
      <c r="K417" s="135" t="s">
        <v>316</v>
      </c>
      <c r="L417" s="135" t="s">
        <v>278</v>
      </c>
      <c r="M417" s="249">
        <v>1.036113855493064</v>
      </c>
      <c r="N417" s="249">
        <v>1.036113855493064</v>
      </c>
      <c r="O417" s="249">
        <v>1.036113855493064</v>
      </c>
      <c r="P417" s="249">
        <v>1.036113855493064</v>
      </c>
      <c r="Q417" s="249">
        <v>1.036113855493064</v>
      </c>
      <c r="R417" s="249">
        <v>1.036113855493064</v>
      </c>
      <c r="S417" s="249">
        <v>1.036113855493064</v>
      </c>
      <c r="T417" s="249">
        <v>1.036113855493064</v>
      </c>
      <c r="U417" s="249">
        <v>1.036113855493064</v>
      </c>
      <c r="V417" s="249">
        <v>1.036113855493064</v>
      </c>
      <c r="W417" s="249">
        <v>1.036113855493064</v>
      </c>
      <c r="X417" s="249">
        <v>1.036113855493064</v>
      </c>
      <c r="Y417" s="249">
        <v>1.036113855493064</v>
      </c>
      <c r="Z417" s="249">
        <v>1.036113855493064</v>
      </c>
      <c r="AA417" s="249">
        <v>1.036113855493064</v>
      </c>
      <c r="AB417" s="249">
        <v>1.036113855493064</v>
      </c>
      <c r="AC417" s="249">
        <v>1.036113855493064</v>
      </c>
      <c r="AD417" s="249">
        <v>1.036113855493064</v>
      </c>
      <c r="AE417" s="249">
        <v>1.036113855493064</v>
      </c>
      <c r="AF417" s="249">
        <v>1.036113855493064</v>
      </c>
      <c r="AG417" s="249">
        <v>1.036113855493064</v>
      </c>
      <c r="AH417" s="249">
        <v>1.036113855493064</v>
      </c>
      <c r="AI417" s="249">
        <v>1.036113855493064</v>
      </c>
      <c r="AJ417" s="249">
        <v>1.036113855493064</v>
      </c>
      <c r="AK417" s="249">
        <v>1.036113855493064</v>
      </c>
      <c r="AL417" s="249">
        <v>1.036113855493064</v>
      </c>
      <c r="AM417" s="249">
        <v>1.036113855493064</v>
      </c>
      <c r="AN417" s="249">
        <v>1.036113855493064</v>
      </c>
      <c r="AO417" s="249">
        <v>1.036113855493064</v>
      </c>
      <c r="AP417" s="249">
        <v>1.036113855493064</v>
      </c>
    </row>
    <row r="418" spans="6:42" ht="14.25" customHeight="1" thickBot="1" x14ac:dyDescent="0.25">
      <c r="F418" s="250"/>
      <c r="H418" s="233"/>
      <c r="J418" s="126"/>
    </row>
    <row r="419" spans="6:42" ht="14.25" customHeight="1" thickTop="1" thickBot="1" x14ac:dyDescent="0.25">
      <c r="F419" s="250"/>
      <c r="H419" s="233"/>
      <c r="J419" s="244"/>
      <c r="K419" s="135" t="s">
        <v>317</v>
      </c>
      <c r="L419" s="135" t="s">
        <v>274</v>
      </c>
      <c r="M419" s="249">
        <v>1.0319883720275149</v>
      </c>
      <c r="N419" s="249">
        <v>1.0319883720275149</v>
      </c>
      <c r="O419" s="249">
        <v>1.0319883720275149</v>
      </c>
      <c r="P419" s="249">
        <v>1.0319883720275149</v>
      </c>
      <c r="Q419" s="249">
        <v>1.0319883720275149</v>
      </c>
      <c r="R419" s="249">
        <v>1.0319883720275149</v>
      </c>
      <c r="S419" s="249">
        <v>1.0319883720275149</v>
      </c>
      <c r="T419" s="249">
        <v>1.0319883720275149</v>
      </c>
      <c r="U419" s="249">
        <v>1.0319883720275149</v>
      </c>
      <c r="V419" s="249">
        <v>1.0319883720275149</v>
      </c>
      <c r="W419" s="249">
        <v>1.0319883720275149</v>
      </c>
      <c r="X419" s="249">
        <v>1.0319883720275149</v>
      </c>
      <c r="Y419" s="249">
        <v>1.0319883720275149</v>
      </c>
      <c r="Z419" s="249">
        <v>1.0319883720275149</v>
      </c>
      <c r="AA419" s="249">
        <v>1.0319883720275149</v>
      </c>
      <c r="AB419" s="249">
        <v>1.0319883720275149</v>
      </c>
      <c r="AC419" s="249">
        <v>1.0319883720275149</v>
      </c>
      <c r="AD419" s="249">
        <v>1.0319883720275149</v>
      </c>
      <c r="AE419" s="249">
        <v>1.0319883720275149</v>
      </c>
      <c r="AF419" s="249">
        <v>1.0319883720275149</v>
      </c>
      <c r="AG419" s="249">
        <v>1.0319883720275149</v>
      </c>
      <c r="AH419" s="249">
        <v>1.0319883720275149</v>
      </c>
      <c r="AI419" s="249">
        <v>1.0319883720275149</v>
      </c>
      <c r="AJ419" s="249">
        <v>1.0319883720275149</v>
      </c>
      <c r="AK419" s="249">
        <v>1.0319883720275149</v>
      </c>
      <c r="AL419" s="249">
        <v>1.0319883720275149</v>
      </c>
      <c r="AM419" s="249">
        <v>1.0319883720275149</v>
      </c>
      <c r="AN419" s="249">
        <v>1.0319883720275149</v>
      </c>
      <c r="AO419" s="249">
        <v>1.0319883720275149</v>
      </c>
      <c r="AP419" s="249">
        <v>1.0319883720275149</v>
      </c>
    </row>
    <row r="420" spans="6:42" ht="14.25" customHeight="1" thickTop="1" thickBot="1" x14ac:dyDescent="0.25">
      <c r="F420" s="250"/>
      <c r="H420" s="233"/>
      <c r="J420" s="244"/>
      <c r="K420" s="135" t="s">
        <v>318</v>
      </c>
      <c r="L420" s="135" t="s">
        <v>274</v>
      </c>
      <c r="M420" s="249">
        <v>1.0990676162093029</v>
      </c>
      <c r="N420" s="249">
        <v>1.0990676162093029</v>
      </c>
      <c r="O420" s="249">
        <v>1.0990676162093029</v>
      </c>
      <c r="P420" s="249">
        <v>1.0990676162093029</v>
      </c>
      <c r="Q420" s="249">
        <v>1.0990676162093029</v>
      </c>
      <c r="R420" s="249">
        <v>1.0990676162093029</v>
      </c>
      <c r="S420" s="249">
        <v>1.0990676162093029</v>
      </c>
      <c r="T420" s="249">
        <v>1.0990676162093029</v>
      </c>
      <c r="U420" s="249">
        <v>1.0990676162093029</v>
      </c>
      <c r="V420" s="249">
        <v>1.0990676162093029</v>
      </c>
      <c r="W420" s="249">
        <v>1.0990676162093029</v>
      </c>
      <c r="X420" s="249">
        <v>1.0990676162093029</v>
      </c>
      <c r="Y420" s="249">
        <v>1.0990676162093029</v>
      </c>
      <c r="Z420" s="249">
        <v>1.0990676162093029</v>
      </c>
      <c r="AA420" s="249">
        <v>1.0990676162093029</v>
      </c>
      <c r="AB420" s="249">
        <v>1.0990676162093029</v>
      </c>
      <c r="AC420" s="249">
        <v>1.0990676162093029</v>
      </c>
      <c r="AD420" s="249">
        <v>1.0990676162093029</v>
      </c>
      <c r="AE420" s="249">
        <v>1.0990676162093029</v>
      </c>
      <c r="AF420" s="249">
        <v>1.0990676162093029</v>
      </c>
      <c r="AG420" s="249">
        <v>1.0990676162093029</v>
      </c>
      <c r="AH420" s="249">
        <v>1.0990676162093029</v>
      </c>
      <c r="AI420" s="249">
        <v>1.0990676162093029</v>
      </c>
      <c r="AJ420" s="249">
        <v>1.0990676162093029</v>
      </c>
      <c r="AK420" s="249">
        <v>1.0990676162093029</v>
      </c>
      <c r="AL420" s="249">
        <v>1.0990676162093029</v>
      </c>
      <c r="AM420" s="249">
        <v>1.0990676162093029</v>
      </c>
      <c r="AN420" s="249">
        <v>1.0990676162093029</v>
      </c>
      <c r="AO420" s="249">
        <v>1.0990676162093029</v>
      </c>
      <c r="AP420" s="249">
        <v>1.0990676162093029</v>
      </c>
    </row>
    <row r="421" spans="6:42" ht="13.5" customHeight="1" thickTop="1" thickBot="1" x14ac:dyDescent="0.25">
      <c r="F421" s="250"/>
      <c r="H421" s="233"/>
      <c r="J421" s="244"/>
      <c r="K421" s="135" t="s">
        <v>319</v>
      </c>
      <c r="L421" s="135" t="s">
        <v>274</v>
      </c>
      <c r="M421" s="249">
        <v>1.1705070112629079</v>
      </c>
      <c r="N421" s="249">
        <v>1.1705070112629079</v>
      </c>
      <c r="O421" s="249">
        <v>1.1705070112629079</v>
      </c>
      <c r="P421" s="249">
        <v>1.1705070112629079</v>
      </c>
      <c r="Q421" s="249">
        <v>1.1705070112629079</v>
      </c>
      <c r="R421" s="249">
        <v>1.1705070112629079</v>
      </c>
      <c r="S421" s="249">
        <v>1.1705070112629079</v>
      </c>
      <c r="T421" s="249">
        <v>1.1705070112629079</v>
      </c>
      <c r="U421" s="249">
        <v>1.1705070112629079</v>
      </c>
      <c r="V421" s="249">
        <v>1.1705070112629079</v>
      </c>
      <c r="W421" s="249">
        <v>1.1705070112629079</v>
      </c>
      <c r="X421" s="249">
        <v>1.1705070112629079</v>
      </c>
      <c r="Y421" s="249">
        <v>1.1705070112629079</v>
      </c>
      <c r="Z421" s="249">
        <v>1.1705070112629079</v>
      </c>
      <c r="AA421" s="249">
        <v>1.1705070112629079</v>
      </c>
      <c r="AB421" s="249">
        <v>1.1705070112629079</v>
      </c>
      <c r="AC421" s="249">
        <v>1.1705070112629079</v>
      </c>
      <c r="AD421" s="249">
        <v>1.1705070112629079</v>
      </c>
      <c r="AE421" s="249">
        <v>1.1705070112629079</v>
      </c>
      <c r="AF421" s="249">
        <v>1.1705070112629079</v>
      </c>
      <c r="AG421" s="249">
        <v>1.1705070112629079</v>
      </c>
      <c r="AH421" s="249">
        <v>1.1705070112629079</v>
      </c>
      <c r="AI421" s="249">
        <v>1.1705070112629079</v>
      </c>
      <c r="AJ421" s="249">
        <v>1.1705070112629079</v>
      </c>
      <c r="AK421" s="249">
        <v>1.1705070112629079</v>
      </c>
      <c r="AL421" s="249">
        <v>1.1705070112629079</v>
      </c>
      <c r="AM421" s="249">
        <v>1.1705070112629079</v>
      </c>
      <c r="AN421" s="249">
        <v>1.1705070112629079</v>
      </c>
      <c r="AO421" s="249">
        <v>1.1705070112629079</v>
      </c>
      <c r="AP421" s="249">
        <v>1.1705070112629079</v>
      </c>
    </row>
    <row r="422" spans="6:42" ht="14.25" customHeight="1" thickTop="1" thickBot="1" x14ac:dyDescent="0.25">
      <c r="F422" s="250"/>
      <c r="H422" s="233"/>
      <c r="J422" s="244"/>
      <c r="K422" s="135" t="s">
        <v>320</v>
      </c>
      <c r="L422" s="135" t="s">
        <v>276</v>
      </c>
      <c r="M422" s="249">
        <v>1.052615789355261</v>
      </c>
      <c r="N422" s="249">
        <v>1.052615789355261</v>
      </c>
      <c r="O422" s="249">
        <v>1.052615789355261</v>
      </c>
      <c r="P422" s="249">
        <v>1.052615789355261</v>
      </c>
      <c r="Q422" s="249">
        <v>1.052615789355261</v>
      </c>
      <c r="R422" s="249">
        <v>1.052615789355261</v>
      </c>
      <c r="S422" s="249">
        <v>1.052615789355261</v>
      </c>
      <c r="T422" s="249">
        <v>1.052615789355261</v>
      </c>
      <c r="U422" s="249">
        <v>1.052615789355261</v>
      </c>
      <c r="V422" s="249">
        <v>1.052615789355261</v>
      </c>
      <c r="W422" s="249">
        <v>1.052615789355261</v>
      </c>
      <c r="X422" s="249">
        <v>1.052615789355261</v>
      </c>
      <c r="Y422" s="249">
        <v>1.052615789355261</v>
      </c>
      <c r="Z422" s="249">
        <v>1.052615789355261</v>
      </c>
      <c r="AA422" s="249">
        <v>1.052615789355261</v>
      </c>
      <c r="AB422" s="249">
        <v>1.052615789355261</v>
      </c>
      <c r="AC422" s="249">
        <v>1.052615789355261</v>
      </c>
      <c r="AD422" s="249">
        <v>1.052615789355261</v>
      </c>
      <c r="AE422" s="249">
        <v>1.052615789355261</v>
      </c>
      <c r="AF422" s="249">
        <v>1.052615789355261</v>
      </c>
      <c r="AG422" s="249">
        <v>1.052615789355261</v>
      </c>
      <c r="AH422" s="249">
        <v>1.052615789355261</v>
      </c>
      <c r="AI422" s="249">
        <v>1.052615789355261</v>
      </c>
      <c r="AJ422" s="249">
        <v>1.052615789355261</v>
      </c>
      <c r="AK422" s="249">
        <v>1.052615789355261</v>
      </c>
      <c r="AL422" s="249">
        <v>1.052615789355261</v>
      </c>
      <c r="AM422" s="249">
        <v>1.052615789355261</v>
      </c>
      <c r="AN422" s="249">
        <v>1.052615789355261</v>
      </c>
      <c r="AO422" s="249">
        <v>1.052615789355261</v>
      </c>
      <c r="AP422" s="249">
        <v>1.052615789355261</v>
      </c>
    </row>
    <row r="423" spans="6:42" ht="14.25" customHeight="1" thickTop="1" thickBot="1" x14ac:dyDescent="0.25">
      <c r="F423" s="250"/>
      <c r="H423" s="233"/>
      <c r="J423" s="244"/>
      <c r="K423" s="135" t="s">
        <v>321</v>
      </c>
      <c r="L423" s="135" t="s">
        <v>276</v>
      </c>
      <c r="M423" s="249">
        <v>1.1662982946056299</v>
      </c>
      <c r="N423" s="249">
        <v>1.1662982946056299</v>
      </c>
      <c r="O423" s="249">
        <v>1.1662982946056299</v>
      </c>
      <c r="P423" s="249">
        <v>1.1662982946056299</v>
      </c>
      <c r="Q423" s="249">
        <v>1.1662982946056299</v>
      </c>
      <c r="R423" s="249">
        <v>1.1662982946056299</v>
      </c>
      <c r="S423" s="249">
        <v>1.1662982946056299</v>
      </c>
      <c r="T423" s="249">
        <v>1.1662982946056299</v>
      </c>
      <c r="U423" s="249">
        <v>1.1662982946056299</v>
      </c>
      <c r="V423" s="249">
        <v>1.1662982946056299</v>
      </c>
      <c r="W423" s="249">
        <v>1.1662982946056299</v>
      </c>
      <c r="X423" s="249">
        <v>1.1662982946056299</v>
      </c>
      <c r="Y423" s="249">
        <v>1.1662982946056299</v>
      </c>
      <c r="Z423" s="249">
        <v>1.1662982946056299</v>
      </c>
      <c r="AA423" s="249">
        <v>1.1662982946056299</v>
      </c>
      <c r="AB423" s="249">
        <v>1.1662982946056299</v>
      </c>
      <c r="AC423" s="249">
        <v>1.1662982946056299</v>
      </c>
      <c r="AD423" s="249">
        <v>1.1662982946056299</v>
      </c>
      <c r="AE423" s="249">
        <v>1.1662982946056299</v>
      </c>
      <c r="AF423" s="249">
        <v>1.1662982946056299</v>
      </c>
      <c r="AG423" s="249">
        <v>1.1662982946056299</v>
      </c>
      <c r="AH423" s="249">
        <v>1.1662982946056299</v>
      </c>
      <c r="AI423" s="249">
        <v>1.1662982946056299</v>
      </c>
      <c r="AJ423" s="249">
        <v>1.1662982946056299</v>
      </c>
      <c r="AK423" s="249">
        <v>1.1662982946056299</v>
      </c>
      <c r="AL423" s="249">
        <v>1.1662982946056299</v>
      </c>
      <c r="AM423" s="249">
        <v>1.1662982946056299</v>
      </c>
      <c r="AN423" s="249">
        <v>1.1662982946056299</v>
      </c>
      <c r="AO423" s="249">
        <v>1.1662982946056299</v>
      </c>
      <c r="AP423" s="249">
        <v>1.1662982946056299</v>
      </c>
    </row>
    <row r="424" spans="6:42" ht="14.25" customHeight="1" thickTop="1" thickBot="1" x14ac:dyDescent="0.25">
      <c r="F424" s="250"/>
      <c r="H424" s="233"/>
      <c r="J424" s="244"/>
      <c r="K424" s="135" t="s">
        <v>322</v>
      </c>
      <c r="L424" s="135" t="s">
        <v>276</v>
      </c>
      <c r="M424" s="249">
        <v>1.292258510423038</v>
      </c>
      <c r="N424" s="249">
        <v>1.292258510423038</v>
      </c>
      <c r="O424" s="249">
        <v>1.292258510423038</v>
      </c>
      <c r="P424" s="249">
        <v>1.292258510423038</v>
      </c>
      <c r="Q424" s="249">
        <v>1.292258510423038</v>
      </c>
      <c r="R424" s="249">
        <v>1.292258510423038</v>
      </c>
      <c r="S424" s="249">
        <v>1.292258510423038</v>
      </c>
      <c r="T424" s="249">
        <v>1.292258510423038</v>
      </c>
      <c r="U424" s="249">
        <v>1.292258510423038</v>
      </c>
      <c r="V424" s="249">
        <v>1.292258510423038</v>
      </c>
      <c r="W424" s="249">
        <v>1.292258510423038</v>
      </c>
      <c r="X424" s="249">
        <v>1.292258510423038</v>
      </c>
      <c r="Y424" s="249">
        <v>1.292258510423038</v>
      </c>
      <c r="Z424" s="249">
        <v>1.292258510423038</v>
      </c>
      <c r="AA424" s="249">
        <v>1.292258510423038</v>
      </c>
      <c r="AB424" s="249">
        <v>1.292258510423038</v>
      </c>
      <c r="AC424" s="249">
        <v>1.292258510423038</v>
      </c>
      <c r="AD424" s="249">
        <v>1.292258510423038</v>
      </c>
      <c r="AE424" s="249">
        <v>1.292258510423038</v>
      </c>
      <c r="AF424" s="249">
        <v>1.292258510423038</v>
      </c>
      <c r="AG424" s="249">
        <v>1.292258510423038</v>
      </c>
      <c r="AH424" s="249">
        <v>1.292258510423038</v>
      </c>
      <c r="AI424" s="249">
        <v>1.292258510423038</v>
      </c>
      <c r="AJ424" s="249">
        <v>1.292258510423038</v>
      </c>
      <c r="AK424" s="249">
        <v>1.292258510423038</v>
      </c>
      <c r="AL424" s="249">
        <v>1.292258510423038</v>
      </c>
      <c r="AM424" s="249">
        <v>1.292258510423038</v>
      </c>
      <c r="AN424" s="249">
        <v>1.292258510423038</v>
      </c>
      <c r="AO424" s="249">
        <v>1.292258510423038</v>
      </c>
      <c r="AP424" s="249">
        <v>1.292258510423038</v>
      </c>
    </row>
    <row r="425" spans="6:42" ht="14.25" customHeight="1" thickTop="1" thickBot="1" x14ac:dyDescent="0.25">
      <c r="F425" s="250"/>
      <c r="H425" s="233"/>
      <c r="J425" s="244"/>
      <c r="K425" s="135" t="s">
        <v>320</v>
      </c>
      <c r="L425" s="135" t="s">
        <v>277</v>
      </c>
      <c r="M425" s="249">
        <v>1.052615789355261</v>
      </c>
      <c r="N425" s="249">
        <v>1.052615789355261</v>
      </c>
      <c r="O425" s="249">
        <v>1.052615789355261</v>
      </c>
      <c r="P425" s="249">
        <v>1.052615789355261</v>
      </c>
      <c r="Q425" s="249">
        <v>1.052615789355261</v>
      </c>
      <c r="R425" s="249">
        <v>1.052615789355261</v>
      </c>
      <c r="S425" s="249">
        <v>1.052615789355261</v>
      </c>
      <c r="T425" s="249">
        <v>1.052615789355261</v>
      </c>
      <c r="U425" s="249">
        <v>1.052615789355261</v>
      </c>
      <c r="V425" s="249">
        <v>1.052615789355261</v>
      </c>
      <c r="W425" s="249">
        <v>1.052615789355261</v>
      </c>
      <c r="X425" s="249">
        <v>1.052615789355261</v>
      </c>
      <c r="Y425" s="249">
        <v>1.052615789355261</v>
      </c>
      <c r="Z425" s="249">
        <v>1.052615789355261</v>
      </c>
      <c r="AA425" s="249">
        <v>1.052615789355261</v>
      </c>
      <c r="AB425" s="249">
        <v>1.052615789355261</v>
      </c>
      <c r="AC425" s="249">
        <v>1.052615789355261</v>
      </c>
      <c r="AD425" s="249">
        <v>1.052615789355261</v>
      </c>
      <c r="AE425" s="249">
        <v>1.052615789355261</v>
      </c>
      <c r="AF425" s="249">
        <v>1.052615789355261</v>
      </c>
      <c r="AG425" s="249">
        <v>1.052615789355261</v>
      </c>
      <c r="AH425" s="249">
        <v>1.052615789355261</v>
      </c>
      <c r="AI425" s="249">
        <v>1.052615789355261</v>
      </c>
      <c r="AJ425" s="249">
        <v>1.052615789355261</v>
      </c>
      <c r="AK425" s="249">
        <v>1.052615789355261</v>
      </c>
      <c r="AL425" s="249">
        <v>1.052615789355261</v>
      </c>
      <c r="AM425" s="249">
        <v>1.052615789355261</v>
      </c>
      <c r="AN425" s="249">
        <v>1.052615789355261</v>
      </c>
      <c r="AO425" s="249">
        <v>1.052615789355261</v>
      </c>
      <c r="AP425" s="249">
        <v>1.052615789355261</v>
      </c>
    </row>
    <row r="426" spans="6:42" ht="14.25" customHeight="1" thickTop="1" thickBot="1" x14ac:dyDescent="0.25">
      <c r="F426" s="250"/>
      <c r="H426" s="233"/>
      <c r="J426" s="244"/>
      <c r="K426" s="135" t="s">
        <v>321</v>
      </c>
      <c r="L426" s="135" t="s">
        <v>277</v>
      </c>
      <c r="M426" s="249">
        <v>1.1662982946056299</v>
      </c>
      <c r="N426" s="249">
        <v>1.1662982946056299</v>
      </c>
      <c r="O426" s="249">
        <v>1.1662982946056299</v>
      </c>
      <c r="P426" s="249">
        <v>1.1662982946056299</v>
      </c>
      <c r="Q426" s="249">
        <v>1.1662982946056299</v>
      </c>
      <c r="R426" s="249">
        <v>1.1662982946056299</v>
      </c>
      <c r="S426" s="249">
        <v>1.1662982946056299</v>
      </c>
      <c r="T426" s="249">
        <v>1.1662982946056299</v>
      </c>
      <c r="U426" s="249">
        <v>1.1662982946056299</v>
      </c>
      <c r="V426" s="249">
        <v>1.1662982946056299</v>
      </c>
      <c r="W426" s="249">
        <v>1.1662982946056299</v>
      </c>
      <c r="X426" s="249">
        <v>1.1662982946056299</v>
      </c>
      <c r="Y426" s="249">
        <v>1.1662982946056299</v>
      </c>
      <c r="Z426" s="249">
        <v>1.1662982946056299</v>
      </c>
      <c r="AA426" s="249">
        <v>1.1662982946056299</v>
      </c>
      <c r="AB426" s="249">
        <v>1.1662982946056299</v>
      </c>
      <c r="AC426" s="249">
        <v>1.1662982946056299</v>
      </c>
      <c r="AD426" s="249">
        <v>1.1662982946056299</v>
      </c>
      <c r="AE426" s="249">
        <v>1.1662982946056299</v>
      </c>
      <c r="AF426" s="249">
        <v>1.1662982946056299</v>
      </c>
      <c r="AG426" s="249">
        <v>1.1662982946056299</v>
      </c>
      <c r="AH426" s="249">
        <v>1.1662982946056299</v>
      </c>
      <c r="AI426" s="249">
        <v>1.1662982946056299</v>
      </c>
      <c r="AJ426" s="249">
        <v>1.1662982946056299</v>
      </c>
      <c r="AK426" s="249">
        <v>1.1662982946056299</v>
      </c>
      <c r="AL426" s="249">
        <v>1.1662982946056299</v>
      </c>
      <c r="AM426" s="249">
        <v>1.1662982946056299</v>
      </c>
      <c r="AN426" s="249">
        <v>1.1662982946056299</v>
      </c>
      <c r="AO426" s="249">
        <v>1.1662982946056299</v>
      </c>
      <c r="AP426" s="249">
        <v>1.1662982946056299</v>
      </c>
    </row>
    <row r="427" spans="6:42" ht="14.25" customHeight="1" thickTop="1" thickBot="1" x14ac:dyDescent="0.25">
      <c r="F427" s="250"/>
      <c r="H427" s="233"/>
      <c r="J427" s="244"/>
      <c r="K427" s="135" t="s">
        <v>322</v>
      </c>
      <c r="L427" s="135" t="s">
        <v>277</v>
      </c>
      <c r="M427" s="249">
        <v>1.292258510423038</v>
      </c>
      <c r="N427" s="249">
        <v>1.292258510423038</v>
      </c>
      <c r="O427" s="249">
        <v>1.292258510423038</v>
      </c>
      <c r="P427" s="249">
        <v>1.292258510423038</v>
      </c>
      <c r="Q427" s="249">
        <v>1.292258510423038</v>
      </c>
      <c r="R427" s="249">
        <v>1.292258510423038</v>
      </c>
      <c r="S427" s="249">
        <v>1.292258510423038</v>
      </c>
      <c r="T427" s="249">
        <v>1.292258510423038</v>
      </c>
      <c r="U427" s="249">
        <v>1.292258510423038</v>
      </c>
      <c r="V427" s="249">
        <v>1.292258510423038</v>
      </c>
      <c r="W427" s="249">
        <v>1.292258510423038</v>
      </c>
      <c r="X427" s="249">
        <v>1.292258510423038</v>
      </c>
      <c r="Y427" s="249">
        <v>1.292258510423038</v>
      </c>
      <c r="Z427" s="249">
        <v>1.292258510423038</v>
      </c>
      <c r="AA427" s="249">
        <v>1.292258510423038</v>
      </c>
      <c r="AB427" s="249">
        <v>1.292258510423038</v>
      </c>
      <c r="AC427" s="249">
        <v>1.292258510423038</v>
      </c>
      <c r="AD427" s="249">
        <v>1.292258510423038</v>
      </c>
      <c r="AE427" s="249">
        <v>1.292258510423038</v>
      </c>
      <c r="AF427" s="249">
        <v>1.292258510423038</v>
      </c>
      <c r="AG427" s="249">
        <v>1.292258510423038</v>
      </c>
      <c r="AH427" s="249">
        <v>1.292258510423038</v>
      </c>
      <c r="AI427" s="249">
        <v>1.292258510423038</v>
      </c>
      <c r="AJ427" s="249">
        <v>1.292258510423038</v>
      </c>
      <c r="AK427" s="249">
        <v>1.292258510423038</v>
      </c>
      <c r="AL427" s="249">
        <v>1.292258510423038</v>
      </c>
      <c r="AM427" s="249">
        <v>1.292258510423038</v>
      </c>
      <c r="AN427" s="249">
        <v>1.292258510423038</v>
      </c>
      <c r="AO427" s="249">
        <v>1.292258510423038</v>
      </c>
      <c r="AP427" s="249">
        <v>1.292258510423038</v>
      </c>
    </row>
    <row r="428" spans="6:42" ht="14.25" customHeight="1" thickTop="1" thickBot="1" x14ac:dyDescent="0.25">
      <c r="F428" s="250"/>
      <c r="H428" s="233"/>
      <c r="J428" s="244"/>
      <c r="K428" s="135" t="s">
        <v>320</v>
      </c>
      <c r="L428" s="135" t="s">
        <v>278</v>
      </c>
      <c r="M428" s="249">
        <v>1.052615789355261</v>
      </c>
      <c r="N428" s="249">
        <v>1.052615789355261</v>
      </c>
      <c r="O428" s="249">
        <v>1.052615789355261</v>
      </c>
      <c r="P428" s="249">
        <v>1.052615789355261</v>
      </c>
      <c r="Q428" s="249">
        <v>1.052615789355261</v>
      </c>
      <c r="R428" s="249">
        <v>1.052615789355261</v>
      </c>
      <c r="S428" s="249">
        <v>1.052615789355261</v>
      </c>
      <c r="T428" s="249">
        <v>1.052615789355261</v>
      </c>
      <c r="U428" s="249">
        <v>1.052615789355261</v>
      </c>
      <c r="V428" s="249">
        <v>1.052615789355261</v>
      </c>
      <c r="W428" s="249">
        <v>1.052615789355261</v>
      </c>
      <c r="X428" s="249">
        <v>1.052615789355261</v>
      </c>
      <c r="Y428" s="249">
        <v>1.052615789355261</v>
      </c>
      <c r="Z428" s="249">
        <v>1.052615789355261</v>
      </c>
      <c r="AA428" s="249">
        <v>1.052615789355261</v>
      </c>
      <c r="AB428" s="249">
        <v>1.052615789355261</v>
      </c>
      <c r="AC428" s="249">
        <v>1.052615789355261</v>
      </c>
      <c r="AD428" s="249">
        <v>1.052615789355261</v>
      </c>
      <c r="AE428" s="249">
        <v>1.052615789355261</v>
      </c>
      <c r="AF428" s="249">
        <v>1.052615789355261</v>
      </c>
      <c r="AG428" s="249">
        <v>1.052615789355261</v>
      </c>
      <c r="AH428" s="249">
        <v>1.052615789355261</v>
      </c>
      <c r="AI428" s="249">
        <v>1.052615789355261</v>
      </c>
      <c r="AJ428" s="249">
        <v>1.052615789355261</v>
      </c>
      <c r="AK428" s="249">
        <v>1.052615789355261</v>
      </c>
      <c r="AL428" s="249">
        <v>1.052615789355261</v>
      </c>
      <c r="AM428" s="249">
        <v>1.052615789355261</v>
      </c>
      <c r="AN428" s="249">
        <v>1.052615789355261</v>
      </c>
      <c r="AO428" s="249">
        <v>1.052615789355261</v>
      </c>
      <c r="AP428" s="249">
        <v>1.052615789355261</v>
      </c>
    </row>
    <row r="429" spans="6:42" ht="14.25" customHeight="1" thickTop="1" thickBot="1" x14ac:dyDescent="0.25">
      <c r="F429" s="250"/>
      <c r="H429" s="233"/>
      <c r="J429" s="244"/>
      <c r="K429" s="135" t="s">
        <v>321</v>
      </c>
      <c r="L429" s="135" t="s">
        <v>278</v>
      </c>
      <c r="M429" s="249">
        <v>1.1662982946056299</v>
      </c>
      <c r="N429" s="249">
        <v>1.1662982946056299</v>
      </c>
      <c r="O429" s="249">
        <v>1.1662982946056299</v>
      </c>
      <c r="P429" s="249">
        <v>1.1662982946056299</v>
      </c>
      <c r="Q429" s="249">
        <v>1.1662982946056299</v>
      </c>
      <c r="R429" s="249">
        <v>1.1662982946056299</v>
      </c>
      <c r="S429" s="249">
        <v>1.1662982946056299</v>
      </c>
      <c r="T429" s="249">
        <v>1.1662982946056299</v>
      </c>
      <c r="U429" s="249">
        <v>1.1662982946056299</v>
      </c>
      <c r="V429" s="249">
        <v>1.1662982946056299</v>
      </c>
      <c r="W429" s="249">
        <v>1.1662982946056299</v>
      </c>
      <c r="X429" s="249">
        <v>1.1662982946056299</v>
      </c>
      <c r="Y429" s="249">
        <v>1.1662982946056299</v>
      </c>
      <c r="Z429" s="249">
        <v>1.1662982946056299</v>
      </c>
      <c r="AA429" s="249">
        <v>1.1662982946056299</v>
      </c>
      <c r="AB429" s="249">
        <v>1.1662982946056299</v>
      </c>
      <c r="AC429" s="249">
        <v>1.1662982946056299</v>
      </c>
      <c r="AD429" s="249">
        <v>1.1662982946056299</v>
      </c>
      <c r="AE429" s="249">
        <v>1.1662982946056299</v>
      </c>
      <c r="AF429" s="249">
        <v>1.1662982946056299</v>
      </c>
      <c r="AG429" s="249">
        <v>1.1662982946056299</v>
      </c>
      <c r="AH429" s="249">
        <v>1.1662982946056299</v>
      </c>
      <c r="AI429" s="249">
        <v>1.1662982946056299</v>
      </c>
      <c r="AJ429" s="249">
        <v>1.1662982946056299</v>
      </c>
      <c r="AK429" s="249">
        <v>1.1662982946056299</v>
      </c>
      <c r="AL429" s="249">
        <v>1.1662982946056299</v>
      </c>
      <c r="AM429" s="249">
        <v>1.1662982946056299</v>
      </c>
      <c r="AN429" s="249">
        <v>1.1662982946056299</v>
      </c>
      <c r="AO429" s="249">
        <v>1.1662982946056299</v>
      </c>
      <c r="AP429" s="249">
        <v>1.1662982946056299</v>
      </c>
    </row>
    <row r="430" spans="6:42" ht="14.25" customHeight="1" thickTop="1" x14ac:dyDescent="0.2">
      <c r="F430" s="250"/>
      <c r="H430" s="233"/>
      <c r="J430" s="244"/>
      <c r="K430" s="135" t="s">
        <v>322</v>
      </c>
      <c r="L430" s="135" t="s">
        <v>278</v>
      </c>
      <c r="M430" s="249">
        <v>1.292258510423038</v>
      </c>
      <c r="N430" s="249">
        <v>1.292258510423038</v>
      </c>
      <c r="O430" s="249">
        <v>1.292258510423038</v>
      </c>
      <c r="P430" s="249">
        <v>1.292258510423038</v>
      </c>
      <c r="Q430" s="249">
        <v>1.292258510423038</v>
      </c>
      <c r="R430" s="249">
        <v>1.292258510423038</v>
      </c>
      <c r="S430" s="249">
        <v>1.292258510423038</v>
      </c>
      <c r="T430" s="249">
        <v>1.292258510423038</v>
      </c>
      <c r="U430" s="249">
        <v>1.292258510423038</v>
      </c>
      <c r="V430" s="249">
        <v>1.292258510423038</v>
      </c>
      <c r="W430" s="249">
        <v>1.292258510423038</v>
      </c>
      <c r="X430" s="249">
        <v>1.292258510423038</v>
      </c>
      <c r="Y430" s="249">
        <v>1.292258510423038</v>
      </c>
      <c r="Z430" s="249">
        <v>1.292258510423038</v>
      </c>
      <c r="AA430" s="249">
        <v>1.292258510423038</v>
      </c>
      <c r="AB430" s="249">
        <v>1.292258510423038</v>
      </c>
      <c r="AC430" s="249">
        <v>1.292258510423038</v>
      </c>
      <c r="AD430" s="249">
        <v>1.292258510423038</v>
      </c>
      <c r="AE430" s="249">
        <v>1.292258510423038</v>
      </c>
      <c r="AF430" s="249">
        <v>1.292258510423038</v>
      </c>
      <c r="AG430" s="249">
        <v>1.292258510423038</v>
      </c>
      <c r="AH430" s="249">
        <v>1.292258510423038</v>
      </c>
      <c r="AI430" s="249">
        <v>1.292258510423038</v>
      </c>
      <c r="AJ430" s="249">
        <v>1.292258510423038</v>
      </c>
      <c r="AK430" s="249">
        <v>1.292258510423038</v>
      </c>
      <c r="AL430" s="249">
        <v>1.292258510423038</v>
      </c>
      <c r="AM430" s="249">
        <v>1.292258510423038</v>
      </c>
      <c r="AN430" s="249">
        <v>1.292258510423038</v>
      </c>
      <c r="AO430" s="249">
        <v>1.292258510423038</v>
      </c>
      <c r="AP430" s="249">
        <v>1.292258510423038</v>
      </c>
    </row>
    <row r="433" spans="3:29" ht="14.25" customHeight="1" x14ac:dyDescent="0.2">
      <c r="C433" s="136" t="s">
        <v>217</v>
      </c>
      <c r="G433" s="395" t="s">
        <v>323</v>
      </c>
      <c r="H433" s="380"/>
      <c r="I433" s="380"/>
      <c r="J433" s="380"/>
      <c r="K433" s="380"/>
      <c r="L433" s="380"/>
      <c r="M433" s="380"/>
      <c r="N433" s="380"/>
      <c r="O433" s="380"/>
      <c r="P433" s="380"/>
      <c r="Q433" s="380"/>
      <c r="R433" s="380"/>
      <c r="S433" s="380"/>
      <c r="T433" s="380"/>
      <c r="U433" s="380"/>
      <c r="V433" s="137"/>
      <c r="W433" s="137"/>
      <c r="X433" s="137"/>
      <c r="Y433" s="137"/>
      <c r="Z433" s="137"/>
      <c r="AA433" s="137"/>
      <c r="AB433" s="137"/>
    </row>
    <row r="434" spans="3:29" ht="14.25" customHeight="1" thickBot="1" x14ac:dyDescent="0.25">
      <c r="N434" s="309"/>
      <c r="O434" s="309"/>
      <c r="P434" s="309"/>
      <c r="Q434" s="309"/>
      <c r="R434" s="309"/>
      <c r="S434" s="309"/>
      <c r="T434" s="309"/>
      <c r="U434" s="309"/>
    </row>
    <row r="435" spans="3:29" ht="14.25" customHeight="1" x14ac:dyDescent="0.25">
      <c r="H435" s="417" t="s">
        <v>324</v>
      </c>
      <c r="I435" s="404"/>
      <c r="J435" s="404"/>
      <c r="K435" s="404"/>
      <c r="L435" s="404"/>
      <c r="M435" s="404"/>
      <c r="N435" s="406" t="s">
        <v>325</v>
      </c>
      <c r="O435" s="394"/>
      <c r="P435" s="394"/>
      <c r="Q435" s="394"/>
      <c r="R435" s="407"/>
      <c r="S435" s="310" t="s">
        <v>326</v>
      </c>
      <c r="T435" s="310" t="s">
        <v>327</v>
      </c>
      <c r="U435" s="311"/>
      <c r="V435" s="312"/>
      <c r="W435" s="312"/>
      <c r="X435" s="312"/>
      <c r="Y435" s="312"/>
      <c r="Z435" s="312"/>
      <c r="AA435" s="312"/>
      <c r="AB435" s="313"/>
    </row>
    <row r="436" spans="3:29" ht="14.25" customHeight="1" x14ac:dyDescent="0.25">
      <c r="H436" s="377" t="s">
        <v>227</v>
      </c>
      <c r="I436" s="360"/>
      <c r="J436" s="360"/>
      <c r="K436" s="360"/>
      <c r="L436" s="360"/>
      <c r="M436" s="378"/>
      <c r="N436" s="385" t="s">
        <v>328</v>
      </c>
      <c r="O436" s="360"/>
      <c r="P436" s="360"/>
      <c r="Q436" s="360"/>
      <c r="R436" s="360"/>
      <c r="S436" s="314"/>
      <c r="T436" s="314"/>
      <c r="U436" s="262"/>
      <c r="V436" s="262"/>
      <c r="W436" s="262"/>
      <c r="X436" s="262"/>
      <c r="Y436" s="262"/>
      <c r="Z436" s="262"/>
      <c r="AA436" s="262"/>
      <c r="AB436" s="315"/>
      <c r="AC436" s="131" t="s">
        <v>329</v>
      </c>
    </row>
    <row r="437" spans="3:29" ht="14.25" customHeight="1" x14ac:dyDescent="0.25">
      <c r="H437" s="377" t="s">
        <v>292</v>
      </c>
      <c r="I437" s="360"/>
      <c r="J437" s="360"/>
      <c r="K437" s="360"/>
      <c r="L437" s="360"/>
      <c r="M437" s="378"/>
      <c r="N437" s="399" t="s">
        <v>330</v>
      </c>
      <c r="O437" s="360"/>
      <c r="P437" s="360"/>
      <c r="Q437" s="360"/>
      <c r="R437" s="360"/>
      <c r="S437" s="316"/>
      <c r="T437" s="316"/>
      <c r="U437" s="317"/>
      <c r="V437" s="317"/>
      <c r="W437" s="317"/>
      <c r="X437" s="317"/>
      <c r="Y437" s="317"/>
      <c r="Z437" s="317"/>
      <c r="AA437" s="317"/>
      <c r="AB437" s="318"/>
    </row>
    <row r="438" spans="3:29" ht="30.4" customHeight="1" x14ac:dyDescent="0.25">
      <c r="H438" s="377" t="s">
        <v>296</v>
      </c>
      <c r="I438" s="360"/>
      <c r="J438" s="360"/>
      <c r="K438" s="360"/>
      <c r="L438" s="360"/>
      <c r="M438" s="378"/>
      <c r="N438" s="381" t="s">
        <v>331</v>
      </c>
      <c r="O438" s="360"/>
      <c r="P438" s="360"/>
      <c r="Q438" s="360"/>
      <c r="R438" s="378"/>
      <c r="S438" s="319"/>
      <c r="T438" s="319"/>
      <c r="U438" s="320"/>
      <c r="V438" s="320"/>
      <c r="W438" s="320"/>
      <c r="X438" s="320"/>
      <c r="Y438" s="320"/>
      <c r="Z438" s="320"/>
      <c r="AA438" s="320"/>
      <c r="AB438" s="321"/>
      <c r="AC438" s="131" t="s">
        <v>332</v>
      </c>
    </row>
    <row r="439" spans="3:29" ht="32.65" customHeight="1" x14ac:dyDescent="0.25">
      <c r="H439" s="377" t="s">
        <v>333</v>
      </c>
      <c r="I439" s="360"/>
      <c r="J439" s="360"/>
      <c r="K439" s="360"/>
      <c r="L439" s="360"/>
      <c r="M439" s="378"/>
      <c r="N439" s="381" t="s">
        <v>331</v>
      </c>
      <c r="O439" s="360"/>
      <c r="P439" s="360"/>
      <c r="Q439" s="360"/>
      <c r="R439" s="378"/>
      <c r="S439" s="322"/>
      <c r="T439" s="322"/>
      <c r="U439" s="323"/>
      <c r="V439" s="323"/>
      <c r="W439" s="323"/>
      <c r="X439" s="323"/>
      <c r="Y439" s="323"/>
      <c r="Z439" s="323"/>
      <c r="AA439" s="323"/>
      <c r="AB439" s="324"/>
      <c r="AC439" s="131" t="s">
        <v>332</v>
      </c>
    </row>
    <row r="440" spans="3:29" ht="14.25" customHeight="1" x14ac:dyDescent="0.25">
      <c r="H440" s="377" t="s">
        <v>334</v>
      </c>
      <c r="I440" s="360"/>
      <c r="J440" s="360"/>
      <c r="K440" s="360"/>
      <c r="L440" s="360"/>
      <c r="M440" s="378"/>
      <c r="N440" s="409" t="s">
        <v>335</v>
      </c>
      <c r="O440" s="360"/>
      <c r="P440" s="360"/>
      <c r="Q440" s="360"/>
      <c r="R440" s="360"/>
      <c r="S440" s="325"/>
      <c r="T440" s="325"/>
      <c r="U440" s="326"/>
      <c r="V440" s="326"/>
      <c r="W440" s="326"/>
      <c r="X440" s="326"/>
      <c r="Y440" s="326"/>
      <c r="Z440" s="326"/>
      <c r="AA440" s="326"/>
      <c r="AB440" s="327"/>
    </row>
    <row r="441" spans="3:29" ht="14.25" customHeight="1" thickBot="1" x14ac:dyDescent="0.3">
      <c r="H441" s="396" t="s">
        <v>336</v>
      </c>
      <c r="I441" s="397"/>
      <c r="J441" s="397"/>
      <c r="K441" s="397"/>
      <c r="L441" s="397"/>
      <c r="M441" s="398"/>
      <c r="N441" s="424" t="s">
        <v>335</v>
      </c>
      <c r="O441" s="425"/>
      <c r="P441" s="425"/>
      <c r="Q441" s="425"/>
      <c r="R441" s="425"/>
      <c r="S441" s="328"/>
      <c r="T441" s="329"/>
      <c r="U441" s="329"/>
      <c r="V441" s="330"/>
      <c r="W441" s="330"/>
      <c r="X441" s="330"/>
      <c r="Y441" s="330"/>
      <c r="Z441" s="330"/>
      <c r="AA441" s="330"/>
      <c r="AB441" s="331"/>
    </row>
    <row r="442" spans="3:29" ht="14.25" customHeight="1" thickBot="1" x14ac:dyDescent="0.3">
      <c r="H442" s="427"/>
      <c r="I442" s="428"/>
      <c r="J442" s="428"/>
      <c r="K442" s="428"/>
      <c r="L442" s="428"/>
      <c r="M442" s="428"/>
      <c r="N442" s="332"/>
      <c r="O442" s="332"/>
      <c r="P442" s="332"/>
      <c r="Q442" s="332"/>
      <c r="R442" s="332"/>
      <c r="S442" s="332"/>
      <c r="T442" s="332"/>
      <c r="U442" s="333"/>
      <c r="V442" s="333"/>
      <c r="W442" s="333"/>
      <c r="X442" s="333"/>
      <c r="Y442" s="333"/>
      <c r="Z442" s="333"/>
      <c r="AA442" s="333"/>
      <c r="AB442" s="333"/>
    </row>
    <row r="443" spans="3:29" ht="14.25" customHeight="1" x14ac:dyDescent="0.25">
      <c r="H443" s="403" t="s">
        <v>337</v>
      </c>
      <c r="I443" s="404"/>
      <c r="J443" s="404"/>
      <c r="K443" s="404"/>
      <c r="L443" s="404"/>
      <c r="M443" s="405"/>
      <c r="N443" s="406" t="s">
        <v>325</v>
      </c>
      <c r="O443" s="394"/>
      <c r="P443" s="394"/>
      <c r="Q443" s="394"/>
      <c r="R443" s="407"/>
      <c r="S443" s="310" t="s">
        <v>326</v>
      </c>
      <c r="T443" s="310" t="s">
        <v>327</v>
      </c>
      <c r="U443" s="334"/>
      <c r="V443" s="334"/>
      <c r="W443" s="334"/>
      <c r="X443" s="334"/>
      <c r="Y443" s="334"/>
      <c r="Z443" s="334"/>
      <c r="AA443" s="334"/>
      <c r="AB443" s="335"/>
    </row>
    <row r="444" spans="3:29" ht="14.25" customHeight="1" x14ac:dyDescent="0.25">
      <c r="H444" s="377" t="s">
        <v>292</v>
      </c>
      <c r="I444" s="360"/>
      <c r="J444" s="360"/>
      <c r="K444" s="360"/>
      <c r="L444" s="360"/>
      <c r="M444" s="378"/>
      <c r="N444" s="359" t="s">
        <v>338</v>
      </c>
      <c r="O444" s="360"/>
      <c r="P444" s="360"/>
      <c r="Q444" s="360"/>
      <c r="R444" s="360"/>
      <c r="S444" s="325"/>
      <c r="T444" s="325"/>
      <c r="U444" s="326"/>
      <c r="V444" s="326"/>
      <c r="W444" s="326"/>
      <c r="X444" s="326"/>
      <c r="Y444" s="326"/>
      <c r="Z444" s="326"/>
      <c r="AA444" s="326"/>
      <c r="AB444" s="336"/>
    </row>
    <row r="445" spans="3:29" ht="14.25" customHeight="1" x14ac:dyDescent="0.25">
      <c r="H445" s="377" t="s">
        <v>296</v>
      </c>
      <c r="I445" s="360"/>
      <c r="J445" s="360"/>
      <c r="K445" s="360"/>
      <c r="L445" s="360"/>
      <c r="M445" s="378"/>
      <c r="N445" s="359" t="s">
        <v>339</v>
      </c>
      <c r="O445" s="360"/>
      <c r="P445" s="360"/>
      <c r="Q445" s="360"/>
      <c r="R445" s="360"/>
      <c r="S445" s="325"/>
      <c r="T445" s="325"/>
      <c r="U445" s="326"/>
      <c r="V445" s="326"/>
      <c r="W445" s="326"/>
      <c r="X445" s="326"/>
      <c r="Y445" s="326"/>
      <c r="Z445" s="326"/>
      <c r="AA445" s="326"/>
      <c r="AB445" s="336"/>
    </row>
    <row r="446" spans="3:29" ht="30.4" customHeight="1" x14ac:dyDescent="0.25">
      <c r="H446" s="410" t="s">
        <v>340</v>
      </c>
      <c r="I446" s="360"/>
      <c r="J446" s="360"/>
      <c r="K446" s="360"/>
      <c r="L446" s="360"/>
      <c r="M446" s="378"/>
      <c r="N446" s="381" t="s">
        <v>331</v>
      </c>
      <c r="O446" s="360"/>
      <c r="P446" s="360"/>
      <c r="Q446" s="360"/>
      <c r="R446" s="378"/>
      <c r="S446" s="254"/>
      <c r="T446" s="261"/>
      <c r="U446" s="254"/>
      <c r="V446" s="254"/>
      <c r="W446" s="254"/>
      <c r="X446" s="254"/>
      <c r="Y446" s="254"/>
      <c r="Z446" s="254"/>
      <c r="AA446" s="254"/>
      <c r="AB446" s="255"/>
    </row>
    <row r="447" spans="3:29" ht="30.75" customHeight="1" x14ac:dyDescent="0.25">
      <c r="H447" s="377" t="s">
        <v>333</v>
      </c>
      <c r="I447" s="360"/>
      <c r="J447" s="360"/>
      <c r="K447" s="360"/>
      <c r="L447" s="360"/>
      <c r="M447" s="378"/>
      <c r="N447" s="359" t="s">
        <v>339</v>
      </c>
      <c r="O447" s="360"/>
      <c r="P447" s="360"/>
      <c r="Q447" s="360"/>
      <c r="R447" s="360"/>
      <c r="S447" s="325"/>
      <c r="T447" s="325"/>
      <c r="U447" s="326"/>
      <c r="V447" s="326"/>
      <c r="W447" s="326"/>
      <c r="X447" s="326"/>
      <c r="Y447" s="326"/>
      <c r="Z447" s="326"/>
      <c r="AA447" s="326"/>
      <c r="AB447" s="336"/>
    </row>
    <row r="448" spans="3:29" ht="13.5" customHeight="1" x14ac:dyDescent="0.25">
      <c r="H448" s="377" t="s">
        <v>334</v>
      </c>
      <c r="I448" s="360"/>
      <c r="J448" s="360"/>
      <c r="K448" s="360"/>
      <c r="L448" s="360"/>
      <c r="M448" s="378"/>
      <c r="N448" s="409" t="s">
        <v>335</v>
      </c>
      <c r="O448" s="360"/>
      <c r="P448" s="360"/>
      <c r="Q448" s="360"/>
      <c r="R448" s="360"/>
      <c r="S448" s="325"/>
      <c r="T448" s="325"/>
      <c r="U448" s="326"/>
      <c r="V448" s="326"/>
      <c r="W448" s="326"/>
      <c r="X448" s="326"/>
      <c r="Y448" s="326"/>
      <c r="Z448" s="326"/>
      <c r="AA448" s="326"/>
      <c r="AB448" s="336"/>
    </row>
    <row r="449" spans="8:28" ht="14.25" customHeight="1" thickBot="1" x14ac:dyDescent="0.3">
      <c r="H449" s="396" t="s">
        <v>341</v>
      </c>
      <c r="I449" s="397"/>
      <c r="J449" s="397"/>
      <c r="K449" s="397"/>
      <c r="L449" s="397"/>
      <c r="M449" s="398"/>
      <c r="N449" s="424" t="s">
        <v>335</v>
      </c>
      <c r="O449" s="425"/>
      <c r="P449" s="425"/>
      <c r="Q449" s="425"/>
      <c r="R449" s="425"/>
      <c r="S449" s="329"/>
      <c r="T449" s="329"/>
      <c r="U449" s="329"/>
      <c r="V449" s="330"/>
      <c r="W449" s="330"/>
      <c r="X449" s="330"/>
      <c r="Y449" s="330"/>
      <c r="Z449" s="330"/>
      <c r="AA449" s="330"/>
      <c r="AB449" s="331"/>
    </row>
    <row r="453" spans="8:28" ht="14.25" customHeight="1" x14ac:dyDescent="0.2">
      <c r="S453" s="131" t="s">
        <v>298</v>
      </c>
    </row>
    <row r="455" spans="8:28" ht="14.25" customHeight="1" x14ac:dyDescent="0.2">
      <c r="N455" s="337"/>
    </row>
    <row r="457" spans="8:28" ht="14.25" customHeight="1" x14ac:dyDescent="0.2">
      <c r="M457" s="337"/>
    </row>
    <row r="702" spans="13:44" ht="14.25" customHeight="1" x14ac:dyDescent="0.2">
      <c r="M702" s="131">
        <v>0.30000001192092901</v>
      </c>
      <c r="N702" s="131">
        <v>0.30000001192092901</v>
      </c>
      <c r="O702" s="131">
        <v>0.30000001192092901</v>
      </c>
      <c r="P702" s="131">
        <v>0.30000001192092901</v>
      </c>
      <c r="Q702" s="131">
        <v>0.30000001192092901</v>
      </c>
      <c r="R702" s="131">
        <v>-0.89999998807907111</v>
      </c>
      <c r="S702" s="131">
        <v>-1.2999999880790709</v>
      </c>
      <c r="T702" s="131">
        <v>10</v>
      </c>
      <c r="U702" s="131">
        <v>10</v>
      </c>
      <c r="V702" s="131">
        <v>10</v>
      </c>
      <c r="W702" s="131">
        <v>10</v>
      </c>
      <c r="X702" s="131">
        <v>10</v>
      </c>
      <c r="Y702" s="131">
        <v>10</v>
      </c>
      <c r="Z702" s="131">
        <v>10</v>
      </c>
      <c r="AA702" s="131">
        <v>10</v>
      </c>
      <c r="AB702" s="131">
        <v>10</v>
      </c>
      <c r="AC702" s="131">
        <v>10</v>
      </c>
      <c r="AD702" s="131">
        <v>10</v>
      </c>
      <c r="AE702" s="131">
        <v>10</v>
      </c>
      <c r="AF702" s="131">
        <v>10</v>
      </c>
      <c r="AG702" s="131">
        <v>10</v>
      </c>
      <c r="AH702" s="131">
        <v>10</v>
      </c>
      <c r="AI702" s="131">
        <v>10</v>
      </c>
      <c r="AJ702" s="131">
        <v>10</v>
      </c>
      <c r="AK702" s="131">
        <v>10</v>
      </c>
      <c r="AL702" s="131">
        <v>10</v>
      </c>
      <c r="AM702" s="131">
        <v>10</v>
      </c>
      <c r="AN702" s="131">
        <v>10</v>
      </c>
      <c r="AO702" s="131">
        <v>10</v>
      </c>
      <c r="AP702" s="131">
        <v>10</v>
      </c>
      <c r="AQ702" s="131">
        <v>10</v>
      </c>
      <c r="AR702" s="131">
        <v>10</v>
      </c>
    </row>
  </sheetData>
  <mergeCells count="67">
    <mergeCell ref="H38:H81"/>
    <mergeCell ref="J15:R15"/>
    <mergeCell ref="J16:R18"/>
    <mergeCell ref="J38:O38"/>
    <mergeCell ref="J87:J116"/>
    <mergeCell ref="J26:J36"/>
    <mergeCell ref="J119:J148"/>
    <mergeCell ref="J52:J79"/>
    <mergeCell ref="J347:J376"/>
    <mergeCell ref="M43:M46"/>
    <mergeCell ref="N449:R449"/>
    <mergeCell ref="J215:J244"/>
    <mergeCell ref="N445:R445"/>
    <mergeCell ref="H437:M437"/>
    <mergeCell ref="J379:J391"/>
    <mergeCell ref="J247:J276"/>
    <mergeCell ref="H347:H376"/>
    <mergeCell ref="N439:R439"/>
    <mergeCell ref="H442:M442"/>
    <mergeCell ref="H379:H391"/>
    <mergeCell ref="H448:M448"/>
    <mergeCell ref="N441:R441"/>
    <mergeCell ref="N435:R435"/>
    <mergeCell ref="N444:R444"/>
    <mergeCell ref="J314:J343"/>
    <mergeCell ref="H435:M435"/>
    <mergeCell ref="N440:R440"/>
    <mergeCell ref="H447:M447"/>
    <mergeCell ref="H438:M438"/>
    <mergeCell ref="J151:J180"/>
    <mergeCell ref="J279:J308"/>
    <mergeCell ref="H444:M444"/>
    <mergeCell ref="H441:M441"/>
    <mergeCell ref="J415:J417"/>
    <mergeCell ref="H314:H343"/>
    <mergeCell ref="A1:J1"/>
    <mergeCell ref="G433:U433"/>
    <mergeCell ref="N446:R446"/>
    <mergeCell ref="H449:M449"/>
    <mergeCell ref="N437:R437"/>
    <mergeCell ref="H440:M440"/>
    <mergeCell ref="H87:H308"/>
    <mergeCell ref="H443:M443"/>
    <mergeCell ref="N443:R443"/>
    <mergeCell ref="G84:U84"/>
    <mergeCell ref="H439:M439"/>
    <mergeCell ref="N448:R448"/>
    <mergeCell ref="H446:M446"/>
    <mergeCell ref="U4:U5"/>
    <mergeCell ref="G7:Y7"/>
    <mergeCell ref="J11:R11"/>
    <mergeCell ref="N447:R447"/>
    <mergeCell ref="M9:R9"/>
    <mergeCell ref="J19:R19"/>
    <mergeCell ref="J183:J212"/>
    <mergeCell ref="J13:R13"/>
    <mergeCell ref="J9:L9"/>
    <mergeCell ref="J39:N39"/>
    <mergeCell ref="H445:M445"/>
    <mergeCell ref="H9:H24"/>
    <mergeCell ref="N438:R438"/>
    <mergeCell ref="H436:M436"/>
    <mergeCell ref="J14:R14"/>
    <mergeCell ref="J12:R12"/>
    <mergeCell ref="L43:L46"/>
    <mergeCell ref="N436:R436"/>
    <mergeCell ref="M20:R24"/>
  </mergeCells>
  <hyperlinks>
    <hyperlink ref="M1" r:id="rId1" xr:uid="{00000000-0004-0000-0300-000000000000}"/>
    <hyperlink ref="N438" r:id="rId2" xr:uid="{00000000-0004-0000-0300-000001000000}"/>
    <hyperlink ref="N439" r:id="rId3" xr:uid="{00000000-0004-0000-0300-000002000000}"/>
    <hyperlink ref="N446" r:id="rId4" xr:uid="{00000000-0004-0000-0300-000003000000}"/>
  </hyperlinks>
  <pageMargins left="0.7" right="0.7" top="0.75" bottom="0.75" header="0.3" footer="0.3"/>
  <pageSetup orientation="portrait"/>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1" customWidth="1"/>
    <col min="2" max="7" width="1.42578125" style="131" customWidth="1"/>
    <col min="8" max="8" width="5.42578125" style="131" customWidth="1"/>
    <col min="9" max="9" width="7.42578125" style="131" bestFit="1" customWidth="1"/>
    <col min="10" max="10" width="16.42578125" style="131" customWidth="1"/>
    <col min="11" max="11" width="55" style="131" bestFit="1" customWidth="1"/>
    <col min="12" max="12" width="22.42578125" style="131" customWidth="1"/>
    <col min="13" max="16" width="11.42578125" style="131" customWidth="1"/>
    <col min="17" max="17" width="12.42578125" style="131" customWidth="1"/>
    <col min="18" max="18" width="13.42578125" style="131" customWidth="1"/>
    <col min="19" max="19" width="14" style="131" customWidth="1"/>
    <col min="20" max="24" width="11.42578125" style="131" customWidth="1"/>
    <col min="25" max="25" width="9.42578125" style="131" bestFit="1" customWidth="1"/>
    <col min="26" max="45" width="11.42578125" style="131" customWidth="1"/>
    <col min="46" max="46" width="9.42578125" style="131" customWidth="1"/>
    <col min="47" max="16384" width="9.42578125" style="131"/>
  </cols>
  <sheetData>
    <row r="1" spans="1:110" ht="18" customHeight="1" x14ac:dyDescent="0.25">
      <c r="A1" s="129" t="s">
        <v>189</v>
      </c>
      <c r="B1" s="129"/>
      <c r="C1" s="129"/>
      <c r="D1" s="129"/>
      <c r="E1" s="129"/>
      <c r="F1" s="129"/>
      <c r="G1" s="129"/>
      <c r="H1" s="129"/>
      <c r="I1" s="130"/>
      <c r="M1" s="17" t="s">
        <v>342</v>
      </c>
    </row>
    <row r="2" spans="1:110" ht="14.25" customHeight="1" x14ac:dyDescent="0.2">
      <c r="F2" s="132"/>
      <c r="G2" s="132"/>
      <c r="H2" s="132"/>
      <c r="I2" s="132"/>
      <c r="J2" s="132"/>
      <c r="K2" s="132"/>
      <c r="L2" s="132"/>
      <c r="M2" s="132"/>
      <c r="N2" s="132"/>
      <c r="O2" s="132"/>
      <c r="P2" s="132"/>
      <c r="Q2" s="132"/>
      <c r="R2" s="132"/>
      <c r="S2" s="132"/>
      <c r="T2" s="132"/>
      <c r="U2" s="133" t="s">
        <v>214</v>
      </c>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row>
    <row r="3" spans="1:110" ht="14.25" customHeight="1" x14ac:dyDescent="0.2">
      <c r="U3" s="134" t="s">
        <v>215</v>
      </c>
    </row>
    <row r="4" spans="1:110" ht="14.25" customHeight="1" x14ac:dyDescent="0.2">
      <c r="J4" s="135"/>
      <c r="U4" s="411" t="s">
        <v>216</v>
      </c>
    </row>
    <row r="5" spans="1:110" ht="14.25" customHeight="1" x14ac:dyDescent="0.2">
      <c r="U5" s="412"/>
    </row>
    <row r="7" spans="1:110" ht="14.25" customHeight="1" x14ac:dyDescent="0.25">
      <c r="B7" s="136" t="s">
        <v>217</v>
      </c>
      <c r="G7" s="449" t="s">
        <v>343</v>
      </c>
      <c r="H7" s="380"/>
      <c r="I7" s="380"/>
      <c r="J7" s="380"/>
      <c r="K7" s="380"/>
      <c r="L7" s="380"/>
      <c r="M7" s="380"/>
      <c r="N7" s="380"/>
      <c r="O7" s="380"/>
      <c r="P7" s="380"/>
      <c r="Q7" s="380"/>
      <c r="R7" s="380"/>
      <c r="S7" s="380"/>
      <c r="T7" s="380"/>
      <c r="U7" s="380"/>
      <c r="V7" s="380"/>
      <c r="W7" s="380"/>
      <c r="X7" s="450"/>
    </row>
    <row r="8" spans="1:110" ht="14.25" customHeight="1" thickBot="1" x14ac:dyDescent="0.25">
      <c r="G8" s="138"/>
      <c r="X8" s="139"/>
    </row>
    <row r="9" spans="1:110" ht="14.25" customHeight="1" thickBot="1" x14ac:dyDescent="0.3">
      <c r="G9" s="138"/>
      <c r="H9" s="452" t="s">
        <v>219</v>
      </c>
      <c r="J9" s="372" t="s">
        <v>220</v>
      </c>
      <c r="K9" s="373"/>
      <c r="L9" s="374"/>
      <c r="M9" s="453">
        <v>2021</v>
      </c>
      <c r="N9" s="373"/>
      <c r="O9" s="373"/>
      <c r="P9" s="374"/>
      <c r="R9" s="140"/>
      <c r="X9" s="139"/>
    </row>
    <row r="10" spans="1:110" ht="14.25" customHeight="1" thickBot="1" x14ac:dyDescent="0.25">
      <c r="G10" s="138"/>
      <c r="H10" s="380"/>
      <c r="J10" s="141" t="s">
        <v>221</v>
      </c>
      <c r="P10" s="139"/>
      <c r="X10" s="139"/>
    </row>
    <row r="11" spans="1:110" ht="14.25" customHeight="1" x14ac:dyDescent="0.2">
      <c r="G11" s="138"/>
      <c r="H11" s="380"/>
      <c r="J11" s="142" t="s">
        <v>344</v>
      </c>
      <c r="K11" s="143"/>
      <c r="L11" s="143"/>
      <c r="M11" s="143"/>
      <c r="N11" s="143"/>
      <c r="X11" s="139"/>
    </row>
    <row r="12" spans="1:110" ht="13.5" customHeight="1" thickBot="1" x14ac:dyDescent="0.25">
      <c r="G12" s="138"/>
      <c r="H12" s="380"/>
      <c r="X12" s="139"/>
    </row>
    <row r="13" spans="1:110" ht="45.75" customHeight="1" thickBot="1" x14ac:dyDescent="0.25">
      <c r="G13" s="138"/>
      <c r="H13" s="380"/>
      <c r="J13" s="418" t="s">
        <v>229</v>
      </c>
      <c r="K13" s="145" t="s">
        <v>230</v>
      </c>
      <c r="L13" s="145" t="s">
        <v>231</v>
      </c>
      <c r="M13" s="145" t="s">
        <v>232</v>
      </c>
      <c r="N13" s="145" t="s">
        <v>233</v>
      </c>
      <c r="O13" s="145" t="s">
        <v>234</v>
      </c>
      <c r="P13" s="145" t="s">
        <v>345</v>
      </c>
      <c r="Q13" s="145" t="s">
        <v>346</v>
      </c>
      <c r="R13" s="145" t="s">
        <v>347</v>
      </c>
      <c r="X13" s="139"/>
    </row>
    <row r="14" spans="1:110" ht="14.25" customHeight="1" x14ac:dyDescent="0.2">
      <c r="G14" s="138"/>
      <c r="H14" s="380"/>
      <c r="J14" s="380"/>
      <c r="K14" s="146" t="s">
        <v>348</v>
      </c>
      <c r="L14" s="146" t="s">
        <v>349</v>
      </c>
      <c r="M14" s="146" t="s">
        <v>237</v>
      </c>
      <c r="N14" s="146" t="s">
        <v>238</v>
      </c>
      <c r="O14" s="146" t="s">
        <v>239</v>
      </c>
      <c r="P14" s="146" t="s">
        <v>237</v>
      </c>
      <c r="Q14" s="146" t="s">
        <v>350</v>
      </c>
      <c r="R14" s="147">
        <v>9.5</v>
      </c>
      <c r="S14" s="148"/>
      <c r="X14" s="139"/>
    </row>
    <row r="15" spans="1:110" ht="14.25" customHeight="1" x14ac:dyDescent="0.2">
      <c r="G15" s="138"/>
      <c r="H15" s="380"/>
      <c r="J15" s="380"/>
      <c r="K15" s="149" t="s">
        <v>351</v>
      </c>
      <c r="L15" s="149" t="s">
        <v>349</v>
      </c>
      <c r="M15" s="149" t="s">
        <v>241</v>
      </c>
      <c r="N15" s="149" t="s">
        <v>238</v>
      </c>
      <c r="O15" s="149" t="s">
        <v>239</v>
      </c>
      <c r="P15" s="149" t="s">
        <v>241</v>
      </c>
      <c r="Q15" s="149" t="s">
        <v>352</v>
      </c>
      <c r="R15" s="150">
        <v>8.9</v>
      </c>
      <c r="X15" s="139"/>
      <c r="AA15" s="131" t="s">
        <v>298</v>
      </c>
    </row>
    <row r="16" spans="1:110" ht="14.25" customHeight="1" x14ac:dyDescent="0.2">
      <c r="G16" s="138"/>
      <c r="H16" s="380"/>
      <c r="J16" s="380"/>
      <c r="K16" s="151" t="s">
        <v>353</v>
      </c>
      <c r="L16" s="151" t="s">
        <v>349</v>
      </c>
      <c r="M16" s="151" t="s">
        <v>243</v>
      </c>
      <c r="N16" s="151" t="s">
        <v>238</v>
      </c>
      <c r="O16" s="151" t="s">
        <v>239</v>
      </c>
      <c r="P16" s="151" t="s">
        <v>243</v>
      </c>
      <c r="Q16" s="151" t="s">
        <v>354</v>
      </c>
      <c r="R16" s="152">
        <v>8.6999999999999993</v>
      </c>
      <c r="X16" s="139"/>
    </row>
    <row r="17" spans="7:29" ht="14.25" customHeight="1" x14ac:dyDescent="0.2">
      <c r="G17" s="138"/>
      <c r="H17" s="380"/>
      <c r="J17" s="380"/>
      <c r="K17" s="149" t="s">
        <v>355</v>
      </c>
      <c r="L17" s="149" t="s">
        <v>349</v>
      </c>
      <c r="M17" s="149" t="s">
        <v>245</v>
      </c>
      <c r="N17" s="149" t="s">
        <v>238</v>
      </c>
      <c r="O17" s="149" t="s">
        <v>239</v>
      </c>
      <c r="P17" s="149" t="s">
        <v>245</v>
      </c>
      <c r="Q17" s="149" t="s">
        <v>356</v>
      </c>
      <c r="R17" s="150">
        <v>8.5</v>
      </c>
      <c r="X17" s="139"/>
    </row>
    <row r="18" spans="7:29" ht="14.25" customHeight="1" x14ac:dyDescent="0.2">
      <c r="G18" s="138"/>
      <c r="H18" s="380"/>
      <c r="J18" s="380"/>
      <c r="K18" s="151" t="s">
        <v>357</v>
      </c>
      <c r="L18" s="151" t="s">
        <v>349</v>
      </c>
      <c r="M18" s="151" t="s">
        <v>247</v>
      </c>
      <c r="N18" s="151" t="s">
        <v>238</v>
      </c>
      <c r="O18" s="151" t="s">
        <v>239</v>
      </c>
      <c r="P18" s="151" t="s">
        <v>247</v>
      </c>
      <c r="Q18" s="151" t="s">
        <v>358</v>
      </c>
      <c r="R18" s="152">
        <v>8.1999999999999993</v>
      </c>
    </row>
    <row r="19" spans="7:29" ht="14.25" customHeight="1" x14ac:dyDescent="0.2">
      <c r="G19" s="138"/>
      <c r="H19" s="380"/>
      <c r="J19" s="380"/>
      <c r="K19" s="153" t="s">
        <v>359</v>
      </c>
      <c r="L19" s="153" t="s">
        <v>349</v>
      </c>
      <c r="M19" s="153" t="s">
        <v>249</v>
      </c>
      <c r="N19" s="153" t="s">
        <v>238</v>
      </c>
      <c r="O19" s="153" t="s">
        <v>239</v>
      </c>
      <c r="P19" s="153" t="s">
        <v>249</v>
      </c>
      <c r="Q19" s="153" t="s">
        <v>360</v>
      </c>
      <c r="R19" s="154">
        <v>7.8</v>
      </c>
    </row>
    <row r="20" spans="7:29" ht="14.25" customHeight="1" x14ac:dyDescent="0.2">
      <c r="G20" s="138"/>
      <c r="H20" s="380"/>
      <c r="J20" s="380"/>
      <c r="K20" s="151" t="s">
        <v>361</v>
      </c>
      <c r="L20" s="151" t="s">
        <v>349</v>
      </c>
      <c r="M20" s="151" t="s">
        <v>251</v>
      </c>
      <c r="N20" s="151" t="s">
        <v>238</v>
      </c>
      <c r="O20" s="151" t="s">
        <v>239</v>
      </c>
      <c r="P20" s="151" t="s">
        <v>251</v>
      </c>
      <c r="Q20" s="151" t="s">
        <v>362</v>
      </c>
      <c r="R20" s="152">
        <v>7.4</v>
      </c>
    </row>
    <row r="21" spans="7:29" ht="14.25" customHeight="1" x14ac:dyDescent="0.2">
      <c r="G21" s="138"/>
      <c r="H21" s="380"/>
      <c r="J21" s="380"/>
      <c r="K21" s="149" t="s">
        <v>363</v>
      </c>
      <c r="L21" s="149" t="s">
        <v>364</v>
      </c>
      <c r="M21" s="149" t="s">
        <v>253</v>
      </c>
      <c r="N21" s="149" t="s">
        <v>238</v>
      </c>
      <c r="O21" s="149" t="s">
        <v>239</v>
      </c>
      <c r="P21" s="149" t="s">
        <v>253</v>
      </c>
      <c r="Q21" s="149" t="s">
        <v>365</v>
      </c>
      <c r="R21" s="150">
        <v>6.8</v>
      </c>
    </row>
    <row r="22" spans="7:29" ht="14.25" customHeight="1" x14ac:dyDescent="0.2">
      <c r="G22" s="138"/>
      <c r="H22" s="380"/>
      <c r="J22" s="380"/>
      <c r="K22" s="151" t="s">
        <v>366</v>
      </c>
      <c r="L22" s="151" t="s">
        <v>367</v>
      </c>
      <c r="M22" s="151" t="s">
        <v>255</v>
      </c>
      <c r="N22" s="151" t="s">
        <v>238</v>
      </c>
      <c r="O22" s="151" t="s">
        <v>239</v>
      </c>
      <c r="P22" s="151" t="s">
        <v>255</v>
      </c>
      <c r="Q22" s="151" t="s">
        <v>368</v>
      </c>
      <c r="R22" s="152">
        <v>6.2</v>
      </c>
    </row>
    <row r="23" spans="7:29" ht="14.25" customHeight="1" thickBot="1" x14ac:dyDescent="0.25">
      <c r="G23" s="138"/>
      <c r="H23" s="380"/>
      <c r="J23" s="380"/>
      <c r="K23" s="155" t="s">
        <v>369</v>
      </c>
      <c r="L23" s="155" t="s">
        <v>370</v>
      </c>
      <c r="M23" s="155" t="s">
        <v>257</v>
      </c>
      <c r="N23" s="155" t="s">
        <v>238</v>
      </c>
      <c r="O23" s="155" t="s">
        <v>239</v>
      </c>
      <c r="P23" s="155" t="s">
        <v>257</v>
      </c>
      <c r="Q23" s="155" t="s">
        <v>371</v>
      </c>
      <c r="R23" s="156">
        <v>5.2</v>
      </c>
    </row>
    <row r="24" spans="7:29" ht="14.25" customHeight="1" x14ac:dyDescent="0.2">
      <c r="G24" s="138"/>
      <c r="H24" s="380"/>
      <c r="J24" s="380"/>
    </row>
    <row r="25" spans="7:29" ht="14.25" customHeight="1" x14ac:dyDescent="0.2">
      <c r="G25" s="138"/>
      <c r="H25" s="380"/>
      <c r="J25" s="380"/>
      <c r="P25" s="131" t="s">
        <v>372</v>
      </c>
      <c r="U25" s="139"/>
    </row>
    <row r="26" spans="7:29" ht="14.25" customHeight="1" x14ac:dyDescent="0.2">
      <c r="G26" s="138"/>
    </row>
    <row r="27" spans="7:29" ht="14.25" customHeight="1" thickBot="1" x14ac:dyDescent="0.25">
      <c r="G27" s="138"/>
      <c r="Q27" s="131" t="s">
        <v>261</v>
      </c>
      <c r="S27" s="157" t="s">
        <v>262</v>
      </c>
    </row>
    <row r="28" spans="7:29" ht="14.25" customHeight="1" x14ac:dyDescent="0.25">
      <c r="G28" s="138"/>
      <c r="H28" s="456" t="s">
        <v>258</v>
      </c>
      <c r="J28" s="435" t="s">
        <v>259</v>
      </c>
      <c r="K28" s="436"/>
      <c r="L28" s="436"/>
      <c r="M28" s="436"/>
      <c r="N28" s="436"/>
      <c r="O28" s="437"/>
      <c r="Q28" s="131" t="s">
        <v>264</v>
      </c>
      <c r="S28" s="158">
        <v>20</v>
      </c>
    </row>
    <row r="29" spans="7:29" ht="14.25" customHeight="1" thickBot="1" x14ac:dyDescent="0.25">
      <c r="G29" s="138"/>
      <c r="H29" s="380"/>
      <c r="J29" s="159" t="s">
        <v>260</v>
      </c>
      <c r="K29" s="160"/>
      <c r="L29" s="160"/>
      <c r="M29" s="160"/>
      <c r="N29" s="160"/>
      <c r="O29" s="161">
        <v>20</v>
      </c>
      <c r="Z29" s="162"/>
      <c r="AA29" s="162"/>
      <c r="AB29" s="162"/>
      <c r="AC29" s="162"/>
    </row>
    <row r="30" spans="7:29" ht="14.25" customHeight="1" x14ac:dyDescent="0.2">
      <c r="G30" s="138"/>
      <c r="H30" s="380"/>
      <c r="J30" s="163" t="s">
        <v>263</v>
      </c>
      <c r="K30" s="164"/>
      <c r="L30" s="164"/>
      <c r="M30" s="164"/>
      <c r="N30" s="164"/>
      <c r="O30" s="165">
        <v>5</v>
      </c>
    </row>
    <row r="31" spans="7:29" ht="14.25" customHeight="1" thickBot="1" x14ac:dyDescent="0.3">
      <c r="G31" s="138"/>
      <c r="H31" s="380"/>
      <c r="J31" s="439" t="s">
        <v>265</v>
      </c>
      <c r="K31" s="440"/>
      <c r="L31" s="440"/>
      <c r="M31" s="440"/>
      <c r="N31" s="440"/>
      <c r="O31" s="166">
        <v>0.02</v>
      </c>
    </row>
    <row r="32" spans="7:29" ht="14.25" customHeight="1" x14ac:dyDescent="0.2">
      <c r="G32" s="138"/>
      <c r="H32" s="380"/>
      <c r="J32" s="167" t="s">
        <v>266</v>
      </c>
      <c r="K32" s="168"/>
      <c r="L32" s="168"/>
      <c r="N32" s="169"/>
      <c r="O32" s="170">
        <v>3</v>
      </c>
    </row>
    <row r="33" spans="7:42" ht="26.25" customHeight="1" x14ac:dyDescent="0.2">
      <c r="G33" s="138"/>
      <c r="H33" s="380"/>
      <c r="J33" s="171" t="s">
        <v>267</v>
      </c>
      <c r="K33" s="172" t="s">
        <v>268</v>
      </c>
      <c r="L33" s="454" t="s">
        <v>269</v>
      </c>
      <c r="M33" s="455" t="s">
        <v>270</v>
      </c>
    </row>
    <row r="34" spans="7:42" ht="26.25" customHeight="1" x14ac:dyDescent="0.2">
      <c r="G34" s="138"/>
      <c r="H34" s="380"/>
      <c r="J34" s="173" t="s">
        <v>271</v>
      </c>
      <c r="K34" s="174" t="s">
        <v>272</v>
      </c>
      <c r="L34" s="394"/>
      <c r="M34" s="423"/>
    </row>
    <row r="35" spans="7:42" ht="14.25" customHeight="1" x14ac:dyDescent="0.2">
      <c r="G35" s="138"/>
      <c r="H35" s="380"/>
      <c r="J35" s="175">
        <v>0</v>
      </c>
      <c r="K35" s="176">
        <v>0.8</v>
      </c>
      <c r="L35" s="176">
        <v>0.8</v>
      </c>
      <c r="M35" s="177">
        <v>0.2</v>
      </c>
    </row>
    <row r="36" spans="7:42" ht="14.25" customHeight="1" x14ac:dyDescent="0.2">
      <c r="G36" s="138"/>
      <c r="H36" s="380"/>
      <c r="J36" s="178">
        <v>1</v>
      </c>
      <c r="K36" s="179">
        <v>0.1</v>
      </c>
      <c r="L36" s="179">
        <v>0.8</v>
      </c>
      <c r="M36" s="177">
        <v>0.2</v>
      </c>
      <c r="O36" s="180"/>
    </row>
    <row r="37" spans="7:42" ht="14.25" customHeight="1" thickBot="1" x14ac:dyDescent="0.25">
      <c r="G37" s="138"/>
      <c r="H37" s="380"/>
      <c r="J37" s="181">
        <v>2</v>
      </c>
      <c r="K37" s="182">
        <v>0.1</v>
      </c>
      <c r="L37" s="182">
        <v>0.8</v>
      </c>
      <c r="M37" s="183">
        <v>0.2</v>
      </c>
    </row>
    <row r="38" spans="7:42" ht="14.25" customHeight="1" x14ac:dyDescent="0.2">
      <c r="G38" s="138"/>
      <c r="H38" s="380"/>
      <c r="M38" s="184"/>
    </row>
    <row r="39" spans="7:42" ht="14.25" customHeight="1" x14ac:dyDescent="0.2">
      <c r="H39" s="380"/>
    </row>
    <row r="40" spans="7:42" ht="14.25" customHeight="1" x14ac:dyDescent="0.2">
      <c r="H40" s="380"/>
      <c r="M40" s="123">
        <v>2021</v>
      </c>
      <c r="N40" s="123">
        <v>2022</v>
      </c>
      <c r="O40" s="123">
        <v>2023</v>
      </c>
      <c r="P40" s="123">
        <v>2024</v>
      </c>
      <c r="Q40" s="123">
        <v>2025</v>
      </c>
      <c r="R40" s="123">
        <v>2026</v>
      </c>
      <c r="S40" s="123">
        <v>2027</v>
      </c>
      <c r="T40" s="123">
        <v>2028</v>
      </c>
      <c r="U40" s="123">
        <v>2029</v>
      </c>
      <c r="V40" s="123">
        <v>2030</v>
      </c>
      <c r="W40" s="123">
        <v>2031</v>
      </c>
      <c r="X40" s="123">
        <v>2032</v>
      </c>
      <c r="Y40" s="123">
        <v>2033</v>
      </c>
      <c r="Z40" s="123">
        <v>2034</v>
      </c>
      <c r="AA40" s="123">
        <v>2035</v>
      </c>
      <c r="AB40" s="123">
        <v>2036</v>
      </c>
      <c r="AC40" s="123">
        <v>2037</v>
      </c>
      <c r="AD40" s="123">
        <v>2038</v>
      </c>
      <c r="AE40" s="123">
        <v>2039</v>
      </c>
      <c r="AF40" s="123">
        <v>2040</v>
      </c>
      <c r="AG40" s="123">
        <v>2041</v>
      </c>
      <c r="AH40" s="123">
        <v>2042</v>
      </c>
      <c r="AI40" s="123">
        <v>2043</v>
      </c>
      <c r="AJ40" s="123">
        <v>2044</v>
      </c>
      <c r="AK40" s="123">
        <v>2045</v>
      </c>
      <c r="AL40" s="123">
        <v>2046</v>
      </c>
      <c r="AM40" s="123">
        <v>2047</v>
      </c>
      <c r="AN40" s="123">
        <v>2048</v>
      </c>
      <c r="AO40" s="123">
        <v>2049</v>
      </c>
      <c r="AP40" s="123">
        <v>2050</v>
      </c>
    </row>
    <row r="41" spans="7:42" ht="14.25" customHeight="1" x14ac:dyDescent="0.2">
      <c r="H41" s="380"/>
      <c r="J41" s="418" t="s">
        <v>218</v>
      </c>
      <c r="K41" s="185" t="s">
        <v>273</v>
      </c>
      <c r="L41" s="185" t="s">
        <v>274</v>
      </c>
      <c r="M41" s="186">
        <v>2.7900000000000001E-2</v>
      </c>
      <c r="N41" s="186">
        <v>2.7199999999999998E-2</v>
      </c>
      <c r="O41" s="186">
        <v>2.53E-2</v>
      </c>
      <c r="P41" s="186">
        <v>2.5000000000000001E-2</v>
      </c>
      <c r="Q41" s="186">
        <v>2.5000000000000001E-2</v>
      </c>
      <c r="R41" s="186">
        <v>2.5000000000000001E-2</v>
      </c>
      <c r="S41" s="186">
        <v>2.5000000000000001E-2</v>
      </c>
      <c r="T41" s="186">
        <v>2.5000000000000001E-2</v>
      </c>
      <c r="U41" s="186">
        <v>2.5000000000000001E-2</v>
      </c>
      <c r="V41" s="186">
        <v>2.5000000000000001E-2</v>
      </c>
      <c r="W41" s="186">
        <v>2.5000000000000001E-2</v>
      </c>
      <c r="X41" s="186">
        <v>2.5000000000000001E-2</v>
      </c>
      <c r="Y41" s="186">
        <v>2.5000000000000001E-2</v>
      </c>
      <c r="Z41" s="186">
        <v>2.5000000000000001E-2</v>
      </c>
      <c r="AA41" s="186">
        <v>2.5000000000000001E-2</v>
      </c>
      <c r="AB41" s="186">
        <v>2.5000000000000001E-2</v>
      </c>
      <c r="AC41" s="186">
        <v>2.5000000000000001E-2</v>
      </c>
      <c r="AD41" s="186">
        <v>2.5000000000000001E-2</v>
      </c>
      <c r="AE41" s="186">
        <v>2.5000000000000001E-2</v>
      </c>
      <c r="AF41" s="186">
        <v>2.5000000000000001E-2</v>
      </c>
      <c r="AG41" s="186">
        <v>2.5000000000000001E-2</v>
      </c>
      <c r="AH41" s="186">
        <v>2.5000000000000001E-2</v>
      </c>
      <c r="AI41" s="186">
        <v>2.5000000000000001E-2</v>
      </c>
      <c r="AJ41" s="186">
        <v>2.5000000000000001E-2</v>
      </c>
      <c r="AK41" s="186">
        <v>2.5000000000000001E-2</v>
      </c>
      <c r="AL41" s="186">
        <v>2.5000000000000001E-2</v>
      </c>
      <c r="AM41" s="186">
        <v>2.5000000000000001E-2</v>
      </c>
      <c r="AN41" s="186">
        <v>2.5000000000000001E-2</v>
      </c>
      <c r="AO41" s="186">
        <v>2.5000000000000001E-2</v>
      </c>
      <c r="AP41" s="186">
        <v>2.5000000000000001E-2</v>
      </c>
    </row>
    <row r="42" spans="7:42" ht="14.25" customHeight="1" x14ac:dyDescent="0.2">
      <c r="H42" s="380"/>
      <c r="J42" s="380"/>
      <c r="K42" s="185" t="s">
        <v>275</v>
      </c>
      <c r="L42" s="185" t="s">
        <v>276</v>
      </c>
      <c r="M42" s="186">
        <v>7.0000000000000007E-2</v>
      </c>
      <c r="N42" s="186">
        <v>7.0000000000000007E-2</v>
      </c>
      <c r="O42" s="186">
        <v>7.0000000000000007E-2</v>
      </c>
      <c r="P42" s="186">
        <v>7.0000000000000007E-2</v>
      </c>
      <c r="Q42" s="186">
        <v>7.0000000000000007E-2</v>
      </c>
      <c r="R42" s="186">
        <v>7.0000000000000007E-2</v>
      </c>
      <c r="S42" s="186">
        <v>7.0000000000000007E-2</v>
      </c>
      <c r="T42" s="186">
        <v>7.0000000000000007E-2</v>
      </c>
      <c r="U42" s="186">
        <v>7.0000000000000007E-2</v>
      </c>
      <c r="V42" s="186">
        <v>7.0000000000000007E-2</v>
      </c>
      <c r="W42" s="186">
        <v>7.0000000000000007E-2</v>
      </c>
      <c r="X42" s="186">
        <v>7.0000000000000007E-2</v>
      </c>
      <c r="Y42" s="186">
        <v>7.0000000000000007E-2</v>
      </c>
      <c r="Z42" s="186">
        <v>7.0000000000000007E-2</v>
      </c>
      <c r="AA42" s="186">
        <v>7.0000000000000007E-2</v>
      </c>
      <c r="AB42" s="186">
        <v>7.0000000000000007E-2</v>
      </c>
      <c r="AC42" s="186">
        <v>7.0000000000000007E-2</v>
      </c>
      <c r="AD42" s="186">
        <v>7.0000000000000007E-2</v>
      </c>
      <c r="AE42" s="186">
        <v>7.0000000000000007E-2</v>
      </c>
      <c r="AF42" s="186">
        <v>7.0000000000000007E-2</v>
      </c>
      <c r="AG42" s="186">
        <v>7.0000000000000007E-2</v>
      </c>
      <c r="AH42" s="186">
        <v>7.0000000000000007E-2</v>
      </c>
      <c r="AI42" s="186">
        <v>7.0000000000000007E-2</v>
      </c>
      <c r="AJ42" s="186">
        <v>7.0000000000000007E-2</v>
      </c>
      <c r="AK42" s="186">
        <v>7.0000000000000007E-2</v>
      </c>
      <c r="AL42" s="186">
        <v>7.0000000000000007E-2</v>
      </c>
      <c r="AM42" s="186">
        <v>7.0000000000000007E-2</v>
      </c>
      <c r="AN42" s="186">
        <v>7.0000000000000007E-2</v>
      </c>
      <c r="AO42" s="186">
        <v>7.0000000000000007E-2</v>
      </c>
      <c r="AP42" s="186">
        <v>7.0000000000000007E-2</v>
      </c>
    </row>
    <row r="43" spans="7:42" ht="14.25" customHeight="1" x14ac:dyDescent="0.2">
      <c r="H43" s="380"/>
      <c r="J43" s="380"/>
      <c r="K43" s="185" t="s">
        <v>275</v>
      </c>
      <c r="L43" s="185" t="s">
        <v>277</v>
      </c>
      <c r="M43" s="186">
        <v>7.0000000000000007E-2</v>
      </c>
      <c r="N43" s="186">
        <v>7.0000000000000007E-2</v>
      </c>
      <c r="O43" s="186">
        <v>7.0000000000000007E-2</v>
      </c>
      <c r="P43" s="186">
        <v>7.0000000000000007E-2</v>
      </c>
      <c r="Q43" s="186">
        <v>7.0000000000000007E-2</v>
      </c>
      <c r="R43" s="186">
        <v>7.0000000000000007E-2</v>
      </c>
      <c r="S43" s="186">
        <v>7.0000000000000007E-2</v>
      </c>
      <c r="T43" s="186">
        <v>7.0000000000000007E-2</v>
      </c>
      <c r="U43" s="186">
        <v>7.0000000000000007E-2</v>
      </c>
      <c r="V43" s="186">
        <v>7.0000000000000007E-2</v>
      </c>
      <c r="W43" s="186">
        <v>7.0000000000000007E-2</v>
      </c>
      <c r="X43" s="186">
        <v>7.0000000000000007E-2</v>
      </c>
      <c r="Y43" s="186">
        <v>7.0000000000000007E-2</v>
      </c>
      <c r="Z43" s="186">
        <v>7.0000000000000007E-2</v>
      </c>
      <c r="AA43" s="186">
        <v>7.0000000000000007E-2</v>
      </c>
      <c r="AB43" s="186">
        <v>7.0000000000000007E-2</v>
      </c>
      <c r="AC43" s="186">
        <v>7.0000000000000007E-2</v>
      </c>
      <c r="AD43" s="186">
        <v>7.0000000000000007E-2</v>
      </c>
      <c r="AE43" s="186">
        <v>7.0000000000000007E-2</v>
      </c>
      <c r="AF43" s="186">
        <v>7.0000000000000007E-2</v>
      </c>
      <c r="AG43" s="186">
        <v>7.0000000000000007E-2</v>
      </c>
      <c r="AH43" s="186">
        <v>7.0000000000000007E-2</v>
      </c>
      <c r="AI43" s="186">
        <v>7.0000000000000007E-2</v>
      </c>
      <c r="AJ43" s="186">
        <v>7.0000000000000007E-2</v>
      </c>
      <c r="AK43" s="186">
        <v>7.0000000000000007E-2</v>
      </c>
      <c r="AL43" s="186">
        <v>7.0000000000000007E-2</v>
      </c>
      <c r="AM43" s="186">
        <v>7.0000000000000007E-2</v>
      </c>
      <c r="AN43" s="186">
        <v>7.0000000000000007E-2</v>
      </c>
      <c r="AO43" s="186">
        <v>7.0000000000000007E-2</v>
      </c>
      <c r="AP43" s="186">
        <v>7.0000000000000007E-2</v>
      </c>
    </row>
    <row r="44" spans="7:42" ht="14.25" customHeight="1" x14ac:dyDescent="0.2">
      <c r="H44" s="380"/>
      <c r="J44" s="380"/>
      <c r="K44" s="185" t="s">
        <v>275</v>
      </c>
      <c r="L44" s="185" t="s">
        <v>278</v>
      </c>
      <c r="M44" s="186">
        <v>7.0000000000000007E-2</v>
      </c>
      <c r="N44" s="186">
        <v>7.0000000000000007E-2</v>
      </c>
      <c r="O44" s="186">
        <v>7.0000000000000007E-2</v>
      </c>
      <c r="P44" s="186">
        <v>7.0000000000000007E-2</v>
      </c>
      <c r="Q44" s="186">
        <v>7.0000000000000007E-2</v>
      </c>
      <c r="R44" s="186">
        <v>7.0000000000000007E-2</v>
      </c>
      <c r="S44" s="186">
        <v>7.0000000000000007E-2</v>
      </c>
      <c r="T44" s="186">
        <v>7.0000000000000007E-2</v>
      </c>
      <c r="U44" s="186">
        <v>7.0000000000000007E-2</v>
      </c>
      <c r="V44" s="186">
        <v>7.0000000000000007E-2</v>
      </c>
      <c r="W44" s="186">
        <v>7.0000000000000007E-2</v>
      </c>
      <c r="X44" s="186">
        <v>7.0000000000000007E-2</v>
      </c>
      <c r="Y44" s="186">
        <v>7.0000000000000007E-2</v>
      </c>
      <c r="Z44" s="186">
        <v>7.0000000000000007E-2</v>
      </c>
      <c r="AA44" s="186">
        <v>7.0000000000000007E-2</v>
      </c>
      <c r="AB44" s="186">
        <v>7.0000000000000007E-2</v>
      </c>
      <c r="AC44" s="186">
        <v>7.0000000000000007E-2</v>
      </c>
      <c r="AD44" s="186">
        <v>7.0000000000000007E-2</v>
      </c>
      <c r="AE44" s="186">
        <v>7.0000000000000007E-2</v>
      </c>
      <c r="AF44" s="186">
        <v>7.0000000000000007E-2</v>
      </c>
      <c r="AG44" s="186">
        <v>7.0000000000000007E-2</v>
      </c>
      <c r="AH44" s="186">
        <v>7.0000000000000007E-2</v>
      </c>
      <c r="AI44" s="186">
        <v>7.0000000000000007E-2</v>
      </c>
      <c r="AJ44" s="186">
        <v>7.0000000000000007E-2</v>
      </c>
      <c r="AK44" s="186">
        <v>7.0000000000000007E-2</v>
      </c>
      <c r="AL44" s="186">
        <v>7.0000000000000007E-2</v>
      </c>
      <c r="AM44" s="186">
        <v>7.0000000000000007E-2</v>
      </c>
      <c r="AN44" s="186">
        <v>7.0000000000000007E-2</v>
      </c>
      <c r="AO44" s="186">
        <v>7.0000000000000007E-2</v>
      </c>
      <c r="AP44" s="186">
        <v>7.0000000000000007E-2</v>
      </c>
    </row>
    <row r="45" spans="7:42" ht="14.25" customHeight="1" x14ac:dyDescent="0.25">
      <c r="H45" s="380"/>
      <c r="J45" s="380"/>
      <c r="K45" s="185" t="s">
        <v>279</v>
      </c>
      <c r="L45" s="185" t="s">
        <v>276</v>
      </c>
      <c r="M45" s="187">
        <v>4.0957291565327347E-2</v>
      </c>
      <c r="N45" s="187">
        <v>4.1666666666666741E-2</v>
      </c>
      <c r="O45" s="187">
        <v>4.3596996001170403E-2</v>
      </c>
      <c r="P45" s="187">
        <v>4.3902439024390498E-2</v>
      </c>
      <c r="Q45" s="187">
        <v>4.3902439024390498E-2</v>
      </c>
      <c r="R45" s="187">
        <v>4.3902439024390498E-2</v>
      </c>
      <c r="S45" s="187">
        <v>4.3902439024390498E-2</v>
      </c>
      <c r="T45" s="187">
        <v>4.3902439024390498E-2</v>
      </c>
      <c r="U45" s="187">
        <v>4.3902439024390498E-2</v>
      </c>
      <c r="V45" s="187">
        <v>4.3902439024390498E-2</v>
      </c>
      <c r="W45" s="187">
        <v>4.3902439024390498E-2</v>
      </c>
      <c r="X45" s="187">
        <v>4.3902439024390498E-2</v>
      </c>
      <c r="Y45" s="187">
        <v>4.3902439024390498E-2</v>
      </c>
      <c r="Z45" s="187">
        <v>4.3902439024390498E-2</v>
      </c>
      <c r="AA45" s="187">
        <v>4.3902439024390498E-2</v>
      </c>
      <c r="AB45" s="187">
        <v>4.3902439024390498E-2</v>
      </c>
      <c r="AC45" s="187">
        <v>4.3902439024390498E-2</v>
      </c>
      <c r="AD45" s="187">
        <v>4.3902439024390498E-2</v>
      </c>
      <c r="AE45" s="187">
        <v>4.3902439024390498E-2</v>
      </c>
      <c r="AF45" s="187">
        <v>4.3902439024390498E-2</v>
      </c>
      <c r="AG45" s="187">
        <v>4.3902439024390498E-2</v>
      </c>
      <c r="AH45" s="187">
        <v>4.3902439024390498E-2</v>
      </c>
      <c r="AI45" s="187">
        <v>4.3902439024390498E-2</v>
      </c>
      <c r="AJ45" s="187">
        <v>4.3902439024390498E-2</v>
      </c>
      <c r="AK45" s="187">
        <v>4.3902439024390498E-2</v>
      </c>
      <c r="AL45" s="187">
        <v>4.3902439024390498E-2</v>
      </c>
      <c r="AM45" s="187">
        <v>4.3902439024390498E-2</v>
      </c>
      <c r="AN45" s="187">
        <v>4.3902439024390498E-2</v>
      </c>
      <c r="AO45" s="187">
        <v>4.3902439024390498E-2</v>
      </c>
      <c r="AP45" s="187">
        <v>4.3902439024390498E-2</v>
      </c>
    </row>
    <row r="46" spans="7:42" ht="14.25" customHeight="1" x14ac:dyDescent="0.25">
      <c r="H46" s="380"/>
      <c r="J46" s="380"/>
      <c r="K46" s="185" t="s">
        <v>279</v>
      </c>
      <c r="L46" s="185" t="s">
        <v>277</v>
      </c>
      <c r="M46" s="187">
        <v>4.0957291565327347E-2</v>
      </c>
      <c r="N46" s="187">
        <v>4.1666666666666741E-2</v>
      </c>
      <c r="O46" s="187">
        <v>4.3596996001170403E-2</v>
      </c>
      <c r="P46" s="187">
        <v>4.3902439024390498E-2</v>
      </c>
      <c r="Q46" s="187">
        <v>4.3902439024390498E-2</v>
      </c>
      <c r="R46" s="187">
        <v>4.3902439024390498E-2</v>
      </c>
      <c r="S46" s="187">
        <v>4.3902439024390498E-2</v>
      </c>
      <c r="T46" s="187">
        <v>4.3902439024390498E-2</v>
      </c>
      <c r="U46" s="187">
        <v>4.3902439024390498E-2</v>
      </c>
      <c r="V46" s="187">
        <v>4.3902439024390498E-2</v>
      </c>
      <c r="W46" s="187">
        <v>4.3902439024390498E-2</v>
      </c>
      <c r="X46" s="187">
        <v>4.3902439024390498E-2</v>
      </c>
      <c r="Y46" s="187">
        <v>4.3902439024390498E-2</v>
      </c>
      <c r="Z46" s="187">
        <v>4.3902439024390498E-2</v>
      </c>
      <c r="AA46" s="187">
        <v>4.3902439024390498E-2</v>
      </c>
      <c r="AB46" s="187">
        <v>4.3902439024390498E-2</v>
      </c>
      <c r="AC46" s="187">
        <v>4.3902439024390498E-2</v>
      </c>
      <c r="AD46" s="187">
        <v>4.3902439024390498E-2</v>
      </c>
      <c r="AE46" s="187">
        <v>4.3902439024390498E-2</v>
      </c>
      <c r="AF46" s="187">
        <v>4.3902439024390498E-2</v>
      </c>
      <c r="AG46" s="187">
        <v>4.3902439024390498E-2</v>
      </c>
      <c r="AH46" s="187">
        <v>4.3902439024390498E-2</v>
      </c>
      <c r="AI46" s="187">
        <v>4.3902439024390498E-2</v>
      </c>
      <c r="AJ46" s="187">
        <v>4.3902439024390498E-2</v>
      </c>
      <c r="AK46" s="187">
        <v>4.3902439024390498E-2</v>
      </c>
      <c r="AL46" s="187">
        <v>4.3902439024390498E-2</v>
      </c>
      <c r="AM46" s="187">
        <v>4.3902439024390498E-2</v>
      </c>
      <c r="AN46" s="187">
        <v>4.3902439024390498E-2</v>
      </c>
      <c r="AO46" s="187">
        <v>4.3902439024390498E-2</v>
      </c>
      <c r="AP46" s="187">
        <v>4.3902439024390498E-2</v>
      </c>
    </row>
    <row r="47" spans="7:42" ht="14.25" customHeight="1" x14ac:dyDescent="0.25">
      <c r="H47" s="380"/>
      <c r="J47" s="380"/>
      <c r="K47" s="185" t="s">
        <v>279</v>
      </c>
      <c r="L47" s="185" t="s">
        <v>278</v>
      </c>
      <c r="M47" s="187">
        <v>4.0957291565327347E-2</v>
      </c>
      <c r="N47" s="187">
        <v>4.1666666666666741E-2</v>
      </c>
      <c r="O47" s="187">
        <v>4.3596996001170403E-2</v>
      </c>
      <c r="P47" s="187">
        <v>4.3902439024390498E-2</v>
      </c>
      <c r="Q47" s="187">
        <v>4.3902439024390498E-2</v>
      </c>
      <c r="R47" s="187">
        <v>4.3902439024390498E-2</v>
      </c>
      <c r="S47" s="187">
        <v>4.3902439024390498E-2</v>
      </c>
      <c r="T47" s="187">
        <v>4.3902439024390498E-2</v>
      </c>
      <c r="U47" s="187">
        <v>4.3902439024390498E-2</v>
      </c>
      <c r="V47" s="187">
        <v>4.3902439024390498E-2</v>
      </c>
      <c r="W47" s="187">
        <v>4.3902439024390498E-2</v>
      </c>
      <c r="X47" s="187">
        <v>4.3902439024390498E-2</v>
      </c>
      <c r="Y47" s="187">
        <v>4.3902439024390498E-2</v>
      </c>
      <c r="Z47" s="187">
        <v>4.3902439024390498E-2</v>
      </c>
      <c r="AA47" s="187">
        <v>4.3902439024390498E-2</v>
      </c>
      <c r="AB47" s="187">
        <v>4.3902439024390498E-2</v>
      </c>
      <c r="AC47" s="187">
        <v>4.3902439024390498E-2</v>
      </c>
      <c r="AD47" s="187">
        <v>4.3902439024390498E-2</v>
      </c>
      <c r="AE47" s="187">
        <v>4.3902439024390498E-2</v>
      </c>
      <c r="AF47" s="187">
        <v>4.3902439024390498E-2</v>
      </c>
      <c r="AG47" s="187">
        <v>4.3902439024390498E-2</v>
      </c>
      <c r="AH47" s="187">
        <v>4.3902439024390498E-2</v>
      </c>
      <c r="AI47" s="187">
        <v>4.3902439024390498E-2</v>
      </c>
      <c r="AJ47" s="187">
        <v>4.3902439024390498E-2</v>
      </c>
      <c r="AK47" s="187">
        <v>4.3902439024390498E-2</v>
      </c>
      <c r="AL47" s="187">
        <v>4.3902439024390498E-2</v>
      </c>
      <c r="AM47" s="187">
        <v>4.3902439024390498E-2</v>
      </c>
      <c r="AN47" s="187">
        <v>4.3902439024390498E-2</v>
      </c>
      <c r="AO47" s="187">
        <v>4.3902439024390498E-2</v>
      </c>
      <c r="AP47" s="187">
        <v>4.3902439024390498E-2</v>
      </c>
    </row>
    <row r="48" spans="7:42" ht="14.25" customHeight="1" x14ac:dyDescent="0.2">
      <c r="H48" s="380"/>
      <c r="J48" s="380"/>
      <c r="K48" s="185" t="s">
        <v>280</v>
      </c>
      <c r="L48" s="185" t="s">
        <v>274</v>
      </c>
      <c r="M48" s="186">
        <v>6.5000000000000002E-2</v>
      </c>
      <c r="N48" s="186">
        <v>6.5000000000000002E-2</v>
      </c>
      <c r="O48" s="186">
        <v>6.5000000000000002E-2</v>
      </c>
      <c r="P48" s="186">
        <v>6.5000000000000002E-2</v>
      </c>
      <c r="Q48" s="186">
        <v>6.5000000000000002E-2</v>
      </c>
      <c r="R48" s="186">
        <v>6.5000000000000002E-2</v>
      </c>
      <c r="S48" s="186">
        <v>6.5000000000000002E-2</v>
      </c>
      <c r="T48" s="186">
        <v>6.5000000000000002E-2</v>
      </c>
      <c r="U48" s="186">
        <v>6.5000000000000002E-2</v>
      </c>
      <c r="V48" s="186">
        <v>6.5000000000000002E-2</v>
      </c>
      <c r="W48" s="186">
        <v>6.5000000000000002E-2</v>
      </c>
      <c r="X48" s="186">
        <v>6.5000000000000002E-2</v>
      </c>
      <c r="Y48" s="186">
        <v>6.5000000000000002E-2</v>
      </c>
      <c r="Z48" s="186">
        <v>6.5000000000000002E-2</v>
      </c>
      <c r="AA48" s="186">
        <v>6.5000000000000002E-2</v>
      </c>
      <c r="AB48" s="186">
        <v>6.5000000000000002E-2</v>
      </c>
      <c r="AC48" s="186">
        <v>6.5000000000000002E-2</v>
      </c>
      <c r="AD48" s="186">
        <v>6.5000000000000002E-2</v>
      </c>
      <c r="AE48" s="186">
        <v>6.5000000000000002E-2</v>
      </c>
      <c r="AF48" s="186">
        <v>6.5000000000000002E-2</v>
      </c>
      <c r="AG48" s="186">
        <v>6.5000000000000002E-2</v>
      </c>
      <c r="AH48" s="186">
        <v>6.5000000000000002E-2</v>
      </c>
      <c r="AI48" s="186">
        <v>6.5000000000000002E-2</v>
      </c>
      <c r="AJ48" s="186">
        <v>6.5000000000000002E-2</v>
      </c>
      <c r="AK48" s="186">
        <v>6.5000000000000002E-2</v>
      </c>
      <c r="AL48" s="186">
        <v>6.5000000000000002E-2</v>
      </c>
      <c r="AM48" s="186">
        <v>6.5000000000000002E-2</v>
      </c>
      <c r="AN48" s="186">
        <v>6.5000000000000002E-2</v>
      </c>
      <c r="AO48" s="186">
        <v>6.5000000000000002E-2</v>
      </c>
      <c r="AP48" s="186">
        <v>6.5000000000000002E-2</v>
      </c>
    </row>
    <row r="49" spans="8:42" ht="14.25" customHeight="1" x14ac:dyDescent="0.2">
      <c r="H49" s="380"/>
      <c r="J49" s="380"/>
      <c r="K49" s="185" t="s">
        <v>281</v>
      </c>
      <c r="L49" s="185" t="s">
        <v>276</v>
      </c>
      <c r="M49" s="186">
        <v>0.1</v>
      </c>
      <c r="N49" s="186">
        <v>0.1</v>
      </c>
      <c r="O49" s="186">
        <v>0.1</v>
      </c>
      <c r="P49" s="186">
        <v>0.1</v>
      </c>
      <c r="Q49" s="186">
        <v>0.1</v>
      </c>
      <c r="R49" s="186">
        <v>0.1</v>
      </c>
      <c r="S49" s="186">
        <v>0.1</v>
      </c>
      <c r="T49" s="186">
        <v>0.1</v>
      </c>
      <c r="U49" s="186">
        <v>0.1</v>
      </c>
      <c r="V49" s="186">
        <v>0.1</v>
      </c>
      <c r="W49" s="186">
        <v>0.1</v>
      </c>
      <c r="X49" s="186">
        <v>0.1</v>
      </c>
      <c r="Y49" s="186">
        <v>0.1</v>
      </c>
      <c r="Z49" s="186">
        <v>0.1</v>
      </c>
      <c r="AA49" s="186">
        <v>0.1</v>
      </c>
      <c r="AB49" s="186">
        <v>0.1</v>
      </c>
      <c r="AC49" s="186">
        <v>0.1</v>
      </c>
      <c r="AD49" s="186">
        <v>0.1</v>
      </c>
      <c r="AE49" s="186">
        <v>0.1</v>
      </c>
      <c r="AF49" s="186">
        <v>0.1</v>
      </c>
      <c r="AG49" s="186">
        <v>0.1</v>
      </c>
      <c r="AH49" s="186">
        <v>0.1</v>
      </c>
      <c r="AI49" s="186">
        <v>0.1</v>
      </c>
      <c r="AJ49" s="186">
        <v>0.1</v>
      </c>
      <c r="AK49" s="186">
        <v>0.1</v>
      </c>
      <c r="AL49" s="186">
        <v>0.1</v>
      </c>
      <c r="AM49" s="186">
        <v>0.1</v>
      </c>
      <c r="AN49" s="186">
        <v>0.1</v>
      </c>
      <c r="AO49" s="186">
        <v>0.1</v>
      </c>
      <c r="AP49" s="186">
        <v>0.1</v>
      </c>
    </row>
    <row r="50" spans="8:42" ht="14.25" customHeight="1" x14ac:dyDescent="0.2">
      <c r="H50" s="380"/>
      <c r="J50" s="380"/>
      <c r="K50" s="185" t="s">
        <v>281</v>
      </c>
      <c r="L50" s="185" t="s">
        <v>277</v>
      </c>
      <c r="M50" s="186">
        <v>0.1</v>
      </c>
      <c r="N50" s="186">
        <v>0.1</v>
      </c>
      <c r="O50" s="186">
        <v>0.1</v>
      </c>
      <c r="P50" s="186">
        <v>0.1</v>
      </c>
      <c r="Q50" s="186">
        <v>0.1</v>
      </c>
      <c r="R50" s="186">
        <v>0.1</v>
      </c>
      <c r="S50" s="186">
        <v>0.1</v>
      </c>
      <c r="T50" s="186">
        <v>0.1</v>
      </c>
      <c r="U50" s="186">
        <v>0.1</v>
      </c>
      <c r="V50" s="186">
        <v>0.1</v>
      </c>
      <c r="W50" s="186">
        <v>0.1</v>
      </c>
      <c r="X50" s="186">
        <v>0.1</v>
      </c>
      <c r="Y50" s="186">
        <v>0.1</v>
      </c>
      <c r="Z50" s="186">
        <v>0.1</v>
      </c>
      <c r="AA50" s="186">
        <v>0.1</v>
      </c>
      <c r="AB50" s="186">
        <v>0.1</v>
      </c>
      <c r="AC50" s="186">
        <v>0.1</v>
      </c>
      <c r="AD50" s="186">
        <v>0.1</v>
      </c>
      <c r="AE50" s="186">
        <v>0.1</v>
      </c>
      <c r="AF50" s="186">
        <v>0.1</v>
      </c>
      <c r="AG50" s="186">
        <v>0.1</v>
      </c>
      <c r="AH50" s="186">
        <v>0.1</v>
      </c>
      <c r="AI50" s="186">
        <v>0.1</v>
      </c>
      <c r="AJ50" s="186">
        <v>0.1</v>
      </c>
      <c r="AK50" s="186">
        <v>0.1</v>
      </c>
      <c r="AL50" s="186">
        <v>0.1</v>
      </c>
      <c r="AM50" s="186">
        <v>0.1</v>
      </c>
      <c r="AN50" s="186">
        <v>0.1</v>
      </c>
      <c r="AO50" s="186">
        <v>0.1</v>
      </c>
      <c r="AP50" s="186">
        <v>0.1</v>
      </c>
    </row>
    <row r="51" spans="8:42" ht="14.25" customHeight="1" x14ac:dyDescent="0.2">
      <c r="H51" s="380"/>
      <c r="J51" s="380"/>
      <c r="K51" s="185" t="s">
        <v>281</v>
      </c>
      <c r="L51" s="185" t="s">
        <v>278</v>
      </c>
      <c r="M51" s="186">
        <v>0.1</v>
      </c>
      <c r="N51" s="186">
        <v>0.1</v>
      </c>
      <c r="O51" s="186">
        <v>0.1</v>
      </c>
      <c r="P51" s="186">
        <v>0.1</v>
      </c>
      <c r="Q51" s="186">
        <v>0.1</v>
      </c>
      <c r="R51" s="186">
        <v>0.1</v>
      </c>
      <c r="S51" s="186">
        <v>0.1</v>
      </c>
      <c r="T51" s="186">
        <v>0.1</v>
      </c>
      <c r="U51" s="186">
        <v>0.1</v>
      </c>
      <c r="V51" s="186">
        <v>0.1</v>
      </c>
      <c r="W51" s="186">
        <v>0.1</v>
      </c>
      <c r="X51" s="186">
        <v>0.1</v>
      </c>
      <c r="Y51" s="186">
        <v>0.1</v>
      </c>
      <c r="Z51" s="186">
        <v>0.1</v>
      </c>
      <c r="AA51" s="186">
        <v>0.1</v>
      </c>
      <c r="AB51" s="186">
        <v>0.1</v>
      </c>
      <c r="AC51" s="186">
        <v>0.1</v>
      </c>
      <c r="AD51" s="186">
        <v>0.1</v>
      </c>
      <c r="AE51" s="186">
        <v>0.1</v>
      </c>
      <c r="AF51" s="186">
        <v>0.1</v>
      </c>
      <c r="AG51" s="186">
        <v>0.1</v>
      </c>
      <c r="AH51" s="186">
        <v>0.1</v>
      </c>
      <c r="AI51" s="186">
        <v>0.1</v>
      </c>
      <c r="AJ51" s="186">
        <v>0.1</v>
      </c>
      <c r="AK51" s="186">
        <v>0.1</v>
      </c>
      <c r="AL51" s="186">
        <v>0.1</v>
      </c>
      <c r="AM51" s="186">
        <v>0.1</v>
      </c>
      <c r="AN51" s="186">
        <v>0.1</v>
      </c>
      <c r="AO51" s="186">
        <v>0.1</v>
      </c>
      <c r="AP51" s="186">
        <v>0.1</v>
      </c>
    </row>
    <row r="52" spans="8:42" ht="14.25" customHeight="1" x14ac:dyDescent="0.25">
      <c r="H52" s="380"/>
      <c r="J52" s="380"/>
      <c r="K52" s="185" t="s">
        <v>282</v>
      </c>
      <c r="L52" s="185" t="s">
        <v>276</v>
      </c>
      <c r="M52" s="187">
        <v>7.0143010020430108E-2</v>
      </c>
      <c r="N52" s="187">
        <v>7.0872274143302327E-2</v>
      </c>
      <c r="O52" s="187">
        <v>7.2856724861016353E-2</v>
      </c>
      <c r="P52" s="187">
        <v>7.317073170731736E-2</v>
      </c>
      <c r="Q52" s="187">
        <v>7.317073170731736E-2</v>
      </c>
      <c r="R52" s="187">
        <v>7.317073170731736E-2</v>
      </c>
      <c r="S52" s="187">
        <v>7.317073170731736E-2</v>
      </c>
      <c r="T52" s="187">
        <v>7.317073170731736E-2</v>
      </c>
      <c r="U52" s="187">
        <v>7.317073170731736E-2</v>
      </c>
      <c r="V52" s="187">
        <v>7.317073170731736E-2</v>
      </c>
      <c r="W52" s="187">
        <v>7.317073170731736E-2</v>
      </c>
      <c r="X52" s="187">
        <v>7.317073170731736E-2</v>
      </c>
      <c r="Y52" s="187">
        <v>7.317073170731736E-2</v>
      </c>
      <c r="Z52" s="187">
        <v>7.317073170731736E-2</v>
      </c>
      <c r="AA52" s="187">
        <v>7.317073170731736E-2</v>
      </c>
      <c r="AB52" s="187">
        <v>7.317073170731736E-2</v>
      </c>
      <c r="AC52" s="187">
        <v>7.317073170731736E-2</v>
      </c>
      <c r="AD52" s="187">
        <v>7.317073170731736E-2</v>
      </c>
      <c r="AE52" s="187">
        <v>7.317073170731736E-2</v>
      </c>
      <c r="AF52" s="187">
        <v>7.317073170731736E-2</v>
      </c>
      <c r="AG52" s="187">
        <v>7.317073170731736E-2</v>
      </c>
      <c r="AH52" s="187">
        <v>7.317073170731736E-2</v>
      </c>
      <c r="AI52" s="187">
        <v>7.317073170731736E-2</v>
      </c>
      <c r="AJ52" s="187">
        <v>7.317073170731736E-2</v>
      </c>
      <c r="AK52" s="187">
        <v>7.317073170731736E-2</v>
      </c>
      <c r="AL52" s="187">
        <v>7.317073170731736E-2</v>
      </c>
      <c r="AM52" s="187">
        <v>7.317073170731736E-2</v>
      </c>
      <c r="AN52" s="187">
        <v>7.317073170731736E-2</v>
      </c>
      <c r="AO52" s="187">
        <v>7.317073170731736E-2</v>
      </c>
      <c r="AP52" s="187">
        <v>7.317073170731736E-2</v>
      </c>
    </row>
    <row r="53" spans="8:42" ht="14.25" customHeight="1" x14ac:dyDescent="0.25">
      <c r="H53" s="380"/>
      <c r="J53" s="380"/>
      <c r="K53" s="185" t="s">
        <v>282</v>
      </c>
      <c r="L53" s="185" t="s">
        <v>277</v>
      </c>
      <c r="M53" s="187">
        <v>7.0143010020430108E-2</v>
      </c>
      <c r="N53" s="187">
        <v>7.0872274143302327E-2</v>
      </c>
      <c r="O53" s="187">
        <v>7.2856724861016353E-2</v>
      </c>
      <c r="P53" s="187">
        <v>7.317073170731736E-2</v>
      </c>
      <c r="Q53" s="187">
        <v>7.317073170731736E-2</v>
      </c>
      <c r="R53" s="187">
        <v>7.317073170731736E-2</v>
      </c>
      <c r="S53" s="187">
        <v>7.317073170731736E-2</v>
      </c>
      <c r="T53" s="187">
        <v>7.317073170731736E-2</v>
      </c>
      <c r="U53" s="187">
        <v>7.317073170731736E-2</v>
      </c>
      <c r="V53" s="187">
        <v>7.317073170731736E-2</v>
      </c>
      <c r="W53" s="187">
        <v>7.317073170731736E-2</v>
      </c>
      <c r="X53" s="187">
        <v>7.317073170731736E-2</v>
      </c>
      <c r="Y53" s="187">
        <v>7.317073170731736E-2</v>
      </c>
      <c r="Z53" s="187">
        <v>7.317073170731736E-2</v>
      </c>
      <c r="AA53" s="187">
        <v>7.317073170731736E-2</v>
      </c>
      <c r="AB53" s="187">
        <v>7.317073170731736E-2</v>
      </c>
      <c r="AC53" s="187">
        <v>7.317073170731736E-2</v>
      </c>
      <c r="AD53" s="187">
        <v>7.317073170731736E-2</v>
      </c>
      <c r="AE53" s="187">
        <v>7.317073170731736E-2</v>
      </c>
      <c r="AF53" s="187">
        <v>7.317073170731736E-2</v>
      </c>
      <c r="AG53" s="187">
        <v>7.317073170731736E-2</v>
      </c>
      <c r="AH53" s="187">
        <v>7.317073170731736E-2</v>
      </c>
      <c r="AI53" s="187">
        <v>7.317073170731736E-2</v>
      </c>
      <c r="AJ53" s="187">
        <v>7.317073170731736E-2</v>
      </c>
      <c r="AK53" s="187">
        <v>7.317073170731736E-2</v>
      </c>
      <c r="AL53" s="187">
        <v>7.317073170731736E-2</v>
      </c>
      <c r="AM53" s="187">
        <v>7.317073170731736E-2</v>
      </c>
      <c r="AN53" s="187">
        <v>7.317073170731736E-2</v>
      </c>
      <c r="AO53" s="187">
        <v>7.317073170731736E-2</v>
      </c>
      <c r="AP53" s="187">
        <v>7.317073170731736E-2</v>
      </c>
    </row>
    <row r="54" spans="8:42" ht="14.25" customHeight="1" x14ac:dyDescent="0.25">
      <c r="H54" s="380"/>
      <c r="J54" s="380"/>
      <c r="K54" s="185" t="s">
        <v>282</v>
      </c>
      <c r="L54" s="185" t="s">
        <v>278</v>
      </c>
      <c r="M54" s="187">
        <v>7.0143010020430108E-2</v>
      </c>
      <c r="N54" s="187">
        <v>7.0872274143302327E-2</v>
      </c>
      <c r="O54" s="187">
        <v>7.2856724861016353E-2</v>
      </c>
      <c r="P54" s="187">
        <v>7.317073170731736E-2</v>
      </c>
      <c r="Q54" s="187">
        <v>7.317073170731736E-2</v>
      </c>
      <c r="R54" s="187">
        <v>7.317073170731736E-2</v>
      </c>
      <c r="S54" s="187">
        <v>7.317073170731736E-2</v>
      </c>
      <c r="T54" s="187">
        <v>7.317073170731736E-2</v>
      </c>
      <c r="U54" s="187">
        <v>7.317073170731736E-2</v>
      </c>
      <c r="V54" s="187">
        <v>7.317073170731736E-2</v>
      </c>
      <c r="W54" s="187">
        <v>7.317073170731736E-2</v>
      </c>
      <c r="X54" s="187">
        <v>7.317073170731736E-2</v>
      </c>
      <c r="Y54" s="187">
        <v>7.317073170731736E-2</v>
      </c>
      <c r="Z54" s="187">
        <v>7.317073170731736E-2</v>
      </c>
      <c r="AA54" s="187">
        <v>7.317073170731736E-2</v>
      </c>
      <c r="AB54" s="187">
        <v>7.317073170731736E-2</v>
      </c>
      <c r="AC54" s="187">
        <v>7.317073170731736E-2</v>
      </c>
      <c r="AD54" s="187">
        <v>7.317073170731736E-2</v>
      </c>
      <c r="AE54" s="187">
        <v>7.317073170731736E-2</v>
      </c>
      <c r="AF54" s="187">
        <v>7.317073170731736E-2</v>
      </c>
      <c r="AG54" s="187">
        <v>7.317073170731736E-2</v>
      </c>
      <c r="AH54" s="187">
        <v>7.317073170731736E-2</v>
      </c>
      <c r="AI54" s="187">
        <v>7.317073170731736E-2</v>
      </c>
      <c r="AJ54" s="187">
        <v>7.317073170731736E-2</v>
      </c>
      <c r="AK54" s="187">
        <v>7.317073170731736E-2</v>
      </c>
      <c r="AL54" s="187">
        <v>7.317073170731736E-2</v>
      </c>
      <c r="AM54" s="187">
        <v>7.317073170731736E-2</v>
      </c>
      <c r="AN54" s="187">
        <v>7.317073170731736E-2</v>
      </c>
      <c r="AO54" s="187">
        <v>7.317073170731736E-2</v>
      </c>
      <c r="AP54" s="187">
        <v>7.317073170731736E-2</v>
      </c>
    </row>
    <row r="55" spans="8:42" ht="14.25" customHeight="1" x14ac:dyDescent="0.2">
      <c r="H55" s="380"/>
      <c r="J55" s="380"/>
      <c r="K55" s="185" t="s">
        <v>283</v>
      </c>
      <c r="L55" s="185" t="s">
        <v>276</v>
      </c>
      <c r="M55" s="186">
        <v>0.47683494198086401</v>
      </c>
      <c r="N55" s="186">
        <v>0.429620956624159</v>
      </c>
      <c r="O55" s="186">
        <v>0.41202840114628098</v>
      </c>
      <c r="P55" s="186">
        <v>0.37981635956828103</v>
      </c>
      <c r="Q55" s="186">
        <v>0.37217056793804298</v>
      </c>
      <c r="R55" s="186">
        <v>0.36428922852918399</v>
      </c>
      <c r="S55" s="186">
        <v>0.35616128608976699</v>
      </c>
      <c r="T55" s="186">
        <v>0.34777498254617301</v>
      </c>
      <c r="U55" s="186">
        <v>0.33911780024946597</v>
      </c>
      <c r="V55" s="186">
        <v>0.330176399633897</v>
      </c>
      <c r="W55" s="186">
        <v>0.326814253286979</v>
      </c>
      <c r="X55" s="186">
        <v>0.32339845226421199</v>
      </c>
      <c r="Y55" s="186">
        <v>0.31992770186593</v>
      </c>
      <c r="Z55" s="186">
        <v>0.316400665399515</v>
      </c>
      <c r="AA55" s="186">
        <v>0.31281596246295701</v>
      </c>
      <c r="AB55" s="186">
        <v>0.30917216714345902</v>
      </c>
      <c r="AC55" s="186">
        <v>0.30546780612640501</v>
      </c>
      <c r="AD55" s="186">
        <v>0.30170135670889903</v>
      </c>
      <c r="AE55" s="186">
        <v>0.29787124471308002</v>
      </c>
      <c r="AF55" s="186">
        <v>0.29397584229242901</v>
      </c>
      <c r="AG55" s="186">
        <v>0.29001346562420999</v>
      </c>
      <c r="AH55" s="186">
        <v>0.28598237248380698</v>
      </c>
      <c r="AI55" s="186">
        <v>0.28188075968966197</v>
      </c>
      <c r="AJ55" s="186">
        <v>0.38273669933452398</v>
      </c>
      <c r="AK55" s="186">
        <v>0.48555780993221498</v>
      </c>
      <c r="AL55" s="186">
        <v>0.715332757014711</v>
      </c>
      <c r="AM55" s="186">
        <v>0.71533339957429398</v>
      </c>
      <c r="AN55" s="186">
        <v>0.71533405388887095</v>
      </c>
      <c r="AO55" s="186">
        <v>0.71533472028398803</v>
      </c>
      <c r="AP55" s="186">
        <v>0.71533539909732502</v>
      </c>
    </row>
    <row r="56" spans="8:42" ht="14.25" customHeight="1" x14ac:dyDescent="0.2">
      <c r="H56" s="380"/>
      <c r="J56" s="380"/>
      <c r="K56" s="185" t="s">
        <v>283</v>
      </c>
      <c r="L56" s="185" t="s">
        <v>277</v>
      </c>
      <c r="M56" s="186">
        <v>0.47683494198086401</v>
      </c>
      <c r="N56" s="186">
        <v>0.429620956624159</v>
      </c>
      <c r="O56" s="186">
        <v>0.41202840114628098</v>
      </c>
      <c r="P56" s="186">
        <v>0.37981635956828103</v>
      </c>
      <c r="Q56" s="186">
        <v>0.37217056793804298</v>
      </c>
      <c r="R56" s="186">
        <v>0.36428922852918399</v>
      </c>
      <c r="S56" s="186">
        <v>0.35616128608976699</v>
      </c>
      <c r="T56" s="186">
        <v>0.34777498254617301</v>
      </c>
      <c r="U56" s="186">
        <v>0.33911780024946597</v>
      </c>
      <c r="V56" s="186">
        <v>0.330176399633897</v>
      </c>
      <c r="W56" s="186">
        <v>0.326814253286979</v>
      </c>
      <c r="X56" s="186">
        <v>0.32339845226421199</v>
      </c>
      <c r="Y56" s="186">
        <v>0.31992770186593</v>
      </c>
      <c r="Z56" s="186">
        <v>0.316400665399515</v>
      </c>
      <c r="AA56" s="186">
        <v>0.31281596246295701</v>
      </c>
      <c r="AB56" s="186">
        <v>0.30917216714345902</v>
      </c>
      <c r="AC56" s="186">
        <v>0.30546780612640501</v>
      </c>
      <c r="AD56" s="186">
        <v>0.30170135670889903</v>
      </c>
      <c r="AE56" s="186">
        <v>0.29787124471308002</v>
      </c>
      <c r="AF56" s="186">
        <v>0.29397584229242901</v>
      </c>
      <c r="AG56" s="186">
        <v>0.29001346562420999</v>
      </c>
      <c r="AH56" s="186">
        <v>0.28598237248380698</v>
      </c>
      <c r="AI56" s="186">
        <v>0.28188075968966197</v>
      </c>
      <c r="AJ56" s="186">
        <v>0.38273669933452398</v>
      </c>
      <c r="AK56" s="186">
        <v>0.48555780993221498</v>
      </c>
      <c r="AL56" s="186">
        <v>0.715332757014711</v>
      </c>
      <c r="AM56" s="186">
        <v>0.71533339957429398</v>
      </c>
      <c r="AN56" s="186">
        <v>0.71533405388887095</v>
      </c>
      <c r="AO56" s="186">
        <v>0.71533472028398803</v>
      </c>
      <c r="AP56" s="186">
        <v>0.71533539909732502</v>
      </c>
    </row>
    <row r="57" spans="8:42" ht="14.25" customHeight="1" x14ac:dyDescent="0.2">
      <c r="H57" s="380"/>
      <c r="J57" s="380"/>
      <c r="K57" s="185" t="s">
        <v>283</v>
      </c>
      <c r="L57" s="185" t="s">
        <v>278</v>
      </c>
      <c r="M57" s="186">
        <v>0.47683494198086401</v>
      </c>
      <c r="N57" s="186">
        <v>0.429620956624159</v>
      </c>
      <c r="O57" s="186">
        <v>0.41202840114628098</v>
      </c>
      <c r="P57" s="186">
        <v>0.37981635956828103</v>
      </c>
      <c r="Q57" s="186">
        <v>0.37217056793804298</v>
      </c>
      <c r="R57" s="186">
        <v>0.36428922852918399</v>
      </c>
      <c r="S57" s="186">
        <v>0.35616128608976699</v>
      </c>
      <c r="T57" s="186">
        <v>0.34777498254617301</v>
      </c>
      <c r="U57" s="186">
        <v>0.33911780024946597</v>
      </c>
      <c r="V57" s="186">
        <v>0.330176399633897</v>
      </c>
      <c r="W57" s="186">
        <v>0.326814253286979</v>
      </c>
      <c r="X57" s="186">
        <v>0.32339845226421199</v>
      </c>
      <c r="Y57" s="186">
        <v>0.31992770186593</v>
      </c>
      <c r="Z57" s="186">
        <v>0.316400665399515</v>
      </c>
      <c r="AA57" s="186">
        <v>0.31281596246295701</v>
      </c>
      <c r="AB57" s="186">
        <v>0.30917216714345902</v>
      </c>
      <c r="AC57" s="186">
        <v>0.30546780612640501</v>
      </c>
      <c r="AD57" s="186">
        <v>0.30170135670889903</v>
      </c>
      <c r="AE57" s="186">
        <v>0.29787124471308002</v>
      </c>
      <c r="AF57" s="186">
        <v>0.29397584229242901</v>
      </c>
      <c r="AG57" s="186">
        <v>0.29001346562420999</v>
      </c>
      <c r="AH57" s="186">
        <v>0.28598237248380698</v>
      </c>
      <c r="AI57" s="186">
        <v>0.28188075968966197</v>
      </c>
      <c r="AJ57" s="186">
        <v>0.38273669933452398</v>
      </c>
      <c r="AK57" s="186">
        <v>0.48555780993221498</v>
      </c>
      <c r="AL57" s="186">
        <v>0.715332757014711</v>
      </c>
      <c r="AM57" s="186">
        <v>0.71533339957429398</v>
      </c>
      <c r="AN57" s="186">
        <v>0.71533405388887095</v>
      </c>
      <c r="AO57" s="186">
        <v>0.71533472028398803</v>
      </c>
      <c r="AP57" s="186">
        <v>0.71533539909732502</v>
      </c>
    </row>
    <row r="58" spans="8:42" ht="14.25" customHeight="1" x14ac:dyDescent="0.2">
      <c r="H58" s="380"/>
      <c r="J58" s="380"/>
      <c r="K58" s="185" t="s">
        <v>284</v>
      </c>
      <c r="L58" s="185" t="s">
        <v>274</v>
      </c>
      <c r="M58" s="186">
        <v>0.25740000000000002</v>
      </c>
      <c r="N58" s="186">
        <v>0.25740000000000002</v>
      </c>
      <c r="O58" s="186">
        <v>0.25740000000000002</v>
      </c>
      <c r="P58" s="186">
        <v>0.25740000000000002</v>
      </c>
      <c r="Q58" s="186">
        <v>0.25740000000000002</v>
      </c>
      <c r="R58" s="186">
        <v>0.25740000000000002</v>
      </c>
      <c r="S58" s="186">
        <v>0.25740000000000002</v>
      </c>
      <c r="T58" s="186">
        <v>0.25740000000000002</v>
      </c>
      <c r="U58" s="186">
        <v>0.25740000000000002</v>
      </c>
      <c r="V58" s="186">
        <v>0.25740000000000002</v>
      </c>
      <c r="W58" s="186">
        <v>0.25740000000000002</v>
      </c>
      <c r="X58" s="186">
        <v>0.25740000000000002</v>
      </c>
      <c r="Y58" s="186">
        <v>0.25740000000000002</v>
      </c>
      <c r="Z58" s="186">
        <v>0.25740000000000002</v>
      </c>
      <c r="AA58" s="186">
        <v>0.25740000000000002</v>
      </c>
      <c r="AB58" s="186">
        <v>0.25740000000000002</v>
      </c>
      <c r="AC58" s="186">
        <v>0.25740000000000002</v>
      </c>
      <c r="AD58" s="186">
        <v>0.25740000000000002</v>
      </c>
      <c r="AE58" s="186">
        <v>0.25740000000000002</v>
      </c>
      <c r="AF58" s="186">
        <v>0.25740000000000002</v>
      </c>
      <c r="AG58" s="186">
        <v>0.25740000000000002</v>
      </c>
      <c r="AH58" s="186">
        <v>0.25740000000000002</v>
      </c>
      <c r="AI58" s="186">
        <v>0.25740000000000002</v>
      </c>
      <c r="AJ58" s="186">
        <v>0.25740000000000002</v>
      </c>
      <c r="AK58" s="186">
        <v>0.25740000000000002</v>
      </c>
      <c r="AL58" s="186">
        <v>0.25740000000000002</v>
      </c>
      <c r="AM58" s="186">
        <v>0.25740000000000002</v>
      </c>
      <c r="AN58" s="186">
        <v>0.25740000000000002</v>
      </c>
      <c r="AO58" s="186">
        <v>0.25740000000000002</v>
      </c>
      <c r="AP58" s="186">
        <v>0.25740000000000002</v>
      </c>
    </row>
    <row r="59" spans="8:42" ht="14.25" customHeight="1" x14ac:dyDescent="0.2">
      <c r="H59" s="380"/>
      <c r="J59" s="380"/>
      <c r="K59" s="185" t="s">
        <v>285</v>
      </c>
      <c r="L59" s="185" t="s">
        <v>276</v>
      </c>
      <c r="M59" s="188">
        <v>7.7103339755962882E-2</v>
      </c>
      <c r="N59" s="188">
        <v>7.9370460904821138E-2</v>
      </c>
      <c r="O59" s="188">
        <v>8.0215220233757892E-2</v>
      </c>
      <c r="P59" s="188">
        <v>8.176197804625028E-2</v>
      </c>
      <c r="Q59" s="188">
        <v>8.2129113668751058E-2</v>
      </c>
      <c r="R59" s="188">
        <v>8.2507559824485655E-2</v>
      </c>
      <c r="S59" s="188">
        <v>8.2897847364541574E-2</v>
      </c>
      <c r="T59" s="188">
        <v>8.3300540888097865E-2</v>
      </c>
      <c r="U59" s="188">
        <v>8.3716241467621161E-2</v>
      </c>
      <c r="V59" s="188">
        <v>8.4145589642379531E-2</v>
      </c>
      <c r="W59" s="188">
        <v>8.4307033185665847E-2</v>
      </c>
      <c r="X59" s="188">
        <v>8.4471053119177075E-2</v>
      </c>
      <c r="Y59" s="188">
        <v>8.463771161180178E-2</v>
      </c>
      <c r="Z59" s="188">
        <v>8.4807072848846088E-2</v>
      </c>
      <c r="AA59" s="188">
        <v>8.4979203114453741E-2</v>
      </c>
      <c r="AB59" s="188">
        <v>8.5154170878105381E-2</v>
      </c>
      <c r="AC59" s="188">
        <v>8.5332046885422286E-2</v>
      </c>
      <c r="AD59" s="188">
        <v>8.5512904253552083E-2</v>
      </c>
      <c r="AE59" s="188">
        <v>8.5696818571367323E-2</v>
      </c>
      <c r="AF59" s="188">
        <v>8.5883868004802147E-2</v>
      </c>
      <c r="AG59" s="188">
        <v>8.6074133407656697E-2</v>
      </c>
      <c r="AH59" s="188">
        <v>8.6267698438072554E-2</v>
      </c>
      <c r="AI59" s="188">
        <v>8.6464649681221806E-2</v>
      </c>
      <c r="AJ59" s="188">
        <v>8.1621749171354827E-2</v>
      </c>
      <c r="AK59" s="188">
        <v>7.6684485082674905E-2</v>
      </c>
      <c r="AL59" s="188">
        <v>6.5651151673667613E-2</v>
      </c>
      <c r="AM59" s="188">
        <v>6.5651120819241557E-2</v>
      </c>
      <c r="AN59" s="188">
        <v>6.565108940036421E-2</v>
      </c>
      <c r="AO59" s="188">
        <v>6.5651057401403465E-2</v>
      </c>
      <c r="AP59" s="188">
        <v>6.5651024806144653E-2</v>
      </c>
    </row>
    <row r="60" spans="8:42" ht="14.25" customHeight="1" x14ac:dyDescent="0.2">
      <c r="H60" s="380"/>
      <c r="J60" s="380"/>
      <c r="K60" s="185" t="s">
        <v>285</v>
      </c>
      <c r="L60" s="185" t="s">
        <v>277</v>
      </c>
      <c r="M60" s="188">
        <v>7.7103339755962882E-2</v>
      </c>
      <c r="N60" s="188">
        <v>7.9370460904821138E-2</v>
      </c>
      <c r="O60" s="188">
        <v>8.0215220233757892E-2</v>
      </c>
      <c r="P60" s="188">
        <v>8.176197804625028E-2</v>
      </c>
      <c r="Q60" s="188">
        <v>8.2129113668751058E-2</v>
      </c>
      <c r="R60" s="188">
        <v>8.2507559824485655E-2</v>
      </c>
      <c r="S60" s="188">
        <v>8.2897847364541574E-2</v>
      </c>
      <c r="T60" s="188">
        <v>8.3300540888097865E-2</v>
      </c>
      <c r="U60" s="188">
        <v>8.3716241467621161E-2</v>
      </c>
      <c r="V60" s="188">
        <v>8.4145589642379531E-2</v>
      </c>
      <c r="W60" s="188">
        <v>8.4307033185665847E-2</v>
      </c>
      <c r="X60" s="188">
        <v>8.4471053119177075E-2</v>
      </c>
      <c r="Y60" s="188">
        <v>8.463771161180178E-2</v>
      </c>
      <c r="Z60" s="188">
        <v>8.4807072848846088E-2</v>
      </c>
      <c r="AA60" s="188">
        <v>8.4979203114453741E-2</v>
      </c>
      <c r="AB60" s="188">
        <v>8.5154170878105381E-2</v>
      </c>
      <c r="AC60" s="188">
        <v>8.5332046885422286E-2</v>
      </c>
      <c r="AD60" s="188">
        <v>8.5512904253552083E-2</v>
      </c>
      <c r="AE60" s="188">
        <v>8.5696818571367323E-2</v>
      </c>
      <c r="AF60" s="188">
        <v>8.5883868004802147E-2</v>
      </c>
      <c r="AG60" s="188">
        <v>8.6074133407656697E-2</v>
      </c>
      <c r="AH60" s="188">
        <v>8.6267698438072554E-2</v>
      </c>
      <c r="AI60" s="188">
        <v>8.6464649681221806E-2</v>
      </c>
      <c r="AJ60" s="188">
        <v>8.1621749171354827E-2</v>
      </c>
      <c r="AK60" s="188">
        <v>7.6684485082674905E-2</v>
      </c>
      <c r="AL60" s="188">
        <v>6.5651151673667613E-2</v>
      </c>
      <c r="AM60" s="188">
        <v>6.5651120819241557E-2</v>
      </c>
      <c r="AN60" s="188">
        <v>6.565108940036421E-2</v>
      </c>
      <c r="AO60" s="188">
        <v>6.5651057401403465E-2</v>
      </c>
      <c r="AP60" s="188">
        <v>6.5651024806144653E-2</v>
      </c>
    </row>
    <row r="61" spans="8:42" ht="14.25" customHeight="1" x14ac:dyDescent="0.2">
      <c r="H61" s="380"/>
      <c r="J61" s="380"/>
      <c r="K61" s="185" t="s">
        <v>285</v>
      </c>
      <c r="L61" s="185" t="s">
        <v>278</v>
      </c>
      <c r="M61" s="188">
        <v>7.7103339755962882E-2</v>
      </c>
      <c r="N61" s="188">
        <v>7.9370460904821138E-2</v>
      </c>
      <c r="O61" s="188">
        <v>8.0215220233757892E-2</v>
      </c>
      <c r="P61" s="188">
        <v>8.176197804625028E-2</v>
      </c>
      <c r="Q61" s="188">
        <v>8.2129113668751058E-2</v>
      </c>
      <c r="R61" s="188">
        <v>8.2507559824485655E-2</v>
      </c>
      <c r="S61" s="188">
        <v>8.2897847364541574E-2</v>
      </c>
      <c r="T61" s="188">
        <v>8.3300540888097865E-2</v>
      </c>
      <c r="U61" s="188">
        <v>8.3716241467621161E-2</v>
      </c>
      <c r="V61" s="188">
        <v>8.4145589642379531E-2</v>
      </c>
      <c r="W61" s="188">
        <v>8.4307033185665847E-2</v>
      </c>
      <c r="X61" s="188">
        <v>8.4471053119177075E-2</v>
      </c>
      <c r="Y61" s="188">
        <v>8.463771161180178E-2</v>
      </c>
      <c r="Z61" s="188">
        <v>8.4807072848846088E-2</v>
      </c>
      <c r="AA61" s="188">
        <v>8.4979203114453741E-2</v>
      </c>
      <c r="AB61" s="188">
        <v>8.5154170878105381E-2</v>
      </c>
      <c r="AC61" s="188">
        <v>8.5332046885422286E-2</v>
      </c>
      <c r="AD61" s="188">
        <v>8.5512904253552083E-2</v>
      </c>
      <c r="AE61" s="188">
        <v>8.5696818571367323E-2</v>
      </c>
      <c r="AF61" s="188">
        <v>8.5883868004802147E-2</v>
      </c>
      <c r="AG61" s="188">
        <v>8.6074133407656697E-2</v>
      </c>
      <c r="AH61" s="188">
        <v>8.6267698438072554E-2</v>
      </c>
      <c r="AI61" s="188">
        <v>8.6464649681221806E-2</v>
      </c>
      <c r="AJ61" s="188">
        <v>8.1621749171354827E-2</v>
      </c>
      <c r="AK61" s="188">
        <v>7.6684485082674905E-2</v>
      </c>
      <c r="AL61" s="188">
        <v>6.5651151673667613E-2</v>
      </c>
      <c r="AM61" s="188">
        <v>6.5651120819241557E-2</v>
      </c>
      <c r="AN61" s="188">
        <v>6.565108940036421E-2</v>
      </c>
      <c r="AO61" s="188">
        <v>6.5651057401403465E-2</v>
      </c>
      <c r="AP61" s="188">
        <v>6.5651024806144653E-2</v>
      </c>
    </row>
    <row r="62" spans="8:42" ht="14.25" customHeight="1" x14ac:dyDescent="0.25">
      <c r="H62" s="380"/>
      <c r="J62" s="380"/>
      <c r="K62" s="185" t="s">
        <v>286</v>
      </c>
      <c r="L62" s="185" t="s">
        <v>276</v>
      </c>
      <c r="M62" s="187">
        <v>4.786782737227635E-2</v>
      </c>
      <c r="N62" s="187">
        <v>5.0789000102045678E-2</v>
      </c>
      <c r="O62" s="187">
        <v>5.3560148477282521E-2</v>
      </c>
      <c r="P62" s="187">
        <v>5.5377539557317279E-2</v>
      </c>
      <c r="Q62" s="187">
        <v>5.5735720652440042E-2</v>
      </c>
      <c r="R62" s="187">
        <v>5.6104936414132389E-2</v>
      </c>
      <c r="S62" s="187">
        <v>5.6485704745894427E-2</v>
      </c>
      <c r="T62" s="187">
        <v>5.6878576476192988E-2</v>
      </c>
      <c r="U62" s="187">
        <v>5.7284138017191337E-2</v>
      </c>
      <c r="V62" s="187">
        <v>5.7703014285248377E-2</v>
      </c>
      <c r="W62" s="187">
        <v>5.786052018113752E-2</v>
      </c>
      <c r="X62" s="187">
        <v>5.8020539628465428E-2</v>
      </c>
      <c r="Y62" s="187">
        <v>5.818313327980662E-2</v>
      </c>
      <c r="Z62" s="187">
        <v>5.8348363754971988E-2</v>
      </c>
      <c r="AA62" s="187">
        <v>5.8516295721418483E-2</v>
      </c>
      <c r="AB62" s="187">
        <v>5.8686995978639578E-2</v>
      </c>
      <c r="AC62" s="187">
        <v>5.886053354675358E-2</v>
      </c>
      <c r="AD62" s="187">
        <v>5.9036979759563117E-2</v>
      </c>
      <c r="AE62" s="187">
        <v>5.921640836230968E-2</v>
      </c>
      <c r="AF62" s="187">
        <v>5.9398895614441338E-2</v>
      </c>
      <c r="AG62" s="187">
        <v>5.9584520397713892E-2</v>
      </c>
      <c r="AH62" s="187">
        <v>5.977336432982705E-2</v>
      </c>
      <c r="AI62" s="187">
        <v>5.9965511884118923E-2</v>
      </c>
      <c r="AJ62" s="187">
        <v>5.5240730898882928E-2</v>
      </c>
      <c r="AK62" s="187">
        <v>5.0423887885536527E-2</v>
      </c>
      <c r="AL62" s="187">
        <v>3.9659660169431898E-2</v>
      </c>
      <c r="AM62" s="187">
        <v>3.9659630067552909E-2</v>
      </c>
      <c r="AN62" s="187">
        <v>3.9659599414989533E-2</v>
      </c>
      <c r="AO62" s="187">
        <v>3.9659568196491302E-2</v>
      </c>
      <c r="AP62" s="187">
        <v>3.9659536396238648E-2</v>
      </c>
    </row>
    <row r="63" spans="8:42" ht="14.25" customHeight="1" x14ac:dyDescent="0.25">
      <c r="H63" s="380"/>
      <c r="J63" s="380"/>
      <c r="K63" s="185" t="s">
        <v>286</v>
      </c>
      <c r="L63" s="185" t="s">
        <v>277</v>
      </c>
      <c r="M63" s="187">
        <v>4.786782737227635E-2</v>
      </c>
      <c r="N63" s="187">
        <v>5.0789000102045678E-2</v>
      </c>
      <c r="O63" s="187">
        <v>5.3560148477282521E-2</v>
      </c>
      <c r="P63" s="187">
        <v>5.5377539557317279E-2</v>
      </c>
      <c r="Q63" s="187">
        <v>5.5735720652440042E-2</v>
      </c>
      <c r="R63" s="187">
        <v>5.6104936414132389E-2</v>
      </c>
      <c r="S63" s="187">
        <v>5.6485704745894427E-2</v>
      </c>
      <c r="T63" s="187">
        <v>5.6878576476192988E-2</v>
      </c>
      <c r="U63" s="187">
        <v>5.7284138017191337E-2</v>
      </c>
      <c r="V63" s="187">
        <v>5.7703014285248377E-2</v>
      </c>
      <c r="W63" s="187">
        <v>5.786052018113752E-2</v>
      </c>
      <c r="X63" s="187">
        <v>5.8020539628465428E-2</v>
      </c>
      <c r="Y63" s="187">
        <v>5.818313327980662E-2</v>
      </c>
      <c r="Z63" s="187">
        <v>5.8348363754971988E-2</v>
      </c>
      <c r="AA63" s="187">
        <v>5.8516295721418483E-2</v>
      </c>
      <c r="AB63" s="187">
        <v>5.8686995978639578E-2</v>
      </c>
      <c r="AC63" s="187">
        <v>5.886053354675358E-2</v>
      </c>
      <c r="AD63" s="187">
        <v>5.9036979759563117E-2</v>
      </c>
      <c r="AE63" s="187">
        <v>5.921640836230968E-2</v>
      </c>
      <c r="AF63" s="187">
        <v>5.9398895614441338E-2</v>
      </c>
      <c r="AG63" s="187">
        <v>5.9584520397713892E-2</v>
      </c>
      <c r="AH63" s="187">
        <v>5.977336432982705E-2</v>
      </c>
      <c r="AI63" s="187">
        <v>5.9965511884118923E-2</v>
      </c>
      <c r="AJ63" s="187">
        <v>5.5240730898882928E-2</v>
      </c>
      <c r="AK63" s="187">
        <v>5.0423887885536527E-2</v>
      </c>
      <c r="AL63" s="187">
        <v>3.9659660169431898E-2</v>
      </c>
      <c r="AM63" s="187">
        <v>3.9659630067552909E-2</v>
      </c>
      <c r="AN63" s="187">
        <v>3.9659599414989533E-2</v>
      </c>
      <c r="AO63" s="187">
        <v>3.9659568196491302E-2</v>
      </c>
      <c r="AP63" s="187">
        <v>3.9659536396238648E-2</v>
      </c>
    </row>
    <row r="64" spans="8:42" ht="14.25" customHeight="1" x14ac:dyDescent="0.25">
      <c r="H64" s="380"/>
      <c r="J64" s="380"/>
      <c r="K64" s="185" t="s">
        <v>286</v>
      </c>
      <c r="L64" s="185" t="s">
        <v>278</v>
      </c>
      <c r="M64" s="187">
        <v>4.786782737227635E-2</v>
      </c>
      <c r="N64" s="187">
        <v>5.0789000102045678E-2</v>
      </c>
      <c r="O64" s="187">
        <v>5.3560148477282521E-2</v>
      </c>
      <c r="P64" s="187">
        <v>5.5377539557317279E-2</v>
      </c>
      <c r="Q64" s="187">
        <v>5.5735720652440042E-2</v>
      </c>
      <c r="R64" s="187">
        <v>5.6104936414132389E-2</v>
      </c>
      <c r="S64" s="187">
        <v>5.6485704745894427E-2</v>
      </c>
      <c r="T64" s="187">
        <v>5.6878576476192988E-2</v>
      </c>
      <c r="U64" s="187">
        <v>5.7284138017191337E-2</v>
      </c>
      <c r="V64" s="187">
        <v>5.7703014285248377E-2</v>
      </c>
      <c r="W64" s="187">
        <v>5.786052018113752E-2</v>
      </c>
      <c r="X64" s="187">
        <v>5.8020539628465428E-2</v>
      </c>
      <c r="Y64" s="187">
        <v>5.818313327980662E-2</v>
      </c>
      <c r="Z64" s="187">
        <v>5.8348363754971988E-2</v>
      </c>
      <c r="AA64" s="187">
        <v>5.8516295721418483E-2</v>
      </c>
      <c r="AB64" s="187">
        <v>5.8686995978639578E-2</v>
      </c>
      <c r="AC64" s="187">
        <v>5.886053354675358E-2</v>
      </c>
      <c r="AD64" s="187">
        <v>5.9036979759563117E-2</v>
      </c>
      <c r="AE64" s="187">
        <v>5.921640836230968E-2</v>
      </c>
      <c r="AF64" s="187">
        <v>5.9398895614441338E-2</v>
      </c>
      <c r="AG64" s="187">
        <v>5.9584520397713892E-2</v>
      </c>
      <c r="AH64" s="187">
        <v>5.977336432982705E-2</v>
      </c>
      <c r="AI64" s="187">
        <v>5.9965511884118923E-2</v>
      </c>
      <c r="AJ64" s="187">
        <v>5.5240730898882928E-2</v>
      </c>
      <c r="AK64" s="187">
        <v>5.0423887885536527E-2</v>
      </c>
      <c r="AL64" s="187">
        <v>3.9659660169431898E-2</v>
      </c>
      <c r="AM64" s="187">
        <v>3.9659630067552909E-2</v>
      </c>
      <c r="AN64" s="187">
        <v>3.9659599414989533E-2</v>
      </c>
      <c r="AO64" s="187">
        <v>3.9659568196491302E-2</v>
      </c>
      <c r="AP64" s="187">
        <v>3.9659536396238648E-2</v>
      </c>
    </row>
    <row r="65" spans="4:44" ht="14.25" customHeight="1" x14ac:dyDescent="0.2">
      <c r="H65" s="380"/>
      <c r="J65" s="380"/>
      <c r="K65" s="189" t="s">
        <v>287</v>
      </c>
      <c r="L65" s="185" t="s">
        <v>276</v>
      </c>
      <c r="M65" s="188">
        <v>9.9666622867023949E-2</v>
      </c>
      <c r="N65" s="188">
        <v>0.1013755189850955</v>
      </c>
      <c r="O65" s="188">
        <v>0.1020153883782661</v>
      </c>
      <c r="P65" s="188">
        <v>0.10319132488682289</v>
      </c>
      <c r="Q65" s="188">
        <v>0.10347126091245661</v>
      </c>
      <c r="R65" s="188">
        <v>0.1037601477619445</v>
      </c>
      <c r="S65" s="188">
        <v>0.10405842019306411</v>
      </c>
      <c r="T65" s="188">
        <v>0.1043665414890743</v>
      </c>
      <c r="U65" s="188">
        <v>0.1046850058298904</v>
      </c>
      <c r="V65" s="188">
        <v>0.1050143409030025</v>
      </c>
      <c r="W65" s="188">
        <v>0.1051382864634446</v>
      </c>
      <c r="X65" s="188">
        <v>0.1052642708754716</v>
      </c>
      <c r="Y65" s="188">
        <v>0.1053923447447959</v>
      </c>
      <c r="Z65" s="188">
        <v>0.1055225603621248</v>
      </c>
      <c r="AA65" s="188">
        <v>0.1056549717737318</v>
      </c>
      <c r="AB65" s="188">
        <v>0.10578963485559981</v>
      </c>
      <c r="AC65" s="188">
        <v>0.1059266073913397</v>
      </c>
      <c r="AD65" s="188">
        <v>0.10606594915412949</v>
      </c>
      <c r="AE65" s="188">
        <v>0.10620772199288479</v>
      </c>
      <c r="AF65" s="188">
        <v>0.1063519899229509</v>
      </c>
      <c r="AG65" s="188">
        <v>0.1064988192216063</v>
      </c>
      <c r="AH65" s="188">
        <v>0.10664827852857919</v>
      </c>
      <c r="AI65" s="188">
        <v>0.1068004389520415</v>
      </c>
      <c r="AJ65" s="188">
        <v>0.1030844847807765</v>
      </c>
      <c r="AK65" s="188">
        <v>9.9352243760439982E-2</v>
      </c>
      <c r="AL65" s="188">
        <v>9.1226359499820886E-2</v>
      </c>
      <c r="AM65" s="188">
        <v>9.1226337204929064E-2</v>
      </c>
      <c r="AN65" s="188">
        <v>9.12263145021769E-2</v>
      </c>
      <c r="AO65" s="188">
        <v>9.1226291380268665E-2</v>
      </c>
      <c r="AP65" s="188">
        <v>9.1226267827488411E-2</v>
      </c>
    </row>
    <row r="66" spans="4:44" ht="14.25" customHeight="1" x14ac:dyDescent="0.2">
      <c r="H66" s="380"/>
      <c r="J66" s="380"/>
      <c r="K66" s="189" t="s">
        <v>287</v>
      </c>
      <c r="L66" s="185" t="s">
        <v>277</v>
      </c>
      <c r="M66" s="188">
        <v>9.9666622867023949E-2</v>
      </c>
      <c r="N66" s="188">
        <v>0.1013755189850955</v>
      </c>
      <c r="O66" s="188">
        <v>0.1020153883782661</v>
      </c>
      <c r="P66" s="188">
        <v>0.10319132488682289</v>
      </c>
      <c r="Q66" s="188">
        <v>0.10347126091245661</v>
      </c>
      <c r="R66" s="188">
        <v>0.1037601477619445</v>
      </c>
      <c r="S66" s="188">
        <v>0.10405842019306411</v>
      </c>
      <c r="T66" s="188">
        <v>0.1043665414890743</v>
      </c>
      <c r="U66" s="188">
        <v>0.1046850058298904</v>
      </c>
      <c r="V66" s="188">
        <v>0.1050143409030025</v>
      </c>
      <c r="W66" s="188">
        <v>0.1051382864634446</v>
      </c>
      <c r="X66" s="188">
        <v>0.1052642708754716</v>
      </c>
      <c r="Y66" s="188">
        <v>0.1053923447447959</v>
      </c>
      <c r="Z66" s="188">
        <v>0.1055225603621248</v>
      </c>
      <c r="AA66" s="188">
        <v>0.1056549717737318</v>
      </c>
      <c r="AB66" s="188">
        <v>0.10578963485559981</v>
      </c>
      <c r="AC66" s="188">
        <v>0.1059266073913397</v>
      </c>
      <c r="AD66" s="188">
        <v>0.10606594915412949</v>
      </c>
      <c r="AE66" s="188">
        <v>0.10620772199288479</v>
      </c>
      <c r="AF66" s="188">
        <v>0.1063519899229509</v>
      </c>
      <c r="AG66" s="188">
        <v>0.1064988192216063</v>
      </c>
      <c r="AH66" s="188">
        <v>0.10664827852857919</v>
      </c>
      <c r="AI66" s="188">
        <v>0.1068004389520415</v>
      </c>
      <c r="AJ66" s="188">
        <v>0.1030844847807765</v>
      </c>
      <c r="AK66" s="188">
        <v>9.9352243760439982E-2</v>
      </c>
      <c r="AL66" s="188">
        <v>9.1226359499820886E-2</v>
      </c>
      <c r="AM66" s="188">
        <v>9.1226337204929064E-2</v>
      </c>
      <c r="AN66" s="188">
        <v>9.12263145021769E-2</v>
      </c>
      <c r="AO66" s="188">
        <v>9.1226291380268665E-2</v>
      </c>
      <c r="AP66" s="188">
        <v>9.1226267827488411E-2</v>
      </c>
    </row>
    <row r="67" spans="4:44" ht="14.25" customHeight="1" x14ac:dyDescent="0.2">
      <c r="H67" s="380"/>
      <c r="J67" s="380"/>
      <c r="K67" s="189" t="s">
        <v>287</v>
      </c>
      <c r="L67" s="185" t="s">
        <v>278</v>
      </c>
      <c r="M67" s="188">
        <v>9.9666622867023949E-2</v>
      </c>
      <c r="N67" s="188">
        <v>0.1013755189850955</v>
      </c>
      <c r="O67" s="188">
        <v>0.1020153883782661</v>
      </c>
      <c r="P67" s="188">
        <v>0.10319132488682289</v>
      </c>
      <c r="Q67" s="188">
        <v>0.10347126091245661</v>
      </c>
      <c r="R67" s="188">
        <v>0.1037601477619445</v>
      </c>
      <c r="S67" s="188">
        <v>0.10405842019306411</v>
      </c>
      <c r="T67" s="188">
        <v>0.1043665414890743</v>
      </c>
      <c r="U67" s="188">
        <v>0.1046850058298904</v>
      </c>
      <c r="V67" s="188">
        <v>0.1050143409030025</v>
      </c>
      <c r="W67" s="188">
        <v>0.1051382864634446</v>
      </c>
      <c r="X67" s="188">
        <v>0.1052642708754716</v>
      </c>
      <c r="Y67" s="188">
        <v>0.1053923447447959</v>
      </c>
      <c r="Z67" s="188">
        <v>0.1055225603621248</v>
      </c>
      <c r="AA67" s="188">
        <v>0.1056549717737318</v>
      </c>
      <c r="AB67" s="188">
        <v>0.10578963485559981</v>
      </c>
      <c r="AC67" s="188">
        <v>0.1059266073913397</v>
      </c>
      <c r="AD67" s="188">
        <v>0.10606594915412949</v>
      </c>
      <c r="AE67" s="188">
        <v>0.10620772199288479</v>
      </c>
      <c r="AF67" s="188">
        <v>0.1063519899229509</v>
      </c>
      <c r="AG67" s="188">
        <v>0.1064988192216063</v>
      </c>
      <c r="AH67" s="188">
        <v>0.10664827852857919</v>
      </c>
      <c r="AI67" s="188">
        <v>0.1068004389520415</v>
      </c>
      <c r="AJ67" s="188">
        <v>0.1030844847807765</v>
      </c>
      <c r="AK67" s="188">
        <v>9.9352243760439982E-2</v>
      </c>
      <c r="AL67" s="188">
        <v>9.1226359499820886E-2</v>
      </c>
      <c r="AM67" s="188">
        <v>9.1226337204929064E-2</v>
      </c>
      <c r="AN67" s="188">
        <v>9.12263145021769E-2</v>
      </c>
      <c r="AO67" s="188">
        <v>9.1226291380268665E-2</v>
      </c>
      <c r="AP67" s="188">
        <v>9.1226267827488411E-2</v>
      </c>
    </row>
    <row r="68" spans="4:44" ht="14.25" customHeight="1" x14ac:dyDescent="0.2">
      <c r="H68" s="380"/>
      <c r="J68" s="380"/>
      <c r="K68" s="189" t="s">
        <v>288</v>
      </c>
      <c r="L68" s="185" t="s">
        <v>276</v>
      </c>
      <c r="M68" s="188">
        <v>7.8798319112819079E-2</v>
      </c>
      <c r="N68" s="188">
        <v>8.0780279706876304E-2</v>
      </c>
      <c r="O68" s="188">
        <v>8.2682547962168632E-2</v>
      </c>
      <c r="P68" s="188">
        <v>8.3941635199934306E-2</v>
      </c>
      <c r="Q68" s="188">
        <v>8.4190850825113836E-2</v>
      </c>
      <c r="R68" s="188">
        <v>8.4448110567957882E-2</v>
      </c>
      <c r="S68" s="188">
        <v>8.4713808655274406E-2</v>
      </c>
      <c r="T68" s="188">
        <v>8.4988365400379268E-2</v>
      </c>
      <c r="U68" s="188">
        <v>8.5272229389068116E-2</v>
      </c>
      <c r="V68" s="188">
        <v>8.5565879888300847E-2</v>
      </c>
      <c r="W68" s="188">
        <v>8.5676420963396241E-2</v>
      </c>
      <c r="X68" s="188">
        <v>8.5788794619284098E-2</v>
      </c>
      <c r="Y68" s="188">
        <v>8.5903046680077227E-2</v>
      </c>
      <c r="Z68" s="188">
        <v>8.6019224506465597E-2</v>
      </c>
      <c r="AA68" s="188">
        <v>8.6137377060504575E-2</v>
      </c>
      <c r="AB68" s="188">
        <v>8.6257554973704312E-2</v>
      </c>
      <c r="AC68" s="188">
        <v>8.6379810618608097E-2</v>
      </c>
      <c r="AD68" s="188">
        <v>8.650419818408768E-2</v>
      </c>
      <c r="AE68" s="188">
        <v>8.6630773754553608E-2</v>
      </c>
      <c r="AF68" s="188">
        <v>8.6759595393347377E-2</v>
      </c>
      <c r="AG68" s="188">
        <v>8.6890723230586997E-2</v>
      </c>
      <c r="AH68" s="188">
        <v>8.7024219555657936E-2</v>
      </c>
      <c r="AI68" s="188">
        <v>8.7160148914770877E-2</v>
      </c>
      <c r="AJ68" s="188">
        <v>8.3846538858982536E-2</v>
      </c>
      <c r="AK68" s="188">
        <v>8.0531243674724265E-2</v>
      </c>
      <c r="AL68" s="188">
        <v>7.3360169025768932E-2</v>
      </c>
      <c r="AM68" s="188">
        <v>7.3360149442793413E-2</v>
      </c>
      <c r="AN68" s="188">
        <v>7.336012950156931E-2</v>
      </c>
      <c r="AO68" s="188">
        <v>7.3360109192175393E-2</v>
      </c>
      <c r="AP68" s="188">
        <v>7.3360088504320423E-2</v>
      </c>
    </row>
    <row r="69" spans="4:44" ht="14.25" customHeight="1" x14ac:dyDescent="0.2">
      <c r="H69" s="380"/>
      <c r="J69" s="144"/>
      <c r="K69" s="189" t="s">
        <v>288</v>
      </c>
      <c r="L69" s="185" t="s">
        <v>277</v>
      </c>
      <c r="M69" s="188">
        <v>7.8798319112819079E-2</v>
      </c>
      <c r="N69" s="188">
        <v>8.0780279706876304E-2</v>
      </c>
      <c r="O69" s="188">
        <v>8.2682547962168632E-2</v>
      </c>
      <c r="P69" s="188">
        <v>8.3941635199934306E-2</v>
      </c>
      <c r="Q69" s="188">
        <v>8.4190850825113836E-2</v>
      </c>
      <c r="R69" s="188">
        <v>8.4448110567957882E-2</v>
      </c>
      <c r="S69" s="188">
        <v>8.4713808655274406E-2</v>
      </c>
      <c r="T69" s="188">
        <v>8.4988365400379268E-2</v>
      </c>
      <c r="U69" s="188">
        <v>8.5272229389068116E-2</v>
      </c>
      <c r="V69" s="188">
        <v>8.5565879888300847E-2</v>
      </c>
      <c r="W69" s="188">
        <v>8.5676420963396241E-2</v>
      </c>
      <c r="X69" s="188">
        <v>8.5788794619284098E-2</v>
      </c>
      <c r="Y69" s="188">
        <v>8.5903046680077227E-2</v>
      </c>
      <c r="Z69" s="188">
        <v>8.6019224506465597E-2</v>
      </c>
      <c r="AA69" s="188">
        <v>8.6137377060504575E-2</v>
      </c>
      <c r="AB69" s="188">
        <v>8.6257554973704312E-2</v>
      </c>
      <c r="AC69" s="188">
        <v>8.6379810618608097E-2</v>
      </c>
      <c r="AD69" s="188">
        <v>8.650419818408768E-2</v>
      </c>
      <c r="AE69" s="188">
        <v>8.6630773754553608E-2</v>
      </c>
      <c r="AF69" s="188">
        <v>8.6759595393347377E-2</v>
      </c>
      <c r="AG69" s="188">
        <v>8.6890723230586997E-2</v>
      </c>
      <c r="AH69" s="188">
        <v>8.7024219555657936E-2</v>
      </c>
      <c r="AI69" s="188">
        <v>8.7160148914770877E-2</v>
      </c>
      <c r="AJ69" s="188">
        <v>8.3846538858982536E-2</v>
      </c>
      <c r="AK69" s="188">
        <v>8.0531243674724265E-2</v>
      </c>
      <c r="AL69" s="188">
        <v>7.3360169025768932E-2</v>
      </c>
      <c r="AM69" s="188">
        <v>7.3360149442793413E-2</v>
      </c>
      <c r="AN69" s="188">
        <v>7.336012950156931E-2</v>
      </c>
      <c r="AO69" s="188">
        <v>7.3360109192175393E-2</v>
      </c>
      <c r="AP69" s="188">
        <v>7.3360088504320423E-2</v>
      </c>
    </row>
    <row r="70" spans="4:44" ht="14.25" customHeight="1" x14ac:dyDescent="0.2">
      <c r="H70" s="380"/>
      <c r="J70" s="144"/>
      <c r="K70" s="189" t="s">
        <v>288</v>
      </c>
      <c r="L70" s="185" t="s">
        <v>278</v>
      </c>
      <c r="M70" s="188">
        <v>7.8798319112819079E-2</v>
      </c>
      <c r="N70" s="188">
        <v>8.0780279706876304E-2</v>
      </c>
      <c r="O70" s="188">
        <v>8.2682547962168632E-2</v>
      </c>
      <c r="P70" s="188">
        <v>8.3941635199934306E-2</v>
      </c>
      <c r="Q70" s="188">
        <v>8.4190850825113836E-2</v>
      </c>
      <c r="R70" s="188">
        <v>8.4448110567957882E-2</v>
      </c>
      <c r="S70" s="188">
        <v>8.4713808655274406E-2</v>
      </c>
      <c r="T70" s="188">
        <v>8.4988365400379268E-2</v>
      </c>
      <c r="U70" s="188">
        <v>8.5272229389068116E-2</v>
      </c>
      <c r="V70" s="188">
        <v>8.5565879888300847E-2</v>
      </c>
      <c r="W70" s="188">
        <v>8.5676420963396241E-2</v>
      </c>
      <c r="X70" s="188">
        <v>8.5788794619284098E-2</v>
      </c>
      <c r="Y70" s="188">
        <v>8.5903046680077227E-2</v>
      </c>
      <c r="Z70" s="188">
        <v>8.6019224506465597E-2</v>
      </c>
      <c r="AA70" s="188">
        <v>8.6137377060504575E-2</v>
      </c>
      <c r="AB70" s="188">
        <v>8.6257554973704312E-2</v>
      </c>
      <c r="AC70" s="188">
        <v>8.6379810618608097E-2</v>
      </c>
      <c r="AD70" s="188">
        <v>8.650419818408768E-2</v>
      </c>
      <c r="AE70" s="188">
        <v>8.6630773754553608E-2</v>
      </c>
      <c r="AF70" s="188">
        <v>8.6759595393347377E-2</v>
      </c>
      <c r="AG70" s="188">
        <v>8.6890723230586997E-2</v>
      </c>
      <c r="AH70" s="188">
        <v>8.7024219555657936E-2</v>
      </c>
      <c r="AI70" s="188">
        <v>8.7160148914770877E-2</v>
      </c>
      <c r="AJ70" s="188">
        <v>8.3846538858982536E-2</v>
      </c>
      <c r="AK70" s="188">
        <v>8.0531243674724265E-2</v>
      </c>
      <c r="AL70" s="188">
        <v>7.3360169025768932E-2</v>
      </c>
      <c r="AM70" s="188">
        <v>7.3360149442793413E-2</v>
      </c>
      <c r="AN70" s="188">
        <v>7.336012950156931E-2</v>
      </c>
      <c r="AO70" s="188">
        <v>7.3360109192175393E-2</v>
      </c>
      <c r="AP70" s="188">
        <v>7.3360088504320423E-2</v>
      </c>
    </row>
    <row r="71" spans="4:44" ht="14.25" customHeight="1" x14ac:dyDescent="0.2">
      <c r="X71" s="190"/>
    </row>
    <row r="72" spans="4:44" ht="14.25" customHeight="1" x14ac:dyDescent="0.2">
      <c r="G72" s="191"/>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row>
    <row r="73" spans="4:44" ht="14.25" customHeight="1" x14ac:dyDescent="0.2">
      <c r="D73" s="136" t="s">
        <v>217</v>
      </c>
      <c r="G73" s="408" t="s">
        <v>289</v>
      </c>
      <c r="H73" s="380"/>
      <c r="I73" s="380"/>
      <c r="J73" s="380"/>
      <c r="K73" s="380"/>
      <c r="L73" s="380"/>
      <c r="M73" s="380"/>
      <c r="N73" s="380"/>
      <c r="O73" s="380"/>
      <c r="P73" s="380"/>
      <c r="Q73" s="380"/>
      <c r="R73" s="380"/>
      <c r="S73" s="380"/>
      <c r="T73" s="380"/>
      <c r="U73" s="380"/>
      <c r="V73" s="137"/>
      <c r="W73" s="137"/>
      <c r="X73" s="137"/>
      <c r="Y73" s="137"/>
      <c r="Z73" s="193"/>
      <c r="AA73" s="193"/>
      <c r="AB73" s="193"/>
      <c r="AC73" s="193"/>
      <c r="AD73" s="193"/>
      <c r="AE73" s="193"/>
      <c r="AF73" s="193"/>
      <c r="AG73" s="193"/>
      <c r="AH73" s="193"/>
      <c r="AI73" s="193"/>
      <c r="AJ73" s="193"/>
      <c r="AK73" s="193"/>
      <c r="AL73" s="193"/>
      <c r="AM73" s="193"/>
      <c r="AN73" s="193"/>
      <c r="AO73" s="193"/>
      <c r="AP73" s="193"/>
      <c r="AQ73" s="193"/>
      <c r="AR73" s="193"/>
    </row>
    <row r="74" spans="4:44" ht="14.25" customHeight="1" x14ac:dyDescent="0.2">
      <c r="G74" s="138"/>
      <c r="M74" s="131" t="s">
        <v>290</v>
      </c>
    </row>
    <row r="75" spans="4:44" ht="14.25" customHeight="1" thickBot="1" x14ac:dyDescent="0.25">
      <c r="G75" s="138"/>
      <c r="M75" s="123">
        <v>2021</v>
      </c>
      <c r="N75" s="123">
        <v>2022</v>
      </c>
      <c r="O75" s="123">
        <v>2023</v>
      </c>
      <c r="P75" s="123">
        <v>2024</v>
      </c>
      <c r="Q75" s="123">
        <v>2025</v>
      </c>
      <c r="R75" s="123">
        <v>2026</v>
      </c>
      <c r="S75" s="123">
        <v>2027</v>
      </c>
      <c r="T75" s="123">
        <v>2028</v>
      </c>
      <c r="U75" s="123">
        <v>2029</v>
      </c>
      <c r="V75" s="123">
        <v>2030</v>
      </c>
      <c r="W75" s="123">
        <v>2031</v>
      </c>
      <c r="X75" s="123">
        <v>2032</v>
      </c>
      <c r="Y75" s="123">
        <v>2033</v>
      </c>
      <c r="Z75" s="123">
        <v>2034</v>
      </c>
      <c r="AA75" s="123">
        <v>2035</v>
      </c>
      <c r="AB75" s="123">
        <v>2036</v>
      </c>
      <c r="AC75" s="123">
        <v>2037</v>
      </c>
      <c r="AD75" s="123">
        <v>2038</v>
      </c>
      <c r="AE75" s="123">
        <v>2039</v>
      </c>
      <c r="AF75" s="123">
        <v>2040</v>
      </c>
      <c r="AG75" s="123">
        <v>2041</v>
      </c>
      <c r="AH75" s="123">
        <v>2042</v>
      </c>
      <c r="AI75" s="123">
        <v>2043</v>
      </c>
      <c r="AJ75" s="123">
        <v>2044</v>
      </c>
      <c r="AK75" s="123">
        <v>2045</v>
      </c>
      <c r="AL75" s="123">
        <v>2046</v>
      </c>
      <c r="AM75" s="123">
        <v>2047</v>
      </c>
      <c r="AN75" s="123">
        <v>2048</v>
      </c>
      <c r="AO75" s="123">
        <v>2049</v>
      </c>
      <c r="AP75" s="123">
        <v>2050</v>
      </c>
    </row>
    <row r="76" spans="4:44" ht="14.25" customHeight="1" thickTop="1" x14ac:dyDescent="0.2">
      <c r="G76" s="138"/>
      <c r="H76" s="400" t="s">
        <v>291</v>
      </c>
      <c r="J76" s="367" t="s">
        <v>292</v>
      </c>
      <c r="K76" s="194" t="s">
        <v>348</v>
      </c>
      <c r="L76" s="194" t="s">
        <v>276</v>
      </c>
      <c r="M76" s="195">
        <v>0.49814999999999998</v>
      </c>
      <c r="N76" s="195">
        <v>0.50564216049382704</v>
      </c>
      <c r="O76" s="195">
        <v>0.51317530864197503</v>
      </c>
      <c r="P76" s="195">
        <v>0.52074944444444404</v>
      </c>
      <c r="Q76" s="195">
        <v>0.52836456790123398</v>
      </c>
      <c r="R76" s="195">
        <v>0.53602067901234496</v>
      </c>
      <c r="S76" s="195">
        <v>0.54371777777777697</v>
      </c>
      <c r="T76" s="195">
        <v>0.55145586419753001</v>
      </c>
      <c r="U76" s="195">
        <v>0.55923493827160498</v>
      </c>
      <c r="V76" s="195">
        <v>0.56705499999999998</v>
      </c>
      <c r="W76" s="195">
        <v>0.56754342732240404</v>
      </c>
      <c r="X76" s="195">
        <v>0.56803199890710299</v>
      </c>
      <c r="Y76" s="195">
        <v>0.56852071475409804</v>
      </c>
      <c r="Z76" s="195">
        <v>0.56900957486338799</v>
      </c>
      <c r="AA76" s="195">
        <v>0.56949857923497205</v>
      </c>
      <c r="AB76" s="195">
        <v>0.56998772786885199</v>
      </c>
      <c r="AC76" s="195">
        <v>0.57047702076502704</v>
      </c>
      <c r="AD76" s="195">
        <v>0.57096645792349698</v>
      </c>
      <c r="AE76" s="195">
        <v>0.57145603934426203</v>
      </c>
      <c r="AF76" s="195">
        <v>0.57194576502732197</v>
      </c>
      <c r="AG76" s="195">
        <v>0.57243563497267702</v>
      </c>
      <c r="AH76" s="195">
        <v>0.57292564918032696</v>
      </c>
      <c r="AI76" s="195">
        <v>0.573415807650273</v>
      </c>
      <c r="AJ76" s="195">
        <v>0.57390611038251305</v>
      </c>
      <c r="AK76" s="195">
        <v>0.57439655737704898</v>
      </c>
      <c r="AL76" s="195">
        <v>0.57488714863387902</v>
      </c>
      <c r="AM76" s="195">
        <v>0.57537788415300495</v>
      </c>
      <c r="AN76" s="195">
        <v>0.57586876393442599</v>
      </c>
      <c r="AO76" s="195">
        <v>0.57635978797814202</v>
      </c>
      <c r="AP76" s="195">
        <v>0.57685095628415295</v>
      </c>
    </row>
    <row r="77" spans="4:44" ht="14.25" customHeight="1" x14ac:dyDescent="0.2">
      <c r="G77" s="138"/>
      <c r="H77" s="380"/>
      <c r="J77" s="358"/>
      <c r="K77" s="135" t="s">
        <v>348</v>
      </c>
      <c r="L77" s="185" t="s">
        <v>277</v>
      </c>
      <c r="M77" s="179">
        <v>0.49814999999999998</v>
      </c>
      <c r="N77" s="179">
        <v>0.50197666666666596</v>
      </c>
      <c r="O77" s="179">
        <v>0.50580333333333305</v>
      </c>
      <c r="P77" s="179">
        <v>0.50963000000000003</v>
      </c>
      <c r="Q77" s="179">
        <v>0.51345666666666601</v>
      </c>
      <c r="R77" s="179">
        <v>0.51728333333333298</v>
      </c>
      <c r="S77" s="179">
        <v>0.52110999999999996</v>
      </c>
      <c r="T77" s="179">
        <v>0.52493666666666605</v>
      </c>
      <c r="U77" s="179">
        <v>0.52876333333333303</v>
      </c>
      <c r="V77" s="179">
        <v>0.53259000000000001</v>
      </c>
      <c r="W77" s="179">
        <v>0.53302050000000001</v>
      </c>
      <c r="X77" s="179">
        <v>0.53345100000000001</v>
      </c>
      <c r="Y77" s="179">
        <v>0.53388150000000001</v>
      </c>
      <c r="Z77" s="179">
        <v>0.53431200000000001</v>
      </c>
      <c r="AA77" s="179">
        <v>0.53474250000000001</v>
      </c>
      <c r="AB77" s="179">
        <v>0.53517300000000001</v>
      </c>
      <c r="AC77" s="179">
        <v>0.53560350000000001</v>
      </c>
      <c r="AD77" s="179">
        <v>0.53603399999999901</v>
      </c>
      <c r="AE77" s="179">
        <v>0.53646450000000001</v>
      </c>
      <c r="AF77" s="179">
        <v>0.53689500000000001</v>
      </c>
      <c r="AG77" s="179">
        <v>0.53732550000000001</v>
      </c>
      <c r="AH77" s="179">
        <v>0.53775600000000001</v>
      </c>
      <c r="AI77" s="179">
        <v>0.53818650000000001</v>
      </c>
      <c r="AJ77" s="179">
        <v>0.53861700000000001</v>
      </c>
      <c r="AK77" s="179">
        <v>0.53904750000000001</v>
      </c>
      <c r="AL77" s="179">
        <v>0.53947800000000001</v>
      </c>
      <c r="AM77" s="179">
        <v>0.53990850000000001</v>
      </c>
      <c r="AN77" s="179">
        <v>0.54033900000000001</v>
      </c>
      <c r="AO77" s="179">
        <v>0.54076950000000001</v>
      </c>
      <c r="AP77" s="179">
        <v>0.54120000000000001</v>
      </c>
    </row>
    <row r="78" spans="4:44" ht="14.25" customHeight="1" thickBot="1" x14ac:dyDescent="0.25">
      <c r="G78" s="138"/>
      <c r="H78" s="380"/>
      <c r="J78" s="358"/>
      <c r="K78" s="196" t="s">
        <v>348</v>
      </c>
      <c r="L78" s="196" t="s">
        <v>278</v>
      </c>
      <c r="M78" s="197">
        <v>0.49814999999999998</v>
      </c>
      <c r="N78" s="197">
        <v>0.49883333333333302</v>
      </c>
      <c r="O78" s="197">
        <v>0.499516666666666</v>
      </c>
      <c r="P78" s="197">
        <v>0.50019999999999998</v>
      </c>
      <c r="Q78" s="197">
        <v>0.50088333333333301</v>
      </c>
      <c r="R78" s="197">
        <v>0.50156666666666605</v>
      </c>
      <c r="S78" s="197">
        <v>0.50224999999999997</v>
      </c>
      <c r="T78" s="197">
        <v>0.50293333333333301</v>
      </c>
      <c r="U78" s="197">
        <v>0.50361666666666605</v>
      </c>
      <c r="V78" s="197">
        <v>0.50429999999999997</v>
      </c>
      <c r="W78" s="197">
        <v>0.504915</v>
      </c>
      <c r="X78" s="197">
        <v>0.50553000000000003</v>
      </c>
      <c r="Y78" s="197">
        <v>0.50614499999999996</v>
      </c>
      <c r="Z78" s="197">
        <v>0.50675999999999999</v>
      </c>
      <c r="AA78" s="197">
        <v>0.50737500000000002</v>
      </c>
      <c r="AB78" s="197">
        <v>0.50799000000000005</v>
      </c>
      <c r="AC78" s="197">
        <v>0.50860499999999997</v>
      </c>
      <c r="AD78" s="197">
        <v>0.50922000000000001</v>
      </c>
      <c r="AE78" s="197">
        <v>0.50983499999999904</v>
      </c>
      <c r="AF78" s="197">
        <v>0.51044999999999996</v>
      </c>
      <c r="AG78" s="197">
        <v>0.51106499999999999</v>
      </c>
      <c r="AH78" s="197">
        <v>0.51168000000000002</v>
      </c>
      <c r="AI78" s="197">
        <v>0.51229499999999994</v>
      </c>
      <c r="AJ78" s="197">
        <v>0.51290999999999998</v>
      </c>
      <c r="AK78" s="197">
        <v>0.51352500000000001</v>
      </c>
      <c r="AL78" s="197">
        <v>0.51414000000000004</v>
      </c>
      <c r="AM78" s="197">
        <v>0.51475499999999996</v>
      </c>
      <c r="AN78" s="197">
        <v>0.51536999999999999</v>
      </c>
      <c r="AO78" s="197">
        <v>0.51598500000000003</v>
      </c>
      <c r="AP78" s="197">
        <v>0.51659999999999995</v>
      </c>
    </row>
    <row r="79" spans="4:44" ht="14.25" customHeight="1" thickTop="1" x14ac:dyDescent="0.2">
      <c r="G79" s="138"/>
      <c r="H79" s="380"/>
      <c r="J79" s="358"/>
      <c r="K79" s="194" t="s">
        <v>351</v>
      </c>
      <c r="L79" s="194" t="s">
        <v>276</v>
      </c>
      <c r="M79" s="195">
        <v>0.46737000000000001</v>
      </c>
      <c r="N79" s="195">
        <v>0.47451171604938203</v>
      </c>
      <c r="O79" s="195">
        <v>0.48169441975308602</v>
      </c>
      <c r="P79" s="195">
        <v>0.488918111111111</v>
      </c>
      <c r="Q79" s="195">
        <v>0.49618279012345601</v>
      </c>
      <c r="R79" s="195">
        <v>0.503488456790123</v>
      </c>
      <c r="S79" s="195">
        <v>0.51083511111111102</v>
      </c>
      <c r="T79" s="195">
        <v>0.51822275308641896</v>
      </c>
      <c r="U79" s="195">
        <v>0.52565138271604905</v>
      </c>
      <c r="V79" s="195">
        <v>0.53312099999999996</v>
      </c>
      <c r="W79" s="195">
        <v>0.53352477522768604</v>
      </c>
      <c r="X79" s="195">
        <v>0.533928611657559</v>
      </c>
      <c r="Y79" s="195">
        <v>0.53433250928961695</v>
      </c>
      <c r="Z79" s="195">
        <v>0.534736468123861</v>
      </c>
      <c r="AA79" s="195">
        <v>0.53514048816029103</v>
      </c>
      <c r="AB79" s="195">
        <v>0.53554456939890704</v>
      </c>
      <c r="AC79" s="195">
        <v>0.53594871183970805</v>
      </c>
      <c r="AD79" s="195">
        <v>0.53635291548269504</v>
      </c>
      <c r="AE79" s="195">
        <v>0.53675718032786801</v>
      </c>
      <c r="AF79" s="195">
        <v>0.53716150637522697</v>
      </c>
      <c r="AG79" s="195">
        <v>0.53756589362477203</v>
      </c>
      <c r="AH79" s="195">
        <v>0.53797034207650196</v>
      </c>
      <c r="AI79" s="195">
        <v>0.53837485173041799</v>
      </c>
      <c r="AJ79" s="195">
        <v>0.53877942258652001</v>
      </c>
      <c r="AK79" s="195">
        <v>0.53918405464480801</v>
      </c>
      <c r="AL79" s="195">
        <v>0.539588747905282</v>
      </c>
      <c r="AM79" s="195">
        <v>0.53999350236794097</v>
      </c>
      <c r="AN79" s="195">
        <v>0.54039831803278604</v>
      </c>
      <c r="AO79" s="195">
        <v>0.54080319489981699</v>
      </c>
      <c r="AP79" s="195">
        <v>0.54120813296903403</v>
      </c>
    </row>
    <row r="80" spans="4:44" ht="14.25" customHeight="1" x14ac:dyDescent="0.2">
      <c r="G80" s="138"/>
      <c r="H80" s="380"/>
      <c r="J80" s="358"/>
      <c r="K80" s="135" t="s">
        <v>351</v>
      </c>
      <c r="L80" s="185" t="s">
        <v>277</v>
      </c>
      <c r="M80" s="179">
        <v>0.46737000000000001</v>
      </c>
      <c r="N80" s="179">
        <v>0.470960222222222</v>
      </c>
      <c r="O80" s="179">
        <v>0.474550444444444</v>
      </c>
      <c r="P80" s="179">
        <v>0.47814066666666599</v>
      </c>
      <c r="Q80" s="179">
        <v>0.48173088888888799</v>
      </c>
      <c r="R80" s="179">
        <v>0.48532111111111098</v>
      </c>
      <c r="S80" s="179">
        <v>0.48891133333333298</v>
      </c>
      <c r="T80" s="179">
        <v>0.49250155555555503</v>
      </c>
      <c r="U80" s="179">
        <v>0.49609177777777702</v>
      </c>
      <c r="V80" s="179">
        <v>0.49968199999999902</v>
      </c>
      <c r="W80" s="179">
        <v>0.50008589999999997</v>
      </c>
      <c r="X80" s="179">
        <v>0.50048979999999998</v>
      </c>
      <c r="Y80" s="179">
        <v>0.5008937</v>
      </c>
      <c r="Z80" s="179">
        <v>0.50129760000000001</v>
      </c>
      <c r="AA80" s="179">
        <v>0.50170149999999902</v>
      </c>
      <c r="AB80" s="179">
        <v>0.50210539999999904</v>
      </c>
      <c r="AC80" s="179">
        <v>0.50250929999999905</v>
      </c>
      <c r="AD80" s="179">
        <v>0.50291319999999995</v>
      </c>
      <c r="AE80" s="179">
        <v>0.50331709999999996</v>
      </c>
      <c r="AF80" s="179">
        <v>0.50372099999999997</v>
      </c>
      <c r="AG80" s="179">
        <v>0.50412489999999999</v>
      </c>
      <c r="AH80" s="179">
        <v>0.5045288</v>
      </c>
      <c r="AI80" s="179">
        <v>0.50493270000000001</v>
      </c>
      <c r="AJ80" s="179">
        <v>0.50533660000000002</v>
      </c>
      <c r="AK80" s="179">
        <v>0.50574050000000004</v>
      </c>
      <c r="AL80" s="179">
        <v>0.50614440000000005</v>
      </c>
      <c r="AM80" s="179">
        <v>0.50654829999999995</v>
      </c>
      <c r="AN80" s="179">
        <v>0.50695219999999996</v>
      </c>
      <c r="AO80" s="179">
        <v>0.50735609999999998</v>
      </c>
      <c r="AP80" s="179">
        <v>0.50775999999999999</v>
      </c>
    </row>
    <row r="81" spans="7:42" ht="14.25" customHeight="1" thickBot="1" x14ac:dyDescent="0.25">
      <c r="G81" s="138"/>
      <c r="H81" s="380"/>
      <c r="J81" s="358"/>
      <c r="K81" s="196" t="s">
        <v>351</v>
      </c>
      <c r="L81" s="196" t="s">
        <v>278</v>
      </c>
      <c r="M81" s="197">
        <v>0.46737000000000001</v>
      </c>
      <c r="N81" s="197">
        <v>0.46801111111111099</v>
      </c>
      <c r="O81" s="197">
        <v>0.46865222222222203</v>
      </c>
      <c r="P81" s="197">
        <v>0.46929333333333301</v>
      </c>
      <c r="Q81" s="197">
        <v>0.46993444444444399</v>
      </c>
      <c r="R81" s="197">
        <v>0.47057555555555503</v>
      </c>
      <c r="S81" s="197">
        <v>0.47121666666666601</v>
      </c>
      <c r="T81" s="197">
        <v>0.47185777777777699</v>
      </c>
      <c r="U81" s="197">
        <v>0.47249888888888802</v>
      </c>
      <c r="V81" s="197">
        <v>0.47314000000000001</v>
      </c>
      <c r="W81" s="197">
        <v>0.473716999999999</v>
      </c>
      <c r="X81" s="197">
        <v>0.47429399999999999</v>
      </c>
      <c r="Y81" s="197">
        <v>0.47487099999999899</v>
      </c>
      <c r="Z81" s="197">
        <v>0.47544799999999998</v>
      </c>
      <c r="AA81" s="197">
        <v>0.47602499999999898</v>
      </c>
      <c r="AB81" s="197">
        <v>0.47660200000000003</v>
      </c>
      <c r="AC81" s="197">
        <v>0.47717899999999902</v>
      </c>
      <c r="AD81" s="197">
        <v>0.47775600000000001</v>
      </c>
      <c r="AE81" s="197">
        <v>0.47833299999999901</v>
      </c>
      <c r="AF81" s="197">
        <v>0.47891</v>
      </c>
      <c r="AG81" s="197">
        <v>0.479486999999999</v>
      </c>
      <c r="AH81" s="197">
        <v>0.48006399999999899</v>
      </c>
      <c r="AI81" s="197">
        <v>0.48064099999999899</v>
      </c>
      <c r="AJ81" s="197">
        <v>0.48121799999999898</v>
      </c>
      <c r="AK81" s="197">
        <v>0.48179499999999897</v>
      </c>
      <c r="AL81" s="197">
        <v>0.48237199999999902</v>
      </c>
      <c r="AM81" s="197">
        <v>0.48294899999999902</v>
      </c>
      <c r="AN81" s="197">
        <v>0.48352599999999901</v>
      </c>
      <c r="AO81" s="197">
        <v>0.48410299999999901</v>
      </c>
      <c r="AP81" s="197">
        <v>0.484679999999999</v>
      </c>
    </row>
    <row r="82" spans="7:42" ht="14.25" customHeight="1" thickTop="1" x14ac:dyDescent="0.2">
      <c r="G82" s="138"/>
      <c r="H82" s="380"/>
      <c r="J82" s="358"/>
      <c r="K82" s="194" t="s">
        <v>353</v>
      </c>
      <c r="L82" s="194" t="s">
        <v>276</v>
      </c>
      <c r="M82" s="195">
        <v>0.45683999999999902</v>
      </c>
      <c r="N82" s="195">
        <v>0.46386182716049301</v>
      </c>
      <c r="O82" s="195">
        <v>0.47092464197530798</v>
      </c>
      <c r="P82" s="195">
        <v>0.47802844444444398</v>
      </c>
      <c r="Q82" s="195">
        <v>0.48517323456790101</v>
      </c>
      <c r="R82" s="195">
        <v>0.49235901234567803</v>
      </c>
      <c r="S82" s="195">
        <v>0.49958577777777702</v>
      </c>
      <c r="T82" s="195">
        <v>0.50685353086419704</v>
      </c>
      <c r="U82" s="195">
        <v>0.51416227160493799</v>
      </c>
      <c r="V82" s="195">
        <v>0.52151199999999998</v>
      </c>
      <c r="W82" s="195">
        <v>0.52188681530054604</v>
      </c>
      <c r="X82" s="195">
        <v>0.52226166338797797</v>
      </c>
      <c r="Y82" s="195">
        <v>0.522636544262295</v>
      </c>
      <c r="Z82" s="195">
        <v>0.52301145792349701</v>
      </c>
      <c r="AA82" s="195">
        <v>0.52338640437158401</v>
      </c>
      <c r="AB82" s="195">
        <v>0.523761383606557</v>
      </c>
      <c r="AC82" s="195">
        <v>0.52413639562841496</v>
      </c>
      <c r="AD82" s="195">
        <v>0.52451144043715803</v>
      </c>
      <c r="AE82" s="195">
        <v>0.52488651803278596</v>
      </c>
      <c r="AF82" s="195">
        <v>0.5252616284153</v>
      </c>
      <c r="AG82" s="195">
        <v>0.52563677158469901</v>
      </c>
      <c r="AH82" s="195">
        <v>0.52601194754098302</v>
      </c>
      <c r="AI82" s="195">
        <v>0.526387156284153</v>
      </c>
      <c r="AJ82" s="195">
        <v>0.52676239781420697</v>
      </c>
      <c r="AK82" s="195">
        <v>0.52713767213114704</v>
      </c>
      <c r="AL82" s="195">
        <v>0.52751297923497198</v>
      </c>
      <c r="AM82" s="195">
        <v>0.52788831912568301</v>
      </c>
      <c r="AN82" s="195">
        <v>0.52826369180327803</v>
      </c>
      <c r="AO82" s="195">
        <v>0.52863909726775904</v>
      </c>
      <c r="AP82" s="195">
        <v>0.52901453551912503</v>
      </c>
    </row>
    <row r="83" spans="7:42" ht="14.25" customHeight="1" x14ac:dyDescent="0.2">
      <c r="G83" s="138"/>
      <c r="H83" s="380"/>
      <c r="J83" s="358"/>
      <c r="K83" s="135" t="s">
        <v>353</v>
      </c>
      <c r="L83" s="185" t="s">
        <v>277</v>
      </c>
      <c r="M83" s="179">
        <v>0.45683999999999902</v>
      </c>
      <c r="N83" s="179">
        <v>0.460349333333333</v>
      </c>
      <c r="O83" s="179">
        <v>0.46385866666666598</v>
      </c>
      <c r="P83" s="179">
        <v>0.46736799999999901</v>
      </c>
      <c r="Q83" s="179">
        <v>0.47087733333333298</v>
      </c>
      <c r="R83" s="179">
        <v>0.47438666666666601</v>
      </c>
      <c r="S83" s="179">
        <v>0.47789599999999899</v>
      </c>
      <c r="T83" s="179">
        <v>0.48140533333333302</v>
      </c>
      <c r="U83" s="179">
        <v>0.48491466666666599</v>
      </c>
      <c r="V83" s="179">
        <v>0.48842399999999903</v>
      </c>
      <c r="W83" s="179">
        <v>0.488818799999999</v>
      </c>
      <c r="X83" s="179">
        <v>0.48921359999999903</v>
      </c>
      <c r="Y83" s="179">
        <v>0.489608399999999</v>
      </c>
      <c r="Z83" s="179">
        <v>0.49000319999999897</v>
      </c>
      <c r="AA83" s="179">
        <v>0.490397999999999</v>
      </c>
      <c r="AB83" s="179">
        <v>0.49079279999999897</v>
      </c>
      <c r="AC83" s="179">
        <v>0.491187599999999</v>
      </c>
      <c r="AD83" s="179">
        <v>0.49158239999999898</v>
      </c>
      <c r="AE83" s="179">
        <v>0.491977199999999</v>
      </c>
      <c r="AF83" s="179">
        <v>0.49237199999999998</v>
      </c>
      <c r="AG83" s="179">
        <v>0.49276679999999901</v>
      </c>
      <c r="AH83" s="179">
        <v>0.49316159999999998</v>
      </c>
      <c r="AI83" s="179">
        <v>0.49355639999999901</v>
      </c>
      <c r="AJ83" s="179">
        <v>0.49395119999999998</v>
      </c>
      <c r="AK83" s="179">
        <v>0.49434600000000001</v>
      </c>
      <c r="AL83" s="179">
        <v>0.49474079999999898</v>
      </c>
      <c r="AM83" s="179">
        <v>0.49513559999999901</v>
      </c>
      <c r="AN83" s="179">
        <v>0.49553039999999998</v>
      </c>
      <c r="AO83" s="179">
        <v>0.49592519999999901</v>
      </c>
      <c r="AP83" s="179">
        <v>0.49631999999999898</v>
      </c>
    </row>
    <row r="84" spans="7:42" ht="14.25" customHeight="1" thickBot="1" x14ac:dyDescent="0.25">
      <c r="G84" s="138"/>
      <c r="H84" s="380"/>
      <c r="J84" s="358"/>
      <c r="K84" s="196" t="s">
        <v>353</v>
      </c>
      <c r="L84" s="196" t="s">
        <v>278</v>
      </c>
      <c r="M84" s="198">
        <v>0.45683999999999902</v>
      </c>
      <c r="N84" s="198">
        <v>0.45746666666666602</v>
      </c>
      <c r="O84" s="198">
        <v>0.45809333333333302</v>
      </c>
      <c r="P84" s="198">
        <v>0.45871999999999902</v>
      </c>
      <c r="Q84" s="198">
        <v>0.45934666666666601</v>
      </c>
      <c r="R84" s="198">
        <v>0.45997333333333301</v>
      </c>
      <c r="S84" s="198">
        <v>0.46059999999999901</v>
      </c>
      <c r="T84" s="198">
        <v>0.46122666666666601</v>
      </c>
      <c r="U84" s="198">
        <v>0.461853333333333</v>
      </c>
      <c r="V84" s="198">
        <v>0.46248</v>
      </c>
      <c r="W84" s="198">
        <v>0.46304399999999901</v>
      </c>
      <c r="X84" s="198">
        <v>0.46360799999999902</v>
      </c>
      <c r="Y84" s="198">
        <v>0.46417199999999897</v>
      </c>
      <c r="Z84" s="198">
        <v>0.46473599999999998</v>
      </c>
      <c r="AA84" s="198">
        <v>0.46529999999999899</v>
      </c>
      <c r="AB84" s="198">
        <v>0.465863999999999</v>
      </c>
      <c r="AC84" s="198">
        <v>0.46642799999999901</v>
      </c>
      <c r="AD84" s="198">
        <v>0.46699199999999902</v>
      </c>
      <c r="AE84" s="198">
        <v>0.46755599999999897</v>
      </c>
      <c r="AF84" s="198">
        <v>0.46811999999999898</v>
      </c>
      <c r="AG84" s="198">
        <v>0.46868399999999899</v>
      </c>
      <c r="AH84" s="198">
        <v>0.469247999999999</v>
      </c>
      <c r="AI84" s="198">
        <v>0.46981199999999901</v>
      </c>
      <c r="AJ84" s="198">
        <v>0.47037599999999902</v>
      </c>
      <c r="AK84" s="198">
        <v>0.47093999999999903</v>
      </c>
      <c r="AL84" s="198">
        <v>0.47150399999999898</v>
      </c>
      <c r="AM84" s="198">
        <v>0.47206799999999899</v>
      </c>
      <c r="AN84" s="198">
        <v>0.472631999999999</v>
      </c>
      <c r="AO84" s="198">
        <v>0.47319599999999901</v>
      </c>
      <c r="AP84" s="198">
        <v>0.47375999999999902</v>
      </c>
    </row>
    <row r="85" spans="7:42" ht="14.25" customHeight="1" thickTop="1" x14ac:dyDescent="0.2">
      <c r="G85" s="138"/>
      <c r="H85" s="380"/>
      <c r="J85" s="358"/>
      <c r="K85" s="194" t="s">
        <v>355</v>
      </c>
      <c r="L85" s="194" t="s">
        <v>276</v>
      </c>
      <c r="M85" s="195">
        <v>0.44468999999999997</v>
      </c>
      <c r="N85" s="195">
        <v>0.45157349382716</v>
      </c>
      <c r="O85" s="195">
        <v>0.458497975308642</v>
      </c>
      <c r="P85" s="195">
        <v>0.46546344444444399</v>
      </c>
      <c r="Q85" s="195">
        <v>0.472469901234567</v>
      </c>
      <c r="R85" s="195">
        <v>0.479517345679012</v>
      </c>
      <c r="S85" s="195">
        <v>0.48660577777777703</v>
      </c>
      <c r="T85" s="195">
        <v>0.49373519753086398</v>
      </c>
      <c r="U85" s="195">
        <v>0.50090560493827097</v>
      </c>
      <c r="V85" s="195">
        <v>0.50811699999999904</v>
      </c>
      <c r="W85" s="195">
        <v>0.50845839999999998</v>
      </c>
      <c r="X85" s="195">
        <v>0.50879979999999903</v>
      </c>
      <c r="Y85" s="195">
        <v>0.50914119999999996</v>
      </c>
      <c r="Z85" s="195">
        <v>0.50948259999999901</v>
      </c>
      <c r="AA85" s="195">
        <v>0.50982399999999894</v>
      </c>
      <c r="AB85" s="195">
        <v>0.51016539999999999</v>
      </c>
      <c r="AC85" s="195">
        <v>0.51050679999999904</v>
      </c>
      <c r="AD85" s="195">
        <v>0.51084819999999997</v>
      </c>
      <c r="AE85" s="195">
        <v>0.51118959999999902</v>
      </c>
      <c r="AF85" s="195">
        <v>0.51153099999999996</v>
      </c>
      <c r="AG85" s="195">
        <v>0.51187239999999901</v>
      </c>
      <c r="AH85" s="195">
        <v>0.51221379999999905</v>
      </c>
      <c r="AI85" s="195">
        <v>0.51255519999999999</v>
      </c>
      <c r="AJ85" s="195">
        <v>0.51289659999999904</v>
      </c>
      <c r="AK85" s="195">
        <v>0.51323799999999997</v>
      </c>
      <c r="AL85" s="195">
        <v>0.51357939999999902</v>
      </c>
      <c r="AM85" s="195">
        <v>0.51392079999999996</v>
      </c>
      <c r="AN85" s="195">
        <v>0.514262199999999</v>
      </c>
      <c r="AO85" s="195">
        <v>0.51460359999999905</v>
      </c>
      <c r="AP85" s="195">
        <v>0.51494499999999999</v>
      </c>
    </row>
    <row r="86" spans="7:42" ht="14.25" customHeight="1" x14ac:dyDescent="0.2">
      <c r="G86" s="138"/>
      <c r="H86" s="380"/>
      <c r="J86" s="358"/>
      <c r="K86" s="135" t="s">
        <v>355</v>
      </c>
      <c r="L86" s="185" t="s">
        <v>277</v>
      </c>
      <c r="M86" s="179">
        <v>0.44468999999999997</v>
      </c>
      <c r="N86" s="179">
        <v>0.448106</v>
      </c>
      <c r="O86" s="179">
        <v>0.45152199999999998</v>
      </c>
      <c r="P86" s="179">
        <v>0.45493800000000001</v>
      </c>
      <c r="Q86" s="179">
        <v>0.45835399999999998</v>
      </c>
      <c r="R86" s="179">
        <v>0.46177000000000001</v>
      </c>
      <c r="S86" s="179">
        <v>0.46518599999999999</v>
      </c>
      <c r="T86" s="179">
        <v>0.46860200000000002</v>
      </c>
      <c r="U86" s="179">
        <v>0.47201799999999999</v>
      </c>
      <c r="V86" s="179">
        <v>0.47543400000000002</v>
      </c>
      <c r="W86" s="179">
        <v>0.47581830000000003</v>
      </c>
      <c r="X86" s="179">
        <v>0.47620259999999998</v>
      </c>
      <c r="Y86" s="179">
        <v>0.47658689999999998</v>
      </c>
      <c r="Z86" s="179">
        <v>0.47697119999999998</v>
      </c>
      <c r="AA86" s="179">
        <v>0.47735549999999999</v>
      </c>
      <c r="AB86" s="179">
        <v>0.47773979999999999</v>
      </c>
      <c r="AC86" s="179">
        <v>0.4781241</v>
      </c>
      <c r="AD86" s="179">
        <v>0.4785084</v>
      </c>
      <c r="AE86" s="179">
        <v>0.4788927</v>
      </c>
      <c r="AF86" s="179">
        <v>0.47927700000000001</v>
      </c>
      <c r="AG86" s="179">
        <v>0.47966130000000001</v>
      </c>
      <c r="AH86" s="179">
        <v>0.48004560000000002</v>
      </c>
      <c r="AI86" s="179">
        <v>0.48042990000000002</v>
      </c>
      <c r="AJ86" s="179">
        <v>0.48081420000000002</v>
      </c>
      <c r="AK86" s="179">
        <v>0.48119849999999997</v>
      </c>
      <c r="AL86" s="179">
        <v>0.48158279999999998</v>
      </c>
      <c r="AM86" s="179">
        <v>0.48196709999999998</v>
      </c>
      <c r="AN86" s="179">
        <v>0.48235139999999999</v>
      </c>
      <c r="AO86" s="179">
        <v>0.48273569999999999</v>
      </c>
      <c r="AP86" s="179">
        <v>0.48311999999999999</v>
      </c>
    </row>
    <row r="87" spans="7:42" ht="14.25" customHeight="1" thickBot="1" x14ac:dyDescent="0.25">
      <c r="G87" s="138"/>
      <c r="H87" s="380"/>
      <c r="J87" s="358"/>
      <c r="K87" s="196" t="s">
        <v>355</v>
      </c>
      <c r="L87" s="196" t="s">
        <v>278</v>
      </c>
      <c r="M87" s="198">
        <v>0.44468999999999997</v>
      </c>
      <c r="N87" s="198">
        <v>0.44529999999999997</v>
      </c>
      <c r="O87" s="198">
        <v>0.44590999999999997</v>
      </c>
      <c r="P87" s="198">
        <v>0.44651999999999997</v>
      </c>
      <c r="Q87" s="198">
        <v>0.44713000000000003</v>
      </c>
      <c r="R87" s="198">
        <v>0.44774000000000003</v>
      </c>
      <c r="S87" s="198">
        <v>0.44835000000000003</v>
      </c>
      <c r="T87" s="198">
        <v>0.44896000000000003</v>
      </c>
      <c r="U87" s="198">
        <v>0.44957000000000003</v>
      </c>
      <c r="V87" s="198">
        <v>0.45018000000000002</v>
      </c>
      <c r="W87" s="198">
        <v>0.45072899999999999</v>
      </c>
      <c r="X87" s="198">
        <v>0.45127800000000001</v>
      </c>
      <c r="Y87" s="198">
        <v>0.45182699999999998</v>
      </c>
      <c r="Z87" s="198">
        <v>0.452376</v>
      </c>
      <c r="AA87" s="198">
        <v>0.45292500000000002</v>
      </c>
      <c r="AB87" s="198">
        <v>0.45347399999999999</v>
      </c>
      <c r="AC87" s="198">
        <v>0.45402300000000001</v>
      </c>
      <c r="AD87" s="198">
        <v>0.45457199999999998</v>
      </c>
      <c r="AE87" s="198">
        <v>0.455121</v>
      </c>
      <c r="AF87" s="198">
        <v>0.45567000000000002</v>
      </c>
      <c r="AG87" s="198">
        <v>0.45621899999999999</v>
      </c>
      <c r="AH87" s="198">
        <v>0.45676800000000001</v>
      </c>
      <c r="AI87" s="198">
        <v>0.45731699999999997</v>
      </c>
      <c r="AJ87" s="198">
        <v>0.457866</v>
      </c>
      <c r="AK87" s="198">
        <v>0.45841500000000002</v>
      </c>
      <c r="AL87" s="198">
        <v>0.45896399999999998</v>
      </c>
      <c r="AM87" s="198">
        <v>0.459513</v>
      </c>
      <c r="AN87" s="198">
        <v>0.46006200000000003</v>
      </c>
      <c r="AO87" s="198">
        <v>0.46061099999999999</v>
      </c>
      <c r="AP87" s="198">
        <v>0.46116000000000001</v>
      </c>
    </row>
    <row r="88" spans="7:42" ht="14.25" customHeight="1" thickTop="1" x14ac:dyDescent="0.2">
      <c r="G88" s="138"/>
      <c r="H88" s="380"/>
      <c r="J88" s="358"/>
      <c r="K88" s="194" t="s">
        <v>357</v>
      </c>
      <c r="L88" s="194" t="s">
        <v>276</v>
      </c>
      <c r="M88" s="195">
        <v>0.43010999999999999</v>
      </c>
      <c r="N88" s="195">
        <v>0.43682749382716002</v>
      </c>
      <c r="O88" s="195">
        <v>0.44358597530864202</v>
      </c>
      <c r="P88" s="195">
        <v>0.45038544444444401</v>
      </c>
      <c r="Q88" s="195">
        <v>0.45722590123456702</v>
      </c>
      <c r="R88" s="195">
        <v>0.46410734567901202</v>
      </c>
      <c r="S88" s="195">
        <v>0.47102977777777699</v>
      </c>
      <c r="T88" s="195">
        <v>0.477993197530864</v>
      </c>
      <c r="U88" s="195">
        <v>0.48499760493827099</v>
      </c>
      <c r="V88" s="195">
        <v>0.49204300000000001</v>
      </c>
      <c r="W88" s="195">
        <v>0.49234430163934401</v>
      </c>
      <c r="X88" s="195">
        <v>0.49264556393442599</v>
      </c>
      <c r="Y88" s="195">
        <v>0.49294678688524501</v>
      </c>
      <c r="Z88" s="195">
        <v>0.49324797049180302</v>
      </c>
      <c r="AA88" s="195">
        <v>0.49354911475409802</v>
      </c>
      <c r="AB88" s="195">
        <v>0.493850219672131</v>
      </c>
      <c r="AC88" s="195">
        <v>0.49415128524590102</v>
      </c>
      <c r="AD88" s="195">
        <v>0.49445231147540902</v>
      </c>
      <c r="AE88" s="195">
        <v>0.49475329836065501</v>
      </c>
      <c r="AF88" s="195">
        <v>0.49505424590163899</v>
      </c>
      <c r="AG88" s="195">
        <v>0.49535515409836001</v>
      </c>
      <c r="AH88" s="195">
        <v>0.49565602295081901</v>
      </c>
      <c r="AI88" s="195">
        <v>0.495956852459016</v>
      </c>
      <c r="AJ88" s="195">
        <v>0.49625764262295002</v>
      </c>
      <c r="AK88" s="195">
        <v>0.49655839344262198</v>
      </c>
      <c r="AL88" s="195">
        <v>0.49685910491803198</v>
      </c>
      <c r="AM88" s="195">
        <v>0.49715977704918002</v>
      </c>
      <c r="AN88" s="195">
        <v>0.49746040983606499</v>
      </c>
      <c r="AO88" s="195">
        <v>0.497761003278688</v>
      </c>
      <c r="AP88" s="195">
        <v>0.49806155737704899</v>
      </c>
    </row>
    <row r="89" spans="7:42" ht="14.25" customHeight="1" x14ac:dyDescent="0.2">
      <c r="G89" s="138"/>
      <c r="H89" s="380"/>
      <c r="J89" s="358"/>
      <c r="K89" s="135" t="s">
        <v>357</v>
      </c>
      <c r="L89" s="185" t="s">
        <v>277</v>
      </c>
      <c r="M89" s="179">
        <v>0.43010999999999999</v>
      </c>
      <c r="N89" s="179">
        <v>0.43341400000000002</v>
      </c>
      <c r="O89" s="179">
        <v>0.436718</v>
      </c>
      <c r="P89" s="179">
        <v>0.44002200000000002</v>
      </c>
      <c r="Q89" s="179">
        <v>0.443326</v>
      </c>
      <c r="R89" s="179">
        <v>0.44663000000000003</v>
      </c>
      <c r="S89" s="179">
        <v>0.449934</v>
      </c>
      <c r="T89" s="179">
        <v>0.45323799999999997</v>
      </c>
      <c r="U89" s="179">
        <v>0.456542</v>
      </c>
      <c r="V89" s="179">
        <v>0.45984599999999998</v>
      </c>
      <c r="W89" s="179">
        <v>0.46021770000000001</v>
      </c>
      <c r="X89" s="179">
        <v>0.46058939999999998</v>
      </c>
      <c r="Y89" s="179">
        <v>0.46096110000000001</v>
      </c>
      <c r="Z89" s="179">
        <v>0.46133279999999999</v>
      </c>
      <c r="AA89" s="179">
        <v>0.46170450000000002</v>
      </c>
      <c r="AB89" s="179">
        <v>0.46207619999999999</v>
      </c>
      <c r="AC89" s="179">
        <v>0.46244790000000002</v>
      </c>
      <c r="AD89" s="179">
        <v>0.4628196</v>
      </c>
      <c r="AE89" s="179">
        <v>0.46319129999999997</v>
      </c>
      <c r="AF89" s="179">
        <v>0.463563</v>
      </c>
      <c r="AG89" s="179">
        <v>0.46393469999999998</v>
      </c>
      <c r="AH89" s="179">
        <v>0.46430640000000001</v>
      </c>
      <c r="AI89" s="179">
        <v>0.46467809999999998</v>
      </c>
      <c r="AJ89" s="179">
        <v>0.46504980000000001</v>
      </c>
      <c r="AK89" s="179">
        <v>0.46542149999999999</v>
      </c>
      <c r="AL89" s="179">
        <v>0.46579320000000002</v>
      </c>
      <c r="AM89" s="179">
        <v>0.46616489999999999</v>
      </c>
      <c r="AN89" s="179">
        <v>0.46653660000000002</v>
      </c>
      <c r="AO89" s="179">
        <v>0.4669083</v>
      </c>
      <c r="AP89" s="179">
        <v>0.46727999999999997</v>
      </c>
    </row>
    <row r="90" spans="7:42" ht="14.25" customHeight="1" thickBot="1" x14ac:dyDescent="0.25">
      <c r="G90" s="138"/>
      <c r="H90" s="380"/>
      <c r="J90" s="358"/>
      <c r="K90" s="196" t="s">
        <v>357</v>
      </c>
      <c r="L90" s="196" t="s">
        <v>278</v>
      </c>
      <c r="M90" s="198">
        <v>0.43010999999999999</v>
      </c>
      <c r="N90" s="198">
        <v>0.43070000000000003</v>
      </c>
      <c r="O90" s="198">
        <v>0.43129000000000001</v>
      </c>
      <c r="P90" s="198">
        <v>0.43187999999999999</v>
      </c>
      <c r="Q90" s="198">
        <v>0.43247000000000002</v>
      </c>
      <c r="R90" s="198">
        <v>0.43306</v>
      </c>
      <c r="S90" s="198">
        <v>0.43364999999999998</v>
      </c>
      <c r="T90" s="198">
        <v>0.43424000000000001</v>
      </c>
      <c r="U90" s="198">
        <v>0.43482999999999999</v>
      </c>
      <c r="V90" s="198">
        <v>0.43541999999999997</v>
      </c>
      <c r="W90" s="198">
        <v>0.43595099999999998</v>
      </c>
      <c r="X90" s="198">
        <v>0.43648199999999998</v>
      </c>
      <c r="Y90" s="198">
        <v>0.43701299999999998</v>
      </c>
      <c r="Z90" s="198">
        <v>0.43754399999999999</v>
      </c>
      <c r="AA90" s="198">
        <v>0.43807499999999899</v>
      </c>
      <c r="AB90" s="198">
        <v>0.438605999999999</v>
      </c>
      <c r="AC90" s="198">
        <v>0.439136999999999</v>
      </c>
      <c r="AD90" s="198">
        <v>0.439667999999999</v>
      </c>
      <c r="AE90" s="198">
        <v>0.44019899999999901</v>
      </c>
      <c r="AF90" s="198">
        <v>0.44072999999999901</v>
      </c>
      <c r="AG90" s="198">
        <v>0.44126099999999902</v>
      </c>
      <c r="AH90" s="198">
        <v>0.44179199999999902</v>
      </c>
      <c r="AI90" s="198">
        <v>0.44232299999999902</v>
      </c>
      <c r="AJ90" s="198">
        <v>0.44285399999999903</v>
      </c>
      <c r="AK90" s="198">
        <v>0.44338499999999897</v>
      </c>
      <c r="AL90" s="198">
        <v>0.44391599999999898</v>
      </c>
      <c r="AM90" s="198">
        <v>0.44444699999999898</v>
      </c>
      <c r="AN90" s="198">
        <v>0.44497799999999899</v>
      </c>
      <c r="AO90" s="198">
        <v>0.44550899999999899</v>
      </c>
      <c r="AP90" s="198">
        <v>0.44603999999999899</v>
      </c>
    </row>
    <row r="91" spans="7:42" ht="14.25" customHeight="1" thickTop="1" x14ac:dyDescent="0.2">
      <c r="G91" s="138"/>
      <c r="H91" s="380"/>
      <c r="J91" s="358"/>
      <c r="K91" s="194" t="s">
        <v>359</v>
      </c>
      <c r="L91" s="194" t="s">
        <v>276</v>
      </c>
      <c r="M91" s="195">
        <v>0.40743000000000001</v>
      </c>
      <c r="N91" s="195">
        <v>0.41388927160493799</v>
      </c>
      <c r="O91" s="195">
        <v>0.420389530864197</v>
      </c>
      <c r="P91" s="195">
        <v>0.42693077777777699</v>
      </c>
      <c r="Q91" s="195">
        <v>0.43351301234567902</v>
      </c>
      <c r="R91" s="195">
        <v>0.44013623456790102</v>
      </c>
      <c r="S91" s="195">
        <v>0.446800444444444</v>
      </c>
      <c r="T91" s="195">
        <v>0.45350564197530802</v>
      </c>
      <c r="U91" s="195">
        <v>0.46025182716049301</v>
      </c>
      <c r="V91" s="195">
        <v>0.46703899999999998</v>
      </c>
      <c r="W91" s="195">
        <v>0.467277926411657</v>
      </c>
      <c r="X91" s="195">
        <v>0.46751675227686701</v>
      </c>
      <c r="Y91" s="195">
        <v>0.46775547759562802</v>
      </c>
      <c r="Z91" s="195">
        <v>0.46799410236794098</v>
      </c>
      <c r="AA91" s="195">
        <v>0.46823262659380599</v>
      </c>
      <c r="AB91" s="195">
        <v>0.468471050273224</v>
      </c>
      <c r="AC91" s="195">
        <v>0.46870937340619301</v>
      </c>
      <c r="AD91" s="195">
        <v>0.46894759599271402</v>
      </c>
      <c r="AE91" s="195">
        <v>0.46918571803278603</v>
      </c>
      <c r="AF91" s="195">
        <v>0.46942373952641098</v>
      </c>
      <c r="AG91" s="195">
        <v>0.46966166047358798</v>
      </c>
      <c r="AH91" s="195">
        <v>0.46989948087431699</v>
      </c>
      <c r="AI91" s="195">
        <v>0.47013720072859699</v>
      </c>
      <c r="AJ91" s="195">
        <v>0.470374820036429</v>
      </c>
      <c r="AK91" s="195">
        <v>0.470612338797814</v>
      </c>
      <c r="AL91" s="195">
        <v>0.47084975701275</v>
      </c>
      <c r="AM91" s="195">
        <v>0.471087074681238</v>
      </c>
      <c r="AN91" s="195">
        <v>0.47132429180327801</v>
      </c>
      <c r="AO91" s="195">
        <v>0.47156140837887001</v>
      </c>
      <c r="AP91" s="195">
        <v>0.47179842440801401</v>
      </c>
    </row>
    <row r="92" spans="7:42" ht="14.25" customHeight="1" x14ac:dyDescent="0.2">
      <c r="G92" s="138"/>
      <c r="H92" s="380"/>
      <c r="J92" s="358"/>
      <c r="K92" s="135" t="s">
        <v>359</v>
      </c>
      <c r="L92" s="185" t="s">
        <v>277</v>
      </c>
      <c r="M92" s="179">
        <v>0.40743000000000001</v>
      </c>
      <c r="N92" s="179">
        <v>0.41055977777777702</v>
      </c>
      <c r="O92" s="179">
        <v>0.41368955555555498</v>
      </c>
      <c r="P92" s="179">
        <v>0.41681933333333299</v>
      </c>
      <c r="Q92" s="179">
        <v>0.419949111111111</v>
      </c>
      <c r="R92" s="179">
        <v>0.42307888888888801</v>
      </c>
      <c r="S92" s="179">
        <v>0.42620866666666601</v>
      </c>
      <c r="T92" s="179">
        <v>0.42933844444444402</v>
      </c>
      <c r="U92" s="179">
        <v>0.43246822222222198</v>
      </c>
      <c r="V92" s="179">
        <v>0.43559799999999999</v>
      </c>
      <c r="W92" s="179">
        <v>0.43595010000000001</v>
      </c>
      <c r="X92" s="179">
        <v>0.43630219999999997</v>
      </c>
      <c r="Y92" s="179">
        <v>0.4366543</v>
      </c>
      <c r="Z92" s="179">
        <v>0.43700640000000002</v>
      </c>
      <c r="AA92" s="179">
        <v>0.43735849999999998</v>
      </c>
      <c r="AB92" s="179">
        <v>0.43771060000000001</v>
      </c>
      <c r="AC92" s="179">
        <v>0.43806270000000003</v>
      </c>
      <c r="AD92" s="179">
        <v>0.43841479999999999</v>
      </c>
      <c r="AE92" s="179">
        <v>0.43876689999999902</v>
      </c>
      <c r="AF92" s="179">
        <v>0.43911899999999998</v>
      </c>
      <c r="AG92" s="179">
        <v>0.4394711</v>
      </c>
      <c r="AH92" s="179">
        <v>0.43982320000000003</v>
      </c>
      <c r="AI92" s="179">
        <v>0.44017529999999999</v>
      </c>
      <c r="AJ92" s="179">
        <v>0.44052740000000001</v>
      </c>
      <c r="AK92" s="179">
        <v>0.44087949999999998</v>
      </c>
      <c r="AL92" s="179">
        <v>0.4412316</v>
      </c>
      <c r="AM92" s="179">
        <v>0.44158370000000002</v>
      </c>
      <c r="AN92" s="179">
        <v>0.44193579999999999</v>
      </c>
      <c r="AO92" s="179">
        <v>0.44228790000000001</v>
      </c>
      <c r="AP92" s="179">
        <v>0.44263999999999998</v>
      </c>
    </row>
    <row r="93" spans="7:42" ht="14.25" customHeight="1" thickBot="1" x14ac:dyDescent="0.25">
      <c r="G93" s="138"/>
      <c r="H93" s="380"/>
      <c r="J93" s="358"/>
      <c r="K93" s="196" t="s">
        <v>359</v>
      </c>
      <c r="L93" s="196" t="s">
        <v>278</v>
      </c>
      <c r="M93" s="198">
        <v>0.40743000000000001</v>
      </c>
      <c r="N93" s="198">
        <v>0.40798888888888801</v>
      </c>
      <c r="O93" s="198">
        <v>0.40854777777777701</v>
      </c>
      <c r="P93" s="198">
        <v>0.40910666666666601</v>
      </c>
      <c r="Q93" s="198">
        <v>0.40966555555555501</v>
      </c>
      <c r="R93" s="198">
        <v>0.410224444444444</v>
      </c>
      <c r="S93" s="198">
        <v>0.410783333333333</v>
      </c>
      <c r="T93" s="198">
        <v>0.411342222222222</v>
      </c>
      <c r="U93" s="198">
        <v>0.411901111111111</v>
      </c>
      <c r="V93" s="198">
        <v>0.41245999999999999</v>
      </c>
      <c r="W93" s="198">
        <v>0.41296299999999903</v>
      </c>
      <c r="X93" s="198">
        <v>0.413466</v>
      </c>
      <c r="Y93" s="198">
        <v>0.41396899999999998</v>
      </c>
      <c r="Z93" s="198">
        <v>0.41447200000000001</v>
      </c>
      <c r="AA93" s="198">
        <v>0.41497499999999898</v>
      </c>
      <c r="AB93" s="198">
        <v>0.41547799999999901</v>
      </c>
      <c r="AC93" s="198">
        <v>0.41598099999999899</v>
      </c>
      <c r="AD93" s="198">
        <v>0.41648399999999902</v>
      </c>
      <c r="AE93" s="198">
        <v>0.416986999999999</v>
      </c>
      <c r="AF93" s="198">
        <v>0.41748999999999897</v>
      </c>
      <c r="AG93" s="198">
        <v>0.417992999999999</v>
      </c>
      <c r="AH93" s="198">
        <v>0.41849599999999898</v>
      </c>
      <c r="AI93" s="198">
        <v>0.41899899999999901</v>
      </c>
      <c r="AJ93" s="198">
        <v>0.41950199999999899</v>
      </c>
      <c r="AK93" s="198">
        <v>0.42000499999999902</v>
      </c>
      <c r="AL93" s="198">
        <v>0.42050799999999899</v>
      </c>
      <c r="AM93" s="198">
        <v>0.42101099999999902</v>
      </c>
      <c r="AN93" s="198">
        <v>0.421513999999999</v>
      </c>
      <c r="AO93" s="198">
        <v>0.42201699999999898</v>
      </c>
      <c r="AP93" s="198">
        <v>0.42251999999999901</v>
      </c>
    </row>
    <row r="94" spans="7:42" ht="14.25" customHeight="1" thickTop="1" x14ac:dyDescent="0.2">
      <c r="G94" s="138"/>
      <c r="H94" s="380"/>
      <c r="J94" s="358"/>
      <c r="K94" s="194" t="s">
        <v>361</v>
      </c>
      <c r="L94" s="194" t="s">
        <v>276</v>
      </c>
      <c r="M94" s="195">
        <v>0.37584000000000001</v>
      </c>
      <c r="N94" s="195">
        <v>0.381939604938271</v>
      </c>
      <c r="O94" s="195">
        <v>0.38808019753086398</v>
      </c>
      <c r="P94" s="195">
        <v>0.39426177777777699</v>
      </c>
      <c r="Q94" s="195">
        <v>0.40048434567901198</v>
      </c>
      <c r="R94" s="195">
        <v>0.406747901234567</v>
      </c>
      <c r="S94" s="195">
        <v>0.413052444444444</v>
      </c>
      <c r="T94" s="195">
        <v>0.41939797530864198</v>
      </c>
      <c r="U94" s="195">
        <v>0.42578449382715999</v>
      </c>
      <c r="V94" s="195">
        <v>0.43221199999999999</v>
      </c>
      <c r="W94" s="195">
        <v>0.43236404663023598</v>
      </c>
      <c r="X94" s="195">
        <v>0.43251590746812302</v>
      </c>
      <c r="Y94" s="195">
        <v>0.432667582513661</v>
      </c>
      <c r="Z94" s="195">
        <v>0.43281907176684797</v>
      </c>
      <c r="AA94" s="195">
        <v>0.432970375227686</v>
      </c>
      <c r="AB94" s="195">
        <v>0.43312149289617402</v>
      </c>
      <c r="AC94" s="195">
        <v>0.43327242477231298</v>
      </c>
      <c r="AD94" s="195">
        <v>0.43342317085610199</v>
      </c>
      <c r="AE94" s="195">
        <v>0.43357373114754</v>
      </c>
      <c r="AF94" s="195">
        <v>0.43372410564663</v>
      </c>
      <c r="AG94" s="195">
        <v>0.43387429435336899</v>
      </c>
      <c r="AH94" s="195">
        <v>0.43402429726775898</v>
      </c>
      <c r="AI94" s="195">
        <v>0.43417411438979903</v>
      </c>
      <c r="AJ94" s="195">
        <v>0.43432374571948901</v>
      </c>
      <c r="AK94" s="195">
        <v>0.43447319125682998</v>
      </c>
      <c r="AL94" s="195">
        <v>0.43462245100182101</v>
      </c>
      <c r="AM94" s="195">
        <v>0.43477152495446197</v>
      </c>
      <c r="AN94" s="195">
        <v>0.43492041311475399</v>
      </c>
      <c r="AO94" s="195">
        <v>0.435069115482695</v>
      </c>
      <c r="AP94" s="195">
        <v>0.43521763205828701</v>
      </c>
    </row>
    <row r="95" spans="7:42" ht="14.25" customHeight="1" x14ac:dyDescent="0.2">
      <c r="G95" s="138"/>
      <c r="H95" s="380"/>
      <c r="J95" s="358"/>
      <c r="K95" s="135" t="s">
        <v>361</v>
      </c>
      <c r="L95" s="185" t="s">
        <v>277</v>
      </c>
      <c r="M95" s="179">
        <v>0.37584000000000001</v>
      </c>
      <c r="N95" s="179">
        <v>0.37872711111111101</v>
      </c>
      <c r="O95" s="179">
        <v>0.38161422222222202</v>
      </c>
      <c r="P95" s="179">
        <v>0.38450133333333297</v>
      </c>
      <c r="Q95" s="179">
        <v>0.38738844444444398</v>
      </c>
      <c r="R95" s="179">
        <v>0.39027555555555499</v>
      </c>
      <c r="S95" s="179">
        <v>0.39316266666666599</v>
      </c>
      <c r="T95" s="179">
        <v>0.396049777777777</v>
      </c>
      <c r="U95" s="179">
        <v>0.39893688888888801</v>
      </c>
      <c r="V95" s="179">
        <v>0.40182400000000001</v>
      </c>
      <c r="W95" s="179">
        <v>0.40214879999999997</v>
      </c>
      <c r="X95" s="179">
        <v>0.40247359999999999</v>
      </c>
      <c r="Y95" s="179">
        <v>0.4027984</v>
      </c>
      <c r="Z95" s="179">
        <v>0.40312320000000001</v>
      </c>
      <c r="AA95" s="179">
        <v>0.40344799999999997</v>
      </c>
      <c r="AB95" s="179">
        <v>0.40377279999999999</v>
      </c>
      <c r="AC95" s="179">
        <v>0.4040976</v>
      </c>
      <c r="AD95" s="179">
        <v>0.40442240000000002</v>
      </c>
      <c r="AE95" s="179">
        <v>0.40474719999999997</v>
      </c>
      <c r="AF95" s="179">
        <v>0.40507199999999999</v>
      </c>
      <c r="AG95" s="179">
        <v>0.4053968</v>
      </c>
      <c r="AH95" s="179">
        <v>0.40572160000000002</v>
      </c>
      <c r="AI95" s="179">
        <v>0.40604639999999997</v>
      </c>
      <c r="AJ95" s="179">
        <v>0.40637119999999999</v>
      </c>
      <c r="AK95" s="179">
        <v>0.406696</v>
      </c>
      <c r="AL95" s="179">
        <v>0.40702080000000002</v>
      </c>
      <c r="AM95" s="179">
        <v>0.40734559999999997</v>
      </c>
      <c r="AN95" s="179">
        <v>0.40767039999999999</v>
      </c>
      <c r="AO95" s="179">
        <v>0.4079952</v>
      </c>
      <c r="AP95" s="179">
        <v>0.40832000000000002</v>
      </c>
    </row>
    <row r="96" spans="7:42" ht="14.25" customHeight="1" thickBot="1" x14ac:dyDescent="0.25">
      <c r="G96" s="138"/>
      <c r="H96" s="380"/>
      <c r="J96" s="358"/>
      <c r="K96" s="196" t="s">
        <v>361</v>
      </c>
      <c r="L96" s="196" t="s">
        <v>278</v>
      </c>
      <c r="M96" s="198">
        <v>0.37584000000000001</v>
      </c>
      <c r="N96" s="198">
        <v>0.376355555555555</v>
      </c>
      <c r="O96" s="198">
        <v>0.37687111111111099</v>
      </c>
      <c r="P96" s="198">
        <v>0.37738666666666598</v>
      </c>
      <c r="Q96" s="198">
        <v>0.37790222222222197</v>
      </c>
      <c r="R96" s="198">
        <v>0.37841777777777702</v>
      </c>
      <c r="S96" s="198">
        <v>0.37893333333333301</v>
      </c>
      <c r="T96" s="198">
        <v>0.379448888888888</v>
      </c>
      <c r="U96" s="198">
        <v>0.37996444444444399</v>
      </c>
      <c r="V96" s="198">
        <v>0.38047999999999998</v>
      </c>
      <c r="W96" s="198">
        <v>0.380944</v>
      </c>
      <c r="X96" s="198">
        <v>0.38140800000000002</v>
      </c>
      <c r="Y96" s="198">
        <v>0.38187199999999999</v>
      </c>
      <c r="Z96" s="198">
        <v>0.38233600000000001</v>
      </c>
      <c r="AA96" s="198">
        <v>0.38279999999999997</v>
      </c>
      <c r="AB96" s="198">
        <v>0.38326399999999999</v>
      </c>
      <c r="AC96" s="198">
        <v>0.38372800000000001</v>
      </c>
      <c r="AD96" s="198">
        <v>0.38419199999999998</v>
      </c>
      <c r="AE96" s="198">
        <v>0.384656</v>
      </c>
      <c r="AF96" s="198">
        <v>0.38512000000000002</v>
      </c>
      <c r="AG96" s="198">
        <v>0.38558399999999998</v>
      </c>
      <c r="AH96" s="198">
        <v>0.386047999999999</v>
      </c>
      <c r="AI96" s="198">
        <v>0.38651199999999902</v>
      </c>
      <c r="AJ96" s="198">
        <v>0.38697599999999899</v>
      </c>
      <c r="AK96" s="198">
        <v>0.38743999999999901</v>
      </c>
      <c r="AL96" s="198">
        <v>0.38790399999999903</v>
      </c>
      <c r="AM96" s="198">
        <v>0.38836799999999899</v>
      </c>
      <c r="AN96" s="198">
        <v>0.38883199999999901</v>
      </c>
      <c r="AO96" s="198">
        <v>0.38929599999999998</v>
      </c>
      <c r="AP96" s="198">
        <v>0.389759999999999</v>
      </c>
    </row>
    <row r="97" spans="7:67" ht="14.25" customHeight="1" thickTop="1" x14ac:dyDescent="0.2">
      <c r="G97" s="138"/>
      <c r="H97" s="380"/>
      <c r="J97" s="358"/>
      <c r="K97" s="194" t="s">
        <v>363</v>
      </c>
      <c r="L97" s="194" t="s">
        <v>276</v>
      </c>
      <c r="M97" s="195">
        <v>0.33939000000000002</v>
      </c>
      <c r="N97" s="195">
        <v>0.34507460493827102</v>
      </c>
      <c r="O97" s="195">
        <v>0.350800197530864</v>
      </c>
      <c r="P97" s="195">
        <v>0.35656677777777701</v>
      </c>
      <c r="Q97" s="195">
        <v>0.362374345679012</v>
      </c>
      <c r="R97" s="195">
        <v>0.36822290123456702</v>
      </c>
      <c r="S97" s="195">
        <v>0.37411244444444403</v>
      </c>
      <c r="T97" s="195">
        <v>0.38004297530864101</v>
      </c>
      <c r="U97" s="195">
        <v>0.38601449382716002</v>
      </c>
      <c r="V97" s="195">
        <v>0.39202700000000001</v>
      </c>
      <c r="W97" s="195">
        <v>0.39229039999999998</v>
      </c>
      <c r="X97" s="195">
        <v>0.39255380000000001</v>
      </c>
      <c r="Y97" s="195">
        <v>0.39281719999999998</v>
      </c>
      <c r="Z97" s="195">
        <v>0.3930806</v>
      </c>
      <c r="AA97" s="195">
        <v>0.39334400000000003</v>
      </c>
      <c r="AB97" s="195">
        <v>0.3936074</v>
      </c>
      <c r="AC97" s="195">
        <v>0.39387080000000002</v>
      </c>
      <c r="AD97" s="195">
        <v>0.39413419999999999</v>
      </c>
      <c r="AE97" s="195">
        <v>0.39439760000000001</v>
      </c>
      <c r="AF97" s="195">
        <v>0.39466099999999998</v>
      </c>
      <c r="AG97" s="195">
        <v>0.39492440000000001</v>
      </c>
      <c r="AH97" s="195">
        <v>0.39518779999999998</v>
      </c>
      <c r="AI97" s="195">
        <v>0.3954512</v>
      </c>
      <c r="AJ97" s="195">
        <v>0.39571460000000003</v>
      </c>
      <c r="AK97" s="195">
        <v>0.395978</v>
      </c>
      <c r="AL97" s="195">
        <v>0.39624140000000002</v>
      </c>
      <c r="AM97" s="195">
        <v>0.39650479999999999</v>
      </c>
      <c r="AN97" s="195">
        <v>0.39676820000000002</v>
      </c>
      <c r="AO97" s="195">
        <v>0.39703159999999998</v>
      </c>
      <c r="AP97" s="195">
        <v>0.39729500000000001</v>
      </c>
    </row>
    <row r="98" spans="7:67" ht="14.25" customHeight="1" x14ac:dyDescent="0.2">
      <c r="G98" s="138"/>
      <c r="H98" s="380"/>
      <c r="J98" s="358"/>
      <c r="K98" s="135" t="s">
        <v>363</v>
      </c>
      <c r="L98" s="185" t="s">
        <v>277</v>
      </c>
      <c r="M98" s="179">
        <v>0.33939000000000002</v>
      </c>
      <c r="N98" s="179">
        <v>0.34199711111111097</v>
      </c>
      <c r="O98" s="179">
        <v>0.34460422222222198</v>
      </c>
      <c r="P98" s="179">
        <v>0.34721133333333298</v>
      </c>
      <c r="Q98" s="179">
        <v>0.34981844444444399</v>
      </c>
      <c r="R98" s="179">
        <v>0.35242555555555499</v>
      </c>
      <c r="S98" s="179">
        <v>0.355032666666666</v>
      </c>
      <c r="T98" s="179">
        <v>0.357639777777777</v>
      </c>
      <c r="U98" s="179">
        <v>0.36024688888888801</v>
      </c>
      <c r="V98" s="179">
        <v>0.36285400000000001</v>
      </c>
      <c r="W98" s="179">
        <v>0.36314730000000001</v>
      </c>
      <c r="X98" s="179">
        <v>0.363440599999999</v>
      </c>
      <c r="Y98" s="179">
        <v>0.3637339</v>
      </c>
      <c r="Z98" s="179">
        <v>0.3640272</v>
      </c>
      <c r="AA98" s="179">
        <v>0.36432049999999899</v>
      </c>
      <c r="AB98" s="179">
        <v>0.36461379999999999</v>
      </c>
      <c r="AC98" s="179">
        <v>0.36490709999999998</v>
      </c>
      <c r="AD98" s="179">
        <v>0.36520039999999998</v>
      </c>
      <c r="AE98" s="179">
        <v>0.36549369999999998</v>
      </c>
      <c r="AF98" s="179">
        <v>0.36578699999999997</v>
      </c>
      <c r="AG98" s="179">
        <v>0.36608030000000003</v>
      </c>
      <c r="AH98" s="179">
        <v>0.36637360000000002</v>
      </c>
      <c r="AI98" s="179">
        <v>0.36666689999999902</v>
      </c>
      <c r="AJ98" s="179">
        <v>0.36696020000000001</v>
      </c>
      <c r="AK98" s="179">
        <v>0.36725350000000001</v>
      </c>
      <c r="AL98" s="179">
        <v>0.36754679999999901</v>
      </c>
      <c r="AM98" s="179">
        <v>0.3678401</v>
      </c>
      <c r="AN98" s="179">
        <v>0.3681334</v>
      </c>
      <c r="AO98" s="179">
        <v>0.3684267</v>
      </c>
      <c r="AP98" s="179">
        <v>0.36871999999999999</v>
      </c>
    </row>
    <row r="99" spans="7:67" ht="14.25" customHeight="1" thickBot="1" x14ac:dyDescent="0.25">
      <c r="G99" s="138"/>
      <c r="H99" s="380"/>
      <c r="J99" s="358"/>
      <c r="K99" s="196" t="s">
        <v>363</v>
      </c>
      <c r="L99" s="196" t="s">
        <v>278</v>
      </c>
      <c r="M99" s="198">
        <v>0.33939000000000002</v>
      </c>
      <c r="N99" s="198">
        <v>0.33985555555555502</v>
      </c>
      <c r="O99" s="198">
        <v>0.34032111111111102</v>
      </c>
      <c r="P99" s="198">
        <v>0.34078666666666602</v>
      </c>
      <c r="Q99" s="198">
        <v>0.34125222222222201</v>
      </c>
      <c r="R99" s="198">
        <v>0.34171777777777701</v>
      </c>
      <c r="S99" s="198">
        <v>0.34218333333333301</v>
      </c>
      <c r="T99" s="198">
        <v>0.342648888888888</v>
      </c>
      <c r="U99" s="198">
        <v>0.343114444444444</v>
      </c>
      <c r="V99" s="198">
        <v>0.34358</v>
      </c>
      <c r="W99" s="198">
        <v>0.343998999999999</v>
      </c>
      <c r="X99" s="198">
        <v>0.344418</v>
      </c>
      <c r="Y99" s="198">
        <v>0.34483699999999901</v>
      </c>
      <c r="Z99" s="198">
        <v>0.34525600000000001</v>
      </c>
      <c r="AA99" s="198">
        <v>0.34567499999999901</v>
      </c>
      <c r="AB99" s="198">
        <v>0.34609400000000001</v>
      </c>
      <c r="AC99" s="198">
        <v>0.34651299999999902</v>
      </c>
      <c r="AD99" s="198">
        <v>0.34693200000000002</v>
      </c>
      <c r="AE99" s="198">
        <v>0.34735099999999902</v>
      </c>
      <c r="AF99" s="198">
        <v>0.34777000000000002</v>
      </c>
      <c r="AG99" s="198">
        <v>0.34818899999999903</v>
      </c>
      <c r="AH99" s="198">
        <v>0.34860799999999997</v>
      </c>
      <c r="AI99" s="198">
        <v>0.34902699999999998</v>
      </c>
      <c r="AJ99" s="198">
        <v>0.34944599999999998</v>
      </c>
      <c r="AK99" s="198">
        <v>0.34986499999999998</v>
      </c>
      <c r="AL99" s="198">
        <v>0.35028399999999998</v>
      </c>
      <c r="AM99" s="198">
        <v>0.35070299999999999</v>
      </c>
      <c r="AN99" s="198">
        <v>0.35112199999999999</v>
      </c>
      <c r="AO99" s="198">
        <v>0.35154099999999999</v>
      </c>
      <c r="AP99" s="198">
        <v>0.35196</v>
      </c>
    </row>
    <row r="100" spans="7:67" ht="14.25" customHeight="1" thickTop="1" x14ac:dyDescent="0.2">
      <c r="G100" s="138"/>
      <c r="H100" s="380"/>
      <c r="J100" s="358"/>
      <c r="K100" s="194" t="s">
        <v>366</v>
      </c>
      <c r="L100" s="194" t="s">
        <v>276</v>
      </c>
      <c r="M100" s="195">
        <v>0.32805000000000001</v>
      </c>
      <c r="N100" s="195">
        <v>0.33360549382715998</v>
      </c>
      <c r="O100" s="195">
        <v>0.33920197530864199</v>
      </c>
      <c r="P100" s="195">
        <v>0.34483944444444398</v>
      </c>
      <c r="Q100" s="195">
        <v>0.350517901234567</v>
      </c>
      <c r="R100" s="195">
        <v>0.356237345679012</v>
      </c>
      <c r="S100" s="195">
        <v>0.36199777777777697</v>
      </c>
      <c r="T100" s="195">
        <v>0.36779919753086399</v>
      </c>
      <c r="U100" s="195">
        <v>0.37364160493827098</v>
      </c>
      <c r="V100" s="195">
        <v>0.379525</v>
      </c>
      <c r="W100" s="195">
        <v>0.37977999999999901</v>
      </c>
      <c r="X100" s="195">
        <v>0.38003500000000001</v>
      </c>
      <c r="Y100" s="195">
        <v>0.38029000000000002</v>
      </c>
      <c r="Z100" s="195">
        <v>0.38054499999999902</v>
      </c>
      <c r="AA100" s="195">
        <v>0.38079999999999897</v>
      </c>
      <c r="AB100" s="195">
        <v>0.38105499999999998</v>
      </c>
      <c r="AC100" s="195">
        <v>0.38130999999999998</v>
      </c>
      <c r="AD100" s="195">
        <v>0.38156499999999999</v>
      </c>
      <c r="AE100" s="195">
        <v>0.38181999999999999</v>
      </c>
      <c r="AF100" s="195">
        <v>0.382075</v>
      </c>
      <c r="AG100" s="195">
        <v>0.382329999999999</v>
      </c>
      <c r="AH100" s="195">
        <v>0.38258500000000001</v>
      </c>
      <c r="AI100" s="195">
        <v>0.38284000000000001</v>
      </c>
      <c r="AJ100" s="195">
        <v>0.38309499999999902</v>
      </c>
      <c r="AK100" s="195">
        <v>0.38335000000000002</v>
      </c>
      <c r="AL100" s="195">
        <v>0.38360499999999997</v>
      </c>
      <c r="AM100" s="195">
        <v>0.38385999999999998</v>
      </c>
      <c r="AN100" s="195">
        <v>0.38411499999999998</v>
      </c>
      <c r="AO100" s="195">
        <v>0.38436999999999999</v>
      </c>
      <c r="AP100" s="195">
        <v>0.38462499999999999</v>
      </c>
    </row>
    <row r="101" spans="7:67" ht="14.25" customHeight="1" thickBot="1" x14ac:dyDescent="0.25">
      <c r="G101" s="138"/>
      <c r="H101" s="380"/>
      <c r="J101" s="358"/>
      <c r="K101" s="135" t="s">
        <v>366</v>
      </c>
      <c r="L101" s="185" t="s">
        <v>277</v>
      </c>
      <c r="M101" s="179">
        <v>0.32805000000000001</v>
      </c>
      <c r="N101" s="179">
        <v>0.33056999999999997</v>
      </c>
      <c r="O101" s="179">
        <v>0.33309</v>
      </c>
      <c r="P101" s="179">
        <v>0.33561000000000002</v>
      </c>
      <c r="Q101" s="179">
        <v>0.33812999999999999</v>
      </c>
      <c r="R101" s="179">
        <v>0.34065000000000001</v>
      </c>
      <c r="S101" s="179">
        <v>0.34316999999999998</v>
      </c>
      <c r="T101" s="179">
        <v>0.34569</v>
      </c>
      <c r="U101" s="179">
        <v>0.34821000000000002</v>
      </c>
      <c r="V101" s="179">
        <v>0.35072999999999999</v>
      </c>
      <c r="W101" s="179">
        <v>0.35101349999999998</v>
      </c>
      <c r="X101" s="179">
        <v>0.35129700000000003</v>
      </c>
      <c r="Y101" s="179">
        <v>0.35158050000000002</v>
      </c>
      <c r="Z101" s="179">
        <v>0.35186400000000001</v>
      </c>
      <c r="AA101" s="179">
        <v>0.3521475</v>
      </c>
      <c r="AB101" s="179">
        <v>0.35243099999999999</v>
      </c>
      <c r="AC101" s="179">
        <v>0.35271449999999999</v>
      </c>
      <c r="AD101" s="179">
        <v>0.35299799999999998</v>
      </c>
      <c r="AE101" s="179">
        <v>0.35328150000000003</v>
      </c>
      <c r="AF101" s="179">
        <v>0.35356500000000002</v>
      </c>
      <c r="AG101" s="179">
        <v>0.35384850000000001</v>
      </c>
      <c r="AH101" s="179">
        <v>0.354132</v>
      </c>
      <c r="AI101" s="179">
        <v>0.35441549999999999</v>
      </c>
      <c r="AJ101" s="179">
        <v>0.35469899999999999</v>
      </c>
      <c r="AK101" s="179">
        <v>0.35498249999999998</v>
      </c>
      <c r="AL101" s="179">
        <v>0.35526600000000003</v>
      </c>
      <c r="AM101" s="179">
        <v>0.35554950000000002</v>
      </c>
      <c r="AN101" s="179">
        <v>0.35583300000000001</v>
      </c>
      <c r="AO101" s="179">
        <v>0.3561165</v>
      </c>
      <c r="AP101" s="179">
        <v>0.35639999999999999</v>
      </c>
      <c r="AX101" s="199"/>
      <c r="AY101" s="199"/>
      <c r="AZ101" s="199"/>
      <c r="BA101" s="199"/>
      <c r="BB101" s="199"/>
      <c r="BC101" s="199"/>
      <c r="BD101" s="199"/>
      <c r="BE101" s="199"/>
      <c r="BF101" s="199"/>
      <c r="BG101" s="199"/>
      <c r="BH101" s="199"/>
      <c r="BI101" s="199"/>
      <c r="BJ101" s="199"/>
      <c r="BK101" s="199"/>
      <c r="BL101" s="199"/>
      <c r="BM101" s="199"/>
      <c r="BN101" s="199"/>
      <c r="BO101" s="199"/>
    </row>
    <row r="102" spans="7:67" ht="14.25" customHeight="1" thickTop="1" thickBot="1" x14ac:dyDescent="0.25">
      <c r="G102" s="138"/>
      <c r="H102" s="380"/>
      <c r="J102" s="358"/>
      <c r="K102" s="196" t="s">
        <v>366</v>
      </c>
      <c r="L102" s="196" t="s">
        <v>278</v>
      </c>
      <c r="M102" s="197">
        <v>0.32805000000000001</v>
      </c>
      <c r="N102" s="197">
        <v>0.32850000000000001</v>
      </c>
      <c r="O102" s="197">
        <v>0.32895000000000002</v>
      </c>
      <c r="P102" s="197">
        <v>0.32940000000000003</v>
      </c>
      <c r="Q102" s="197">
        <v>0.32984999999999998</v>
      </c>
      <c r="R102" s="197">
        <v>0.33029999999999998</v>
      </c>
      <c r="S102" s="197">
        <v>0.33074999999999999</v>
      </c>
      <c r="T102" s="197">
        <v>0.33119999999999999</v>
      </c>
      <c r="U102" s="197">
        <v>0.33165</v>
      </c>
      <c r="V102" s="197">
        <v>0.33210000000000001</v>
      </c>
      <c r="W102" s="197">
        <v>0.332505</v>
      </c>
      <c r="X102" s="197">
        <v>0.33290999999999998</v>
      </c>
      <c r="Y102" s="197">
        <v>0.33331499999999997</v>
      </c>
      <c r="Z102" s="197">
        <v>0.33372000000000002</v>
      </c>
      <c r="AA102" s="197">
        <v>0.33412500000000001</v>
      </c>
      <c r="AB102" s="197">
        <v>0.33452999999999999</v>
      </c>
      <c r="AC102" s="197">
        <v>0.33493499999999998</v>
      </c>
      <c r="AD102" s="197">
        <v>0.33534000000000003</v>
      </c>
      <c r="AE102" s="197">
        <v>0.33574500000000002</v>
      </c>
      <c r="AF102" s="197">
        <v>0.33615</v>
      </c>
      <c r="AG102" s="197">
        <v>0.33655499999999999</v>
      </c>
      <c r="AH102" s="197">
        <v>0.33695999999999998</v>
      </c>
      <c r="AI102" s="197">
        <v>0.33736500000000003</v>
      </c>
      <c r="AJ102" s="197">
        <v>0.33777000000000001</v>
      </c>
      <c r="AK102" s="197">
        <v>0.338175</v>
      </c>
      <c r="AL102" s="197">
        <v>0.33857999999999999</v>
      </c>
      <c r="AM102" s="197">
        <v>0.33898499999999998</v>
      </c>
      <c r="AN102" s="197">
        <v>0.33939000000000002</v>
      </c>
      <c r="AO102" s="197">
        <v>0.33979500000000001</v>
      </c>
      <c r="AP102" s="197">
        <v>0.3402</v>
      </c>
      <c r="AX102" s="200"/>
      <c r="AY102" s="200"/>
      <c r="AZ102" s="200"/>
      <c r="BA102" s="200"/>
      <c r="BB102" s="200"/>
      <c r="BC102" s="200"/>
      <c r="BD102" s="200"/>
      <c r="BE102" s="200"/>
      <c r="BF102" s="200"/>
      <c r="BG102" s="200"/>
      <c r="BH102" s="200"/>
      <c r="BI102" s="200"/>
      <c r="BJ102" s="200"/>
      <c r="BK102" s="200"/>
      <c r="BL102" s="200"/>
      <c r="BM102" s="200"/>
      <c r="BN102" s="200"/>
      <c r="BO102" s="200"/>
    </row>
    <row r="103" spans="7:67" ht="14.25" customHeight="1" thickTop="1" x14ac:dyDescent="0.2">
      <c r="G103" s="138"/>
      <c r="H103" s="380"/>
      <c r="J103" s="358"/>
      <c r="K103" s="194" t="s">
        <v>369</v>
      </c>
      <c r="L103" s="194" t="s">
        <v>276</v>
      </c>
      <c r="M103" s="195">
        <v>0.25839000000000001</v>
      </c>
      <c r="N103" s="195">
        <v>0.26315238271604902</v>
      </c>
      <c r="O103" s="195">
        <v>0.267955753086419</v>
      </c>
      <c r="P103" s="195">
        <v>0.27280011111111102</v>
      </c>
      <c r="Q103" s="195">
        <v>0.27768545679012302</v>
      </c>
      <c r="R103" s="195">
        <v>0.282611790123456</v>
      </c>
      <c r="S103" s="195">
        <v>0.28757911111111101</v>
      </c>
      <c r="T103" s="195">
        <v>0.292587419753086</v>
      </c>
      <c r="U103" s="195">
        <v>0.29763671604938202</v>
      </c>
      <c r="V103" s="195">
        <v>0.30272700000000002</v>
      </c>
      <c r="W103" s="195">
        <v>0.30293039999999999</v>
      </c>
      <c r="X103" s="195">
        <v>0.30313380000000001</v>
      </c>
      <c r="Y103" s="195">
        <v>0.30333719999999997</v>
      </c>
      <c r="Z103" s="195">
        <v>0.30354059999999999</v>
      </c>
      <c r="AA103" s="195">
        <v>0.30374400000000001</v>
      </c>
      <c r="AB103" s="195">
        <v>0.30394739999999998</v>
      </c>
      <c r="AC103" s="195">
        <v>0.3041508</v>
      </c>
      <c r="AD103" s="195">
        <v>0.30435420000000002</v>
      </c>
      <c r="AE103" s="195">
        <v>0.30455759999999998</v>
      </c>
      <c r="AF103" s="195">
        <v>0.304761</v>
      </c>
      <c r="AG103" s="195">
        <v>0.30496439999999903</v>
      </c>
      <c r="AH103" s="195">
        <v>0.30516779999999999</v>
      </c>
      <c r="AI103" s="195">
        <v>0.30537120000000001</v>
      </c>
      <c r="AJ103" s="195">
        <v>0.30557459999999997</v>
      </c>
      <c r="AK103" s="195">
        <v>0.30577799999999999</v>
      </c>
      <c r="AL103" s="195">
        <v>0.30598139999999902</v>
      </c>
      <c r="AM103" s="195">
        <v>0.30618479999999998</v>
      </c>
      <c r="AN103" s="195">
        <v>0.306388199999999</v>
      </c>
      <c r="AO103" s="195">
        <v>0.30659159999999902</v>
      </c>
      <c r="AP103" s="195">
        <v>0.30679499999999998</v>
      </c>
    </row>
    <row r="104" spans="7:67" ht="14.25" customHeight="1" x14ac:dyDescent="0.2">
      <c r="G104" s="138"/>
      <c r="H104" s="380"/>
      <c r="J104" s="358"/>
      <c r="K104" s="135" t="s">
        <v>369</v>
      </c>
      <c r="L104" s="185" t="s">
        <v>277</v>
      </c>
      <c r="M104" s="179">
        <v>0.25839000000000001</v>
      </c>
      <c r="N104" s="179">
        <v>0.26037488888888799</v>
      </c>
      <c r="O104" s="179">
        <v>0.26235977777777703</v>
      </c>
      <c r="P104" s="179">
        <v>0.26434466666666601</v>
      </c>
      <c r="Q104" s="179">
        <v>0.26632955555555499</v>
      </c>
      <c r="R104" s="179">
        <v>0.26831444444444402</v>
      </c>
      <c r="S104" s="179">
        <v>0.270299333333333</v>
      </c>
      <c r="T104" s="179">
        <v>0.27228422222222198</v>
      </c>
      <c r="U104" s="179">
        <v>0.27426911111111102</v>
      </c>
      <c r="V104" s="179">
        <v>0.276254</v>
      </c>
      <c r="W104" s="179">
        <v>0.27647729999999998</v>
      </c>
      <c r="X104" s="179">
        <v>0.27670059999999902</v>
      </c>
      <c r="Y104" s="179">
        <v>0.2769239</v>
      </c>
      <c r="Z104" s="179">
        <v>0.27714719999999998</v>
      </c>
      <c r="AA104" s="179">
        <v>0.27737050000000002</v>
      </c>
      <c r="AB104" s="179">
        <v>0.2775938</v>
      </c>
      <c r="AC104" s="179">
        <v>0.27781709999999998</v>
      </c>
      <c r="AD104" s="179">
        <v>0.27804040000000002</v>
      </c>
      <c r="AE104" s="179">
        <v>0.2782637</v>
      </c>
      <c r="AF104" s="179">
        <v>0.27848699999999998</v>
      </c>
      <c r="AG104" s="179">
        <v>0.27871030000000002</v>
      </c>
      <c r="AH104" s="179">
        <v>0.2789336</v>
      </c>
      <c r="AI104" s="179">
        <v>0.27915689999999999</v>
      </c>
      <c r="AJ104" s="179">
        <v>0.27938020000000002</v>
      </c>
      <c r="AK104" s="179">
        <v>0.2796035</v>
      </c>
      <c r="AL104" s="179">
        <v>0.27982679999999999</v>
      </c>
      <c r="AM104" s="179">
        <v>0.28005010000000002</v>
      </c>
      <c r="AN104" s="179">
        <v>0.28027340000000001</v>
      </c>
      <c r="AO104" s="179">
        <v>0.28049669999999999</v>
      </c>
      <c r="AP104" s="179">
        <v>0.28072000000000003</v>
      </c>
    </row>
    <row r="105" spans="7:67" ht="14.25" customHeight="1" x14ac:dyDescent="0.2">
      <c r="G105" s="138"/>
      <c r="H105" s="380"/>
      <c r="J105" s="368"/>
      <c r="K105" s="196" t="s">
        <v>369</v>
      </c>
      <c r="L105" s="196" t="s">
        <v>278</v>
      </c>
      <c r="M105" s="179">
        <v>0.25839000000000001</v>
      </c>
      <c r="N105" s="179">
        <v>0.258744444444444</v>
      </c>
      <c r="O105" s="179">
        <v>0.25909888888888799</v>
      </c>
      <c r="P105" s="179">
        <v>0.25945333333333298</v>
      </c>
      <c r="Q105" s="179">
        <v>0.25980777777777703</v>
      </c>
      <c r="R105" s="179">
        <v>0.26016222222222202</v>
      </c>
      <c r="S105" s="179">
        <v>0.26051666666666601</v>
      </c>
      <c r="T105" s="179">
        <v>0.260871111111111</v>
      </c>
      <c r="U105" s="179">
        <v>0.26122555555555499</v>
      </c>
      <c r="V105" s="179">
        <v>0.26157999999999998</v>
      </c>
      <c r="W105" s="179">
        <v>0.26189899999999999</v>
      </c>
      <c r="X105" s="179">
        <v>0.26221800000000001</v>
      </c>
      <c r="Y105" s="179">
        <v>0.26253699999999902</v>
      </c>
      <c r="Z105" s="179">
        <v>0.26285599999999998</v>
      </c>
      <c r="AA105" s="179">
        <v>0.26317499999999999</v>
      </c>
      <c r="AB105" s="179">
        <v>0.26349400000000001</v>
      </c>
      <c r="AC105" s="179">
        <v>0.26381299999999902</v>
      </c>
      <c r="AD105" s="179">
        <v>0.26413199999999998</v>
      </c>
      <c r="AE105" s="179">
        <v>0.26445099999999999</v>
      </c>
      <c r="AF105" s="179">
        <v>0.26477000000000001</v>
      </c>
      <c r="AG105" s="179">
        <v>0.26508900000000002</v>
      </c>
      <c r="AH105" s="179">
        <v>0.26540799999999998</v>
      </c>
      <c r="AI105" s="179">
        <v>0.26572699999999999</v>
      </c>
      <c r="AJ105" s="179">
        <v>0.266046</v>
      </c>
      <c r="AK105" s="179">
        <v>0.26636500000000002</v>
      </c>
      <c r="AL105" s="179">
        <v>0.26668399999999998</v>
      </c>
      <c r="AM105" s="179">
        <v>0.26700299999999999</v>
      </c>
      <c r="AN105" s="179">
        <v>0.267322</v>
      </c>
      <c r="AO105" s="179">
        <v>0.26764100000000002</v>
      </c>
      <c r="AP105" s="179">
        <v>0.26795999999999998</v>
      </c>
    </row>
    <row r="106" spans="7:67" ht="14.25" customHeight="1" x14ac:dyDescent="0.2">
      <c r="G106" s="138"/>
      <c r="H106" s="380"/>
      <c r="J106" s="201"/>
      <c r="K106" s="135"/>
      <c r="L106" s="135"/>
      <c r="M106" s="202"/>
      <c r="N106" s="202"/>
      <c r="O106" s="202"/>
      <c r="P106" s="202"/>
      <c r="Q106" s="202"/>
      <c r="R106" s="202"/>
      <c r="S106" s="202"/>
      <c r="T106" s="202"/>
      <c r="U106" s="202"/>
      <c r="V106" s="202"/>
      <c r="W106" s="202"/>
      <c r="X106" s="202"/>
      <c r="Y106" s="202"/>
      <c r="Z106" s="202"/>
      <c r="AA106" s="202"/>
      <c r="AB106" s="202"/>
      <c r="AC106" s="202"/>
      <c r="AD106" s="202"/>
      <c r="AE106" s="202"/>
      <c r="AF106" s="202"/>
      <c r="AG106" s="202"/>
      <c r="AH106" s="202"/>
      <c r="AI106" s="202"/>
      <c r="AJ106" s="202"/>
      <c r="AK106" s="202"/>
      <c r="AL106" s="202"/>
      <c r="AM106" s="202"/>
      <c r="AN106" s="202"/>
      <c r="AO106" s="202"/>
      <c r="AP106" s="202"/>
    </row>
    <row r="107" spans="7:67" ht="14.25" customHeight="1" x14ac:dyDescent="0.2">
      <c r="G107" s="138"/>
      <c r="H107" s="380"/>
      <c r="J107" s="140"/>
      <c r="M107" s="123">
        <v>2021</v>
      </c>
      <c r="N107" s="123">
        <v>2022</v>
      </c>
      <c r="O107" s="123">
        <v>2023</v>
      </c>
      <c r="P107" s="123">
        <v>2024</v>
      </c>
      <c r="Q107" s="123">
        <v>2025</v>
      </c>
      <c r="R107" s="123">
        <v>2026</v>
      </c>
      <c r="S107" s="123">
        <v>2027</v>
      </c>
      <c r="T107" s="123">
        <v>2028</v>
      </c>
      <c r="U107" s="123">
        <v>2029</v>
      </c>
      <c r="V107" s="123">
        <v>2030</v>
      </c>
      <c r="W107" s="123">
        <v>2031</v>
      </c>
      <c r="X107" s="123">
        <v>2032</v>
      </c>
      <c r="Y107" s="123">
        <v>2033</v>
      </c>
      <c r="Z107" s="123">
        <v>2034</v>
      </c>
      <c r="AA107" s="123">
        <v>2035</v>
      </c>
      <c r="AB107" s="123">
        <v>2036</v>
      </c>
      <c r="AC107" s="123">
        <v>2037</v>
      </c>
      <c r="AD107" s="123">
        <v>2038</v>
      </c>
      <c r="AE107" s="123">
        <v>2039</v>
      </c>
      <c r="AF107" s="123">
        <v>2040</v>
      </c>
      <c r="AG107" s="123">
        <v>2041</v>
      </c>
      <c r="AH107" s="123">
        <v>2042</v>
      </c>
      <c r="AI107" s="123">
        <v>2043</v>
      </c>
      <c r="AJ107" s="123">
        <v>2044</v>
      </c>
      <c r="AK107" s="123">
        <v>2045</v>
      </c>
      <c r="AL107" s="123">
        <v>2046</v>
      </c>
      <c r="AM107" s="123">
        <v>2047</v>
      </c>
      <c r="AN107" s="123">
        <v>2048</v>
      </c>
      <c r="AO107" s="123">
        <v>2049</v>
      </c>
      <c r="AP107" s="123">
        <v>2050</v>
      </c>
    </row>
    <row r="108" spans="7:67" ht="14.25" customHeight="1" x14ac:dyDescent="0.2">
      <c r="G108" s="138"/>
      <c r="H108" s="380"/>
      <c r="J108" s="367" t="s">
        <v>293</v>
      </c>
      <c r="K108" s="194" t="s">
        <v>348</v>
      </c>
      <c r="L108" s="194" t="s">
        <v>276</v>
      </c>
      <c r="M108" s="203">
        <v>4363.7939999999999</v>
      </c>
      <c r="N108" s="203">
        <v>4429.4253259259249</v>
      </c>
      <c r="O108" s="203">
        <v>4495.4157037037012</v>
      </c>
      <c r="P108" s="203">
        <v>4561.7651333333297</v>
      </c>
      <c r="Q108" s="203">
        <v>4628.4736148148086</v>
      </c>
      <c r="R108" s="203">
        <v>4695.5411481481406</v>
      </c>
      <c r="S108" s="203">
        <v>4762.9677333333266</v>
      </c>
      <c r="T108" s="203">
        <v>4830.753370370363</v>
      </c>
      <c r="U108" s="203">
        <v>4898.8980592592598</v>
      </c>
      <c r="V108" s="203">
        <v>4967.4017999999996</v>
      </c>
      <c r="W108" s="203">
        <v>4971.680423344259</v>
      </c>
      <c r="X108" s="203">
        <v>4975.9603104262223</v>
      </c>
      <c r="Y108" s="203">
        <v>4980.2414612458988</v>
      </c>
      <c r="Z108" s="203">
        <v>4984.5238758032792</v>
      </c>
      <c r="AA108" s="203">
        <v>4988.8075540983546</v>
      </c>
      <c r="AB108" s="203">
        <v>4993.092496131143</v>
      </c>
      <c r="AC108" s="203">
        <v>4997.3787019016372</v>
      </c>
      <c r="AD108" s="203">
        <v>5001.6661714098336</v>
      </c>
      <c r="AE108" s="203">
        <v>5005.9549046557358</v>
      </c>
      <c r="AF108" s="203">
        <v>5010.2449016393402</v>
      </c>
      <c r="AG108" s="203">
        <v>5014.5361623606505</v>
      </c>
      <c r="AH108" s="203">
        <v>5018.8286868196637</v>
      </c>
      <c r="AI108" s="203">
        <v>5023.1224750163919</v>
      </c>
      <c r="AJ108" s="203">
        <v>5027.4175269508141</v>
      </c>
      <c r="AK108" s="203">
        <v>5031.7138426229494</v>
      </c>
      <c r="AL108" s="203">
        <v>5036.0114220327814</v>
      </c>
      <c r="AM108" s="203">
        <v>5040.3102651803238</v>
      </c>
      <c r="AN108" s="203">
        <v>5044.6103720655719</v>
      </c>
      <c r="AO108" s="203">
        <v>5048.9117426885241</v>
      </c>
      <c r="AP108" s="203">
        <v>5053.2143770491803</v>
      </c>
    </row>
    <row r="109" spans="7:67" ht="14.25" customHeight="1" x14ac:dyDescent="0.2">
      <c r="G109" s="138"/>
      <c r="H109" s="380"/>
      <c r="J109" s="358"/>
      <c r="K109" s="135" t="s">
        <v>348</v>
      </c>
      <c r="L109" s="185" t="s">
        <v>277</v>
      </c>
      <c r="M109" s="204">
        <v>4363.7939999999999</v>
      </c>
      <c r="N109" s="204">
        <v>4397.3155999999944</v>
      </c>
      <c r="O109" s="204">
        <v>4430.8371999999972</v>
      </c>
      <c r="P109" s="204">
        <v>4464.3588</v>
      </c>
      <c r="Q109" s="204">
        <v>4497.8803999999946</v>
      </c>
      <c r="R109" s="204">
        <v>4531.4019999999973</v>
      </c>
      <c r="S109" s="204">
        <v>4564.9236000000001</v>
      </c>
      <c r="T109" s="204">
        <v>4598.4451999999947</v>
      </c>
      <c r="U109" s="204">
        <v>4631.9667999999974</v>
      </c>
      <c r="V109" s="204">
        <v>4665.4884000000002</v>
      </c>
      <c r="W109" s="204">
        <v>4669.2595799999999</v>
      </c>
      <c r="X109" s="204">
        <v>4673.0307599999996</v>
      </c>
      <c r="Y109" s="204">
        <v>4676.8019400000003</v>
      </c>
      <c r="Z109" s="204">
        <v>4680.57312</v>
      </c>
      <c r="AA109" s="204">
        <v>4684.3442999999997</v>
      </c>
      <c r="AB109" s="204">
        <v>4688.1154800000004</v>
      </c>
      <c r="AC109" s="204">
        <v>4691.8866600000001</v>
      </c>
      <c r="AD109" s="204">
        <v>4695.6578399999917</v>
      </c>
      <c r="AE109" s="204">
        <v>4699.4290199999996</v>
      </c>
      <c r="AF109" s="204">
        <v>4703.2002000000002</v>
      </c>
      <c r="AG109" s="204">
        <v>4706.97138</v>
      </c>
      <c r="AH109" s="204">
        <v>4710.7425599999997</v>
      </c>
      <c r="AI109" s="204">
        <v>4714.5137400000003</v>
      </c>
      <c r="AJ109" s="204">
        <v>4718.2849200000001</v>
      </c>
      <c r="AK109" s="204">
        <v>4722.0560999999998</v>
      </c>
      <c r="AL109" s="204">
        <v>4725.8272800000004</v>
      </c>
      <c r="AM109" s="204">
        <v>4729.5984600000002</v>
      </c>
      <c r="AN109" s="204">
        <v>4733.3696399999999</v>
      </c>
      <c r="AO109" s="204">
        <v>4737.1408200000014</v>
      </c>
      <c r="AP109" s="204">
        <v>4740.9120000000003</v>
      </c>
    </row>
    <row r="110" spans="7:67" ht="14.25" customHeight="1" thickBot="1" x14ac:dyDescent="0.25">
      <c r="G110" s="138"/>
      <c r="H110" s="380"/>
      <c r="J110" s="358"/>
      <c r="K110" s="196" t="s">
        <v>348</v>
      </c>
      <c r="L110" s="196" t="s">
        <v>278</v>
      </c>
      <c r="M110" s="205">
        <v>4363.7939999999999</v>
      </c>
      <c r="N110" s="205">
        <v>4369.779999999997</v>
      </c>
      <c r="O110" s="205">
        <v>4375.7659999999942</v>
      </c>
      <c r="P110" s="205">
        <v>4381.7519999999986</v>
      </c>
      <c r="Q110" s="205">
        <v>4387.7379999999976</v>
      </c>
      <c r="R110" s="205">
        <v>4393.7239999999947</v>
      </c>
      <c r="S110" s="205">
        <v>4399.71</v>
      </c>
      <c r="T110" s="205">
        <v>4405.6959999999972</v>
      </c>
      <c r="U110" s="205">
        <v>4411.6819999999943</v>
      </c>
      <c r="V110" s="205">
        <v>4417.6679999999997</v>
      </c>
      <c r="W110" s="205">
        <v>4423.0554000000002</v>
      </c>
      <c r="X110" s="205">
        <v>4428.4428000000007</v>
      </c>
      <c r="Y110" s="205">
        <v>4433.8301999999994</v>
      </c>
      <c r="Z110" s="205">
        <v>4439.2175999999999</v>
      </c>
      <c r="AA110" s="205">
        <v>4444.6049999999996</v>
      </c>
      <c r="AB110" s="205">
        <v>4449.9924000000001</v>
      </c>
      <c r="AC110" s="205">
        <v>4455.3797999999997</v>
      </c>
      <c r="AD110" s="205">
        <v>4460.7672000000002</v>
      </c>
      <c r="AE110" s="205">
        <v>4466.1545999999917</v>
      </c>
      <c r="AF110" s="205">
        <v>4471.5419999999986</v>
      </c>
      <c r="AG110" s="205">
        <v>4476.9294</v>
      </c>
      <c r="AH110" s="205">
        <v>4482.3168000000014</v>
      </c>
      <c r="AI110" s="205">
        <v>4487.7041999999992</v>
      </c>
      <c r="AJ110" s="205">
        <v>4493.0915999999997</v>
      </c>
      <c r="AK110" s="205">
        <v>4498.4790000000003</v>
      </c>
      <c r="AL110" s="205">
        <v>4503.8664000000008</v>
      </c>
      <c r="AM110" s="205">
        <v>4509.2538000000004</v>
      </c>
      <c r="AN110" s="205">
        <v>4514.6412</v>
      </c>
      <c r="AO110" s="205">
        <v>4520.0286000000006</v>
      </c>
      <c r="AP110" s="205">
        <v>4525.4159999999993</v>
      </c>
    </row>
    <row r="111" spans="7:67" ht="14.25" customHeight="1" thickTop="1" x14ac:dyDescent="0.2">
      <c r="G111" s="138"/>
      <c r="H111" s="380"/>
      <c r="J111" s="358"/>
      <c r="K111" s="194" t="s">
        <v>351</v>
      </c>
      <c r="L111" s="194" t="s">
        <v>276</v>
      </c>
      <c r="M111" s="206">
        <v>4094.1612</v>
      </c>
      <c r="N111" s="206">
        <v>4156.7226325925867</v>
      </c>
      <c r="O111" s="206">
        <v>4219.6431170370333</v>
      </c>
      <c r="P111" s="206">
        <v>4282.9226533333322</v>
      </c>
      <c r="Q111" s="206">
        <v>4346.561241481475</v>
      </c>
      <c r="R111" s="206">
        <v>4410.5588814814773</v>
      </c>
      <c r="S111" s="206">
        <v>4474.9155733333328</v>
      </c>
      <c r="T111" s="206">
        <v>4539.6313170370304</v>
      </c>
      <c r="U111" s="206">
        <v>4604.7061125925893</v>
      </c>
      <c r="V111" s="206">
        <v>4670.1399600000004</v>
      </c>
      <c r="W111" s="206">
        <v>4673.6770309945296</v>
      </c>
      <c r="X111" s="206">
        <v>4677.2146381202156</v>
      </c>
      <c r="Y111" s="206">
        <v>4680.7527813770448</v>
      </c>
      <c r="Z111" s="206">
        <v>4684.2914607650227</v>
      </c>
      <c r="AA111" s="206">
        <v>4687.8306762841494</v>
      </c>
      <c r="AB111" s="206">
        <v>4691.3704279344256</v>
      </c>
      <c r="AC111" s="206">
        <v>4694.9107157158423</v>
      </c>
      <c r="AD111" s="206">
        <v>4698.4515396284087</v>
      </c>
      <c r="AE111" s="206">
        <v>4701.9928996721237</v>
      </c>
      <c r="AF111" s="206">
        <v>4705.5347958469883</v>
      </c>
      <c r="AG111" s="206">
        <v>4709.0772281530026</v>
      </c>
      <c r="AH111" s="206">
        <v>4712.6201965901573</v>
      </c>
      <c r="AI111" s="206">
        <v>4716.1637011584617</v>
      </c>
      <c r="AJ111" s="206">
        <v>4719.7077418579156</v>
      </c>
      <c r="AK111" s="206">
        <v>4723.2523186885182</v>
      </c>
      <c r="AL111" s="206">
        <v>4726.7974316502696</v>
      </c>
      <c r="AM111" s="206">
        <v>4730.3430807431632</v>
      </c>
      <c r="AN111" s="206">
        <v>4733.8892659672056</v>
      </c>
      <c r="AO111" s="206">
        <v>4737.4359873223966</v>
      </c>
      <c r="AP111" s="206">
        <v>4740.9832448087382</v>
      </c>
    </row>
    <row r="112" spans="7:67" ht="14.25" customHeight="1" x14ac:dyDescent="0.2">
      <c r="G112" s="138"/>
      <c r="H112" s="380"/>
      <c r="J112" s="358"/>
      <c r="K112" s="135" t="s">
        <v>351</v>
      </c>
      <c r="L112" s="185" t="s">
        <v>277</v>
      </c>
      <c r="M112" s="207">
        <v>4094.1612</v>
      </c>
      <c r="N112" s="207">
        <v>4125.6115466666652</v>
      </c>
      <c r="O112" s="207">
        <v>4157.0618933333299</v>
      </c>
      <c r="P112" s="207">
        <v>4188.5122399999937</v>
      </c>
      <c r="Q112" s="207">
        <v>4219.9625866666584</v>
      </c>
      <c r="R112" s="207">
        <v>4251.4129333333321</v>
      </c>
      <c r="S112" s="207">
        <v>4282.8632799999968</v>
      </c>
      <c r="T112" s="207">
        <v>4314.3136266666615</v>
      </c>
      <c r="U112" s="207">
        <v>4345.7639733333272</v>
      </c>
      <c r="V112" s="207">
        <v>4377.2143199999909</v>
      </c>
      <c r="W112" s="207">
        <v>4380.7524839999996</v>
      </c>
      <c r="X112" s="207">
        <v>4384.2906480000001</v>
      </c>
      <c r="Y112" s="207">
        <v>4387.8288119999997</v>
      </c>
      <c r="Z112" s="207">
        <v>4391.3669760000002</v>
      </c>
      <c r="AA112" s="207">
        <v>4394.9051399999917</v>
      </c>
      <c r="AB112" s="207">
        <v>4398.4433039999913</v>
      </c>
      <c r="AC112" s="207">
        <v>4401.9814679999918</v>
      </c>
      <c r="AD112" s="207">
        <v>4405.5196319999995</v>
      </c>
      <c r="AE112" s="207">
        <v>4409.0577960000001</v>
      </c>
      <c r="AF112" s="207">
        <v>4412.5959599999996</v>
      </c>
      <c r="AG112" s="207">
        <v>4416.1341240000002</v>
      </c>
      <c r="AH112" s="207">
        <v>4419.6722879999998</v>
      </c>
      <c r="AI112" s="207">
        <v>4423.2104520000003</v>
      </c>
      <c r="AJ112" s="207">
        <v>4426.7486159999999</v>
      </c>
      <c r="AK112" s="207">
        <v>4430.2867800000004</v>
      </c>
      <c r="AL112" s="207">
        <v>4433.8249440000009</v>
      </c>
      <c r="AM112" s="207">
        <v>4437.3631079999996</v>
      </c>
      <c r="AN112" s="207">
        <v>4440.9012720000001</v>
      </c>
      <c r="AO112" s="207">
        <v>4444.4394359999997</v>
      </c>
      <c r="AP112" s="207">
        <v>4447.9776000000002</v>
      </c>
    </row>
    <row r="113" spans="1:67" ht="14.25" customHeight="1" thickBot="1" x14ac:dyDescent="0.25">
      <c r="G113" s="138"/>
      <c r="H113" s="380"/>
      <c r="J113" s="358"/>
      <c r="K113" s="196" t="s">
        <v>351</v>
      </c>
      <c r="L113" s="196" t="s">
        <v>278</v>
      </c>
      <c r="M113" s="205">
        <v>4094.1612</v>
      </c>
      <c r="N113" s="205">
        <v>4099.7773333333334</v>
      </c>
      <c r="O113" s="205">
        <v>4105.3934666666646</v>
      </c>
      <c r="P113" s="205">
        <v>4111.0095999999976</v>
      </c>
      <c r="Q113" s="205">
        <v>4116.6257333333297</v>
      </c>
      <c r="R113" s="205">
        <v>4122.2418666666617</v>
      </c>
      <c r="S113" s="205">
        <v>4127.8579999999938</v>
      </c>
      <c r="T113" s="205">
        <v>4133.4741333333268</v>
      </c>
      <c r="U113" s="205">
        <v>4139.0902666666589</v>
      </c>
      <c r="V113" s="205">
        <v>4144.7064</v>
      </c>
      <c r="W113" s="205">
        <v>4149.7609199999924</v>
      </c>
      <c r="X113" s="205">
        <v>4154.8154400000003</v>
      </c>
      <c r="Y113" s="205">
        <v>4159.8699599999909</v>
      </c>
      <c r="Z113" s="205">
        <v>4164.9244799999997</v>
      </c>
      <c r="AA113" s="205">
        <v>4169.9789999999912</v>
      </c>
      <c r="AB113" s="205">
        <v>4175.03352</v>
      </c>
      <c r="AC113" s="205">
        <v>4180.0880399999915</v>
      </c>
      <c r="AD113" s="205">
        <v>4185.1425600000002</v>
      </c>
      <c r="AE113" s="205">
        <v>4190.1970799999917</v>
      </c>
      <c r="AF113" s="205">
        <v>4195.2515999999996</v>
      </c>
      <c r="AG113" s="205">
        <v>4200.3061199999911</v>
      </c>
      <c r="AH113" s="205">
        <v>4205.3606399999908</v>
      </c>
      <c r="AI113" s="205">
        <v>4210.4151599999914</v>
      </c>
      <c r="AJ113" s="205">
        <v>4215.4696799999911</v>
      </c>
      <c r="AK113" s="205">
        <v>4220.5241999999907</v>
      </c>
      <c r="AL113" s="205">
        <v>4225.5787199999913</v>
      </c>
      <c r="AM113" s="205">
        <v>4230.633239999991</v>
      </c>
      <c r="AN113" s="205">
        <v>4235.6877599999916</v>
      </c>
      <c r="AO113" s="205">
        <v>4240.7422799999913</v>
      </c>
      <c r="AP113" s="205">
        <v>4245.796799999991</v>
      </c>
      <c r="AQ113" s="199"/>
      <c r="AR113" s="199"/>
      <c r="AS113" s="199"/>
      <c r="AT113" s="199"/>
      <c r="AU113" s="199"/>
      <c r="AV113" s="199"/>
      <c r="AW113" s="199"/>
    </row>
    <row r="114" spans="1:67" ht="14.25" customHeight="1" thickTop="1" x14ac:dyDescent="0.2">
      <c r="G114" s="138"/>
      <c r="H114" s="380"/>
      <c r="J114" s="358"/>
      <c r="K114" s="194" t="s">
        <v>353</v>
      </c>
      <c r="L114" s="194" t="s">
        <v>276</v>
      </c>
      <c r="M114" s="206">
        <v>4001.9183999999909</v>
      </c>
      <c r="N114" s="206">
        <v>4063.4296059259191</v>
      </c>
      <c r="O114" s="206">
        <v>4125.2998637036981</v>
      </c>
      <c r="P114" s="206">
        <v>4187.5291733333288</v>
      </c>
      <c r="Q114" s="206">
        <v>4250.1175348148126</v>
      </c>
      <c r="R114" s="206">
        <v>4313.0649481481396</v>
      </c>
      <c r="S114" s="206">
        <v>4376.3714133333269</v>
      </c>
      <c r="T114" s="206">
        <v>4440.0369303703656</v>
      </c>
      <c r="U114" s="206">
        <v>4504.0614992592564</v>
      </c>
      <c r="V114" s="206">
        <v>4568.4451199999994</v>
      </c>
      <c r="W114" s="206">
        <v>4571.7285020327836</v>
      </c>
      <c r="X114" s="206">
        <v>4575.0121712786868</v>
      </c>
      <c r="Y114" s="206">
        <v>4578.2961277377044</v>
      </c>
      <c r="Z114" s="206">
        <v>4581.5803714098338</v>
      </c>
      <c r="AA114" s="206">
        <v>4584.8649022950758</v>
      </c>
      <c r="AB114" s="206">
        <v>4588.1497203934396</v>
      </c>
      <c r="AC114" s="206">
        <v>4591.4348257049151</v>
      </c>
      <c r="AD114" s="206">
        <v>4594.7202182295041</v>
      </c>
      <c r="AE114" s="206">
        <v>4598.0058979672049</v>
      </c>
      <c r="AF114" s="206">
        <v>4601.2918649180283</v>
      </c>
      <c r="AG114" s="206">
        <v>4604.5781190819635</v>
      </c>
      <c r="AH114" s="206">
        <v>4607.8646604590112</v>
      </c>
      <c r="AI114" s="206">
        <v>4611.1514890491799</v>
      </c>
      <c r="AJ114" s="206">
        <v>4614.438604852453</v>
      </c>
      <c r="AK114" s="206">
        <v>4617.7260078688478</v>
      </c>
      <c r="AL114" s="206">
        <v>4621.0136980983543</v>
      </c>
      <c r="AM114" s="206">
        <v>4624.3016755409844</v>
      </c>
      <c r="AN114" s="206">
        <v>4627.5899401967154</v>
      </c>
      <c r="AO114" s="206">
        <v>4630.8784920655689</v>
      </c>
      <c r="AP114" s="206">
        <v>4634.1673311475352</v>
      </c>
      <c r="AQ114" s="200"/>
      <c r="AR114" s="200"/>
      <c r="AS114" s="200"/>
      <c r="AT114" s="200"/>
      <c r="AU114" s="200"/>
      <c r="AV114" s="200"/>
      <c r="AW114" s="200"/>
    </row>
    <row r="115" spans="1:67" ht="14.25" customHeight="1" x14ac:dyDescent="0.2">
      <c r="G115" s="138"/>
      <c r="H115" s="380"/>
      <c r="J115" s="358"/>
      <c r="K115" s="135" t="s">
        <v>353</v>
      </c>
      <c r="L115" s="185" t="s">
        <v>277</v>
      </c>
      <c r="M115" s="208">
        <v>4001.9183999999909</v>
      </c>
      <c r="N115" s="208">
        <v>4032.6601599999972</v>
      </c>
      <c r="O115" s="208">
        <v>4063.4019199999939</v>
      </c>
      <c r="P115" s="208">
        <v>4094.143679999991</v>
      </c>
      <c r="Q115" s="208">
        <v>4124.8854399999973</v>
      </c>
      <c r="R115" s="208">
        <v>4155.6271999999944</v>
      </c>
      <c r="S115" s="208">
        <v>4186.3689599999907</v>
      </c>
      <c r="T115" s="208">
        <v>4217.1107199999969</v>
      </c>
      <c r="U115" s="208">
        <v>4247.8524799999941</v>
      </c>
      <c r="V115" s="208">
        <v>4278.5942399999913</v>
      </c>
      <c r="W115" s="208">
        <v>4282.0526879999916</v>
      </c>
      <c r="X115" s="208">
        <v>4285.5111359999919</v>
      </c>
      <c r="Y115" s="208">
        <v>4288.9695839999913</v>
      </c>
      <c r="Z115" s="208">
        <v>4292.4280319999907</v>
      </c>
      <c r="AA115" s="208">
        <v>4295.886479999991</v>
      </c>
      <c r="AB115" s="208">
        <v>4299.3449279999913</v>
      </c>
      <c r="AC115" s="208">
        <v>4302.8033759999917</v>
      </c>
      <c r="AD115" s="208">
        <v>4306.2618239999911</v>
      </c>
      <c r="AE115" s="208">
        <v>4309.7202719999914</v>
      </c>
      <c r="AF115" s="208">
        <v>4313.1787199999999</v>
      </c>
      <c r="AG115" s="208">
        <v>4316.6371679999911</v>
      </c>
      <c r="AH115" s="208">
        <v>4320.0956159999996</v>
      </c>
      <c r="AI115" s="208">
        <v>4323.5540639999917</v>
      </c>
      <c r="AJ115" s="208">
        <v>4327.0125120000002</v>
      </c>
      <c r="AK115" s="208">
        <v>4330.4709599999996</v>
      </c>
      <c r="AL115" s="208">
        <v>4333.9294079999909</v>
      </c>
      <c r="AM115" s="208">
        <v>4337.3878559999912</v>
      </c>
      <c r="AN115" s="208">
        <v>4340.8463039999997</v>
      </c>
      <c r="AO115" s="208">
        <v>4344.3047519999909</v>
      </c>
      <c r="AP115" s="208">
        <v>4347.7631999999912</v>
      </c>
    </row>
    <row r="116" spans="1:67" ht="14.25" customHeight="1" thickBot="1" x14ac:dyDescent="0.25">
      <c r="G116" s="138"/>
      <c r="H116" s="380"/>
      <c r="J116" s="358"/>
      <c r="K116" s="196" t="s">
        <v>353</v>
      </c>
      <c r="L116" s="196" t="s">
        <v>278</v>
      </c>
      <c r="M116" s="205">
        <v>4001.9183999999909</v>
      </c>
      <c r="N116" s="205">
        <v>4007.407999999994</v>
      </c>
      <c r="O116" s="205">
        <v>4012.8975999999971</v>
      </c>
      <c r="P116" s="205">
        <v>4018.387199999991</v>
      </c>
      <c r="Q116" s="205">
        <v>4023.8767999999941</v>
      </c>
      <c r="R116" s="205">
        <v>4029.3663999999972</v>
      </c>
      <c r="S116" s="205">
        <v>4034.8559999999911</v>
      </c>
      <c r="T116" s="205">
        <v>4040.3455999999942</v>
      </c>
      <c r="U116" s="205">
        <v>4045.8351999999968</v>
      </c>
      <c r="V116" s="205">
        <v>4051.3247999999999</v>
      </c>
      <c r="W116" s="205">
        <v>4056.265439999991</v>
      </c>
      <c r="X116" s="205">
        <v>4061.2060799999908</v>
      </c>
      <c r="Y116" s="205">
        <v>4066.1467199999911</v>
      </c>
      <c r="Z116" s="205">
        <v>4071.08736</v>
      </c>
      <c r="AA116" s="205">
        <v>4076.0279999999912</v>
      </c>
      <c r="AB116" s="205">
        <v>4080.968639999991</v>
      </c>
      <c r="AC116" s="205">
        <v>4085.9092799999912</v>
      </c>
      <c r="AD116" s="205">
        <v>4090.849919999991</v>
      </c>
      <c r="AE116" s="205">
        <v>4095.7905599999908</v>
      </c>
      <c r="AF116" s="205">
        <v>4100.7311999999911</v>
      </c>
      <c r="AG116" s="205">
        <v>4105.6718399999909</v>
      </c>
      <c r="AH116" s="205">
        <v>4110.6124799999916</v>
      </c>
      <c r="AI116" s="205">
        <v>4115.5531199999914</v>
      </c>
      <c r="AJ116" s="205">
        <v>4120.4937599999912</v>
      </c>
      <c r="AK116" s="205">
        <v>4125.4343999999919</v>
      </c>
      <c r="AL116" s="205">
        <v>4130.3750399999908</v>
      </c>
      <c r="AM116" s="205">
        <v>4135.3156799999924</v>
      </c>
      <c r="AN116" s="205">
        <v>4140.2563199999913</v>
      </c>
      <c r="AO116" s="205">
        <v>4145.1969599999911</v>
      </c>
      <c r="AP116" s="205">
        <v>4150.1375999999909</v>
      </c>
    </row>
    <row r="117" spans="1:67" ht="14.25" customHeight="1" thickTop="1" x14ac:dyDescent="0.2">
      <c r="G117" s="138"/>
      <c r="H117" s="380"/>
      <c r="J117" s="358"/>
      <c r="K117" s="194" t="s">
        <v>355</v>
      </c>
      <c r="L117" s="194" t="s">
        <v>276</v>
      </c>
      <c r="M117" s="206">
        <v>3895.4843999999998</v>
      </c>
      <c r="N117" s="206">
        <v>3955.783805925922</v>
      </c>
      <c r="O117" s="206">
        <v>4016.4422637037042</v>
      </c>
      <c r="P117" s="206">
        <v>4077.4597733333289</v>
      </c>
      <c r="Q117" s="206">
        <v>4138.8363348148068</v>
      </c>
      <c r="R117" s="206">
        <v>4200.5719481481447</v>
      </c>
      <c r="S117" s="206">
        <v>4262.6666133333256</v>
      </c>
      <c r="T117" s="206">
        <v>4325.1203303703687</v>
      </c>
      <c r="U117" s="206">
        <v>4387.933099259254</v>
      </c>
      <c r="V117" s="206">
        <v>4451.1049199999916</v>
      </c>
      <c r="W117" s="206">
        <v>4454.0955839999997</v>
      </c>
      <c r="X117" s="206">
        <v>4457.0862479999914</v>
      </c>
      <c r="Y117" s="206">
        <v>4460.0769120000004</v>
      </c>
      <c r="Z117" s="206">
        <v>4463.0675759999913</v>
      </c>
      <c r="AA117" s="206">
        <v>4466.0582399999912</v>
      </c>
      <c r="AB117" s="206">
        <v>4469.0489040000002</v>
      </c>
      <c r="AC117" s="206">
        <v>4472.039567999992</v>
      </c>
      <c r="AD117" s="206">
        <v>4475.0302320000001</v>
      </c>
      <c r="AE117" s="206">
        <v>4478.0208959999918</v>
      </c>
      <c r="AF117" s="206">
        <v>4481.0115599999999</v>
      </c>
      <c r="AG117" s="206">
        <v>4484.0022239999917</v>
      </c>
      <c r="AH117" s="206">
        <v>4486.9928879999916</v>
      </c>
      <c r="AI117" s="206">
        <v>4489.9835519999997</v>
      </c>
      <c r="AJ117" s="206">
        <v>4492.9742159999914</v>
      </c>
      <c r="AK117" s="206">
        <v>4495.9648800000004</v>
      </c>
      <c r="AL117" s="206">
        <v>4498.9555439999913</v>
      </c>
      <c r="AM117" s="206">
        <v>4501.9462079999994</v>
      </c>
      <c r="AN117" s="206">
        <v>4504.9368719999911</v>
      </c>
      <c r="AO117" s="206">
        <v>4507.927535999992</v>
      </c>
      <c r="AP117" s="206">
        <v>4510.9182000000001</v>
      </c>
    </row>
    <row r="118" spans="1:67" ht="14.25" customHeight="1" x14ac:dyDescent="0.2">
      <c r="G118" s="138"/>
      <c r="H118" s="380"/>
      <c r="J118" s="358"/>
      <c r="K118" s="135" t="s">
        <v>355</v>
      </c>
      <c r="L118" s="185" t="s">
        <v>277</v>
      </c>
      <c r="M118" s="204">
        <v>3895.4843999999998</v>
      </c>
      <c r="N118" s="204">
        <v>3925.4085599999999</v>
      </c>
      <c r="O118" s="204">
        <v>3955.3327199999999</v>
      </c>
      <c r="P118" s="204">
        <v>3985.2568799999999</v>
      </c>
      <c r="Q118" s="204">
        <v>4015.1810399999999</v>
      </c>
      <c r="R118" s="204">
        <v>4045.1052</v>
      </c>
      <c r="S118" s="204">
        <v>4075.02936</v>
      </c>
      <c r="T118" s="204">
        <v>4104.95352</v>
      </c>
      <c r="U118" s="204">
        <v>4134.8776799999996</v>
      </c>
      <c r="V118" s="204">
        <v>4164.8018400000001</v>
      </c>
      <c r="W118" s="204">
        <v>4168.1683080000003</v>
      </c>
      <c r="X118" s="204">
        <v>4171.5347760000004</v>
      </c>
      <c r="Y118" s="204">
        <v>4174.9012439999997</v>
      </c>
      <c r="Z118" s="204">
        <v>4178.2677119999998</v>
      </c>
      <c r="AA118" s="204">
        <v>4181.63418</v>
      </c>
      <c r="AB118" s="204">
        <v>4185.0006480000002</v>
      </c>
      <c r="AC118" s="204">
        <v>4188.3671160000004</v>
      </c>
      <c r="AD118" s="204">
        <v>4191.7335839999996</v>
      </c>
      <c r="AE118" s="204">
        <v>4195.1000519999998</v>
      </c>
      <c r="AF118" s="204">
        <v>4198.4665199999999</v>
      </c>
      <c r="AG118" s="204">
        <v>4201.8329880000001</v>
      </c>
      <c r="AH118" s="204">
        <v>4205.1994560000003</v>
      </c>
      <c r="AI118" s="204">
        <v>4208.5659240000005</v>
      </c>
      <c r="AJ118" s="204">
        <v>4211.9323920000006</v>
      </c>
      <c r="AK118" s="204">
        <v>4215.2988599999999</v>
      </c>
      <c r="AL118" s="204">
        <v>4218.665328</v>
      </c>
      <c r="AM118" s="204">
        <v>4222.0317960000002</v>
      </c>
      <c r="AN118" s="204">
        <v>4225.3982639999986</v>
      </c>
      <c r="AO118" s="204">
        <v>4228.7647319999996</v>
      </c>
      <c r="AP118" s="204">
        <v>4232.1311999999998</v>
      </c>
    </row>
    <row r="119" spans="1:67" ht="14.25" customHeight="1" thickBot="1" x14ac:dyDescent="0.25">
      <c r="G119" s="138"/>
      <c r="H119" s="380"/>
      <c r="J119" s="358"/>
      <c r="K119" s="196" t="s">
        <v>355</v>
      </c>
      <c r="L119" s="196" t="s">
        <v>278</v>
      </c>
      <c r="M119" s="205">
        <v>3895.4843999999998</v>
      </c>
      <c r="N119" s="205">
        <v>3900.828</v>
      </c>
      <c r="O119" s="205">
        <v>3906.1716000000001</v>
      </c>
      <c r="P119" s="205">
        <v>3911.5151999999998</v>
      </c>
      <c r="Q119" s="205">
        <v>3916.8588</v>
      </c>
      <c r="R119" s="205">
        <v>3922.2024000000001</v>
      </c>
      <c r="S119" s="205">
        <v>3927.5459999999998</v>
      </c>
      <c r="T119" s="205">
        <v>3932.8896</v>
      </c>
      <c r="U119" s="205">
        <v>3938.2332000000001</v>
      </c>
      <c r="V119" s="205">
        <v>3943.5767999999998</v>
      </c>
      <c r="W119" s="205">
        <v>3948.3860399999999</v>
      </c>
      <c r="X119" s="205">
        <v>3953.1952799999999</v>
      </c>
      <c r="Y119" s="205">
        <v>3958.00452</v>
      </c>
      <c r="Z119" s="205">
        <v>3962.81376</v>
      </c>
      <c r="AA119" s="205">
        <v>3967.623</v>
      </c>
      <c r="AB119" s="205">
        <v>3972.4322400000001</v>
      </c>
      <c r="AC119" s="205">
        <v>3977.2414800000001</v>
      </c>
      <c r="AD119" s="205">
        <v>3982.0507200000002</v>
      </c>
      <c r="AE119" s="205">
        <v>3986.8599599999998</v>
      </c>
      <c r="AF119" s="205">
        <v>3991.6691999999998</v>
      </c>
      <c r="AG119" s="205">
        <v>3996.4784399999999</v>
      </c>
      <c r="AH119" s="205">
        <v>4001.2876799999999</v>
      </c>
      <c r="AI119" s="205">
        <v>4006.09692</v>
      </c>
      <c r="AJ119" s="205">
        <v>4010.90616</v>
      </c>
      <c r="AK119" s="205">
        <v>4015.7154</v>
      </c>
      <c r="AL119" s="205">
        <v>4020.5246400000001</v>
      </c>
      <c r="AM119" s="205">
        <v>4025.3338800000001</v>
      </c>
      <c r="AN119" s="205">
        <v>4030.1431200000002</v>
      </c>
      <c r="AO119" s="205">
        <v>4034.9523600000002</v>
      </c>
      <c r="AP119" s="205">
        <v>4039.7615999999998</v>
      </c>
    </row>
    <row r="120" spans="1:67" ht="14.25" customHeight="1" thickTop="1" x14ac:dyDescent="0.2">
      <c r="G120" s="138"/>
      <c r="H120" s="380"/>
      <c r="J120" s="358"/>
      <c r="K120" s="194" t="s">
        <v>357</v>
      </c>
      <c r="L120" s="194" t="s">
        <v>276</v>
      </c>
      <c r="M120" s="206">
        <v>3767.7636000000002</v>
      </c>
      <c r="N120" s="206">
        <v>3826.6088459259222</v>
      </c>
      <c r="O120" s="206">
        <v>3885.8131437037041</v>
      </c>
      <c r="P120" s="206">
        <v>3945.37649333333</v>
      </c>
      <c r="Q120" s="206">
        <v>4005.2988948148072</v>
      </c>
      <c r="R120" s="206">
        <v>4065.5803481481448</v>
      </c>
      <c r="S120" s="206">
        <v>4126.2208533333269</v>
      </c>
      <c r="T120" s="206">
        <v>4187.2204103703689</v>
      </c>
      <c r="U120" s="206">
        <v>4248.579019259254</v>
      </c>
      <c r="V120" s="206">
        <v>4310.2966800000004</v>
      </c>
      <c r="W120" s="206">
        <v>4312.9360823606539</v>
      </c>
      <c r="X120" s="206">
        <v>4315.5751400655718</v>
      </c>
      <c r="Y120" s="206">
        <v>4318.2138531147466</v>
      </c>
      <c r="Z120" s="206">
        <v>4320.8522215081948</v>
      </c>
      <c r="AA120" s="206">
        <v>4323.4902452458982</v>
      </c>
      <c r="AB120" s="206">
        <v>4326.1279243278677</v>
      </c>
      <c r="AC120" s="206">
        <v>4328.7652587540933</v>
      </c>
      <c r="AD120" s="206">
        <v>4331.4022485245832</v>
      </c>
      <c r="AE120" s="206">
        <v>4334.0388936393383</v>
      </c>
      <c r="AF120" s="206">
        <v>4336.6751940983577</v>
      </c>
      <c r="AG120" s="206">
        <v>4339.3111499016341</v>
      </c>
      <c r="AH120" s="206">
        <v>4341.9467610491747</v>
      </c>
      <c r="AI120" s="206">
        <v>4344.5820275409806</v>
      </c>
      <c r="AJ120" s="206">
        <v>4347.2169493770434</v>
      </c>
      <c r="AK120" s="206">
        <v>4349.8515265573687</v>
      </c>
      <c r="AL120" s="206">
        <v>4352.4857590819602</v>
      </c>
      <c r="AM120" s="206">
        <v>4355.1196469508168</v>
      </c>
      <c r="AN120" s="206">
        <v>4357.7531901639304</v>
      </c>
      <c r="AO120" s="206">
        <v>4360.3863887213074</v>
      </c>
      <c r="AP120" s="206">
        <v>4363.0192426229496</v>
      </c>
    </row>
    <row r="121" spans="1:67" ht="14.25" customHeight="1" x14ac:dyDescent="0.2">
      <c r="G121" s="138"/>
      <c r="H121" s="380"/>
      <c r="J121" s="358"/>
      <c r="K121" s="135" t="s">
        <v>357</v>
      </c>
      <c r="L121" s="185" t="s">
        <v>277</v>
      </c>
      <c r="M121" s="204">
        <v>3767.7636000000002</v>
      </c>
      <c r="N121" s="204">
        <v>3796.7066399999999</v>
      </c>
      <c r="O121" s="204">
        <v>3825.64968</v>
      </c>
      <c r="P121" s="204">
        <v>3854.5927200000001</v>
      </c>
      <c r="Q121" s="204">
        <v>3883.5357600000002</v>
      </c>
      <c r="R121" s="204">
        <v>3912.4787999999999</v>
      </c>
      <c r="S121" s="204">
        <v>3941.42184</v>
      </c>
      <c r="T121" s="204">
        <v>3970.3648800000001</v>
      </c>
      <c r="U121" s="204">
        <v>3999.3079200000002</v>
      </c>
      <c r="V121" s="204">
        <v>4028.2509599999998</v>
      </c>
      <c r="W121" s="204">
        <v>4031.5070519999999</v>
      </c>
      <c r="X121" s="204">
        <v>4034.763144</v>
      </c>
      <c r="Y121" s="204">
        <v>4038.0192360000001</v>
      </c>
      <c r="Z121" s="204">
        <v>4041.2753280000002</v>
      </c>
      <c r="AA121" s="204">
        <v>4044.5314199999998</v>
      </c>
      <c r="AB121" s="204">
        <v>4047.7875119999999</v>
      </c>
      <c r="AC121" s="204">
        <v>4051.043604</v>
      </c>
      <c r="AD121" s="204">
        <v>4054.299696</v>
      </c>
      <c r="AE121" s="204">
        <v>4057.5557880000001</v>
      </c>
      <c r="AF121" s="204">
        <v>4060.8118800000002</v>
      </c>
      <c r="AG121" s="204">
        <v>4064.0679719999998</v>
      </c>
      <c r="AH121" s="204">
        <v>4067.3240639999999</v>
      </c>
      <c r="AI121" s="204">
        <v>4070.580156</v>
      </c>
      <c r="AJ121" s="204">
        <v>4073.8362480000001</v>
      </c>
      <c r="AK121" s="204">
        <v>4077.0923400000001</v>
      </c>
      <c r="AL121" s="204">
        <v>4080.3484319999998</v>
      </c>
      <c r="AM121" s="204">
        <v>4083.6045239999999</v>
      </c>
      <c r="AN121" s="204">
        <v>4086.8606159999999</v>
      </c>
      <c r="AO121" s="204">
        <v>4090.116708</v>
      </c>
      <c r="AP121" s="204">
        <v>4093.3728000000001</v>
      </c>
    </row>
    <row r="122" spans="1:67" ht="14.25" customHeight="1" thickBot="1" x14ac:dyDescent="0.25">
      <c r="G122" s="138"/>
      <c r="H122" s="380"/>
      <c r="J122" s="358"/>
      <c r="K122" s="196" t="s">
        <v>357</v>
      </c>
      <c r="L122" s="196" t="s">
        <v>278</v>
      </c>
      <c r="M122" s="205">
        <v>3767.7636000000002</v>
      </c>
      <c r="N122" s="205">
        <v>3772.9319999999998</v>
      </c>
      <c r="O122" s="205">
        <v>3778.1003999999998</v>
      </c>
      <c r="P122" s="205">
        <v>3783.2687999999998</v>
      </c>
      <c r="Q122" s="205">
        <v>3788.4371999999998</v>
      </c>
      <c r="R122" s="205">
        <v>3793.6055999999999</v>
      </c>
      <c r="S122" s="205">
        <v>3798.7739999999999</v>
      </c>
      <c r="T122" s="205">
        <v>3803.9423999999999</v>
      </c>
      <c r="U122" s="205">
        <v>3809.1107999999999</v>
      </c>
      <c r="V122" s="205">
        <v>3814.2791999999999</v>
      </c>
      <c r="W122" s="205">
        <v>3818.9307600000002</v>
      </c>
      <c r="X122" s="205">
        <v>3823.58232</v>
      </c>
      <c r="Y122" s="205">
        <v>3828.2338800000002</v>
      </c>
      <c r="Z122" s="205">
        <v>3832.88544</v>
      </c>
      <c r="AA122" s="205">
        <v>3837.5369999999912</v>
      </c>
      <c r="AB122" s="205">
        <v>3842.188559999991</v>
      </c>
      <c r="AC122" s="205">
        <v>3846.8401199999912</v>
      </c>
      <c r="AD122" s="205">
        <v>3851.491679999991</v>
      </c>
      <c r="AE122" s="205">
        <v>3856.1432399999908</v>
      </c>
      <c r="AF122" s="205">
        <v>3860.794799999991</v>
      </c>
      <c r="AG122" s="205">
        <v>3865.4463599999908</v>
      </c>
      <c r="AH122" s="205">
        <v>3870.097919999992</v>
      </c>
      <c r="AI122" s="205">
        <v>3874.7494799999909</v>
      </c>
      <c r="AJ122" s="205">
        <v>3879.401039999992</v>
      </c>
      <c r="AK122" s="205">
        <v>3884.0525999999909</v>
      </c>
      <c r="AL122" s="205">
        <v>3888.7041599999911</v>
      </c>
      <c r="AM122" s="205">
        <v>3893.3557199999909</v>
      </c>
      <c r="AN122" s="205">
        <v>3898.0072799999912</v>
      </c>
      <c r="AO122" s="205">
        <v>3902.658839999991</v>
      </c>
      <c r="AP122" s="205">
        <v>3907.3103999999912</v>
      </c>
    </row>
    <row r="123" spans="1:67" ht="14.25" customHeight="1" thickTop="1" x14ac:dyDescent="0.2">
      <c r="G123" s="138"/>
      <c r="H123" s="380"/>
      <c r="J123" s="358"/>
      <c r="K123" s="194" t="s">
        <v>359</v>
      </c>
      <c r="L123" s="194" t="s">
        <v>276</v>
      </c>
      <c r="M123" s="206">
        <v>3569.0868</v>
      </c>
      <c r="N123" s="206">
        <v>3625.6700192592571</v>
      </c>
      <c r="O123" s="206">
        <v>3682.6122903703658</v>
      </c>
      <c r="P123" s="206">
        <v>3739.9136133333259</v>
      </c>
      <c r="Q123" s="206">
        <v>3797.5739881481481</v>
      </c>
      <c r="R123" s="206">
        <v>3855.5934148148131</v>
      </c>
      <c r="S123" s="206">
        <v>3913.9718933333288</v>
      </c>
      <c r="T123" s="206">
        <v>3972.7094237036981</v>
      </c>
      <c r="U123" s="206">
        <v>4031.8060059259192</v>
      </c>
      <c r="V123" s="206">
        <v>4091.2616400000002</v>
      </c>
      <c r="W123" s="206">
        <v>4093.354635366115</v>
      </c>
      <c r="X123" s="206">
        <v>4095.4467499453549</v>
      </c>
      <c r="Y123" s="206">
        <v>4097.5379837377013</v>
      </c>
      <c r="Z123" s="206">
        <v>4099.6283367431633</v>
      </c>
      <c r="AA123" s="206">
        <v>4101.71780896174</v>
      </c>
      <c r="AB123" s="206">
        <v>4103.8064003934423</v>
      </c>
      <c r="AC123" s="206">
        <v>4105.8941110382511</v>
      </c>
      <c r="AD123" s="206">
        <v>4107.9809408961746</v>
      </c>
      <c r="AE123" s="206">
        <v>4110.0668899672046</v>
      </c>
      <c r="AF123" s="206">
        <v>4112.1519582513602</v>
      </c>
      <c r="AG123" s="206">
        <v>4114.2361457486304</v>
      </c>
      <c r="AH123" s="206">
        <v>4116.3194524590172</v>
      </c>
      <c r="AI123" s="206">
        <v>4118.4018783825086</v>
      </c>
      <c r="AJ123" s="206">
        <v>4120.4834235191183</v>
      </c>
      <c r="AK123" s="206">
        <v>4122.5640878688509</v>
      </c>
      <c r="AL123" s="206">
        <v>4124.6438714316901</v>
      </c>
      <c r="AM123" s="206">
        <v>4126.7227742076448</v>
      </c>
      <c r="AN123" s="206">
        <v>4128.8007961967151</v>
      </c>
      <c r="AO123" s="206">
        <v>4130.8779373989009</v>
      </c>
      <c r="AP123" s="206">
        <v>4132.9541978142024</v>
      </c>
    </row>
    <row r="124" spans="1:67" s="199" customFormat="1" ht="14.25" customHeight="1" thickBot="1" x14ac:dyDescent="0.25">
      <c r="A124" s="131"/>
      <c r="B124" s="131"/>
      <c r="C124" s="131"/>
      <c r="D124" s="131"/>
      <c r="E124" s="131"/>
      <c r="F124" s="131"/>
      <c r="G124" s="138"/>
      <c r="H124" s="401"/>
      <c r="I124" s="131"/>
      <c r="J124" s="358"/>
      <c r="K124" s="135" t="s">
        <v>359</v>
      </c>
      <c r="L124" s="185" t="s">
        <v>277</v>
      </c>
      <c r="M124" s="204">
        <v>3569.0868</v>
      </c>
      <c r="N124" s="204">
        <v>3596.5036533333268</v>
      </c>
      <c r="O124" s="204">
        <v>3623.9205066666618</v>
      </c>
      <c r="P124" s="204">
        <v>3651.3373599999968</v>
      </c>
      <c r="Q124" s="204">
        <v>3678.7542133333318</v>
      </c>
      <c r="R124" s="204">
        <v>3706.171066666659</v>
      </c>
      <c r="S124" s="204">
        <v>3733.587919999994</v>
      </c>
      <c r="T124" s="204">
        <v>3761.004773333329</v>
      </c>
      <c r="U124" s="204">
        <v>3788.421626666664</v>
      </c>
      <c r="V124" s="204">
        <v>3815.8384799999999</v>
      </c>
      <c r="W124" s="204">
        <v>3818.9228760000001</v>
      </c>
      <c r="X124" s="204">
        <v>3822.0072719999998</v>
      </c>
      <c r="Y124" s="204">
        <v>3825.091668</v>
      </c>
      <c r="Z124" s="204">
        <v>3828.1760640000002</v>
      </c>
      <c r="AA124" s="204">
        <v>3831.26046</v>
      </c>
      <c r="AB124" s="204">
        <v>3834.3448560000002</v>
      </c>
      <c r="AC124" s="204">
        <v>3837.4292519999999</v>
      </c>
      <c r="AD124" s="204">
        <v>3840.5136480000001</v>
      </c>
      <c r="AE124" s="204">
        <v>3843.5980439999912</v>
      </c>
      <c r="AF124" s="204">
        <v>3846.68244</v>
      </c>
      <c r="AG124" s="204">
        <v>3849.7668359999998</v>
      </c>
      <c r="AH124" s="204">
        <v>3852.851232</v>
      </c>
      <c r="AI124" s="204">
        <v>3855.9356280000002</v>
      </c>
      <c r="AJ124" s="204">
        <v>3859.0200239999999</v>
      </c>
      <c r="AK124" s="204">
        <v>3862.1044200000001</v>
      </c>
      <c r="AL124" s="204">
        <v>3865.1888159999999</v>
      </c>
      <c r="AM124" s="204">
        <v>3868.2732120000001</v>
      </c>
      <c r="AN124" s="204">
        <v>3871.3576079999998</v>
      </c>
      <c r="AO124" s="204">
        <v>3874.442004</v>
      </c>
      <c r="AP124" s="204">
        <v>3877.5264000000002</v>
      </c>
      <c r="AQ124" s="131"/>
      <c r="AR124" s="131"/>
      <c r="AS124" s="131"/>
      <c r="AT124" s="131"/>
      <c r="AU124" s="131"/>
      <c r="AV124" s="131"/>
      <c r="AW124" s="131"/>
      <c r="AX124" s="131"/>
      <c r="AY124" s="131"/>
      <c r="AZ124" s="131"/>
      <c r="BA124" s="131"/>
      <c r="BB124" s="131"/>
      <c r="BC124" s="131"/>
      <c r="BD124" s="131"/>
      <c r="BE124" s="131"/>
      <c r="BF124" s="131"/>
      <c r="BG124" s="131"/>
      <c r="BH124" s="131"/>
      <c r="BI124" s="131"/>
      <c r="BJ124" s="131"/>
      <c r="BK124" s="131"/>
      <c r="BL124" s="131"/>
      <c r="BM124" s="131"/>
      <c r="BN124" s="131"/>
      <c r="BO124" s="131"/>
    </row>
    <row r="125" spans="1:67" s="200" customFormat="1" ht="14.25" customHeight="1" thickTop="1" thickBot="1" x14ac:dyDescent="0.25">
      <c r="A125" s="131"/>
      <c r="B125" s="131"/>
      <c r="C125" s="131"/>
      <c r="D125" s="131"/>
      <c r="E125" s="131"/>
      <c r="F125" s="131"/>
      <c r="G125" s="138"/>
      <c r="H125" s="402"/>
      <c r="I125" s="131"/>
      <c r="J125" s="358"/>
      <c r="K125" s="196" t="s">
        <v>359</v>
      </c>
      <c r="L125" s="196" t="s">
        <v>278</v>
      </c>
      <c r="M125" s="205">
        <v>3569.0868</v>
      </c>
      <c r="N125" s="205">
        <v>3573.982666666659</v>
      </c>
      <c r="O125" s="205">
        <v>3578.8785333333271</v>
      </c>
      <c r="P125" s="205">
        <v>3583.7743999999939</v>
      </c>
      <c r="Q125" s="205">
        <v>3588.670266666662</v>
      </c>
      <c r="R125" s="205">
        <v>3593.5661333333301</v>
      </c>
      <c r="S125" s="205">
        <v>3598.4619999999968</v>
      </c>
      <c r="T125" s="205">
        <v>3603.3578666666649</v>
      </c>
      <c r="U125" s="205">
        <v>3608.253733333333</v>
      </c>
      <c r="V125" s="205">
        <v>3613.1496000000002</v>
      </c>
      <c r="W125" s="205">
        <v>3617.5558799999908</v>
      </c>
      <c r="X125" s="205">
        <v>3621.96216</v>
      </c>
      <c r="Y125" s="205">
        <v>3626.3684400000002</v>
      </c>
      <c r="Z125" s="205">
        <v>3630.7747199999999</v>
      </c>
      <c r="AA125" s="205">
        <v>3635.1809999999909</v>
      </c>
      <c r="AB125" s="205">
        <v>3639.587279999992</v>
      </c>
      <c r="AC125" s="205">
        <v>3643.9935599999908</v>
      </c>
      <c r="AD125" s="205">
        <v>3648.3998399999909</v>
      </c>
      <c r="AE125" s="205">
        <v>3652.8061199999911</v>
      </c>
      <c r="AF125" s="205">
        <v>3657.2123999999908</v>
      </c>
      <c r="AG125" s="205">
        <v>3661.6186799999909</v>
      </c>
      <c r="AH125" s="205">
        <v>3666.0249599999911</v>
      </c>
      <c r="AI125" s="205">
        <v>3670.4312399999908</v>
      </c>
      <c r="AJ125" s="205">
        <v>3674.8375199999909</v>
      </c>
      <c r="AK125" s="205">
        <v>3679.243799999992</v>
      </c>
      <c r="AL125" s="205">
        <v>3683.6500799999908</v>
      </c>
      <c r="AM125" s="205">
        <v>3688.0563599999909</v>
      </c>
      <c r="AN125" s="205">
        <v>3692.4626399999911</v>
      </c>
      <c r="AO125" s="205">
        <v>3696.8689199999908</v>
      </c>
      <c r="AP125" s="205">
        <v>3701.2751999999909</v>
      </c>
      <c r="AQ125" s="131"/>
      <c r="AR125" s="131"/>
      <c r="AS125" s="131"/>
      <c r="AT125" s="131"/>
      <c r="AU125" s="131"/>
      <c r="AV125" s="131"/>
      <c r="AW125" s="131"/>
      <c r="AX125" s="131"/>
      <c r="AY125" s="131"/>
      <c r="AZ125" s="131"/>
      <c r="BA125" s="131"/>
      <c r="BB125" s="131"/>
      <c r="BC125" s="131"/>
      <c r="BD125" s="131"/>
      <c r="BE125" s="131"/>
      <c r="BF125" s="131"/>
      <c r="BG125" s="131"/>
      <c r="BH125" s="131"/>
      <c r="BI125" s="131"/>
      <c r="BJ125" s="131"/>
      <c r="BK125" s="131"/>
      <c r="BL125" s="131"/>
      <c r="BM125" s="131"/>
      <c r="BN125" s="131"/>
      <c r="BO125" s="131"/>
    </row>
    <row r="126" spans="1:67" ht="14.25" customHeight="1" thickTop="1" x14ac:dyDescent="0.2">
      <c r="G126" s="138"/>
      <c r="H126" s="380"/>
      <c r="J126" s="358"/>
      <c r="K126" s="194" t="s">
        <v>361</v>
      </c>
      <c r="L126" s="194" t="s">
        <v>276</v>
      </c>
      <c r="M126" s="206">
        <v>3292.3584000000001</v>
      </c>
      <c r="N126" s="206">
        <v>3345.7909392592542</v>
      </c>
      <c r="O126" s="206">
        <v>3399.5825303703691</v>
      </c>
      <c r="P126" s="206">
        <v>3453.7331733333258</v>
      </c>
      <c r="Q126" s="206">
        <v>3508.2428681481451</v>
      </c>
      <c r="R126" s="206">
        <v>3563.1116148148071</v>
      </c>
      <c r="S126" s="206">
        <v>3618.33941333333</v>
      </c>
      <c r="T126" s="206">
        <v>3673.9262637037041</v>
      </c>
      <c r="U126" s="206">
        <v>3729.8721659259222</v>
      </c>
      <c r="V126" s="206">
        <v>3786.1771199999998</v>
      </c>
      <c r="W126" s="206">
        <v>3787.509048480867</v>
      </c>
      <c r="X126" s="206">
        <v>3788.839349420758</v>
      </c>
      <c r="Y126" s="206">
        <v>3790.1680228196701</v>
      </c>
      <c r="Z126" s="206">
        <v>3791.4950686775878</v>
      </c>
      <c r="AA126" s="206">
        <v>3792.8204869945289</v>
      </c>
      <c r="AB126" s="206">
        <v>3794.1442777704842</v>
      </c>
      <c r="AC126" s="206">
        <v>3795.466441005462</v>
      </c>
      <c r="AD126" s="206">
        <v>3796.786976699454</v>
      </c>
      <c r="AE126" s="206">
        <v>3798.1058848524499</v>
      </c>
      <c r="AF126" s="206">
        <v>3799.4231654644791</v>
      </c>
      <c r="AG126" s="206">
        <v>3800.738818535513</v>
      </c>
      <c r="AH126" s="206">
        <v>3802.0528440655689</v>
      </c>
      <c r="AI126" s="206">
        <v>3803.36524205464</v>
      </c>
      <c r="AJ126" s="206">
        <v>3804.676012502724</v>
      </c>
      <c r="AK126" s="206">
        <v>3805.98515540983</v>
      </c>
      <c r="AL126" s="206">
        <v>3807.292670775952</v>
      </c>
      <c r="AM126" s="206">
        <v>3808.598558601087</v>
      </c>
      <c r="AN126" s="206">
        <v>3809.9028188852449</v>
      </c>
      <c r="AO126" s="206">
        <v>3811.2054516284079</v>
      </c>
      <c r="AP126" s="206">
        <v>3812.5064568305938</v>
      </c>
    </row>
    <row r="127" spans="1:67" ht="14.25" customHeight="1" x14ac:dyDescent="0.2">
      <c r="G127" s="138"/>
      <c r="H127" s="380"/>
      <c r="J127" s="358"/>
      <c r="K127" s="135" t="s">
        <v>361</v>
      </c>
      <c r="L127" s="185" t="s">
        <v>277</v>
      </c>
      <c r="M127" s="204">
        <v>3292.3584000000001</v>
      </c>
      <c r="N127" s="204">
        <v>3317.649493333332</v>
      </c>
      <c r="O127" s="204">
        <v>3342.9405866666648</v>
      </c>
      <c r="P127" s="204">
        <v>3368.2316799999971</v>
      </c>
      <c r="Q127" s="204">
        <v>3393.522773333329</v>
      </c>
      <c r="R127" s="204">
        <v>3418.8138666666619</v>
      </c>
      <c r="S127" s="204">
        <v>3444.1049599999942</v>
      </c>
      <c r="T127" s="204">
        <v>3469.396053333327</v>
      </c>
      <c r="U127" s="204">
        <v>3494.6871466666589</v>
      </c>
      <c r="V127" s="204">
        <v>3519.9782399999999</v>
      </c>
      <c r="W127" s="204">
        <v>3522.823488</v>
      </c>
      <c r="X127" s="204">
        <v>3525.6687360000001</v>
      </c>
      <c r="Y127" s="204">
        <v>3528.5139840000002</v>
      </c>
      <c r="Z127" s="204">
        <v>3531.3592319999998</v>
      </c>
      <c r="AA127" s="204">
        <v>3534.2044799999999</v>
      </c>
      <c r="AB127" s="204">
        <v>3537.049728</v>
      </c>
      <c r="AC127" s="204">
        <v>3539.894976</v>
      </c>
      <c r="AD127" s="204">
        <v>3542.7402240000001</v>
      </c>
      <c r="AE127" s="204">
        <v>3545.5854720000002</v>
      </c>
      <c r="AF127" s="204">
        <v>3548.4307199999998</v>
      </c>
      <c r="AG127" s="204">
        <v>3551.2759679999999</v>
      </c>
      <c r="AH127" s="204">
        <v>3554.121216</v>
      </c>
      <c r="AI127" s="204">
        <v>3556.9664640000001</v>
      </c>
      <c r="AJ127" s="204">
        <v>3559.8117120000002</v>
      </c>
      <c r="AK127" s="204">
        <v>3562.6569599999998</v>
      </c>
      <c r="AL127" s="204">
        <v>3565.5022079999999</v>
      </c>
      <c r="AM127" s="204">
        <v>3568.347456</v>
      </c>
      <c r="AN127" s="204">
        <v>3571.192704</v>
      </c>
      <c r="AO127" s="204">
        <v>3574.0379520000001</v>
      </c>
      <c r="AP127" s="204">
        <v>3576.8832000000002</v>
      </c>
    </row>
    <row r="128" spans="1:67" ht="14.25" customHeight="1" thickBot="1" x14ac:dyDescent="0.25">
      <c r="G128" s="138"/>
      <c r="H128" s="380"/>
      <c r="J128" s="358"/>
      <c r="K128" s="196" t="s">
        <v>361</v>
      </c>
      <c r="L128" s="196" t="s">
        <v>278</v>
      </c>
      <c r="M128" s="205">
        <v>3292.3584000000001</v>
      </c>
      <c r="N128" s="205">
        <v>3296.8746666666621</v>
      </c>
      <c r="O128" s="205">
        <v>3301.3909333333322</v>
      </c>
      <c r="P128" s="205">
        <v>3305.9071999999942</v>
      </c>
      <c r="Q128" s="205">
        <v>3310.4234666666639</v>
      </c>
      <c r="R128" s="205">
        <v>3314.9397333333268</v>
      </c>
      <c r="S128" s="205">
        <v>3319.4559999999969</v>
      </c>
      <c r="T128" s="205">
        <v>3323.9722666666589</v>
      </c>
      <c r="U128" s="205">
        <v>3328.48853333333</v>
      </c>
      <c r="V128" s="205">
        <v>3333.0048000000002</v>
      </c>
      <c r="W128" s="205">
        <v>3337.0694400000002</v>
      </c>
      <c r="X128" s="205">
        <v>3341.1340799999998</v>
      </c>
      <c r="Y128" s="205">
        <v>3345.1987199999999</v>
      </c>
      <c r="Z128" s="205">
        <v>3349.2633599999999</v>
      </c>
      <c r="AA128" s="205">
        <v>3353.328</v>
      </c>
      <c r="AB128" s="205">
        <v>3357.39264</v>
      </c>
      <c r="AC128" s="205">
        <v>3361.4572800000001</v>
      </c>
      <c r="AD128" s="205">
        <v>3365.5219200000001</v>
      </c>
      <c r="AE128" s="205">
        <v>3369.5865600000002</v>
      </c>
      <c r="AF128" s="205">
        <v>3373.6511999999998</v>
      </c>
      <c r="AG128" s="205">
        <v>3377.7158399999998</v>
      </c>
      <c r="AH128" s="205">
        <v>3381.7804799999908</v>
      </c>
      <c r="AI128" s="205">
        <v>3385.8451199999909</v>
      </c>
      <c r="AJ128" s="205">
        <v>3389.9097599999909</v>
      </c>
      <c r="AK128" s="205">
        <v>3393.974399999991</v>
      </c>
      <c r="AL128" s="205">
        <v>3398.039039999991</v>
      </c>
      <c r="AM128" s="205">
        <v>3402.1036799999911</v>
      </c>
      <c r="AN128" s="205">
        <v>3406.1683199999911</v>
      </c>
      <c r="AO128" s="205">
        <v>3410.2329599999998</v>
      </c>
      <c r="AP128" s="205">
        <v>3414.2975999999908</v>
      </c>
    </row>
    <row r="129" spans="7:42" ht="14.25" customHeight="1" thickTop="1" x14ac:dyDescent="0.2">
      <c r="G129" s="138"/>
      <c r="H129" s="380"/>
      <c r="J129" s="358"/>
      <c r="K129" s="194" t="s">
        <v>363</v>
      </c>
      <c r="L129" s="194" t="s">
        <v>276</v>
      </c>
      <c r="M129" s="206">
        <v>2973.0563999999999</v>
      </c>
      <c r="N129" s="206">
        <v>3022.8535392592539</v>
      </c>
      <c r="O129" s="206">
        <v>3073.0097303703692</v>
      </c>
      <c r="P129" s="206">
        <v>3123.5249733333271</v>
      </c>
      <c r="Q129" s="206">
        <v>3174.399268148145</v>
      </c>
      <c r="R129" s="206">
        <v>3225.6326148148069</v>
      </c>
      <c r="S129" s="206">
        <v>3277.22501333333</v>
      </c>
      <c r="T129" s="206">
        <v>3329.1764637036949</v>
      </c>
      <c r="U129" s="206">
        <v>3381.486965925922</v>
      </c>
      <c r="V129" s="206">
        <v>3434.15652</v>
      </c>
      <c r="W129" s="206">
        <v>3436.4639040000002</v>
      </c>
      <c r="X129" s="206">
        <v>3438.7712879999999</v>
      </c>
      <c r="Y129" s="206">
        <v>3441.0786720000001</v>
      </c>
      <c r="Z129" s="206">
        <v>3443.3860559999998</v>
      </c>
      <c r="AA129" s="206">
        <v>3445.69344</v>
      </c>
      <c r="AB129" s="206">
        <v>3448.0008240000002</v>
      </c>
      <c r="AC129" s="206">
        <v>3450.3082079999999</v>
      </c>
      <c r="AD129" s="206">
        <v>3452.6155920000001</v>
      </c>
      <c r="AE129" s="206">
        <v>3454.9229759999998</v>
      </c>
      <c r="AF129" s="206">
        <v>3457.23036</v>
      </c>
      <c r="AG129" s="206">
        <v>3459.5377440000002</v>
      </c>
      <c r="AH129" s="206">
        <v>3461.8451279999999</v>
      </c>
      <c r="AI129" s="206">
        <v>3464.1525120000001</v>
      </c>
      <c r="AJ129" s="206">
        <v>3466.4598959999998</v>
      </c>
      <c r="AK129" s="206">
        <v>3468.76728</v>
      </c>
      <c r="AL129" s="206">
        <v>3471.0746640000002</v>
      </c>
      <c r="AM129" s="206">
        <v>3473.3820479999999</v>
      </c>
      <c r="AN129" s="206">
        <v>3475.6894320000001</v>
      </c>
      <c r="AO129" s="206">
        <v>3477.9968159999999</v>
      </c>
      <c r="AP129" s="206">
        <v>3480.3042</v>
      </c>
    </row>
    <row r="130" spans="7:42" ht="14.25" customHeight="1" x14ac:dyDescent="0.2">
      <c r="G130" s="138"/>
      <c r="H130" s="380"/>
      <c r="J130" s="358"/>
      <c r="K130" s="135" t="s">
        <v>363</v>
      </c>
      <c r="L130" s="185" t="s">
        <v>277</v>
      </c>
      <c r="M130" s="204">
        <v>2973.0563999999999</v>
      </c>
      <c r="N130" s="204">
        <v>2995.8946933333318</v>
      </c>
      <c r="O130" s="204">
        <v>3018.7329866666651</v>
      </c>
      <c r="P130" s="204">
        <v>3041.5712799999969</v>
      </c>
      <c r="Q130" s="204">
        <v>3064.4095733333288</v>
      </c>
      <c r="R130" s="204">
        <v>3087.247866666662</v>
      </c>
      <c r="S130" s="204">
        <v>3110.0861599999939</v>
      </c>
      <c r="T130" s="204">
        <v>3132.9244533333272</v>
      </c>
      <c r="U130" s="204">
        <v>3155.762746666659</v>
      </c>
      <c r="V130" s="204">
        <v>3178.60104</v>
      </c>
      <c r="W130" s="204">
        <v>3181.1703480000001</v>
      </c>
      <c r="X130" s="204">
        <v>3183.7396559999911</v>
      </c>
      <c r="Y130" s="204">
        <v>3186.3089639999998</v>
      </c>
      <c r="Z130" s="204">
        <v>3188.8782719999999</v>
      </c>
      <c r="AA130" s="204">
        <v>3191.4475799999909</v>
      </c>
      <c r="AB130" s="204">
        <v>3194.0168880000001</v>
      </c>
      <c r="AC130" s="204">
        <v>3196.5861960000002</v>
      </c>
      <c r="AD130" s="204">
        <v>3199.1555039999998</v>
      </c>
      <c r="AE130" s="204">
        <v>3201.7248119999999</v>
      </c>
      <c r="AF130" s="204">
        <v>3204.29412</v>
      </c>
      <c r="AG130" s="204">
        <v>3206.8634280000001</v>
      </c>
      <c r="AH130" s="204">
        <v>3209.4327360000002</v>
      </c>
      <c r="AI130" s="204">
        <v>3212.0020439999912</v>
      </c>
      <c r="AJ130" s="204">
        <v>3214.5713519999999</v>
      </c>
      <c r="AK130" s="204">
        <v>3217.14066</v>
      </c>
      <c r="AL130" s="204">
        <v>3219.709967999991</v>
      </c>
      <c r="AM130" s="204">
        <v>3222.2792760000002</v>
      </c>
      <c r="AN130" s="204">
        <v>3224.8485839999998</v>
      </c>
      <c r="AO130" s="204">
        <v>3227.4178919999999</v>
      </c>
      <c r="AP130" s="204">
        <v>3229.9872</v>
      </c>
    </row>
    <row r="131" spans="7:42" ht="14.25" customHeight="1" thickBot="1" x14ac:dyDescent="0.25">
      <c r="G131" s="138"/>
      <c r="H131" s="380"/>
      <c r="J131" s="358"/>
      <c r="K131" s="196" t="s">
        <v>363</v>
      </c>
      <c r="L131" s="196" t="s">
        <v>278</v>
      </c>
      <c r="M131" s="205">
        <v>2973.0563999999999</v>
      </c>
      <c r="N131" s="205">
        <v>2977.1346666666618</v>
      </c>
      <c r="O131" s="205">
        <v>2981.2129333333319</v>
      </c>
      <c r="P131" s="205">
        <v>2985.2911999999942</v>
      </c>
      <c r="Q131" s="205">
        <v>2989.3694666666652</v>
      </c>
      <c r="R131" s="205">
        <v>2993.4477333333271</v>
      </c>
      <c r="S131" s="205">
        <v>2997.5259999999971</v>
      </c>
      <c r="T131" s="205">
        <v>3001.604266666659</v>
      </c>
      <c r="U131" s="205">
        <v>3005.68253333333</v>
      </c>
      <c r="V131" s="205">
        <v>3009.7608</v>
      </c>
      <c r="W131" s="205">
        <v>3013.4312399999908</v>
      </c>
      <c r="X131" s="205">
        <v>3017.1016800000002</v>
      </c>
      <c r="Y131" s="205">
        <v>3020.772119999991</v>
      </c>
      <c r="Z131" s="205">
        <v>3024.44256</v>
      </c>
      <c r="AA131" s="205">
        <v>3028.1129999999912</v>
      </c>
      <c r="AB131" s="205">
        <v>3031.7834400000002</v>
      </c>
      <c r="AC131" s="205">
        <v>3035.4538799999909</v>
      </c>
      <c r="AD131" s="205">
        <v>3039.1243199999999</v>
      </c>
      <c r="AE131" s="205">
        <v>3042.794759999992</v>
      </c>
      <c r="AF131" s="205">
        <v>3046.4652000000001</v>
      </c>
      <c r="AG131" s="205">
        <v>3050.1356399999909</v>
      </c>
      <c r="AH131" s="205">
        <v>3053.8060799999998</v>
      </c>
      <c r="AI131" s="205">
        <v>3057.4765200000002</v>
      </c>
      <c r="AJ131" s="205">
        <v>3061.14696</v>
      </c>
      <c r="AK131" s="205">
        <v>3064.8173999999999</v>
      </c>
      <c r="AL131" s="205">
        <v>3068.4878399999998</v>
      </c>
      <c r="AM131" s="205">
        <v>3072.1582800000001</v>
      </c>
      <c r="AN131" s="205">
        <v>3075.82872</v>
      </c>
      <c r="AO131" s="205">
        <v>3079.4991599999998</v>
      </c>
      <c r="AP131" s="205">
        <v>3083.1696000000002</v>
      </c>
    </row>
    <row r="132" spans="7:42" ht="14.25" customHeight="1" thickTop="1" x14ac:dyDescent="0.2">
      <c r="G132" s="138"/>
      <c r="H132" s="380"/>
      <c r="J132" s="358"/>
      <c r="K132" s="194" t="s">
        <v>366</v>
      </c>
      <c r="L132" s="194" t="s">
        <v>276</v>
      </c>
      <c r="M132" s="206">
        <v>2873.7179999999998</v>
      </c>
      <c r="N132" s="206">
        <v>2922.384125925922</v>
      </c>
      <c r="O132" s="206">
        <v>2971.4093037037042</v>
      </c>
      <c r="P132" s="206">
        <v>3020.7935333333289</v>
      </c>
      <c r="Q132" s="206">
        <v>3070.5368148148068</v>
      </c>
      <c r="R132" s="206">
        <v>3120.6391481481451</v>
      </c>
      <c r="S132" s="206">
        <v>3171.100533333326</v>
      </c>
      <c r="T132" s="206">
        <v>3221.9209703703691</v>
      </c>
      <c r="U132" s="206">
        <v>3273.100459259254</v>
      </c>
      <c r="V132" s="206">
        <v>3324.6390000000001</v>
      </c>
      <c r="W132" s="206">
        <v>3326.872799999991</v>
      </c>
      <c r="X132" s="206">
        <v>3329.1066000000001</v>
      </c>
      <c r="Y132" s="206">
        <v>3331.3404</v>
      </c>
      <c r="Z132" s="206">
        <v>3333.5741999999909</v>
      </c>
      <c r="AA132" s="206">
        <v>3335.8079999999909</v>
      </c>
      <c r="AB132" s="206">
        <v>3338.0418</v>
      </c>
      <c r="AC132" s="206">
        <v>3340.2755999999999</v>
      </c>
      <c r="AD132" s="206">
        <v>3342.5093999999999</v>
      </c>
      <c r="AE132" s="206">
        <v>3344.7431999999999</v>
      </c>
      <c r="AF132" s="206">
        <v>3346.9769999999999</v>
      </c>
      <c r="AG132" s="206">
        <v>3349.2107999999912</v>
      </c>
      <c r="AH132" s="206">
        <v>3351.4445999999998</v>
      </c>
      <c r="AI132" s="206">
        <v>3353.6783999999998</v>
      </c>
      <c r="AJ132" s="206">
        <v>3355.912199999992</v>
      </c>
      <c r="AK132" s="206">
        <v>3358.1460000000002</v>
      </c>
      <c r="AL132" s="206">
        <v>3360.3798000000002</v>
      </c>
      <c r="AM132" s="206">
        <v>3362.6136000000001</v>
      </c>
      <c r="AN132" s="206">
        <v>3364.8474000000001</v>
      </c>
      <c r="AO132" s="206">
        <v>3367.0812000000001</v>
      </c>
      <c r="AP132" s="206">
        <v>3369.3150000000001</v>
      </c>
    </row>
    <row r="133" spans="7:42" ht="14.25" customHeight="1" x14ac:dyDescent="0.2">
      <c r="G133" s="138"/>
      <c r="H133" s="380"/>
      <c r="J133" s="358"/>
      <c r="K133" s="135" t="s">
        <v>366</v>
      </c>
      <c r="L133" s="185" t="s">
        <v>277</v>
      </c>
      <c r="M133" s="204">
        <v>2873.7179999999998</v>
      </c>
      <c r="N133" s="204">
        <v>2895.7932000000001</v>
      </c>
      <c r="O133" s="204">
        <v>2917.8683999999998</v>
      </c>
      <c r="P133" s="204">
        <v>2939.9436000000001</v>
      </c>
      <c r="Q133" s="204">
        <v>2962.0187999999998</v>
      </c>
      <c r="R133" s="204">
        <v>2984.0940000000001</v>
      </c>
      <c r="S133" s="204">
        <v>3006.1691999999998</v>
      </c>
      <c r="T133" s="204">
        <v>3028.2444</v>
      </c>
      <c r="U133" s="204">
        <v>3050.3195999999998</v>
      </c>
      <c r="V133" s="204">
        <v>3072.3948</v>
      </c>
      <c r="W133" s="204">
        <v>3074.87826</v>
      </c>
      <c r="X133" s="204">
        <v>3077.3617199999999</v>
      </c>
      <c r="Y133" s="204">
        <v>3079.8451799999998</v>
      </c>
      <c r="Z133" s="204">
        <v>3082.3286400000002</v>
      </c>
      <c r="AA133" s="204">
        <v>3084.8121000000001</v>
      </c>
      <c r="AB133" s="204">
        <v>3087.29556</v>
      </c>
      <c r="AC133" s="204">
        <v>3089.7790199999999</v>
      </c>
      <c r="AD133" s="204">
        <v>3092.2624799999999</v>
      </c>
      <c r="AE133" s="204">
        <v>3094.7459399999998</v>
      </c>
      <c r="AF133" s="204">
        <v>3097.2294000000002</v>
      </c>
      <c r="AG133" s="204">
        <v>3099.7128600000001</v>
      </c>
      <c r="AH133" s="204">
        <v>3102.19632</v>
      </c>
      <c r="AI133" s="204">
        <v>3104.6797799999999</v>
      </c>
      <c r="AJ133" s="204">
        <v>3107.1632399999999</v>
      </c>
      <c r="AK133" s="204">
        <v>3109.6466999999998</v>
      </c>
      <c r="AL133" s="204">
        <v>3112.1301600000002</v>
      </c>
      <c r="AM133" s="204">
        <v>3114.6136200000001</v>
      </c>
      <c r="AN133" s="204">
        <v>3117.09708</v>
      </c>
      <c r="AO133" s="204">
        <v>3119.5805399999999</v>
      </c>
      <c r="AP133" s="204">
        <v>3122.0639999999999</v>
      </c>
    </row>
    <row r="134" spans="7:42" ht="14.25" customHeight="1" thickBot="1" x14ac:dyDescent="0.25">
      <c r="G134" s="138"/>
      <c r="H134" s="380"/>
      <c r="J134" s="358"/>
      <c r="K134" s="196" t="s">
        <v>366</v>
      </c>
      <c r="L134" s="196" t="s">
        <v>278</v>
      </c>
      <c r="M134" s="205">
        <v>2873.7179999999998</v>
      </c>
      <c r="N134" s="205">
        <v>2877.66</v>
      </c>
      <c r="O134" s="205">
        <v>2881.6019999999999</v>
      </c>
      <c r="P134" s="205">
        <v>2885.5439999999999</v>
      </c>
      <c r="Q134" s="205">
        <v>2889.4859999999999</v>
      </c>
      <c r="R134" s="205">
        <v>2893.4279999999999</v>
      </c>
      <c r="S134" s="205">
        <v>2897.37</v>
      </c>
      <c r="T134" s="205">
        <v>2901.3119999999999</v>
      </c>
      <c r="U134" s="205">
        <v>2905.2539999999999</v>
      </c>
      <c r="V134" s="205">
        <v>2909.1959999999999</v>
      </c>
      <c r="W134" s="205">
        <v>2912.7438000000002</v>
      </c>
      <c r="X134" s="205">
        <v>2916.2916</v>
      </c>
      <c r="Y134" s="205">
        <v>2919.8393999999998</v>
      </c>
      <c r="Z134" s="205">
        <v>2923.3872000000001</v>
      </c>
      <c r="AA134" s="205">
        <v>2926.9349999999999</v>
      </c>
      <c r="AB134" s="205">
        <v>2930.4828000000002</v>
      </c>
      <c r="AC134" s="205">
        <v>2934.0306</v>
      </c>
      <c r="AD134" s="205">
        <v>2937.5783999999999</v>
      </c>
      <c r="AE134" s="205">
        <v>2941.1262000000002</v>
      </c>
      <c r="AF134" s="205">
        <v>2944.674</v>
      </c>
      <c r="AG134" s="205">
        <v>2948.2217999999998</v>
      </c>
      <c r="AH134" s="205">
        <v>2951.7696000000001</v>
      </c>
      <c r="AI134" s="205">
        <v>2955.3173999999999</v>
      </c>
      <c r="AJ134" s="205">
        <v>2958.8652000000002</v>
      </c>
      <c r="AK134" s="205">
        <v>2962.413</v>
      </c>
      <c r="AL134" s="205">
        <v>2965.9607999999998</v>
      </c>
      <c r="AM134" s="205">
        <v>2969.5086000000001</v>
      </c>
      <c r="AN134" s="205">
        <v>2973.0563999999999</v>
      </c>
      <c r="AO134" s="205">
        <v>2976.6042000000002</v>
      </c>
      <c r="AP134" s="205">
        <v>2980.152</v>
      </c>
    </row>
    <row r="135" spans="7:42" ht="14.25" customHeight="1" thickTop="1" x14ac:dyDescent="0.2">
      <c r="G135" s="138"/>
      <c r="H135" s="380"/>
      <c r="J135" s="358"/>
      <c r="K135" s="194" t="s">
        <v>369</v>
      </c>
      <c r="L135" s="194" t="s">
        <v>276</v>
      </c>
      <c r="M135" s="206">
        <v>2263.4964</v>
      </c>
      <c r="N135" s="206">
        <v>2305.214872592589</v>
      </c>
      <c r="O135" s="206">
        <v>2347.2923970370298</v>
      </c>
      <c r="P135" s="206">
        <v>2389.7289733333332</v>
      </c>
      <c r="Q135" s="206">
        <v>2432.524601481477</v>
      </c>
      <c r="R135" s="206">
        <v>2475.6792814814739</v>
      </c>
      <c r="S135" s="206">
        <v>2519.1930133333331</v>
      </c>
      <c r="T135" s="206">
        <v>2563.065797037033</v>
      </c>
      <c r="U135" s="206">
        <v>2607.297632592587</v>
      </c>
      <c r="V135" s="206">
        <v>2651.88852</v>
      </c>
      <c r="W135" s="206">
        <v>2653.6703040000002</v>
      </c>
      <c r="X135" s="206">
        <v>2655.452088</v>
      </c>
      <c r="Y135" s="206">
        <v>2657.2338719999998</v>
      </c>
      <c r="Z135" s="206">
        <v>2659.015656</v>
      </c>
      <c r="AA135" s="206">
        <v>2660.7974399999998</v>
      </c>
      <c r="AB135" s="206">
        <v>2662.5792240000001</v>
      </c>
      <c r="AC135" s="206">
        <v>2664.3610079999999</v>
      </c>
      <c r="AD135" s="206">
        <v>2666.1427920000001</v>
      </c>
      <c r="AE135" s="206">
        <v>2667.9245759999999</v>
      </c>
      <c r="AF135" s="206">
        <v>2669.7063600000001</v>
      </c>
      <c r="AG135" s="206">
        <v>2671.4881439999908</v>
      </c>
      <c r="AH135" s="206">
        <v>2673.2699280000002</v>
      </c>
      <c r="AI135" s="206">
        <v>2675.051712</v>
      </c>
      <c r="AJ135" s="206">
        <v>2676.8334960000002</v>
      </c>
      <c r="AK135" s="206">
        <v>2678.61528</v>
      </c>
      <c r="AL135" s="206">
        <v>2680.397063999992</v>
      </c>
      <c r="AM135" s="206">
        <v>2682.178848</v>
      </c>
      <c r="AN135" s="206">
        <v>2683.9606319999912</v>
      </c>
      <c r="AO135" s="206">
        <v>2685.742415999991</v>
      </c>
      <c r="AP135" s="206">
        <v>2687.5241999999998</v>
      </c>
    </row>
    <row r="136" spans="7:42" ht="14.25" customHeight="1" x14ac:dyDescent="0.2">
      <c r="G136" s="138"/>
      <c r="H136" s="380"/>
      <c r="J136" s="358"/>
      <c r="K136" s="135" t="s">
        <v>369</v>
      </c>
      <c r="L136" s="185" t="s">
        <v>277</v>
      </c>
      <c r="M136" s="204">
        <v>2263.4964</v>
      </c>
      <c r="N136" s="204">
        <v>2280.8840266666589</v>
      </c>
      <c r="O136" s="204">
        <v>2298.2716533333269</v>
      </c>
      <c r="P136" s="204">
        <v>2315.6592799999939</v>
      </c>
      <c r="Q136" s="204">
        <v>2333.046906666661</v>
      </c>
      <c r="R136" s="204">
        <v>2350.434533333329</v>
      </c>
      <c r="S136" s="204">
        <v>2367.822159999997</v>
      </c>
      <c r="T136" s="204">
        <v>2385.209786666665</v>
      </c>
      <c r="U136" s="204">
        <v>2402.597413333332</v>
      </c>
      <c r="V136" s="204">
        <v>2419.98504</v>
      </c>
      <c r="W136" s="204">
        <v>2421.9411479999999</v>
      </c>
      <c r="X136" s="204">
        <v>2423.897255999992</v>
      </c>
      <c r="Y136" s="204">
        <v>2425.8533640000001</v>
      </c>
      <c r="Z136" s="204">
        <v>2427.8094719999999</v>
      </c>
      <c r="AA136" s="204">
        <v>2429.7655800000002</v>
      </c>
      <c r="AB136" s="204">
        <v>2431.7216880000001</v>
      </c>
      <c r="AC136" s="204">
        <v>2433.6777959999999</v>
      </c>
      <c r="AD136" s="204">
        <v>2435.6339039999998</v>
      </c>
      <c r="AE136" s="204">
        <v>2437.5900120000001</v>
      </c>
      <c r="AF136" s="204">
        <v>2439.54612</v>
      </c>
      <c r="AG136" s="204">
        <v>2441.5022279999998</v>
      </c>
      <c r="AH136" s="204">
        <v>2443.4583360000001</v>
      </c>
      <c r="AI136" s="204">
        <v>2445.414444</v>
      </c>
      <c r="AJ136" s="204">
        <v>2447.3705519999999</v>
      </c>
      <c r="AK136" s="204">
        <v>2449.3266600000002</v>
      </c>
      <c r="AL136" s="204">
        <v>2451.282768</v>
      </c>
      <c r="AM136" s="204">
        <v>2453.2388759999999</v>
      </c>
      <c r="AN136" s="204">
        <v>2455.1949840000002</v>
      </c>
      <c r="AO136" s="204">
        <v>2457.1510920000001</v>
      </c>
      <c r="AP136" s="204">
        <v>2459.1071999999999</v>
      </c>
    </row>
    <row r="137" spans="7:42" ht="14.25" customHeight="1" x14ac:dyDescent="0.2">
      <c r="G137" s="138"/>
      <c r="H137" s="380"/>
      <c r="J137" s="368"/>
      <c r="K137" s="196" t="s">
        <v>369</v>
      </c>
      <c r="L137" s="196" t="s">
        <v>278</v>
      </c>
      <c r="M137" s="209">
        <v>2263.4964</v>
      </c>
      <c r="N137" s="209">
        <v>2266.601333333329</v>
      </c>
      <c r="O137" s="209">
        <v>2269.7062666666588</v>
      </c>
      <c r="P137" s="209">
        <v>2272.8111999999969</v>
      </c>
      <c r="Q137" s="209">
        <v>2275.9161333333268</v>
      </c>
      <c r="R137" s="209">
        <v>2279.0210666666649</v>
      </c>
      <c r="S137" s="209">
        <v>2282.1259999999938</v>
      </c>
      <c r="T137" s="209">
        <v>2285.2309333333319</v>
      </c>
      <c r="U137" s="209">
        <v>2288.3358666666618</v>
      </c>
      <c r="V137" s="209">
        <v>2291.4407999999999</v>
      </c>
      <c r="W137" s="209">
        <v>2294.23524</v>
      </c>
      <c r="X137" s="209">
        <v>2297.0296800000001</v>
      </c>
      <c r="Y137" s="209">
        <v>2299.824119999992</v>
      </c>
      <c r="Z137" s="209">
        <v>2302.6185599999999</v>
      </c>
      <c r="AA137" s="209">
        <v>2305.413</v>
      </c>
      <c r="AB137" s="209">
        <v>2308.2074400000001</v>
      </c>
      <c r="AC137" s="209">
        <v>2311.0018799999921</v>
      </c>
      <c r="AD137" s="209">
        <v>2313.7963199999999</v>
      </c>
      <c r="AE137" s="209">
        <v>2316.59076</v>
      </c>
      <c r="AF137" s="209">
        <v>2319.3852000000002</v>
      </c>
      <c r="AG137" s="209">
        <v>2322.1796399999998</v>
      </c>
      <c r="AH137" s="209">
        <v>2324.97408</v>
      </c>
      <c r="AI137" s="209">
        <v>2327.7685200000001</v>
      </c>
      <c r="AJ137" s="209">
        <v>2330.5629600000002</v>
      </c>
      <c r="AK137" s="209">
        <v>2333.3573999999999</v>
      </c>
      <c r="AL137" s="209">
        <v>2336.15184</v>
      </c>
      <c r="AM137" s="209">
        <v>2338.9462800000001</v>
      </c>
      <c r="AN137" s="209">
        <v>2341.7407199999998</v>
      </c>
      <c r="AO137" s="209">
        <v>2344.5351599999999</v>
      </c>
      <c r="AP137" s="209">
        <v>2347.3296</v>
      </c>
    </row>
    <row r="138" spans="7:42" ht="14.25" customHeight="1" x14ac:dyDescent="0.2">
      <c r="G138" s="138"/>
      <c r="H138" s="380"/>
      <c r="J138" s="201"/>
      <c r="K138" s="135"/>
      <c r="L138" s="135"/>
      <c r="M138" s="210"/>
      <c r="N138" s="210"/>
      <c r="O138" s="210"/>
      <c r="P138" s="210"/>
      <c r="Q138" s="210"/>
      <c r="R138" s="210"/>
      <c r="S138" s="210"/>
      <c r="T138" s="210"/>
      <c r="U138" s="210"/>
      <c r="V138" s="211"/>
      <c r="W138" s="210"/>
      <c r="X138" s="210"/>
      <c r="Y138" s="210"/>
      <c r="Z138" s="210"/>
      <c r="AA138" s="210"/>
      <c r="AB138" s="210"/>
      <c r="AC138" s="210"/>
      <c r="AD138" s="210"/>
      <c r="AE138" s="210"/>
      <c r="AF138" s="210"/>
      <c r="AG138" s="210"/>
      <c r="AH138" s="210"/>
      <c r="AI138" s="210"/>
      <c r="AJ138" s="210"/>
      <c r="AK138" s="210"/>
      <c r="AL138" s="210"/>
      <c r="AM138" s="210"/>
      <c r="AN138" s="210"/>
      <c r="AO138" s="210"/>
      <c r="AP138" s="210"/>
    </row>
    <row r="139" spans="7:42" ht="14.25" customHeight="1" x14ac:dyDescent="0.2">
      <c r="G139" s="138"/>
      <c r="H139" s="380"/>
      <c r="J139" s="140"/>
      <c r="M139" s="123">
        <v>2021</v>
      </c>
      <c r="N139" s="123">
        <v>2022</v>
      </c>
      <c r="O139" s="123">
        <v>2023</v>
      </c>
      <c r="P139" s="123">
        <v>2024</v>
      </c>
      <c r="Q139" s="123">
        <v>2025</v>
      </c>
      <c r="R139" s="123">
        <v>2026</v>
      </c>
      <c r="S139" s="123">
        <v>2027</v>
      </c>
      <c r="T139" s="123">
        <v>2028</v>
      </c>
      <c r="U139" s="123">
        <v>2029</v>
      </c>
      <c r="V139" s="123">
        <v>2030</v>
      </c>
      <c r="W139" s="123">
        <v>2031</v>
      </c>
      <c r="X139" s="123">
        <v>2032</v>
      </c>
      <c r="Y139" s="123">
        <v>2033</v>
      </c>
      <c r="Z139" s="123">
        <v>2034</v>
      </c>
      <c r="AA139" s="123">
        <v>2035</v>
      </c>
      <c r="AB139" s="123">
        <v>2036</v>
      </c>
      <c r="AC139" s="123">
        <v>2037</v>
      </c>
      <c r="AD139" s="123">
        <v>2038</v>
      </c>
      <c r="AE139" s="123">
        <v>2039</v>
      </c>
      <c r="AF139" s="123">
        <v>2040</v>
      </c>
      <c r="AG139" s="123">
        <v>2041</v>
      </c>
      <c r="AH139" s="123">
        <v>2042</v>
      </c>
      <c r="AI139" s="123">
        <v>2043</v>
      </c>
      <c r="AJ139" s="123">
        <v>2044</v>
      </c>
      <c r="AK139" s="123">
        <v>2045</v>
      </c>
      <c r="AL139" s="123">
        <v>2046</v>
      </c>
      <c r="AM139" s="123">
        <v>2047</v>
      </c>
      <c r="AN139" s="123">
        <v>2048</v>
      </c>
      <c r="AO139" s="123">
        <v>2049</v>
      </c>
      <c r="AP139" s="123">
        <v>2050</v>
      </c>
    </row>
    <row r="140" spans="7:42" ht="14.25" customHeight="1" x14ac:dyDescent="0.2">
      <c r="G140" s="138"/>
      <c r="H140" s="380"/>
      <c r="J140" s="367" t="s">
        <v>294</v>
      </c>
      <c r="K140" s="194" t="s">
        <v>348</v>
      </c>
      <c r="L140" s="194" t="s">
        <v>276</v>
      </c>
      <c r="M140" s="212">
        <v>1363.000000000005</v>
      </c>
      <c r="N140" s="212">
        <v>1533.3167150176359</v>
      </c>
      <c r="O140" s="212">
        <v>1434.0015417728739</v>
      </c>
      <c r="P140" s="212">
        <v>1273.9566478720981</v>
      </c>
      <c r="Q140" s="212">
        <v>1244.2755304961361</v>
      </c>
      <c r="R140" s="212">
        <v>1214.5944131201641</v>
      </c>
      <c r="S140" s="212">
        <v>1184.9132957442021</v>
      </c>
      <c r="T140" s="212">
        <v>1155.2321783682289</v>
      </c>
      <c r="U140" s="212">
        <v>1125.551060992268</v>
      </c>
      <c r="V140" s="212">
        <v>1095.8699436162949</v>
      </c>
      <c r="W140" s="212">
        <v>1083.5551837210719</v>
      </c>
      <c r="X140" s="212">
        <v>1071.240423825838</v>
      </c>
      <c r="Y140" s="212">
        <v>1058.9256639306141</v>
      </c>
      <c r="Z140" s="212">
        <v>1046.6109040353831</v>
      </c>
      <c r="AA140" s="212">
        <v>1034.296144140154</v>
      </c>
      <c r="AB140" s="212">
        <v>1021.981384244924</v>
      </c>
      <c r="AC140" s="212">
        <v>1009.666624349694</v>
      </c>
      <c r="AD140" s="212">
        <v>997.35186445446493</v>
      </c>
      <c r="AE140" s="212">
        <v>985.03710455923544</v>
      </c>
      <c r="AF140" s="212">
        <v>972.72234466400585</v>
      </c>
      <c r="AG140" s="212">
        <v>960.40758476877625</v>
      </c>
      <c r="AH140" s="212">
        <v>948.09282487354665</v>
      </c>
      <c r="AI140" s="212">
        <v>935.77806497831716</v>
      </c>
      <c r="AJ140" s="212">
        <v>923.46330508308654</v>
      </c>
      <c r="AK140" s="212">
        <v>911.14854518785694</v>
      </c>
      <c r="AL140" s="212">
        <v>898.83378529262734</v>
      </c>
      <c r="AM140" s="212">
        <v>886.51902539739785</v>
      </c>
      <c r="AN140" s="212">
        <v>874.20426550216825</v>
      </c>
      <c r="AO140" s="212">
        <v>861.88950560693866</v>
      </c>
      <c r="AP140" s="212">
        <v>849.57474571170906</v>
      </c>
    </row>
    <row r="141" spans="7:42" ht="14.25" customHeight="1" x14ac:dyDescent="0.2">
      <c r="G141" s="138"/>
      <c r="H141" s="380"/>
      <c r="J141" s="358"/>
      <c r="K141" s="135" t="s">
        <v>348</v>
      </c>
      <c r="L141" s="185" t="s">
        <v>277</v>
      </c>
      <c r="M141" s="213">
        <v>1363.000000000005</v>
      </c>
      <c r="N141" s="213">
        <v>1540.233333333332</v>
      </c>
      <c r="O141" s="213">
        <v>1447.233333333339</v>
      </c>
      <c r="P141" s="213">
        <v>1291.999999999995</v>
      </c>
      <c r="Q141" s="213">
        <v>1268.333333333328</v>
      </c>
      <c r="R141" s="213">
        <v>1244.666666666662</v>
      </c>
      <c r="S141" s="213">
        <v>1220.999999999995</v>
      </c>
      <c r="T141" s="213">
        <v>1197.3333333333289</v>
      </c>
      <c r="U141" s="213">
        <v>1173.666666666662</v>
      </c>
      <c r="V141" s="213">
        <v>1149.9999999999959</v>
      </c>
      <c r="W141" s="213">
        <v>1138.676606458652</v>
      </c>
      <c r="X141" s="213">
        <v>1127.3532129172979</v>
      </c>
      <c r="Y141" s="213">
        <v>1116.029819375955</v>
      </c>
      <c r="Z141" s="213">
        <v>1104.7064258346011</v>
      </c>
      <c r="AA141" s="213">
        <v>1093.383032293247</v>
      </c>
      <c r="AB141" s="213">
        <v>1082.059638751904</v>
      </c>
      <c r="AC141" s="213">
        <v>1070.7362452105499</v>
      </c>
      <c r="AD141" s="213">
        <v>1059.4128516692081</v>
      </c>
      <c r="AE141" s="213">
        <v>1048.0894581278601</v>
      </c>
      <c r="AF141" s="213">
        <v>1036.7660645865101</v>
      </c>
      <c r="AG141" s="213">
        <v>1025.4426710451601</v>
      </c>
      <c r="AH141" s="213">
        <v>1014.1192775038101</v>
      </c>
      <c r="AI141" s="213">
        <v>1002.795883962462</v>
      </c>
      <c r="AJ141" s="213">
        <v>991.47249042111207</v>
      </c>
      <c r="AK141" s="213">
        <v>980.14909687976228</v>
      </c>
      <c r="AL141" s="213">
        <v>968.82570333841363</v>
      </c>
      <c r="AM141" s="213">
        <v>957.50230979706396</v>
      </c>
      <c r="AN141" s="213">
        <v>946.17891625571417</v>
      </c>
      <c r="AO141" s="213">
        <v>934.8555227143645</v>
      </c>
      <c r="AP141" s="213">
        <v>923.53212917301573</v>
      </c>
    </row>
    <row r="142" spans="7:42" ht="14.25" customHeight="1" thickBot="1" x14ac:dyDescent="0.25">
      <c r="G142" s="138"/>
      <c r="H142" s="380"/>
      <c r="J142" s="358"/>
      <c r="K142" s="196" t="s">
        <v>348</v>
      </c>
      <c r="L142" s="196" t="s">
        <v>278</v>
      </c>
      <c r="M142" s="214">
        <v>1363.000000000005</v>
      </c>
      <c r="N142" s="214">
        <v>1556.072238339216</v>
      </c>
      <c r="O142" s="214">
        <v>1477.53384725762</v>
      </c>
      <c r="P142" s="214">
        <v>1333.3188826240321</v>
      </c>
      <c r="Q142" s="214">
        <v>1323.4251768320451</v>
      </c>
      <c r="R142" s="214">
        <v>1313.531471040058</v>
      </c>
      <c r="S142" s="214">
        <v>1303.637765248071</v>
      </c>
      <c r="T142" s="214">
        <v>1293.744059456073</v>
      </c>
      <c r="U142" s="214">
        <v>1283.8503536640851</v>
      </c>
      <c r="V142" s="214">
        <v>1273.9566478720981</v>
      </c>
      <c r="W142" s="214">
        <v>1265.366506952058</v>
      </c>
      <c r="X142" s="214">
        <v>1256.7763660320179</v>
      </c>
      <c r="Y142" s="214">
        <v>1248.186225111978</v>
      </c>
      <c r="Z142" s="214">
        <v>1239.5960841919491</v>
      </c>
      <c r="AA142" s="214">
        <v>1231.005943271909</v>
      </c>
      <c r="AB142" s="214">
        <v>1222.4158023518689</v>
      </c>
      <c r="AC142" s="214">
        <v>1213.8256614318291</v>
      </c>
      <c r="AD142" s="214">
        <v>1205.235520511789</v>
      </c>
      <c r="AE142" s="214">
        <v>1196.6453795917489</v>
      </c>
      <c r="AF142" s="214">
        <v>1188.055238671709</v>
      </c>
      <c r="AG142" s="214">
        <v>1179.465097751669</v>
      </c>
      <c r="AH142" s="214">
        <v>1170.8749568316291</v>
      </c>
      <c r="AI142" s="214">
        <v>1162.284815911589</v>
      </c>
      <c r="AJ142" s="214">
        <v>1153.6946749915489</v>
      </c>
      <c r="AK142" s="214">
        <v>1145.10453407152</v>
      </c>
      <c r="AL142" s="214">
        <v>1136.5143931514799</v>
      </c>
      <c r="AM142" s="214">
        <v>1127.9242522314401</v>
      </c>
      <c r="AN142" s="214">
        <v>1119.3341113114</v>
      </c>
      <c r="AO142" s="214">
        <v>1110.7439703913601</v>
      </c>
      <c r="AP142" s="214">
        <v>1102.15382947132</v>
      </c>
    </row>
    <row r="143" spans="7:42" ht="14.25" customHeight="1" thickTop="1" x14ac:dyDescent="0.2">
      <c r="G143" s="138"/>
      <c r="H143" s="380"/>
      <c r="J143" s="358"/>
      <c r="K143" s="194" t="s">
        <v>351</v>
      </c>
      <c r="L143" s="194" t="s">
        <v>276</v>
      </c>
      <c r="M143" s="215">
        <v>1363.000000000005</v>
      </c>
      <c r="N143" s="215">
        <v>1533.3167150176359</v>
      </c>
      <c r="O143" s="215">
        <v>1434.0015417728739</v>
      </c>
      <c r="P143" s="215">
        <v>1273.9566478720981</v>
      </c>
      <c r="Q143" s="215">
        <v>1244.2755304961361</v>
      </c>
      <c r="R143" s="215">
        <v>1214.5944131201641</v>
      </c>
      <c r="S143" s="215">
        <v>1184.9132957442021</v>
      </c>
      <c r="T143" s="215">
        <v>1155.2321783682289</v>
      </c>
      <c r="U143" s="215">
        <v>1125.551060992268</v>
      </c>
      <c r="V143" s="215">
        <v>1095.8699436162949</v>
      </c>
      <c r="W143" s="215">
        <v>1083.5551837210719</v>
      </c>
      <c r="X143" s="215">
        <v>1071.240423825838</v>
      </c>
      <c r="Y143" s="215">
        <v>1058.9256639306141</v>
      </c>
      <c r="Z143" s="215">
        <v>1046.6109040353831</v>
      </c>
      <c r="AA143" s="215">
        <v>1034.296144140154</v>
      </c>
      <c r="AB143" s="215">
        <v>1021.981384244924</v>
      </c>
      <c r="AC143" s="215">
        <v>1009.666624349694</v>
      </c>
      <c r="AD143" s="215">
        <v>997.35186445446493</v>
      </c>
      <c r="AE143" s="215">
        <v>985.03710455923544</v>
      </c>
      <c r="AF143" s="215">
        <v>972.72234466400585</v>
      </c>
      <c r="AG143" s="215">
        <v>960.40758476877625</v>
      </c>
      <c r="AH143" s="215">
        <v>948.09282487354665</v>
      </c>
      <c r="AI143" s="215">
        <v>935.77806497831716</v>
      </c>
      <c r="AJ143" s="215">
        <v>923.46330508308654</v>
      </c>
      <c r="AK143" s="215">
        <v>911.14854518785694</v>
      </c>
      <c r="AL143" s="215">
        <v>898.83378529262734</v>
      </c>
      <c r="AM143" s="215">
        <v>886.51902539739785</v>
      </c>
      <c r="AN143" s="215">
        <v>874.20426550216825</v>
      </c>
      <c r="AO143" s="215">
        <v>861.88950560693866</v>
      </c>
      <c r="AP143" s="215">
        <v>849.57474571170906</v>
      </c>
    </row>
    <row r="144" spans="7:42" ht="14.25" customHeight="1" x14ac:dyDescent="0.2">
      <c r="G144" s="138"/>
      <c r="H144" s="380"/>
      <c r="J144" s="358"/>
      <c r="K144" s="135" t="s">
        <v>351</v>
      </c>
      <c r="L144" s="185" t="s">
        <v>277</v>
      </c>
      <c r="M144" s="216">
        <v>1363.000000000005</v>
      </c>
      <c r="N144" s="216">
        <v>1540.233333333332</v>
      </c>
      <c r="O144" s="216">
        <v>1447.233333333339</v>
      </c>
      <c r="P144" s="216">
        <v>1291.999999999995</v>
      </c>
      <c r="Q144" s="216">
        <v>1268.333333333328</v>
      </c>
      <c r="R144" s="216">
        <v>1244.666666666662</v>
      </c>
      <c r="S144" s="216">
        <v>1220.999999999995</v>
      </c>
      <c r="T144" s="216">
        <v>1197.3333333333289</v>
      </c>
      <c r="U144" s="216">
        <v>1173.666666666662</v>
      </c>
      <c r="V144" s="216">
        <v>1149.9999999999959</v>
      </c>
      <c r="W144" s="216">
        <v>1138.676606458652</v>
      </c>
      <c r="X144" s="216">
        <v>1127.3532129172979</v>
      </c>
      <c r="Y144" s="216">
        <v>1116.029819375955</v>
      </c>
      <c r="Z144" s="216">
        <v>1104.7064258346011</v>
      </c>
      <c r="AA144" s="216">
        <v>1093.383032293247</v>
      </c>
      <c r="AB144" s="216">
        <v>1082.059638751904</v>
      </c>
      <c r="AC144" s="216">
        <v>1070.7362452105499</v>
      </c>
      <c r="AD144" s="216">
        <v>1059.4128516692081</v>
      </c>
      <c r="AE144" s="216">
        <v>1048.0894581278601</v>
      </c>
      <c r="AF144" s="216">
        <v>1036.7660645865101</v>
      </c>
      <c r="AG144" s="216">
        <v>1025.4426710451601</v>
      </c>
      <c r="AH144" s="216">
        <v>1014.1192775038101</v>
      </c>
      <c r="AI144" s="216">
        <v>1002.795883962462</v>
      </c>
      <c r="AJ144" s="216">
        <v>991.47249042111207</v>
      </c>
      <c r="AK144" s="216">
        <v>980.14909687976228</v>
      </c>
      <c r="AL144" s="216">
        <v>968.82570333841363</v>
      </c>
      <c r="AM144" s="216">
        <v>957.50230979706396</v>
      </c>
      <c r="AN144" s="216">
        <v>946.17891625571417</v>
      </c>
      <c r="AO144" s="216">
        <v>934.8555227143645</v>
      </c>
      <c r="AP144" s="216">
        <v>923.53212917301573</v>
      </c>
    </row>
    <row r="145" spans="7:42" ht="14.25" customHeight="1" thickBot="1" x14ac:dyDescent="0.25">
      <c r="G145" s="138"/>
      <c r="H145" s="380"/>
      <c r="J145" s="358"/>
      <c r="K145" s="196" t="s">
        <v>351</v>
      </c>
      <c r="L145" s="196" t="s">
        <v>278</v>
      </c>
      <c r="M145" s="214">
        <v>1363.000000000005</v>
      </c>
      <c r="N145" s="214">
        <v>1556.072238339216</v>
      </c>
      <c r="O145" s="214">
        <v>1477.53384725762</v>
      </c>
      <c r="P145" s="214">
        <v>1333.3188826240321</v>
      </c>
      <c r="Q145" s="214">
        <v>1323.4251768320451</v>
      </c>
      <c r="R145" s="214">
        <v>1313.531471040058</v>
      </c>
      <c r="S145" s="214">
        <v>1303.637765248071</v>
      </c>
      <c r="T145" s="214">
        <v>1293.744059456073</v>
      </c>
      <c r="U145" s="214">
        <v>1283.8503536640851</v>
      </c>
      <c r="V145" s="214">
        <v>1273.9566478720981</v>
      </c>
      <c r="W145" s="214">
        <v>1265.366506952058</v>
      </c>
      <c r="X145" s="214">
        <v>1256.7763660320179</v>
      </c>
      <c r="Y145" s="214">
        <v>1248.186225111978</v>
      </c>
      <c r="Z145" s="214">
        <v>1239.5960841919491</v>
      </c>
      <c r="AA145" s="214">
        <v>1231.005943271909</v>
      </c>
      <c r="AB145" s="214">
        <v>1222.4158023518689</v>
      </c>
      <c r="AC145" s="214">
        <v>1213.8256614318291</v>
      </c>
      <c r="AD145" s="214">
        <v>1205.235520511789</v>
      </c>
      <c r="AE145" s="214">
        <v>1196.6453795917489</v>
      </c>
      <c r="AF145" s="214">
        <v>1188.055238671709</v>
      </c>
      <c r="AG145" s="214">
        <v>1179.465097751669</v>
      </c>
      <c r="AH145" s="214">
        <v>1170.8749568316291</v>
      </c>
      <c r="AI145" s="214">
        <v>1162.284815911589</v>
      </c>
      <c r="AJ145" s="214">
        <v>1153.6946749915489</v>
      </c>
      <c r="AK145" s="214">
        <v>1145.10453407152</v>
      </c>
      <c r="AL145" s="214">
        <v>1136.5143931514799</v>
      </c>
      <c r="AM145" s="214">
        <v>1127.9242522314401</v>
      </c>
      <c r="AN145" s="214">
        <v>1119.3341113114</v>
      </c>
      <c r="AO145" s="214">
        <v>1110.7439703913601</v>
      </c>
      <c r="AP145" s="214">
        <v>1102.15382947132</v>
      </c>
    </row>
    <row r="146" spans="7:42" ht="14.25" customHeight="1" thickTop="1" x14ac:dyDescent="0.2">
      <c r="G146" s="138"/>
      <c r="H146" s="380"/>
      <c r="J146" s="358"/>
      <c r="K146" s="194" t="s">
        <v>353</v>
      </c>
      <c r="L146" s="194" t="s">
        <v>276</v>
      </c>
      <c r="M146" s="215">
        <v>1363.000000000005</v>
      </c>
      <c r="N146" s="215">
        <v>1533.3167150176359</v>
      </c>
      <c r="O146" s="215">
        <v>1434.0015417728739</v>
      </c>
      <c r="P146" s="215">
        <v>1273.9566478720981</v>
      </c>
      <c r="Q146" s="215">
        <v>1244.2755304961361</v>
      </c>
      <c r="R146" s="215">
        <v>1214.5944131201641</v>
      </c>
      <c r="S146" s="215">
        <v>1184.9132957442021</v>
      </c>
      <c r="T146" s="215">
        <v>1155.2321783682289</v>
      </c>
      <c r="U146" s="215">
        <v>1125.551060992268</v>
      </c>
      <c r="V146" s="215">
        <v>1095.8699436162949</v>
      </c>
      <c r="W146" s="215">
        <v>1083.5551837210719</v>
      </c>
      <c r="X146" s="215">
        <v>1071.240423825838</v>
      </c>
      <c r="Y146" s="215">
        <v>1058.9256639306141</v>
      </c>
      <c r="Z146" s="215">
        <v>1046.6109040353831</v>
      </c>
      <c r="AA146" s="215">
        <v>1034.296144140154</v>
      </c>
      <c r="AB146" s="215">
        <v>1021.981384244924</v>
      </c>
      <c r="AC146" s="215">
        <v>1009.666624349694</v>
      </c>
      <c r="AD146" s="215">
        <v>997.35186445446493</v>
      </c>
      <c r="AE146" s="215">
        <v>985.03710455923544</v>
      </c>
      <c r="AF146" s="215">
        <v>972.72234466400585</v>
      </c>
      <c r="AG146" s="215">
        <v>960.40758476877625</v>
      </c>
      <c r="AH146" s="215">
        <v>948.09282487354665</v>
      </c>
      <c r="AI146" s="215">
        <v>935.77806497831716</v>
      </c>
      <c r="AJ146" s="215">
        <v>923.46330508308654</v>
      </c>
      <c r="AK146" s="215">
        <v>911.14854518785694</v>
      </c>
      <c r="AL146" s="215">
        <v>898.83378529262734</v>
      </c>
      <c r="AM146" s="215">
        <v>886.51902539739785</v>
      </c>
      <c r="AN146" s="215">
        <v>874.20426550216825</v>
      </c>
      <c r="AO146" s="215">
        <v>861.88950560693866</v>
      </c>
      <c r="AP146" s="215">
        <v>849.57474571170906</v>
      </c>
    </row>
    <row r="147" spans="7:42" ht="14.25" customHeight="1" x14ac:dyDescent="0.2">
      <c r="G147" s="138"/>
      <c r="H147" s="380"/>
      <c r="J147" s="358"/>
      <c r="K147" s="135" t="s">
        <v>353</v>
      </c>
      <c r="L147" s="185" t="s">
        <v>277</v>
      </c>
      <c r="M147" s="217">
        <v>1363.000000000005</v>
      </c>
      <c r="N147" s="217">
        <v>1540.233333333332</v>
      </c>
      <c r="O147" s="217">
        <v>1447.233333333339</v>
      </c>
      <c r="P147" s="217">
        <v>1291.999999999995</v>
      </c>
      <c r="Q147" s="217">
        <v>1268.333333333328</v>
      </c>
      <c r="R147" s="217">
        <v>1244.666666666662</v>
      </c>
      <c r="S147" s="217">
        <v>1220.999999999995</v>
      </c>
      <c r="T147" s="217">
        <v>1197.3333333333289</v>
      </c>
      <c r="U147" s="217">
        <v>1173.666666666662</v>
      </c>
      <c r="V147" s="217">
        <v>1149.9999999999959</v>
      </c>
      <c r="W147" s="217">
        <v>1138.676606458652</v>
      </c>
      <c r="X147" s="217">
        <v>1127.3532129172979</v>
      </c>
      <c r="Y147" s="217">
        <v>1116.029819375955</v>
      </c>
      <c r="Z147" s="217">
        <v>1104.7064258346011</v>
      </c>
      <c r="AA147" s="217">
        <v>1093.383032293247</v>
      </c>
      <c r="AB147" s="217">
        <v>1082.059638751904</v>
      </c>
      <c r="AC147" s="217">
        <v>1070.7362452105499</v>
      </c>
      <c r="AD147" s="217">
        <v>1059.4128516692081</v>
      </c>
      <c r="AE147" s="217">
        <v>1048.0894581278601</v>
      </c>
      <c r="AF147" s="217">
        <v>1036.7660645865101</v>
      </c>
      <c r="AG147" s="217">
        <v>1025.4426710451601</v>
      </c>
      <c r="AH147" s="217">
        <v>1014.1192775038101</v>
      </c>
      <c r="AI147" s="217">
        <v>1002.795883962462</v>
      </c>
      <c r="AJ147" s="217">
        <v>991.47249042111207</v>
      </c>
      <c r="AK147" s="217">
        <v>980.14909687976228</v>
      </c>
      <c r="AL147" s="217">
        <v>968.82570333841363</v>
      </c>
      <c r="AM147" s="217">
        <v>957.50230979706396</v>
      </c>
      <c r="AN147" s="217">
        <v>946.17891625571417</v>
      </c>
      <c r="AO147" s="217">
        <v>934.8555227143645</v>
      </c>
      <c r="AP147" s="217">
        <v>923.53212917301573</v>
      </c>
    </row>
    <row r="148" spans="7:42" ht="14.25" customHeight="1" thickBot="1" x14ac:dyDescent="0.25">
      <c r="G148" s="138"/>
      <c r="H148" s="380"/>
      <c r="J148" s="358"/>
      <c r="K148" s="196" t="s">
        <v>353</v>
      </c>
      <c r="L148" s="196" t="s">
        <v>278</v>
      </c>
      <c r="M148" s="214">
        <v>1363.000000000005</v>
      </c>
      <c r="N148" s="214">
        <v>1556.072238339216</v>
      </c>
      <c r="O148" s="214">
        <v>1477.53384725762</v>
      </c>
      <c r="P148" s="214">
        <v>1333.3188826240321</v>
      </c>
      <c r="Q148" s="214">
        <v>1323.4251768320451</v>
      </c>
      <c r="R148" s="214">
        <v>1313.531471040058</v>
      </c>
      <c r="S148" s="214">
        <v>1303.637765248071</v>
      </c>
      <c r="T148" s="214">
        <v>1293.744059456073</v>
      </c>
      <c r="U148" s="214">
        <v>1283.8503536640851</v>
      </c>
      <c r="V148" s="214">
        <v>1273.9566478720981</v>
      </c>
      <c r="W148" s="214">
        <v>1265.366506952058</v>
      </c>
      <c r="X148" s="214">
        <v>1256.7763660320179</v>
      </c>
      <c r="Y148" s="214">
        <v>1248.186225111978</v>
      </c>
      <c r="Z148" s="214">
        <v>1239.5960841919491</v>
      </c>
      <c r="AA148" s="214">
        <v>1231.005943271909</v>
      </c>
      <c r="AB148" s="214">
        <v>1222.4158023518689</v>
      </c>
      <c r="AC148" s="214">
        <v>1213.8256614318291</v>
      </c>
      <c r="AD148" s="214">
        <v>1205.235520511789</v>
      </c>
      <c r="AE148" s="214">
        <v>1196.6453795917489</v>
      </c>
      <c r="AF148" s="214">
        <v>1188.055238671709</v>
      </c>
      <c r="AG148" s="214">
        <v>1179.465097751669</v>
      </c>
      <c r="AH148" s="214">
        <v>1170.8749568316291</v>
      </c>
      <c r="AI148" s="214">
        <v>1162.284815911589</v>
      </c>
      <c r="AJ148" s="214">
        <v>1153.6946749915489</v>
      </c>
      <c r="AK148" s="214">
        <v>1145.10453407152</v>
      </c>
      <c r="AL148" s="214">
        <v>1136.5143931514799</v>
      </c>
      <c r="AM148" s="214">
        <v>1127.9242522314401</v>
      </c>
      <c r="AN148" s="214">
        <v>1119.3341113114</v>
      </c>
      <c r="AO148" s="214">
        <v>1110.7439703913601</v>
      </c>
      <c r="AP148" s="214">
        <v>1102.15382947132</v>
      </c>
    </row>
    <row r="149" spans="7:42" ht="14.25" customHeight="1" thickTop="1" x14ac:dyDescent="0.2">
      <c r="G149" s="138"/>
      <c r="H149" s="380"/>
      <c r="J149" s="358"/>
      <c r="K149" s="194" t="s">
        <v>355</v>
      </c>
      <c r="L149" s="194" t="s">
        <v>276</v>
      </c>
      <c r="M149" s="215">
        <v>1363.000000000005</v>
      </c>
      <c r="N149" s="215">
        <v>1533.3167150176359</v>
      </c>
      <c r="O149" s="215">
        <v>1434.0015417728739</v>
      </c>
      <c r="P149" s="215">
        <v>1273.9566478720981</v>
      </c>
      <c r="Q149" s="215">
        <v>1244.2755304961361</v>
      </c>
      <c r="R149" s="215">
        <v>1214.5944131201641</v>
      </c>
      <c r="S149" s="215">
        <v>1184.9132957442021</v>
      </c>
      <c r="T149" s="215">
        <v>1155.2321783682289</v>
      </c>
      <c r="U149" s="215">
        <v>1125.551060992268</v>
      </c>
      <c r="V149" s="215">
        <v>1095.8699436162949</v>
      </c>
      <c r="W149" s="215">
        <v>1083.5551837210719</v>
      </c>
      <c r="X149" s="215">
        <v>1071.240423825838</v>
      </c>
      <c r="Y149" s="215">
        <v>1058.9256639306141</v>
      </c>
      <c r="Z149" s="215">
        <v>1046.6109040353831</v>
      </c>
      <c r="AA149" s="215">
        <v>1034.296144140154</v>
      </c>
      <c r="AB149" s="215">
        <v>1021.981384244924</v>
      </c>
      <c r="AC149" s="215">
        <v>1009.666624349694</v>
      </c>
      <c r="AD149" s="215">
        <v>997.35186445446493</v>
      </c>
      <c r="AE149" s="215">
        <v>985.03710455923544</v>
      </c>
      <c r="AF149" s="215">
        <v>972.72234466400585</v>
      </c>
      <c r="AG149" s="215">
        <v>960.40758476877625</v>
      </c>
      <c r="AH149" s="215">
        <v>948.09282487354665</v>
      </c>
      <c r="AI149" s="215">
        <v>935.77806497831716</v>
      </c>
      <c r="AJ149" s="215">
        <v>923.46330508308654</v>
      </c>
      <c r="AK149" s="215">
        <v>911.14854518785694</v>
      </c>
      <c r="AL149" s="215">
        <v>898.83378529262734</v>
      </c>
      <c r="AM149" s="215">
        <v>886.51902539739785</v>
      </c>
      <c r="AN149" s="215">
        <v>874.20426550216825</v>
      </c>
      <c r="AO149" s="215">
        <v>861.88950560693866</v>
      </c>
      <c r="AP149" s="215">
        <v>849.57474571170906</v>
      </c>
    </row>
    <row r="150" spans="7:42" ht="14.25" customHeight="1" x14ac:dyDescent="0.2">
      <c r="G150" s="138"/>
      <c r="H150" s="380"/>
      <c r="J150" s="358"/>
      <c r="K150" s="135" t="s">
        <v>355</v>
      </c>
      <c r="L150" s="185" t="s">
        <v>277</v>
      </c>
      <c r="M150" s="213">
        <v>1363.000000000005</v>
      </c>
      <c r="N150" s="213">
        <v>1540.233333333332</v>
      </c>
      <c r="O150" s="213">
        <v>1447.233333333339</v>
      </c>
      <c r="P150" s="213">
        <v>1291.999999999995</v>
      </c>
      <c r="Q150" s="213">
        <v>1268.333333333328</v>
      </c>
      <c r="R150" s="213">
        <v>1244.666666666662</v>
      </c>
      <c r="S150" s="213">
        <v>1220.999999999995</v>
      </c>
      <c r="T150" s="213">
        <v>1197.3333333333289</v>
      </c>
      <c r="U150" s="213">
        <v>1173.666666666662</v>
      </c>
      <c r="V150" s="213">
        <v>1149.9999999999959</v>
      </c>
      <c r="W150" s="213">
        <v>1138.676606458652</v>
      </c>
      <c r="X150" s="213">
        <v>1127.3532129172979</v>
      </c>
      <c r="Y150" s="213">
        <v>1116.029819375955</v>
      </c>
      <c r="Z150" s="213">
        <v>1104.7064258346011</v>
      </c>
      <c r="AA150" s="213">
        <v>1093.383032293247</v>
      </c>
      <c r="AB150" s="213">
        <v>1082.059638751904</v>
      </c>
      <c r="AC150" s="213">
        <v>1070.7362452105499</v>
      </c>
      <c r="AD150" s="213">
        <v>1059.4128516692081</v>
      </c>
      <c r="AE150" s="213">
        <v>1048.0894581278601</v>
      </c>
      <c r="AF150" s="213">
        <v>1036.7660645865101</v>
      </c>
      <c r="AG150" s="213">
        <v>1025.4426710451601</v>
      </c>
      <c r="AH150" s="213">
        <v>1014.1192775038101</v>
      </c>
      <c r="AI150" s="213">
        <v>1002.795883962462</v>
      </c>
      <c r="AJ150" s="213">
        <v>991.47249042111207</v>
      </c>
      <c r="AK150" s="213">
        <v>980.14909687976228</v>
      </c>
      <c r="AL150" s="213">
        <v>968.82570333841363</v>
      </c>
      <c r="AM150" s="213">
        <v>957.50230979706396</v>
      </c>
      <c r="AN150" s="213">
        <v>946.17891625571417</v>
      </c>
      <c r="AO150" s="213">
        <v>934.8555227143645</v>
      </c>
      <c r="AP150" s="213">
        <v>923.53212917301573</v>
      </c>
    </row>
    <row r="151" spans="7:42" ht="14.25" customHeight="1" thickBot="1" x14ac:dyDescent="0.25">
      <c r="G151" s="138"/>
      <c r="H151" s="380"/>
      <c r="J151" s="358"/>
      <c r="K151" s="196" t="s">
        <v>355</v>
      </c>
      <c r="L151" s="196" t="s">
        <v>278</v>
      </c>
      <c r="M151" s="214">
        <v>1363.000000000005</v>
      </c>
      <c r="N151" s="214">
        <v>1556.072238339216</v>
      </c>
      <c r="O151" s="214">
        <v>1477.53384725762</v>
      </c>
      <c r="P151" s="214">
        <v>1333.3188826240321</v>
      </c>
      <c r="Q151" s="214">
        <v>1323.4251768320451</v>
      </c>
      <c r="R151" s="214">
        <v>1313.531471040058</v>
      </c>
      <c r="S151" s="214">
        <v>1303.637765248071</v>
      </c>
      <c r="T151" s="214">
        <v>1293.744059456073</v>
      </c>
      <c r="U151" s="214">
        <v>1283.8503536640851</v>
      </c>
      <c r="V151" s="214">
        <v>1273.9566478720981</v>
      </c>
      <c r="W151" s="214">
        <v>1265.366506952058</v>
      </c>
      <c r="X151" s="214">
        <v>1256.7763660320179</v>
      </c>
      <c r="Y151" s="214">
        <v>1248.186225111978</v>
      </c>
      <c r="Z151" s="214">
        <v>1239.5960841919491</v>
      </c>
      <c r="AA151" s="214">
        <v>1231.005943271909</v>
      </c>
      <c r="AB151" s="214">
        <v>1222.4158023518689</v>
      </c>
      <c r="AC151" s="214">
        <v>1213.8256614318291</v>
      </c>
      <c r="AD151" s="214">
        <v>1205.235520511789</v>
      </c>
      <c r="AE151" s="214">
        <v>1196.6453795917489</v>
      </c>
      <c r="AF151" s="214">
        <v>1188.055238671709</v>
      </c>
      <c r="AG151" s="214">
        <v>1179.465097751669</v>
      </c>
      <c r="AH151" s="214">
        <v>1170.8749568316291</v>
      </c>
      <c r="AI151" s="214">
        <v>1162.284815911589</v>
      </c>
      <c r="AJ151" s="214">
        <v>1153.6946749915489</v>
      </c>
      <c r="AK151" s="214">
        <v>1145.10453407152</v>
      </c>
      <c r="AL151" s="214">
        <v>1136.5143931514799</v>
      </c>
      <c r="AM151" s="214">
        <v>1127.9242522314401</v>
      </c>
      <c r="AN151" s="214">
        <v>1119.3341113114</v>
      </c>
      <c r="AO151" s="214">
        <v>1110.7439703913601</v>
      </c>
      <c r="AP151" s="214">
        <v>1102.15382947132</v>
      </c>
    </row>
    <row r="152" spans="7:42" ht="14.25" customHeight="1" thickTop="1" x14ac:dyDescent="0.2">
      <c r="G152" s="138"/>
      <c r="H152" s="380"/>
      <c r="J152" s="358"/>
      <c r="K152" s="194" t="s">
        <v>357</v>
      </c>
      <c r="L152" s="194" t="s">
        <v>276</v>
      </c>
      <c r="M152" s="215">
        <v>1363.000000000005</v>
      </c>
      <c r="N152" s="215">
        <v>1533.3167150176359</v>
      </c>
      <c r="O152" s="215">
        <v>1434.0015417728739</v>
      </c>
      <c r="P152" s="215">
        <v>1273.9566478720981</v>
      </c>
      <c r="Q152" s="215">
        <v>1244.2755304961361</v>
      </c>
      <c r="R152" s="215">
        <v>1214.5944131201641</v>
      </c>
      <c r="S152" s="215">
        <v>1184.9132957442021</v>
      </c>
      <c r="T152" s="215">
        <v>1155.2321783682289</v>
      </c>
      <c r="U152" s="215">
        <v>1125.551060992268</v>
      </c>
      <c r="V152" s="215">
        <v>1095.8699436162949</v>
      </c>
      <c r="W152" s="215">
        <v>1083.5551837210719</v>
      </c>
      <c r="X152" s="215">
        <v>1071.240423825838</v>
      </c>
      <c r="Y152" s="215">
        <v>1058.9256639306141</v>
      </c>
      <c r="Z152" s="215">
        <v>1046.6109040353831</v>
      </c>
      <c r="AA152" s="215">
        <v>1034.296144140154</v>
      </c>
      <c r="AB152" s="215">
        <v>1021.981384244924</v>
      </c>
      <c r="AC152" s="215">
        <v>1009.666624349694</v>
      </c>
      <c r="AD152" s="215">
        <v>997.35186445446493</v>
      </c>
      <c r="AE152" s="215">
        <v>985.03710455923544</v>
      </c>
      <c r="AF152" s="215">
        <v>972.72234466400585</v>
      </c>
      <c r="AG152" s="215">
        <v>960.40758476877625</v>
      </c>
      <c r="AH152" s="215">
        <v>948.09282487354665</v>
      </c>
      <c r="AI152" s="215">
        <v>935.77806497831716</v>
      </c>
      <c r="AJ152" s="215">
        <v>923.46330508308654</v>
      </c>
      <c r="AK152" s="215">
        <v>911.14854518785694</v>
      </c>
      <c r="AL152" s="215">
        <v>898.83378529262734</v>
      </c>
      <c r="AM152" s="215">
        <v>886.51902539739785</v>
      </c>
      <c r="AN152" s="215">
        <v>874.20426550216825</v>
      </c>
      <c r="AO152" s="215">
        <v>861.88950560693866</v>
      </c>
      <c r="AP152" s="215">
        <v>849.57474571170906</v>
      </c>
    </row>
    <row r="153" spans="7:42" ht="14.25" customHeight="1" x14ac:dyDescent="0.2">
      <c r="G153" s="138"/>
      <c r="H153" s="380"/>
      <c r="J153" s="358"/>
      <c r="K153" s="135" t="s">
        <v>357</v>
      </c>
      <c r="L153" s="185" t="s">
        <v>277</v>
      </c>
      <c r="M153" s="213">
        <v>1363.000000000005</v>
      </c>
      <c r="N153" s="213">
        <v>1540.233333333332</v>
      </c>
      <c r="O153" s="213">
        <v>1447.233333333339</v>
      </c>
      <c r="P153" s="213">
        <v>1291.999999999995</v>
      </c>
      <c r="Q153" s="213">
        <v>1268.333333333328</v>
      </c>
      <c r="R153" s="213">
        <v>1244.666666666662</v>
      </c>
      <c r="S153" s="213">
        <v>1220.999999999995</v>
      </c>
      <c r="T153" s="213">
        <v>1197.3333333333289</v>
      </c>
      <c r="U153" s="213">
        <v>1173.666666666662</v>
      </c>
      <c r="V153" s="213">
        <v>1149.9999999999959</v>
      </c>
      <c r="W153" s="213">
        <v>1138.676606458652</v>
      </c>
      <c r="X153" s="213">
        <v>1127.3532129172979</v>
      </c>
      <c r="Y153" s="213">
        <v>1116.029819375955</v>
      </c>
      <c r="Z153" s="213">
        <v>1104.7064258346011</v>
      </c>
      <c r="AA153" s="213">
        <v>1093.383032293247</v>
      </c>
      <c r="AB153" s="213">
        <v>1082.059638751904</v>
      </c>
      <c r="AC153" s="213">
        <v>1070.7362452105499</v>
      </c>
      <c r="AD153" s="213">
        <v>1059.4128516692081</v>
      </c>
      <c r="AE153" s="213">
        <v>1048.0894581278601</v>
      </c>
      <c r="AF153" s="213">
        <v>1036.7660645865101</v>
      </c>
      <c r="AG153" s="213">
        <v>1025.4426710451601</v>
      </c>
      <c r="AH153" s="213">
        <v>1014.1192775038101</v>
      </c>
      <c r="AI153" s="213">
        <v>1002.795883962462</v>
      </c>
      <c r="AJ153" s="213">
        <v>991.47249042111207</v>
      </c>
      <c r="AK153" s="213">
        <v>980.14909687976228</v>
      </c>
      <c r="AL153" s="213">
        <v>968.82570333841363</v>
      </c>
      <c r="AM153" s="213">
        <v>957.50230979706396</v>
      </c>
      <c r="AN153" s="213">
        <v>946.17891625571417</v>
      </c>
      <c r="AO153" s="213">
        <v>934.8555227143645</v>
      </c>
      <c r="AP153" s="213">
        <v>923.53212917301573</v>
      </c>
    </row>
    <row r="154" spans="7:42" ht="14.25" customHeight="1" thickBot="1" x14ac:dyDescent="0.25">
      <c r="G154" s="138"/>
      <c r="H154" s="380"/>
      <c r="J154" s="358"/>
      <c r="K154" s="196" t="s">
        <v>357</v>
      </c>
      <c r="L154" s="196" t="s">
        <v>278</v>
      </c>
      <c r="M154" s="214">
        <v>1363.000000000005</v>
      </c>
      <c r="N154" s="214">
        <v>1556.072238339216</v>
      </c>
      <c r="O154" s="214">
        <v>1477.53384725762</v>
      </c>
      <c r="P154" s="214">
        <v>1333.3188826240321</v>
      </c>
      <c r="Q154" s="214">
        <v>1323.4251768320451</v>
      </c>
      <c r="R154" s="214">
        <v>1313.531471040058</v>
      </c>
      <c r="S154" s="214">
        <v>1303.637765248071</v>
      </c>
      <c r="T154" s="214">
        <v>1293.744059456073</v>
      </c>
      <c r="U154" s="214">
        <v>1283.8503536640851</v>
      </c>
      <c r="V154" s="214">
        <v>1273.9566478720981</v>
      </c>
      <c r="W154" s="214">
        <v>1265.366506952058</v>
      </c>
      <c r="X154" s="214">
        <v>1256.7763660320179</v>
      </c>
      <c r="Y154" s="214">
        <v>1248.186225111978</v>
      </c>
      <c r="Z154" s="214">
        <v>1239.5960841919491</v>
      </c>
      <c r="AA154" s="214">
        <v>1231.005943271909</v>
      </c>
      <c r="AB154" s="214">
        <v>1222.4158023518689</v>
      </c>
      <c r="AC154" s="214">
        <v>1213.8256614318291</v>
      </c>
      <c r="AD154" s="214">
        <v>1205.235520511789</v>
      </c>
      <c r="AE154" s="214">
        <v>1196.6453795917489</v>
      </c>
      <c r="AF154" s="214">
        <v>1188.055238671709</v>
      </c>
      <c r="AG154" s="214">
        <v>1179.465097751669</v>
      </c>
      <c r="AH154" s="214">
        <v>1170.8749568316291</v>
      </c>
      <c r="AI154" s="214">
        <v>1162.284815911589</v>
      </c>
      <c r="AJ154" s="214">
        <v>1153.6946749915489</v>
      </c>
      <c r="AK154" s="214">
        <v>1145.10453407152</v>
      </c>
      <c r="AL154" s="214">
        <v>1136.5143931514799</v>
      </c>
      <c r="AM154" s="214">
        <v>1127.9242522314401</v>
      </c>
      <c r="AN154" s="214">
        <v>1119.3341113114</v>
      </c>
      <c r="AO154" s="214">
        <v>1110.7439703913601</v>
      </c>
      <c r="AP154" s="214">
        <v>1102.15382947132</v>
      </c>
    </row>
    <row r="155" spans="7:42" ht="14.25" customHeight="1" thickTop="1" x14ac:dyDescent="0.2">
      <c r="G155" s="138"/>
      <c r="H155" s="380"/>
      <c r="J155" s="358"/>
      <c r="K155" s="194" t="s">
        <v>359</v>
      </c>
      <c r="L155" s="194" t="s">
        <v>276</v>
      </c>
      <c r="M155" s="215">
        <v>1363.000000000005</v>
      </c>
      <c r="N155" s="215">
        <v>1533.3167150176359</v>
      </c>
      <c r="O155" s="215">
        <v>1434.0015417728739</v>
      </c>
      <c r="P155" s="215">
        <v>1273.9566478720981</v>
      </c>
      <c r="Q155" s="215">
        <v>1244.2755304961361</v>
      </c>
      <c r="R155" s="215">
        <v>1214.5944131201641</v>
      </c>
      <c r="S155" s="215">
        <v>1184.9132957442021</v>
      </c>
      <c r="T155" s="215">
        <v>1155.2321783682289</v>
      </c>
      <c r="U155" s="215">
        <v>1125.551060992268</v>
      </c>
      <c r="V155" s="215">
        <v>1095.8699436162949</v>
      </c>
      <c r="W155" s="215">
        <v>1083.5551837210719</v>
      </c>
      <c r="X155" s="215">
        <v>1071.240423825838</v>
      </c>
      <c r="Y155" s="215">
        <v>1058.9256639306141</v>
      </c>
      <c r="Z155" s="215">
        <v>1046.6109040353831</v>
      </c>
      <c r="AA155" s="215">
        <v>1034.296144140154</v>
      </c>
      <c r="AB155" s="215">
        <v>1021.981384244924</v>
      </c>
      <c r="AC155" s="215">
        <v>1009.666624349694</v>
      </c>
      <c r="AD155" s="215">
        <v>997.35186445446493</v>
      </c>
      <c r="AE155" s="215">
        <v>985.03710455923544</v>
      </c>
      <c r="AF155" s="215">
        <v>972.72234466400585</v>
      </c>
      <c r="AG155" s="215">
        <v>960.40758476877625</v>
      </c>
      <c r="AH155" s="215">
        <v>948.09282487354665</v>
      </c>
      <c r="AI155" s="215">
        <v>935.77806497831716</v>
      </c>
      <c r="AJ155" s="215">
        <v>923.46330508308654</v>
      </c>
      <c r="AK155" s="215">
        <v>911.14854518785694</v>
      </c>
      <c r="AL155" s="215">
        <v>898.83378529262734</v>
      </c>
      <c r="AM155" s="215">
        <v>886.51902539739785</v>
      </c>
      <c r="AN155" s="215">
        <v>874.20426550216825</v>
      </c>
      <c r="AO155" s="215">
        <v>861.88950560693866</v>
      </c>
      <c r="AP155" s="215">
        <v>849.57474571170906</v>
      </c>
    </row>
    <row r="156" spans="7:42" ht="14.25" customHeight="1" x14ac:dyDescent="0.2">
      <c r="G156" s="138"/>
      <c r="H156" s="380"/>
      <c r="J156" s="358"/>
      <c r="K156" s="135" t="s">
        <v>359</v>
      </c>
      <c r="L156" s="185" t="s">
        <v>277</v>
      </c>
      <c r="M156" s="213">
        <v>1363.000000000005</v>
      </c>
      <c r="N156" s="213">
        <v>1540.233333333332</v>
      </c>
      <c r="O156" s="213">
        <v>1447.233333333339</v>
      </c>
      <c r="P156" s="213">
        <v>1291.999999999995</v>
      </c>
      <c r="Q156" s="213">
        <v>1268.333333333328</v>
      </c>
      <c r="R156" s="213">
        <v>1244.666666666662</v>
      </c>
      <c r="S156" s="213">
        <v>1220.999999999995</v>
      </c>
      <c r="T156" s="213">
        <v>1197.3333333333289</v>
      </c>
      <c r="U156" s="213">
        <v>1173.666666666662</v>
      </c>
      <c r="V156" s="213">
        <v>1149.9999999999959</v>
      </c>
      <c r="W156" s="213">
        <v>1138.676606458652</v>
      </c>
      <c r="X156" s="213">
        <v>1127.3532129172979</v>
      </c>
      <c r="Y156" s="213">
        <v>1116.029819375955</v>
      </c>
      <c r="Z156" s="213">
        <v>1104.7064258346011</v>
      </c>
      <c r="AA156" s="213">
        <v>1093.383032293247</v>
      </c>
      <c r="AB156" s="213">
        <v>1082.059638751904</v>
      </c>
      <c r="AC156" s="213">
        <v>1070.7362452105499</v>
      </c>
      <c r="AD156" s="213">
        <v>1059.4128516692081</v>
      </c>
      <c r="AE156" s="213">
        <v>1048.0894581278601</v>
      </c>
      <c r="AF156" s="213">
        <v>1036.7660645865101</v>
      </c>
      <c r="AG156" s="213">
        <v>1025.4426710451601</v>
      </c>
      <c r="AH156" s="213">
        <v>1014.1192775038101</v>
      </c>
      <c r="AI156" s="213">
        <v>1002.795883962462</v>
      </c>
      <c r="AJ156" s="213">
        <v>991.47249042111207</v>
      </c>
      <c r="AK156" s="213">
        <v>980.14909687976228</v>
      </c>
      <c r="AL156" s="213">
        <v>968.82570333841363</v>
      </c>
      <c r="AM156" s="213">
        <v>957.50230979706396</v>
      </c>
      <c r="AN156" s="213">
        <v>946.17891625571417</v>
      </c>
      <c r="AO156" s="213">
        <v>934.8555227143645</v>
      </c>
      <c r="AP156" s="213">
        <v>923.53212917301573</v>
      </c>
    </row>
    <row r="157" spans="7:42" ht="14.25" customHeight="1" thickBot="1" x14ac:dyDescent="0.25">
      <c r="G157" s="138"/>
      <c r="H157" s="380"/>
      <c r="J157" s="358"/>
      <c r="K157" s="196" t="s">
        <v>359</v>
      </c>
      <c r="L157" s="196" t="s">
        <v>278</v>
      </c>
      <c r="M157" s="214">
        <v>1363.000000000005</v>
      </c>
      <c r="N157" s="214">
        <v>1556.072238339216</v>
      </c>
      <c r="O157" s="214">
        <v>1477.53384725762</v>
      </c>
      <c r="P157" s="214">
        <v>1333.3188826240321</v>
      </c>
      <c r="Q157" s="214">
        <v>1323.4251768320451</v>
      </c>
      <c r="R157" s="214">
        <v>1313.531471040058</v>
      </c>
      <c r="S157" s="214">
        <v>1303.637765248071</v>
      </c>
      <c r="T157" s="214">
        <v>1293.744059456073</v>
      </c>
      <c r="U157" s="214">
        <v>1283.8503536640851</v>
      </c>
      <c r="V157" s="214">
        <v>1273.9566478720981</v>
      </c>
      <c r="W157" s="214">
        <v>1265.366506952058</v>
      </c>
      <c r="X157" s="214">
        <v>1256.7763660320179</v>
      </c>
      <c r="Y157" s="214">
        <v>1248.186225111978</v>
      </c>
      <c r="Z157" s="214">
        <v>1239.5960841919491</v>
      </c>
      <c r="AA157" s="214">
        <v>1231.005943271909</v>
      </c>
      <c r="AB157" s="214">
        <v>1222.4158023518689</v>
      </c>
      <c r="AC157" s="214">
        <v>1213.8256614318291</v>
      </c>
      <c r="AD157" s="214">
        <v>1205.235520511789</v>
      </c>
      <c r="AE157" s="214">
        <v>1196.6453795917489</v>
      </c>
      <c r="AF157" s="214">
        <v>1188.055238671709</v>
      </c>
      <c r="AG157" s="214">
        <v>1179.465097751669</v>
      </c>
      <c r="AH157" s="214">
        <v>1170.8749568316291</v>
      </c>
      <c r="AI157" s="214">
        <v>1162.284815911589</v>
      </c>
      <c r="AJ157" s="214">
        <v>1153.6946749915489</v>
      </c>
      <c r="AK157" s="214">
        <v>1145.10453407152</v>
      </c>
      <c r="AL157" s="214">
        <v>1136.5143931514799</v>
      </c>
      <c r="AM157" s="214">
        <v>1127.9242522314401</v>
      </c>
      <c r="AN157" s="214">
        <v>1119.3341113114</v>
      </c>
      <c r="AO157" s="214">
        <v>1110.7439703913601</v>
      </c>
      <c r="AP157" s="214">
        <v>1102.15382947132</v>
      </c>
    </row>
    <row r="158" spans="7:42" ht="14.25" customHeight="1" thickTop="1" x14ac:dyDescent="0.2">
      <c r="G158" s="138"/>
      <c r="H158" s="380"/>
      <c r="J158" s="358"/>
      <c r="K158" s="194" t="s">
        <v>361</v>
      </c>
      <c r="L158" s="194" t="s">
        <v>276</v>
      </c>
      <c r="M158" s="215">
        <v>1363.000000000005</v>
      </c>
      <c r="N158" s="215">
        <v>1533.3167150176359</v>
      </c>
      <c r="O158" s="215">
        <v>1434.0015417728739</v>
      </c>
      <c r="P158" s="215">
        <v>1273.9566478720981</v>
      </c>
      <c r="Q158" s="215">
        <v>1244.2755304961361</v>
      </c>
      <c r="R158" s="215">
        <v>1214.5944131201641</v>
      </c>
      <c r="S158" s="215">
        <v>1184.9132957442021</v>
      </c>
      <c r="T158" s="215">
        <v>1155.2321783682289</v>
      </c>
      <c r="U158" s="215">
        <v>1125.551060992268</v>
      </c>
      <c r="V158" s="215">
        <v>1095.8699436162949</v>
      </c>
      <c r="W158" s="215">
        <v>1083.5551837210719</v>
      </c>
      <c r="X158" s="215">
        <v>1071.240423825838</v>
      </c>
      <c r="Y158" s="215">
        <v>1058.9256639306141</v>
      </c>
      <c r="Z158" s="215">
        <v>1046.6109040353831</v>
      </c>
      <c r="AA158" s="215">
        <v>1034.296144140154</v>
      </c>
      <c r="AB158" s="215">
        <v>1021.981384244924</v>
      </c>
      <c r="AC158" s="215">
        <v>1009.666624349694</v>
      </c>
      <c r="AD158" s="215">
        <v>997.35186445446493</v>
      </c>
      <c r="AE158" s="215">
        <v>985.03710455923544</v>
      </c>
      <c r="AF158" s="215">
        <v>972.72234466400585</v>
      </c>
      <c r="AG158" s="215">
        <v>960.40758476877625</v>
      </c>
      <c r="AH158" s="215">
        <v>948.09282487354665</v>
      </c>
      <c r="AI158" s="215">
        <v>935.77806497831716</v>
      </c>
      <c r="AJ158" s="215">
        <v>923.46330508308654</v>
      </c>
      <c r="AK158" s="215">
        <v>911.14854518785694</v>
      </c>
      <c r="AL158" s="215">
        <v>898.83378529262734</v>
      </c>
      <c r="AM158" s="215">
        <v>886.51902539739785</v>
      </c>
      <c r="AN158" s="215">
        <v>874.20426550216825</v>
      </c>
      <c r="AO158" s="215">
        <v>861.88950560693866</v>
      </c>
      <c r="AP158" s="215">
        <v>849.57474571170906</v>
      </c>
    </row>
    <row r="159" spans="7:42" ht="14.25" customHeight="1" x14ac:dyDescent="0.2">
      <c r="G159" s="138"/>
      <c r="H159" s="380"/>
      <c r="J159" s="358"/>
      <c r="K159" s="135" t="s">
        <v>361</v>
      </c>
      <c r="L159" s="185" t="s">
        <v>277</v>
      </c>
      <c r="M159" s="213">
        <v>1363.000000000005</v>
      </c>
      <c r="N159" s="213">
        <v>1540.233333333332</v>
      </c>
      <c r="O159" s="213">
        <v>1447.233333333339</v>
      </c>
      <c r="P159" s="213">
        <v>1291.999999999995</v>
      </c>
      <c r="Q159" s="213">
        <v>1268.333333333328</v>
      </c>
      <c r="R159" s="213">
        <v>1244.666666666662</v>
      </c>
      <c r="S159" s="213">
        <v>1220.999999999995</v>
      </c>
      <c r="T159" s="213">
        <v>1197.3333333333289</v>
      </c>
      <c r="U159" s="213">
        <v>1173.666666666662</v>
      </c>
      <c r="V159" s="213">
        <v>1149.9999999999959</v>
      </c>
      <c r="W159" s="213">
        <v>1138.676606458652</v>
      </c>
      <c r="X159" s="213">
        <v>1127.3532129172979</v>
      </c>
      <c r="Y159" s="213">
        <v>1116.029819375955</v>
      </c>
      <c r="Z159" s="213">
        <v>1104.7064258346011</v>
      </c>
      <c r="AA159" s="213">
        <v>1093.383032293247</v>
      </c>
      <c r="AB159" s="213">
        <v>1082.059638751904</v>
      </c>
      <c r="AC159" s="213">
        <v>1070.7362452105499</v>
      </c>
      <c r="AD159" s="213">
        <v>1059.4128516692081</v>
      </c>
      <c r="AE159" s="213">
        <v>1048.0894581278601</v>
      </c>
      <c r="AF159" s="213">
        <v>1036.7660645865101</v>
      </c>
      <c r="AG159" s="213">
        <v>1025.4426710451601</v>
      </c>
      <c r="AH159" s="213">
        <v>1014.1192775038101</v>
      </c>
      <c r="AI159" s="213">
        <v>1002.795883962462</v>
      </c>
      <c r="AJ159" s="213">
        <v>991.47249042111207</v>
      </c>
      <c r="AK159" s="213">
        <v>980.14909687976228</v>
      </c>
      <c r="AL159" s="213">
        <v>968.82570333841363</v>
      </c>
      <c r="AM159" s="213">
        <v>957.50230979706396</v>
      </c>
      <c r="AN159" s="213">
        <v>946.17891625571417</v>
      </c>
      <c r="AO159" s="213">
        <v>934.8555227143645</v>
      </c>
      <c r="AP159" s="213">
        <v>923.53212917301573</v>
      </c>
    </row>
    <row r="160" spans="7:42" ht="14.25" customHeight="1" thickBot="1" x14ac:dyDescent="0.25">
      <c r="G160" s="138"/>
      <c r="H160" s="380"/>
      <c r="J160" s="358"/>
      <c r="K160" s="196" t="s">
        <v>361</v>
      </c>
      <c r="L160" s="196" t="s">
        <v>278</v>
      </c>
      <c r="M160" s="214">
        <v>1363.000000000005</v>
      </c>
      <c r="N160" s="214">
        <v>1556.072238339216</v>
      </c>
      <c r="O160" s="214">
        <v>1477.53384725762</v>
      </c>
      <c r="P160" s="214">
        <v>1333.3188826240321</v>
      </c>
      <c r="Q160" s="214">
        <v>1323.4251768320451</v>
      </c>
      <c r="R160" s="214">
        <v>1313.531471040058</v>
      </c>
      <c r="S160" s="214">
        <v>1303.637765248071</v>
      </c>
      <c r="T160" s="214">
        <v>1293.744059456073</v>
      </c>
      <c r="U160" s="214">
        <v>1283.8503536640851</v>
      </c>
      <c r="V160" s="214">
        <v>1273.9566478720981</v>
      </c>
      <c r="W160" s="214">
        <v>1265.366506952058</v>
      </c>
      <c r="X160" s="214">
        <v>1256.7763660320179</v>
      </c>
      <c r="Y160" s="214">
        <v>1248.186225111978</v>
      </c>
      <c r="Z160" s="214">
        <v>1239.5960841919491</v>
      </c>
      <c r="AA160" s="214">
        <v>1231.005943271909</v>
      </c>
      <c r="AB160" s="214">
        <v>1222.4158023518689</v>
      </c>
      <c r="AC160" s="214">
        <v>1213.8256614318291</v>
      </c>
      <c r="AD160" s="214">
        <v>1205.235520511789</v>
      </c>
      <c r="AE160" s="214">
        <v>1196.6453795917489</v>
      </c>
      <c r="AF160" s="214">
        <v>1188.055238671709</v>
      </c>
      <c r="AG160" s="214">
        <v>1179.465097751669</v>
      </c>
      <c r="AH160" s="214">
        <v>1170.8749568316291</v>
      </c>
      <c r="AI160" s="214">
        <v>1162.284815911589</v>
      </c>
      <c r="AJ160" s="214">
        <v>1153.6946749915489</v>
      </c>
      <c r="AK160" s="214">
        <v>1145.10453407152</v>
      </c>
      <c r="AL160" s="214">
        <v>1136.5143931514799</v>
      </c>
      <c r="AM160" s="214">
        <v>1127.9242522314401</v>
      </c>
      <c r="AN160" s="214">
        <v>1119.3341113114</v>
      </c>
      <c r="AO160" s="214">
        <v>1110.7439703913601</v>
      </c>
      <c r="AP160" s="214">
        <v>1102.15382947132</v>
      </c>
    </row>
    <row r="161" spans="7:42" ht="14.25" customHeight="1" thickTop="1" x14ac:dyDescent="0.2">
      <c r="G161" s="138"/>
      <c r="H161" s="380"/>
      <c r="J161" s="358"/>
      <c r="K161" s="194" t="s">
        <v>363</v>
      </c>
      <c r="L161" s="194" t="s">
        <v>276</v>
      </c>
      <c r="M161" s="215">
        <v>1489.000000000003</v>
      </c>
      <c r="N161" s="215">
        <v>1666.774955186595</v>
      </c>
      <c r="O161" s="215">
        <v>1550.712957748264</v>
      </c>
      <c r="P161" s="215">
        <v>1370.1085787476261</v>
      </c>
      <c r="Q161" s="215">
        <v>1330.4781049968331</v>
      </c>
      <c r="R161" s="215">
        <v>1290.8476312460409</v>
      </c>
      <c r="S161" s="215">
        <v>1251.2171574952481</v>
      </c>
      <c r="T161" s="215">
        <v>1211.586683744456</v>
      </c>
      <c r="U161" s="215">
        <v>1171.9562099936629</v>
      </c>
      <c r="V161" s="215">
        <v>1132.325736242871</v>
      </c>
      <c r="W161" s="215">
        <v>1119.409485299647</v>
      </c>
      <c r="X161" s="215">
        <v>1106.493234356413</v>
      </c>
      <c r="Y161" s="215">
        <v>1093.5769834131891</v>
      </c>
      <c r="Z161" s="215">
        <v>1080.6607324699539</v>
      </c>
      <c r="AA161" s="215">
        <v>1067.7444815267199</v>
      </c>
      <c r="AB161" s="215">
        <v>1054.828230583498</v>
      </c>
      <c r="AC161" s="215">
        <v>1041.9119796402681</v>
      </c>
      <c r="AD161" s="215">
        <v>1028.995728697038</v>
      </c>
      <c r="AE161" s="215">
        <v>1016.079477753808</v>
      </c>
      <c r="AF161" s="215">
        <v>1003.163226810577</v>
      </c>
      <c r="AG161" s="215">
        <v>990.24697586734749</v>
      </c>
      <c r="AH161" s="215">
        <v>977.33072492411634</v>
      </c>
      <c r="AI161" s="215">
        <v>964.4144739808861</v>
      </c>
      <c r="AJ161" s="215">
        <v>951.49822303765586</v>
      </c>
      <c r="AK161" s="215">
        <v>938.58197209442585</v>
      </c>
      <c r="AL161" s="215">
        <v>925.66572115119561</v>
      </c>
      <c r="AM161" s="215">
        <v>912.74947020796537</v>
      </c>
      <c r="AN161" s="215">
        <v>899.83321926473525</v>
      </c>
      <c r="AO161" s="215">
        <v>886.91696832150512</v>
      </c>
      <c r="AP161" s="215">
        <v>874.00071737827489</v>
      </c>
    </row>
    <row r="162" spans="7:42" ht="14.25" customHeight="1" x14ac:dyDescent="0.2">
      <c r="G162" s="138"/>
      <c r="H162" s="380"/>
      <c r="J162" s="358"/>
      <c r="K162" s="135" t="s">
        <v>363</v>
      </c>
      <c r="L162" s="185" t="s">
        <v>277</v>
      </c>
      <c r="M162" s="213">
        <v>1489.000000000003</v>
      </c>
      <c r="N162" s="213">
        <v>1675.93333333333</v>
      </c>
      <c r="O162" s="213">
        <v>1568.2333333333379</v>
      </c>
      <c r="P162" s="213">
        <v>1394.000000000002</v>
      </c>
      <c r="Q162" s="213">
        <v>1362.333333333336</v>
      </c>
      <c r="R162" s="213">
        <v>1330.666666666669</v>
      </c>
      <c r="S162" s="213">
        <v>1299.000000000002</v>
      </c>
      <c r="T162" s="213">
        <v>1267.3333333333351</v>
      </c>
      <c r="U162" s="213">
        <v>1235.6666666666681</v>
      </c>
      <c r="V162" s="213">
        <v>1204.0000000000009</v>
      </c>
      <c r="W162" s="213">
        <v>1192.2238801420999</v>
      </c>
      <c r="X162" s="213">
        <v>1180.4477602842001</v>
      </c>
      <c r="Y162" s="213">
        <v>1168.6716404262991</v>
      </c>
      <c r="Z162" s="213">
        <v>1156.8955205683881</v>
      </c>
      <c r="AA162" s="213">
        <v>1145.119400710488</v>
      </c>
      <c r="AB162" s="213">
        <v>1133.343280852587</v>
      </c>
      <c r="AC162" s="213">
        <v>1121.5671609946869</v>
      </c>
      <c r="AD162" s="213">
        <v>1109.7910411367859</v>
      </c>
      <c r="AE162" s="213">
        <v>1098.014921278886</v>
      </c>
      <c r="AF162" s="213">
        <v>1086.2388014209851</v>
      </c>
      <c r="AG162" s="213">
        <v>1074.462681563085</v>
      </c>
      <c r="AH162" s="213">
        <v>1062.686561705174</v>
      </c>
      <c r="AI162" s="213">
        <v>1050.91044184728</v>
      </c>
      <c r="AJ162" s="213">
        <v>1039.134321989379</v>
      </c>
      <c r="AK162" s="213">
        <v>1027.3582021314769</v>
      </c>
      <c r="AL162" s="213">
        <v>1015.582082273576</v>
      </c>
      <c r="AM162" s="213">
        <v>1003.805962415673</v>
      </c>
      <c r="AN162" s="213">
        <v>992.02984255777142</v>
      </c>
      <c r="AO162" s="213">
        <v>980.25372269986985</v>
      </c>
      <c r="AP162" s="213">
        <v>968.47760284196818</v>
      </c>
    </row>
    <row r="163" spans="7:42" ht="14.25" customHeight="1" thickBot="1" x14ac:dyDescent="0.25">
      <c r="G163" s="138"/>
      <c r="H163" s="380"/>
      <c r="J163" s="358"/>
      <c r="K163" s="196" t="s">
        <v>363</v>
      </c>
      <c r="L163" s="196" t="s">
        <v>278</v>
      </c>
      <c r="M163" s="214">
        <v>1489.000000000003</v>
      </c>
      <c r="N163" s="214">
        <v>1697.848849377556</v>
      </c>
      <c r="O163" s="214">
        <v>1610.1586683744481</v>
      </c>
      <c r="P163" s="214">
        <v>1451.1709114196969</v>
      </c>
      <c r="Q163" s="214">
        <v>1438.5612152262611</v>
      </c>
      <c r="R163" s="214">
        <v>1425.951519032837</v>
      </c>
      <c r="S163" s="214">
        <v>1413.3418228394009</v>
      </c>
      <c r="T163" s="214">
        <v>1400.732126645966</v>
      </c>
      <c r="U163" s="214">
        <v>1388.1224304525299</v>
      </c>
      <c r="V163" s="214">
        <v>1375.5127342590949</v>
      </c>
      <c r="W163" s="214">
        <v>1366.413059062812</v>
      </c>
      <c r="X163" s="214">
        <v>1357.3133838665181</v>
      </c>
      <c r="Y163" s="214">
        <v>1348.2137086702339</v>
      </c>
      <c r="Z163" s="214">
        <v>1339.11403347394</v>
      </c>
      <c r="AA163" s="214">
        <v>1330.014358277657</v>
      </c>
      <c r="AB163" s="214">
        <v>1320.9146830813629</v>
      </c>
      <c r="AC163" s="214">
        <v>1311.815007885079</v>
      </c>
      <c r="AD163" s="214">
        <v>1302.7153326887851</v>
      </c>
      <c r="AE163" s="214">
        <v>1293.6156574925019</v>
      </c>
      <c r="AF163" s="214">
        <v>1284.515982296208</v>
      </c>
      <c r="AG163" s="214">
        <v>1275.416307099925</v>
      </c>
      <c r="AH163" s="214">
        <v>1266.3166319036311</v>
      </c>
      <c r="AI163" s="214">
        <v>1257.216956707347</v>
      </c>
      <c r="AJ163" s="214">
        <v>1248.117281511064</v>
      </c>
      <c r="AK163" s="214">
        <v>1239.0176063147701</v>
      </c>
      <c r="AL163" s="214">
        <v>1229.917931118486</v>
      </c>
      <c r="AM163" s="214">
        <v>1220.818255922193</v>
      </c>
      <c r="AN163" s="214">
        <v>1211.7185807259091</v>
      </c>
      <c r="AO163" s="214">
        <v>1202.6189055296149</v>
      </c>
      <c r="AP163" s="214">
        <v>1193.519230333332</v>
      </c>
    </row>
    <row r="164" spans="7:42" ht="14.25" customHeight="1" thickTop="1" x14ac:dyDescent="0.2">
      <c r="G164" s="138"/>
      <c r="H164" s="380"/>
      <c r="J164" s="358"/>
      <c r="K164" s="194" t="s">
        <v>366</v>
      </c>
      <c r="L164" s="194" t="s">
        <v>276</v>
      </c>
      <c r="M164" s="215">
        <v>1415.999999999995</v>
      </c>
      <c r="N164" s="215">
        <v>1604.7596324113349</v>
      </c>
      <c r="O164" s="215">
        <v>1512.3749489608199</v>
      </c>
      <c r="P164" s="215">
        <v>1354.3294758556599</v>
      </c>
      <c r="Q164" s="215">
        <v>1333.772634474215</v>
      </c>
      <c r="R164" s="215">
        <v>1313.2157930927599</v>
      </c>
      <c r="S164" s="215">
        <v>1292.658951711315</v>
      </c>
      <c r="T164" s="215">
        <v>1272.102110329869</v>
      </c>
      <c r="U164" s="215">
        <v>1251.5452689484241</v>
      </c>
      <c r="V164" s="215">
        <v>1230.988427566969</v>
      </c>
      <c r="W164" s="215">
        <v>1217.4534069951289</v>
      </c>
      <c r="X164" s="215">
        <v>1203.91838642329</v>
      </c>
      <c r="Y164" s="215">
        <v>1190.38336585145</v>
      </c>
      <c r="Z164" s="215">
        <v>1176.8483452796099</v>
      </c>
      <c r="AA164" s="215">
        <v>1163.313324707771</v>
      </c>
      <c r="AB164" s="215">
        <v>1149.778304135931</v>
      </c>
      <c r="AC164" s="215">
        <v>1136.2432835640921</v>
      </c>
      <c r="AD164" s="215">
        <v>1122.708262992242</v>
      </c>
      <c r="AE164" s="215">
        <v>1109.1732424204019</v>
      </c>
      <c r="AF164" s="215">
        <v>1095.6382218485619</v>
      </c>
      <c r="AG164" s="215">
        <v>1082.103201276723</v>
      </c>
      <c r="AH164" s="215">
        <v>1068.5681807048829</v>
      </c>
      <c r="AI164" s="215">
        <v>1055.0331601330461</v>
      </c>
      <c r="AJ164" s="215">
        <v>1041.4981395612051</v>
      </c>
      <c r="AK164" s="215">
        <v>1027.963118989363</v>
      </c>
      <c r="AL164" s="215">
        <v>1014.428098417523</v>
      </c>
      <c r="AM164" s="215">
        <v>1000.893077845682</v>
      </c>
      <c r="AN164" s="215">
        <v>987.35805727384059</v>
      </c>
      <c r="AO164" s="215">
        <v>973.82303670199997</v>
      </c>
      <c r="AP164" s="215">
        <v>960.28801613015821</v>
      </c>
    </row>
    <row r="165" spans="7:42" ht="14.25" customHeight="1" x14ac:dyDescent="0.2">
      <c r="G165" s="138"/>
      <c r="H165" s="380"/>
      <c r="J165" s="358"/>
      <c r="K165" s="135" t="s">
        <v>366</v>
      </c>
      <c r="L165" s="185" t="s">
        <v>277</v>
      </c>
      <c r="M165" s="213">
        <v>1415.999999999995</v>
      </c>
      <c r="N165" s="213">
        <v>1608.850000000004</v>
      </c>
      <c r="O165" s="213">
        <v>1520.1999999999989</v>
      </c>
      <c r="P165" s="213">
        <v>1365.000000000002</v>
      </c>
      <c r="Q165" s="213">
        <v>1347.999999999997</v>
      </c>
      <c r="R165" s="213">
        <v>1331.000000000003</v>
      </c>
      <c r="S165" s="213">
        <v>1313.999999999998</v>
      </c>
      <c r="T165" s="213">
        <v>1297.0000000000041</v>
      </c>
      <c r="U165" s="213">
        <v>1279.9999999999991</v>
      </c>
      <c r="V165" s="213">
        <v>1262.999999999995</v>
      </c>
      <c r="W165" s="213">
        <v>1251.0429902181961</v>
      </c>
      <c r="X165" s="213">
        <v>1239.0859804363979</v>
      </c>
      <c r="Y165" s="213">
        <v>1227.128970654589</v>
      </c>
      <c r="Z165" s="213">
        <v>1215.171960872791</v>
      </c>
      <c r="AA165" s="213">
        <v>1203.2149510909919</v>
      </c>
      <c r="AB165" s="213">
        <v>1191.257941309183</v>
      </c>
      <c r="AC165" s="213">
        <v>1179.300931527385</v>
      </c>
      <c r="AD165" s="213">
        <v>1167.3439217455759</v>
      </c>
      <c r="AE165" s="213">
        <v>1155.3869119637779</v>
      </c>
      <c r="AF165" s="213">
        <v>1143.42990218198</v>
      </c>
      <c r="AG165" s="213">
        <v>1131.4728924001711</v>
      </c>
      <c r="AH165" s="213">
        <v>1119.515882618372</v>
      </c>
      <c r="AI165" s="213">
        <v>1107.558872836574</v>
      </c>
      <c r="AJ165" s="213">
        <v>1095.6018630547651</v>
      </c>
      <c r="AK165" s="213">
        <v>1083.6448532729671</v>
      </c>
      <c r="AL165" s="213">
        <v>1071.687843491158</v>
      </c>
      <c r="AM165" s="213">
        <v>1059.730833709365</v>
      </c>
      <c r="AN165" s="213">
        <v>1047.773823927562</v>
      </c>
      <c r="AO165" s="213">
        <v>1035.81681414576</v>
      </c>
      <c r="AP165" s="213">
        <v>1023.859804363958</v>
      </c>
    </row>
    <row r="166" spans="7:42" ht="14.25" customHeight="1" thickBot="1" x14ac:dyDescent="0.25">
      <c r="G166" s="138"/>
      <c r="H166" s="380"/>
      <c r="J166" s="358"/>
      <c r="K166" s="196" t="s">
        <v>366</v>
      </c>
      <c r="L166" s="196" t="s">
        <v>278</v>
      </c>
      <c r="M166" s="214">
        <v>1415.999999999995</v>
      </c>
      <c r="N166" s="214">
        <v>1620.5198774704511</v>
      </c>
      <c r="O166" s="214">
        <v>1542.5249829869349</v>
      </c>
      <c r="P166" s="214">
        <v>1395.4431586185499</v>
      </c>
      <c r="Q166" s="214">
        <v>1388.590878158072</v>
      </c>
      <c r="R166" s="214">
        <v>1381.7385976975829</v>
      </c>
      <c r="S166" s="214">
        <v>1374.886317237105</v>
      </c>
      <c r="T166" s="214">
        <v>1368.0340367766271</v>
      </c>
      <c r="U166" s="214">
        <v>1361.181756316138</v>
      </c>
      <c r="V166" s="214">
        <v>1354.3294758556599</v>
      </c>
      <c r="W166" s="214">
        <v>1344.9401220743121</v>
      </c>
      <c r="X166" s="214">
        <v>1335.5507682929531</v>
      </c>
      <c r="Y166" s="214">
        <v>1326.161414511605</v>
      </c>
      <c r="Z166" s="214">
        <v>1316.772060730256</v>
      </c>
      <c r="AA166" s="214">
        <v>1307.382706948908</v>
      </c>
      <c r="AB166" s="214">
        <v>1297.9933531675599</v>
      </c>
      <c r="AC166" s="214">
        <v>1288.6039993862009</v>
      </c>
      <c r="AD166" s="214">
        <v>1279.2146456048531</v>
      </c>
      <c r="AE166" s="214">
        <v>1269.8252918235039</v>
      </c>
      <c r="AF166" s="214">
        <v>1260.4359380421561</v>
      </c>
      <c r="AG166" s="214">
        <v>1251.046584260808</v>
      </c>
      <c r="AH166" s="214">
        <v>1241.657230479459</v>
      </c>
      <c r="AI166" s="214">
        <v>1232.2678766981001</v>
      </c>
      <c r="AJ166" s="214">
        <v>1222.878522916752</v>
      </c>
      <c r="AK166" s="214">
        <v>1213.4891691354039</v>
      </c>
      <c r="AL166" s="214">
        <v>1204.099815354055</v>
      </c>
      <c r="AM166" s="214">
        <v>1194.7104615727069</v>
      </c>
      <c r="AN166" s="214">
        <v>1185.3211077913479</v>
      </c>
      <c r="AO166" s="214">
        <v>1175.9317540100001</v>
      </c>
      <c r="AP166" s="214">
        <v>1166.542400228652</v>
      </c>
    </row>
    <row r="167" spans="7:42" ht="14.25" customHeight="1" thickTop="1" x14ac:dyDescent="0.2">
      <c r="G167" s="138"/>
      <c r="H167" s="380"/>
      <c r="J167" s="358"/>
      <c r="K167" s="194" t="s">
        <v>369</v>
      </c>
      <c r="L167" s="194" t="s">
        <v>276</v>
      </c>
      <c r="M167" s="215">
        <v>1961.000000000005</v>
      </c>
      <c r="N167" s="215">
        <v>2186.9432544118249</v>
      </c>
      <c r="O167" s="215">
        <v>2026.6175301791509</v>
      </c>
      <c r="P167" s="215">
        <v>1783.0693593351971</v>
      </c>
      <c r="Q167" s="215">
        <v>1723.7591457802639</v>
      </c>
      <c r="R167" s="215">
        <v>1664.4489322253321</v>
      </c>
      <c r="S167" s="215">
        <v>1605.1387186703889</v>
      </c>
      <c r="T167" s="215">
        <v>1545.828505115456</v>
      </c>
      <c r="U167" s="215">
        <v>1486.5182915605239</v>
      </c>
      <c r="V167" s="215">
        <v>1427.208078005591</v>
      </c>
      <c r="W167" s="215">
        <v>1410.5440952688541</v>
      </c>
      <c r="X167" s="215">
        <v>1393.880112532127</v>
      </c>
      <c r="Y167" s="215">
        <v>1377.2161297954001</v>
      </c>
      <c r="Z167" s="215">
        <v>1360.552147058673</v>
      </c>
      <c r="AA167" s="215">
        <v>1343.8881643219461</v>
      </c>
      <c r="AB167" s="215">
        <v>1327.224181585219</v>
      </c>
      <c r="AC167" s="215">
        <v>1310.5601988484921</v>
      </c>
      <c r="AD167" s="215">
        <v>1293.8962161117649</v>
      </c>
      <c r="AE167" s="215">
        <v>1277.232233375039</v>
      </c>
      <c r="AF167" s="215">
        <v>1260.5682506383121</v>
      </c>
      <c r="AG167" s="215">
        <v>1243.9042679015849</v>
      </c>
      <c r="AH167" s="215">
        <v>1227.2402851648581</v>
      </c>
      <c r="AI167" s="215">
        <v>1210.5763024281309</v>
      </c>
      <c r="AJ167" s="215">
        <v>1193.912319691404</v>
      </c>
      <c r="AK167" s="215">
        <v>1177.2483369546769</v>
      </c>
      <c r="AL167" s="215">
        <v>1160.58435421795</v>
      </c>
      <c r="AM167" s="215">
        <v>1143.9203714812229</v>
      </c>
      <c r="AN167" s="215">
        <v>1127.256388744496</v>
      </c>
      <c r="AO167" s="215">
        <v>1110.59240600777</v>
      </c>
      <c r="AP167" s="215">
        <v>1093.9284232710429</v>
      </c>
    </row>
    <row r="168" spans="7:42" ht="14.25" customHeight="1" x14ac:dyDescent="0.2">
      <c r="G168" s="138"/>
      <c r="H168" s="380"/>
      <c r="J168" s="358"/>
      <c r="K168" s="135" t="s">
        <v>369</v>
      </c>
      <c r="L168" s="185" t="s">
        <v>277</v>
      </c>
      <c r="M168" s="213">
        <v>1961.000000000005</v>
      </c>
      <c r="N168" s="213">
        <v>2200.8444444444458</v>
      </c>
      <c r="O168" s="213">
        <v>2053.2111111111149</v>
      </c>
      <c r="P168" s="213">
        <v>1819.3333333333301</v>
      </c>
      <c r="Q168" s="213">
        <v>1772.111111111109</v>
      </c>
      <c r="R168" s="213">
        <v>1724.8888888888871</v>
      </c>
      <c r="S168" s="213">
        <v>1677.6666666666661</v>
      </c>
      <c r="T168" s="213">
        <v>1630.4444444444439</v>
      </c>
      <c r="U168" s="213">
        <v>1583.2222222222231</v>
      </c>
      <c r="V168" s="213">
        <v>1536.0000000000009</v>
      </c>
      <c r="W168" s="213">
        <v>1521.250323729907</v>
      </c>
      <c r="X168" s="213">
        <v>1506.5006474598031</v>
      </c>
      <c r="Y168" s="213">
        <v>1491.7509711897089</v>
      </c>
      <c r="Z168" s="213">
        <v>1477.001294919615</v>
      </c>
      <c r="AA168" s="213">
        <v>1462.2516186495211</v>
      </c>
      <c r="AB168" s="213">
        <v>1447.501942379417</v>
      </c>
      <c r="AC168" s="213">
        <v>1432.7522661093219</v>
      </c>
      <c r="AD168" s="213">
        <v>1418.002589839228</v>
      </c>
      <c r="AE168" s="213">
        <v>1403.2529135691341</v>
      </c>
      <c r="AF168" s="213">
        <v>1388.5032372990299</v>
      </c>
      <c r="AG168" s="213">
        <v>1373.753561028936</v>
      </c>
      <c r="AH168" s="213">
        <v>1359.0038847588421</v>
      </c>
      <c r="AI168" s="213">
        <v>1344.254208488748</v>
      </c>
      <c r="AJ168" s="213">
        <v>1329.5045322186429</v>
      </c>
      <c r="AK168" s="213">
        <v>1314.7548559485499</v>
      </c>
      <c r="AL168" s="213">
        <v>1300.005179678456</v>
      </c>
      <c r="AM168" s="213">
        <v>1285.2555034083621</v>
      </c>
      <c r="AN168" s="213">
        <v>1270.505827138257</v>
      </c>
      <c r="AO168" s="213">
        <v>1255.7561508681631</v>
      </c>
      <c r="AP168" s="213">
        <v>1241.006474598069</v>
      </c>
    </row>
    <row r="169" spans="7:42" ht="14.25" customHeight="1" x14ac:dyDescent="0.2">
      <c r="G169" s="138"/>
      <c r="H169" s="380"/>
      <c r="J169" s="368"/>
      <c r="K169" s="196" t="s">
        <v>369</v>
      </c>
      <c r="L169" s="196" t="s">
        <v>278</v>
      </c>
      <c r="M169" s="218">
        <v>1961.000000000005</v>
      </c>
      <c r="N169" s="218">
        <v>2233.3238414117841</v>
      </c>
      <c r="O169" s="218">
        <v>2115.3456096573318</v>
      </c>
      <c r="P169" s="218">
        <v>1904.062194987263</v>
      </c>
      <c r="Q169" s="218">
        <v>1885.0829266496889</v>
      </c>
      <c r="R169" s="218">
        <v>1866.103658312104</v>
      </c>
      <c r="S169" s="218">
        <v>1847.1243899745309</v>
      </c>
      <c r="T169" s="218">
        <v>1828.145121636946</v>
      </c>
      <c r="U169" s="218">
        <v>1809.1658532993731</v>
      </c>
      <c r="V169" s="218">
        <v>1790.186584961788</v>
      </c>
      <c r="W169" s="218">
        <v>1778.6259992415121</v>
      </c>
      <c r="X169" s="218">
        <v>1767.0654135212469</v>
      </c>
      <c r="Y169" s="218">
        <v>1755.5048278009699</v>
      </c>
      <c r="Z169" s="218">
        <v>1743.944242080694</v>
      </c>
      <c r="AA169" s="218">
        <v>1732.3836563604179</v>
      </c>
      <c r="AB169" s="218">
        <v>1720.8230706401421</v>
      </c>
      <c r="AC169" s="218">
        <v>1709.262484919876</v>
      </c>
      <c r="AD169" s="218">
        <v>1697.7018991995999</v>
      </c>
      <c r="AE169" s="218">
        <v>1686.141313479324</v>
      </c>
      <c r="AF169" s="218">
        <v>1674.5807277590479</v>
      </c>
      <c r="AG169" s="218">
        <v>1663.0201420387721</v>
      </c>
      <c r="AH169" s="218">
        <v>1651.459556318506</v>
      </c>
      <c r="AI169" s="218">
        <v>1639.8989705982301</v>
      </c>
      <c r="AJ169" s="218">
        <v>1628.338384877954</v>
      </c>
      <c r="AK169" s="218">
        <v>1616.777799157677</v>
      </c>
      <c r="AL169" s="218">
        <v>1605.2172134374009</v>
      </c>
      <c r="AM169" s="218">
        <v>1593.656627717136</v>
      </c>
      <c r="AN169" s="218">
        <v>1582.0960419968601</v>
      </c>
      <c r="AO169" s="218">
        <v>1570.535456276584</v>
      </c>
      <c r="AP169" s="218">
        <v>1558.974870556307</v>
      </c>
    </row>
    <row r="170" spans="7:42" ht="14.25" customHeight="1" x14ac:dyDescent="0.2">
      <c r="G170" s="138"/>
      <c r="H170" s="380"/>
      <c r="J170" s="201"/>
      <c r="K170" s="135"/>
      <c r="L170" s="135"/>
      <c r="M170" s="219"/>
      <c r="N170" s="219"/>
      <c r="O170" s="219"/>
      <c r="P170" s="219"/>
      <c r="Q170" s="219"/>
      <c r="R170" s="219"/>
      <c r="S170" s="219"/>
      <c r="T170" s="219"/>
      <c r="U170" s="219"/>
      <c r="V170" s="219"/>
      <c r="W170" s="219"/>
      <c r="X170" s="219"/>
      <c r="Y170" s="219"/>
      <c r="Z170" s="219"/>
      <c r="AA170" s="219"/>
      <c r="AB170" s="219"/>
      <c r="AC170" s="219"/>
      <c r="AD170" s="219"/>
      <c r="AE170" s="219"/>
      <c r="AF170" s="219"/>
      <c r="AG170" s="219"/>
      <c r="AH170" s="219"/>
      <c r="AI170" s="219"/>
      <c r="AJ170" s="219"/>
      <c r="AK170" s="219"/>
      <c r="AL170" s="219"/>
      <c r="AM170" s="219"/>
      <c r="AN170" s="219"/>
      <c r="AO170" s="219"/>
      <c r="AP170" s="219"/>
    </row>
    <row r="171" spans="7:42" ht="14.25" customHeight="1" x14ac:dyDescent="0.2">
      <c r="G171" s="138"/>
      <c r="H171" s="380"/>
      <c r="M171" s="123">
        <v>2021</v>
      </c>
      <c r="N171" s="123">
        <v>2022</v>
      </c>
      <c r="O171" s="123">
        <v>2023</v>
      </c>
      <c r="P171" s="123">
        <v>2024</v>
      </c>
      <c r="Q171" s="123">
        <v>2025</v>
      </c>
      <c r="R171" s="123">
        <v>2026</v>
      </c>
      <c r="S171" s="123">
        <v>2027</v>
      </c>
      <c r="T171" s="123">
        <v>2028</v>
      </c>
      <c r="U171" s="123">
        <v>2029</v>
      </c>
      <c r="V171" s="123">
        <v>2030</v>
      </c>
      <c r="W171" s="123">
        <v>2031</v>
      </c>
      <c r="X171" s="123">
        <v>2032</v>
      </c>
      <c r="Y171" s="123">
        <v>2033</v>
      </c>
      <c r="Z171" s="123">
        <v>2034</v>
      </c>
      <c r="AA171" s="123">
        <v>2035</v>
      </c>
      <c r="AB171" s="123">
        <v>2036</v>
      </c>
      <c r="AC171" s="123">
        <v>2037</v>
      </c>
      <c r="AD171" s="123">
        <v>2038</v>
      </c>
      <c r="AE171" s="123">
        <v>2039</v>
      </c>
      <c r="AF171" s="123">
        <v>2040</v>
      </c>
      <c r="AG171" s="123">
        <v>2041</v>
      </c>
      <c r="AH171" s="123">
        <v>2042</v>
      </c>
      <c r="AI171" s="123">
        <v>2043</v>
      </c>
      <c r="AJ171" s="123">
        <v>2044</v>
      </c>
      <c r="AK171" s="123">
        <v>2045</v>
      </c>
      <c r="AL171" s="123">
        <v>2046</v>
      </c>
      <c r="AM171" s="123">
        <v>2047</v>
      </c>
      <c r="AN171" s="123">
        <v>2048</v>
      </c>
      <c r="AO171" s="123">
        <v>2049</v>
      </c>
      <c r="AP171" s="123">
        <v>2050</v>
      </c>
    </row>
    <row r="172" spans="7:42" ht="14.25" customHeight="1" x14ac:dyDescent="0.2">
      <c r="G172" s="138"/>
      <c r="H172" s="380"/>
      <c r="J172" s="367" t="s">
        <v>295</v>
      </c>
      <c r="K172" s="194" t="s">
        <v>348</v>
      </c>
      <c r="L172" s="194" t="s">
        <v>276</v>
      </c>
      <c r="M172" s="212">
        <v>79.116965003244744</v>
      </c>
      <c r="N172" s="212">
        <v>89.003202407146063</v>
      </c>
      <c r="O172" s="212">
        <v>83.238334405754301</v>
      </c>
      <c r="P172" s="212">
        <v>73.948337142587974</v>
      </c>
      <c r="Q172" s="212">
        <v>72.225461189036139</v>
      </c>
      <c r="R172" s="212">
        <v>70.502585235483664</v>
      </c>
      <c r="S172" s="212">
        <v>68.779709281931815</v>
      </c>
      <c r="T172" s="212">
        <v>67.056833328379369</v>
      </c>
      <c r="U172" s="212">
        <v>65.33395737482752</v>
      </c>
      <c r="V172" s="212">
        <v>63.611081421275053</v>
      </c>
      <c r="W172" s="212">
        <v>62.896256456011862</v>
      </c>
      <c r="X172" s="212">
        <v>62.181431490748047</v>
      </c>
      <c r="Y172" s="212">
        <v>61.466606525484799</v>
      </c>
      <c r="Z172" s="212">
        <v>60.751781560221183</v>
      </c>
      <c r="AA172" s="212">
        <v>60.036956594957623</v>
      </c>
      <c r="AB172" s="212">
        <v>59.322131629694049</v>
      </c>
      <c r="AC172" s="212">
        <v>58.607306664430489</v>
      </c>
      <c r="AD172" s="212">
        <v>57.892481699166922</v>
      </c>
      <c r="AE172" s="212">
        <v>57.177656733903369</v>
      </c>
      <c r="AF172" s="212">
        <v>56.462831768639802</v>
      </c>
      <c r="AG172" s="212">
        <v>55.748006803376242</v>
      </c>
      <c r="AH172" s="212">
        <v>55.033181838112682</v>
      </c>
      <c r="AI172" s="212">
        <v>54.318356872849122</v>
      </c>
      <c r="AJ172" s="212">
        <v>53.603531907585491</v>
      </c>
      <c r="AK172" s="212">
        <v>52.888706942321917</v>
      </c>
      <c r="AL172" s="212">
        <v>52.173881977058358</v>
      </c>
      <c r="AM172" s="212">
        <v>51.459057011794798</v>
      </c>
      <c r="AN172" s="212">
        <v>50.744232046531238</v>
      </c>
      <c r="AO172" s="212">
        <v>50.029407081267678</v>
      </c>
      <c r="AP172" s="212">
        <v>49.314582116004111</v>
      </c>
    </row>
    <row r="173" spans="7:42" ht="14.25" customHeight="1" x14ac:dyDescent="0.2">
      <c r="G173" s="138"/>
      <c r="H173" s="380"/>
      <c r="J173" s="358"/>
      <c r="K173" s="135" t="s">
        <v>348</v>
      </c>
      <c r="L173" s="185" t="s">
        <v>277</v>
      </c>
      <c r="M173" s="213">
        <v>79.116965003244744</v>
      </c>
      <c r="N173" s="213">
        <v>89.404685788821538</v>
      </c>
      <c r="O173" s="213">
        <v>84.006389570698914</v>
      </c>
      <c r="P173" s="213">
        <v>74.995685094784619</v>
      </c>
      <c r="Q173" s="213">
        <v>73.621925125298105</v>
      </c>
      <c r="R173" s="213">
        <v>72.248165155811606</v>
      </c>
      <c r="S173" s="213">
        <v>70.874405186325092</v>
      </c>
      <c r="T173" s="213">
        <v>69.500645216838592</v>
      </c>
      <c r="U173" s="213">
        <v>68.126885247352078</v>
      </c>
      <c r="V173" s="213">
        <v>66.753125277865593</v>
      </c>
      <c r="W173" s="213">
        <v>66.095845358182217</v>
      </c>
      <c r="X173" s="213">
        <v>65.43856543849823</v>
      </c>
      <c r="Y173" s="213">
        <v>64.781285518814869</v>
      </c>
      <c r="Z173" s="213">
        <v>64.124005599130882</v>
      </c>
      <c r="AA173" s="213">
        <v>63.46672567944691</v>
      </c>
      <c r="AB173" s="213">
        <v>62.809445759763541</v>
      </c>
      <c r="AC173" s="213">
        <v>62.152165840079547</v>
      </c>
      <c r="AD173" s="213">
        <v>61.494885920396307</v>
      </c>
      <c r="AE173" s="213">
        <v>60.83760600071264</v>
      </c>
      <c r="AF173" s="213">
        <v>60.180326081028902</v>
      </c>
      <c r="AG173" s="213">
        <v>59.523046161345171</v>
      </c>
      <c r="AH173" s="213">
        <v>58.865766241661433</v>
      </c>
      <c r="AI173" s="213">
        <v>58.208486321977759</v>
      </c>
      <c r="AJ173" s="213">
        <v>57.551206402294028</v>
      </c>
      <c r="AK173" s="213">
        <v>56.89392648261029</v>
      </c>
      <c r="AL173" s="213">
        <v>56.236646562926623</v>
      </c>
      <c r="AM173" s="213">
        <v>55.579366643242892</v>
      </c>
      <c r="AN173" s="213">
        <v>54.922086723559147</v>
      </c>
      <c r="AO173" s="213">
        <v>54.264806803875409</v>
      </c>
      <c r="AP173" s="213">
        <v>53.607526884191728</v>
      </c>
    </row>
    <row r="174" spans="7:42" ht="14.25" customHeight="1" thickBot="1" x14ac:dyDescent="0.25">
      <c r="G174" s="138"/>
      <c r="H174" s="380"/>
      <c r="J174" s="358"/>
      <c r="K174" s="196" t="s">
        <v>348</v>
      </c>
      <c r="L174" s="196" t="s">
        <v>278</v>
      </c>
      <c r="M174" s="214">
        <v>79.116965003244744</v>
      </c>
      <c r="N174" s="214">
        <v>90.324073971536365</v>
      </c>
      <c r="O174" s="214">
        <v>85.765219137630453</v>
      </c>
      <c r="P174" s="214">
        <v>77.394089049692269</v>
      </c>
      <c r="Q174" s="214">
        <v>76.81979706517501</v>
      </c>
      <c r="R174" s="214">
        <v>76.245505080657722</v>
      </c>
      <c r="S174" s="214">
        <v>75.671213096140434</v>
      </c>
      <c r="T174" s="214">
        <v>75.096921111622535</v>
      </c>
      <c r="U174" s="214">
        <v>74.522629127105262</v>
      </c>
      <c r="V174" s="214">
        <v>73.948337142587974</v>
      </c>
      <c r="W174" s="214">
        <v>73.449712139988023</v>
      </c>
      <c r="X174" s="214">
        <v>72.951087137388058</v>
      </c>
      <c r="Y174" s="214">
        <v>72.452462134788107</v>
      </c>
      <c r="Z174" s="214">
        <v>71.953837132188767</v>
      </c>
      <c r="AA174" s="214">
        <v>71.455212129588816</v>
      </c>
      <c r="AB174" s="214">
        <v>70.95658712698885</v>
      </c>
      <c r="AC174" s="214">
        <v>70.457962124388899</v>
      </c>
      <c r="AD174" s="214">
        <v>69.959337121788948</v>
      </c>
      <c r="AE174" s="214">
        <v>69.460712119188997</v>
      </c>
      <c r="AF174" s="214">
        <v>68.962087116589032</v>
      </c>
      <c r="AG174" s="214">
        <v>68.463462113989081</v>
      </c>
      <c r="AH174" s="214">
        <v>67.964837111389116</v>
      </c>
      <c r="AI174" s="214">
        <v>67.466212108789165</v>
      </c>
      <c r="AJ174" s="214">
        <v>66.967587106189214</v>
      </c>
      <c r="AK174" s="214">
        <v>66.468962103589874</v>
      </c>
      <c r="AL174" s="214">
        <v>65.970337100989923</v>
      </c>
      <c r="AM174" s="214">
        <v>65.471712098389958</v>
      </c>
      <c r="AN174" s="214">
        <v>64.973087095790007</v>
      </c>
      <c r="AO174" s="214">
        <v>64.474462093190056</v>
      </c>
      <c r="AP174" s="214">
        <v>63.975837090590097</v>
      </c>
    </row>
    <row r="175" spans="7:42" ht="14.25" customHeight="1" thickTop="1" x14ac:dyDescent="0.2">
      <c r="G175" s="138"/>
      <c r="H175" s="380"/>
      <c r="J175" s="358"/>
      <c r="K175" s="194" t="s">
        <v>351</v>
      </c>
      <c r="L175" s="194" t="s">
        <v>276</v>
      </c>
      <c r="M175" s="215">
        <v>79.116965003244744</v>
      </c>
      <c r="N175" s="215">
        <v>89.003202407146063</v>
      </c>
      <c r="O175" s="215">
        <v>83.238334405754301</v>
      </c>
      <c r="P175" s="215">
        <v>73.948337142587974</v>
      </c>
      <c r="Q175" s="215">
        <v>72.225461189036139</v>
      </c>
      <c r="R175" s="215">
        <v>70.502585235483664</v>
      </c>
      <c r="S175" s="215">
        <v>68.779709281931815</v>
      </c>
      <c r="T175" s="215">
        <v>67.056833328379369</v>
      </c>
      <c r="U175" s="215">
        <v>65.33395737482752</v>
      </c>
      <c r="V175" s="215">
        <v>63.611081421275053</v>
      </c>
      <c r="W175" s="215">
        <v>62.896256456011862</v>
      </c>
      <c r="X175" s="215">
        <v>62.181431490748047</v>
      </c>
      <c r="Y175" s="215">
        <v>61.466606525484799</v>
      </c>
      <c r="Z175" s="215">
        <v>60.751781560221183</v>
      </c>
      <c r="AA175" s="215">
        <v>60.036956594957623</v>
      </c>
      <c r="AB175" s="215">
        <v>59.322131629694049</v>
      </c>
      <c r="AC175" s="215">
        <v>58.607306664430489</v>
      </c>
      <c r="AD175" s="215">
        <v>57.892481699166922</v>
      </c>
      <c r="AE175" s="215">
        <v>57.177656733903369</v>
      </c>
      <c r="AF175" s="215">
        <v>56.462831768639802</v>
      </c>
      <c r="AG175" s="215">
        <v>55.748006803376242</v>
      </c>
      <c r="AH175" s="215">
        <v>55.033181838112682</v>
      </c>
      <c r="AI175" s="215">
        <v>54.318356872849122</v>
      </c>
      <c r="AJ175" s="215">
        <v>53.603531907585491</v>
      </c>
      <c r="AK175" s="215">
        <v>52.888706942321917</v>
      </c>
      <c r="AL175" s="215">
        <v>52.173881977058358</v>
      </c>
      <c r="AM175" s="215">
        <v>51.459057011794798</v>
      </c>
      <c r="AN175" s="215">
        <v>50.744232046531238</v>
      </c>
      <c r="AO175" s="215">
        <v>50.029407081267678</v>
      </c>
      <c r="AP175" s="215">
        <v>49.314582116004111</v>
      </c>
    </row>
    <row r="176" spans="7:42" ht="14.25" customHeight="1" x14ac:dyDescent="0.2">
      <c r="G176" s="138"/>
      <c r="H176" s="380"/>
      <c r="J176" s="358"/>
      <c r="K176" s="135" t="s">
        <v>351</v>
      </c>
      <c r="L176" s="185" t="s">
        <v>277</v>
      </c>
      <c r="M176" s="216">
        <v>79.116965003244744</v>
      </c>
      <c r="N176" s="216">
        <v>89.404685788821538</v>
      </c>
      <c r="O176" s="216">
        <v>84.006389570698914</v>
      </c>
      <c r="P176" s="216">
        <v>74.995685094784619</v>
      </c>
      <c r="Q176" s="216">
        <v>73.621925125298105</v>
      </c>
      <c r="R176" s="216">
        <v>72.248165155811606</v>
      </c>
      <c r="S176" s="216">
        <v>70.874405186325092</v>
      </c>
      <c r="T176" s="216">
        <v>69.500645216838592</v>
      </c>
      <c r="U176" s="216">
        <v>68.126885247352078</v>
      </c>
      <c r="V176" s="216">
        <v>66.753125277865593</v>
      </c>
      <c r="W176" s="216">
        <v>66.095845358182217</v>
      </c>
      <c r="X176" s="216">
        <v>65.43856543849823</v>
      </c>
      <c r="Y176" s="216">
        <v>64.781285518814869</v>
      </c>
      <c r="Z176" s="216">
        <v>64.124005599130882</v>
      </c>
      <c r="AA176" s="216">
        <v>63.46672567944691</v>
      </c>
      <c r="AB176" s="216">
        <v>62.809445759763541</v>
      </c>
      <c r="AC176" s="216">
        <v>62.152165840079547</v>
      </c>
      <c r="AD176" s="216">
        <v>61.494885920396307</v>
      </c>
      <c r="AE176" s="216">
        <v>60.83760600071264</v>
      </c>
      <c r="AF176" s="216">
        <v>60.180326081028902</v>
      </c>
      <c r="AG176" s="216">
        <v>59.523046161345171</v>
      </c>
      <c r="AH176" s="216">
        <v>58.865766241661433</v>
      </c>
      <c r="AI176" s="216">
        <v>58.208486321977759</v>
      </c>
      <c r="AJ176" s="216">
        <v>57.551206402294028</v>
      </c>
      <c r="AK176" s="216">
        <v>56.89392648261029</v>
      </c>
      <c r="AL176" s="216">
        <v>56.236646562926623</v>
      </c>
      <c r="AM176" s="216">
        <v>55.579366643242892</v>
      </c>
      <c r="AN176" s="216">
        <v>54.922086723559147</v>
      </c>
      <c r="AO176" s="216">
        <v>54.264806803875409</v>
      </c>
      <c r="AP176" s="216">
        <v>53.607526884191728</v>
      </c>
    </row>
    <row r="177" spans="7:42" ht="14.25" customHeight="1" thickBot="1" x14ac:dyDescent="0.25">
      <c r="G177" s="138"/>
      <c r="H177" s="380"/>
      <c r="J177" s="358"/>
      <c r="K177" s="196" t="s">
        <v>351</v>
      </c>
      <c r="L177" s="196" t="s">
        <v>278</v>
      </c>
      <c r="M177" s="214">
        <v>79.116965003244744</v>
      </c>
      <c r="N177" s="214">
        <v>90.324073971536365</v>
      </c>
      <c r="O177" s="214">
        <v>85.765219137630453</v>
      </c>
      <c r="P177" s="214">
        <v>77.394089049692269</v>
      </c>
      <c r="Q177" s="214">
        <v>76.81979706517501</v>
      </c>
      <c r="R177" s="214">
        <v>76.245505080657722</v>
      </c>
      <c r="S177" s="214">
        <v>75.671213096140434</v>
      </c>
      <c r="T177" s="214">
        <v>75.096921111622535</v>
      </c>
      <c r="U177" s="214">
        <v>74.522629127105262</v>
      </c>
      <c r="V177" s="214">
        <v>73.948337142587974</v>
      </c>
      <c r="W177" s="214">
        <v>73.449712139988023</v>
      </c>
      <c r="X177" s="214">
        <v>72.951087137388058</v>
      </c>
      <c r="Y177" s="214">
        <v>72.452462134788107</v>
      </c>
      <c r="Z177" s="214">
        <v>71.953837132188767</v>
      </c>
      <c r="AA177" s="214">
        <v>71.455212129588816</v>
      </c>
      <c r="AB177" s="214">
        <v>70.95658712698885</v>
      </c>
      <c r="AC177" s="214">
        <v>70.457962124388899</v>
      </c>
      <c r="AD177" s="214">
        <v>69.959337121788948</v>
      </c>
      <c r="AE177" s="214">
        <v>69.460712119188997</v>
      </c>
      <c r="AF177" s="214">
        <v>68.962087116589032</v>
      </c>
      <c r="AG177" s="214">
        <v>68.463462113989081</v>
      </c>
      <c r="AH177" s="214">
        <v>67.964837111389116</v>
      </c>
      <c r="AI177" s="214">
        <v>67.466212108789165</v>
      </c>
      <c r="AJ177" s="214">
        <v>66.967587106189214</v>
      </c>
      <c r="AK177" s="214">
        <v>66.468962103589874</v>
      </c>
      <c r="AL177" s="214">
        <v>65.970337100989923</v>
      </c>
      <c r="AM177" s="214">
        <v>65.471712098389958</v>
      </c>
      <c r="AN177" s="214">
        <v>64.973087095790007</v>
      </c>
      <c r="AO177" s="214">
        <v>64.474462093190056</v>
      </c>
      <c r="AP177" s="214">
        <v>63.975837090590097</v>
      </c>
    </row>
    <row r="178" spans="7:42" ht="14.25" customHeight="1" thickTop="1" x14ac:dyDescent="0.2">
      <c r="G178" s="138"/>
      <c r="H178" s="380"/>
      <c r="J178" s="358"/>
      <c r="K178" s="194" t="s">
        <v>353</v>
      </c>
      <c r="L178" s="194" t="s">
        <v>276</v>
      </c>
      <c r="M178" s="215">
        <v>79.116965003244744</v>
      </c>
      <c r="N178" s="215">
        <v>89.003202407146063</v>
      </c>
      <c r="O178" s="215">
        <v>83.238334405754301</v>
      </c>
      <c r="P178" s="215">
        <v>73.948337142587974</v>
      </c>
      <c r="Q178" s="215">
        <v>72.225461189036139</v>
      </c>
      <c r="R178" s="215">
        <v>70.502585235483664</v>
      </c>
      <c r="S178" s="215">
        <v>68.779709281931815</v>
      </c>
      <c r="T178" s="215">
        <v>67.056833328379369</v>
      </c>
      <c r="U178" s="215">
        <v>65.33395737482752</v>
      </c>
      <c r="V178" s="215">
        <v>63.611081421275053</v>
      </c>
      <c r="W178" s="215">
        <v>62.896256456011862</v>
      </c>
      <c r="X178" s="215">
        <v>62.181431490748047</v>
      </c>
      <c r="Y178" s="215">
        <v>61.466606525484799</v>
      </c>
      <c r="Z178" s="215">
        <v>60.751781560221183</v>
      </c>
      <c r="AA178" s="215">
        <v>60.036956594957623</v>
      </c>
      <c r="AB178" s="215">
        <v>59.322131629694049</v>
      </c>
      <c r="AC178" s="215">
        <v>58.607306664430489</v>
      </c>
      <c r="AD178" s="215">
        <v>57.892481699166922</v>
      </c>
      <c r="AE178" s="215">
        <v>57.177656733903369</v>
      </c>
      <c r="AF178" s="215">
        <v>56.462831768639802</v>
      </c>
      <c r="AG178" s="215">
        <v>55.748006803376242</v>
      </c>
      <c r="AH178" s="215">
        <v>55.033181838112682</v>
      </c>
      <c r="AI178" s="215">
        <v>54.318356872849122</v>
      </c>
      <c r="AJ178" s="215">
        <v>53.603531907585491</v>
      </c>
      <c r="AK178" s="215">
        <v>52.888706942321917</v>
      </c>
      <c r="AL178" s="215">
        <v>52.173881977058358</v>
      </c>
      <c r="AM178" s="215">
        <v>51.459057011794798</v>
      </c>
      <c r="AN178" s="215">
        <v>50.744232046531238</v>
      </c>
      <c r="AO178" s="215">
        <v>50.029407081267678</v>
      </c>
      <c r="AP178" s="215">
        <v>49.314582116004111</v>
      </c>
    </row>
    <row r="179" spans="7:42" ht="14.25" customHeight="1" x14ac:dyDescent="0.2">
      <c r="G179" s="138"/>
      <c r="H179" s="380"/>
      <c r="J179" s="358"/>
      <c r="K179" s="135" t="s">
        <v>353</v>
      </c>
      <c r="L179" s="185" t="s">
        <v>277</v>
      </c>
      <c r="M179" s="217">
        <v>79.116965003244744</v>
      </c>
      <c r="N179" s="217">
        <v>89.404685788821538</v>
      </c>
      <c r="O179" s="217">
        <v>84.006389570698914</v>
      </c>
      <c r="P179" s="217">
        <v>74.995685094784619</v>
      </c>
      <c r="Q179" s="217">
        <v>73.621925125298105</v>
      </c>
      <c r="R179" s="217">
        <v>72.248165155811606</v>
      </c>
      <c r="S179" s="217">
        <v>70.874405186325092</v>
      </c>
      <c r="T179" s="217">
        <v>69.500645216838592</v>
      </c>
      <c r="U179" s="217">
        <v>68.126885247352078</v>
      </c>
      <c r="V179" s="217">
        <v>66.753125277865593</v>
      </c>
      <c r="W179" s="217">
        <v>66.095845358182217</v>
      </c>
      <c r="X179" s="217">
        <v>65.43856543849823</v>
      </c>
      <c r="Y179" s="217">
        <v>64.781285518814869</v>
      </c>
      <c r="Z179" s="217">
        <v>64.124005599130882</v>
      </c>
      <c r="AA179" s="217">
        <v>63.46672567944691</v>
      </c>
      <c r="AB179" s="217">
        <v>62.809445759763541</v>
      </c>
      <c r="AC179" s="217">
        <v>62.152165840079547</v>
      </c>
      <c r="AD179" s="217">
        <v>61.494885920396307</v>
      </c>
      <c r="AE179" s="217">
        <v>60.83760600071264</v>
      </c>
      <c r="AF179" s="217">
        <v>60.180326081028902</v>
      </c>
      <c r="AG179" s="217">
        <v>59.523046161345171</v>
      </c>
      <c r="AH179" s="217">
        <v>58.865766241661433</v>
      </c>
      <c r="AI179" s="217">
        <v>58.208486321977759</v>
      </c>
      <c r="AJ179" s="217">
        <v>57.551206402294028</v>
      </c>
      <c r="AK179" s="217">
        <v>56.89392648261029</v>
      </c>
      <c r="AL179" s="217">
        <v>56.236646562926623</v>
      </c>
      <c r="AM179" s="217">
        <v>55.579366643242892</v>
      </c>
      <c r="AN179" s="217">
        <v>54.922086723559147</v>
      </c>
      <c r="AO179" s="217">
        <v>54.264806803875409</v>
      </c>
      <c r="AP179" s="217">
        <v>53.607526884191728</v>
      </c>
    </row>
    <row r="180" spans="7:42" ht="14.25" customHeight="1" thickBot="1" x14ac:dyDescent="0.25">
      <c r="G180" s="138"/>
      <c r="H180" s="380"/>
      <c r="J180" s="358"/>
      <c r="K180" s="196" t="s">
        <v>353</v>
      </c>
      <c r="L180" s="196" t="s">
        <v>278</v>
      </c>
      <c r="M180" s="214">
        <v>79.116965003244744</v>
      </c>
      <c r="N180" s="214">
        <v>90.324073971536365</v>
      </c>
      <c r="O180" s="214">
        <v>85.765219137630453</v>
      </c>
      <c r="P180" s="214">
        <v>77.394089049692269</v>
      </c>
      <c r="Q180" s="214">
        <v>76.81979706517501</v>
      </c>
      <c r="R180" s="214">
        <v>76.245505080657722</v>
      </c>
      <c r="S180" s="214">
        <v>75.671213096140434</v>
      </c>
      <c r="T180" s="214">
        <v>75.096921111622535</v>
      </c>
      <c r="U180" s="214">
        <v>74.522629127105262</v>
      </c>
      <c r="V180" s="214">
        <v>73.948337142587974</v>
      </c>
      <c r="W180" s="214">
        <v>73.449712139988023</v>
      </c>
      <c r="X180" s="214">
        <v>72.951087137388058</v>
      </c>
      <c r="Y180" s="214">
        <v>72.452462134788107</v>
      </c>
      <c r="Z180" s="214">
        <v>71.953837132188767</v>
      </c>
      <c r="AA180" s="214">
        <v>71.455212129588816</v>
      </c>
      <c r="AB180" s="214">
        <v>70.95658712698885</v>
      </c>
      <c r="AC180" s="214">
        <v>70.457962124388899</v>
      </c>
      <c r="AD180" s="214">
        <v>69.959337121788948</v>
      </c>
      <c r="AE180" s="214">
        <v>69.460712119188997</v>
      </c>
      <c r="AF180" s="214">
        <v>68.962087116589032</v>
      </c>
      <c r="AG180" s="214">
        <v>68.463462113989081</v>
      </c>
      <c r="AH180" s="214">
        <v>67.964837111389116</v>
      </c>
      <c r="AI180" s="214">
        <v>67.466212108789165</v>
      </c>
      <c r="AJ180" s="214">
        <v>66.967587106189214</v>
      </c>
      <c r="AK180" s="214">
        <v>66.468962103589874</v>
      </c>
      <c r="AL180" s="214">
        <v>65.970337100989923</v>
      </c>
      <c r="AM180" s="214">
        <v>65.471712098389958</v>
      </c>
      <c r="AN180" s="214">
        <v>64.973087095790007</v>
      </c>
      <c r="AO180" s="214">
        <v>64.474462093190056</v>
      </c>
      <c r="AP180" s="214">
        <v>63.975837090590097</v>
      </c>
    </row>
    <row r="181" spans="7:42" ht="14.25" customHeight="1" thickTop="1" x14ac:dyDescent="0.2">
      <c r="G181" s="138"/>
      <c r="H181" s="380"/>
      <c r="J181" s="358"/>
      <c r="K181" s="194" t="s">
        <v>355</v>
      </c>
      <c r="L181" s="194" t="s">
        <v>276</v>
      </c>
      <c r="M181" s="215">
        <v>79.116965003244744</v>
      </c>
      <c r="N181" s="215">
        <v>89.003202407146063</v>
      </c>
      <c r="O181" s="215">
        <v>83.238334405754301</v>
      </c>
      <c r="P181" s="215">
        <v>73.948337142587974</v>
      </c>
      <c r="Q181" s="215">
        <v>72.225461189036139</v>
      </c>
      <c r="R181" s="215">
        <v>70.502585235483664</v>
      </c>
      <c r="S181" s="215">
        <v>68.779709281931815</v>
      </c>
      <c r="T181" s="215">
        <v>67.056833328379369</v>
      </c>
      <c r="U181" s="215">
        <v>65.33395737482752</v>
      </c>
      <c r="V181" s="215">
        <v>63.611081421275053</v>
      </c>
      <c r="W181" s="215">
        <v>62.896256456011862</v>
      </c>
      <c r="X181" s="215">
        <v>62.181431490748047</v>
      </c>
      <c r="Y181" s="215">
        <v>61.466606525484799</v>
      </c>
      <c r="Z181" s="215">
        <v>60.751781560221183</v>
      </c>
      <c r="AA181" s="215">
        <v>60.036956594957623</v>
      </c>
      <c r="AB181" s="215">
        <v>59.322131629694049</v>
      </c>
      <c r="AC181" s="215">
        <v>58.607306664430489</v>
      </c>
      <c r="AD181" s="215">
        <v>57.892481699166922</v>
      </c>
      <c r="AE181" s="215">
        <v>57.177656733903369</v>
      </c>
      <c r="AF181" s="215">
        <v>56.462831768639802</v>
      </c>
      <c r="AG181" s="215">
        <v>55.748006803376242</v>
      </c>
      <c r="AH181" s="215">
        <v>55.033181838112682</v>
      </c>
      <c r="AI181" s="215">
        <v>54.318356872849122</v>
      </c>
      <c r="AJ181" s="215">
        <v>53.603531907585491</v>
      </c>
      <c r="AK181" s="215">
        <v>52.888706942321917</v>
      </c>
      <c r="AL181" s="215">
        <v>52.173881977058358</v>
      </c>
      <c r="AM181" s="215">
        <v>51.459057011794798</v>
      </c>
      <c r="AN181" s="215">
        <v>50.744232046531238</v>
      </c>
      <c r="AO181" s="215">
        <v>50.029407081267678</v>
      </c>
      <c r="AP181" s="215">
        <v>49.314582116004111</v>
      </c>
    </row>
    <row r="182" spans="7:42" ht="14.25" customHeight="1" x14ac:dyDescent="0.2">
      <c r="G182" s="138"/>
      <c r="H182" s="380"/>
      <c r="J182" s="358"/>
      <c r="K182" s="135" t="s">
        <v>355</v>
      </c>
      <c r="L182" s="185" t="s">
        <v>277</v>
      </c>
      <c r="M182" s="213">
        <v>79.116965003244744</v>
      </c>
      <c r="N182" s="213">
        <v>89.404685788821538</v>
      </c>
      <c r="O182" s="213">
        <v>84.006389570698914</v>
      </c>
      <c r="P182" s="213">
        <v>74.995685094784619</v>
      </c>
      <c r="Q182" s="213">
        <v>73.621925125298105</v>
      </c>
      <c r="R182" s="213">
        <v>72.248165155811606</v>
      </c>
      <c r="S182" s="213">
        <v>70.874405186325092</v>
      </c>
      <c r="T182" s="213">
        <v>69.500645216838592</v>
      </c>
      <c r="U182" s="213">
        <v>68.126885247352078</v>
      </c>
      <c r="V182" s="213">
        <v>66.753125277865593</v>
      </c>
      <c r="W182" s="213">
        <v>66.095845358182217</v>
      </c>
      <c r="X182" s="213">
        <v>65.43856543849823</v>
      </c>
      <c r="Y182" s="213">
        <v>64.781285518814869</v>
      </c>
      <c r="Z182" s="213">
        <v>64.124005599130882</v>
      </c>
      <c r="AA182" s="213">
        <v>63.46672567944691</v>
      </c>
      <c r="AB182" s="213">
        <v>62.809445759763541</v>
      </c>
      <c r="AC182" s="213">
        <v>62.152165840079547</v>
      </c>
      <c r="AD182" s="213">
        <v>61.494885920396307</v>
      </c>
      <c r="AE182" s="213">
        <v>60.83760600071264</v>
      </c>
      <c r="AF182" s="213">
        <v>60.180326081028902</v>
      </c>
      <c r="AG182" s="213">
        <v>59.523046161345171</v>
      </c>
      <c r="AH182" s="213">
        <v>58.865766241661433</v>
      </c>
      <c r="AI182" s="213">
        <v>58.208486321977759</v>
      </c>
      <c r="AJ182" s="213">
        <v>57.551206402294028</v>
      </c>
      <c r="AK182" s="213">
        <v>56.89392648261029</v>
      </c>
      <c r="AL182" s="213">
        <v>56.236646562926623</v>
      </c>
      <c r="AM182" s="213">
        <v>55.579366643242892</v>
      </c>
      <c r="AN182" s="213">
        <v>54.922086723559147</v>
      </c>
      <c r="AO182" s="213">
        <v>54.264806803875409</v>
      </c>
      <c r="AP182" s="213">
        <v>53.607526884191728</v>
      </c>
    </row>
    <row r="183" spans="7:42" ht="14.25" customHeight="1" thickBot="1" x14ac:dyDescent="0.25">
      <c r="G183" s="138"/>
      <c r="H183" s="380"/>
      <c r="J183" s="358"/>
      <c r="K183" s="196" t="s">
        <v>355</v>
      </c>
      <c r="L183" s="196" t="s">
        <v>278</v>
      </c>
      <c r="M183" s="214">
        <v>79.116965003244744</v>
      </c>
      <c r="N183" s="214">
        <v>90.324073971536365</v>
      </c>
      <c r="O183" s="214">
        <v>85.765219137630453</v>
      </c>
      <c r="P183" s="214">
        <v>77.394089049692269</v>
      </c>
      <c r="Q183" s="214">
        <v>76.81979706517501</v>
      </c>
      <c r="R183" s="214">
        <v>76.245505080657722</v>
      </c>
      <c r="S183" s="214">
        <v>75.671213096140434</v>
      </c>
      <c r="T183" s="214">
        <v>75.096921111622535</v>
      </c>
      <c r="U183" s="214">
        <v>74.522629127105262</v>
      </c>
      <c r="V183" s="214">
        <v>73.948337142587974</v>
      </c>
      <c r="W183" s="214">
        <v>73.449712139988023</v>
      </c>
      <c r="X183" s="214">
        <v>72.951087137388058</v>
      </c>
      <c r="Y183" s="214">
        <v>72.452462134788107</v>
      </c>
      <c r="Z183" s="214">
        <v>71.953837132188767</v>
      </c>
      <c r="AA183" s="214">
        <v>71.455212129588816</v>
      </c>
      <c r="AB183" s="214">
        <v>70.95658712698885</v>
      </c>
      <c r="AC183" s="214">
        <v>70.457962124388899</v>
      </c>
      <c r="AD183" s="214">
        <v>69.959337121788948</v>
      </c>
      <c r="AE183" s="214">
        <v>69.460712119188997</v>
      </c>
      <c r="AF183" s="214">
        <v>68.962087116589032</v>
      </c>
      <c r="AG183" s="214">
        <v>68.463462113989081</v>
      </c>
      <c r="AH183" s="214">
        <v>67.964837111389116</v>
      </c>
      <c r="AI183" s="214">
        <v>67.466212108789165</v>
      </c>
      <c r="AJ183" s="214">
        <v>66.967587106189214</v>
      </c>
      <c r="AK183" s="214">
        <v>66.468962103589874</v>
      </c>
      <c r="AL183" s="214">
        <v>65.970337100989923</v>
      </c>
      <c r="AM183" s="214">
        <v>65.471712098389958</v>
      </c>
      <c r="AN183" s="214">
        <v>64.973087095790007</v>
      </c>
      <c r="AO183" s="214">
        <v>64.474462093190056</v>
      </c>
      <c r="AP183" s="214">
        <v>63.975837090590097</v>
      </c>
    </row>
    <row r="184" spans="7:42" ht="14.25" customHeight="1" thickTop="1" x14ac:dyDescent="0.2">
      <c r="G184" s="138"/>
      <c r="H184" s="380"/>
      <c r="J184" s="358"/>
      <c r="K184" s="194" t="s">
        <v>357</v>
      </c>
      <c r="L184" s="194" t="s">
        <v>276</v>
      </c>
      <c r="M184" s="215">
        <v>79.116965003244744</v>
      </c>
      <c r="N184" s="215">
        <v>89.003202407146063</v>
      </c>
      <c r="O184" s="215">
        <v>83.238334405754301</v>
      </c>
      <c r="P184" s="215">
        <v>73.948337142587974</v>
      </c>
      <c r="Q184" s="215">
        <v>72.225461189036139</v>
      </c>
      <c r="R184" s="215">
        <v>70.502585235483664</v>
      </c>
      <c r="S184" s="215">
        <v>68.779709281931815</v>
      </c>
      <c r="T184" s="215">
        <v>67.056833328379369</v>
      </c>
      <c r="U184" s="215">
        <v>65.33395737482752</v>
      </c>
      <c r="V184" s="215">
        <v>63.611081421275053</v>
      </c>
      <c r="W184" s="215">
        <v>62.896256456011862</v>
      </c>
      <c r="X184" s="215">
        <v>62.181431490748047</v>
      </c>
      <c r="Y184" s="215">
        <v>61.466606525484799</v>
      </c>
      <c r="Z184" s="215">
        <v>60.751781560221183</v>
      </c>
      <c r="AA184" s="215">
        <v>60.036956594957623</v>
      </c>
      <c r="AB184" s="215">
        <v>59.322131629694049</v>
      </c>
      <c r="AC184" s="215">
        <v>58.607306664430489</v>
      </c>
      <c r="AD184" s="215">
        <v>57.892481699166922</v>
      </c>
      <c r="AE184" s="215">
        <v>57.177656733903369</v>
      </c>
      <c r="AF184" s="215">
        <v>56.462831768639802</v>
      </c>
      <c r="AG184" s="215">
        <v>55.748006803376242</v>
      </c>
      <c r="AH184" s="215">
        <v>55.033181838112682</v>
      </c>
      <c r="AI184" s="215">
        <v>54.318356872849122</v>
      </c>
      <c r="AJ184" s="215">
        <v>53.603531907585491</v>
      </c>
      <c r="AK184" s="215">
        <v>52.888706942321917</v>
      </c>
      <c r="AL184" s="215">
        <v>52.173881977058358</v>
      </c>
      <c r="AM184" s="215">
        <v>51.459057011794798</v>
      </c>
      <c r="AN184" s="215">
        <v>50.744232046531238</v>
      </c>
      <c r="AO184" s="215">
        <v>50.029407081267678</v>
      </c>
      <c r="AP184" s="215">
        <v>49.314582116004111</v>
      </c>
    </row>
    <row r="185" spans="7:42" ht="14.25" customHeight="1" x14ac:dyDescent="0.2">
      <c r="G185" s="138"/>
      <c r="H185" s="380"/>
      <c r="J185" s="358"/>
      <c r="K185" s="135" t="s">
        <v>357</v>
      </c>
      <c r="L185" s="185" t="s">
        <v>277</v>
      </c>
      <c r="M185" s="213">
        <v>79.116965003244744</v>
      </c>
      <c r="N185" s="213">
        <v>89.404685788821538</v>
      </c>
      <c r="O185" s="213">
        <v>84.006389570698914</v>
      </c>
      <c r="P185" s="213">
        <v>74.995685094784619</v>
      </c>
      <c r="Q185" s="213">
        <v>73.621925125298105</v>
      </c>
      <c r="R185" s="213">
        <v>72.248165155811606</v>
      </c>
      <c r="S185" s="213">
        <v>70.874405186325092</v>
      </c>
      <c r="T185" s="213">
        <v>69.500645216838592</v>
      </c>
      <c r="U185" s="213">
        <v>68.126885247352078</v>
      </c>
      <c r="V185" s="213">
        <v>66.753125277865593</v>
      </c>
      <c r="W185" s="213">
        <v>66.095845358182217</v>
      </c>
      <c r="X185" s="213">
        <v>65.43856543849823</v>
      </c>
      <c r="Y185" s="213">
        <v>64.781285518814869</v>
      </c>
      <c r="Z185" s="213">
        <v>64.124005599130882</v>
      </c>
      <c r="AA185" s="213">
        <v>63.46672567944691</v>
      </c>
      <c r="AB185" s="213">
        <v>62.809445759763541</v>
      </c>
      <c r="AC185" s="213">
        <v>62.152165840079547</v>
      </c>
      <c r="AD185" s="213">
        <v>61.494885920396307</v>
      </c>
      <c r="AE185" s="213">
        <v>60.83760600071264</v>
      </c>
      <c r="AF185" s="213">
        <v>60.180326081028902</v>
      </c>
      <c r="AG185" s="213">
        <v>59.523046161345171</v>
      </c>
      <c r="AH185" s="213">
        <v>58.865766241661433</v>
      </c>
      <c r="AI185" s="213">
        <v>58.208486321977759</v>
      </c>
      <c r="AJ185" s="213">
        <v>57.551206402294028</v>
      </c>
      <c r="AK185" s="213">
        <v>56.89392648261029</v>
      </c>
      <c r="AL185" s="213">
        <v>56.236646562926623</v>
      </c>
      <c r="AM185" s="213">
        <v>55.579366643242892</v>
      </c>
      <c r="AN185" s="213">
        <v>54.922086723559147</v>
      </c>
      <c r="AO185" s="213">
        <v>54.264806803875409</v>
      </c>
      <c r="AP185" s="213">
        <v>53.607526884191728</v>
      </c>
    </row>
    <row r="186" spans="7:42" ht="14.25" customHeight="1" thickBot="1" x14ac:dyDescent="0.25">
      <c r="G186" s="138"/>
      <c r="H186" s="380"/>
      <c r="J186" s="358"/>
      <c r="K186" s="196" t="s">
        <v>357</v>
      </c>
      <c r="L186" s="196" t="s">
        <v>278</v>
      </c>
      <c r="M186" s="214">
        <v>79.116965003244744</v>
      </c>
      <c r="N186" s="214">
        <v>90.324073971536365</v>
      </c>
      <c r="O186" s="214">
        <v>85.765219137630453</v>
      </c>
      <c r="P186" s="214">
        <v>77.394089049692269</v>
      </c>
      <c r="Q186" s="214">
        <v>76.81979706517501</v>
      </c>
      <c r="R186" s="214">
        <v>76.245505080657722</v>
      </c>
      <c r="S186" s="214">
        <v>75.671213096140434</v>
      </c>
      <c r="T186" s="214">
        <v>75.096921111622535</v>
      </c>
      <c r="U186" s="214">
        <v>74.522629127105262</v>
      </c>
      <c r="V186" s="214">
        <v>73.948337142587974</v>
      </c>
      <c r="W186" s="214">
        <v>73.449712139988023</v>
      </c>
      <c r="X186" s="214">
        <v>72.951087137388058</v>
      </c>
      <c r="Y186" s="214">
        <v>72.452462134788107</v>
      </c>
      <c r="Z186" s="214">
        <v>71.953837132188767</v>
      </c>
      <c r="AA186" s="214">
        <v>71.455212129588816</v>
      </c>
      <c r="AB186" s="214">
        <v>70.95658712698885</v>
      </c>
      <c r="AC186" s="214">
        <v>70.457962124388899</v>
      </c>
      <c r="AD186" s="214">
        <v>69.959337121788948</v>
      </c>
      <c r="AE186" s="214">
        <v>69.460712119188997</v>
      </c>
      <c r="AF186" s="214">
        <v>68.962087116589032</v>
      </c>
      <c r="AG186" s="214">
        <v>68.463462113989081</v>
      </c>
      <c r="AH186" s="214">
        <v>67.964837111389116</v>
      </c>
      <c r="AI186" s="214">
        <v>67.466212108789165</v>
      </c>
      <c r="AJ186" s="214">
        <v>66.967587106189214</v>
      </c>
      <c r="AK186" s="214">
        <v>66.468962103589874</v>
      </c>
      <c r="AL186" s="214">
        <v>65.970337100989923</v>
      </c>
      <c r="AM186" s="214">
        <v>65.471712098389958</v>
      </c>
      <c r="AN186" s="214">
        <v>64.973087095790007</v>
      </c>
      <c r="AO186" s="214">
        <v>64.474462093190056</v>
      </c>
      <c r="AP186" s="214">
        <v>63.975837090590097</v>
      </c>
    </row>
    <row r="187" spans="7:42" ht="14.25" customHeight="1" thickTop="1" x14ac:dyDescent="0.2">
      <c r="G187" s="138"/>
      <c r="H187" s="380"/>
      <c r="J187" s="358"/>
      <c r="K187" s="194" t="s">
        <v>359</v>
      </c>
      <c r="L187" s="194" t="s">
        <v>276</v>
      </c>
      <c r="M187" s="215">
        <v>79.116965003244744</v>
      </c>
      <c r="N187" s="215">
        <v>89.003202407146063</v>
      </c>
      <c r="O187" s="215">
        <v>83.238334405754301</v>
      </c>
      <c r="P187" s="215">
        <v>73.948337142587974</v>
      </c>
      <c r="Q187" s="215">
        <v>72.225461189036139</v>
      </c>
      <c r="R187" s="215">
        <v>70.502585235483664</v>
      </c>
      <c r="S187" s="215">
        <v>68.779709281931815</v>
      </c>
      <c r="T187" s="215">
        <v>67.056833328379369</v>
      </c>
      <c r="U187" s="215">
        <v>65.33395737482752</v>
      </c>
      <c r="V187" s="215">
        <v>63.611081421275053</v>
      </c>
      <c r="W187" s="215">
        <v>62.896256456011862</v>
      </c>
      <c r="X187" s="215">
        <v>62.181431490748047</v>
      </c>
      <c r="Y187" s="215">
        <v>61.466606525484799</v>
      </c>
      <c r="Z187" s="215">
        <v>60.751781560221183</v>
      </c>
      <c r="AA187" s="215">
        <v>60.036956594957623</v>
      </c>
      <c r="AB187" s="215">
        <v>59.322131629694049</v>
      </c>
      <c r="AC187" s="215">
        <v>58.607306664430489</v>
      </c>
      <c r="AD187" s="215">
        <v>57.892481699166922</v>
      </c>
      <c r="AE187" s="215">
        <v>57.177656733903369</v>
      </c>
      <c r="AF187" s="215">
        <v>56.462831768639802</v>
      </c>
      <c r="AG187" s="215">
        <v>55.748006803376242</v>
      </c>
      <c r="AH187" s="215">
        <v>55.033181838112682</v>
      </c>
      <c r="AI187" s="215">
        <v>54.318356872849122</v>
      </c>
      <c r="AJ187" s="215">
        <v>53.603531907585491</v>
      </c>
      <c r="AK187" s="215">
        <v>52.888706942321917</v>
      </c>
      <c r="AL187" s="215">
        <v>52.173881977058358</v>
      </c>
      <c r="AM187" s="215">
        <v>51.459057011794798</v>
      </c>
      <c r="AN187" s="215">
        <v>50.744232046531238</v>
      </c>
      <c r="AO187" s="215">
        <v>50.029407081267678</v>
      </c>
      <c r="AP187" s="215">
        <v>49.314582116004111</v>
      </c>
    </row>
    <row r="188" spans="7:42" ht="14.25" customHeight="1" x14ac:dyDescent="0.2">
      <c r="G188" s="138"/>
      <c r="H188" s="380"/>
      <c r="J188" s="358"/>
      <c r="K188" s="135" t="s">
        <v>359</v>
      </c>
      <c r="L188" s="185" t="s">
        <v>277</v>
      </c>
      <c r="M188" s="213">
        <v>79.116965003244744</v>
      </c>
      <c r="N188" s="213">
        <v>89.404685788821538</v>
      </c>
      <c r="O188" s="213">
        <v>84.006389570698914</v>
      </c>
      <c r="P188" s="213">
        <v>74.995685094784619</v>
      </c>
      <c r="Q188" s="213">
        <v>73.621925125298105</v>
      </c>
      <c r="R188" s="213">
        <v>72.248165155811606</v>
      </c>
      <c r="S188" s="213">
        <v>70.874405186325092</v>
      </c>
      <c r="T188" s="213">
        <v>69.500645216838592</v>
      </c>
      <c r="U188" s="213">
        <v>68.126885247352078</v>
      </c>
      <c r="V188" s="213">
        <v>66.753125277865593</v>
      </c>
      <c r="W188" s="213">
        <v>66.095845358182217</v>
      </c>
      <c r="X188" s="213">
        <v>65.43856543849823</v>
      </c>
      <c r="Y188" s="213">
        <v>64.781285518814869</v>
      </c>
      <c r="Z188" s="213">
        <v>64.124005599130882</v>
      </c>
      <c r="AA188" s="213">
        <v>63.46672567944691</v>
      </c>
      <c r="AB188" s="213">
        <v>62.809445759763541</v>
      </c>
      <c r="AC188" s="213">
        <v>62.152165840079547</v>
      </c>
      <c r="AD188" s="213">
        <v>61.494885920396307</v>
      </c>
      <c r="AE188" s="213">
        <v>60.83760600071264</v>
      </c>
      <c r="AF188" s="213">
        <v>60.180326081028902</v>
      </c>
      <c r="AG188" s="213">
        <v>59.523046161345171</v>
      </c>
      <c r="AH188" s="213">
        <v>58.865766241661433</v>
      </c>
      <c r="AI188" s="213">
        <v>58.208486321977759</v>
      </c>
      <c r="AJ188" s="213">
        <v>57.551206402294028</v>
      </c>
      <c r="AK188" s="213">
        <v>56.89392648261029</v>
      </c>
      <c r="AL188" s="213">
        <v>56.236646562926623</v>
      </c>
      <c r="AM188" s="213">
        <v>55.579366643242892</v>
      </c>
      <c r="AN188" s="213">
        <v>54.922086723559147</v>
      </c>
      <c r="AO188" s="213">
        <v>54.264806803875409</v>
      </c>
      <c r="AP188" s="213">
        <v>53.607526884191728</v>
      </c>
    </row>
    <row r="189" spans="7:42" ht="14.25" customHeight="1" thickBot="1" x14ac:dyDescent="0.25">
      <c r="G189" s="138"/>
      <c r="H189" s="380"/>
      <c r="J189" s="358"/>
      <c r="K189" s="196" t="s">
        <v>359</v>
      </c>
      <c r="L189" s="196" t="s">
        <v>278</v>
      </c>
      <c r="M189" s="214">
        <v>79.116965003244744</v>
      </c>
      <c r="N189" s="214">
        <v>90.324073971536365</v>
      </c>
      <c r="O189" s="214">
        <v>85.765219137630453</v>
      </c>
      <c r="P189" s="214">
        <v>77.394089049692269</v>
      </c>
      <c r="Q189" s="214">
        <v>76.81979706517501</v>
      </c>
      <c r="R189" s="214">
        <v>76.245505080657722</v>
      </c>
      <c r="S189" s="214">
        <v>75.671213096140434</v>
      </c>
      <c r="T189" s="214">
        <v>75.096921111622535</v>
      </c>
      <c r="U189" s="214">
        <v>74.522629127105262</v>
      </c>
      <c r="V189" s="214">
        <v>73.948337142587974</v>
      </c>
      <c r="W189" s="214">
        <v>73.449712139988023</v>
      </c>
      <c r="X189" s="214">
        <v>72.951087137388058</v>
      </c>
      <c r="Y189" s="214">
        <v>72.452462134788107</v>
      </c>
      <c r="Z189" s="214">
        <v>71.953837132188767</v>
      </c>
      <c r="AA189" s="214">
        <v>71.455212129588816</v>
      </c>
      <c r="AB189" s="214">
        <v>70.95658712698885</v>
      </c>
      <c r="AC189" s="214">
        <v>70.457962124388899</v>
      </c>
      <c r="AD189" s="214">
        <v>69.959337121788948</v>
      </c>
      <c r="AE189" s="214">
        <v>69.460712119188997</v>
      </c>
      <c r="AF189" s="214">
        <v>68.962087116589032</v>
      </c>
      <c r="AG189" s="214">
        <v>68.463462113989081</v>
      </c>
      <c r="AH189" s="214">
        <v>67.964837111389116</v>
      </c>
      <c r="AI189" s="214">
        <v>67.466212108789165</v>
      </c>
      <c r="AJ189" s="214">
        <v>66.967587106189214</v>
      </c>
      <c r="AK189" s="214">
        <v>66.468962103589874</v>
      </c>
      <c r="AL189" s="214">
        <v>65.970337100989923</v>
      </c>
      <c r="AM189" s="214">
        <v>65.471712098389958</v>
      </c>
      <c r="AN189" s="214">
        <v>64.973087095790007</v>
      </c>
      <c r="AO189" s="214">
        <v>64.474462093190056</v>
      </c>
      <c r="AP189" s="214">
        <v>63.975837090590097</v>
      </c>
    </row>
    <row r="190" spans="7:42" ht="14.25" customHeight="1" thickTop="1" x14ac:dyDescent="0.2">
      <c r="G190" s="138"/>
      <c r="H190" s="380"/>
      <c r="J190" s="358"/>
      <c r="K190" s="194" t="s">
        <v>361</v>
      </c>
      <c r="L190" s="194" t="s">
        <v>276</v>
      </c>
      <c r="M190" s="215">
        <v>79.116965003244744</v>
      </c>
      <c r="N190" s="215">
        <v>89.003202407146063</v>
      </c>
      <c r="O190" s="215">
        <v>83.238334405754301</v>
      </c>
      <c r="P190" s="215">
        <v>73.948337142587974</v>
      </c>
      <c r="Q190" s="215">
        <v>72.225461189036139</v>
      </c>
      <c r="R190" s="215">
        <v>70.502585235483664</v>
      </c>
      <c r="S190" s="215">
        <v>68.779709281931815</v>
      </c>
      <c r="T190" s="215">
        <v>67.056833328379369</v>
      </c>
      <c r="U190" s="215">
        <v>65.33395737482752</v>
      </c>
      <c r="V190" s="215">
        <v>63.611081421275053</v>
      </c>
      <c r="W190" s="215">
        <v>62.896256456011862</v>
      </c>
      <c r="X190" s="215">
        <v>62.181431490748047</v>
      </c>
      <c r="Y190" s="215">
        <v>61.466606525484799</v>
      </c>
      <c r="Z190" s="215">
        <v>60.751781560221183</v>
      </c>
      <c r="AA190" s="215">
        <v>60.036956594957623</v>
      </c>
      <c r="AB190" s="215">
        <v>59.322131629694049</v>
      </c>
      <c r="AC190" s="215">
        <v>58.607306664430489</v>
      </c>
      <c r="AD190" s="215">
        <v>57.892481699166922</v>
      </c>
      <c r="AE190" s="215">
        <v>57.177656733903369</v>
      </c>
      <c r="AF190" s="215">
        <v>56.462831768639802</v>
      </c>
      <c r="AG190" s="215">
        <v>55.748006803376242</v>
      </c>
      <c r="AH190" s="215">
        <v>55.033181838112682</v>
      </c>
      <c r="AI190" s="215">
        <v>54.318356872849122</v>
      </c>
      <c r="AJ190" s="215">
        <v>53.603531907585491</v>
      </c>
      <c r="AK190" s="215">
        <v>52.888706942321917</v>
      </c>
      <c r="AL190" s="215">
        <v>52.173881977058358</v>
      </c>
      <c r="AM190" s="215">
        <v>51.459057011794798</v>
      </c>
      <c r="AN190" s="215">
        <v>50.744232046531238</v>
      </c>
      <c r="AO190" s="215">
        <v>50.029407081267678</v>
      </c>
      <c r="AP190" s="215">
        <v>49.314582116004111</v>
      </c>
    </row>
    <row r="191" spans="7:42" ht="14.25" customHeight="1" x14ac:dyDescent="0.2">
      <c r="G191" s="138"/>
      <c r="H191" s="380"/>
      <c r="J191" s="358"/>
      <c r="K191" s="135" t="s">
        <v>361</v>
      </c>
      <c r="L191" s="185" t="s">
        <v>277</v>
      </c>
      <c r="M191" s="213">
        <v>79.116965003244744</v>
      </c>
      <c r="N191" s="213">
        <v>89.404685788821538</v>
      </c>
      <c r="O191" s="213">
        <v>84.006389570698914</v>
      </c>
      <c r="P191" s="213">
        <v>74.995685094784619</v>
      </c>
      <c r="Q191" s="213">
        <v>73.621925125298105</v>
      </c>
      <c r="R191" s="213">
        <v>72.248165155811606</v>
      </c>
      <c r="S191" s="213">
        <v>70.874405186325092</v>
      </c>
      <c r="T191" s="213">
        <v>69.500645216838592</v>
      </c>
      <c r="U191" s="213">
        <v>68.126885247352078</v>
      </c>
      <c r="V191" s="213">
        <v>66.753125277865593</v>
      </c>
      <c r="W191" s="213">
        <v>66.095845358182217</v>
      </c>
      <c r="X191" s="213">
        <v>65.43856543849823</v>
      </c>
      <c r="Y191" s="213">
        <v>64.781285518814869</v>
      </c>
      <c r="Z191" s="213">
        <v>64.124005599130882</v>
      </c>
      <c r="AA191" s="213">
        <v>63.46672567944691</v>
      </c>
      <c r="AB191" s="213">
        <v>62.809445759763541</v>
      </c>
      <c r="AC191" s="213">
        <v>62.152165840079547</v>
      </c>
      <c r="AD191" s="213">
        <v>61.494885920396307</v>
      </c>
      <c r="AE191" s="213">
        <v>60.83760600071264</v>
      </c>
      <c r="AF191" s="213">
        <v>60.180326081028902</v>
      </c>
      <c r="AG191" s="213">
        <v>59.523046161345171</v>
      </c>
      <c r="AH191" s="213">
        <v>58.865766241661433</v>
      </c>
      <c r="AI191" s="213">
        <v>58.208486321977759</v>
      </c>
      <c r="AJ191" s="213">
        <v>57.551206402294028</v>
      </c>
      <c r="AK191" s="213">
        <v>56.89392648261029</v>
      </c>
      <c r="AL191" s="213">
        <v>56.236646562926623</v>
      </c>
      <c r="AM191" s="213">
        <v>55.579366643242892</v>
      </c>
      <c r="AN191" s="213">
        <v>54.922086723559147</v>
      </c>
      <c r="AO191" s="213">
        <v>54.264806803875409</v>
      </c>
      <c r="AP191" s="213">
        <v>53.607526884191728</v>
      </c>
    </row>
    <row r="192" spans="7:42" ht="14.25" customHeight="1" thickBot="1" x14ac:dyDescent="0.25">
      <c r="G192" s="138"/>
      <c r="H192" s="380"/>
      <c r="J192" s="358"/>
      <c r="K192" s="196" t="s">
        <v>361</v>
      </c>
      <c r="L192" s="196" t="s">
        <v>278</v>
      </c>
      <c r="M192" s="214">
        <v>79.116965003244744</v>
      </c>
      <c r="N192" s="214">
        <v>90.324073971536365</v>
      </c>
      <c r="O192" s="214">
        <v>85.765219137630453</v>
      </c>
      <c r="P192" s="214">
        <v>77.394089049692269</v>
      </c>
      <c r="Q192" s="214">
        <v>76.81979706517501</v>
      </c>
      <c r="R192" s="214">
        <v>76.245505080657722</v>
      </c>
      <c r="S192" s="214">
        <v>75.671213096140434</v>
      </c>
      <c r="T192" s="214">
        <v>75.096921111622535</v>
      </c>
      <c r="U192" s="214">
        <v>74.522629127105262</v>
      </c>
      <c r="V192" s="214">
        <v>73.948337142587974</v>
      </c>
      <c r="W192" s="214">
        <v>73.449712139988023</v>
      </c>
      <c r="X192" s="214">
        <v>72.951087137388058</v>
      </c>
      <c r="Y192" s="214">
        <v>72.452462134788107</v>
      </c>
      <c r="Z192" s="214">
        <v>71.953837132188767</v>
      </c>
      <c r="AA192" s="214">
        <v>71.455212129588816</v>
      </c>
      <c r="AB192" s="214">
        <v>70.95658712698885</v>
      </c>
      <c r="AC192" s="214">
        <v>70.457962124388899</v>
      </c>
      <c r="AD192" s="214">
        <v>69.959337121788948</v>
      </c>
      <c r="AE192" s="214">
        <v>69.460712119188997</v>
      </c>
      <c r="AF192" s="214">
        <v>68.962087116589032</v>
      </c>
      <c r="AG192" s="214">
        <v>68.463462113989081</v>
      </c>
      <c r="AH192" s="214">
        <v>67.964837111389116</v>
      </c>
      <c r="AI192" s="214">
        <v>67.466212108789165</v>
      </c>
      <c r="AJ192" s="214">
        <v>66.967587106189214</v>
      </c>
      <c r="AK192" s="214">
        <v>66.468962103589874</v>
      </c>
      <c r="AL192" s="214">
        <v>65.970337100989923</v>
      </c>
      <c r="AM192" s="214">
        <v>65.471712098389958</v>
      </c>
      <c r="AN192" s="214">
        <v>64.973087095790007</v>
      </c>
      <c r="AO192" s="214">
        <v>64.474462093190056</v>
      </c>
      <c r="AP192" s="214">
        <v>63.975837090590097</v>
      </c>
    </row>
    <row r="193" spans="7:42" ht="14.25" customHeight="1" thickTop="1" x14ac:dyDescent="0.2">
      <c r="G193" s="138"/>
      <c r="H193" s="380"/>
      <c r="J193" s="358"/>
      <c r="K193" s="194" t="s">
        <v>363</v>
      </c>
      <c r="L193" s="194" t="s">
        <v>276</v>
      </c>
      <c r="M193" s="215">
        <v>86.430785685862986</v>
      </c>
      <c r="N193" s="215">
        <v>96.749945559634753</v>
      </c>
      <c r="O193" s="215">
        <v>90.012988120504133</v>
      </c>
      <c r="P193" s="215">
        <v>79.52959095775563</v>
      </c>
      <c r="Q193" s="215">
        <v>77.229192715053159</v>
      </c>
      <c r="R193" s="215">
        <v>74.928794472350702</v>
      </c>
      <c r="S193" s="215">
        <v>72.62839622964826</v>
      </c>
      <c r="T193" s="215">
        <v>70.327997986945803</v>
      </c>
      <c r="U193" s="215">
        <v>68.027599744243346</v>
      </c>
      <c r="V193" s="215">
        <v>65.72720150154089</v>
      </c>
      <c r="W193" s="215">
        <v>64.977462269077094</v>
      </c>
      <c r="X193" s="215">
        <v>64.227723036612673</v>
      </c>
      <c r="Y193" s="215">
        <v>63.477983804148877</v>
      </c>
      <c r="Z193" s="215">
        <v>62.728244571684463</v>
      </c>
      <c r="AA193" s="215">
        <v>61.978505339220042</v>
      </c>
      <c r="AB193" s="215">
        <v>61.228766106756368</v>
      </c>
      <c r="AC193" s="215">
        <v>60.479026874292202</v>
      </c>
      <c r="AD193" s="215">
        <v>59.729287641828023</v>
      </c>
      <c r="AE193" s="215">
        <v>58.979548409363851</v>
      </c>
      <c r="AF193" s="215">
        <v>58.229809176899622</v>
      </c>
      <c r="AG193" s="215">
        <v>57.480069944435513</v>
      </c>
      <c r="AH193" s="215">
        <v>56.730330711971277</v>
      </c>
      <c r="AI193" s="215">
        <v>55.980591479507098</v>
      </c>
      <c r="AJ193" s="215">
        <v>55.230852247042932</v>
      </c>
      <c r="AK193" s="215">
        <v>54.481113014578767</v>
      </c>
      <c r="AL193" s="215">
        <v>53.731373782114588</v>
      </c>
      <c r="AM193" s="215">
        <v>52.981634549650423</v>
      </c>
      <c r="AN193" s="215">
        <v>52.23189531718625</v>
      </c>
      <c r="AO193" s="215">
        <v>51.482156084722092</v>
      </c>
      <c r="AP193" s="215">
        <v>50.732416852257913</v>
      </c>
    </row>
    <row r="194" spans="7:42" ht="14.25" customHeight="1" x14ac:dyDescent="0.2">
      <c r="G194" s="138"/>
      <c r="H194" s="380"/>
      <c r="J194" s="358"/>
      <c r="K194" s="135" t="s">
        <v>363</v>
      </c>
      <c r="L194" s="185" t="s">
        <v>277</v>
      </c>
      <c r="M194" s="213">
        <v>86.430785685862986</v>
      </c>
      <c r="N194" s="213">
        <v>97.28155457160959</v>
      </c>
      <c r="O194" s="213">
        <v>91.029979273848227</v>
      </c>
      <c r="P194" s="213">
        <v>80.91639707595229</v>
      </c>
      <c r="Q194" s="213">
        <v>79.078267539315391</v>
      </c>
      <c r="R194" s="213">
        <v>77.240138002678492</v>
      </c>
      <c r="S194" s="213">
        <v>75.402008466041593</v>
      </c>
      <c r="T194" s="213">
        <v>73.563878929404694</v>
      </c>
      <c r="U194" s="213">
        <v>71.725749392767781</v>
      </c>
      <c r="V194" s="213">
        <v>69.887619856130897</v>
      </c>
      <c r="W194" s="213">
        <v>69.204060895990381</v>
      </c>
      <c r="X194" s="213">
        <v>68.520501935849865</v>
      </c>
      <c r="Y194" s="213">
        <v>67.836942975709334</v>
      </c>
      <c r="Z194" s="213">
        <v>67.153384015568207</v>
      </c>
      <c r="AA194" s="213">
        <v>66.469825055427691</v>
      </c>
      <c r="AB194" s="213">
        <v>65.786266095287161</v>
      </c>
      <c r="AC194" s="213">
        <v>65.102707135146645</v>
      </c>
      <c r="AD194" s="213">
        <v>64.419148175006129</v>
      </c>
      <c r="AE194" s="213">
        <v>63.735589214865612</v>
      </c>
      <c r="AF194" s="213">
        <v>63.052030254725082</v>
      </c>
      <c r="AG194" s="213">
        <v>62.368471294584573</v>
      </c>
      <c r="AH194" s="213">
        <v>61.684912334443432</v>
      </c>
      <c r="AI194" s="213">
        <v>61.001353374303349</v>
      </c>
      <c r="AJ194" s="213">
        <v>60.317794414162762</v>
      </c>
      <c r="AK194" s="213">
        <v>59.634235454022182</v>
      </c>
      <c r="AL194" s="213">
        <v>58.950676493881602</v>
      </c>
      <c r="AM194" s="213">
        <v>58.267117533740972</v>
      </c>
      <c r="AN194" s="213">
        <v>57.583558573600378</v>
      </c>
      <c r="AO194" s="213">
        <v>56.899999613459798</v>
      </c>
      <c r="AP194" s="213">
        <v>56.216440653319218</v>
      </c>
    </row>
    <row r="195" spans="7:42" ht="14.25" customHeight="1" thickBot="1" x14ac:dyDescent="0.25">
      <c r="G195" s="138"/>
      <c r="H195" s="380"/>
      <c r="J195" s="358"/>
      <c r="K195" s="196" t="s">
        <v>363</v>
      </c>
      <c r="L195" s="196" t="s">
        <v>278</v>
      </c>
      <c r="M195" s="214">
        <v>86.430785685862986</v>
      </c>
      <c r="N195" s="214">
        <v>98.553666909026418</v>
      </c>
      <c r="O195" s="214">
        <v>93.463585484557498</v>
      </c>
      <c r="P195" s="214">
        <v>84.234950999646742</v>
      </c>
      <c r="Q195" s="214">
        <v>83.503006104241337</v>
      </c>
      <c r="R195" s="214">
        <v>82.771061208836556</v>
      </c>
      <c r="S195" s="214">
        <v>82.039116313431137</v>
      </c>
      <c r="T195" s="214">
        <v>81.307171418025732</v>
      </c>
      <c r="U195" s="214">
        <v>80.575226522620312</v>
      </c>
      <c r="V195" s="214">
        <v>79.843281627214907</v>
      </c>
      <c r="W195" s="214">
        <v>79.31508009820152</v>
      </c>
      <c r="X195" s="214">
        <v>78.786878569187522</v>
      </c>
      <c r="Y195" s="214">
        <v>78.258677040174135</v>
      </c>
      <c r="Z195" s="214">
        <v>77.730475511160137</v>
      </c>
      <c r="AA195" s="214">
        <v>77.20227398214675</v>
      </c>
      <c r="AB195" s="214">
        <v>76.674072453132737</v>
      </c>
      <c r="AC195" s="214">
        <v>76.145870924119365</v>
      </c>
      <c r="AD195" s="214">
        <v>75.617669395105352</v>
      </c>
      <c r="AE195" s="214">
        <v>75.089467866091979</v>
      </c>
      <c r="AF195" s="214">
        <v>74.561266337077967</v>
      </c>
      <c r="AG195" s="214">
        <v>74.03306480806458</v>
      </c>
      <c r="AH195" s="214">
        <v>73.504863279050582</v>
      </c>
      <c r="AI195" s="214">
        <v>72.976661750037195</v>
      </c>
      <c r="AJ195" s="214">
        <v>72.448460221023808</v>
      </c>
      <c r="AK195" s="214">
        <v>71.92025869200981</v>
      </c>
      <c r="AL195" s="214">
        <v>71.392057162996423</v>
      </c>
      <c r="AM195" s="214">
        <v>70.863855633982425</v>
      </c>
      <c r="AN195" s="214">
        <v>70.335654104969038</v>
      </c>
      <c r="AO195" s="214">
        <v>69.807452575955026</v>
      </c>
      <c r="AP195" s="214">
        <v>69.279251046941653</v>
      </c>
    </row>
    <row r="196" spans="7:42" ht="14.25" customHeight="1" thickTop="1" x14ac:dyDescent="0.2">
      <c r="G196" s="138"/>
      <c r="H196" s="380"/>
      <c r="J196" s="358"/>
      <c r="K196" s="194" t="s">
        <v>366</v>
      </c>
      <c r="L196" s="194" t="s">
        <v>276</v>
      </c>
      <c r="M196" s="215">
        <v>82.193413385615401</v>
      </c>
      <c r="N196" s="215">
        <v>93.150191985405016</v>
      </c>
      <c r="O196" s="215">
        <v>87.787612552250067</v>
      </c>
      <c r="P196" s="215">
        <v>78.613674060260223</v>
      </c>
      <c r="Q196" s="215">
        <v>77.420427618475159</v>
      </c>
      <c r="R196" s="215">
        <v>76.227181176689498</v>
      </c>
      <c r="S196" s="215">
        <v>75.033934734904435</v>
      </c>
      <c r="T196" s="215">
        <v>73.840688293119371</v>
      </c>
      <c r="U196" s="215">
        <v>72.647441851334307</v>
      </c>
      <c r="V196" s="215">
        <v>71.454195409548646</v>
      </c>
      <c r="W196" s="215">
        <v>70.66853895400908</v>
      </c>
      <c r="X196" s="215">
        <v>69.882882498469513</v>
      </c>
      <c r="Y196" s="215">
        <v>69.097226042929947</v>
      </c>
      <c r="Z196" s="215">
        <v>68.311569587390395</v>
      </c>
      <c r="AA196" s="215">
        <v>67.525913131850828</v>
      </c>
      <c r="AB196" s="215">
        <v>66.740256676311262</v>
      </c>
      <c r="AC196" s="215">
        <v>65.954600220771695</v>
      </c>
      <c r="AD196" s="215">
        <v>65.168943765231518</v>
      </c>
      <c r="AE196" s="215">
        <v>64.383287309691951</v>
      </c>
      <c r="AF196" s="215">
        <v>63.597630854152378</v>
      </c>
      <c r="AG196" s="215">
        <v>62.811974398612833</v>
      </c>
      <c r="AH196" s="215">
        <v>62.026317943073259</v>
      </c>
      <c r="AI196" s="215">
        <v>61.240661487533821</v>
      </c>
      <c r="AJ196" s="215">
        <v>60.455005031994197</v>
      </c>
      <c r="AK196" s="215">
        <v>59.66934857645451</v>
      </c>
      <c r="AL196" s="215">
        <v>58.883692120914887</v>
      </c>
      <c r="AM196" s="215">
        <v>58.098035665375257</v>
      </c>
      <c r="AN196" s="215">
        <v>57.312379209835584</v>
      </c>
      <c r="AO196" s="215">
        <v>56.526722754295953</v>
      </c>
      <c r="AP196" s="215">
        <v>55.741066298756273</v>
      </c>
    </row>
    <row r="197" spans="7:42" ht="14.25" customHeight="1" x14ac:dyDescent="0.2">
      <c r="G197" s="138"/>
      <c r="H197" s="380"/>
      <c r="J197" s="358"/>
      <c r="K197" s="135" t="s">
        <v>366</v>
      </c>
      <c r="L197" s="185" t="s">
        <v>277</v>
      </c>
      <c r="M197" s="213">
        <v>82.193413385615401</v>
      </c>
      <c r="N197" s="213">
        <v>93.387622263734571</v>
      </c>
      <c r="O197" s="213">
        <v>88.241826997749214</v>
      </c>
      <c r="P197" s="213">
        <v>79.233057395032176</v>
      </c>
      <c r="Q197" s="213">
        <v>78.24627206483737</v>
      </c>
      <c r="R197" s="213">
        <v>77.259486734643176</v>
      </c>
      <c r="S197" s="213">
        <v>76.272701404448355</v>
      </c>
      <c r="T197" s="213">
        <v>75.285916074254146</v>
      </c>
      <c r="U197" s="213">
        <v>74.299130744059326</v>
      </c>
      <c r="V197" s="213">
        <v>73.31234541386452</v>
      </c>
      <c r="W197" s="213">
        <v>72.618286481766205</v>
      </c>
      <c r="X197" s="213">
        <v>71.924227549667904</v>
      </c>
      <c r="Y197" s="213">
        <v>71.230168617568978</v>
      </c>
      <c r="Z197" s="213">
        <v>70.536109685470677</v>
      </c>
      <c r="AA197" s="213">
        <v>69.842050753372376</v>
      </c>
      <c r="AB197" s="213">
        <v>69.14799182127345</v>
      </c>
      <c r="AC197" s="213">
        <v>68.45393288917515</v>
      </c>
      <c r="AD197" s="213">
        <v>67.759873957076223</v>
      </c>
      <c r="AE197" s="213">
        <v>67.065815024977937</v>
      </c>
      <c r="AF197" s="213">
        <v>66.371756092879622</v>
      </c>
      <c r="AG197" s="213">
        <v>65.67769716078071</v>
      </c>
      <c r="AH197" s="213">
        <v>64.983638228682395</v>
      </c>
      <c r="AI197" s="213">
        <v>64.289579296584094</v>
      </c>
      <c r="AJ197" s="213">
        <v>63.595520364485168</v>
      </c>
      <c r="AK197" s="213">
        <v>62.901461432386867</v>
      </c>
      <c r="AL197" s="213">
        <v>62.207402500287948</v>
      </c>
      <c r="AM197" s="213">
        <v>61.513343568189953</v>
      </c>
      <c r="AN197" s="213">
        <v>60.819284636091403</v>
      </c>
      <c r="AO197" s="213">
        <v>60.125225703992847</v>
      </c>
      <c r="AP197" s="213">
        <v>59.431166771894361</v>
      </c>
    </row>
    <row r="198" spans="7:42" ht="14.25" customHeight="1" thickBot="1" x14ac:dyDescent="0.25">
      <c r="G198" s="138"/>
      <c r="H198" s="380"/>
      <c r="J198" s="358"/>
      <c r="K198" s="196" t="s">
        <v>366</v>
      </c>
      <c r="L198" s="196" t="s">
        <v>278</v>
      </c>
      <c r="M198" s="214">
        <v>82.193413385615401</v>
      </c>
      <c r="N198" s="214">
        <v>94.06501425744068</v>
      </c>
      <c r="O198" s="214">
        <v>89.537707333534527</v>
      </c>
      <c r="P198" s="214">
        <v>81.000166943830337</v>
      </c>
      <c r="Q198" s="214">
        <v>80.602418129902205</v>
      </c>
      <c r="R198" s="214">
        <v>80.204669315973433</v>
      </c>
      <c r="S198" s="214">
        <v>79.806920502045287</v>
      </c>
      <c r="T198" s="214">
        <v>79.409171688117141</v>
      </c>
      <c r="U198" s="214">
        <v>79.011422874188384</v>
      </c>
      <c r="V198" s="214">
        <v>78.613674060260223</v>
      </c>
      <c r="W198" s="214">
        <v>78.068657791351924</v>
      </c>
      <c r="X198" s="214">
        <v>77.523641522443015</v>
      </c>
      <c r="Y198" s="214">
        <v>76.978625253534702</v>
      </c>
      <c r="Z198" s="214">
        <v>76.433608984626403</v>
      </c>
      <c r="AA198" s="214">
        <v>75.888592715718104</v>
      </c>
      <c r="AB198" s="214">
        <v>75.343576446809806</v>
      </c>
      <c r="AC198" s="214">
        <v>74.798560177900882</v>
      </c>
      <c r="AD198" s="214">
        <v>74.253543908992583</v>
      </c>
      <c r="AE198" s="214">
        <v>73.708527640084284</v>
      </c>
      <c r="AF198" s="214">
        <v>73.163511371175986</v>
      </c>
      <c r="AG198" s="214">
        <v>72.618495102267673</v>
      </c>
      <c r="AH198" s="214">
        <v>72.073478833359374</v>
      </c>
      <c r="AI198" s="214">
        <v>71.528462564450464</v>
      </c>
      <c r="AJ198" s="214">
        <v>70.983446295542151</v>
      </c>
      <c r="AK198" s="214">
        <v>70.438430026633853</v>
      </c>
      <c r="AL198" s="214">
        <v>69.893413757725554</v>
      </c>
      <c r="AM198" s="214">
        <v>69.348397488817255</v>
      </c>
      <c r="AN198" s="214">
        <v>68.803381219908346</v>
      </c>
      <c r="AO198" s="214">
        <v>68.258364951000047</v>
      </c>
      <c r="AP198" s="214">
        <v>67.713348682091748</v>
      </c>
    </row>
    <row r="199" spans="7:42" ht="14.25" customHeight="1" thickTop="1" x14ac:dyDescent="0.2">
      <c r="G199" s="138"/>
      <c r="H199" s="380"/>
      <c r="J199" s="358"/>
      <c r="K199" s="194" t="s">
        <v>369</v>
      </c>
      <c r="L199" s="194" t="s">
        <v>276</v>
      </c>
      <c r="M199" s="215">
        <v>113.828590147735</v>
      </c>
      <c r="N199" s="215">
        <v>126.9437365542054</v>
      </c>
      <c r="O199" s="215">
        <v>117.63743815858081</v>
      </c>
      <c r="P199" s="215">
        <v>103.50039332419681</v>
      </c>
      <c r="Q199" s="215">
        <v>100.0576610496843</v>
      </c>
      <c r="R199" s="215">
        <v>96.614928775171833</v>
      </c>
      <c r="S199" s="215">
        <v>93.1721965006587</v>
      </c>
      <c r="T199" s="215">
        <v>89.729464226146177</v>
      </c>
      <c r="U199" s="215">
        <v>86.286731951633669</v>
      </c>
      <c r="V199" s="215">
        <v>82.843999677121175</v>
      </c>
      <c r="W199" s="215">
        <v>81.876718870813662</v>
      </c>
      <c r="X199" s="215">
        <v>80.909438064506773</v>
      </c>
      <c r="Y199" s="215">
        <v>79.942157258199884</v>
      </c>
      <c r="Z199" s="215">
        <v>78.974876451892996</v>
      </c>
      <c r="AA199" s="215">
        <v>78.007595645586107</v>
      </c>
      <c r="AB199" s="215">
        <v>77.040314839279205</v>
      </c>
      <c r="AC199" s="215">
        <v>76.073034032972316</v>
      </c>
      <c r="AD199" s="215">
        <v>75.105753226665428</v>
      </c>
      <c r="AE199" s="215">
        <v>74.138472420358539</v>
      </c>
      <c r="AF199" s="215">
        <v>73.171191614051651</v>
      </c>
      <c r="AG199" s="215">
        <v>72.203910807744762</v>
      </c>
      <c r="AH199" s="215">
        <v>71.236630001437874</v>
      </c>
      <c r="AI199" s="215">
        <v>70.269349195130985</v>
      </c>
      <c r="AJ199" s="215">
        <v>69.302068388824097</v>
      </c>
      <c r="AK199" s="215">
        <v>68.334787582517208</v>
      </c>
      <c r="AL199" s="215">
        <v>67.367506776210305</v>
      </c>
      <c r="AM199" s="215">
        <v>66.400225969903417</v>
      </c>
      <c r="AN199" s="215">
        <v>65.432945163596528</v>
      </c>
      <c r="AO199" s="215">
        <v>64.46566435728964</v>
      </c>
      <c r="AP199" s="215">
        <v>63.498383550982751</v>
      </c>
    </row>
    <row r="200" spans="7:42" ht="14.25" customHeight="1" x14ac:dyDescent="0.2">
      <c r="G200" s="138"/>
      <c r="H200" s="380"/>
      <c r="J200" s="358"/>
      <c r="K200" s="135" t="s">
        <v>369</v>
      </c>
      <c r="L200" s="185" t="s">
        <v>277</v>
      </c>
      <c r="M200" s="213">
        <v>113.828590147735</v>
      </c>
      <c r="N200" s="213">
        <v>127.75064775399581</v>
      </c>
      <c r="O200" s="213">
        <v>119.1810943668751</v>
      </c>
      <c r="P200" s="213">
        <v>105.60537906278</v>
      </c>
      <c r="Q200" s="213">
        <v>102.86430870112861</v>
      </c>
      <c r="R200" s="213">
        <v>100.1232383394771</v>
      </c>
      <c r="S200" s="213">
        <v>97.382167977825659</v>
      </c>
      <c r="T200" s="213">
        <v>94.641097616174207</v>
      </c>
      <c r="U200" s="213">
        <v>91.900027254522769</v>
      </c>
      <c r="V200" s="213">
        <v>89.158956892871316</v>
      </c>
      <c r="W200" s="213">
        <v>88.302794294727363</v>
      </c>
      <c r="X200" s="213">
        <v>87.446631696582784</v>
      </c>
      <c r="Y200" s="213">
        <v>86.590469098438845</v>
      </c>
      <c r="Z200" s="213">
        <v>85.734306500294878</v>
      </c>
      <c r="AA200" s="213">
        <v>84.878143902150939</v>
      </c>
      <c r="AB200" s="213">
        <v>84.021981304006374</v>
      </c>
      <c r="AC200" s="213">
        <v>83.165818705862407</v>
      </c>
      <c r="AD200" s="213">
        <v>82.309656107718453</v>
      </c>
      <c r="AE200" s="213">
        <v>81.4534935095745</v>
      </c>
      <c r="AF200" s="213">
        <v>80.597330911429935</v>
      </c>
      <c r="AG200" s="213">
        <v>79.741168313285982</v>
      </c>
      <c r="AH200" s="213">
        <v>78.885005715142029</v>
      </c>
      <c r="AI200" s="213">
        <v>78.028843116998075</v>
      </c>
      <c r="AJ200" s="213">
        <v>77.172680518853497</v>
      </c>
      <c r="AK200" s="213">
        <v>76.316517920709543</v>
      </c>
      <c r="AL200" s="213">
        <v>75.46035532256559</v>
      </c>
      <c r="AM200" s="213">
        <v>74.604192724421637</v>
      </c>
      <c r="AN200" s="213">
        <v>73.748030126277072</v>
      </c>
      <c r="AO200" s="213">
        <v>72.891867528133119</v>
      </c>
      <c r="AP200" s="213">
        <v>72.035704929989166</v>
      </c>
    </row>
    <row r="201" spans="7:42" ht="14.25" customHeight="1" x14ac:dyDescent="0.2">
      <c r="G201" s="138"/>
      <c r="H201" s="380"/>
      <c r="J201" s="368"/>
      <c r="K201" s="196" t="s">
        <v>369</v>
      </c>
      <c r="L201" s="196" t="s">
        <v>278</v>
      </c>
      <c r="M201" s="218">
        <v>113.828590147735</v>
      </c>
      <c r="N201" s="218">
        <v>129.6359531928743</v>
      </c>
      <c r="O201" s="218">
        <v>122.7877656412516</v>
      </c>
      <c r="P201" s="218">
        <v>110.5235671642026</v>
      </c>
      <c r="Q201" s="218">
        <v>109.42189283635879</v>
      </c>
      <c r="R201" s="218">
        <v>108.3202185085145</v>
      </c>
      <c r="S201" s="218">
        <v>107.2185441806707</v>
      </c>
      <c r="T201" s="218">
        <v>106.1168698528264</v>
      </c>
      <c r="U201" s="218">
        <v>105.0151955249827</v>
      </c>
      <c r="V201" s="218">
        <v>103.91352119713829</v>
      </c>
      <c r="W201" s="218">
        <v>103.2424731737721</v>
      </c>
      <c r="X201" s="218">
        <v>102.5714251504066</v>
      </c>
      <c r="Y201" s="218">
        <v>101.9003771270404</v>
      </c>
      <c r="Z201" s="218">
        <v>101.2293291036742</v>
      </c>
      <c r="AA201" s="218">
        <v>100.55828108030801</v>
      </c>
      <c r="AB201" s="218">
        <v>99.887233056941881</v>
      </c>
      <c r="AC201" s="218">
        <v>99.216185033576323</v>
      </c>
      <c r="AD201" s="218">
        <v>98.545137010210155</v>
      </c>
      <c r="AE201" s="218">
        <v>97.874088986843972</v>
      </c>
      <c r="AF201" s="218">
        <v>97.203040963477804</v>
      </c>
      <c r="AG201" s="218">
        <v>96.531992940111621</v>
      </c>
      <c r="AH201" s="218">
        <v>95.860944916746064</v>
      </c>
      <c r="AI201" s="218">
        <v>95.189896893379881</v>
      </c>
      <c r="AJ201" s="218">
        <v>94.518848870013713</v>
      </c>
      <c r="AK201" s="218">
        <v>93.84780084664753</v>
      </c>
      <c r="AL201" s="218">
        <v>93.176752823281362</v>
      </c>
      <c r="AM201" s="218">
        <v>92.50570479991579</v>
      </c>
      <c r="AN201" s="218">
        <v>91.834656776549622</v>
      </c>
      <c r="AO201" s="218">
        <v>91.163608753183439</v>
      </c>
      <c r="AP201" s="218">
        <v>90.492560729817271</v>
      </c>
    </row>
    <row r="202" spans="7:42" ht="14.25" customHeight="1" x14ac:dyDescent="0.2">
      <c r="G202" s="138"/>
      <c r="H202" s="380"/>
      <c r="J202" s="201"/>
      <c r="K202" s="135"/>
      <c r="L202" s="135"/>
      <c r="M202" s="219"/>
      <c r="N202" s="219"/>
      <c r="O202" s="219"/>
      <c r="P202" s="219"/>
      <c r="Q202" s="219"/>
      <c r="R202" s="219"/>
      <c r="S202" s="219"/>
      <c r="T202" s="219"/>
      <c r="U202" s="219"/>
      <c r="V202" s="219"/>
      <c r="W202" s="219"/>
      <c r="X202" s="219"/>
      <c r="Y202" s="219"/>
      <c r="Z202" s="219"/>
      <c r="AA202" s="219"/>
      <c r="AB202" s="219"/>
      <c r="AC202" s="219"/>
      <c r="AD202" s="219"/>
      <c r="AE202" s="219"/>
      <c r="AF202" s="219"/>
      <c r="AG202" s="219"/>
      <c r="AH202" s="219"/>
      <c r="AI202" s="219"/>
      <c r="AJ202" s="219"/>
      <c r="AK202" s="219"/>
      <c r="AL202" s="219"/>
      <c r="AM202" s="219"/>
      <c r="AN202" s="219"/>
      <c r="AO202" s="219"/>
      <c r="AP202" s="219"/>
    </row>
    <row r="203" spans="7:42" ht="14.25" customHeight="1" x14ac:dyDescent="0.2">
      <c r="G203" s="138"/>
      <c r="H203" s="380"/>
      <c r="J203" s="201"/>
      <c r="K203" s="135"/>
      <c r="L203" s="135"/>
      <c r="M203" s="123">
        <v>2021</v>
      </c>
      <c r="N203" s="123">
        <v>2022</v>
      </c>
      <c r="O203" s="123">
        <v>2023</v>
      </c>
      <c r="P203" s="123">
        <v>2024</v>
      </c>
      <c r="Q203" s="123">
        <v>2025</v>
      </c>
      <c r="R203" s="123">
        <v>2026</v>
      </c>
      <c r="S203" s="123">
        <v>2027</v>
      </c>
      <c r="T203" s="123">
        <v>2028</v>
      </c>
      <c r="U203" s="123">
        <v>2029</v>
      </c>
      <c r="V203" s="123">
        <v>2030</v>
      </c>
      <c r="W203" s="123">
        <v>2031</v>
      </c>
      <c r="X203" s="123">
        <v>2032</v>
      </c>
      <c r="Y203" s="123">
        <v>2033</v>
      </c>
      <c r="Z203" s="123">
        <v>2034</v>
      </c>
      <c r="AA203" s="123">
        <v>2035</v>
      </c>
      <c r="AB203" s="123">
        <v>2036</v>
      </c>
      <c r="AC203" s="123">
        <v>2037</v>
      </c>
      <c r="AD203" s="123">
        <v>2038</v>
      </c>
      <c r="AE203" s="123">
        <v>2039</v>
      </c>
      <c r="AF203" s="123">
        <v>2040</v>
      </c>
      <c r="AG203" s="123">
        <v>2041</v>
      </c>
      <c r="AH203" s="123">
        <v>2042</v>
      </c>
      <c r="AI203" s="123">
        <v>2043</v>
      </c>
      <c r="AJ203" s="123">
        <v>2044</v>
      </c>
      <c r="AK203" s="123">
        <v>2045</v>
      </c>
      <c r="AL203" s="123">
        <v>2046</v>
      </c>
      <c r="AM203" s="123">
        <v>2047</v>
      </c>
      <c r="AN203" s="123">
        <v>2048</v>
      </c>
      <c r="AO203" s="123">
        <v>2049</v>
      </c>
      <c r="AP203" s="123">
        <v>2050</v>
      </c>
    </row>
    <row r="204" spans="7:42" ht="14.25" customHeight="1" x14ac:dyDescent="0.2">
      <c r="G204" s="138"/>
      <c r="H204" s="380"/>
      <c r="J204" s="367" t="s">
        <v>296</v>
      </c>
      <c r="K204" s="194" t="s">
        <v>348</v>
      </c>
      <c r="L204" s="194" t="s">
        <v>276</v>
      </c>
      <c r="M204" s="220">
        <v>1283.88303499676</v>
      </c>
      <c r="N204" s="220">
        <v>1444.3135126104901</v>
      </c>
      <c r="O204" s="220">
        <v>1350.76320736712</v>
      </c>
      <c r="P204" s="220">
        <v>1200.00831072951</v>
      </c>
      <c r="Q204" s="220">
        <v>1172.0500693071001</v>
      </c>
      <c r="R204" s="220">
        <v>1144.09182788468</v>
      </c>
      <c r="S204" s="220">
        <v>1116.1335864622699</v>
      </c>
      <c r="T204" s="220">
        <v>1088.1753450398501</v>
      </c>
      <c r="U204" s="220">
        <v>1060.21710361744</v>
      </c>
      <c r="V204" s="220">
        <v>1032.2588621950199</v>
      </c>
      <c r="W204" s="220">
        <v>1020.65892726506</v>
      </c>
      <c r="X204" s="220">
        <v>1009.05899233509</v>
      </c>
      <c r="Y204" s="220">
        <v>997.45905740512899</v>
      </c>
      <c r="Z204" s="220">
        <v>985.85912247516205</v>
      </c>
      <c r="AA204" s="220">
        <v>974.25918754519603</v>
      </c>
      <c r="AB204" s="220">
        <v>962.65925261523</v>
      </c>
      <c r="AC204" s="220">
        <v>951.05931768526398</v>
      </c>
      <c r="AD204" s="220">
        <v>939.45938275529795</v>
      </c>
      <c r="AE204" s="220">
        <v>927.85944782533204</v>
      </c>
      <c r="AF204" s="220">
        <v>916.25951289536602</v>
      </c>
      <c r="AG204" s="220">
        <v>904.65957796539999</v>
      </c>
      <c r="AH204" s="220">
        <v>893.05964303543396</v>
      </c>
      <c r="AI204" s="220">
        <v>881.45970810546805</v>
      </c>
      <c r="AJ204" s="220">
        <v>869.859773175501</v>
      </c>
      <c r="AK204" s="220">
        <v>858.25983824553498</v>
      </c>
      <c r="AL204" s="220">
        <v>846.65990331556895</v>
      </c>
      <c r="AM204" s="220">
        <v>835.05996838560304</v>
      </c>
      <c r="AN204" s="220">
        <v>823.46003345563702</v>
      </c>
      <c r="AO204" s="220">
        <v>811.86009852567099</v>
      </c>
      <c r="AP204" s="220">
        <v>800.26016359570497</v>
      </c>
    </row>
    <row r="205" spans="7:42" ht="14.25" customHeight="1" x14ac:dyDescent="0.2">
      <c r="G205" s="138"/>
      <c r="H205" s="380"/>
      <c r="J205" s="358"/>
      <c r="K205" s="135" t="s">
        <v>348</v>
      </c>
      <c r="L205" s="185" t="s">
        <v>277</v>
      </c>
      <c r="M205" s="221">
        <v>1283.88303499676</v>
      </c>
      <c r="N205" s="221">
        <v>1450.82864754451</v>
      </c>
      <c r="O205" s="221">
        <v>1363.2269437626401</v>
      </c>
      <c r="P205" s="221">
        <v>1217.0043149052101</v>
      </c>
      <c r="Q205" s="221">
        <v>1194.71140820803</v>
      </c>
      <c r="R205" s="221">
        <v>1172.4185015108501</v>
      </c>
      <c r="S205" s="221">
        <v>1150.12559481367</v>
      </c>
      <c r="T205" s="221">
        <v>1127.8326881164901</v>
      </c>
      <c r="U205" s="221">
        <v>1105.53978141931</v>
      </c>
      <c r="V205" s="221">
        <v>1083.2468747221301</v>
      </c>
      <c r="W205" s="221">
        <v>1072.58076110047</v>
      </c>
      <c r="X205" s="221">
        <v>1061.9146474787999</v>
      </c>
      <c r="Y205" s="221">
        <v>1051.24853385714</v>
      </c>
      <c r="Z205" s="221">
        <v>1040.58242023547</v>
      </c>
      <c r="AA205" s="221">
        <v>1029.9163066138001</v>
      </c>
      <c r="AB205" s="221">
        <v>1019.25019299214</v>
      </c>
      <c r="AC205" s="221">
        <v>1008.58407937047</v>
      </c>
      <c r="AD205" s="221">
        <v>997.91796574881198</v>
      </c>
      <c r="AE205" s="221">
        <v>987.251852127147</v>
      </c>
      <c r="AF205" s="221">
        <v>976.585738505481</v>
      </c>
      <c r="AG205" s="221">
        <v>965.919624883815</v>
      </c>
      <c r="AH205" s="221">
        <v>955.253511262149</v>
      </c>
      <c r="AI205" s="221">
        <v>944.58739764048403</v>
      </c>
      <c r="AJ205" s="221">
        <v>933.92128401881803</v>
      </c>
      <c r="AK205" s="221">
        <v>923.25517039715203</v>
      </c>
      <c r="AL205" s="221">
        <v>912.58905677548705</v>
      </c>
      <c r="AM205" s="221">
        <v>901.92294315382105</v>
      </c>
      <c r="AN205" s="221">
        <v>891.25682953215505</v>
      </c>
      <c r="AO205" s="221">
        <v>880.59071591048905</v>
      </c>
      <c r="AP205" s="221">
        <v>869.92460228882396</v>
      </c>
    </row>
    <row r="206" spans="7:42" ht="14.25" customHeight="1" thickBot="1" x14ac:dyDescent="0.25">
      <c r="G206" s="138"/>
      <c r="H206" s="380"/>
      <c r="J206" s="358"/>
      <c r="K206" s="196" t="s">
        <v>348</v>
      </c>
      <c r="L206" s="196" t="s">
        <v>278</v>
      </c>
      <c r="M206" s="222">
        <v>1283.88303499676</v>
      </c>
      <c r="N206" s="222">
        <v>1465.7481643676799</v>
      </c>
      <c r="O206" s="222">
        <v>1391.7686281199899</v>
      </c>
      <c r="P206" s="222">
        <v>1255.9247935743399</v>
      </c>
      <c r="Q206" s="222">
        <v>1246.6053797668701</v>
      </c>
      <c r="R206" s="222">
        <v>1237.2859659594001</v>
      </c>
      <c r="S206" s="222">
        <v>1227.96655215193</v>
      </c>
      <c r="T206" s="222">
        <v>1218.64713834445</v>
      </c>
      <c r="U206" s="222">
        <v>1209.32772453698</v>
      </c>
      <c r="V206" s="222">
        <v>1200.00831072951</v>
      </c>
      <c r="W206" s="222">
        <v>1191.9167948120701</v>
      </c>
      <c r="X206" s="222">
        <v>1183.8252788946299</v>
      </c>
      <c r="Y206" s="222">
        <v>1175.7337629771901</v>
      </c>
      <c r="Z206" s="222">
        <v>1167.6422470597599</v>
      </c>
      <c r="AA206" s="222">
        <v>1159.55073114232</v>
      </c>
      <c r="AB206" s="222">
        <v>1151.4592152248799</v>
      </c>
      <c r="AC206" s="222">
        <v>1143.36769930744</v>
      </c>
      <c r="AD206" s="222">
        <v>1135.2761833899999</v>
      </c>
      <c r="AE206" s="222">
        <v>1127.18466747256</v>
      </c>
      <c r="AF206" s="222">
        <v>1119.0931515551199</v>
      </c>
      <c r="AG206" s="222">
        <v>1111.00163563768</v>
      </c>
      <c r="AH206" s="222">
        <v>1102.9101197202399</v>
      </c>
      <c r="AI206" s="222">
        <v>1094.8186038028</v>
      </c>
      <c r="AJ206" s="222">
        <v>1086.7270878853601</v>
      </c>
      <c r="AK206" s="222">
        <v>1078.63557196793</v>
      </c>
      <c r="AL206" s="222">
        <v>1070.5440560504901</v>
      </c>
      <c r="AM206" s="222">
        <v>1062.45254013305</v>
      </c>
      <c r="AN206" s="222">
        <v>1054.3610242156101</v>
      </c>
      <c r="AO206" s="222">
        <v>1046.26950829817</v>
      </c>
      <c r="AP206" s="222">
        <v>1038.1779923807301</v>
      </c>
    </row>
    <row r="207" spans="7:42" ht="14.25" customHeight="1" thickTop="1" x14ac:dyDescent="0.2">
      <c r="G207" s="138"/>
      <c r="H207" s="380"/>
      <c r="J207" s="358"/>
      <c r="K207" s="194" t="s">
        <v>351</v>
      </c>
      <c r="L207" s="194" t="s">
        <v>276</v>
      </c>
      <c r="M207" s="223">
        <v>1283.88303499676</v>
      </c>
      <c r="N207" s="223">
        <v>1444.3135126104901</v>
      </c>
      <c r="O207" s="223">
        <v>1350.76320736712</v>
      </c>
      <c r="P207" s="223">
        <v>1200.00831072951</v>
      </c>
      <c r="Q207" s="223">
        <v>1172.0500693071001</v>
      </c>
      <c r="R207" s="223">
        <v>1144.09182788468</v>
      </c>
      <c r="S207" s="223">
        <v>1116.1335864622699</v>
      </c>
      <c r="T207" s="223">
        <v>1088.1753450398501</v>
      </c>
      <c r="U207" s="223">
        <v>1060.21710361744</v>
      </c>
      <c r="V207" s="223">
        <v>1032.2588621950199</v>
      </c>
      <c r="W207" s="223">
        <v>1020.65892726506</v>
      </c>
      <c r="X207" s="223">
        <v>1009.05899233509</v>
      </c>
      <c r="Y207" s="223">
        <v>997.45905740512899</v>
      </c>
      <c r="Z207" s="223">
        <v>985.85912247516205</v>
      </c>
      <c r="AA207" s="223">
        <v>974.25918754519603</v>
      </c>
      <c r="AB207" s="223">
        <v>962.65925261523</v>
      </c>
      <c r="AC207" s="223">
        <v>951.05931768526398</v>
      </c>
      <c r="AD207" s="223">
        <v>939.45938275529795</v>
      </c>
      <c r="AE207" s="223">
        <v>927.85944782533204</v>
      </c>
      <c r="AF207" s="223">
        <v>916.25951289536602</v>
      </c>
      <c r="AG207" s="223">
        <v>904.65957796539999</v>
      </c>
      <c r="AH207" s="223">
        <v>893.05964303543396</v>
      </c>
      <c r="AI207" s="223">
        <v>881.45970810546805</v>
      </c>
      <c r="AJ207" s="223">
        <v>869.859773175501</v>
      </c>
      <c r="AK207" s="223">
        <v>858.25983824553498</v>
      </c>
      <c r="AL207" s="223">
        <v>846.65990331556895</v>
      </c>
      <c r="AM207" s="223">
        <v>835.05996838560304</v>
      </c>
      <c r="AN207" s="223">
        <v>823.46003345563702</v>
      </c>
      <c r="AO207" s="223">
        <v>811.86009852567099</v>
      </c>
      <c r="AP207" s="223">
        <v>800.26016359570497</v>
      </c>
    </row>
    <row r="208" spans="7:42" ht="14.25" customHeight="1" x14ac:dyDescent="0.2">
      <c r="G208" s="138"/>
      <c r="H208" s="380"/>
      <c r="J208" s="358"/>
      <c r="K208" s="135" t="s">
        <v>351</v>
      </c>
      <c r="L208" s="185" t="s">
        <v>277</v>
      </c>
      <c r="M208" s="221">
        <v>1283.88303499676</v>
      </c>
      <c r="N208" s="221">
        <v>1450.82864754451</v>
      </c>
      <c r="O208" s="221">
        <v>1363.2269437626401</v>
      </c>
      <c r="P208" s="221">
        <v>1217.0043149052101</v>
      </c>
      <c r="Q208" s="221">
        <v>1194.71140820803</v>
      </c>
      <c r="R208" s="221">
        <v>1172.4185015108501</v>
      </c>
      <c r="S208" s="221">
        <v>1150.12559481367</v>
      </c>
      <c r="T208" s="221">
        <v>1127.8326881164901</v>
      </c>
      <c r="U208" s="221">
        <v>1105.53978141931</v>
      </c>
      <c r="V208" s="221">
        <v>1083.2468747221301</v>
      </c>
      <c r="W208" s="221">
        <v>1072.58076110047</v>
      </c>
      <c r="X208" s="221">
        <v>1061.9146474787999</v>
      </c>
      <c r="Y208" s="221">
        <v>1051.24853385714</v>
      </c>
      <c r="Z208" s="221">
        <v>1040.58242023547</v>
      </c>
      <c r="AA208" s="221">
        <v>1029.9163066138001</v>
      </c>
      <c r="AB208" s="221">
        <v>1019.25019299214</v>
      </c>
      <c r="AC208" s="221">
        <v>1008.58407937047</v>
      </c>
      <c r="AD208" s="221">
        <v>997.91796574881198</v>
      </c>
      <c r="AE208" s="221">
        <v>987.251852127147</v>
      </c>
      <c r="AF208" s="221">
        <v>976.585738505481</v>
      </c>
      <c r="AG208" s="221">
        <v>965.919624883815</v>
      </c>
      <c r="AH208" s="221">
        <v>955.253511262149</v>
      </c>
      <c r="AI208" s="221">
        <v>944.58739764048403</v>
      </c>
      <c r="AJ208" s="221">
        <v>933.92128401881803</v>
      </c>
      <c r="AK208" s="221">
        <v>923.25517039715203</v>
      </c>
      <c r="AL208" s="221">
        <v>912.58905677548705</v>
      </c>
      <c r="AM208" s="221">
        <v>901.92294315382105</v>
      </c>
      <c r="AN208" s="221">
        <v>891.25682953215505</v>
      </c>
      <c r="AO208" s="221">
        <v>880.59071591048905</v>
      </c>
      <c r="AP208" s="221">
        <v>869.92460228882396</v>
      </c>
    </row>
    <row r="209" spans="7:42" ht="14.25" customHeight="1" thickBot="1" x14ac:dyDescent="0.25">
      <c r="G209" s="138"/>
      <c r="H209" s="380"/>
      <c r="J209" s="358"/>
      <c r="K209" s="196" t="s">
        <v>351</v>
      </c>
      <c r="L209" s="196" t="s">
        <v>278</v>
      </c>
      <c r="M209" s="222">
        <v>1283.88303499676</v>
      </c>
      <c r="N209" s="222">
        <v>1465.7481643676799</v>
      </c>
      <c r="O209" s="222">
        <v>1391.7686281199899</v>
      </c>
      <c r="P209" s="222">
        <v>1255.9247935743399</v>
      </c>
      <c r="Q209" s="222">
        <v>1246.6053797668701</v>
      </c>
      <c r="R209" s="222">
        <v>1237.2859659594001</v>
      </c>
      <c r="S209" s="222">
        <v>1227.96655215193</v>
      </c>
      <c r="T209" s="222">
        <v>1218.64713834445</v>
      </c>
      <c r="U209" s="222">
        <v>1209.32772453698</v>
      </c>
      <c r="V209" s="222">
        <v>1200.00831072951</v>
      </c>
      <c r="W209" s="222">
        <v>1191.9167948120701</v>
      </c>
      <c r="X209" s="222">
        <v>1183.8252788946299</v>
      </c>
      <c r="Y209" s="222">
        <v>1175.7337629771901</v>
      </c>
      <c r="Z209" s="222">
        <v>1167.6422470597599</v>
      </c>
      <c r="AA209" s="222">
        <v>1159.55073114232</v>
      </c>
      <c r="AB209" s="222">
        <v>1151.4592152248799</v>
      </c>
      <c r="AC209" s="222">
        <v>1143.36769930744</v>
      </c>
      <c r="AD209" s="222">
        <v>1135.2761833899999</v>
      </c>
      <c r="AE209" s="222">
        <v>1127.18466747256</v>
      </c>
      <c r="AF209" s="222">
        <v>1119.0931515551199</v>
      </c>
      <c r="AG209" s="222">
        <v>1111.00163563768</v>
      </c>
      <c r="AH209" s="222">
        <v>1102.9101197202399</v>
      </c>
      <c r="AI209" s="222">
        <v>1094.8186038028</v>
      </c>
      <c r="AJ209" s="222">
        <v>1086.7270878853601</v>
      </c>
      <c r="AK209" s="222">
        <v>1078.63557196793</v>
      </c>
      <c r="AL209" s="222">
        <v>1070.5440560504901</v>
      </c>
      <c r="AM209" s="222">
        <v>1062.45254013305</v>
      </c>
      <c r="AN209" s="222">
        <v>1054.3610242156101</v>
      </c>
      <c r="AO209" s="222">
        <v>1046.26950829817</v>
      </c>
      <c r="AP209" s="222">
        <v>1038.1779923807301</v>
      </c>
    </row>
    <row r="210" spans="7:42" ht="14.25" customHeight="1" thickTop="1" x14ac:dyDescent="0.2">
      <c r="G210" s="138"/>
      <c r="H210" s="380"/>
      <c r="J210" s="358"/>
      <c r="K210" s="194" t="s">
        <v>353</v>
      </c>
      <c r="L210" s="194" t="s">
        <v>276</v>
      </c>
      <c r="M210" s="223">
        <v>1283.88303499676</v>
      </c>
      <c r="N210" s="223">
        <v>1444.3135126104901</v>
      </c>
      <c r="O210" s="223">
        <v>1350.76320736712</v>
      </c>
      <c r="P210" s="223">
        <v>1200.00831072951</v>
      </c>
      <c r="Q210" s="223">
        <v>1172.0500693071001</v>
      </c>
      <c r="R210" s="223">
        <v>1144.09182788468</v>
      </c>
      <c r="S210" s="223">
        <v>1116.1335864622699</v>
      </c>
      <c r="T210" s="223">
        <v>1088.1753450398501</v>
      </c>
      <c r="U210" s="223">
        <v>1060.21710361744</v>
      </c>
      <c r="V210" s="223">
        <v>1032.2588621950199</v>
      </c>
      <c r="W210" s="223">
        <v>1020.65892726506</v>
      </c>
      <c r="X210" s="223">
        <v>1009.05899233509</v>
      </c>
      <c r="Y210" s="223">
        <v>997.45905740512899</v>
      </c>
      <c r="Z210" s="223">
        <v>985.85912247516205</v>
      </c>
      <c r="AA210" s="223">
        <v>974.25918754519603</v>
      </c>
      <c r="AB210" s="223">
        <v>962.65925261523</v>
      </c>
      <c r="AC210" s="223">
        <v>951.05931768526398</v>
      </c>
      <c r="AD210" s="223">
        <v>939.45938275529795</v>
      </c>
      <c r="AE210" s="223">
        <v>927.85944782533204</v>
      </c>
      <c r="AF210" s="223">
        <v>916.25951289536602</v>
      </c>
      <c r="AG210" s="223">
        <v>904.65957796539999</v>
      </c>
      <c r="AH210" s="223">
        <v>893.05964303543396</v>
      </c>
      <c r="AI210" s="223">
        <v>881.45970810546805</v>
      </c>
      <c r="AJ210" s="223">
        <v>869.859773175501</v>
      </c>
      <c r="AK210" s="223">
        <v>858.25983824553498</v>
      </c>
      <c r="AL210" s="223">
        <v>846.65990331556895</v>
      </c>
      <c r="AM210" s="223">
        <v>835.05996838560304</v>
      </c>
      <c r="AN210" s="223">
        <v>823.46003345563702</v>
      </c>
      <c r="AO210" s="223">
        <v>811.86009852567099</v>
      </c>
      <c r="AP210" s="223">
        <v>800.26016359570497</v>
      </c>
    </row>
    <row r="211" spans="7:42" ht="14.25" customHeight="1" x14ac:dyDescent="0.2">
      <c r="G211" s="138"/>
      <c r="H211" s="380"/>
      <c r="J211" s="358"/>
      <c r="K211" s="135" t="s">
        <v>353</v>
      </c>
      <c r="L211" s="185" t="s">
        <v>277</v>
      </c>
      <c r="M211" s="221">
        <v>1283.88303499676</v>
      </c>
      <c r="N211" s="221">
        <v>1450.82864754451</v>
      </c>
      <c r="O211" s="221">
        <v>1363.2269437626401</v>
      </c>
      <c r="P211" s="221">
        <v>1217.0043149052101</v>
      </c>
      <c r="Q211" s="221">
        <v>1194.71140820803</v>
      </c>
      <c r="R211" s="221">
        <v>1172.4185015108501</v>
      </c>
      <c r="S211" s="221">
        <v>1150.12559481367</v>
      </c>
      <c r="T211" s="221">
        <v>1127.8326881164901</v>
      </c>
      <c r="U211" s="221">
        <v>1105.53978141931</v>
      </c>
      <c r="V211" s="221">
        <v>1083.2468747221301</v>
      </c>
      <c r="W211" s="221">
        <v>1072.58076110047</v>
      </c>
      <c r="X211" s="221">
        <v>1061.9146474787999</v>
      </c>
      <c r="Y211" s="221">
        <v>1051.24853385714</v>
      </c>
      <c r="Z211" s="221">
        <v>1040.58242023547</v>
      </c>
      <c r="AA211" s="221">
        <v>1029.9163066138001</v>
      </c>
      <c r="AB211" s="221">
        <v>1019.25019299214</v>
      </c>
      <c r="AC211" s="221">
        <v>1008.58407937047</v>
      </c>
      <c r="AD211" s="221">
        <v>997.91796574881198</v>
      </c>
      <c r="AE211" s="221">
        <v>987.251852127147</v>
      </c>
      <c r="AF211" s="221">
        <v>976.585738505481</v>
      </c>
      <c r="AG211" s="221">
        <v>965.919624883815</v>
      </c>
      <c r="AH211" s="221">
        <v>955.253511262149</v>
      </c>
      <c r="AI211" s="221">
        <v>944.58739764048403</v>
      </c>
      <c r="AJ211" s="221">
        <v>933.92128401881803</v>
      </c>
      <c r="AK211" s="221">
        <v>923.25517039715203</v>
      </c>
      <c r="AL211" s="221">
        <v>912.58905677548705</v>
      </c>
      <c r="AM211" s="221">
        <v>901.92294315382105</v>
      </c>
      <c r="AN211" s="221">
        <v>891.25682953215505</v>
      </c>
      <c r="AO211" s="221">
        <v>880.59071591048905</v>
      </c>
      <c r="AP211" s="221">
        <v>869.92460228882396</v>
      </c>
    </row>
    <row r="212" spans="7:42" ht="14.25" customHeight="1" thickBot="1" x14ac:dyDescent="0.25">
      <c r="G212" s="138"/>
      <c r="H212" s="380"/>
      <c r="J212" s="358"/>
      <c r="K212" s="196" t="s">
        <v>353</v>
      </c>
      <c r="L212" s="196" t="s">
        <v>278</v>
      </c>
      <c r="M212" s="222">
        <v>1283.88303499676</v>
      </c>
      <c r="N212" s="222">
        <v>1465.7481643676799</v>
      </c>
      <c r="O212" s="222">
        <v>1391.7686281199899</v>
      </c>
      <c r="P212" s="222">
        <v>1255.9247935743399</v>
      </c>
      <c r="Q212" s="222">
        <v>1246.6053797668701</v>
      </c>
      <c r="R212" s="222">
        <v>1237.2859659594001</v>
      </c>
      <c r="S212" s="222">
        <v>1227.96655215193</v>
      </c>
      <c r="T212" s="222">
        <v>1218.64713834445</v>
      </c>
      <c r="U212" s="222">
        <v>1209.32772453698</v>
      </c>
      <c r="V212" s="222">
        <v>1200.00831072951</v>
      </c>
      <c r="W212" s="222">
        <v>1191.9167948120701</v>
      </c>
      <c r="X212" s="222">
        <v>1183.8252788946299</v>
      </c>
      <c r="Y212" s="222">
        <v>1175.7337629771901</v>
      </c>
      <c r="Z212" s="222">
        <v>1167.6422470597599</v>
      </c>
      <c r="AA212" s="222">
        <v>1159.55073114232</v>
      </c>
      <c r="AB212" s="222">
        <v>1151.4592152248799</v>
      </c>
      <c r="AC212" s="222">
        <v>1143.36769930744</v>
      </c>
      <c r="AD212" s="222">
        <v>1135.2761833899999</v>
      </c>
      <c r="AE212" s="222">
        <v>1127.18466747256</v>
      </c>
      <c r="AF212" s="222">
        <v>1119.0931515551199</v>
      </c>
      <c r="AG212" s="222">
        <v>1111.00163563768</v>
      </c>
      <c r="AH212" s="222">
        <v>1102.9101197202399</v>
      </c>
      <c r="AI212" s="222">
        <v>1094.8186038028</v>
      </c>
      <c r="AJ212" s="222">
        <v>1086.7270878853601</v>
      </c>
      <c r="AK212" s="222">
        <v>1078.63557196793</v>
      </c>
      <c r="AL212" s="222">
        <v>1070.5440560504901</v>
      </c>
      <c r="AM212" s="222">
        <v>1062.45254013305</v>
      </c>
      <c r="AN212" s="222">
        <v>1054.3610242156101</v>
      </c>
      <c r="AO212" s="222">
        <v>1046.26950829817</v>
      </c>
      <c r="AP212" s="222">
        <v>1038.1779923807301</v>
      </c>
    </row>
    <row r="213" spans="7:42" ht="14.25" customHeight="1" thickTop="1" x14ac:dyDescent="0.2">
      <c r="G213" s="138"/>
      <c r="H213" s="380"/>
      <c r="J213" s="358"/>
      <c r="K213" s="194" t="s">
        <v>355</v>
      </c>
      <c r="L213" s="194" t="s">
        <v>276</v>
      </c>
      <c r="M213" s="223">
        <v>1283.88303499676</v>
      </c>
      <c r="N213" s="223">
        <v>1444.3135126104901</v>
      </c>
      <c r="O213" s="223">
        <v>1350.76320736712</v>
      </c>
      <c r="P213" s="223">
        <v>1200.00831072951</v>
      </c>
      <c r="Q213" s="223">
        <v>1172.0500693071001</v>
      </c>
      <c r="R213" s="223">
        <v>1144.09182788468</v>
      </c>
      <c r="S213" s="223">
        <v>1116.1335864622699</v>
      </c>
      <c r="T213" s="223">
        <v>1088.1753450398501</v>
      </c>
      <c r="U213" s="223">
        <v>1060.21710361744</v>
      </c>
      <c r="V213" s="223">
        <v>1032.2588621950199</v>
      </c>
      <c r="W213" s="223">
        <v>1020.65892726506</v>
      </c>
      <c r="X213" s="223">
        <v>1009.05899233509</v>
      </c>
      <c r="Y213" s="223">
        <v>997.45905740512899</v>
      </c>
      <c r="Z213" s="223">
        <v>985.85912247516205</v>
      </c>
      <c r="AA213" s="223">
        <v>974.25918754519603</v>
      </c>
      <c r="AB213" s="223">
        <v>962.65925261523</v>
      </c>
      <c r="AC213" s="223">
        <v>951.05931768526398</v>
      </c>
      <c r="AD213" s="223">
        <v>939.45938275529795</v>
      </c>
      <c r="AE213" s="223">
        <v>927.85944782533204</v>
      </c>
      <c r="AF213" s="223">
        <v>916.25951289536602</v>
      </c>
      <c r="AG213" s="223">
        <v>904.65957796539999</v>
      </c>
      <c r="AH213" s="223">
        <v>893.05964303543396</v>
      </c>
      <c r="AI213" s="223">
        <v>881.45970810546805</v>
      </c>
      <c r="AJ213" s="223">
        <v>869.859773175501</v>
      </c>
      <c r="AK213" s="223">
        <v>858.25983824553498</v>
      </c>
      <c r="AL213" s="223">
        <v>846.65990331556895</v>
      </c>
      <c r="AM213" s="223">
        <v>835.05996838560304</v>
      </c>
      <c r="AN213" s="223">
        <v>823.46003345563702</v>
      </c>
      <c r="AO213" s="223">
        <v>811.86009852567099</v>
      </c>
      <c r="AP213" s="223">
        <v>800.26016359570497</v>
      </c>
    </row>
    <row r="214" spans="7:42" ht="14.25" customHeight="1" x14ac:dyDescent="0.2">
      <c r="G214" s="138"/>
      <c r="H214" s="380"/>
      <c r="J214" s="358"/>
      <c r="K214" s="135" t="s">
        <v>355</v>
      </c>
      <c r="L214" s="185" t="s">
        <v>277</v>
      </c>
      <c r="M214" s="221">
        <v>1283.88303499676</v>
      </c>
      <c r="N214" s="221">
        <v>1450.82864754451</v>
      </c>
      <c r="O214" s="221">
        <v>1363.2269437626401</v>
      </c>
      <c r="P214" s="221">
        <v>1217.0043149052101</v>
      </c>
      <c r="Q214" s="221">
        <v>1194.71140820803</v>
      </c>
      <c r="R214" s="221">
        <v>1172.4185015108501</v>
      </c>
      <c r="S214" s="221">
        <v>1150.12559481367</v>
      </c>
      <c r="T214" s="221">
        <v>1127.8326881164901</v>
      </c>
      <c r="U214" s="221">
        <v>1105.53978141931</v>
      </c>
      <c r="V214" s="221">
        <v>1083.2468747221301</v>
      </c>
      <c r="W214" s="221">
        <v>1072.58076110047</v>
      </c>
      <c r="X214" s="221">
        <v>1061.9146474787999</v>
      </c>
      <c r="Y214" s="221">
        <v>1051.24853385714</v>
      </c>
      <c r="Z214" s="221">
        <v>1040.58242023547</v>
      </c>
      <c r="AA214" s="221">
        <v>1029.9163066138001</v>
      </c>
      <c r="AB214" s="221">
        <v>1019.25019299214</v>
      </c>
      <c r="AC214" s="221">
        <v>1008.58407937047</v>
      </c>
      <c r="AD214" s="221">
        <v>997.91796574881198</v>
      </c>
      <c r="AE214" s="221">
        <v>987.251852127147</v>
      </c>
      <c r="AF214" s="221">
        <v>976.585738505481</v>
      </c>
      <c r="AG214" s="221">
        <v>965.919624883815</v>
      </c>
      <c r="AH214" s="221">
        <v>955.253511262149</v>
      </c>
      <c r="AI214" s="221">
        <v>944.58739764048403</v>
      </c>
      <c r="AJ214" s="221">
        <v>933.92128401881803</v>
      </c>
      <c r="AK214" s="221">
        <v>923.25517039715203</v>
      </c>
      <c r="AL214" s="221">
        <v>912.58905677548705</v>
      </c>
      <c r="AM214" s="221">
        <v>901.92294315382105</v>
      </c>
      <c r="AN214" s="221">
        <v>891.25682953215505</v>
      </c>
      <c r="AO214" s="221">
        <v>880.59071591048905</v>
      </c>
      <c r="AP214" s="221">
        <v>869.92460228882396</v>
      </c>
    </row>
    <row r="215" spans="7:42" ht="14.25" customHeight="1" thickBot="1" x14ac:dyDescent="0.25">
      <c r="G215" s="138"/>
      <c r="H215" s="380"/>
      <c r="J215" s="358"/>
      <c r="K215" s="196" t="s">
        <v>355</v>
      </c>
      <c r="L215" s="196" t="s">
        <v>278</v>
      </c>
      <c r="M215" s="222">
        <v>1283.88303499676</v>
      </c>
      <c r="N215" s="222">
        <v>1465.7481643676799</v>
      </c>
      <c r="O215" s="222">
        <v>1391.7686281199899</v>
      </c>
      <c r="P215" s="222">
        <v>1255.9247935743399</v>
      </c>
      <c r="Q215" s="222">
        <v>1246.6053797668701</v>
      </c>
      <c r="R215" s="222">
        <v>1237.2859659594001</v>
      </c>
      <c r="S215" s="222">
        <v>1227.96655215193</v>
      </c>
      <c r="T215" s="222">
        <v>1218.64713834445</v>
      </c>
      <c r="U215" s="222">
        <v>1209.32772453698</v>
      </c>
      <c r="V215" s="222">
        <v>1200.00831072951</v>
      </c>
      <c r="W215" s="222">
        <v>1191.9167948120701</v>
      </c>
      <c r="X215" s="222">
        <v>1183.8252788946299</v>
      </c>
      <c r="Y215" s="222">
        <v>1175.7337629771901</v>
      </c>
      <c r="Z215" s="222">
        <v>1167.6422470597599</v>
      </c>
      <c r="AA215" s="222">
        <v>1159.55073114232</v>
      </c>
      <c r="AB215" s="222">
        <v>1151.4592152248799</v>
      </c>
      <c r="AC215" s="222">
        <v>1143.36769930744</v>
      </c>
      <c r="AD215" s="222">
        <v>1135.2761833899999</v>
      </c>
      <c r="AE215" s="222">
        <v>1127.18466747256</v>
      </c>
      <c r="AF215" s="222">
        <v>1119.0931515551199</v>
      </c>
      <c r="AG215" s="222">
        <v>1111.00163563768</v>
      </c>
      <c r="AH215" s="222">
        <v>1102.9101197202399</v>
      </c>
      <c r="AI215" s="222">
        <v>1094.8186038028</v>
      </c>
      <c r="AJ215" s="222">
        <v>1086.7270878853601</v>
      </c>
      <c r="AK215" s="222">
        <v>1078.63557196793</v>
      </c>
      <c r="AL215" s="222">
        <v>1070.5440560504901</v>
      </c>
      <c r="AM215" s="222">
        <v>1062.45254013305</v>
      </c>
      <c r="AN215" s="222">
        <v>1054.3610242156101</v>
      </c>
      <c r="AO215" s="222">
        <v>1046.26950829817</v>
      </c>
      <c r="AP215" s="222">
        <v>1038.1779923807301</v>
      </c>
    </row>
    <row r="216" spans="7:42" ht="14.25" customHeight="1" thickTop="1" x14ac:dyDescent="0.2">
      <c r="G216" s="138"/>
      <c r="H216" s="380"/>
      <c r="J216" s="358"/>
      <c r="K216" s="194" t="s">
        <v>357</v>
      </c>
      <c r="L216" s="194" t="s">
        <v>276</v>
      </c>
      <c r="M216" s="223">
        <v>1283.88303499676</v>
      </c>
      <c r="N216" s="223">
        <v>1444.3135126104901</v>
      </c>
      <c r="O216" s="223">
        <v>1350.76320736712</v>
      </c>
      <c r="P216" s="223">
        <v>1200.00831072951</v>
      </c>
      <c r="Q216" s="223">
        <v>1172.0500693071001</v>
      </c>
      <c r="R216" s="223">
        <v>1144.09182788468</v>
      </c>
      <c r="S216" s="223">
        <v>1116.1335864622699</v>
      </c>
      <c r="T216" s="223">
        <v>1088.1753450398501</v>
      </c>
      <c r="U216" s="223">
        <v>1060.21710361744</v>
      </c>
      <c r="V216" s="223">
        <v>1032.2588621950199</v>
      </c>
      <c r="W216" s="223">
        <v>1020.65892726506</v>
      </c>
      <c r="X216" s="223">
        <v>1009.05899233509</v>
      </c>
      <c r="Y216" s="223">
        <v>997.45905740512899</v>
      </c>
      <c r="Z216" s="223">
        <v>985.85912247516205</v>
      </c>
      <c r="AA216" s="223">
        <v>974.25918754519603</v>
      </c>
      <c r="AB216" s="223">
        <v>962.65925261523</v>
      </c>
      <c r="AC216" s="223">
        <v>951.05931768526398</v>
      </c>
      <c r="AD216" s="223">
        <v>939.45938275529795</v>
      </c>
      <c r="AE216" s="223">
        <v>927.85944782533204</v>
      </c>
      <c r="AF216" s="223">
        <v>916.25951289536602</v>
      </c>
      <c r="AG216" s="223">
        <v>904.65957796539999</v>
      </c>
      <c r="AH216" s="223">
        <v>893.05964303543396</v>
      </c>
      <c r="AI216" s="223">
        <v>881.45970810546805</v>
      </c>
      <c r="AJ216" s="223">
        <v>869.859773175501</v>
      </c>
      <c r="AK216" s="223">
        <v>858.25983824553498</v>
      </c>
      <c r="AL216" s="223">
        <v>846.65990331556895</v>
      </c>
      <c r="AM216" s="223">
        <v>835.05996838560304</v>
      </c>
      <c r="AN216" s="223">
        <v>823.46003345563702</v>
      </c>
      <c r="AO216" s="223">
        <v>811.86009852567099</v>
      </c>
      <c r="AP216" s="223">
        <v>800.26016359570497</v>
      </c>
    </row>
    <row r="217" spans="7:42" ht="14.25" customHeight="1" x14ac:dyDescent="0.2">
      <c r="G217" s="138"/>
      <c r="H217" s="380"/>
      <c r="J217" s="358"/>
      <c r="K217" s="135" t="s">
        <v>357</v>
      </c>
      <c r="L217" s="185" t="s">
        <v>277</v>
      </c>
      <c r="M217" s="221">
        <v>1283.88303499676</v>
      </c>
      <c r="N217" s="221">
        <v>1450.82864754451</v>
      </c>
      <c r="O217" s="221">
        <v>1363.2269437626401</v>
      </c>
      <c r="P217" s="221">
        <v>1217.0043149052101</v>
      </c>
      <c r="Q217" s="221">
        <v>1194.71140820803</v>
      </c>
      <c r="R217" s="221">
        <v>1172.4185015108501</v>
      </c>
      <c r="S217" s="221">
        <v>1150.12559481367</v>
      </c>
      <c r="T217" s="221">
        <v>1127.8326881164901</v>
      </c>
      <c r="U217" s="221">
        <v>1105.53978141931</v>
      </c>
      <c r="V217" s="221">
        <v>1083.2468747221301</v>
      </c>
      <c r="W217" s="221">
        <v>1072.58076110047</v>
      </c>
      <c r="X217" s="221">
        <v>1061.9146474787999</v>
      </c>
      <c r="Y217" s="221">
        <v>1051.24853385714</v>
      </c>
      <c r="Z217" s="221">
        <v>1040.58242023547</v>
      </c>
      <c r="AA217" s="221">
        <v>1029.9163066138001</v>
      </c>
      <c r="AB217" s="221">
        <v>1019.25019299214</v>
      </c>
      <c r="AC217" s="221">
        <v>1008.58407937047</v>
      </c>
      <c r="AD217" s="221">
        <v>997.91796574881198</v>
      </c>
      <c r="AE217" s="221">
        <v>987.251852127147</v>
      </c>
      <c r="AF217" s="221">
        <v>976.585738505481</v>
      </c>
      <c r="AG217" s="221">
        <v>965.919624883815</v>
      </c>
      <c r="AH217" s="221">
        <v>955.253511262149</v>
      </c>
      <c r="AI217" s="221">
        <v>944.58739764048403</v>
      </c>
      <c r="AJ217" s="221">
        <v>933.92128401881803</v>
      </c>
      <c r="AK217" s="221">
        <v>923.25517039715203</v>
      </c>
      <c r="AL217" s="221">
        <v>912.58905677548705</v>
      </c>
      <c r="AM217" s="221">
        <v>901.92294315382105</v>
      </c>
      <c r="AN217" s="221">
        <v>891.25682953215505</v>
      </c>
      <c r="AO217" s="221">
        <v>880.59071591048905</v>
      </c>
      <c r="AP217" s="221">
        <v>869.92460228882396</v>
      </c>
    </row>
    <row r="218" spans="7:42" ht="14.25" customHeight="1" thickBot="1" x14ac:dyDescent="0.25">
      <c r="G218" s="138"/>
      <c r="H218" s="380"/>
      <c r="J218" s="358"/>
      <c r="K218" s="196" t="s">
        <v>357</v>
      </c>
      <c r="L218" s="196" t="s">
        <v>278</v>
      </c>
      <c r="M218" s="222">
        <v>1283.88303499676</v>
      </c>
      <c r="N218" s="222">
        <v>1465.7481643676799</v>
      </c>
      <c r="O218" s="222">
        <v>1391.7686281199899</v>
      </c>
      <c r="P218" s="222">
        <v>1255.9247935743399</v>
      </c>
      <c r="Q218" s="222">
        <v>1246.6053797668701</v>
      </c>
      <c r="R218" s="222">
        <v>1237.2859659594001</v>
      </c>
      <c r="S218" s="222">
        <v>1227.96655215193</v>
      </c>
      <c r="T218" s="222">
        <v>1218.64713834445</v>
      </c>
      <c r="U218" s="222">
        <v>1209.32772453698</v>
      </c>
      <c r="V218" s="222">
        <v>1200.00831072951</v>
      </c>
      <c r="W218" s="222">
        <v>1191.9167948120701</v>
      </c>
      <c r="X218" s="222">
        <v>1183.8252788946299</v>
      </c>
      <c r="Y218" s="222">
        <v>1175.7337629771901</v>
      </c>
      <c r="Z218" s="222">
        <v>1167.6422470597599</v>
      </c>
      <c r="AA218" s="222">
        <v>1159.55073114232</v>
      </c>
      <c r="AB218" s="222">
        <v>1151.4592152248799</v>
      </c>
      <c r="AC218" s="222">
        <v>1143.36769930744</v>
      </c>
      <c r="AD218" s="222">
        <v>1135.2761833899999</v>
      </c>
      <c r="AE218" s="222">
        <v>1127.18466747256</v>
      </c>
      <c r="AF218" s="222">
        <v>1119.0931515551199</v>
      </c>
      <c r="AG218" s="222">
        <v>1111.00163563768</v>
      </c>
      <c r="AH218" s="222">
        <v>1102.9101197202399</v>
      </c>
      <c r="AI218" s="222">
        <v>1094.8186038028</v>
      </c>
      <c r="AJ218" s="222">
        <v>1086.7270878853601</v>
      </c>
      <c r="AK218" s="222">
        <v>1078.63557196793</v>
      </c>
      <c r="AL218" s="222">
        <v>1070.5440560504901</v>
      </c>
      <c r="AM218" s="222">
        <v>1062.45254013305</v>
      </c>
      <c r="AN218" s="222">
        <v>1054.3610242156101</v>
      </c>
      <c r="AO218" s="222">
        <v>1046.26950829817</v>
      </c>
      <c r="AP218" s="222">
        <v>1038.1779923807301</v>
      </c>
    </row>
    <row r="219" spans="7:42" ht="14.25" customHeight="1" thickTop="1" x14ac:dyDescent="0.2">
      <c r="G219" s="138"/>
      <c r="H219" s="380"/>
      <c r="J219" s="358"/>
      <c r="K219" s="194" t="s">
        <v>359</v>
      </c>
      <c r="L219" s="194" t="s">
        <v>276</v>
      </c>
      <c r="M219" s="223">
        <v>1283.88303499676</v>
      </c>
      <c r="N219" s="223">
        <v>1444.3135126104901</v>
      </c>
      <c r="O219" s="223">
        <v>1350.76320736712</v>
      </c>
      <c r="P219" s="223">
        <v>1200.00831072951</v>
      </c>
      <c r="Q219" s="223">
        <v>1172.0500693071001</v>
      </c>
      <c r="R219" s="223">
        <v>1144.09182788468</v>
      </c>
      <c r="S219" s="223">
        <v>1116.1335864622699</v>
      </c>
      <c r="T219" s="223">
        <v>1088.1753450398501</v>
      </c>
      <c r="U219" s="223">
        <v>1060.21710361744</v>
      </c>
      <c r="V219" s="223">
        <v>1032.2588621950199</v>
      </c>
      <c r="W219" s="223">
        <v>1020.65892726506</v>
      </c>
      <c r="X219" s="223">
        <v>1009.05899233509</v>
      </c>
      <c r="Y219" s="223">
        <v>997.45905740512899</v>
      </c>
      <c r="Z219" s="223">
        <v>985.85912247516205</v>
      </c>
      <c r="AA219" s="223">
        <v>974.25918754519603</v>
      </c>
      <c r="AB219" s="223">
        <v>962.65925261523</v>
      </c>
      <c r="AC219" s="223">
        <v>951.05931768526398</v>
      </c>
      <c r="AD219" s="223">
        <v>939.45938275529795</v>
      </c>
      <c r="AE219" s="223">
        <v>927.85944782533204</v>
      </c>
      <c r="AF219" s="223">
        <v>916.25951289536602</v>
      </c>
      <c r="AG219" s="223">
        <v>904.65957796539999</v>
      </c>
      <c r="AH219" s="223">
        <v>893.05964303543396</v>
      </c>
      <c r="AI219" s="223">
        <v>881.45970810546805</v>
      </c>
      <c r="AJ219" s="223">
        <v>869.859773175501</v>
      </c>
      <c r="AK219" s="223">
        <v>858.25983824553498</v>
      </c>
      <c r="AL219" s="223">
        <v>846.65990331556895</v>
      </c>
      <c r="AM219" s="223">
        <v>835.05996838560304</v>
      </c>
      <c r="AN219" s="223">
        <v>823.46003345563702</v>
      </c>
      <c r="AO219" s="223">
        <v>811.86009852567099</v>
      </c>
      <c r="AP219" s="223">
        <v>800.26016359570497</v>
      </c>
    </row>
    <row r="220" spans="7:42" ht="14.25" customHeight="1" x14ac:dyDescent="0.2">
      <c r="G220" s="138"/>
      <c r="H220" s="380"/>
      <c r="J220" s="358"/>
      <c r="K220" s="135" t="s">
        <v>359</v>
      </c>
      <c r="L220" s="185" t="s">
        <v>277</v>
      </c>
      <c r="M220" s="221">
        <v>1283.88303499676</v>
      </c>
      <c r="N220" s="221">
        <v>1450.82864754451</v>
      </c>
      <c r="O220" s="221">
        <v>1363.2269437626401</v>
      </c>
      <c r="P220" s="221">
        <v>1217.0043149052101</v>
      </c>
      <c r="Q220" s="221">
        <v>1194.71140820803</v>
      </c>
      <c r="R220" s="221">
        <v>1172.4185015108501</v>
      </c>
      <c r="S220" s="221">
        <v>1150.12559481367</v>
      </c>
      <c r="T220" s="221">
        <v>1127.8326881164901</v>
      </c>
      <c r="U220" s="221">
        <v>1105.53978141931</v>
      </c>
      <c r="V220" s="221">
        <v>1083.2468747221301</v>
      </c>
      <c r="W220" s="221">
        <v>1072.58076110047</v>
      </c>
      <c r="X220" s="221">
        <v>1061.9146474787999</v>
      </c>
      <c r="Y220" s="221">
        <v>1051.24853385714</v>
      </c>
      <c r="Z220" s="221">
        <v>1040.58242023547</v>
      </c>
      <c r="AA220" s="221">
        <v>1029.9163066138001</v>
      </c>
      <c r="AB220" s="221">
        <v>1019.25019299214</v>
      </c>
      <c r="AC220" s="221">
        <v>1008.58407937047</v>
      </c>
      <c r="AD220" s="221">
        <v>997.91796574881198</v>
      </c>
      <c r="AE220" s="221">
        <v>987.251852127147</v>
      </c>
      <c r="AF220" s="221">
        <v>976.585738505481</v>
      </c>
      <c r="AG220" s="221">
        <v>965.919624883815</v>
      </c>
      <c r="AH220" s="221">
        <v>955.253511262149</v>
      </c>
      <c r="AI220" s="221">
        <v>944.58739764048403</v>
      </c>
      <c r="AJ220" s="221">
        <v>933.92128401881803</v>
      </c>
      <c r="AK220" s="221">
        <v>923.25517039715203</v>
      </c>
      <c r="AL220" s="221">
        <v>912.58905677548705</v>
      </c>
      <c r="AM220" s="221">
        <v>901.92294315382105</v>
      </c>
      <c r="AN220" s="221">
        <v>891.25682953215505</v>
      </c>
      <c r="AO220" s="221">
        <v>880.59071591048905</v>
      </c>
      <c r="AP220" s="221">
        <v>869.92460228882396</v>
      </c>
    </row>
    <row r="221" spans="7:42" ht="14.25" customHeight="1" thickBot="1" x14ac:dyDescent="0.25">
      <c r="G221" s="138"/>
      <c r="H221" s="380"/>
      <c r="J221" s="358"/>
      <c r="K221" s="196" t="s">
        <v>359</v>
      </c>
      <c r="L221" s="196" t="s">
        <v>278</v>
      </c>
      <c r="M221" s="222">
        <v>1283.88303499676</v>
      </c>
      <c r="N221" s="222">
        <v>1465.7481643676799</v>
      </c>
      <c r="O221" s="222">
        <v>1391.7686281199899</v>
      </c>
      <c r="P221" s="222">
        <v>1255.9247935743399</v>
      </c>
      <c r="Q221" s="222">
        <v>1246.6053797668701</v>
      </c>
      <c r="R221" s="222">
        <v>1237.2859659594001</v>
      </c>
      <c r="S221" s="222">
        <v>1227.96655215193</v>
      </c>
      <c r="T221" s="222">
        <v>1218.64713834445</v>
      </c>
      <c r="U221" s="222">
        <v>1209.32772453698</v>
      </c>
      <c r="V221" s="222">
        <v>1200.00831072951</v>
      </c>
      <c r="W221" s="222">
        <v>1191.9167948120701</v>
      </c>
      <c r="X221" s="222">
        <v>1183.8252788946299</v>
      </c>
      <c r="Y221" s="222">
        <v>1175.7337629771901</v>
      </c>
      <c r="Z221" s="222">
        <v>1167.6422470597599</v>
      </c>
      <c r="AA221" s="222">
        <v>1159.55073114232</v>
      </c>
      <c r="AB221" s="222">
        <v>1151.4592152248799</v>
      </c>
      <c r="AC221" s="222">
        <v>1143.36769930744</v>
      </c>
      <c r="AD221" s="222">
        <v>1135.2761833899999</v>
      </c>
      <c r="AE221" s="222">
        <v>1127.18466747256</v>
      </c>
      <c r="AF221" s="222">
        <v>1119.0931515551199</v>
      </c>
      <c r="AG221" s="222">
        <v>1111.00163563768</v>
      </c>
      <c r="AH221" s="222">
        <v>1102.9101197202399</v>
      </c>
      <c r="AI221" s="222">
        <v>1094.8186038028</v>
      </c>
      <c r="AJ221" s="222">
        <v>1086.7270878853601</v>
      </c>
      <c r="AK221" s="222">
        <v>1078.63557196793</v>
      </c>
      <c r="AL221" s="222">
        <v>1070.5440560504901</v>
      </c>
      <c r="AM221" s="222">
        <v>1062.45254013305</v>
      </c>
      <c r="AN221" s="222">
        <v>1054.3610242156101</v>
      </c>
      <c r="AO221" s="222">
        <v>1046.26950829817</v>
      </c>
      <c r="AP221" s="222">
        <v>1038.1779923807301</v>
      </c>
    </row>
    <row r="222" spans="7:42" ht="14.25" customHeight="1" thickTop="1" x14ac:dyDescent="0.2">
      <c r="G222" s="138"/>
      <c r="H222" s="380"/>
      <c r="J222" s="358"/>
      <c r="K222" s="194" t="s">
        <v>361</v>
      </c>
      <c r="L222" s="194" t="s">
        <v>276</v>
      </c>
      <c r="M222" s="223">
        <v>1283.88303499676</v>
      </c>
      <c r="N222" s="223">
        <v>1444.3135126104901</v>
      </c>
      <c r="O222" s="223">
        <v>1350.76320736712</v>
      </c>
      <c r="P222" s="223">
        <v>1200.00831072951</v>
      </c>
      <c r="Q222" s="223">
        <v>1172.0500693071001</v>
      </c>
      <c r="R222" s="223">
        <v>1144.09182788468</v>
      </c>
      <c r="S222" s="223">
        <v>1116.1335864622699</v>
      </c>
      <c r="T222" s="223">
        <v>1088.1753450398501</v>
      </c>
      <c r="U222" s="223">
        <v>1060.21710361744</v>
      </c>
      <c r="V222" s="223">
        <v>1032.2588621950199</v>
      </c>
      <c r="W222" s="223">
        <v>1020.65892726506</v>
      </c>
      <c r="X222" s="223">
        <v>1009.05899233509</v>
      </c>
      <c r="Y222" s="223">
        <v>997.45905740512899</v>
      </c>
      <c r="Z222" s="223">
        <v>985.85912247516205</v>
      </c>
      <c r="AA222" s="223">
        <v>974.25918754519603</v>
      </c>
      <c r="AB222" s="223">
        <v>962.65925261523</v>
      </c>
      <c r="AC222" s="223">
        <v>951.05931768526398</v>
      </c>
      <c r="AD222" s="223">
        <v>939.45938275529795</v>
      </c>
      <c r="AE222" s="223">
        <v>927.85944782533204</v>
      </c>
      <c r="AF222" s="223">
        <v>916.25951289536602</v>
      </c>
      <c r="AG222" s="223">
        <v>904.65957796539999</v>
      </c>
      <c r="AH222" s="223">
        <v>893.05964303543396</v>
      </c>
      <c r="AI222" s="223">
        <v>881.45970810546805</v>
      </c>
      <c r="AJ222" s="223">
        <v>869.859773175501</v>
      </c>
      <c r="AK222" s="223">
        <v>858.25983824553498</v>
      </c>
      <c r="AL222" s="223">
        <v>846.65990331556895</v>
      </c>
      <c r="AM222" s="223">
        <v>835.05996838560304</v>
      </c>
      <c r="AN222" s="223">
        <v>823.46003345563702</v>
      </c>
      <c r="AO222" s="223">
        <v>811.86009852567099</v>
      </c>
      <c r="AP222" s="223">
        <v>800.26016359570497</v>
      </c>
    </row>
    <row r="223" spans="7:42" ht="14.25" customHeight="1" x14ac:dyDescent="0.2">
      <c r="G223" s="138"/>
      <c r="H223" s="380"/>
      <c r="J223" s="358"/>
      <c r="K223" s="135" t="s">
        <v>361</v>
      </c>
      <c r="L223" s="185" t="s">
        <v>277</v>
      </c>
      <c r="M223" s="221">
        <v>1283.88303499676</v>
      </c>
      <c r="N223" s="221">
        <v>1450.82864754451</v>
      </c>
      <c r="O223" s="221">
        <v>1363.2269437626401</v>
      </c>
      <c r="P223" s="221">
        <v>1217.0043149052101</v>
      </c>
      <c r="Q223" s="221">
        <v>1194.71140820803</v>
      </c>
      <c r="R223" s="221">
        <v>1172.4185015108501</v>
      </c>
      <c r="S223" s="221">
        <v>1150.12559481367</v>
      </c>
      <c r="T223" s="221">
        <v>1127.8326881164901</v>
      </c>
      <c r="U223" s="221">
        <v>1105.53978141931</v>
      </c>
      <c r="V223" s="221">
        <v>1083.2468747221301</v>
      </c>
      <c r="W223" s="221">
        <v>1072.58076110047</v>
      </c>
      <c r="X223" s="221">
        <v>1061.9146474787999</v>
      </c>
      <c r="Y223" s="221">
        <v>1051.24853385714</v>
      </c>
      <c r="Z223" s="221">
        <v>1040.58242023547</v>
      </c>
      <c r="AA223" s="221">
        <v>1029.9163066138001</v>
      </c>
      <c r="AB223" s="221">
        <v>1019.25019299214</v>
      </c>
      <c r="AC223" s="221">
        <v>1008.58407937047</v>
      </c>
      <c r="AD223" s="221">
        <v>997.91796574881198</v>
      </c>
      <c r="AE223" s="221">
        <v>987.251852127147</v>
      </c>
      <c r="AF223" s="221">
        <v>976.585738505481</v>
      </c>
      <c r="AG223" s="221">
        <v>965.919624883815</v>
      </c>
      <c r="AH223" s="221">
        <v>955.253511262149</v>
      </c>
      <c r="AI223" s="221">
        <v>944.58739764048403</v>
      </c>
      <c r="AJ223" s="221">
        <v>933.92128401881803</v>
      </c>
      <c r="AK223" s="221">
        <v>923.25517039715203</v>
      </c>
      <c r="AL223" s="221">
        <v>912.58905677548705</v>
      </c>
      <c r="AM223" s="221">
        <v>901.92294315382105</v>
      </c>
      <c r="AN223" s="221">
        <v>891.25682953215505</v>
      </c>
      <c r="AO223" s="221">
        <v>880.59071591048905</v>
      </c>
      <c r="AP223" s="221">
        <v>869.92460228882396</v>
      </c>
    </row>
    <row r="224" spans="7:42" ht="14.25" customHeight="1" thickBot="1" x14ac:dyDescent="0.25">
      <c r="G224" s="138"/>
      <c r="H224" s="380"/>
      <c r="J224" s="358"/>
      <c r="K224" s="196" t="s">
        <v>361</v>
      </c>
      <c r="L224" s="196" t="s">
        <v>278</v>
      </c>
      <c r="M224" s="222">
        <v>1283.88303499676</v>
      </c>
      <c r="N224" s="222">
        <v>1465.7481643676799</v>
      </c>
      <c r="O224" s="222">
        <v>1391.7686281199899</v>
      </c>
      <c r="P224" s="222">
        <v>1255.9247935743399</v>
      </c>
      <c r="Q224" s="222">
        <v>1246.6053797668701</v>
      </c>
      <c r="R224" s="222">
        <v>1237.2859659594001</v>
      </c>
      <c r="S224" s="222">
        <v>1227.96655215193</v>
      </c>
      <c r="T224" s="222">
        <v>1218.64713834445</v>
      </c>
      <c r="U224" s="222">
        <v>1209.32772453698</v>
      </c>
      <c r="V224" s="222">
        <v>1200.00831072951</v>
      </c>
      <c r="W224" s="222">
        <v>1191.9167948120701</v>
      </c>
      <c r="X224" s="222">
        <v>1183.8252788946299</v>
      </c>
      <c r="Y224" s="222">
        <v>1175.7337629771901</v>
      </c>
      <c r="Z224" s="222">
        <v>1167.6422470597599</v>
      </c>
      <c r="AA224" s="222">
        <v>1159.55073114232</v>
      </c>
      <c r="AB224" s="222">
        <v>1151.4592152248799</v>
      </c>
      <c r="AC224" s="222">
        <v>1143.36769930744</v>
      </c>
      <c r="AD224" s="222">
        <v>1135.2761833899999</v>
      </c>
      <c r="AE224" s="222">
        <v>1127.18466747256</v>
      </c>
      <c r="AF224" s="222">
        <v>1119.0931515551199</v>
      </c>
      <c r="AG224" s="222">
        <v>1111.00163563768</v>
      </c>
      <c r="AH224" s="222">
        <v>1102.9101197202399</v>
      </c>
      <c r="AI224" s="222">
        <v>1094.8186038028</v>
      </c>
      <c r="AJ224" s="222">
        <v>1086.7270878853601</v>
      </c>
      <c r="AK224" s="222">
        <v>1078.63557196793</v>
      </c>
      <c r="AL224" s="222">
        <v>1070.5440560504901</v>
      </c>
      <c r="AM224" s="222">
        <v>1062.45254013305</v>
      </c>
      <c r="AN224" s="222">
        <v>1054.3610242156101</v>
      </c>
      <c r="AO224" s="222">
        <v>1046.26950829817</v>
      </c>
      <c r="AP224" s="222">
        <v>1038.1779923807301</v>
      </c>
    </row>
    <row r="225" spans="7:42" ht="14.25" customHeight="1" thickTop="1" x14ac:dyDescent="0.2">
      <c r="G225" s="138"/>
      <c r="H225" s="380"/>
      <c r="J225" s="358"/>
      <c r="K225" s="194" t="s">
        <v>363</v>
      </c>
      <c r="L225" s="194" t="s">
        <v>276</v>
      </c>
      <c r="M225" s="223">
        <v>1402.56921431414</v>
      </c>
      <c r="N225" s="223">
        <v>1570.0250096269599</v>
      </c>
      <c r="O225" s="223">
        <v>1460.6999696277601</v>
      </c>
      <c r="P225" s="223">
        <v>1290.5789877898701</v>
      </c>
      <c r="Q225" s="223">
        <v>1253.2489122817799</v>
      </c>
      <c r="R225" s="223">
        <v>1215.9188367736899</v>
      </c>
      <c r="S225" s="223">
        <v>1178.5887612655999</v>
      </c>
      <c r="T225" s="223">
        <v>1141.25868575751</v>
      </c>
      <c r="U225" s="223">
        <v>1103.92861024942</v>
      </c>
      <c r="V225" s="223">
        <v>1066.59853474133</v>
      </c>
      <c r="W225" s="223">
        <v>1054.43202303057</v>
      </c>
      <c r="X225" s="223">
        <v>1042.2655113198</v>
      </c>
      <c r="Y225" s="223">
        <v>1030.09899960904</v>
      </c>
      <c r="Z225" s="223">
        <v>1017.93248789827</v>
      </c>
      <c r="AA225" s="223">
        <v>1005.7659761875</v>
      </c>
      <c r="AB225" s="223">
        <v>993.59946447674201</v>
      </c>
      <c r="AC225" s="223">
        <v>981.43295276597598</v>
      </c>
      <c r="AD225" s="223">
        <v>969.26644105520995</v>
      </c>
      <c r="AE225" s="223">
        <v>957.09992934444404</v>
      </c>
      <c r="AF225" s="223">
        <v>944.93341763367698</v>
      </c>
      <c r="AG225" s="223">
        <v>932.76690592291197</v>
      </c>
      <c r="AH225" s="223">
        <v>920.60039421214503</v>
      </c>
      <c r="AI225" s="223">
        <v>908.433882501379</v>
      </c>
      <c r="AJ225" s="223">
        <v>896.26737079061297</v>
      </c>
      <c r="AK225" s="223">
        <v>884.10085907984705</v>
      </c>
      <c r="AL225" s="223">
        <v>871.93434736908102</v>
      </c>
      <c r="AM225" s="223">
        <v>859.76783565831499</v>
      </c>
      <c r="AN225" s="223">
        <v>847.60132394754896</v>
      </c>
      <c r="AO225" s="223">
        <v>835.43481223678305</v>
      </c>
      <c r="AP225" s="223">
        <v>823.26830052601701</v>
      </c>
    </row>
    <row r="226" spans="7:42" ht="14.25" customHeight="1" x14ac:dyDescent="0.2">
      <c r="G226" s="138"/>
      <c r="H226" s="380"/>
      <c r="J226" s="358"/>
      <c r="K226" s="135" t="s">
        <v>363</v>
      </c>
      <c r="L226" s="185" t="s">
        <v>277</v>
      </c>
      <c r="M226" s="221">
        <v>1402.56921431414</v>
      </c>
      <c r="N226" s="221">
        <v>1578.6517787617199</v>
      </c>
      <c r="O226" s="221">
        <v>1477.20335405949</v>
      </c>
      <c r="P226" s="221">
        <v>1313.08360292405</v>
      </c>
      <c r="Q226" s="221">
        <v>1283.2550657940201</v>
      </c>
      <c r="R226" s="221">
        <v>1253.42652866399</v>
      </c>
      <c r="S226" s="221">
        <v>1223.5979915339601</v>
      </c>
      <c r="T226" s="221">
        <v>1193.76945440393</v>
      </c>
      <c r="U226" s="221">
        <v>1163.9409172738999</v>
      </c>
      <c r="V226" s="221">
        <v>1134.11238014387</v>
      </c>
      <c r="W226" s="221">
        <v>1123.01981924611</v>
      </c>
      <c r="X226" s="221">
        <v>1111.9272583483501</v>
      </c>
      <c r="Y226" s="221">
        <v>1100.8346974505901</v>
      </c>
      <c r="Z226" s="221">
        <v>1089.7421365528201</v>
      </c>
      <c r="AA226" s="221">
        <v>1078.6495756550601</v>
      </c>
      <c r="AB226" s="221">
        <v>1067.5570147573001</v>
      </c>
      <c r="AC226" s="221">
        <v>1056.4644538595401</v>
      </c>
      <c r="AD226" s="221">
        <v>1045.3718929617801</v>
      </c>
      <c r="AE226" s="221">
        <v>1034.2793320640201</v>
      </c>
      <c r="AF226" s="221">
        <v>1023.18677116626</v>
      </c>
      <c r="AG226" s="221">
        <v>1012.0942102685</v>
      </c>
      <c r="AH226" s="221">
        <v>1001.00164937073</v>
      </c>
      <c r="AI226" s="221">
        <v>989.90908847297703</v>
      </c>
      <c r="AJ226" s="221">
        <v>978.81652757521601</v>
      </c>
      <c r="AK226" s="221">
        <v>967.723966677455</v>
      </c>
      <c r="AL226" s="221">
        <v>956.63140577969398</v>
      </c>
      <c r="AM226" s="221">
        <v>945.53884488193205</v>
      </c>
      <c r="AN226" s="221">
        <v>934.44628398417103</v>
      </c>
      <c r="AO226" s="221">
        <v>923.35372308641001</v>
      </c>
      <c r="AP226" s="221">
        <v>912.261162188649</v>
      </c>
    </row>
    <row r="227" spans="7:42" ht="14.25" customHeight="1" thickBot="1" x14ac:dyDescent="0.25">
      <c r="G227" s="138"/>
      <c r="H227" s="380"/>
      <c r="J227" s="358"/>
      <c r="K227" s="196" t="s">
        <v>363</v>
      </c>
      <c r="L227" s="196" t="s">
        <v>278</v>
      </c>
      <c r="M227" s="222">
        <v>1402.56921431414</v>
      </c>
      <c r="N227" s="222">
        <v>1599.2951824685299</v>
      </c>
      <c r="O227" s="222">
        <v>1516.69508288989</v>
      </c>
      <c r="P227" s="222">
        <v>1366.9359604200499</v>
      </c>
      <c r="Q227" s="222">
        <v>1355.0582091220199</v>
      </c>
      <c r="R227" s="222">
        <v>1343.1804578240001</v>
      </c>
      <c r="S227" s="222">
        <v>1331.3027065259701</v>
      </c>
      <c r="T227" s="222">
        <v>1319.42495522794</v>
      </c>
      <c r="U227" s="222">
        <v>1307.54720392991</v>
      </c>
      <c r="V227" s="222">
        <v>1295.6694526318799</v>
      </c>
      <c r="W227" s="222">
        <v>1287.0979789646101</v>
      </c>
      <c r="X227" s="222">
        <v>1278.52650529733</v>
      </c>
      <c r="Y227" s="222">
        <v>1269.9550316300599</v>
      </c>
      <c r="Z227" s="222">
        <v>1261.3835579627801</v>
      </c>
      <c r="AA227" s="222">
        <v>1252.81208429551</v>
      </c>
      <c r="AB227" s="222">
        <v>1244.2406106282299</v>
      </c>
      <c r="AC227" s="222">
        <v>1235.66913696096</v>
      </c>
      <c r="AD227" s="222">
        <v>1227.0976632936799</v>
      </c>
      <c r="AE227" s="222">
        <v>1218.5261896264101</v>
      </c>
      <c r="AF227" s="222">
        <v>1209.95471595913</v>
      </c>
      <c r="AG227" s="222">
        <v>1201.3832422918599</v>
      </c>
      <c r="AH227" s="222">
        <v>1192.8117686245801</v>
      </c>
      <c r="AI227" s="222">
        <v>1184.24029495731</v>
      </c>
      <c r="AJ227" s="222">
        <v>1175.6688212900399</v>
      </c>
      <c r="AK227" s="222">
        <v>1167.09734762276</v>
      </c>
      <c r="AL227" s="222">
        <v>1158.5258739554899</v>
      </c>
      <c r="AM227" s="222">
        <v>1149.9544002882101</v>
      </c>
      <c r="AN227" s="222">
        <v>1141.38292662094</v>
      </c>
      <c r="AO227" s="222">
        <v>1132.8114529536599</v>
      </c>
      <c r="AP227" s="222">
        <v>1124.2399792863901</v>
      </c>
    </row>
    <row r="228" spans="7:42" ht="14.25" customHeight="1" thickTop="1" x14ac:dyDescent="0.2">
      <c r="G228" s="138"/>
      <c r="H228" s="380"/>
      <c r="J228" s="358"/>
      <c r="K228" s="194" t="s">
        <v>366</v>
      </c>
      <c r="L228" s="194" t="s">
        <v>276</v>
      </c>
      <c r="M228" s="223">
        <v>1333.80658661438</v>
      </c>
      <c r="N228" s="223">
        <v>1511.60944042593</v>
      </c>
      <c r="O228" s="223">
        <v>1424.5873364085701</v>
      </c>
      <c r="P228" s="223">
        <v>1275.7158017954</v>
      </c>
      <c r="Q228" s="223">
        <v>1256.35220685574</v>
      </c>
      <c r="R228" s="223">
        <v>1236.9886119160701</v>
      </c>
      <c r="S228" s="223">
        <v>1217.6250169764101</v>
      </c>
      <c r="T228" s="223">
        <v>1198.26142203675</v>
      </c>
      <c r="U228" s="223">
        <v>1178.8978270970899</v>
      </c>
      <c r="V228" s="223">
        <v>1159.5342321574201</v>
      </c>
      <c r="W228" s="223">
        <v>1146.78486804112</v>
      </c>
      <c r="X228" s="223">
        <v>1134.03550392482</v>
      </c>
      <c r="Y228" s="223">
        <v>1121.2861398085199</v>
      </c>
      <c r="Z228" s="223">
        <v>1108.5367756922201</v>
      </c>
      <c r="AA228" s="223">
        <v>1095.78741157592</v>
      </c>
      <c r="AB228" s="223">
        <v>1083.03804745962</v>
      </c>
      <c r="AC228" s="223">
        <v>1070.2886833433199</v>
      </c>
      <c r="AD228" s="223">
        <v>1057.5393192270101</v>
      </c>
      <c r="AE228" s="223">
        <v>1044.78995511071</v>
      </c>
      <c r="AF228" s="223">
        <v>1032.04059099441</v>
      </c>
      <c r="AG228" s="223">
        <v>1019.29122687811</v>
      </c>
      <c r="AH228" s="223">
        <v>1006.54186276181</v>
      </c>
      <c r="AI228" s="223">
        <v>993.79249864551196</v>
      </c>
      <c r="AJ228" s="223">
        <v>981.04313452921099</v>
      </c>
      <c r="AK228" s="223">
        <v>968.293770412909</v>
      </c>
      <c r="AL228" s="223">
        <v>955.54440629660803</v>
      </c>
      <c r="AM228" s="223">
        <v>942.79504218030695</v>
      </c>
      <c r="AN228" s="223">
        <v>930.04567806400496</v>
      </c>
      <c r="AO228" s="223">
        <v>917.29631394770399</v>
      </c>
      <c r="AP228" s="223">
        <v>904.546949831402</v>
      </c>
    </row>
    <row r="229" spans="7:42" ht="14.25" customHeight="1" x14ac:dyDescent="0.2">
      <c r="G229" s="138"/>
      <c r="H229" s="380"/>
      <c r="J229" s="358"/>
      <c r="K229" s="135" t="s">
        <v>366</v>
      </c>
      <c r="L229" s="185" t="s">
        <v>277</v>
      </c>
      <c r="M229" s="221">
        <v>1333.80658661438</v>
      </c>
      <c r="N229" s="221">
        <v>1515.4623777362699</v>
      </c>
      <c r="O229" s="221">
        <v>1431.9581730022501</v>
      </c>
      <c r="P229" s="221">
        <v>1285.7669426049699</v>
      </c>
      <c r="Q229" s="221">
        <v>1269.75372793516</v>
      </c>
      <c r="R229" s="221">
        <v>1253.7405132653601</v>
      </c>
      <c r="S229" s="221">
        <v>1237.7272985955501</v>
      </c>
      <c r="T229" s="221">
        <v>1221.7140839257499</v>
      </c>
      <c r="U229" s="221">
        <v>1205.70086925594</v>
      </c>
      <c r="V229" s="221">
        <v>1189.6876545861301</v>
      </c>
      <c r="W229" s="221">
        <v>1178.42470373643</v>
      </c>
      <c r="X229" s="221">
        <v>1167.16175288673</v>
      </c>
      <c r="Y229" s="221">
        <v>1155.89880203702</v>
      </c>
      <c r="Z229" s="221">
        <v>1144.63585118732</v>
      </c>
      <c r="AA229" s="221">
        <v>1133.37290033762</v>
      </c>
      <c r="AB229" s="221">
        <v>1122.1099494879099</v>
      </c>
      <c r="AC229" s="221">
        <v>1110.8469986382099</v>
      </c>
      <c r="AD229" s="221">
        <v>1099.5840477884999</v>
      </c>
      <c r="AE229" s="221">
        <v>1088.3210969388001</v>
      </c>
      <c r="AF229" s="221">
        <v>1077.0581460891001</v>
      </c>
      <c r="AG229" s="221">
        <v>1065.7951952393901</v>
      </c>
      <c r="AH229" s="221">
        <v>1054.53224438969</v>
      </c>
      <c r="AI229" s="221">
        <v>1043.26929353999</v>
      </c>
      <c r="AJ229" s="221">
        <v>1032.00634269028</v>
      </c>
      <c r="AK229" s="221">
        <v>1020.74339184058</v>
      </c>
      <c r="AL229" s="221">
        <v>1009.48044099087</v>
      </c>
      <c r="AM229" s="221">
        <v>998.21749014117495</v>
      </c>
      <c r="AN229" s="221">
        <v>986.95453929147095</v>
      </c>
      <c r="AO229" s="221">
        <v>975.69158844176695</v>
      </c>
      <c r="AP229" s="221">
        <v>964.42863759206398</v>
      </c>
    </row>
    <row r="230" spans="7:42" ht="14.25" customHeight="1" thickBot="1" x14ac:dyDescent="0.25">
      <c r="G230" s="138"/>
      <c r="H230" s="380"/>
      <c r="J230" s="358"/>
      <c r="K230" s="196" t="s">
        <v>366</v>
      </c>
      <c r="L230" s="196" t="s">
        <v>278</v>
      </c>
      <c r="M230" s="222">
        <v>1333.80658661438</v>
      </c>
      <c r="N230" s="222">
        <v>1526.45486321301</v>
      </c>
      <c r="O230" s="222">
        <v>1452.9872756534</v>
      </c>
      <c r="P230" s="222">
        <v>1314.4429916747199</v>
      </c>
      <c r="Q230" s="222">
        <v>1307.98846002817</v>
      </c>
      <c r="R230" s="222">
        <v>1301.5339283816099</v>
      </c>
      <c r="S230" s="222">
        <v>1295.0793967350601</v>
      </c>
      <c r="T230" s="222">
        <v>1288.62486508851</v>
      </c>
      <c r="U230" s="222">
        <v>1282.1703334419501</v>
      </c>
      <c r="V230" s="222">
        <v>1275.7158017954</v>
      </c>
      <c r="W230" s="222">
        <v>1266.87146428296</v>
      </c>
      <c r="X230" s="222">
        <v>1258.02712677051</v>
      </c>
      <c r="Y230" s="222">
        <v>1249.18278925807</v>
      </c>
      <c r="Z230" s="222">
        <v>1240.33845174563</v>
      </c>
      <c r="AA230" s="222">
        <v>1231.49411423319</v>
      </c>
      <c r="AB230" s="222">
        <v>1222.64977672075</v>
      </c>
      <c r="AC230" s="222">
        <v>1213.8054392083</v>
      </c>
      <c r="AD230" s="222">
        <v>1204.96110169586</v>
      </c>
      <c r="AE230" s="222">
        <v>1196.1167641834199</v>
      </c>
      <c r="AF230" s="222">
        <v>1187.2724266709799</v>
      </c>
      <c r="AG230" s="222">
        <v>1178.4280891585399</v>
      </c>
      <c r="AH230" s="222">
        <v>1169.5837516460999</v>
      </c>
      <c r="AI230" s="222">
        <v>1160.7394141336499</v>
      </c>
      <c r="AJ230" s="222">
        <v>1151.8950766212099</v>
      </c>
      <c r="AK230" s="222">
        <v>1143.0507391087699</v>
      </c>
      <c r="AL230" s="222">
        <v>1134.2064015963299</v>
      </c>
      <c r="AM230" s="222">
        <v>1125.3620640838899</v>
      </c>
      <c r="AN230" s="222">
        <v>1116.5177265714401</v>
      </c>
      <c r="AO230" s="222">
        <v>1107.6733890590001</v>
      </c>
      <c r="AP230" s="222">
        <v>1098.8290515465601</v>
      </c>
    </row>
    <row r="231" spans="7:42" ht="14.25" customHeight="1" thickTop="1" x14ac:dyDescent="0.2">
      <c r="G231" s="138"/>
      <c r="H231" s="380"/>
      <c r="J231" s="358"/>
      <c r="K231" s="194" t="s">
        <v>369</v>
      </c>
      <c r="L231" s="194" t="s">
        <v>276</v>
      </c>
      <c r="M231" s="220">
        <v>1847.17140985227</v>
      </c>
      <c r="N231" s="220">
        <v>2059.99951785762</v>
      </c>
      <c r="O231" s="220">
        <v>1908.9800920205701</v>
      </c>
      <c r="P231" s="220">
        <v>1679.5689660109999</v>
      </c>
      <c r="Q231" s="220">
        <v>1623.70148473058</v>
      </c>
      <c r="R231" s="220">
        <v>1567.83400345016</v>
      </c>
      <c r="S231" s="220">
        <v>1511.9665221697301</v>
      </c>
      <c r="T231" s="220">
        <v>1456.0990408893099</v>
      </c>
      <c r="U231" s="220">
        <v>1400.2315596088899</v>
      </c>
      <c r="V231" s="220">
        <v>1344.36407832847</v>
      </c>
      <c r="W231" s="220">
        <v>1328.66737639804</v>
      </c>
      <c r="X231" s="220">
        <v>1312.97067446762</v>
      </c>
      <c r="Y231" s="220">
        <v>1297.2739725372001</v>
      </c>
      <c r="Z231" s="220">
        <v>1281.5772706067801</v>
      </c>
      <c r="AA231" s="220">
        <v>1265.8805686763601</v>
      </c>
      <c r="AB231" s="220">
        <v>1250.1838667459399</v>
      </c>
      <c r="AC231" s="220">
        <v>1234.4871648155199</v>
      </c>
      <c r="AD231" s="220">
        <v>1218.7904628850999</v>
      </c>
      <c r="AE231" s="220">
        <v>1203.09376095468</v>
      </c>
      <c r="AF231" s="220">
        <v>1187.39705902426</v>
      </c>
      <c r="AG231" s="220">
        <v>1171.70035709384</v>
      </c>
      <c r="AH231" s="220">
        <v>1156.00365516342</v>
      </c>
      <c r="AI231" s="220">
        <v>1140.3069532330001</v>
      </c>
      <c r="AJ231" s="220">
        <v>1124.6102513025801</v>
      </c>
      <c r="AK231" s="220">
        <v>1108.9135493721601</v>
      </c>
      <c r="AL231" s="220">
        <v>1093.2168474417399</v>
      </c>
      <c r="AM231" s="220">
        <v>1077.5201455113199</v>
      </c>
      <c r="AN231" s="220">
        <v>1061.8234435808999</v>
      </c>
      <c r="AO231" s="220">
        <v>1046.12674165048</v>
      </c>
      <c r="AP231" s="220">
        <v>1030.43003972006</v>
      </c>
    </row>
    <row r="232" spans="7:42" ht="14.25" customHeight="1" x14ac:dyDescent="0.2">
      <c r="G232" s="138"/>
      <c r="H232" s="380"/>
      <c r="J232" s="358"/>
      <c r="K232" s="135" t="s">
        <v>369</v>
      </c>
      <c r="L232" s="185" t="s">
        <v>277</v>
      </c>
      <c r="M232" s="221">
        <v>1847.17140985227</v>
      </c>
      <c r="N232" s="221">
        <v>2073.0937966904498</v>
      </c>
      <c r="O232" s="221">
        <v>1934.0300167442399</v>
      </c>
      <c r="P232" s="221">
        <v>1713.7279542705501</v>
      </c>
      <c r="Q232" s="221">
        <v>1669.2468024099801</v>
      </c>
      <c r="R232" s="221">
        <v>1624.7656505494101</v>
      </c>
      <c r="S232" s="221">
        <v>1580.2844986888399</v>
      </c>
      <c r="T232" s="221">
        <v>1535.8033468282699</v>
      </c>
      <c r="U232" s="221">
        <v>1491.3221949676999</v>
      </c>
      <c r="V232" s="221">
        <v>1446.84104310713</v>
      </c>
      <c r="W232" s="221">
        <v>1432.9475294351801</v>
      </c>
      <c r="X232" s="221">
        <v>1419.0540157632199</v>
      </c>
      <c r="Y232" s="221">
        <v>1405.16050209127</v>
      </c>
      <c r="Z232" s="221">
        <v>1391.2669884193199</v>
      </c>
      <c r="AA232" s="221">
        <v>1377.37347474737</v>
      </c>
      <c r="AB232" s="221">
        <v>1363.4799610754101</v>
      </c>
      <c r="AC232" s="221">
        <v>1349.5864474034599</v>
      </c>
      <c r="AD232" s="221">
        <v>1335.69293373151</v>
      </c>
      <c r="AE232" s="221">
        <v>1321.7994200595599</v>
      </c>
      <c r="AF232" s="221">
        <v>1307.9059063876</v>
      </c>
      <c r="AG232" s="221">
        <v>1294.0123927156501</v>
      </c>
      <c r="AH232" s="221">
        <v>1280.1188790437</v>
      </c>
      <c r="AI232" s="221">
        <v>1266.2253653717501</v>
      </c>
      <c r="AJ232" s="221">
        <v>1252.3318516997899</v>
      </c>
      <c r="AK232" s="221">
        <v>1238.43833802784</v>
      </c>
      <c r="AL232" s="221">
        <v>1224.5448243558899</v>
      </c>
      <c r="AM232" s="221">
        <v>1210.65131068394</v>
      </c>
      <c r="AN232" s="221">
        <v>1196.7577970119801</v>
      </c>
      <c r="AO232" s="221">
        <v>1182.8642833400299</v>
      </c>
      <c r="AP232" s="221">
        <v>1168.97076966808</v>
      </c>
    </row>
    <row r="233" spans="7:42" ht="14.25" customHeight="1" thickBot="1" x14ac:dyDescent="0.25">
      <c r="G233" s="138"/>
      <c r="H233" s="380"/>
      <c r="J233" s="368"/>
      <c r="K233" s="196" t="s">
        <v>369</v>
      </c>
      <c r="L233" s="196" t="s">
        <v>278</v>
      </c>
      <c r="M233" s="222">
        <v>1847.17140985227</v>
      </c>
      <c r="N233" s="222">
        <v>2103.6878882189098</v>
      </c>
      <c r="O233" s="222">
        <v>1992.55784401608</v>
      </c>
      <c r="P233" s="222">
        <v>1793.5386278230601</v>
      </c>
      <c r="Q233" s="222">
        <v>1775.6610338133301</v>
      </c>
      <c r="R233" s="222">
        <v>1757.78343980359</v>
      </c>
      <c r="S233" s="222">
        <v>1739.90584579386</v>
      </c>
      <c r="T233" s="222">
        <v>1722.0282517841199</v>
      </c>
      <c r="U233" s="222">
        <v>1704.1506577743901</v>
      </c>
      <c r="V233" s="222">
        <v>1686.27306376465</v>
      </c>
      <c r="W233" s="222">
        <v>1675.3835260677399</v>
      </c>
      <c r="X233" s="222">
        <v>1664.49398837084</v>
      </c>
      <c r="Y233" s="222">
        <v>1653.6044506739299</v>
      </c>
      <c r="Z233" s="222">
        <v>1642.71491297702</v>
      </c>
      <c r="AA233" s="222">
        <v>1631.8253752801099</v>
      </c>
      <c r="AB233" s="222">
        <v>1620.9358375832001</v>
      </c>
      <c r="AC233" s="222">
        <v>1610.0462998862999</v>
      </c>
      <c r="AD233" s="222">
        <v>1599.1567621893901</v>
      </c>
      <c r="AE233" s="222">
        <v>1588.26722449248</v>
      </c>
      <c r="AF233" s="222">
        <v>1577.3776867955701</v>
      </c>
      <c r="AG233" s="222">
        <v>1566.48814909866</v>
      </c>
      <c r="AH233" s="222">
        <v>1555.5986114017601</v>
      </c>
      <c r="AI233" s="222">
        <v>1544.70907370485</v>
      </c>
      <c r="AJ233" s="222">
        <v>1533.8195360079401</v>
      </c>
      <c r="AK233" s="222">
        <v>1522.92999831103</v>
      </c>
      <c r="AL233" s="222">
        <v>1512.0404606141201</v>
      </c>
      <c r="AM233" s="222">
        <v>1501.15092291722</v>
      </c>
      <c r="AN233" s="222">
        <v>1490.2613852203101</v>
      </c>
      <c r="AO233" s="222">
        <v>1479.3718475234</v>
      </c>
      <c r="AP233" s="222">
        <v>1468.4823098264901</v>
      </c>
    </row>
    <row r="234" spans="7:42" ht="14.25" customHeight="1" thickTop="1" x14ac:dyDescent="0.2">
      <c r="G234" s="138"/>
      <c r="H234" s="380"/>
      <c r="J234" s="201"/>
      <c r="K234" s="135"/>
      <c r="L234" s="135"/>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c r="AN234" s="224"/>
      <c r="AO234" s="224"/>
      <c r="AP234" s="224"/>
    </row>
    <row r="235" spans="7:42" ht="14.25" customHeight="1" x14ac:dyDescent="0.2">
      <c r="G235" s="138"/>
      <c r="H235" s="380"/>
      <c r="J235" s="201"/>
      <c r="K235" s="135"/>
      <c r="L235" s="135"/>
      <c r="M235" s="123">
        <v>2021</v>
      </c>
      <c r="N235" s="123">
        <v>2022</v>
      </c>
      <c r="O235" s="123">
        <v>2023</v>
      </c>
      <c r="P235" s="123">
        <v>2024</v>
      </c>
      <c r="Q235" s="123">
        <v>2025</v>
      </c>
      <c r="R235" s="123">
        <v>2026</v>
      </c>
      <c r="S235" s="123">
        <v>2027</v>
      </c>
      <c r="T235" s="123">
        <v>2028</v>
      </c>
      <c r="U235" s="123">
        <v>2029</v>
      </c>
      <c r="V235" s="123">
        <v>2030</v>
      </c>
      <c r="W235" s="123">
        <v>2031</v>
      </c>
      <c r="X235" s="123">
        <v>2032</v>
      </c>
      <c r="Y235" s="123">
        <v>2033</v>
      </c>
      <c r="Z235" s="123">
        <v>2034</v>
      </c>
      <c r="AA235" s="123">
        <v>2035</v>
      </c>
      <c r="AB235" s="123">
        <v>2036</v>
      </c>
      <c r="AC235" s="123">
        <v>2037</v>
      </c>
      <c r="AD235" s="123">
        <v>2038</v>
      </c>
      <c r="AE235" s="123">
        <v>2039</v>
      </c>
      <c r="AF235" s="123">
        <v>2040</v>
      </c>
      <c r="AG235" s="123">
        <v>2041</v>
      </c>
      <c r="AH235" s="123">
        <v>2042</v>
      </c>
      <c r="AI235" s="123">
        <v>2043</v>
      </c>
      <c r="AJ235" s="123">
        <v>2044</v>
      </c>
      <c r="AK235" s="123">
        <v>2045</v>
      </c>
      <c r="AL235" s="123">
        <v>2046</v>
      </c>
      <c r="AM235" s="123">
        <v>2047</v>
      </c>
      <c r="AN235" s="123">
        <v>2048</v>
      </c>
      <c r="AO235" s="123">
        <v>2049</v>
      </c>
      <c r="AP235" s="123">
        <v>2050</v>
      </c>
    </row>
    <row r="236" spans="7:42" ht="14.25" customHeight="1" x14ac:dyDescent="0.2">
      <c r="G236" s="138"/>
      <c r="H236" s="380"/>
      <c r="J236" s="367" t="s">
        <v>297</v>
      </c>
      <c r="K236" s="194" t="s">
        <v>348</v>
      </c>
      <c r="L236" s="194" t="s">
        <v>276</v>
      </c>
      <c r="M236" s="220">
        <v>30.3</v>
      </c>
      <c r="N236" s="220">
        <v>29.5668640609017</v>
      </c>
      <c r="O236" s="220">
        <v>28.8337281218035</v>
      </c>
      <c r="P236" s="220">
        <v>28.100592182705299</v>
      </c>
      <c r="Q236" s="220">
        <v>27.367456243606998</v>
      </c>
      <c r="R236" s="220">
        <v>26.634320304508801</v>
      </c>
      <c r="S236" s="220">
        <v>25.9011843654106</v>
      </c>
      <c r="T236" s="220">
        <v>25.168048426312399</v>
      </c>
      <c r="U236" s="220">
        <v>24.434912487214099</v>
      </c>
      <c r="V236" s="220">
        <v>23.701776548115902</v>
      </c>
      <c r="W236" s="220">
        <v>23.2892368740286</v>
      </c>
      <c r="X236" s="220">
        <v>22.876697199941301</v>
      </c>
      <c r="Y236" s="220">
        <v>22.464157525853999</v>
      </c>
      <c r="Z236" s="220">
        <v>22.0516178517667</v>
      </c>
      <c r="AA236" s="220">
        <v>21.639078177679401</v>
      </c>
      <c r="AB236" s="220">
        <v>21.226538503592099</v>
      </c>
      <c r="AC236" s="220">
        <v>20.813998829504801</v>
      </c>
      <c r="AD236" s="220">
        <v>20.401459155417498</v>
      </c>
      <c r="AE236" s="220">
        <v>19.9889194813302</v>
      </c>
      <c r="AF236" s="220">
        <v>19.576379807243001</v>
      </c>
      <c r="AG236" s="220">
        <v>19.163840133155698</v>
      </c>
      <c r="AH236" s="220">
        <v>18.7513004590684</v>
      </c>
      <c r="AI236" s="220">
        <v>18.338760784981101</v>
      </c>
      <c r="AJ236" s="220">
        <v>17.926221110893799</v>
      </c>
      <c r="AK236" s="220">
        <v>17.5136814368065</v>
      </c>
      <c r="AL236" s="220">
        <v>17.101141762719202</v>
      </c>
      <c r="AM236" s="220">
        <v>16.6886020886319</v>
      </c>
      <c r="AN236" s="220">
        <v>16.276062414544601</v>
      </c>
      <c r="AO236" s="220">
        <v>15.8635227404573</v>
      </c>
      <c r="AP236" s="220">
        <v>15.45098306637</v>
      </c>
    </row>
    <row r="237" spans="7:42" ht="14.25" customHeight="1" x14ac:dyDescent="0.2">
      <c r="G237" s="138"/>
      <c r="H237" s="380"/>
      <c r="J237" s="358"/>
      <c r="K237" s="135" t="s">
        <v>348</v>
      </c>
      <c r="L237" s="185" t="s">
        <v>277</v>
      </c>
      <c r="M237" s="221">
        <v>30.3</v>
      </c>
      <c r="N237" s="221">
        <v>29.933333333333302</v>
      </c>
      <c r="O237" s="221">
        <v>29.566666666666599</v>
      </c>
      <c r="P237" s="221">
        <v>29.2</v>
      </c>
      <c r="Q237" s="221">
        <v>28.8333333333333</v>
      </c>
      <c r="R237" s="221">
        <v>28.466666666666601</v>
      </c>
      <c r="S237" s="221">
        <v>28.1</v>
      </c>
      <c r="T237" s="221">
        <v>27.733333333333299</v>
      </c>
      <c r="U237" s="221">
        <v>27.3666666666666</v>
      </c>
      <c r="V237" s="221">
        <v>27</v>
      </c>
      <c r="W237" s="221">
        <v>26.815000000000001</v>
      </c>
      <c r="X237" s="221">
        <v>26.63</v>
      </c>
      <c r="Y237" s="221">
        <v>26.445</v>
      </c>
      <c r="Z237" s="221">
        <v>26.26</v>
      </c>
      <c r="AA237" s="221">
        <v>26.074999999999999</v>
      </c>
      <c r="AB237" s="221">
        <v>25.89</v>
      </c>
      <c r="AC237" s="221">
        <v>25.704999999999998</v>
      </c>
      <c r="AD237" s="221">
        <v>25.52</v>
      </c>
      <c r="AE237" s="221">
        <v>25.335000000000001</v>
      </c>
      <c r="AF237" s="221">
        <v>25.15</v>
      </c>
      <c r="AG237" s="221">
        <v>24.965</v>
      </c>
      <c r="AH237" s="221">
        <v>24.78</v>
      </c>
      <c r="AI237" s="221">
        <v>24.594999999999999</v>
      </c>
      <c r="AJ237" s="221">
        <v>24.41</v>
      </c>
      <c r="AK237" s="221">
        <v>24.225000000000001</v>
      </c>
      <c r="AL237" s="221">
        <v>24.04</v>
      </c>
      <c r="AM237" s="221">
        <v>23.855</v>
      </c>
      <c r="AN237" s="221">
        <v>23.67</v>
      </c>
      <c r="AO237" s="221">
        <v>23.484999999999999</v>
      </c>
      <c r="AP237" s="221">
        <v>23.3</v>
      </c>
    </row>
    <row r="238" spans="7:42" ht="14.25" customHeight="1" thickBot="1" x14ac:dyDescent="0.25">
      <c r="G238" s="138"/>
      <c r="H238" s="380"/>
      <c r="J238" s="358"/>
      <c r="K238" s="196" t="s">
        <v>348</v>
      </c>
      <c r="L238" s="196" t="s">
        <v>278</v>
      </c>
      <c r="M238" s="222">
        <v>30.3</v>
      </c>
      <c r="N238" s="222">
        <v>30.1167160152254</v>
      </c>
      <c r="O238" s="222">
        <v>29.933432030450799</v>
      </c>
      <c r="P238" s="222">
        <v>29.750148045676301</v>
      </c>
      <c r="Q238" s="222">
        <v>29.5668640609017</v>
      </c>
      <c r="R238" s="222">
        <v>29.383580076127199</v>
      </c>
      <c r="S238" s="222">
        <v>29.200296091352602</v>
      </c>
      <c r="T238" s="222">
        <v>29.0170121065781</v>
      </c>
      <c r="U238" s="222">
        <v>28.8337281218035</v>
      </c>
      <c r="V238" s="222">
        <v>28.650444137028899</v>
      </c>
      <c r="W238" s="222">
        <v>28.547309218507099</v>
      </c>
      <c r="X238" s="222">
        <v>28.444174299985299</v>
      </c>
      <c r="Y238" s="222">
        <v>28.341039381463499</v>
      </c>
      <c r="Z238" s="222">
        <v>28.2379044629416</v>
      </c>
      <c r="AA238" s="222">
        <v>28.1347695444198</v>
      </c>
      <c r="AB238" s="222">
        <v>28.031634625898</v>
      </c>
      <c r="AC238" s="222">
        <v>27.928499707376201</v>
      </c>
      <c r="AD238" s="222">
        <v>27.825364788854401</v>
      </c>
      <c r="AE238" s="222">
        <v>27.722229870332502</v>
      </c>
      <c r="AF238" s="222">
        <v>27.619094951810698</v>
      </c>
      <c r="AG238" s="222">
        <v>27.515960033288899</v>
      </c>
      <c r="AH238" s="222">
        <v>27.412825114767099</v>
      </c>
      <c r="AI238" s="222">
        <v>27.309690196245199</v>
      </c>
      <c r="AJ238" s="222">
        <v>27.2065552777234</v>
      </c>
      <c r="AK238" s="222">
        <v>27.1034203592016</v>
      </c>
      <c r="AL238" s="222">
        <v>27.0002854406798</v>
      </c>
      <c r="AM238" s="222">
        <v>26.897150522157901</v>
      </c>
      <c r="AN238" s="222">
        <v>26.794015603636101</v>
      </c>
      <c r="AO238" s="222">
        <v>26.690880685114301</v>
      </c>
      <c r="AP238" s="222">
        <v>26.587745766592501</v>
      </c>
    </row>
    <row r="239" spans="7:42" ht="14.25" customHeight="1" thickTop="1" x14ac:dyDescent="0.2">
      <c r="G239" s="138"/>
      <c r="H239" s="380"/>
      <c r="J239" s="358"/>
      <c r="K239" s="194" t="s">
        <v>351</v>
      </c>
      <c r="L239" s="194" t="s">
        <v>276</v>
      </c>
      <c r="M239" s="223">
        <v>30.3</v>
      </c>
      <c r="N239" s="223">
        <v>29.5668640609017</v>
      </c>
      <c r="O239" s="223">
        <v>28.8337281218035</v>
      </c>
      <c r="P239" s="223">
        <v>28.100592182705299</v>
      </c>
      <c r="Q239" s="223">
        <v>27.367456243606998</v>
      </c>
      <c r="R239" s="223">
        <v>26.634320304508801</v>
      </c>
      <c r="S239" s="223">
        <v>25.9011843654106</v>
      </c>
      <c r="T239" s="223">
        <v>25.168048426312399</v>
      </c>
      <c r="U239" s="223">
        <v>24.434912487214099</v>
      </c>
      <c r="V239" s="223">
        <v>23.701776548115902</v>
      </c>
      <c r="W239" s="223">
        <v>23.2892368740286</v>
      </c>
      <c r="X239" s="223">
        <v>22.876697199941301</v>
      </c>
      <c r="Y239" s="223">
        <v>22.464157525853999</v>
      </c>
      <c r="Z239" s="223">
        <v>22.0516178517667</v>
      </c>
      <c r="AA239" s="223">
        <v>21.639078177679401</v>
      </c>
      <c r="AB239" s="223">
        <v>21.226538503592099</v>
      </c>
      <c r="AC239" s="223">
        <v>20.813998829504801</v>
      </c>
      <c r="AD239" s="223">
        <v>20.401459155417498</v>
      </c>
      <c r="AE239" s="223">
        <v>19.9889194813302</v>
      </c>
      <c r="AF239" s="223">
        <v>19.576379807243001</v>
      </c>
      <c r="AG239" s="223">
        <v>19.163840133155698</v>
      </c>
      <c r="AH239" s="223">
        <v>18.7513004590684</v>
      </c>
      <c r="AI239" s="223">
        <v>18.338760784981101</v>
      </c>
      <c r="AJ239" s="223">
        <v>17.926221110893799</v>
      </c>
      <c r="AK239" s="223">
        <v>17.5136814368065</v>
      </c>
      <c r="AL239" s="223">
        <v>17.101141762719202</v>
      </c>
      <c r="AM239" s="223">
        <v>16.6886020886319</v>
      </c>
      <c r="AN239" s="223">
        <v>16.276062414544601</v>
      </c>
      <c r="AO239" s="223">
        <v>15.8635227404573</v>
      </c>
      <c r="AP239" s="223">
        <v>15.45098306637</v>
      </c>
    </row>
    <row r="240" spans="7:42" ht="14.25" customHeight="1" x14ac:dyDescent="0.2">
      <c r="G240" s="138"/>
      <c r="H240" s="380"/>
      <c r="J240" s="358"/>
      <c r="K240" s="135" t="s">
        <v>351</v>
      </c>
      <c r="L240" s="185" t="s">
        <v>277</v>
      </c>
      <c r="M240" s="221">
        <v>30.3</v>
      </c>
      <c r="N240" s="221">
        <v>29.933333333333302</v>
      </c>
      <c r="O240" s="221">
        <v>29.566666666666599</v>
      </c>
      <c r="P240" s="221">
        <v>29.2</v>
      </c>
      <c r="Q240" s="221">
        <v>28.8333333333333</v>
      </c>
      <c r="R240" s="221">
        <v>28.466666666666601</v>
      </c>
      <c r="S240" s="221">
        <v>28.1</v>
      </c>
      <c r="T240" s="221">
        <v>27.733333333333299</v>
      </c>
      <c r="U240" s="221">
        <v>27.3666666666666</v>
      </c>
      <c r="V240" s="221">
        <v>27</v>
      </c>
      <c r="W240" s="221">
        <v>26.815000000000001</v>
      </c>
      <c r="X240" s="221">
        <v>26.63</v>
      </c>
      <c r="Y240" s="221">
        <v>26.445</v>
      </c>
      <c r="Z240" s="221">
        <v>26.26</v>
      </c>
      <c r="AA240" s="221">
        <v>26.074999999999999</v>
      </c>
      <c r="AB240" s="221">
        <v>25.89</v>
      </c>
      <c r="AC240" s="221">
        <v>25.704999999999998</v>
      </c>
      <c r="AD240" s="221">
        <v>25.52</v>
      </c>
      <c r="AE240" s="221">
        <v>25.335000000000001</v>
      </c>
      <c r="AF240" s="221">
        <v>25.15</v>
      </c>
      <c r="AG240" s="221">
        <v>24.965</v>
      </c>
      <c r="AH240" s="221">
        <v>24.78</v>
      </c>
      <c r="AI240" s="221">
        <v>24.594999999999999</v>
      </c>
      <c r="AJ240" s="221">
        <v>24.41</v>
      </c>
      <c r="AK240" s="221">
        <v>24.225000000000001</v>
      </c>
      <c r="AL240" s="221">
        <v>24.04</v>
      </c>
      <c r="AM240" s="221">
        <v>23.855</v>
      </c>
      <c r="AN240" s="221">
        <v>23.67</v>
      </c>
      <c r="AO240" s="221">
        <v>23.484999999999999</v>
      </c>
      <c r="AP240" s="221">
        <v>23.3</v>
      </c>
    </row>
    <row r="241" spans="7:42" ht="14.25" customHeight="1" thickBot="1" x14ac:dyDescent="0.25">
      <c r="G241" s="138"/>
      <c r="H241" s="380"/>
      <c r="J241" s="358"/>
      <c r="K241" s="196" t="s">
        <v>351</v>
      </c>
      <c r="L241" s="196" t="s">
        <v>278</v>
      </c>
      <c r="M241" s="222">
        <v>30.3</v>
      </c>
      <c r="N241" s="222">
        <v>30.1167160152254</v>
      </c>
      <c r="O241" s="222">
        <v>29.933432030450799</v>
      </c>
      <c r="P241" s="222">
        <v>29.750148045676301</v>
      </c>
      <c r="Q241" s="222">
        <v>29.5668640609017</v>
      </c>
      <c r="R241" s="222">
        <v>29.383580076127199</v>
      </c>
      <c r="S241" s="222">
        <v>29.200296091352602</v>
      </c>
      <c r="T241" s="222">
        <v>29.0170121065781</v>
      </c>
      <c r="U241" s="222">
        <v>28.8337281218035</v>
      </c>
      <c r="V241" s="222">
        <v>28.650444137028899</v>
      </c>
      <c r="W241" s="222">
        <v>28.547309218507099</v>
      </c>
      <c r="X241" s="222">
        <v>28.444174299985299</v>
      </c>
      <c r="Y241" s="222">
        <v>28.341039381463499</v>
      </c>
      <c r="Z241" s="222">
        <v>28.2379044629416</v>
      </c>
      <c r="AA241" s="222">
        <v>28.1347695444198</v>
      </c>
      <c r="AB241" s="222">
        <v>28.031634625898</v>
      </c>
      <c r="AC241" s="222">
        <v>27.928499707376201</v>
      </c>
      <c r="AD241" s="222">
        <v>27.825364788854401</v>
      </c>
      <c r="AE241" s="222">
        <v>27.722229870332502</v>
      </c>
      <c r="AF241" s="222">
        <v>27.619094951810698</v>
      </c>
      <c r="AG241" s="222">
        <v>27.515960033288899</v>
      </c>
      <c r="AH241" s="222">
        <v>27.412825114767099</v>
      </c>
      <c r="AI241" s="222">
        <v>27.309690196245199</v>
      </c>
      <c r="AJ241" s="222">
        <v>27.2065552777234</v>
      </c>
      <c r="AK241" s="222">
        <v>27.1034203592016</v>
      </c>
      <c r="AL241" s="222">
        <v>27.0002854406798</v>
      </c>
      <c r="AM241" s="222">
        <v>26.897150522157901</v>
      </c>
      <c r="AN241" s="222">
        <v>26.794015603636101</v>
      </c>
      <c r="AO241" s="222">
        <v>26.690880685114301</v>
      </c>
      <c r="AP241" s="222">
        <v>26.587745766592501</v>
      </c>
    </row>
    <row r="242" spans="7:42" ht="14.25" customHeight="1" thickTop="1" x14ac:dyDescent="0.2">
      <c r="G242" s="138"/>
      <c r="H242" s="380"/>
      <c r="J242" s="358"/>
      <c r="K242" s="194" t="s">
        <v>353</v>
      </c>
      <c r="L242" s="194" t="s">
        <v>276</v>
      </c>
      <c r="M242" s="223">
        <v>30.3</v>
      </c>
      <c r="N242" s="223">
        <v>29.5668640609017</v>
      </c>
      <c r="O242" s="223">
        <v>28.8337281218035</v>
      </c>
      <c r="P242" s="223">
        <v>28.100592182705299</v>
      </c>
      <c r="Q242" s="223">
        <v>27.367456243606998</v>
      </c>
      <c r="R242" s="223">
        <v>26.634320304508801</v>
      </c>
      <c r="S242" s="223">
        <v>25.9011843654106</v>
      </c>
      <c r="T242" s="223">
        <v>25.168048426312399</v>
      </c>
      <c r="U242" s="223">
        <v>24.434912487214099</v>
      </c>
      <c r="V242" s="223">
        <v>23.701776548115902</v>
      </c>
      <c r="W242" s="223">
        <v>23.2892368740286</v>
      </c>
      <c r="X242" s="223">
        <v>22.876697199941301</v>
      </c>
      <c r="Y242" s="223">
        <v>22.464157525853999</v>
      </c>
      <c r="Z242" s="223">
        <v>22.0516178517667</v>
      </c>
      <c r="AA242" s="223">
        <v>21.639078177679401</v>
      </c>
      <c r="AB242" s="223">
        <v>21.226538503592099</v>
      </c>
      <c r="AC242" s="223">
        <v>20.813998829504801</v>
      </c>
      <c r="AD242" s="223">
        <v>20.401459155417498</v>
      </c>
      <c r="AE242" s="223">
        <v>19.9889194813302</v>
      </c>
      <c r="AF242" s="223">
        <v>19.576379807243001</v>
      </c>
      <c r="AG242" s="223">
        <v>19.163840133155698</v>
      </c>
      <c r="AH242" s="223">
        <v>18.7513004590684</v>
      </c>
      <c r="AI242" s="223">
        <v>18.338760784981101</v>
      </c>
      <c r="AJ242" s="223">
        <v>17.926221110893799</v>
      </c>
      <c r="AK242" s="223">
        <v>17.5136814368065</v>
      </c>
      <c r="AL242" s="223">
        <v>17.101141762719202</v>
      </c>
      <c r="AM242" s="223">
        <v>16.6886020886319</v>
      </c>
      <c r="AN242" s="223">
        <v>16.276062414544601</v>
      </c>
      <c r="AO242" s="223">
        <v>15.8635227404573</v>
      </c>
      <c r="AP242" s="223">
        <v>15.45098306637</v>
      </c>
    </row>
    <row r="243" spans="7:42" ht="14.25" customHeight="1" x14ac:dyDescent="0.2">
      <c r="G243" s="138"/>
      <c r="H243" s="380"/>
      <c r="J243" s="358"/>
      <c r="K243" s="135" t="s">
        <v>353</v>
      </c>
      <c r="L243" s="185" t="s">
        <v>277</v>
      </c>
      <c r="M243" s="221">
        <v>30.3</v>
      </c>
      <c r="N243" s="221">
        <v>29.933333333333302</v>
      </c>
      <c r="O243" s="221">
        <v>29.566666666666599</v>
      </c>
      <c r="P243" s="221">
        <v>29.2</v>
      </c>
      <c r="Q243" s="221">
        <v>28.8333333333333</v>
      </c>
      <c r="R243" s="221">
        <v>28.466666666666601</v>
      </c>
      <c r="S243" s="221">
        <v>28.1</v>
      </c>
      <c r="T243" s="221">
        <v>27.733333333333299</v>
      </c>
      <c r="U243" s="221">
        <v>27.3666666666666</v>
      </c>
      <c r="V243" s="221">
        <v>27</v>
      </c>
      <c r="W243" s="221">
        <v>26.815000000000001</v>
      </c>
      <c r="X243" s="221">
        <v>26.63</v>
      </c>
      <c r="Y243" s="221">
        <v>26.445</v>
      </c>
      <c r="Z243" s="221">
        <v>26.26</v>
      </c>
      <c r="AA243" s="221">
        <v>26.074999999999999</v>
      </c>
      <c r="AB243" s="221">
        <v>25.89</v>
      </c>
      <c r="AC243" s="221">
        <v>25.704999999999998</v>
      </c>
      <c r="AD243" s="221">
        <v>25.52</v>
      </c>
      <c r="AE243" s="221">
        <v>25.335000000000001</v>
      </c>
      <c r="AF243" s="221">
        <v>25.15</v>
      </c>
      <c r="AG243" s="221">
        <v>24.965</v>
      </c>
      <c r="AH243" s="221">
        <v>24.78</v>
      </c>
      <c r="AI243" s="221">
        <v>24.594999999999999</v>
      </c>
      <c r="AJ243" s="221">
        <v>24.41</v>
      </c>
      <c r="AK243" s="221">
        <v>24.225000000000001</v>
      </c>
      <c r="AL243" s="221">
        <v>24.04</v>
      </c>
      <c r="AM243" s="221">
        <v>23.855</v>
      </c>
      <c r="AN243" s="221">
        <v>23.67</v>
      </c>
      <c r="AO243" s="221">
        <v>23.484999999999999</v>
      </c>
      <c r="AP243" s="221">
        <v>23.3</v>
      </c>
    </row>
    <row r="244" spans="7:42" ht="14.25" customHeight="1" thickBot="1" x14ac:dyDescent="0.25">
      <c r="G244" s="138"/>
      <c r="H244" s="380"/>
      <c r="J244" s="358"/>
      <c r="K244" s="196" t="s">
        <v>353</v>
      </c>
      <c r="L244" s="196" t="s">
        <v>278</v>
      </c>
      <c r="M244" s="222">
        <v>30.3</v>
      </c>
      <c r="N244" s="222">
        <v>30.1167160152254</v>
      </c>
      <c r="O244" s="222">
        <v>29.933432030450799</v>
      </c>
      <c r="P244" s="222">
        <v>29.750148045676301</v>
      </c>
      <c r="Q244" s="222">
        <v>29.5668640609017</v>
      </c>
      <c r="R244" s="222">
        <v>29.383580076127199</v>
      </c>
      <c r="S244" s="222">
        <v>29.200296091352602</v>
      </c>
      <c r="T244" s="222">
        <v>29.0170121065781</v>
      </c>
      <c r="U244" s="222">
        <v>28.8337281218035</v>
      </c>
      <c r="V244" s="222">
        <v>28.650444137028899</v>
      </c>
      <c r="W244" s="222">
        <v>28.547309218507099</v>
      </c>
      <c r="X244" s="222">
        <v>28.444174299985299</v>
      </c>
      <c r="Y244" s="222">
        <v>28.341039381463499</v>
      </c>
      <c r="Z244" s="222">
        <v>28.2379044629416</v>
      </c>
      <c r="AA244" s="222">
        <v>28.1347695444198</v>
      </c>
      <c r="AB244" s="222">
        <v>28.031634625898</v>
      </c>
      <c r="AC244" s="222">
        <v>27.928499707376201</v>
      </c>
      <c r="AD244" s="222">
        <v>27.825364788854401</v>
      </c>
      <c r="AE244" s="222">
        <v>27.722229870332502</v>
      </c>
      <c r="AF244" s="222">
        <v>27.619094951810698</v>
      </c>
      <c r="AG244" s="222">
        <v>27.515960033288899</v>
      </c>
      <c r="AH244" s="222">
        <v>27.412825114767099</v>
      </c>
      <c r="AI244" s="222">
        <v>27.309690196245199</v>
      </c>
      <c r="AJ244" s="222">
        <v>27.2065552777234</v>
      </c>
      <c r="AK244" s="222">
        <v>27.1034203592016</v>
      </c>
      <c r="AL244" s="222">
        <v>27.0002854406798</v>
      </c>
      <c r="AM244" s="222">
        <v>26.897150522157901</v>
      </c>
      <c r="AN244" s="222">
        <v>26.794015603636101</v>
      </c>
      <c r="AO244" s="222">
        <v>26.690880685114301</v>
      </c>
      <c r="AP244" s="222">
        <v>26.587745766592501</v>
      </c>
    </row>
    <row r="245" spans="7:42" ht="14.25" customHeight="1" thickTop="1" x14ac:dyDescent="0.2">
      <c r="G245" s="138"/>
      <c r="H245" s="380"/>
      <c r="J245" s="358"/>
      <c r="K245" s="194" t="s">
        <v>355</v>
      </c>
      <c r="L245" s="194" t="s">
        <v>276</v>
      </c>
      <c r="M245" s="223">
        <v>30.3</v>
      </c>
      <c r="N245" s="223">
        <v>29.5668640609017</v>
      </c>
      <c r="O245" s="223">
        <v>28.8337281218035</v>
      </c>
      <c r="P245" s="223">
        <v>28.100592182705299</v>
      </c>
      <c r="Q245" s="223">
        <v>27.367456243606998</v>
      </c>
      <c r="R245" s="223">
        <v>26.634320304508801</v>
      </c>
      <c r="S245" s="223">
        <v>25.9011843654106</v>
      </c>
      <c r="T245" s="223">
        <v>25.168048426312399</v>
      </c>
      <c r="U245" s="223">
        <v>24.434912487214099</v>
      </c>
      <c r="V245" s="223">
        <v>23.701776548115902</v>
      </c>
      <c r="W245" s="223">
        <v>23.2892368740286</v>
      </c>
      <c r="X245" s="223">
        <v>22.876697199941301</v>
      </c>
      <c r="Y245" s="223">
        <v>22.464157525853999</v>
      </c>
      <c r="Z245" s="223">
        <v>22.0516178517667</v>
      </c>
      <c r="AA245" s="223">
        <v>21.639078177679401</v>
      </c>
      <c r="AB245" s="223">
        <v>21.226538503592099</v>
      </c>
      <c r="AC245" s="223">
        <v>20.813998829504801</v>
      </c>
      <c r="AD245" s="223">
        <v>20.401459155417498</v>
      </c>
      <c r="AE245" s="223">
        <v>19.9889194813302</v>
      </c>
      <c r="AF245" s="223">
        <v>19.576379807243001</v>
      </c>
      <c r="AG245" s="223">
        <v>19.163840133155698</v>
      </c>
      <c r="AH245" s="223">
        <v>18.7513004590684</v>
      </c>
      <c r="AI245" s="223">
        <v>18.338760784981101</v>
      </c>
      <c r="AJ245" s="223">
        <v>17.926221110893799</v>
      </c>
      <c r="AK245" s="223">
        <v>17.5136814368065</v>
      </c>
      <c r="AL245" s="223">
        <v>17.101141762719202</v>
      </c>
      <c r="AM245" s="223">
        <v>16.6886020886319</v>
      </c>
      <c r="AN245" s="223">
        <v>16.276062414544601</v>
      </c>
      <c r="AO245" s="223">
        <v>15.8635227404573</v>
      </c>
      <c r="AP245" s="223">
        <v>15.45098306637</v>
      </c>
    </row>
    <row r="246" spans="7:42" ht="14.25" customHeight="1" x14ac:dyDescent="0.2">
      <c r="G246" s="138"/>
      <c r="H246" s="380"/>
      <c r="J246" s="358"/>
      <c r="K246" s="135" t="s">
        <v>355</v>
      </c>
      <c r="L246" s="185" t="s">
        <v>277</v>
      </c>
      <c r="M246" s="221">
        <v>30.3</v>
      </c>
      <c r="N246" s="221">
        <v>29.933333333333302</v>
      </c>
      <c r="O246" s="221">
        <v>29.566666666666599</v>
      </c>
      <c r="P246" s="221">
        <v>29.2</v>
      </c>
      <c r="Q246" s="221">
        <v>28.8333333333333</v>
      </c>
      <c r="R246" s="221">
        <v>28.466666666666601</v>
      </c>
      <c r="S246" s="221">
        <v>28.1</v>
      </c>
      <c r="T246" s="221">
        <v>27.733333333333299</v>
      </c>
      <c r="U246" s="221">
        <v>27.3666666666666</v>
      </c>
      <c r="V246" s="221">
        <v>27</v>
      </c>
      <c r="W246" s="221">
        <v>26.815000000000001</v>
      </c>
      <c r="X246" s="221">
        <v>26.63</v>
      </c>
      <c r="Y246" s="221">
        <v>26.445</v>
      </c>
      <c r="Z246" s="221">
        <v>26.26</v>
      </c>
      <c r="AA246" s="221">
        <v>26.074999999999999</v>
      </c>
      <c r="AB246" s="221">
        <v>25.89</v>
      </c>
      <c r="AC246" s="221">
        <v>25.704999999999998</v>
      </c>
      <c r="AD246" s="221">
        <v>25.52</v>
      </c>
      <c r="AE246" s="221">
        <v>25.335000000000001</v>
      </c>
      <c r="AF246" s="221">
        <v>25.15</v>
      </c>
      <c r="AG246" s="221">
        <v>24.965</v>
      </c>
      <c r="AH246" s="221">
        <v>24.78</v>
      </c>
      <c r="AI246" s="221">
        <v>24.594999999999999</v>
      </c>
      <c r="AJ246" s="221">
        <v>24.41</v>
      </c>
      <c r="AK246" s="221">
        <v>24.225000000000001</v>
      </c>
      <c r="AL246" s="221">
        <v>24.04</v>
      </c>
      <c r="AM246" s="221">
        <v>23.855</v>
      </c>
      <c r="AN246" s="221">
        <v>23.67</v>
      </c>
      <c r="AO246" s="221">
        <v>23.484999999999999</v>
      </c>
      <c r="AP246" s="221">
        <v>23.3</v>
      </c>
    </row>
    <row r="247" spans="7:42" ht="14.25" customHeight="1" thickBot="1" x14ac:dyDescent="0.25">
      <c r="G247" s="138"/>
      <c r="H247" s="380"/>
      <c r="J247" s="358"/>
      <c r="K247" s="196" t="s">
        <v>355</v>
      </c>
      <c r="L247" s="196" t="s">
        <v>278</v>
      </c>
      <c r="M247" s="222">
        <v>30.3</v>
      </c>
      <c r="N247" s="222">
        <v>30.1167160152254</v>
      </c>
      <c r="O247" s="222">
        <v>29.933432030450799</v>
      </c>
      <c r="P247" s="222">
        <v>29.750148045676301</v>
      </c>
      <c r="Q247" s="222">
        <v>29.5668640609017</v>
      </c>
      <c r="R247" s="222">
        <v>29.383580076127199</v>
      </c>
      <c r="S247" s="222">
        <v>29.200296091352602</v>
      </c>
      <c r="T247" s="222">
        <v>29.0170121065781</v>
      </c>
      <c r="U247" s="222">
        <v>28.8337281218035</v>
      </c>
      <c r="V247" s="222">
        <v>28.650444137028899</v>
      </c>
      <c r="W247" s="222">
        <v>28.547309218507099</v>
      </c>
      <c r="X247" s="222">
        <v>28.444174299985299</v>
      </c>
      <c r="Y247" s="222">
        <v>28.341039381463499</v>
      </c>
      <c r="Z247" s="222">
        <v>28.2379044629416</v>
      </c>
      <c r="AA247" s="222">
        <v>28.1347695444198</v>
      </c>
      <c r="AB247" s="222">
        <v>28.031634625898</v>
      </c>
      <c r="AC247" s="222">
        <v>27.928499707376201</v>
      </c>
      <c r="AD247" s="222">
        <v>27.825364788854401</v>
      </c>
      <c r="AE247" s="222">
        <v>27.722229870332502</v>
      </c>
      <c r="AF247" s="222">
        <v>27.619094951810698</v>
      </c>
      <c r="AG247" s="222">
        <v>27.515960033288899</v>
      </c>
      <c r="AH247" s="222">
        <v>27.412825114767099</v>
      </c>
      <c r="AI247" s="222">
        <v>27.309690196245199</v>
      </c>
      <c r="AJ247" s="222">
        <v>27.2065552777234</v>
      </c>
      <c r="AK247" s="222">
        <v>27.1034203592016</v>
      </c>
      <c r="AL247" s="222">
        <v>27.0002854406798</v>
      </c>
      <c r="AM247" s="222">
        <v>26.897150522157901</v>
      </c>
      <c r="AN247" s="222">
        <v>26.794015603636101</v>
      </c>
      <c r="AO247" s="222">
        <v>26.690880685114301</v>
      </c>
      <c r="AP247" s="222">
        <v>26.587745766592501</v>
      </c>
    </row>
    <row r="248" spans="7:42" ht="14.25" customHeight="1" thickTop="1" x14ac:dyDescent="0.2">
      <c r="G248" s="138"/>
      <c r="H248" s="380"/>
      <c r="J248" s="358"/>
      <c r="K248" s="194" t="s">
        <v>357</v>
      </c>
      <c r="L248" s="194" t="s">
        <v>276</v>
      </c>
      <c r="M248" s="223">
        <v>30.3</v>
      </c>
      <c r="N248" s="223">
        <v>29.5668640609017</v>
      </c>
      <c r="O248" s="223">
        <v>28.8337281218035</v>
      </c>
      <c r="P248" s="223">
        <v>28.100592182705299</v>
      </c>
      <c r="Q248" s="223">
        <v>27.367456243606998</v>
      </c>
      <c r="R248" s="223">
        <v>26.634320304508801</v>
      </c>
      <c r="S248" s="223">
        <v>25.9011843654106</v>
      </c>
      <c r="T248" s="223">
        <v>25.168048426312399</v>
      </c>
      <c r="U248" s="223">
        <v>24.434912487214099</v>
      </c>
      <c r="V248" s="223">
        <v>23.701776548115902</v>
      </c>
      <c r="W248" s="223">
        <v>23.2892368740286</v>
      </c>
      <c r="X248" s="223">
        <v>22.876697199941301</v>
      </c>
      <c r="Y248" s="223">
        <v>22.464157525853999</v>
      </c>
      <c r="Z248" s="223">
        <v>22.0516178517667</v>
      </c>
      <c r="AA248" s="223">
        <v>21.639078177679401</v>
      </c>
      <c r="AB248" s="223">
        <v>21.226538503592099</v>
      </c>
      <c r="AC248" s="223">
        <v>20.813998829504801</v>
      </c>
      <c r="AD248" s="223">
        <v>20.401459155417498</v>
      </c>
      <c r="AE248" s="223">
        <v>19.9889194813302</v>
      </c>
      <c r="AF248" s="223">
        <v>19.576379807243001</v>
      </c>
      <c r="AG248" s="223">
        <v>19.163840133155698</v>
      </c>
      <c r="AH248" s="223">
        <v>18.7513004590684</v>
      </c>
      <c r="AI248" s="223">
        <v>18.338760784981101</v>
      </c>
      <c r="AJ248" s="223">
        <v>17.926221110893799</v>
      </c>
      <c r="AK248" s="223">
        <v>17.5136814368065</v>
      </c>
      <c r="AL248" s="223">
        <v>17.101141762719202</v>
      </c>
      <c r="AM248" s="223">
        <v>16.6886020886319</v>
      </c>
      <c r="AN248" s="223">
        <v>16.276062414544601</v>
      </c>
      <c r="AO248" s="223">
        <v>15.8635227404573</v>
      </c>
      <c r="AP248" s="223">
        <v>15.45098306637</v>
      </c>
    </row>
    <row r="249" spans="7:42" ht="14.25" customHeight="1" x14ac:dyDescent="0.2">
      <c r="G249" s="138"/>
      <c r="H249" s="380"/>
      <c r="J249" s="358"/>
      <c r="K249" s="135" t="s">
        <v>357</v>
      </c>
      <c r="L249" s="185" t="s">
        <v>277</v>
      </c>
      <c r="M249" s="221">
        <v>30.3</v>
      </c>
      <c r="N249" s="221">
        <v>29.933333333333302</v>
      </c>
      <c r="O249" s="221">
        <v>29.566666666666599</v>
      </c>
      <c r="P249" s="221">
        <v>29.2</v>
      </c>
      <c r="Q249" s="221">
        <v>28.8333333333333</v>
      </c>
      <c r="R249" s="221">
        <v>28.466666666666601</v>
      </c>
      <c r="S249" s="221">
        <v>28.1</v>
      </c>
      <c r="T249" s="221">
        <v>27.733333333333299</v>
      </c>
      <c r="U249" s="221">
        <v>27.3666666666666</v>
      </c>
      <c r="V249" s="221">
        <v>27</v>
      </c>
      <c r="W249" s="221">
        <v>26.815000000000001</v>
      </c>
      <c r="X249" s="221">
        <v>26.63</v>
      </c>
      <c r="Y249" s="221">
        <v>26.445</v>
      </c>
      <c r="Z249" s="221">
        <v>26.26</v>
      </c>
      <c r="AA249" s="221">
        <v>26.074999999999999</v>
      </c>
      <c r="AB249" s="221">
        <v>25.89</v>
      </c>
      <c r="AC249" s="221">
        <v>25.704999999999998</v>
      </c>
      <c r="AD249" s="221">
        <v>25.52</v>
      </c>
      <c r="AE249" s="221">
        <v>25.335000000000001</v>
      </c>
      <c r="AF249" s="221">
        <v>25.15</v>
      </c>
      <c r="AG249" s="221">
        <v>24.965</v>
      </c>
      <c r="AH249" s="221">
        <v>24.78</v>
      </c>
      <c r="AI249" s="221">
        <v>24.594999999999999</v>
      </c>
      <c r="AJ249" s="221">
        <v>24.41</v>
      </c>
      <c r="AK249" s="221">
        <v>24.225000000000001</v>
      </c>
      <c r="AL249" s="221">
        <v>24.04</v>
      </c>
      <c r="AM249" s="221">
        <v>23.855</v>
      </c>
      <c r="AN249" s="221">
        <v>23.67</v>
      </c>
      <c r="AO249" s="221">
        <v>23.484999999999999</v>
      </c>
      <c r="AP249" s="221">
        <v>23.3</v>
      </c>
    </row>
    <row r="250" spans="7:42" ht="14.25" customHeight="1" thickBot="1" x14ac:dyDescent="0.25">
      <c r="G250" s="138"/>
      <c r="H250" s="380"/>
      <c r="J250" s="358"/>
      <c r="K250" s="196" t="s">
        <v>357</v>
      </c>
      <c r="L250" s="196" t="s">
        <v>278</v>
      </c>
      <c r="M250" s="222">
        <v>30.3</v>
      </c>
      <c r="N250" s="222">
        <v>30.1167160152254</v>
      </c>
      <c r="O250" s="222">
        <v>29.933432030450799</v>
      </c>
      <c r="P250" s="222">
        <v>29.750148045676301</v>
      </c>
      <c r="Q250" s="222">
        <v>29.5668640609017</v>
      </c>
      <c r="R250" s="222">
        <v>29.383580076127199</v>
      </c>
      <c r="S250" s="222">
        <v>29.200296091352602</v>
      </c>
      <c r="T250" s="222">
        <v>29.0170121065781</v>
      </c>
      <c r="U250" s="222">
        <v>28.8337281218035</v>
      </c>
      <c r="V250" s="222">
        <v>28.650444137028899</v>
      </c>
      <c r="W250" s="222">
        <v>28.547309218507099</v>
      </c>
      <c r="X250" s="222">
        <v>28.444174299985299</v>
      </c>
      <c r="Y250" s="222">
        <v>28.341039381463499</v>
      </c>
      <c r="Z250" s="222">
        <v>28.2379044629416</v>
      </c>
      <c r="AA250" s="222">
        <v>28.1347695444198</v>
      </c>
      <c r="AB250" s="222">
        <v>28.031634625898</v>
      </c>
      <c r="AC250" s="222">
        <v>27.928499707376201</v>
      </c>
      <c r="AD250" s="222">
        <v>27.825364788854401</v>
      </c>
      <c r="AE250" s="222">
        <v>27.722229870332502</v>
      </c>
      <c r="AF250" s="222">
        <v>27.619094951810698</v>
      </c>
      <c r="AG250" s="222">
        <v>27.515960033288899</v>
      </c>
      <c r="AH250" s="222">
        <v>27.412825114767099</v>
      </c>
      <c r="AI250" s="222">
        <v>27.309690196245199</v>
      </c>
      <c r="AJ250" s="222">
        <v>27.2065552777234</v>
      </c>
      <c r="AK250" s="222">
        <v>27.1034203592016</v>
      </c>
      <c r="AL250" s="222">
        <v>27.0002854406798</v>
      </c>
      <c r="AM250" s="222">
        <v>26.897150522157901</v>
      </c>
      <c r="AN250" s="222">
        <v>26.794015603636101</v>
      </c>
      <c r="AO250" s="222">
        <v>26.690880685114301</v>
      </c>
      <c r="AP250" s="222">
        <v>26.587745766592501</v>
      </c>
    </row>
    <row r="251" spans="7:42" ht="14.25" customHeight="1" thickTop="1" x14ac:dyDescent="0.2">
      <c r="G251" s="138"/>
      <c r="H251" s="380"/>
      <c r="J251" s="358"/>
      <c r="K251" s="194" t="s">
        <v>359</v>
      </c>
      <c r="L251" s="194" t="s">
        <v>276</v>
      </c>
      <c r="M251" s="223">
        <v>30.3</v>
      </c>
      <c r="N251" s="223">
        <v>29.5668640609017</v>
      </c>
      <c r="O251" s="223">
        <v>28.8337281218035</v>
      </c>
      <c r="P251" s="223">
        <v>28.100592182705299</v>
      </c>
      <c r="Q251" s="223">
        <v>27.367456243606998</v>
      </c>
      <c r="R251" s="223">
        <v>26.634320304508801</v>
      </c>
      <c r="S251" s="223">
        <v>25.9011843654106</v>
      </c>
      <c r="T251" s="223">
        <v>25.168048426312399</v>
      </c>
      <c r="U251" s="223">
        <v>24.434912487214099</v>
      </c>
      <c r="V251" s="223">
        <v>23.701776548115902</v>
      </c>
      <c r="W251" s="223">
        <v>23.2892368740286</v>
      </c>
      <c r="X251" s="223">
        <v>22.876697199941301</v>
      </c>
      <c r="Y251" s="223">
        <v>22.464157525853999</v>
      </c>
      <c r="Z251" s="223">
        <v>22.0516178517667</v>
      </c>
      <c r="AA251" s="223">
        <v>21.639078177679401</v>
      </c>
      <c r="AB251" s="223">
        <v>21.226538503592099</v>
      </c>
      <c r="AC251" s="223">
        <v>20.813998829504801</v>
      </c>
      <c r="AD251" s="223">
        <v>20.401459155417498</v>
      </c>
      <c r="AE251" s="223">
        <v>19.9889194813302</v>
      </c>
      <c r="AF251" s="223">
        <v>19.576379807243001</v>
      </c>
      <c r="AG251" s="223">
        <v>19.163840133155698</v>
      </c>
      <c r="AH251" s="223">
        <v>18.7513004590684</v>
      </c>
      <c r="AI251" s="223">
        <v>18.338760784981101</v>
      </c>
      <c r="AJ251" s="223">
        <v>17.926221110893799</v>
      </c>
      <c r="AK251" s="223">
        <v>17.5136814368065</v>
      </c>
      <c r="AL251" s="223">
        <v>17.101141762719202</v>
      </c>
      <c r="AM251" s="223">
        <v>16.6886020886319</v>
      </c>
      <c r="AN251" s="223">
        <v>16.276062414544601</v>
      </c>
      <c r="AO251" s="223">
        <v>15.8635227404573</v>
      </c>
      <c r="AP251" s="223">
        <v>15.45098306637</v>
      </c>
    </row>
    <row r="252" spans="7:42" ht="14.25" customHeight="1" x14ac:dyDescent="0.2">
      <c r="G252" s="138"/>
      <c r="H252" s="380"/>
      <c r="J252" s="358"/>
      <c r="K252" s="135" t="s">
        <v>359</v>
      </c>
      <c r="L252" s="185" t="s">
        <v>277</v>
      </c>
      <c r="M252" s="221">
        <v>30.3</v>
      </c>
      <c r="N252" s="221">
        <v>29.933333333333302</v>
      </c>
      <c r="O252" s="221">
        <v>29.566666666666599</v>
      </c>
      <c r="P252" s="221">
        <v>29.2</v>
      </c>
      <c r="Q252" s="221">
        <v>28.8333333333333</v>
      </c>
      <c r="R252" s="221">
        <v>28.466666666666601</v>
      </c>
      <c r="S252" s="221">
        <v>28.1</v>
      </c>
      <c r="T252" s="221">
        <v>27.733333333333299</v>
      </c>
      <c r="U252" s="221">
        <v>27.3666666666666</v>
      </c>
      <c r="V252" s="221">
        <v>27</v>
      </c>
      <c r="W252" s="221">
        <v>26.815000000000001</v>
      </c>
      <c r="X252" s="221">
        <v>26.63</v>
      </c>
      <c r="Y252" s="221">
        <v>26.445</v>
      </c>
      <c r="Z252" s="221">
        <v>26.26</v>
      </c>
      <c r="AA252" s="221">
        <v>26.074999999999999</v>
      </c>
      <c r="AB252" s="221">
        <v>25.89</v>
      </c>
      <c r="AC252" s="221">
        <v>25.704999999999998</v>
      </c>
      <c r="AD252" s="221">
        <v>25.52</v>
      </c>
      <c r="AE252" s="221">
        <v>25.335000000000001</v>
      </c>
      <c r="AF252" s="221">
        <v>25.15</v>
      </c>
      <c r="AG252" s="221">
        <v>24.965</v>
      </c>
      <c r="AH252" s="221">
        <v>24.78</v>
      </c>
      <c r="AI252" s="221">
        <v>24.594999999999999</v>
      </c>
      <c r="AJ252" s="221">
        <v>24.41</v>
      </c>
      <c r="AK252" s="221">
        <v>24.225000000000001</v>
      </c>
      <c r="AL252" s="221">
        <v>24.04</v>
      </c>
      <c r="AM252" s="221">
        <v>23.855</v>
      </c>
      <c r="AN252" s="221">
        <v>23.67</v>
      </c>
      <c r="AO252" s="221">
        <v>23.484999999999999</v>
      </c>
      <c r="AP252" s="221">
        <v>23.3</v>
      </c>
    </row>
    <row r="253" spans="7:42" ht="14.25" customHeight="1" thickBot="1" x14ac:dyDescent="0.25">
      <c r="G253" s="138"/>
      <c r="H253" s="380"/>
      <c r="J253" s="358"/>
      <c r="K253" s="196" t="s">
        <v>359</v>
      </c>
      <c r="L253" s="196" t="s">
        <v>278</v>
      </c>
      <c r="M253" s="222">
        <v>30.3</v>
      </c>
      <c r="N253" s="222">
        <v>30.1167160152254</v>
      </c>
      <c r="O253" s="222">
        <v>29.933432030450799</v>
      </c>
      <c r="P253" s="222">
        <v>29.750148045676301</v>
      </c>
      <c r="Q253" s="222">
        <v>29.5668640609017</v>
      </c>
      <c r="R253" s="222">
        <v>29.383580076127199</v>
      </c>
      <c r="S253" s="222">
        <v>29.200296091352602</v>
      </c>
      <c r="T253" s="222">
        <v>29.0170121065781</v>
      </c>
      <c r="U253" s="222">
        <v>28.8337281218035</v>
      </c>
      <c r="V253" s="222">
        <v>28.650444137028899</v>
      </c>
      <c r="W253" s="222">
        <v>28.547309218507099</v>
      </c>
      <c r="X253" s="222">
        <v>28.444174299985299</v>
      </c>
      <c r="Y253" s="222">
        <v>28.341039381463499</v>
      </c>
      <c r="Z253" s="222">
        <v>28.2379044629416</v>
      </c>
      <c r="AA253" s="222">
        <v>28.1347695444198</v>
      </c>
      <c r="AB253" s="222">
        <v>28.031634625898</v>
      </c>
      <c r="AC253" s="222">
        <v>27.928499707376201</v>
      </c>
      <c r="AD253" s="222">
        <v>27.825364788854401</v>
      </c>
      <c r="AE253" s="222">
        <v>27.722229870332502</v>
      </c>
      <c r="AF253" s="222">
        <v>27.619094951810698</v>
      </c>
      <c r="AG253" s="222">
        <v>27.515960033288899</v>
      </c>
      <c r="AH253" s="222">
        <v>27.412825114767099</v>
      </c>
      <c r="AI253" s="222">
        <v>27.309690196245199</v>
      </c>
      <c r="AJ253" s="222">
        <v>27.2065552777234</v>
      </c>
      <c r="AK253" s="222">
        <v>27.1034203592016</v>
      </c>
      <c r="AL253" s="222">
        <v>27.0002854406798</v>
      </c>
      <c r="AM253" s="222">
        <v>26.897150522157901</v>
      </c>
      <c r="AN253" s="222">
        <v>26.794015603636101</v>
      </c>
      <c r="AO253" s="222">
        <v>26.690880685114301</v>
      </c>
      <c r="AP253" s="222">
        <v>26.587745766592501</v>
      </c>
    </row>
    <row r="254" spans="7:42" ht="14.25" customHeight="1" thickTop="1" x14ac:dyDescent="0.2">
      <c r="G254" s="138"/>
      <c r="H254" s="380"/>
      <c r="J254" s="358"/>
      <c r="K254" s="194" t="s">
        <v>361</v>
      </c>
      <c r="L254" s="194" t="s">
        <v>276</v>
      </c>
      <c r="M254" s="223">
        <v>30.3</v>
      </c>
      <c r="N254" s="223">
        <v>29.5668640609017</v>
      </c>
      <c r="O254" s="223">
        <v>28.8337281218035</v>
      </c>
      <c r="P254" s="223">
        <v>28.100592182705299</v>
      </c>
      <c r="Q254" s="223">
        <v>27.367456243606998</v>
      </c>
      <c r="R254" s="223">
        <v>26.634320304508801</v>
      </c>
      <c r="S254" s="223">
        <v>25.9011843654106</v>
      </c>
      <c r="T254" s="223">
        <v>25.168048426312399</v>
      </c>
      <c r="U254" s="223">
        <v>24.434912487214099</v>
      </c>
      <c r="V254" s="223">
        <v>23.701776548115902</v>
      </c>
      <c r="W254" s="223">
        <v>23.2892368740286</v>
      </c>
      <c r="X254" s="223">
        <v>22.876697199941301</v>
      </c>
      <c r="Y254" s="223">
        <v>22.464157525853999</v>
      </c>
      <c r="Z254" s="223">
        <v>22.0516178517667</v>
      </c>
      <c r="AA254" s="223">
        <v>21.639078177679401</v>
      </c>
      <c r="AB254" s="223">
        <v>21.226538503592099</v>
      </c>
      <c r="AC254" s="223">
        <v>20.813998829504801</v>
      </c>
      <c r="AD254" s="223">
        <v>20.401459155417498</v>
      </c>
      <c r="AE254" s="223">
        <v>19.9889194813302</v>
      </c>
      <c r="AF254" s="223">
        <v>19.576379807243001</v>
      </c>
      <c r="AG254" s="223">
        <v>19.163840133155698</v>
      </c>
      <c r="AH254" s="223">
        <v>18.7513004590684</v>
      </c>
      <c r="AI254" s="223">
        <v>18.338760784981101</v>
      </c>
      <c r="AJ254" s="223">
        <v>17.926221110893799</v>
      </c>
      <c r="AK254" s="223">
        <v>17.5136814368065</v>
      </c>
      <c r="AL254" s="223">
        <v>17.101141762719202</v>
      </c>
      <c r="AM254" s="223">
        <v>16.6886020886319</v>
      </c>
      <c r="AN254" s="223">
        <v>16.276062414544601</v>
      </c>
      <c r="AO254" s="223">
        <v>15.8635227404573</v>
      </c>
      <c r="AP254" s="223">
        <v>15.45098306637</v>
      </c>
    </row>
    <row r="255" spans="7:42" ht="14.25" customHeight="1" x14ac:dyDescent="0.2">
      <c r="G255" s="138"/>
      <c r="H255" s="380"/>
      <c r="J255" s="358"/>
      <c r="K255" s="135" t="s">
        <v>361</v>
      </c>
      <c r="L255" s="185" t="s">
        <v>277</v>
      </c>
      <c r="M255" s="221">
        <v>30.3</v>
      </c>
      <c r="N255" s="221">
        <v>29.933333333333302</v>
      </c>
      <c r="O255" s="221">
        <v>29.566666666666599</v>
      </c>
      <c r="P255" s="221">
        <v>29.2</v>
      </c>
      <c r="Q255" s="221">
        <v>28.8333333333333</v>
      </c>
      <c r="R255" s="221">
        <v>28.466666666666601</v>
      </c>
      <c r="S255" s="221">
        <v>28.1</v>
      </c>
      <c r="T255" s="221">
        <v>27.733333333333299</v>
      </c>
      <c r="U255" s="221">
        <v>27.3666666666666</v>
      </c>
      <c r="V255" s="221">
        <v>27</v>
      </c>
      <c r="W255" s="221">
        <v>26.815000000000001</v>
      </c>
      <c r="X255" s="221">
        <v>26.63</v>
      </c>
      <c r="Y255" s="221">
        <v>26.445</v>
      </c>
      <c r="Z255" s="221">
        <v>26.26</v>
      </c>
      <c r="AA255" s="221">
        <v>26.074999999999999</v>
      </c>
      <c r="AB255" s="221">
        <v>25.89</v>
      </c>
      <c r="AC255" s="221">
        <v>25.704999999999998</v>
      </c>
      <c r="AD255" s="221">
        <v>25.52</v>
      </c>
      <c r="AE255" s="221">
        <v>25.335000000000001</v>
      </c>
      <c r="AF255" s="221">
        <v>25.15</v>
      </c>
      <c r="AG255" s="221">
        <v>24.965</v>
      </c>
      <c r="AH255" s="221">
        <v>24.78</v>
      </c>
      <c r="AI255" s="221">
        <v>24.594999999999999</v>
      </c>
      <c r="AJ255" s="221">
        <v>24.41</v>
      </c>
      <c r="AK255" s="221">
        <v>24.225000000000001</v>
      </c>
      <c r="AL255" s="221">
        <v>24.04</v>
      </c>
      <c r="AM255" s="221">
        <v>23.855</v>
      </c>
      <c r="AN255" s="221">
        <v>23.67</v>
      </c>
      <c r="AO255" s="221">
        <v>23.484999999999999</v>
      </c>
      <c r="AP255" s="221">
        <v>23.3</v>
      </c>
    </row>
    <row r="256" spans="7:42" ht="14.25" customHeight="1" thickBot="1" x14ac:dyDescent="0.25">
      <c r="G256" s="138"/>
      <c r="H256" s="380"/>
      <c r="J256" s="358"/>
      <c r="K256" s="196" t="s">
        <v>361</v>
      </c>
      <c r="L256" s="196" t="s">
        <v>278</v>
      </c>
      <c r="M256" s="222">
        <v>30.3</v>
      </c>
      <c r="N256" s="222">
        <v>30.1167160152254</v>
      </c>
      <c r="O256" s="222">
        <v>29.933432030450799</v>
      </c>
      <c r="P256" s="222">
        <v>29.750148045676301</v>
      </c>
      <c r="Q256" s="222">
        <v>29.5668640609017</v>
      </c>
      <c r="R256" s="222">
        <v>29.383580076127199</v>
      </c>
      <c r="S256" s="222">
        <v>29.200296091352602</v>
      </c>
      <c r="T256" s="222">
        <v>29.0170121065781</v>
      </c>
      <c r="U256" s="222">
        <v>28.8337281218035</v>
      </c>
      <c r="V256" s="222">
        <v>28.650444137028899</v>
      </c>
      <c r="W256" s="222">
        <v>28.547309218507099</v>
      </c>
      <c r="X256" s="222">
        <v>28.444174299985299</v>
      </c>
      <c r="Y256" s="222">
        <v>28.341039381463499</v>
      </c>
      <c r="Z256" s="222">
        <v>28.2379044629416</v>
      </c>
      <c r="AA256" s="222">
        <v>28.1347695444198</v>
      </c>
      <c r="AB256" s="222">
        <v>28.031634625898</v>
      </c>
      <c r="AC256" s="222">
        <v>27.928499707376201</v>
      </c>
      <c r="AD256" s="222">
        <v>27.825364788854401</v>
      </c>
      <c r="AE256" s="222">
        <v>27.722229870332502</v>
      </c>
      <c r="AF256" s="222">
        <v>27.619094951810698</v>
      </c>
      <c r="AG256" s="222">
        <v>27.515960033288899</v>
      </c>
      <c r="AH256" s="222">
        <v>27.412825114767099</v>
      </c>
      <c r="AI256" s="222">
        <v>27.309690196245199</v>
      </c>
      <c r="AJ256" s="222">
        <v>27.2065552777234</v>
      </c>
      <c r="AK256" s="222">
        <v>27.1034203592016</v>
      </c>
      <c r="AL256" s="222">
        <v>27.0002854406798</v>
      </c>
      <c r="AM256" s="222">
        <v>26.897150522157901</v>
      </c>
      <c r="AN256" s="222">
        <v>26.794015603636101</v>
      </c>
      <c r="AO256" s="222">
        <v>26.690880685114301</v>
      </c>
      <c r="AP256" s="222">
        <v>26.587745766592501</v>
      </c>
    </row>
    <row r="257" spans="7:42" ht="14.25" customHeight="1" thickTop="1" x14ac:dyDescent="0.2">
      <c r="G257" s="138"/>
      <c r="H257" s="380"/>
      <c r="J257" s="358"/>
      <c r="K257" s="194" t="s">
        <v>363</v>
      </c>
      <c r="L257" s="194" t="s">
        <v>276</v>
      </c>
      <c r="M257" s="223">
        <v>28.5</v>
      </c>
      <c r="N257" s="223">
        <v>27.8104166909472</v>
      </c>
      <c r="O257" s="223">
        <v>27.1208333818944</v>
      </c>
      <c r="P257" s="223">
        <v>26.4312500728416</v>
      </c>
      <c r="Q257" s="223">
        <v>25.7416667637888</v>
      </c>
      <c r="R257" s="223">
        <v>25.052083454736</v>
      </c>
      <c r="S257" s="223">
        <v>24.3625001456832</v>
      </c>
      <c r="T257" s="223">
        <v>23.672916836630399</v>
      </c>
      <c r="U257" s="223">
        <v>22.983333527577699</v>
      </c>
      <c r="V257" s="223">
        <v>22.293750218524899</v>
      </c>
      <c r="W257" s="223">
        <v>21.905717851809101</v>
      </c>
      <c r="X257" s="223">
        <v>21.517685485093299</v>
      </c>
      <c r="Y257" s="223">
        <v>21.129653118377501</v>
      </c>
      <c r="Z257" s="223">
        <v>20.741620751661799</v>
      </c>
      <c r="AA257" s="223">
        <v>20.353588384946001</v>
      </c>
      <c r="AB257" s="223">
        <v>19.965556018230199</v>
      </c>
      <c r="AC257" s="223">
        <v>19.577523651514401</v>
      </c>
      <c r="AD257" s="223">
        <v>19.189491284798699</v>
      </c>
      <c r="AE257" s="223">
        <v>18.801458918082901</v>
      </c>
      <c r="AF257" s="223">
        <v>18.413426551367099</v>
      </c>
      <c r="AG257" s="223">
        <v>18.0253941846514</v>
      </c>
      <c r="AH257" s="223">
        <v>17.637361817935599</v>
      </c>
      <c r="AI257" s="223">
        <v>17.249329451219801</v>
      </c>
      <c r="AJ257" s="223">
        <v>16.861297084503999</v>
      </c>
      <c r="AK257" s="223">
        <v>16.4732647177883</v>
      </c>
      <c r="AL257" s="223">
        <v>16.085232351072499</v>
      </c>
      <c r="AM257" s="223">
        <v>15.6971999843567</v>
      </c>
      <c r="AN257" s="223">
        <v>15.309167617640901</v>
      </c>
      <c r="AO257" s="223">
        <v>14.9211352509252</v>
      </c>
      <c r="AP257" s="223">
        <v>14.5331028842094</v>
      </c>
    </row>
    <row r="258" spans="7:42" ht="14.25" customHeight="1" x14ac:dyDescent="0.2">
      <c r="G258" s="138"/>
      <c r="H258" s="380"/>
      <c r="J258" s="358"/>
      <c r="K258" s="135" t="s">
        <v>363</v>
      </c>
      <c r="L258" s="185" t="s">
        <v>277</v>
      </c>
      <c r="M258" s="221">
        <v>28.5</v>
      </c>
      <c r="N258" s="221">
        <v>28.066666666666599</v>
      </c>
      <c r="O258" s="221">
        <v>27.633333333333301</v>
      </c>
      <c r="P258" s="221">
        <v>27.2</v>
      </c>
      <c r="Q258" s="221">
        <v>26.766666666666602</v>
      </c>
      <c r="R258" s="221">
        <v>26.3333333333333</v>
      </c>
      <c r="S258" s="221">
        <v>25.9</v>
      </c>
      <c r="T258" s="221">
        <v>25.466666666666601</v>
      </c>
      <c r="U258" s="221">
        <v>25.033333333333299</v>
      </c>
      <c r="V258" s="221">
        <v>24.6</v>
      </c>
      <c r="W258" s="221">
        <v>24.434999999999999</v>
      </c>
      <c r="X258" s="221">
        <v>24.27</v>
      </c>
      <c r="Y258" s="221">
        <v>24.105</v>
      </c>
      <c r="Z258" s="221">
        <v>23.94</v>
      </c>
      <c r="AA258" s="221">
        <v>23.774999999999999</v>
      </c>
      <c r="AB258" s="221">
        <v>23.61</v>
      </c>
      <c r="AC258" s="221">
        <v>23.445</v>
      </c>
      <c r="AD258" s="221">
        <v>23.28</v>
      </c>
      <c r="AE258" s="221">
        <v>23.114999999999998</v>
      </c>
      <c r="AF258" s="221">
        <v>22.95</v>
      </c>
      <c r="AG258" s="221">
        <v>22.785</v>
      </c>
      <c r="AH258" s="221">
        <v>22.62</v>
      </c>
      <c r="AI258" s="221">
        <v>22.454999999999998</v>
      </c>
      <c r="AJ258" s="221">
        <v>22.29</v>
      </c>
      <c r="AK258" s="221">
        <v>22.125</v>
      </c>
      <c r="AL258" s="221">
        <v>21.96</v>
      </c>
      <c r="AM258" s="221">
        <v>21.795000000000002</v>
      </c>
      <c r="AN258" s="221">
        <v>21.63</v>
      </c>
      <c r="AO258" s="221">
        <v>21.465</v>
      </c>
      <c r="AP258" s="221">
        <v>21.3</v>
      </c>
    </row>
    <row r="259" spans="7:42" ht="14.25" customHeight="1" thickBot="1" x14ac:dyDescent="0.25">
      <c r="G259" s="138"/>
      <c r="H259" s="380"/>
      <c r="J259" s="358"/>
      <c r="K259" s="196" t="s">
        <v>363</v>
      </c>
      <c r="L259" s="196" t="s">
        <v>278</v>
      </c>
      <c r="M259" s="222">
        <v>28.5</v>
      </c>
      <c r="N259" s="222">
        <v>28.327604172736802</v>
      </c>
      <c r="O259" s="222">
        <v>28.1552083454736</v>
      </c>
      <c r="P259" s="222">
        <v>27.982812518210402</v>
      </c>
      <c r="Q259" s="222">
        <v>27.8104166909472</v>
      </c>
      <c r="R259" s="222">
        <v>27.638020863684002</v>
      </c>
      <c r="S259" s="222">
        <v>27.4656250364208</v>
      </c>
      <c r="T259" s="222">
        <v>27.293229209157602</v>
      </c>
      <c r="U259" s="222">
        <v>27.1208333818944</v>
      </c>
      <c r="V259" s="222">
        <v>26.948437554631202</v>
      </c>
      <c r="W259" s="222">
        <v>26.851429462952201</v>
      </c>
      <c r="X259" s="222">
        <v>26.754421371273299</v>
      </c>
      <c r="Y259" s="222">
        <v>26.657413279594302</v>
      </c>
      <c r="Z259" s="222">
        <v>26.5604051879154</v>
      </c>
      <c r="AA259" s="222">
        <v>26.463397096236498</v>
      </c>
      <c r="AB259" s="222">
        <v>26.366389004557501</v>
      </c>
      <c r="AC259" s="222">
        <v>26.269380912878599</v>
      </c>
      <c r="AD259" s="222">
        <v>26.172372821199598</v>
      </c>
      <c r="AE259" s="222">
        <v>26.0753647295207</v>
      </c>
      <c r="AF259" s="222">
        <v>25.978356637841699</v>
      </c>
      <c r="AG259" s="222">
        <v>25.881348546162801</v>
      </c>
      <c r="AH259" s="222">
        <v>25.7843404544839</v>
      </c>
      <c r="AI259" s="222">
        <v>25.687332362804899</v>
      </c>
      <c r="AJ259" s="222">
        <v>25.590324271126001</v>
      </c>
      <c r="AK259" s="222">
        <v>25.493316179447</v>
      </c>
      <c r="AL259" s="222">
        <v>25.396308087768102</v>
      </c>
      <c r="AM259" s="222">
        <v>25.299299996089101</v>
      </c>
      <c r="AN259" s="222">
        <v>25.202291904410199</v>
      </c>
      <c r="AO259" s="222">
        <v>25.105283812731301</v>
      </c>
      <c r="AP259" s="222">
        <v>25.0082757210523</v>
      </c>
    </row>
    <row r="260" spans="7:42" ht="14.25" customHeight="1" thickTop="1" x14ac:dyDescent="0.2">
      <c r="G260" s="138"/>
      <c r="H260" s="380"/>
      <c r="J260" s="358"/>
      <c r="K260" s="194" t="s">
        <v>366</v>
      </c>
      <c r="L260" s="194" t="s">
        <v>276</v>
      </c>
      <c r="M260" s="223">
        <v>38.4</v>
      </c>
      <c r="N260" s="223">
        <v>37.470877225697201</v>
      </c>
      <c r="O260" s="223">
        <v>36.541754451394503</v>
      </c>
      <c r="P260" s="223">
        <v>35.612631677091798</v>
      </c>
      <c r="Q260" s="223">
        <v>34.6835089027891</v>
      </c>
      <c r="R260" s="223">
        <v>33.754386128486402</v>
      </c>
      <c r="S260" s="223">
        <v>32.825263354183697</v>
      </c>
      <c r="T260" s="223">
        <v>31.896140579880999</v>
      </c>
      <c r="U260" s="223">
        <v>30.967017805578301</v>
      </c>
      <c r="V260" s="223">
        <v>30.0378950312756</v>
      </c>
      <c r="W260" s="223">
        <v>29.515072474016499</v>
      </c>
      <c r="X260" s="223">
        <v>28.992249916757299</v>
      </c>
      <c r="Y260" s="223">
        <v>28.469427359498201</v>
      </c>
      <c r="Z260" s="223">
        <v>27.946604802239001</v>
      </c>
      <c r="AA260" s="223">
        <v>27.4237822449799</v>
      </c>
      <c r="AB260" s="223">
        <v>26.9009596877207</v>
      </c>
      <c r="AC260" s="223">
        <v>26.378137130461599</v>
      </c>
      <c r="AD260" s="223">
        <v>25.855314573202399</v>
      </c>
      <c r="AE260" s="223">
        <v>25.332492015943298</v>
      </c>
      <c r="AF260" s="223">
        <v>24.809669458684098</v>
      </c>
      <c r="AG260" s="223">
        <v>24.286846901425001</v>
      </c>
      <c r="AH260" s="223">
        <v>23.7640243441659</v>
      </c>
      <c r="AI260" s="223">
        <v>23.2412017869067</v>
      </c>
      <c r="AJ260" s="223">
        <v>22.718379229647599</v>
      </c>
      <c r="AK260" s="223">
        <v>22.195556672388399</v>
      </c>
      <c r="AL260" s="223">
        <v>21.672734115129298</v>
      </c>
      <c r="AM260" s="223">
        <v>21.149911557870102</v>
      </c>
      <c r="AN260" s="223">
        <v>20.627089000611001</v>
      </c>
      <c r="AO260" s="223">
        <v>20.104266443351801</v>
      </c>
      <c r="AP260" s="223">
        <v>19.5814438860927</v>
      </c>
    </row>
    <row r="261" spans="7:42" ht="14.25" customHeight="1" x14ac:dyDescent="0.2">
      <c r="G261" s="138"/>
      <c r="H261" s="380"/>
      <c r="J261" s="358"/>
      <c r="K261" s="135" t="s">
        <v>366</v>
      </c>
      <c r="L261" s="185" t="s">
        <v>277</v>
      </c>
      <c r="M261" s="221">
        <v>38.4</v>
      </c>
      <c r="N261" s="221">
        <v>38.033333333333303</v>
      </c>
      <c r="O261" s="221">
        <v>37.6666666666666</v>
      </c>
      <c r="P261" s="221">
        <v>37.299999999999997</v>
      </c>
      <c r="Q261" s="221">
        <v>36.933333333333302</v>
      </c>
      <c r="R261" s="221">
        <v>36.566666666666599</v>
      </c>
      <c r="S261" s="221">
        <v>36.200000000000003</v>
      </c>
      <c r="T261" s="221">
        <v>35.8333333333333</v>
      </c>
      <c r="U261" s="221">
        <v>35.466666666666598</v>
      </c>
      <c r="V261" s="221">
        <v>35.1</v>
      </c>
      <c r="W261" s="221">
        <v>34.825000000000003</v>
      </c>
      <c r="X261" s="221">
        <v>34.549999999999997</v>
      </c>
      <c r="Y261" s="221">
        <v>34.274999999999999</v>
      </c>
      <c r="Z261" s="221">
        <v>34</v>
      </c>
      <c r="AA261" s="221">
        <v>33.725000000000001</v>
      </c>
      <c r="AB261" s="221">
        <v>33.450000000000003</v>
      </c>
      <c r="AC261" s="221">
        <v>33.174999999999997</v>
      </c>
      <c r="AD261" s="221">
        <v>32.9</v>
      </c>
      <c r="AE261" s="221">
        <v>32.625</v>
      </c>
      <c r="AF261" s="221">
        <v>32.35</v>
      </c>
      <c r="AG261" s="221">
        <v>32.075000000000003</v>
      </c>
      <c r="AH261" s="221">
        <v>31.8</v>
      </c>
      <c r="AI261" s="221">
        <v>31.524999999999999</v>
      </c>
      <c r="AJ261" s="221">
        <v>31.25</v>
      </c>
      <c r="AK261" s="221">
        <v>30.975000000000001</v>
      </c>
      <c r="AL261" s="221">
        <v>30.7</v>
      </c>
      <c r="AM261" s="221">
        <v>30.425000000000001</v>
      </c>
      <c r="AN261" s="221">
        <v>30.15</v>
      </c>
      <c r="AO261" s="221">
        <v>29.875</v>
      </c>
      <c r="AP261" s="221">
        <v>29.6</v>
      </c>
    </row>
    <row r="262" spans="7:42" ht="14.25" customHeight="1" thickBot="1" x14ac:dyDescent="0.25">
      <c r="G262" s="138"/>
      <c r="H262" s="380"/>
      <c r="J262" s="358"/>
      <c r="K262" s="196" t="s">
        <v>366</v>
      </c>
      <c r="L262" s="196" t="s">
        <v>278</v>
      </c>
      <c r="M262" s="222">
        <v>38.4</v>
      </c>
      <c r="N262" s="222">
        <v>38.167719306424303</v>
      </c>
      <c r="O262" s="222">
        <v>37.9354386128486</v>
      </c>
      <c r="P262" s="222">
        <v>37.703157919272897</v>
      </c>
      <c r="Q262" s="222">
        <v>37.470877225697201</v>
      </c>
      <c r="R262" s="222">
        <v>37.238596532121598</v>
      </c>
      <c r="S262" s="222">
        <v>37.006315838545902</v>
      </c>
      <c r="T262" s="222">
        <v>36.774035144970199</v>
      </c>
      <c r="U262" s="222">
        <v>36.541754451394503</v>
      </c>
      <c r="V262" s="222">
        <v>36.3094737578189</v>
      </c>
      <c r="W262" s="222">
        <v>36.178768118504102</v>
      </c>
      <c r="X262" s="222">
        <v>36.048062479189298</v>
      </c>
      <c r="Y262" s="222">
        <v>35.9173568398745</v>
      </c>
      <c r="Z262" s="222">
        <v>35.786651200559703</v>
      </c>
      <c r="AA262" s="222">
        <v>35.655945561244899</v>
      </c>
      <c r="AB262" s="222">
        <v>35.525239921930101</v>
      </c>
      <c r="AC262" s="222">
        <v>35.394534282615403</v>
      </c>
      <c r="AD262" s="222">
        <v>35.263828643300599</v>
      </c>
      <c r="AE262" s="222">
        <v>35.133123003985801</v>
      </c>
      <c r="AF262" s="222">
        <v>35.002417364670997</v>
      </c>
      <c r="AG262" s="222">
        <v>34.871711725356199</v>
      </c>
      <c r="AH262" s="222">
        <v>34.741006086041402</v>
      </c>
      <c r="AI262" s="222">
        <v>34.610300446726598</v>
      </c>
      <c r="AJ262" s="222">
        <v>34.4795948074119</v>
      </c>
      <c r="AK262" s="222">
        <v>34.348889168097102</v>
      </c>
      <c r="AL262" s="222">
        <v>34.218183528782298</v>
      </c>
      <c r="AM262" s="222">
        <v>34.0874778894675</v>
      </c>
      <c r="AN262" s="222">
        <v>33.956772250152703</v>
      </c>
      <c r="AO262" s="222">
        <v>33.826066610837898</v>
      </c>
      <c r="AP262" s="222">
        <v>33.695360971523101</v>
      </c>
    </row>
    <row r="263" spans="7:42" ht="14.25" customHeight="1" thickTop="1" x14ac:dyDescent="0.2">
      <c r="G263" s="138"/>
      <c r="H263" s="380"/>
      <c r="J263" s="358"/>
      <c r="K263" s="194" t="s">
        <v>369</v>
      </c>
      <c r="L263" s="194" t="s">
        <v>276</v>
      </c>
      <c r="M263" s="223">
        <v>30.3</v>
      </c>
      <c r="N263" s="223">
        <v>29.5668640609017</v>
      </c>
      <c r="O263" s="223">
        <v>28.8337281218035</v>
      </c>
      <c r="P263" s="223">
        <v>28.100592182705299</v>
      </c>
      <c r="Q263" s="223">
        <v>27.367456243606998</v>
      </c>
      <c r="R263" s="223">
        <v>26.634320304508801</v>
      </c>
      <c r="S263" s="223">
        <v>25.9011843654106</v>
      </c>
      <c r="T263" s="223">
        <v>25.168048426312399</v>
      </c>
      <c r="U263" s="223">
        <v>24.434912487214099</v>
      </c>
      <c r="V263" s="223">
        <v>23.701776548115902</v>
      </c>
      <c r="W263" s="223">
        <v>23.2892368740286</v>
      </c>
      <c r="X263" s="223">
        <v>22.876697199941301</v>
      </c>
      <c r="Y263" s="223">
        <v>22.464157525853999</v>
      </c>
      <c r="Z263" s="223">
        <v>22.0516178517667</v>
      </c>
      <c r="AA263" s="223">
        <v>21.639078177679401</v>
      </c>
      <c r="AB263" s="223">
        <v>21.226538503592099</v>
      </c>
      <c r="AC263" s="223">
        <v>20.813998829504801</v>
      </c>
      <c r="AD263" s="223">
        <v>20.401459155417498</v>
      </c>
      <c r="AE263" s="223">
        <v>19.9889194813302</v>
      </c>
      <c r="AF263" s="223">
        <v>19.576379807243001</v>
      </c>
      <c r="AG263" s="223">
        <v>19.163840133155698</v>
      </c>
      <c r="AH263" s="223">
        <v>18.7513004590684</v>
      </c>
      <c r="AI263" s="223">
        <v>18.338760784981101</v>
      </c>
      <c r="AJ263" s="223">
        <v>17.926221110893799</v>
      </c>
      <c r="AK263" s="223">
        <v>17.5136814368065</v>
      </c>
      <c r="AL263" s="223">
        <v>17.101141762719202</v>
      </c>
      <c r="AM263" s="223">
        <v>16.6886020886319</v>
      </c>
      <c r="AN263" s="223">
        <v>16.276062414544601</v>
      </c>
      <c r="AO263" s="223">
        <v>15.8635227404573</v>
      </c>
      <c r="AP263" s="223">
        <v>15.45098306637</v>
      </c>
    </row>
    <row r="264" spans="7:42" ht="14.25" customHeight="1" x14ac:dyDescent="0.2">
      <c r="G264" s="138"/>
      <c r="H264" s="380"/>
      <c r="J264" s="358"/>
      <c r="K264" s="135" t="s">
        <v>369</v>
      </c>
      <c r="L264" s="185" t="s">
        <v>277</v>
      </c>
      <c r="M264" s="221">
        <v>30.3</v>
      </c>
      <c r="N264" s="221">
        <v>29.933333333333302</v>
      </c>
      <c r="O264" s="221">
        <v>29.566666666666599</v>
      </c>
      <c r="P264" s="221">
        <v>29.2</v>
      </c>
      <c r="Q264" s="221">
        <v>28.8333333333333</v>
      </c>
      <c r="R264" s="221">
        <v>28.466666666666601</v>
      </c>
      <c r="S264" s="221">
        <v>28.1</v>
      </c>
      <c r="T264" s="221">
        <v>27.733333333333299</v>
      </c>
      <c r="U264" s="221">
        <v>27.3666666666666</v>
      </c>
      <c r="V264" s="221">
        <v>27</v>
      </c>
      <c r="W264" s="221">
        <v>26.815000000000001</v>
      </c>
      <c r="X264" s="221">
        <v>26.63</v>
      </c>
      <c r="Y264" s="221">
        <v>26.445</v>
      </c>
      <c r="Z264" s="221">
        <v>26.26</v>
      </c>
      <c r="AA264" s="221">
        <v>26.074999999999999</v>
      </c>
      <c r="AB264" s="221">
        <v>25.89</v>
      </c>
      <c r="AC264" s="221">
        <v>25.704999999999998</v>
      </c>
      <c r="AD264" s="221">
        <v>25.52</v>
      </c>
      <c r="AE264" s="221">
        <v>25.335000000000001</v>
      </c>
      <c r="AF264" s="221">
        <v>25.15</v>
      </c>
      <c r="AG264" s="221">
        <v>24.965</v>
      </c>
      <c r="AH264" s="221">
        <v>24.78</v>
      </c>
      <c r="AI264" s="221">
        <v>24.594999999999999</v>
      </c>
      <c r="AJ264" s="221">
        <v>24.41</v>
      </c>
      <c r="AK264" s="221">
        <v>24.225000000000001</v>
      </c>
      <c r="AL264" s="221">
        <v>24.04</v>
      </c>
      <c r="AM264" s="221">
        <v>23.855</v>
      </c>
      <c r="AN264" s="221">
        <v>23.67</v>
      </c>
      <c r="AO264" s="221">
        <v>23.484999999999999</v>
      </c>
      <c r="AP264" s="221">
        <v>23.3</v>
      </c>
    </row>
    <row r="265" spans="7:42" ht="14.25" customHeight="1" thickBot="1" x14ac:dyDescent="0.25">
      <c r="G265" s="138"/>
      <c r="H265" s="380"/>
      <c r="J265" s="368"/>
      <c r="K265" s="196" t="s">
        <v>369</v>
      </c>
      <c r="L265" s="196" t="s">
        <v>278</v>
      </c>
      <c r="M265" s="222">
        <v>30.3</v>
      </c>
      <c r="N265" s="222">
        <v>30.1167160152254</v>
      </c>
      <c r="O265" s="222">
        <v>29.933432030450799</v>
      </c>
      <c r="P265" s="222">
        <v>29.750148045676301</v>
      </c>
      <c r="Q265" s="222">
        <v>29.5668640609017</v>
      </c>
      <c r="R265" s="222">
        <v>29.383580076127199</v>
      </c>
      <c r="S265" s="222">
        <v>29.200296091352602</v>
      </c>
      <c r="T265" s="222">
        <v>29.0170121065781</v>
      </c>
      <c r="U265" s="222">
        <v>28.8337281218035</v>
      </c>
      <c r="V265" s="222">
        <v>28.650444137028899</v>
      </c>
      <c r="W265" s="222">
        <v>28.547309218507099</v>
      </c>
      <c r="X265" s="222">
        <v>28.444174299985299</v>
      </c>
      <c r="Y265" s="222">
        <v>28.341039381463499</v>
      </c>
      <c r="Z265" s="222">
        <v>28.2379044629416</v>
      </c>
      <c r="AA265" s="222">
        <v>28.1347695444198</v>
      </c>
      <c r="AB265" s="222">
        <v>28.031634625898</v>
      </c>
      <c r="AC265" s="222">
        <v>27.928499707376201</v>
      </c>
      <c r="AD265" s="222">
        <v>27.825364788854401</v>
      </c>
      <c r="AE265" s="222">
        <v>27.722229870332502</v>
      </c>
      <c r="AF265" s="222">
        <v>27.619094951810698</v>
      </c>
      <c r="AG265" s="222">
        <v>27.515960033288899</v>
      </c>
      <c r="AH265" s="222">
        <v>27.412825114767099</v>
      </c>
      <c r="AI265" s="222">
        <v>27.309690196245199</v>
      </c>
      <c r="AJ265" s="222">
        <v>27.2065552777234</v>
      </c>
      <c r="AK265" s="222">
        <v>27.1034203592016</v>
      </c>
      <c r="AL265" s="222">
        <v>27.0002854406798</v>
      </c>
      <c r="AM265" s="222">
        <v>26.897150522157901</v>
      </c>
      <c r="AN265" s="222">
        <v>26.794015603636101</v>
      </c>
      <c r="AO265" s="222">
        <v>26.690880685114301</v>
      </c>
      <c r="AP265" s="222">
        <v>26.587745766592501</v>
      </c>
    </row>
    <row r="266" spans="7:42" ht="14.25" customHeight="1" thickTop="1" x14ac:dyDescent="0.2">
      <c r="G266" s="138"/>
      <c r="H266" s="380"/>
      <c r="J266" s="201"/>
      <c r="K266" s="135"/>
      <c r="L266" s="135"/>
      <c r="M266" s="224"/>
      <c r="N266" s="224"/>
      <c r="O266" s="224"/>
      <c r="P266" s="224"/>
      <c r="Q266" s="224"/>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c r="AN266" s="224"/>
      <c r="AO266" s="224"/>
      <c r="AP266" s="224"/>
    </row>
    <row r="267" spans="7:42" ht="14.25" customHeight="1" x14ac:dyDescent="0.2">
      <c r="G267" s="138"/>
      <c r="H267" s="380"/>
      <c r="M267" s="123">
        <v>2021</v>
      </c>
      <c r="N267" s="123">
        <v>2022</v>
      </c>
      <c r="O267" s="123">
        <v>2023</v>
      </c>
      <c r="P267" s="123">
        <v>2024</v>
      </c>
      <c r="Q267" s="123">
        <v>2025</v>
      </c>
      <c r="R267" s="123">
        <v>2026</v>
      </c>
      <c r="S267" s="123">
        <v>2027</v>
      </c>
      <c r="T267" s="123">
        <v>2028</v>
      </c>
      <c r="U267" s="123">
        <v>2029</v>
      </c>
      <c r="V267" s="123">
        <v>2030</v>
      </c>
      <c r="W267" s="123">
        <v>2031</v>
      </c>
      <c r="X267" s="123">
        <v>2032</v>
      </c>
      <c r="Y267" s="123">
        <v>2033</v>
      </c>
      <c r="Z267" s="123">
        <v>2034</v>
      </c>
      <c r="AA267" s="123">
        <v>2035</v>
      </c>
      <c r="AB267" s="123">
        <v>2036</v>
      </c>
      <c r="AC267" s="123">
        <v>2037</v>
      </c>
      <c r="AD267" s="123">
        <v>2038</v>
      </c>
      <c r="AE267" s="123">
        <v>2039</v>
      </c>
      <c r="AF267" s="123">
        <v>2040</v>
      </c>
      <c r="AG267" s="123">
        <v>2041</v>
      </c>
      <c r="AH267" s="123">
        <v>2042</v>
      </c>
      <c r="AI267" s="123">
        <v>2043</v>
      </c>
      <c r="AJ267" s="123">
        <v>2044</v>
      </c>
      <c r="AK267" s="123">
        <v>2045</v>
      </c>
      <c r="AL267" s="123">
        <v>2046</v>
      </c>
      <c r="AM267" s="123">
        <v>2047</v>
      </c>
      <c r="AN267" s="123">
        <v>2048</v>
      </c>
      <c r="AO267" s="123">
        <v>2049</v>
      </c>
      <c r="AP267" s="123">
        <v>2050</v>
      </c>
    </row>
    <row r="268" spans="7:42" ht="14.25" customHeight="1" x14ac:dyDescent="0.2">
      <c r="G268" s="138"/>
      <c r="H268" s="380"/>
      <c r="J268" s="367" t="s">
        <v>299</v>
      </c>
      <c r="K268" s="194" t="s">
        <v>348</v>
      </c>
      <c r="L268" s="194" t="s">
        <v>276</v>
      </c>
      <c r="M268" s="225">
        <v>0</v>
      </c>
      <c r="N268" s="225">
        <v>0</v>
      </c>
      <c r="O268" s="225">
        <v>0</v>
      </c>
      <c r="P268" s="225">
        <v>0</v>
      </c>
      <c r="Q268" s="225">
        <v>0</v>
      </c>
      <c r="R268" s="225">
        <v>0</v>
      </c>
      <c r="S268" s="225">
        <v>0</v>
      </c>
      <c r="T268" s="225">
        <v>0</v>
      </c>
      <c r="U268" s="225">
        <v>0</v>
      </c>
      <c r="V268" s="225">
        <v>0</v>
      </c>
      <c r="W268" s="225">
        <v>0</v>
      </c>
      <c r="X268" s="225">
        <v>0</v>
      </c>
      <c r="Y268" s="225">
        <v>0</v>
      </c>
      <c r="Z268" s="225">
        <v>0</v>
      </c>
      <c r="AA268" s="225">
        <v>0</v>
      </c>
      <c r="AB268" s="225">
        <v>0</v>
      </c>
      <c r="AC268" s="225">
        <v>0</v>
      </c>
      <c r="AD268" s="225">
        <v>0</v>
      </c>
      <c r="AE268" s="225">
        <v>0</v>
      </c>
      <c r="AF268" s="225">
        <v>0</v>
      </c>
      <c r="AG268" s="225">
        <v>0</v>
      </c>
      <c r="AH268" s="225">
        <v>0</v>
      </c>
      <c r="AI268" s="225">
        <v>0</v>
      </c>
      <c r="AJ268" s="225">
        <v>0</v>
      </c>
      <c r="AK268" s="225">
        <v>0</v>
      </c>
      <c r="AL268" s="225">
        <v>0</v>
      </c>
      <c r="AM268" s="225">
        <v>0</v>
      </c>
      <c r="AN268" s="225">
        <v>0</v>
      </c>
      <c r="AO268" s="225">
        <v>0</v>
      </c>
      <c r="AP268" s="225">
        <v>0</v>
      </c>
    </row>
    <row r="269" spans="7:42" ht="14.25" customHeight="1" x14ac:dyDescent="0.2">
      <c r="G269" s="138"/>
      <c r="H269" s="380"/>
      <c r="J269" s="358"/>
      <c r="K269" s="135" t="s">
        <v>348</v>
      </c>
      <c r="L269" s="185" t="s">
        <v>277</v>
      </c>
      <c r="M269" s="226">
        <v>0</v>
      </c>
      <c r="N269" s="226">
        <v>0</v>
      </c>
      <c r="O269" s="226">
        <v>0</v>
      </c>
      <c r="P269" s="226">
        <v>0</v>
      </c>
      <c r="Q269" s="226">
        <v>0</v>
      </c>
      <c r="R269" s="226">
        <v>0</v>
      </c>
      <c r="S269" s="226">
        <v>0</v>
      </c>
      <c r="T269" s="226">
        <v>0</v>
      </c>
      <c r="U269" s="226">
        <v>0</v>
      </c>
      <c r="V269" s="226">
        <v>0</v>
      </c>
      <c r="W269" s="226">
        <v>0</v>
      </c>
      <c r="X269" s="226">
        <v>0</v>
      </c>
      <c r="Y269" s="226">
        <v>0</v>
      </c>
      <c r="Z269" s="226">
        <v>0</v>
      </c>
      <c r="AA269" s="226">
        <v>0</v>
      </c>
      <c r="AB269" s="226">
        <v>0</v>
      </c>
      <c r="AC269" s="226">
        <v>0</v>
      </c>
      <c r="AD269" s="226">
        <v>0</v>
      </c>
      <c r="AE269" s="226">
        <v>0</v>
      </c>
      <c r="AF269" s="226">
        <v>0</v>
      </c>
      <c r="AG269" s="226">
        <v>0</v>
      </c>
      <c r="AH269" s="226">
        <v>0</v>
      </c>
      <c r="AI269" s="226">
        <v>0</v>
      </c>
      <c r="AJ269" s="226">
        <v>0</v>
      </c>
      <c r="AK269" s="226">
        <v>0</v>
      </c>
      <c r="AL269" s="226">
        <v>0</v>
      </c>
      <c r="AM269" s="226">
        <v>0</v>
      </c>
      <c r="AN269" s="226">
        <v>0</v>
      </c>
      <c r="AO269" s="226">
        <v>0</v>
      </c>
      <c r="AP269" s="226">
        <v>0</v>
      </c>
    </row>
    <row r="270" spans="7:42" ht="14.25" customHeight="1" thickBot="1" x14ac:dyDescent="0.25">
      <c r="G270" s="138"/>
      <c r="H270" s="380"/>
      <c r="J270" s="358"/>
      <c r="K270" s="196" t="s">
        <v>348</v>
      </c>
      <c r="L270" s="196" t="s">
        <v>278</v>
      </c>
      <c r="M270" s="227">
        <v>0</v>
      </c>
      <c r="N270" s="227">
        <v>0</v>
      </c>
      <c r="O270" s="227">
        <v>0</v>
      </c>
      <c r="P270" s="227">
        <v>0</v>
      </c>
      <c r="Q270" s="227">
        <v>0</v>
      </c>
      <c r="R270" s="227">
        <v>0</v>
      </c>
      <c r="S270" s="227">
        <v>0</v>
      </c>
      <c r="T270" s="227">
        <v>0</v>
      </c>
      <c r="U270" s="227">
        <v>0</v>
      </c>
      <c r="V270" s="227">
        <v>0</v>
      </c>
      <c r="W270" s="227">
        <v>0</v>
      </c>
      <c r="X270" s="227">
        <v>0</v>
      </c>
      <c r="Y270" s="227">
        <v>0</v>
      </c>
      <c r="Z270" s="227">
        <v>0</v>
      </c>
      <c r="AA270" s="227">
        <v>0</v>
      </c>
      <c r="AB270" s="227">
        <v>0</v>
      </c>
      <c r="AC270" s="227">
        <v>0</v>
      </c>
      <c r="AD270" s="227">
        <v>0</v>
      </c>
      <c r="AE270" s="227">
        <v>0</v>
      </c>
      <c r="AF270" s="227">
        <v>0</v>
      </c>
      <c r="AG270" s="227">
        <v>0</v>
      </c>
      <c r="AH270" s="227">
        <v>0</v>
      </c>
      <c r="AI270" s="227">
        <v>0</v>
      </c>
      <c r="AJ270" s="227">
        <v>0</v>
      </c>
      <c r="AK270" s="227">
        <v>0</v>
      </c>
      <c r="AL270" s="227">
        <v>0</v>
      </c>
      <c r="AM270" s="227">
        <v>0</v>
      </c>
      <c r="AN270" s="227">
        <v>0</v>
      </c>
      <c r="AO270" s="227">
        <v>0</v>
      </c>
      <c r="AP270" s="227">
        <v>0</v>
      </c>
    </row>
    <row r="271" spans="7:42" ht="14.25" customHeight="1" thickTop="1" x14ac:dyDescent="0.2">
      <c r="G271" s="138"/>
      <c r="H271" s="380"/>
      <c r="J271" s="358"/>
      <c r="K271" s="194" t="s">
        <v>351</v>
      </c>
      <c r="L271" s="194" t="s">
        <v>276</v>
      </c>
      <c r="M271" s="228">
        <v>0</v>
      </c>
      <c r="N271" s="228">
        <v>0</v>
      </c>
      <c r="O271" s="228">
        <v>0</v>
      </c>
      <c r="P271" s="228">
        <v>0</v>
      </c>
      <c r="Q271" s="228">
        <v>0</v>
      </c>
      <c r="R271" s="228">
        <v>0</v>
      </c>
      <c r="S271" s="228">
        <v>0</v>
      </c>
      <c r="T271" s="228">
        <v>0</v>
      </c>
      <c r="U271" s="228">
        <v>0</v>
      </c>
      <c r="V271" s="228">
        <v>0</v>
      </c>
      <c r="W271" s="228">
        <v>0</v>
      </c>
      <c r="X271" s="228">
        <v>0</v>
      </c>
      <c r="Y271" s="228">
        <v>0</v>
      </c>
      <c r="Z271" s="228">
        <v>0</v>
      </c>
      <c r="AA271" s="228">
        <v>0</v>
      </c>
      <c r="AB271" s="228">
        <v>0</v>
      </c>
      <c r="AC271" s="228">
        <v>0</v>
      </c>
      <c r="AD271" s="228">
        <v>0</v>
      </c>
      <c r="AE271" s="228">
        <v>0</v>
      </c>
      <c r="AF271" s="228">
        <v>0</v>
      </c>
      <c r="AG271" s="228">
        <v>0</v>
      </c>
      <c r="AH271" s="228">
        <v>0</v>
      </c>
      <c r="AI271" s="228">
        <v>0</v>
      </c>
      <c r="AJ271" s="228">
        <v>0</v>
      </c>
      <c r="AK271" s="228">
        <v>0</v>
      </c>
      <c r="AL271" s="228">
        <v>0</v>
      </c>
      <c r="AM271" s="228">
        <v>0</v>
      </c>
      <c r="AN271" s="228">
        <v>0</v>
      </c>
      <c r="AO271" s="228">
        <v>0</v>
      </c>
      <c r="AP271" s="228">
        <v>0</v>
      </c>
    </row>
    <row r="272" spans="7:42" ht="14.25" customHeight="1" x14ac:dyDescent="0.2">
      <c r="G272" s="138"/>
      <c r="H272" s="380"/>
      <c r="J272" s="358"/>
      <c r="K272" s="135" t="s">
        <v>351</v>
      </c>
      <c r="L272" s="185" t="s">
        <v>277</v>
      </c>
      <c r="M272" s="226">
        <v>0</v>
      </c>
      <c r="N272" s="226">
        <v>0</v>
      </c>
      <c r="O272" s="226">
        <v>0</v>
      </c>
      <c r="P272" s="226">
        <v>0</v>
      </c>
      <c r="Q272" s="226">
        <v>0</v>
      </c>
      <c r="R272" s="226">
        <v>0</v>
      </c>
      <c r="S272" s="226">
        <v>0</v>
      </c>
      <c r="T272" s="226">
        <v>0</v>
      </c>
      <c r="U272" s="226">
        <v>0</v>
      </c>
      <c r="V272" s="226">
        <v>0</v>
      </c>
      <c r="W272" s="226">
        <v>0</v>
      </c>
      <c r="X272" s="226">
        <v>0</v>
      </c>
      <c r="Y272" s="226">
        <v>0</v>
      </c>
      <c r="Z272" s="226">
        <v>0</v>
      </c>
      <c r="AA272" s="226">
        <v>0</v>
      </c>
      <c r="AB272" s="226">
        <v>0</v>
      </c>
      <c r="AC272" s="226">
        <v>0</v>
      </c>
      <c r="AD272" s="226">
        <v>0</v>
      </c>
      <c r="AE272" s="226">
        <v>0</v>
      </c>
      <c r="AF272" s="226">
        <v>0</v>
      </c>
      <c r="AG272" s="226">
        <v>0</v>
      </c>
      <c r="AH272" s="226">
        <v>0</v>
      </c>
      <c r="AI272" s="226">
        <v>0</v>
      </c>
      <c r="AJ272" s="226">
        <v>0</v>
      </c>
      <c r="AK272" s="226">
        <v>0</v>
      </c>
      <c r="AL272" s="226">
        <v>0</v>
      </c>
      <c r="AM272" s="226">
        <v>0</v>
      </c>
      <c r="AN272" s="226">
        <v>0</v>
      </c>
      <c r="AO272" s="226">
        <v>0</v>
      </c>
      <c r="AP272" s="226">
        <v>0</v>
      </c>
    </row>
    <row r="273" spans="7:42" ht="14.25" customHeight="1" thickBot="1" x14ac:dyDescent="0.25">
      <c r="G273" s="138"/>
      <c r="H273" s="380"/>
      <c r="J273" s="358"/>
      <c r="K273" s="196" t="s">
        <v>351</v>
      </c>
      <c r="L273" s="196" t="s">
        <v>278</v>
      </c>
      <c r="M273" s="227">
        <v>0</v>
      </c>
      <c r="N273" s="227">
        <v>0</v>
      </c>
      <c r="O273" s="227">
        <v>0</v>
      </c>
      <c r="P273" s="227">
        <v>0</v>
      </c>
      <c r="Q273" s="227">
        <v>0</v>
      </c>
      <c r="R273" s="227">
        <v>0</v>
      </c>
      <c r="S273" s="227">
        <v>0</v>
      </c>
      <c r="T273" s="227">
        <v>0</v>
      </c>
      <c r="U273" s="227">
        <v>0</v>
      </c>
      <c r="V273" s="227">
        <v>0</v>
      </c>
      <c r="W273" s="227">
        <v>0</v>
      </c>
      <c r="X273" s="227">
        <v>0</v>
      </c>
      <c r="Y273" s="227">
        <v>0</v>
      </c>
      <c r="Z273" s="227">
        <v>0</v>
      </c>
      <c r="AA273" s="227">
        <v>0</v>
      </c>
      <c r="AB273" s="227">
        <v>0</v>
      </c>
      <c r="AC273" s="227">
        <v>0</v>
      </c>
      <c r="AD273" s="227">
        <v>0</v>
      </c>
      <c r="AE273" s="227">
        <v>0</v>
      </c>
      <c r="AF273" s="227">
        <v>0</v>
      </c>
      <c r="AG273" s="227">
        <v>0</v>
      </c>
      <c r="AH273" s="227">
        <v>0</v>
      </c>
      <c r="AI273" s="227">
        <v>0</v>
      </c>
      <c r="AJ273" s="227">
        <v>0</v>
      </c>
      <c r="AK273" s="227">
        <v>0</v>
      </c>
      <c r="AL273" s="227">
        <v>0</v>
      </c>
      <c r="AM273" s="227">
        <v>0</v>
      </c>
      <c r="AN273" s="227">
        <v>0</v>
      </c>
      <c r="AO273" s="227">
        <v>0</v>
      </c>
      <c r="AP273" s="227">
        <v>0</v>
      </c>
    </row>
    <row r="274" spans="7:42" ht="14.25" customHeight="1" thickTop="1" x14ac:dyDescent="0.2">
      <c r="G274" s="138"/>
      <c r="H274" s="380"/>
      <c r="J274" s="358"/>
      <c r="K274" s="194" t="s">
        <v>353</v>
      </c>
      <c r="L274" s="194" t="s">
        <v>276</v>
      </c>
      <c r="M274" s="228">
        <v>0</v>
      </c>
      <c r="N274" s="228">
        <v>0</v>
      </c>
      <c r="O274" s="228">
        <v>0</v>
      </c>
      <c r="P274" s="228">
        <v>0</v>
      </c>
      <c r="Q274" s="228">
        <v>0</v>
      </c>
      <c r="R274" s="228">
        <v>0</v>
      </c>
      <c r="S274" s="228">
        <v>0</v>
      </c>
      <c r="T274" s="228">
        <v>0</v>
      </c>
      <c r="U274" s="228">
        <v>0</v>
      </c>
      <c r="V274" s="228">
        <v>0</v>
      </c>
      <c r="W274" s="228">
        <v>0</v>
      </c>
      <c r="X274" s="228">
        <v>0</v>
      </c>
      <c r="Y274" s="228">
        <v>0</v>
      </c>
      <c r="Z274" s="228">
        <v>0</v>
      </c>
      <c r="AA274" s="228">
        <v>0</v>
      </c>
      <c r="AB274" s="228">
        <v>0</v>
      </c>
      <c r="AC274" s="228">
        <v>0</v>
      </c>
      <c r="AD274" s="228">
        <v>0</v>
      </c>
      <c r="AE274" s="228">
        <v>0</v>
      </c>
      <c r="AF274" s="228">
        <v>0</v>
      </c>
      <c r="AG274" s="228">
        <v>0</v>
      </c>
      <c r="AH274" s="228">
        <v>0</v>
      </c>
      <c r="AI274" s="228">
        <v>0</v>
      </c>
      <c r="AJ274" s="228">
        <v>0</v>
      </c>
      <c r="AK274" s="228">
        <v>0</v>
      </c>
      <c r="AL274" s="228">
        <v>0</v>
      </c>
      <c r="AM274" s="228">
        <v>0</v>
      </c>
      <c r="AN274" s="228">
        <v>0</v>
      </c>
      <c r="AO274" s="228">
        <v>0</v>
      </c>
      <c r="AP274" s="228">
        <v>0</v>
      </c>
    </row>
    <row r="275" spans="7:42" ht="14.25" customHeight="1" x14ac:dyDescent="0.2">
      <c r="G275" s="138"/>
      <c r="H275" s="380"/>
      <c r="J275" s="358"/>
      <c r="K275" s="135" t="s">
        <v>353</v>
      </c>
      <c r="L275" s="185" t="s">
        <v>277</v>
      </c>
      <c r="M275" s="226">
        <v>0</v>
      </c>
      <c r="N275" s="226">
        <v>0</v>
      </c>
      <c r="O275" s="226">
        <v>0</v>
      </c>
      <c r="P275" s="226">
        <v>0</v>
      </c>
      <c r="Q275" s="226">
        <v>0</v>
      </c>
      <c r="R275" s="226">
        <v>0</v>
      </c>
      <c r="S275" s="226">
        <v>0</v>
      </c>
      <c r="T275" s="226">
        <v>0</v>
      </c>
      <c r="U275" s="226">
        <v>0</v>
      </c>
      <c r="V275" s="226">
        <v>0</v>
      </c>
      <c r="W275" s="226">
        <v>0</v>
      </c>
      <c r="X275" s="226">
        <v>0</v>
      </c>
      <c r="Y275" s="226">
        <v>0</v>
      </c>
      <c r="Z275" s="226">
        <v>0</v>
      </c>
      <c r="AA275" s="226">
        <v>0</v>
      </c>
      <c r="AB275" s="226">
        <v>0</v>
      </c>
      <c r="AC275" s="226">
        <v>0</v>
      </c>
      <c r="AD275" s="226">
        <v>0</v>
      </c>
      <c r="AE275" s="226">
        <v>0</v>
      </c>
      <c r="AF275" s="226">
        <v>0</v>
      </c>
      <c r="AG275" s="226">
        <v>0</v>
      </c>
      <c r="AH275" s="226">
        <v>0</v>
      </c>
      <c r="AI275" s="226">
        <v>0</v>
      </c>
      <c r="AJ275" s="226">
        <v>0</v>
      </c>
      <c r="AK275" s="226">
        <v>0</v>
      </c>
      <c r="AL275" s="226">
        <v>0</v>
      </c>
      <c r="AM275" s="226">
        <v>0</v>
      </c>
      <c r="AN275" s="226">
        <v>0</v>
      </c>
      <c r="AO275" s="226">
        <v>0</v>
      </c>
      <c r="AP275" s="226">
        <v>0</v>
      </c>
    </row>
    <row r="276" spans="7:42" ht="14.25" customHeight="1" thickBot="1" x14ac:dyDescent="0.25">
      <c r="G276" s="138"/>
      <c r="H276" s="380"/>
      <c r="J276" s="358"/>
      <c r="K276" s="196" t="s">
        <v>353</v>
      </c>
      <c r="L276" s="196" t="s">
        <v>278</v>
      </c>
      <c r="M276" s="227">
        <v>0</v>
      </c>
      <c r="N276" s="227">
        <v>0</v>
      </c>
      <c r="O276" s="227">
        <v>0</v>
      </c>
      <c r="P276" s="227">
        <v>0</v>
      </c>
      <c r="Q276" s="227">
        <v>0</v>
      </c>
      <c r="R276" s="227">
        <v>0</v>
      </c>
      <c r="S276" s="227">
        <v>0</v>
      </c>
      <c r="T276" s="227">
        <v>0</v>
      </c>
      <c r="U276" s="227">
        <v>0</v>
      </c>
      <c r="V276" s="227">
        <v>0</v>
      </c>
      <c r="W276" s="227">
        <v>0</v>
      </c>
      <c r="X276" s="227">
        <v>0</v>
      </c>
      <c r="Y276" s="227">
        <v>0</v>
      </c>
      <c r="Z276" s="227">
        <v>0</v>
      </c>
      <c r="AA276" s="227">
        <v>0</v>
      </c>
      <c r="AB276" s="227">
        <v>0</v>
      </c>
      <c r="AC276" s="227">
        <v>0</v>
      </c>
      <c r="AD276" s="227">
        <v>0</v>
      </c>
      <c r="AE276" s="227">
        <v>0</v>
      </c>
      <c r="AF276" s="227">
        <v>0</v>
      </c>
      <c r="AG276" s="227">
        <v>0</v>
      </c>
      <c r="AH276" s="227">
        <v>0</v>
      </c>
      <c r="AI276" s="227">
        <v>0</v>
      </c>
      <c r="AJ276" s="227">
        <v>0</v>
      </c>
      <c r="AK276" s="227">
        <v>0</v>
      </c>
      <c r="AL276" s="227">
        <v>0</v>
      </c>
      <c r="AM276" s="227">
        <v>0</v>
      </c>
      <c r="AN276" s="227">
        <v>0</v>
      </c>
      <c r="AO276" s="227">
        <v>0</v>
      </c>
      <c r="AP276" s="227">
        <v>0</v>
      </c>
    </row>
    <row r="277" spans="7:42" ht="14.25" customHeight="1" thickTop="1" x14ac:dyDescent="0.2">
      <c r="G277" s="138"/>
      <c r="H277" s="380"/>
      <c r="J277" s="358"/>
      <c r="K277" s="194" t="s">
        <v>355</v>
      </c>
      <c r="L277" s="194" t="s">
        <v>276</v>
      </c>
      <c r="M277" s="228">
        <v>0</v>
      </c>
      <c r="N277" s="228">
        <v>0</v>
      </c>
      <c r="O277" s="228">
        <v>0</v>
      </c>
      <c r="P277" s="228">
        <v>0</v>
      </c>
      <c r="Q277" s="228">
        <v>0</v>
      </c>
      <c r="R277" s="228">
        <v>0</v>
      </c>
      <c r="S277" s="228">
        <v>0</v>
      </c>
      <c r="T277" s="228">
        <v>0</v>
      </c>
      <c r="U277" s="228">
        <v>0</v>
      </c>
      <c r="V277" s="228">
        <v>0</v>
      </c>
      <c r="W277" s="228">
        <v>0</v>
      </c>
      <c r="X277" s="228">
        <v>0</v>
      </c>
      <c r="Y277" s="228">
        <v>0</v>
      </c>
      <c r="Z277" s="228">
        <v>0</v>
      </c>
      <c r="AA277" s="228">
        <v>0</v>
      </c>
      <c r="AB277" s="228">
        <v>0</v>
      </c>
      <c r="AC277" s="228">
        <v>0</v>
      </c>
      <c r="AD277" s="228">
        <v>0</v>
      </c>
      <c r="AE277" s="228">
        <v>0</v>
      </c>
      <c r="AF277" s="228">
        <v>0</v>
      </c>
      <c r="AG277" s="228">
        <v>0</v>
      </c>
      <c r="AH277" s="228">
        <v>0</v>
      </c>
      <c r="AI277" s="228">
        <v>0</v>
      </c>
      <c r="AJ277" s="228">
        <v>0</v>
      </c>
      <c r="AK277" s="228">
        <v>0</v>
      </c>
      <c r="AL277" s="228">
        <v>0</v>
      </c>
      <c r="AM277" s="228">
        <v>0</v>
      </c>
      <c r="AN277" s="228">
        <v>0</v>
      </c>
      <c r="AO277" s="228">
        <v>0</v>
      </c>
      <c r="AP277" s="228">
        <v>0</v>
      </c>
    </row>
    <row r="278" spans="7:42" ht="14.25" customHeight="1" x14ac:dyDescent="0.2">
      <c r="G278" s="138"/>
      <c r="H278" s="380"/>
      <c r="J278" s="358"/>
      <c r="K278" s="135" t="s">
        <v>355</v>
      </c>
      <c r="L278" s="185" t="s">
        <v>277</v>
      </c>
      <c r="M278" s="226">
        <v>0</v>
      </c>
      <c r="N278" s="226">
        <v>0</v>
      </c>
      <c r="O278" s="226">
        <v>0</v>
      </c>
      <c r="P278" s="226">
        <v>0</v>
      </c>
      <c r="Q278" s="226">
        <v>0</v>
      </c>
      <c r="R278" s="226">
        <v>0</v>
      </c>
      <c r="S278" s="226">
        <v>0</v>
      </c>
      <c r="T278" s="226">
        <v>0</v>
      </c>
      <c r="U278" s="226">
        <v>0</v>
      </c>
      <c r="V278" s="226">
        <v>0</v>
      </c>
      <c r="W278" s="226">
        <v>0</v>
      </c>
      <c r="X278" s="226">
        <v>0</v>
      </c>
      <c r="Y278" s="226">
        <v>0</v>
      </c>
      <c r="Z278" s="226">
        <v>0</v>
      </c>
      <c r="AA278" s="226">
        <v>0</v>
      </c>
      <c r="AB278" s="226">
        <v>0</v>
      </c>
      <c r="AC278" s="226">
        <v>0</v>
      </c>
      <c r="AD278" s="226">
        <v>0</v>
      </c>
      <c r="AE278" s="226">
        <v>0</v>
      </c>
      <c r="AF278" s="226">
        <v>0</v>
      </c>
      <c r="AG278" s="226">
        <v>0</v>
      </c>
      <c r="AH278" s="226">
        <v>0</v>
      </c>
      <c r="AI278" s="226">
        <v>0</v>
      </c>
      <c r="AJ278" s="226">
        <v>0</v>
      </c>
      <c r="AK278" s="226">
        <v>0</v>
      </c>
      <c r="AL278" s="226">
        <v>0</v>
      </c>
      <c r="AM278" s="226">
        <v>0</v>
      </c>
      <c r="AN278" s="226">
        <v>0</v>
      </c>
      <c r="AO278" s="226">
        <v>0</v>
      </c>
      <c r="AP278" s="226">
        <v>0</v>
      </c>
    </row>
    <row r="279" spans="7:42" ht="14.25" customHeight="1" thickBot="1" x14ac:dyDescent="0.25">
      <c r="G279" s="138"/>
      <c r="H279" s="380"/>
      <c r="J279" s="358"/>
      <c r="K279" s="196" t="s">
        <v>355</v>
      </c>
      <c r="L279" s="196" t="s">
        <v>278</v>
      </c>
      <c r="M279" s="227">
        <v>0</v>
      </c>
      <c r="N279" s="227">
        <v>0</v>
      </c>
      <c r="O279" s="227">
        <v>0</v>
      </c>
      <c r="P279" s="227">
        <v>0</v>
      </c>
      <c r="Q279" s="227">
        <v>0</v>
      </c>
      <c r="R279" s="227">
        <v>0</v>
      </c>
      <c r="S279" s="227">
        <v>0</v>
      </c>
      <c r="T279" s="227">
        <v>0</v>
      </c>
      <c r="U279" s="227">
        <v>0</v>
      </c>
      <c r="V279" s="227">
        <v>0</v>
      </c>
      <c r="W279" s="227">
        <v>0</v>
      </c>
      <c r="X279" s="227">
        <v>0</v>
      </c>
      <c r="Y279" s="227">
        <v>0</v>
      </c>
      <c r="Z279" s="227">
        <v>0</v>
      </c>
      <c r="AA279" s="227">
        <v>0</v>
      </c>
      <c r="AB279" s="227">
        <v>0</v>
      </c>
      <c r="AC279" s="227">
        <v>0</v>
      </c>
      <c r="AD279" s="227">
        <v>0</v>
      </c>
      <c r="AE279" s="227">
        <v>0</v>
      </c>
      <c r="AF279" s="227">
        <v>0</v>
      </c>
      <c r="AG279" s="227">
        <v>0</v>
      </c>
      <c r="AH279" s="227">
        <v>0</v>
      </c>
      <c r="AI279" s="227">
        <v>0</v>
      </c>
      <c r="AJ279" s="227">
        <v>0</v>
      </c>
      <c r="AK279" s="227">
        <v>0</v>
      </c>
      <c r="AL279" s="227">
        <v>0</v>
      </c>
      <c r="AM279" s="227">
        <v>0</v>
      </c>
      <c r="AN279" s="227">
        <v>0</v>
      </c>
      <c r="AO279" s="227">
        <v>0</v>
      </c>
      <c r="AP279" s="227">
        <v>0</v>
      </c>
    </row>
    <row r="280" spans="7:42" ht="14.25" customHeight="1" thickTop="1" x14ac:dyDescent="0.2">
      <c r="G280" s="138"/>
      <c r="H280" s="380"/>
      <c r="J280" s="358"/>
      <c r="K280" s="194" t="s">
        <v>357</v>
      </c>
      <c r="L280" s="194" t="s">
        <v>276</v>
      </c>
      <c r="M280" s="228">
        <v>0</v>
      </c>
      <c r="N280" s="228">
        <v>0</v>
      </c>
      <c r="O280" s="228">
        <v>0</v>
      </c>
      <c r="P280" s="228">
        <v>0</v>
      </c>
      <c r="Q280" s="228">
        <v>0</v>
      </c>
      <c r="R280" s="228">
        <v>0</v>
      </c>
      <c r="S280" s="228">
        <v>0</v>
      </c>
      <c r="T280" s="228">
        <v>0</v>
      </c>
      <c r="U280" s="228">
        <v>0</v>
      </c>
      <c r="V280" s="228">
        <v>0</v>
      </c>
      <c r="W280" s="228">
        <v>0</v>
      </c>
      <c r="X280" s="228">
        <v>0</v>
      </c>
      <c r="Y280" s="228">
        <v>0</v>
      </c>
      <c r="Z280" s="228">
        <v>0</v>
      </c>
      <c r="AA280" s="228">
        <v>0</v>
      </c>
      <c r="AB280" s="228">
        <v>0</v>
      </c>
      <c r="AC280" s="228">
        <v>0</v>
      </c>
      <c r="AD280" s="228">
        <v>0</v>
      </c>
      <c r="AE280" s="228">
        <v>0</v>
      </c>
      <c r="AF280" s="228">
        <v>0</v>
      </c>
      <c r="AG280" s="228">
        <v>0</v>
      </c>
      <c r="AH280" s="228">
        <v>0</v>
      </c>
      <c r="AI280" s="228">
        <v>0</v>
      </c>
      <c r="AJ280" s="228">
        <v>0</v>
      </c>
      <c r="AK280" s="228">
        <v>0</v>
      </c>
      <c r="AL280" s="228">
        <v>0</v>
      </c>
      <c r="AM280" s="228">
        <v>0</v>
      </c>
      <c r="AN280" s="228">
        <v>0</v>
      </c>
      <c r="AO280" s="228">
        <v>0</v>
      </c>
      <c r="AP280" s="228">
        <v>0</v>
      </c>
    </row>
    <row r="281" spans="7:42" ht="14.25" customHeight="1" x14ac:dyDescent="0.2">
      <c r="G281" s="138"/>
      <c r="H281" s="380"/>
      <c r="J281" s="358"/>
      <c r="K281" s="135" t="s">
        <v>357</v>
      </c>
      <c r="L281" s="185" t="s">
        <v>277</v>
      </c>
      <c r="M281" s="226">
        <v>0</v>
      </c>
      <c r="N281" s="226">
        <v>0</v>
      </c>
      <c r="O281" s="226">
        <v>0</v>
      </c>
      <c r="P281" s="226">
        <v>0</v>
      </c>
      <c r="Q281" s="226">
        <v>0</v>
      </c>
      <c r="R281" s="226">
        <v>0</v>
      </c>
      <c r="S281" s="226">
        <v>0</v>
      </c>
      <c r="T281" s="226">
        <v>0</v>
      </c>
      <c r="U281" s="226">
        <v>0</v>
      </c>
      <c r="V281" s="226">
        <v>0</v>
      </c>
      <c r="W281" s="226">
        <v>0</v>
      </c>
      <c r="X281" s="226">
        <v>0</v>
      </c>
      <c r="Y281" s="226">
        <v>0</v>
      </c>
      <c r="Z281" s="226">
        <v>0</v>
      </c>
      <c r="AA281" s="226">
        <v>0</v>
      </c>
      <c r="AB281" s="226">
        <v>0</v>
      </c>
      <c r="AC281" s="226">
        <v>0</v>
      </c>
      <c r="AD281" s="226">
        <v>0</v>
      </c>
      <c r="AE281" s="226">
        <v>0</v>
      </c>
      <c r="AF281" s="226">
        <v>0</v>
      </c>
      <c r="AG281" s="226">
        <v>0</v>
      </c>
      <c r="AH281" s="226">
        <v>0</v>
      </c>
      <c r="AI281" s="226">
        <v>0</v>
      </c>
      <c r="AJ281" s="226">
        <v>0</v>
      </c>
      <c r="AK281" s="226">
        <v>0</v>
      </c>
      <c r="AL281" s="226">
        <v>0</v>
      </c>
      <c r="AM281" s="226">
        <v>0</v>
      </c>
      <c r="AN281" s="226">
        <v>0</v>
      </c>
      <c r="AO281" s="226">
        <v>0</v>
      </c>
      <c r="AP281" s="226">
        <v>0</v>
      </c>
    </row>
    <row r="282" spans="7:42" ht="14.25" customHeight="1" thickBot="1" x14ac:dyDescent="0.25">
      <c r="G282" s="138"/>
      <c r="H282" s="380"/>
      <c r="J282" s="358"/>
      <c r="K282" s="196" t="s">
        <v>357</v>
      </c>
      <c r="L282" s="196" t="s">
        <v>278</v>
      </c>
      <c r="M282" s="227">
        <v>0</v>
      </c>
      <c r="N282" s="227">
        <v>0</v>
      </c>
      <c r="O282" s="227">
        <v>0</v>
      </c>
      <c r="P282" s="227">
        <v>0</v>
      </c>
      <c r="Q282" s="227">
        <v>0</v>
      </c>
      <c r="R282" s="227">
        <v>0</v>
      </c>
      <c r="S282" s="227">
        <v>0</v>
      </c>
      <c r="T282" s="227">
        <v>0</v>
      </c>
      <c r="U282" s="227">
        <v>0</v>
      </c>
      <c r="V282" s="227">
        <v>0</v>
      </c>
      <c r="W282" s="227">
        <v>0</v>
      </c>
      <c r="X282" s="227">
        <v>0</v>
      </c>
      <c r="Y282" s="227">
        <v>0</v>
      </c>
      <c r="Z282" s="227">
        <v>0</v>
      </c>
      <c r="AA282" s="227">
        <v>0</v>
      </c>
      <c r="AB282" s="227">
        <v>0</v>
      </c>
      <c r="AC282" s="227">
        <v>0</v>
      </c>
      <c r="AD282" s="227">
        <v>0</v>
      </c>
      <c r="AE282" s="227">
        <v>0</v>
      </c>
      <c r="AF282" s="227">
        <v>0</v>
      </c>
      <c r="AG282" s="227">
        <v>0</v>
      </c>
      <c r="AH282" s="227">
        <v>0</v>
      </c>
      <c r="AI282" s="227">
        <v>0</v>
      </c>
      <c r="AJ282" s="227">
        <v>0</v>
      </c>
      <c r="AK282" s="227">
        <v>0</v>
      </c>
      <c r="AL282" s="227">
        <v>0</v>
      </c>
      <c r="AM282" s="227">
        <v>0</v>
      </c>
      <c r="AN282" s="227">
        <v>0</v>
      </c>
      <c r="AO282" s="227">
        <v>0</v>
      </c>
      <c r="AP282" s="227">
        <v>0</v>
      </c>
    </row>
    <row r="283" spans="7:42" ht="14.25" customHeight="1" thickTop="1" x14ac:dyDescent="0.2">
      <c r="G283" s="138"/>
      <c r="H283" s="380"/>
      <c r="J283" s="358"/>
      <c r="K283" s="194" t="s">
        <v>359</v>
      </c>
      <c r="L283" s="194" t="s">
        <v>276</v>
      </c>
      <c r="M283" s="228">
        <v>0</v>
      </c>
      <c r="N283" s="228">
        <v>0</v>
      </c>
      <c r="O283" s="228">
        <v>0</v>
      </c>
      <c r="P283" s="228">
        <v>0</v>
      </c>
      <c r="Q283" s="228">
        <v>0</v>
      </c>
      <c r="R283" s="228">
        <v>0</v>
      </c>
      <c r="S283" s="228">
        <v>0</v>
      </c>
      <c r="T283" s="228">
        <v>0</v>
      </c>
      <c r="U283" s="228">
        <v>0</v>
      </c>
      <c r="V283" s="228">
        <v>0</v>
      </c>
      <c r="W283" s="228">
        <v>0</v>
      </c>
      <c r="X283" s="228">
        <v>0</v>
      </c>
      <c r="Y283" s="228">
        <v>0</v>
      </c>
      <c r="Z283" s="228">
        <v>0</v>
      </c>
      <c r="AA283" s="228">
        <v>0</v>
      </c>
      <c r="AB283" s="228">
        <v>0</v>
      </c>
      <c r="AC283" s="228">
        <v>0</v>
      </c>
      <c r="AD283" s="228">
        <v>0</v>
      </c>
      <c r="AE283" s="228">
        <v>0</v>
      </c>
      <c r="AF283" s="228">
        <v>0</v>
      </c>
      <c r="AG283" s="228">
        <v>0</v>
      </c>
      <c r="AH283" s="228">
        <v>0</v>
      </c>
      <c r="AI283" s="228">
        <v>0</v>
      </c>
      <c r="AJ283" s="228">
        <v>0</v>
      </c>
      <c r="AK283" s="228">
        <v>0</v>
      </c>
      <c r="AL283" s="228">
        <v>0</v>
      </c>
      <c r="AM283" s="228">
        <v>0</v>
      </c>
      <c r="AN283" s="228">
        <v>0</v>
      </c>
      <c r="AO283" s="228">
        <v>0</v>
      </c>
      <c r="AP283" s="228">
        <v>0</v>
      </c>
    </row>
    <row r="284" spans="7:42" ht="14.25" customHeight="1" x14ac:dyDescent="0.2">
      <c r="G284" s="138"/>
      <c r="H284" s="380"/>
      <c r="J284" s="358"/>
      <c r="K284" s="135" t="s">
        <v>359</v>
      </c>
      <c r="L284" s="185" t="s">
        <v>277</v>
      </c>
      <c r="M284" s="226">
        <v>0</v>
      </c>
      <c r="N284" s="226">
        <v>0</v>
      </c>
      <c r="O284" s="226">
        <v>0</v>
      </c>
      <c r="P284" s="226">
        <v>0</v>
      </c>
      <c r="Q284" s="226">
        <v>0</v>
      </c>
      <c r="R284" s="226">
        <v>0</v>
      </c>
      <c r="S284" s="226">
        <v>0</v>
      </c>
      <c r="T284" s="226">
        <v>0</v>
      </c>
      <c r="U284" s="226">
        <v>0</v>
      </c>
      <c r="V284" s="226">
        <v>0</v>
      </c>
      <c r="W284" s="226">
        <v>0</v>
      </c>
      <c r="X284" s="226">
        <v>0</v>
      </c>
      <c r="Y284" s="226">
        <v>0</v>
      </c>
      <c r="Z284" s="226">
        <v>0</v>
      </c>
      <c r="AA284" s="226">
        <v>0</v>
      </c>
      <c r="AB284" s="226">
        <v>0</v>
      </c>
      <c r="AC284" s="226">
        <v>0</v>
      </c>
      <c r="AD284" s="226">
        <v>0</v>
      </c>
      <c r="AE284" s="226">
        <v>0</v>
      </c>
      <c r="AF284" s="226">
        <v>0</v>
      </c>
      <c r="AG284" s="226">
        <v>0</v>
      </c>
      <c r="AH284" s="226">
        <v>0</v>
      </c>
      <c r="AI284" s="226">
        <v>0</v>
      </c>
      <c r="AJ284" s="226">
        <v>0</v>
      </c>
      <c r="AK284" s="226">
        <v>0</v>
      </c>
      <c r="AL284" s="226">
        <v>0</v>
      </c>
      <c r="AM284" s="226">
        <v>0</v>
      </c>
      <c r="AN284" s="226">
        <v>0</v>
      </c>
      <c r="AO284" s="226">
        <v>0</v>
      </c>
      <c r="AP284" s="226">
        <v>0</v>
      </c>
    </row>
    <row r="285" spans="7:42" ht="14.25" customHeight="1" thickBot="1" x14ac:dyDescent="0.25">
      <c r="G285" s="138"/>
      <c r="H285" s="380"/>
      <c r="J285" s="358"/>
      <c r="K285" s="196" t="s">
        <v>359</v>
      </c>
      <c r="L285" s="196" t="s">
        <v>278</v>
      </c>
      <c r="M285" s="227">
        <v>0</v>
      </c>
      <c r="N285" s="227">
        <v>0</v>
      </c>
      <c r="O285" s="227">
        <v>0</v>
      </c>
      <c r="P285" s="227">
        <v>0</v>
      </c>
      <c r="Q285" s="227">
        <v>0</v>
      </c>
      <c r="R285" s="227">
        <v>0</v>
      </c>
      <c r="S285" s="227">
        <v>0</v>
      </c>
      <c r="T285" s="227">
        <v>0</v>
      </c>
      <c r="U285" s="227">
        <v>0</v>
      </c>
      <c r="V285" s="227">
        <v>0</v>
      </c>
      <c r="W285" s="227">
        <v>0</v>
      </c>
      <c r="X285" s="227">
        <v>0</v>
      </c>
      <c r="Y285" s="227">
        <v>0</v>
      </c>
      <c r="Z285" s="227">
        <v>0</v>
      </c>
      <c r="AA285" s="227">
        <v>0</v>
      </c>
      <c r="AB285" s="227">
        <v>0</v>
      </c>
      <c r="AC285" s="227">
        <v>0</v>
      </c>
      <c r="AD285" s="227">
        <v>0</v>
      </c>
      <c r="AE285" s="227">
        <v>0</v>
      </c>
      <c r="AF285" s="227">
        <v>0</v>
      </c>
      <c r="AG285" s="227">
        <v>0</v>
      </c>
      <c r="AH285" s="227">
        <v>0</v>
      </c>
      <c r="AI285" s="227">
        <v>0</v>
      </c>
      <c r="AJ285" s="227">
        <v>0</v>
      </c>
      <c r="AK285" s="227">
        <v>0</v>
      </c>
      <c r="AL285" s="227">
        <v>0</v>
      </c>
      <c r="AM285" s="227">
        <v>0</v>
      </c>
      <c r="AN285" s="227">
        <v>0</v>
      </c>
      <c r="AO285" s="227">
        <v>0</v>
      </c>
      <c r="AP285" s="227">
        <v>0</v>
      </c>
    </row>
    <row r="286" spans="7:42" ht="14.25" customHeight="1" thickTop="1" x14ac:dyDescent="0.2">
      <c r="G286" s="138"/>
      <c r="H286" s="380"/>
      <c r="J286" s="358"/>
      <c r="K286" s="194" t="s">
        <v>361</v>
      </c>
      <c r="L286" s="194" t="s">
        <v>276</v>
      </c>
      <c r="M286" s="228">
        <v>0</v>
      </c>
      <c r="N286" s="228">
        <v>0</v>
      </c>
      <c r="O286" s="228">
        <v>0</v>
      </c>
      <c r="P286" s="228">
        <v>0</v>
      </c>
      <c r="Q286" s="228">
        <v>0</v>
      </c>
      <c r="R286" s="228">
        <v>0</v>
      </c>
      <c r="S286" s="228">
        <v>0</v>
      </c>
      <c r="T286" s="228">
        <v>0</v>
      </c>
      <c r="U286" s="228">
        <v>0</v>
      </c>
      <c r="V286" s="228">
        <v>0</v>
      </c>
      <c r="W286" s="228">
        <v>0</v>
      </c>
      <c r="X286" s="228">
        <v>0</v>
      </c>
      <c r="Y286" s="228">
        <v>0</v>
      </c>
      <c r="Z286" s="228">
        <v>0</v>
      </c>
      <c r="AA286" s="228">
        <v>0</v>
      </c>
      <c r="AB286" s="228">
        <v>0</v>
      </c>
      <c r="AC286" s="228">
        <v>0</v>
      </c>
      <c r="AD286" s="228">
        <v>0</v>
      </c>
      <c r="AE286" s="228">
        <v>0</v>
      </c>
      <c r="AF286" s="228">
        <v>0</v>
      </c>
      <c r="AG286" s="228">
        <v>0</v>
      </c>
      <c r="AH286" s="228">
        <v>0</v>
      </c>
      <c r="AI286" s="228">
        <v>0</v>
      </c>
      <c r="AJ286" s="228">
        <v>0</v>
      </c>
      <c r="AK286" s="228">
        <v>0</v>
      </c>
      <c r="AL286" s="228">
        <v>0</v>
      </c>
      <c r="AM286" s="228">
        <v>0</v>
      </c>
      <c r="AN286" s="228">
        <v>0</v>
      </c>
      <c r="AO286" s="228">
        <v>0</v>
      </c>
      <c r="AP286" s="228">
        <v>0</v>
      </c>
    </row>
    <row r="287" spans="7:42" ht="14.25" customHeight="1" x14ac:dyDescent="0.2">
      <c r="G287" s="138"/>
      <c r="H287" s="380"/>
      <c r="J287" s="358"/>
      <c r="K287" s="135" t="s">
        <v>361</v>
      </c>
      <c r="L287" s="185" t="s">
        <v>277</v>
      </c>
      <c r="M287" s="226">
        <v>0</v>
      </c>
      <c r="N287" s="226">
        <v>0</v>
      </c>
      <c r="O287" s="226">
        <v>0</v>
      </c>
      <c r="P287" s="226">
        <v>0</v>
      </c>
      <c r="Q287" s="226">
        <v>0</v>
      </c>
      <c r="R287" s="226">
        <v>0</v>
      </c>
      <c r="S287" s="226">
        <v>0</v>
      </c>
      <c r="T287" s="226">
        <v>0</v>
      </c>
      <c r="U287" s="226">
        <v>0</v>
      </c>
      <c r="V287" s="226">
        <v>0</v>
      </c>
      <c r="W287" s="226">
        <v>0</v>
      </c>
      <c r="X287" s="226">
        <v>0</v>
      </c>
      <c r="Y287" s="226">
        <v>0</v>
      </c>
      <c r="Z287" s="226">
        <v>0</v>
      </c>
      <c r="AA287" s="226">
        <v>0</v>
      </c>
      <c r="AB287" s="226">
        <v>0</v>
      </c>
      <c r="AC287" s="226">
        <v>0</v>
      </c>
      <c r="AD287" s="226">
        <v>0</v>
      </c>
      <c r="AE287" s="226">
        <v>0</v>
      </c>
      <c r="AF287" s="226">
        <v>0</v>
      </c>
      <c r="AG287" s="226">
        <v>0</v>
      </c>
      <c r="AH287" s="226">
        <v>0</v>
      </c>
      <c r="AI287" s="226">
        <v>0</v>
      </c>
      <c r="AJ287" s="226">
        <v>0</v>
      </c>
      <c r="AK287" s="226">
        <v>0</v>
      </c>
      <c r="AL287" s="226">
        <v>0</v>
      </c>
      <c r="AM287" s="226">
        <v>0</v>
      </c>
      <c r="AN287" s="226">
        <v>0</v>
      </c>
      <c r="AO287" s="226">
        <v>0</v>
      </c>
      <c r="AP287" s="226">
        <v>0</v>
      </c>
    </row>
    <row r="288" spans="7:42" ht="14.25" customHeight="1" thickBot="1" x14ac:dyDescent="0.25">
      <c r="G288" s="138"/>
      <c r="H288" s="380"/>
      <c r="J288" s="358"/>
      <c r="K288" s="196" t="s">
        <v>361</v>
      </c>
      <c r="L288" s="196" t="s">
        <v>278</v>
      </c>
      <c r="M288" s="227">
        <v>0</v>
      </c>
      <c r="N288" s="227">
        <v>0</v>
      </c>
      <c r="O288" s="227">
        <v>0</v>
      </c>
      <c r="P288" s="227">
        <v>0</v>
      </c>
      <c r="Q288" s="227">
        <v>0</v>
      </c>
      <c r="R288" s="227">
        <v>0</v>
      </c>
      <c r="S288" s="227">
        <v>0</v>
      </c>
      <c r="T288" s="227">
        <v>0</v>
      </c>
      <c r="U288" s="227">
        <v>0</v>
      </c>
      <c r="V288" s="227">
        <v>0</v>
      </c>
      <c r="W288" s="227">
        <v>0</v>
      </c>
      <c r="X288" s="227">
        <v>0</v>
      </c>
      <c r="Y288" s="227">
        <v>0</v>
      </c>
      <c r="Z288" s="227">
        <v>0</v>
      </c>
      <c r="AA288" s="227">
        <v>0</v>
      </c>
      <c r="AB288" s="227">
        <v>0</v>
      </c>
      <c r="AC288" s="227">
        <v>0</v>
      </c>
      <c r="AD288" s="227">
        <v>0</v>
      </c>
      <c r="AE288" s="227">
        <v>0</v>
      </c>
      <c r="AF288" s="227">
        <v>0</v>
      </c>
      <c r="AG288" s="227">
        <v>0</v>
      </c>
      <c r="AH288" s="227">
        <v>0</v>
      </c>
      <c r="AI288" s="227">
        <v>0</v>
      </c>
      <c r="AJ288" s="227">
        <v>0</v>
      </c>
      <c r="AK288" s="227">
        <v>0</v>
      </c>
      <c r="AL288" s="227">
        <v>0</v>
      </c>
      <c r="AM288" s="227">
        <v>0</v>
      </c>
      <c r="AN288" s="227">
        <v>0</v>
      </c>
      <c r="AO288" s="227">
        <v>0</v>
      </c>
      <c r="AP288" s="227">
        <v>0</v>
      </c>
    </row>
    <row r="289" spans="7:42" ht="14.25" customHeight="1" thickTop="1" x14ac:dyDescent="0.2">
      <c r="G289" s="138"/>
      <c r="H289" s="380"/>
      <c r="J289" s="358"/>
      <c r="K289" s="194" t="s">
        <v>363</v>
      </c>
      <c r="L289" s="194" t="s">
        <v>276</v>
      </c>
      <c r="M289" s="228">
        <v>0</v>
      </c>
      <c r="N289" s="228">
        <v>0</v>
      </c>
      <c r="O289" s="228">
        <v>0</v>
      </c>
      <c r="P289" s="228">
        <v>0</v>
      </c>
      <c r="Q289" s="228">
        <v>0</v>
      </c>
      <c r="R289" s="228">
        <v>0</v>
      </c>
      <c r="S289" s="228">
        <v>0</v>
      </c>
      <c r="T289" s="228">
        <v>0</v>
      </c>
      <c r="U289" s="228">
        <v>0</v>
      </c>
      <c r="V289" s="228">
        <v>0</v>
      </c>
      <c r="W289" s="228">
        <v>0</v>
      </c>
      <c r="X289" s="228">
        <v>0</v>
      </c>
      <c r="Y289" s="228">
        <v>0</v>
      </c>
      <c r="Z289" s="228">
        <v>0</v>
      </c>
      <c r="AA289" s="228">
        <v>0</v>
      </c>
      <c r="AB289" s="228">
        <v>0</v>
      </c>
      <c r="AC289" s="228">
        <v>0</v>
      </c>
      <c r="AD289" s="228">
        <v>0</v>
      </c>
      <c r="AE289" s="228">
        <v>0</v>
      </c>
      <c r="AF289" s="228">
        <v>0</v>
      </c>
      <c r="AG289" s="228">
        <v>0</v>
      </c>
      <c r="AH289" s="228">
        <v>0</v>
      </c>
      <c r="AI289" s="228">
        <v>0</v>
      </c>
      <c r="AJ289" s="228">
        <v>0</v>
      </c>
      <c r="AK289" s="228">
        <v>0</v>
      </c>
      <c r="AL289" s="228">
        <v>0</v>
      </c>
      <c r="AM289" s="228">
        <v>0</v>
      </c>
      <c r="AN289" s="228">
        <v>0</v>
      </c>
      <c r="AO289" s="228">
        <v>0</v>
      </c>
      <c r="AP289" s="228">
        <v>0</v>
      </c>
    </row>
    <row r="290" spans="7:42" ht="14.25" customHeight="1" x14ac:dyDescent="0.2">
      <c r="G290" s="138"/>
      <c r="H290" s="380"/>
      <c r="J290" s="358"/>
      <c r="K290" s="135" t="s">
        <v>363</v>
      </c>
      <c r="L290" s="185" t="s">
        <v>277</v>
      </c>
      <c r="M290" s="226">
        <v>0</v>
      </c>
      <c r="N290" s="226">
        <v>0</v>
      </c>
      <c r="O290" s="226">
        <v>0</v>
      </c>
      <c r="P290" s="226">
        <v>0</v>
      </c>
      <c r="Q290" s="226">
        <v>0</v>
      </c>
      <c r="R290" s="226">
        <v>0</v>
      </c>
      <c r="S290" s="226">
        <v>0</v>
      </c>
      <c r="T290" s="226">
        <v>0</v>
      </c>
      <c r="U290" s="226">
        <v>0</v>
      </c>
      <c r="V290" s="226">
        <v>0</v>
      </c>
      <c r="W290" s="226">
        <v>0</v>
      </c>
      <c r="X290" s="226">
        <v>0</v>
      </c>
      <c r="Y290" s="226">
        <v>0</v>
      </c>
      <c r="Z290" s="226">
        <v>0</v>
      </c>
      <c r="AA290" s="226">
        <v>0</v>
      </c>
      <c r="AB290" s="226">
        <v>0</v>
      </c>
      <c r="AC290" s="226">
        <v>0</v>
      </c>
      <c r="AD290" s="226">
        <v>0</v>
      </c>
      <c r="AE290" s="226">
        <v>0</v>
      </c>
      <c r="AF290" s="226">
        <v>0</v>
      </c>
      <c r="AG290" s="226">
        <v>0</v>
      </c>
      <c r="AH290" s="226">
        <v>0</v>
      </c>
      <c r="AI290" s="226">
        <v>0</v>
      </c>
      <c r="AJ290" s="226">
        <v>0</v>
      </c>
      <c r="AK290" s="226">
        <v>0</v>
      </c>
      <c r="AL290" s="226">
        <v>0</v>
      </c>
      <c r="AM290" s="226">
        <v>0</v>
      </c>
      <c r="AN290" s="226">
        <v>0</v>
      </c>
      <c r="AO290" s="226">
        <v>0</v>
      </c>
      <c r="AP290" s="226">
        <v>0</v>
      </c>
    </row>
    <row r="291" spans="7:42" ht="14.25" customHeight="1" thickBot="1" x14ac:dyDescent="0.25">
      <c r="G291" s="138"/>
      <c r="H291" s="380"/>
      <c r="J291" s="358"/>
      <c r="K291" s="196" t="s">
        <v>363</v>
      </c>
      <c r="L291" s="196" t="s">
        <v>278</v>
      </c>
      <c r="M291" s="227">
        <v>0</v>
      </c>
      <c r="N291" s="227">
        <v>0</v>
      </c>
      <c r="O291" s="227">
        <v>0</v>
      </c>
      <c r="P291" s="227">
        <v>0</v>
      </c>
      <c r="Q291" s="227">
        <v>0</v>
      </c>
      <c r="R291" s="227">
        <v>0</v>
      </c>
      <c r="S291" s="227">
        <v>0</v>
      </c>
      <c r="T291" s="227">
        <v>0</v>
      </c>
      <c r="U291" s="227">
        <v>0</v>
      </c>
      <c r="V291" s="227">
        <v>0</v>
      </c>
      <c r="W291" s="227">
        <v>0</v>
      </c>
      <c r="X291" s="227">
        <v>0</v>
      </c>
      <c r="Y291" s="227">
        <v>0</v>
      </c>
      <c r="Z291" s="227">
        <v>0</v>
      </c>
      <c r="AA291" s="227">
        <v>0</v>
      </c>
      <c r="AB291" s="227">
        <v>0</v>
      </c>
      <c r="AC291" s="227">
        <v>0</v>
      </c>
      <c r="AD291" s="227">
        <v>0</v>
      </c>
      <c r="AE291" s="227">
        <v>0</v>
      </c>
      <c r="AF291" s="227">
        <v>0</v>
      </c>
      <c r="AG291" s="227">
        <v>0</v>
      </c>
      <c r="AH291" s="227">
        <v>0</v>
      </c>
      <c r="AI291" s="227">
        <v>0</v>
      </c>
      <c r="AJ291" s="227">
        <v>0</v>
      </c>
      <c r="AK291" s="227">
        <v>0</v>
      </c>
      <c r="AL291" s="227">
        <v>0</v>
      </c>
      <c r="AM291" s="227">
        <v>0</v>
      </c>
      <c r="AN291" s="227">
        <v>0</v>
      </c>
      <c r="AO291" s="227">
        <v>0</v>
      </c>
      <c r="AP291" s="227">
        <v>0</v>
      </c>
    </row>
    <row r="292" spans="7:42" ht="14.25" customHeight="1" thickTop="1" x14ac:dyDescent="0.2">
      <c r="G292" s="138"/>
      <c r="H292" s="380"/>
      <c r="J292" s="358"/>
      <c r="K292" s="194" t="s">
        <v>366</v>
      </c>
      <c r="L292" s="194" t="s">
        <v>276</v>
      </c>
      <c r="M292" s="228">
        <v>0</v>
      </c>
      <c r="N292" s="228">
        <v>0</v>
      </c>
      <c r="O292" s="228">
        <v>0</v>
      </c>
      <c r="P292" s="228">
        <v>0</v>
      </c>
      <c r="Q292" s="228">
        <v>0</v>
      </c>
      <c r="R292" s="228">
        <v>0</v>
      </c>
      <c r="S292" s="228">
        <v>0</v>
      </c>
      <c r="T292" s="228">
        <v>0</v>
      </c>
      <c r="U292" s="228">
        <v>0</v>
      </c>
      <c r="V292" s="228">
        <v>0</v>
      </c>
      <c r="W292" s="228">
        <v>0</v>
      </c>
      <c r="X292" s="228">
        <v>0</v>
      </c>
      <c r="Y292" s="228">
        <v>0</v>
      </c>
      <c r="Z292" s="228">
        <v>0</v>
      </c>
      <c r="AA292" s="228">
        <v>0</v>
      </c>
      <c r="AB292" s="228">
        <v>0</v>
      </c>
      <c r="AC292" s="228">
        <v>0</v>
      </c>
      <c r="AD292" s="228">
        <v>0</v>
      </c>
      <c r="AE292" s="228">
        <v>0</v>
      </c>
      <c r="AF292" s="228">
        <v>0</v>
      </c>
      <c r="AG292" s="228">
        <v>0</v>
      </c>
      <c r="AH292" s="228">
        <v>0</v>
      </c>
      <c r="AI292" s="228">
        <v>0</v>
      </c>
      <c r="AJ292" s="228">
        <v>0</v>
      </c>
      <c r="AK292" s="228">
        <v>0</v>
      </c>
      <c r="AL292" s="228">
        <v>0</v>
      </c>
      <c r="AM292" s="228">
        <v>0</v>
      </c>
      <c r="AN292" s="228">
        <v>0</v>
      </c>
      <c r="AO292" s="228">
        <v>0</v>
      </c>
      <c r="AP292" s="228">
        <v>0</v>
      </c>
    </row>
    <row r="293" spans="7:42" ht="14.25" customHeight="1" x14ac:dyDescent="0.2">
      <c r="G293" s="138"/>
      <c r="H293" s="380"/>
      <c r="J293" s="358"/>
      <c r="K293" s="135" t="s">
        <v>366</v>
      </c>
      <c r="L293" s="185" t="s">
        <v>277</v>
      </c>
      <c r="M293" s="226">
        <v>0</v>
      </c>
      <c r="N293" s="226">
        <v>0</v>
      </c>
      <c r="O293" s="226">
        <v>0</v>
      </c>
      <c r="P293" s="226">
        <v>0</v>
      </c>
      <c r="Q293" s="226">
        <v>0</v>
      </c>
      <c r="R293" s="226">
        <v>0</v>
      </c>
      <c r="S293" s="226">
        <v>0</v>
      </c>
      <c r="T293" s="226">
        <v>0</v>
      </c>
      <c r="U293" s="226">
        <v>0</v>
      </c>
      <c r="V293" s="226">
        <v>0</v>
      </c>
      <c r="W293" s="226">
        <v>0</v>
      </c>
      <c r="X293" s="226">
        <v>0</v>
      </c>
      <c r="Y293" s="226">
        <v>0</v>
      </c>
      <c r="Z293" s="226">
        <v>0</v>
      </c>
      <c r="AA293" s="226">
        <v>0</v>
      </c>
      <c r="AB293" s="226">
        <v>0</v>
      </c>
      <c r="AC293" s="226">
        <v>0</v>
      </c>
      <c r="AD293" s="226">
        <v>0</v>
      </c>
      <c r="AE293" s="226">
        <v>0</v>
      </c>
      <c r="AF293" s="226">
        <v>0</v>
      </c>
      <c r="AG293" s="226">
        <v>0</v>
      </c>
      <c r="AH293" s="226">
        <v>0</v>
      </c>
      <c r="AI293" s="226">
        <v>0</v>
      </c>
      <c r="AJ293" s="226">
        <v>0</v>
      </c>
      <c r="AK293" s="226">
        <v>0</v>
      </c>
      <c r="AL293" s="226">
        <v>0</v>
      </c>
      <c r="AM293" s="226">
        <v>0</v>
      </c>
      <c r="AN293" s="226">
        <v>0</v>
      </c>
      <c r="AO293" s="226">
        <v>0</v>
      </c>
      <c r="AP293" s="226">
        <v>0</v>
      </c>
    </row>
    <row r="294" spans="7:42" ht="14.25" customHeight="1" thickBot="1" x14ac:dyDescent="0.25">
      <c r="G294" s="138"/>
      <c r="H294" s="380"/>
      <c r="J294" s="358"/>
      <c r="K294" s="196" t="s">
        <v>366</v>
      </c>
      <c r="L294" s="196" t="s">
        <v>278</v>
      </c>
      <c r="M294" s="227">
        <v>0</v>
      </c>
      <c r="N294" s="227">
        <v>0</v>
      </c>
      <c r="O294" s="227">
        <v>0</v>
      </c>
      <c r="P294" s="227">
        <v>0</v>
      </c>
      <c r="Q294" s="227">
        <v>0</v>
      </c>
      <c r="R294" s="227">
        <v>0</v>
      </c>
      <c r="S294" s="227">
        <v>0</v>
      </c>
      <c r="T294" s="227">
        <v>0</v>
      </c>
      <c r="U294" s="227">
        <v>0</v>
      </c>
      <c r="V294" s="227">
        <v>0</v>
      </c>
      <c r="W294" s="227">
        <v>0</v>
      </c>
      <c r="X294" s="227">
        <v>0</v>
      </c>
      <c r="Y294" s="227">
        <v>0</v>
      </c>
      <c r="Z294" s="227">
        <v>0</v>
      </c>
      <c r="AA294" s="227">
        <v>0</v>
      </c>
      <c r="AB294" s="227">
        <v>0</v>
      </c>
      <c r="AC294" s="227">
        <v>0</v>
      </c>
      <c r="AD294" s="227">
        <v>0</v>
      </c>
      <c r="AE294" s="227">
        <v>0</v>
      </c>
      <c r="AF294" s="227">
        <v>0</v>
      </c>
      <c r="AG294" s="227">
        <v>0</v>
      </c>
      <c r="AH294" s="227">
        <v>0</v>
      </c>
      <c r="AI294" s="227">
        <v>0</v>
      </c>
      <c r="AJ294" s="227">
        <v>0</v>
      </c>
      <c r="AK294" s="227">
        <v>0</v>
      </c>
      <c r="AL294" s="227">
        <v>0</v>
      </c>
      <c r="AM294" s="227">
        <v>0</v>
      </c>
      <c r="AN294" s="227">
        <v>0</v>
      </c>
      <c r="AO294" s="227">
        <v>0</v>
      </c>
      <c r="AP294" s="227">
        <v>0</v>
      </c>
    </row>
    <row r="295" spans="7:42" ht="14.25" customHeight="1" thickTop="1" x14ac:dyDescent="0.2">
      <c r="G295" s="138"/>
      <c r="H295" s="380"/>
      <c r="J295" s="358"/>
      <c r="K295" s="194" t="s">
        <v>369</v>
      </c>
      <c r="L295" s="194" t="s">
        <v>276</v>
      </c>
      <c r="M295" s="228">
        <v>0</v>
      </c>
      <c r="N295" s="228">
        <v>0</v>
      </c>
      <c r="O295" s="228">
        <v>0</v>
      </c>
      <c r="P295" s="228">
        <v>0</v>
      </c>
      <c r="Q295" s="228">
        <v>0</v>
      </c>
      <c r="R295" s="228">
        <v>0</v>
      </c>
      <c r="S295" s="228">
        <v>0</v>
      </c>
      <c r="T295" s="228">
        <v>0</v>
      </c>
      <c r="U295" s="228">
        <v>0</v>
      </c>
      <c r="V295" s="228">
        <v>0</v>
      </c>
      <c r="W295" s="228">
        <v>0</v>
      </c>
      <c r="X295" s="228">
        <v>0</v>
      </c>
      <c r="Y295" s="228">
        <v>0</v>
      </c>
      <c r="Z295" s="228">
        <v>0</v>
      </c>
      <c r="AA295" s="228">
        <v>0</v>
      </c>
      <c r="AB295" s="228">
        <v>0</v>
      </c>
      <c r="AC295" s="228">
        <v>0</v>
      </c>
      <c r="AD295" s="228">
        <v>0</v>
      </c>
      <c r="AE295" s="228">
        <v>0</v>
      </c>
      <c r="AF295" s="228">
        <v>0</v>
      </c>
      <c r="AG295" s="228">
        <v>0</v>
      </c>
      <c r="AH295" s="228">
        <v>0</v>
      </c>
      <c r="AI295" s="228">
        <v>0</v>
      </c>
      <c r="AJ295" s="228">
        <v>0</v>
      </c>
      <c r="AK295" s="228">
        <v>0</v>
      </c>
      <c r="AL295" s="228">
        <v>0</v>
      </c>
      <c r="AM295" s="228">
        <v>0</v>
      </c>
      <c r="AN295" s="228">
        <v>0</v>
      </c>
      <c r="AO295" s="228">
        <v>0</v>
      </c>
      <c r="AP295" s="228">
        <v>0</v>
      </c>
    </row>
    <row r="296" spans="7:42" ht="14.25" customHeight="1" x14ac:dyDescent="0.2">
      <c r="G296" s="138"/>
      <c r="H296" s="380"/>
      <c r="J296" s="358"/>
      <c r="K296" s="135" t="s">
        <v>369</v>
      </c>
      <c r="L296" s="185" t="s">
        <v>277</v>
      </c>
      <c r="M296" s="226">
        <v>0</v>
      </c>
      <c r="N296" s="226">
        <v>0</v>
      </c>
      <c r="O296" s="226">
        <v>0</v>
      </c>
      <c r="P296" s="226">
        <v>0</v>
      </c>
      <c r="Q296" s="226">
        <v>0</v>
      </c>
      <c r="R296" s="226">
        <v>0</v>
      </c>
      <c r="S296" s="226">
        <v>0</v>
      </c>
      <c r="T296" s="226">
        <v>0</v>
      </c>
      <c r="U296" s="226">
        <v>0</v>
      </c>
      <c r="V296" s="226">
        <v>0</v>
      </c>
      <c r="W296" s="226">
        <v>0</v>
      </c>
      <c r="X296" s="226">
        <v>0</v>
      </c>
      <c r="Y296" s="226">
        <v>0</v>
      </c>
      <c r="Z296" s="226">
        <v>0</v>
      </c>
      <c r="AA296" s="226">
        <v>0</v>
      </c>
      <c r="AB296" s="226">
        <v>0</v>
      </c>
      <c r="AC296" s="226">
        <v>0</v>
      </c>
      <c r="AD296" s="226">
        <v>0</v>
      </c>
      <c r="AE296" s="226">
        <v>0</v>
      </c>
      <c r="AF296" s="226">
        <v>0</v>
      </c>
      <c r="AG296" s="226">
        <v>0</v>
      </c>
      <c r="AH296" s="226">
        <v>0</v>
      </c>
      <c r="AI296" s="226">
        <v>0</v>
      </c>
      <c r="AJ296" s="226">
        <v>0</v>
      </c>
      <c r="AK296" s="226">
        <v>0</v>
      </c>
      <c r="AL296" s="226">
        <v>0</v>
      </c>
      <c r="AM296" s="226">
        <v>0</v>
      </c>
      <c r="AN296" s="226">
        <v>0</v>
      </c>
      <c r="AO296" s="226">
        <v>0</v>
      </c>
      <c r="AP296" s="226">
        <v>0</v>
      </c>
    </row>
    <row r="297" spans="7:42" ht="14.25" customHeight="1" x14ac:dyDescent="0.2">
      <c r="G297" s="138"/>
      <c r="H297" s="380"/>
      <c r="J297" s="368"/>
      <c r="K297" s="196" t="s">
        <v>369</v>
      </c>
      <c r="L297" s="196" t="s">
        <v>278</v>
      </c>
      <c r="M297" s="229">
        <v>0</v>
      </c>
      <c r="N297" s="229">
        <v>0</v>
      </c>
      <c r="O297" s="229">
        <v>0</v>
      </c>
      <c r="P297" s="229">
        <v>0</v>
      </c>
      <c r="Q297" s="229">
        <v>0</v>
      </c>
      <c r="R297" s="229">
        <v>0</v>
      </c>
      <c r="S297" s="229">
        <v>0</v>
      </c>
      <c r="T297" s="229">
        <v>0</v>
      </c>
      <c r="U297" s="229">
        <v>0</v>
      </c>
      <c r="V297" s="229">
        <v>0</v>
      </c>
      <c r="W297" s="229">
        <v>0</v>
      </c>
      <c r="X297" s="229">
        <v>0</v>
      </c>
      <c r="Y297" s="229">
        <v>0</v>
      </c>
      <c r="Z297" s="229">
        <v>0</v>
      </c>
      <c r="AA297" s="229">
        <v>0</v>
      </c>
      <c r="AB297" s="229">
        <v>0</v>
      </c>
      <c r="AC297" s="229">
        <v>0</v>
      </c>
      <c r="AD297" s="229">
        <v>0</v>
      </c>
      <c r="AE297" s="229">
        <v>0</v>
      </c>
      <c r="AF297" s="229">
        <v>0</v>
      </c>
      <c r="AG297" s="229">
        <v>0</v>
      </c>
      <c r="AH297" s="229">
        <v>0</v>
      </c>
      <c r="AI297" s="229">
        <v>0</v>
      </c>
      <c r="AJ297" s="229">
        <v>0</v>
      </c>
      <c r="AK297" s="229">
        <v>0</v>
      </c>
      <c r="AL297" s="229">
        <v>0</v>
      </c>
      <c r="AM297" s="229">
        <v>0</v>
      </c>
      <c r="AN297" s="229">
        <v>0</v>
      </c>
      <c r="AO297" s="229">
        <v>0</v>
      </c>
      <c r="AP297" s="229">
        <v>0</v>
      </c>
    </row>
    <row r="298" spans="7:42" ht="14.25" customHeight="1" thickBot="1" x14ac:dyDescent="0.25">
      <c r="G298" s="138"/>
      <c r="H298" s="230"/>
      <c r="I298" s="230"/>
      <c r="J298" s="230"/>
      <c r="K298" s="230"/>
      <c r="L298" s="230"/>
      <c r="M298" s="230"/>
      <c r="N298" s="230"/>
      <c r="O298" s="230"/>
      <c r="P298" s="230"/>
      <c r="Q298" s="230"/>
      <c r="R298" s="230"/>
      <c r="S298" s="230"/>
      <c r="T298" s="230"/>
      <c r="U298" s="230"/>
      <c r="V298" s="230"/>
      <c r="W298" s="230"/>
      <c r="X298" s="230"/>
      <c r="Y298" s="230"/>
      <c r="Z298" s="230"/>
      <c r="AA298" s="230"/>
      <c r="AB298" s="230"/>
      <c r="AC298" s="230"/>
      <c r="AD298" s="230"/>
      <c r="AE298" s="230"/>
      <c r="AF298" s="230"/>
      <c r="AG298" s="230"/>
      <c r="AH298" s="230"/>
      <c r="AI298" s="230"/>
      <c r="AJ298" s="230"/>
      <c r="AK298" s="230"/>
      <c r="AL298" s="230"/>
      <c r="AM298" s="230"/>
      <c r="AN298" s="230"/>
      <c r="AO298" s="230"/>
      <c r="AP298" s="230"/>
    </row>
    <row r="299" spans="7:42" ht="14.25" customHeight="1" x14ac:dyDescent="0.2">
      <c r="G299" s="138"/>
      <c r="H299" s="231"/>
      <c r="I299" s="231"/>
    </row>
    <row r="300" spans="7:42" ht="14.25" customHeight="1" x14ac:dyDescent="0.2">
      <c r="G300" s="138"/>
      <c r="M300" s="123">
        <v>2021</v>
      </c>
      <c r="N300" s="123">
        <v>2022</v>
      </c>
      <c r="O300" s="123">
        <v>2023</v>
      </c>
      <c r="P300" s="123">
        <v>2024</v>
      </c>
      <c r="Q300" s="123">
        <v>2025</v>
      </c>
      <c r="R300" s="123">
        <v>2026</v>
      </c>
      <c r="S300" s="123">
        <v>2027</v>
      </c>
      <c r="T300" s="123">
        <v>2028</v>
      </c>
      <c r="U300" s="123">
        <v>2029</v>
      </c>
      <c r="V300" s="123">
        <v>2030</v>
      </c>
      <c r="W300" s="123">
        <v>2031</v>
      </c>
      <c r="X300" s="123">
        <v>2032</v>
      </c>
      <c r="Y300" s="123">
        <v>2033</v>
      </c>
      <c r="Z300" s="123">
        <v>2034</v>
      </c>
      <c r="AA300" s="123">
        <v>2035</v>
      </c>
      <c r="AB300" s="123">
        <v>2036</v>
      </c>
      <c r="AC300" s="123">
        <v>2037</v>
      </c>
      <c r="AD300" s="123">
        <v>2038</v>
      </c>
      <c r="AE300" s="123">
        <v>2039</v>
      </c>
      <c r="AF300" s="123">
        <v>2040</v>
      </c>
      <c r="AG300" s="123">
        <v>2041</v>
      </c>
      <c r="AH300" s="123">
        <v>2042</v>
      </c>
      <c r="AI300" s="123">
        <v>2043</v>
      </c>
      <c r="AJ300" s="123">
        <v>2044</v>
      </c>
      <c r="AK300" s="123">
        <v>2045</v>
      </c>
      <c r="AL300" s="123">
        <v>2046</v>
      </c>
      <c r="AM300" s="123">
        <v>2047</v>
      </c>
      <c r="AN300" s="123">
        <v>2048</v>
      </c>
      <c r="AO300" s="123">
        <v>2049</v>
      </c>
      <c r="AP300" s="123">
        <v>2050</v>
      </c>
    </row>
    <row r="301" spans="7:42" ht="14.25" customHeight="1" x14ac:dyDescent="0.2">
      <c r="G301" s="138"/>
      <c r="H301" s="441" t="s">
        <v>300</v>
      </c>
      <c r="J301" s="367" t="s">
        <v>301</v>
      </c>
      <c r="K301" s="194" t="s">
        <v>348</v>
      </c>
      <c r="L301" s="194" t="s">
        <v>276</v>
      </c>
      <c r="M301" s="220">
        <v>0</v>
      </c>
      <c r="N301" s="220">
        <v>0</v>
      </c>
      <c r="O301" s="220">
        <v>0</v>
      </c>
      <c r="P301" s="220">
        <v>0</v>
      </c>
      <c r="Q301" s="220">
        <v>0</v>
      </c>
      <c r="R301" s="220">
        <v>0</v>
      </c>
      <c r="S301" s="220">
        <v>0</v>
      </c>
      <c r="T301" s="220">
        <v>0</v>
      </c>
      <c r="U301" s="220">
        <v>0</v>
      </c>
      <c r="V301" s="220">
        <v>0</v>
      </c>
      <c r="W301" s="220">
        <v>0</v>
      </c>
      <c r="X301" s="220">
        <v>0</v>
      </c>
      <c r="Y301" s="220">
        <v>0</v>
      </c>
      <c r="Z301" s="220">
        <v>0</v>
      </c>
      <c r="AA301" s="220">
        <v>0</v>
      </c>
      <c r="AB301" s="220">
        <v>0</v>
      </c>
      <c r="AC301" s="220">
        <v>0</v>
      </c>
      <c r="AD301" s="220">
        <v>0</v>
      </c>
      <c r="AE301" s="220">
        <v>0</v>
      </c>
      <c r="AF301" s="220">
        <v>0</v>
      </c>
      <c r="AG301" s="220">
        <v>0</v>
      </c>
      <c r="AH301" s="220">
        <v>0</v>
      </c>
      <c r="AI301" s="220">
        <v>0</v>
      </c>
      <c r="AJ301" s="220">
        <v>0</v>
      </c>
      <c r="AK301" s="220">
        <v>0</v>
      </c>
      <c r="AL301" s="220">
        <v>0</v>
      </c>
      <c r="AM301" s="220">
        <v>0</v>
      </c>
      <c r="AN301" s="220">
        <v>0</v>
      </c>
      <c r="AO301" s="220">
        <v>0</v>
      </c>
      <c r="AP301" s="220">
        <v>0</v>
      </c>
    </row>
    <row r="302" spans="7:42" ht="14.25" customHeight="1" x14ac:dyDescent="0.2">
      <c r="G302" s="138"/>
      <c r="H302" s="380"/>
      <c r="J302" s="358"/>
      <c r="K302" s="135" t="s">
        <v>348</v>
      </c>
      <c r="L302" s="185" t="s">
        <v>277</v>
      </c>
      <c r="M302" s="221">
        <v>0</v>
      </c>
      <c r="N302" s="221">
        <v>0</v>
      </c>
      <c r="O302" s="221">
        <v>0</v>
      </c>
      <c r="P302" s="221">
        <v>0</v>
      </c>
      <c r="Q302" s="221">
        <v>0</v>
      </c>
      <c r="R302" s="221">
        <v>0</v>
      </c>
      <c r="S302" s="221">
        <v>0</v>
      </c>
      <c r="T302" s="221">
        <v>0</v>
      </c>
      <c r="U302" s="221">
        <v>0</v>
      </c>
      <c r="V302" s="221">
        <v>0</v>
      </c>
      <c r="W302" s="221">
        <v>0</v>
      </c>
      <c r="X302" s="221">
        <v>0</v>
      </c>
      <c r="Y302" s="221">
        <v>0</v>
      </c>
      <c r="Z302" s="221">
        <v>0</v>
      </c>
      <c r="AA302" s="221">
        <v>0</v>
      </c>
      <c r="AB302" s="221">
        <v>0</v>
      </c>
      <c r="AC302" s="221">
        <v>0</v>
      </c>
      <c r="AD302" s="221">
        <v>0</v>
      </c>
      <c r="AE302" s="221">
        <v>0</v>
      </c>
      <c r="AF302" s="221">
        <v>0</v>
      </c>
      <c r="AG302" s="221">
        <v>0</v>
      </c>
      <c r="AH302" s="221">
        <v>0</v>
      </c>
      <c r="AI302" s="221">
        <v>0</v>
      </c>
      <c r="AJ302" s="221">
        <v>0</v>
      </c>
      <c r="AK302" s="221">
        <v>0</v>
      </c>
      <c r="AL302" s="221">
        <v>0</v>
      </c>
      <c r="AM302" s="221">
        <v>0</v>
      </c>
      <c r="AN302" s="221">
        <v>0</v>
      </c>
      <c r="AO302" s="221">
        <v>0</v>
      </c>
      <c r="AP302" s="221">
        <v>0</v>
      </c>
    </row>
    <row r="303" spans="7:42" ht="14.25" customHeight="1" thickBot="1" x14ac:dyDescent="0.25">
      <c r="G303" s="138"/>
      <c r="H303" s="380"/>
      <c r="J303" s="358"/>
      <c r="K303" s="196" t="s">
        <v>348</v>
      </c>
      <c r="L303" s="196" t="s">
        <v>278</v>
      </c>
      <c r="M303" s="222">
        <v>0</v>
      </c>
      <c r="N303" s="222">
        <v>0</v>
      </c>
      <c r="O303" s="222">
        <v>0</v>
      </c>
      <c r="P303" s="222">
        <v>0</v>
      </c>
      <c r="Q303" s="222">
        <v>0</v>
      </c>
      <c r="R303" s="222">
        <v>0</v>
      </c>
      <c r="S303" s="222">
        <v>0</v>
      </c>
      <c r="T303" s="222">
        <v>0</v>
      </c>
      <c r="U303" s="222">
        <v>0</v>
      </c>
      <c r="V303" s="222">
        <v>0</v>
      </c>
      <c r="W303" s="222">
        <v>0</v>
      </c>
      <c r="X303" s="222">
        <v>0</v>
      </c>
      <c r="Y303" s="222">
        <v>0</v>
      </c>
      <c r="Z303" s="222">
        <v>0</v>
      </c>
      <c r="AA303" s="222">
        <v>0</v>
      </c>
      <c r="AB303" s="222">
        <v>0</v>
      </c>
      <c r="AC303" s="222">
        <v>0</v>
      </c>
      <c r="AD303" s="222">
        <v>0</v>
      </c>
      <c r="AE303" s="222">
        <v>0</v>
      </c>
      <c r="AF303" s="222">
        <v>0</v>
      </c>
      <c r="AG303" s="222">
        <v>0</v>
      </c>
      <c r="AH303" s="222">
        <v>0</v>
      </c>
      <c r="AI303" s="222">
        <v>0</v>
      </c>
      <c r="AJ303" s="222">
        <v>0</v>
      </c>
      <c r="AK303" s="222">
        <v>0</v>
      </c>
      <c r="AL303" s="222">
        <v>0</v>
      </c>
      <c r="AM303" s="222">
        <v>0</v>
      </c>
      <c r="AN303" s="222">
        <v>0</v>
      </c>
      <c r="AO303" s="222">
        <v>0</v>
      </c>
      <c r="AP303" s="222">
        <v>0</v>
      </c>
    </row>
    <row r="304" spans="7:42" ht="14.25" customHeight="1" thickTop="1" x14ac:dyDescent="0.2">
      <c r="G304" s="138"/>
      <c r="H304" s="380"/>
      <c r="J304" s="358"/>
      <c r="K304" s="194" t="s">
        <v>351</v>
      </c>
      <c r="L304" s="194" t="s">
        <v>276</v>
      </c>
      <c r="M304" s="223">
        <v>0</v>
      </c>
      <c r="N304" s="223">
        <v>0</v>
      </c>
      <c r="O304" s="223">
        <v>0</v>
      </c>
      <c r="P304" s="223">
        <v>0</v>
      </c>
      <c r="Q304" s="223">
        <v>0</v>
      </c>
      <c r="R304" s="223">
        <v>0</v>
      </c>
      <c r="S304" s="223">
        <v>0</v>
      </c>
      <c r="T304" s="223">
        <v>0</v>
      </c>
      <c r="U304" s="223">
        <v>0</v>
      </c>
      <c r="V304" s="223">
        <v>0</v>
      </c>
      <c r="W304" s="223">
        <v>0</v>
      </c>
      <c r="X304" s="223">
        <v>0</v>
      </c>
      <c r="Y304" s="223">
        <v>0</v>
      </c>
      <c r="Z304" s="223">
        <v>0</v>
      </c>
      <c r="AA304" s="223">
        <v>0</v>
      </c>
      <c r="AB304" s="223">
        <v>0</v>
      </c>
      <c r="AC304" s="223">
        <v>0</v>
      </c>
      <c r="AD304" s="223">
        <v>0</v>
      </c>
      <c r="AE304" s="223">
        <v>0</v>
      </c>
      <c r="AF304" s="223">
        <v>0</v>
      </c>
      <c r="AG304" s="223">
        <v>0</v>
      </c>
      <c r="AH304" s="223">
        <v>0</v>
      </c>
      <c r="AI304" s="223">
        <v>0</v>
      </c>
      <c r="AJ304" s="223">
        <v>0</v>
      </c>
      <c r="AK304" s="223">
        <v>0</v>
      </c>
      <c r="AL304" s="223">
        <v>0</v>
      </c>
      <c r="AM304" s="223">
        <v>0</v>
      </c>
      <c r="AN304" s="223">
        <v>0</v>
      </c>
      <c r="AO304" s="223">
        <v>0</v>
      </c>
      <c r="AP304" s="223">
        <v>0</v>
      </c>
    </row>
    <row r="305" spans="7:42" ht="14.25" customHeight="1" x14ac:dyDescent="0.2">
      <c r="G305" s="138"/>
      <c r="H305" s="380"/>
      <c r="J305" s="358"/>
      <c r="K305" s="135" t="s">
        <v>351</v>
      </c>
      <c r="L305" s="185" t="s">
        <v>277</v>
      </c>
      <c r="M305" s="221">
        <v>0</v>
      </c>
      <c r="N305" s="221">
        <v>0</v>
      </c>
      <c r="O305" s="221">
        <v>0</v>
      </c>
      <c r="P305" s="221">
        <v>0</v>
      </c>
      <c r="Q305" s="221">
        <v>0</v>
      </c>
      <c r="R305" s="221">
        <v>0</v>
      </c>
      <c r="S305" s="221">
        <v>0</v>
      </c>
      <c r="T305" s="221">
        <v>0</v>
      </c>
      <c r="U305" s="221">
        <v>0</v>
      </c>
      <c r="V305" s="221">
        <v>0</v>
      </c>
      <c r="W305" s="221">
        <v>0</v>
      </c>
      <c r="X305" s="221">
        <v>0</v>
      </c>
      <c r="Y305" s="221">
        <v>0</v>
      </c>
      <c r="Z305" s="221">
        <v>0</v>
      </c>
      <c r="AA305" s="221">
        <v>0</v>
      </c>
      <c r="AB305" s="221">
        <v>0</v>
      </c>
      <c r="AC305" s="221">
        <v>0</v>
      </c>
      <c r="AD305" s="221">
        <v>0</v>
      </c>
      <c r="AE305" s="221">
        <v>0</v>
      </c>
      <c r="AF305" s="221">
        <v>0</v>
      </c>
      <c r="AG305" s="221">
        <v>0</v>
      </c>
      <c r="AH305" s="221">
        <v>0</v>
      </c>
      <c r="AI305" s="221">
        <v>0</v>
      </c>
      <c r="AJ305" s="221">
        <v>0</v>
      </c>
      <c r="AK305" s="221">
        <v>0</v>
      </c>
      <c r="AL305" s="221">
        <v>0</v>
      </c>
      <c r="AM305" s="221">
        <v>0</v>
      </c>
      <c r="AN305" s="221">
        <v>0</v>
      </c>
      <c r="AO305" s="221">
        <v>0</v>
      </c>
      <c r="AP305" s="221">
        <v>0</v>
      </c>
    </row>
    <row r="306" spans="7:42" ht="14.25" customHeight="1" thickBot="1" x14ac:dyDescent="0.25">
      <c r="G306" s="138"/>
      <c r="H306" s="380"/>
      <c r="J306" s="358"/>
      <c r="K306" s="196" t="s">
        <v>351</v>
      </c>
      <c r="L306" s="196" t="s">
        <v>278</v>
      </c>
      <c r="M306" s="222">
        <v>0</v>
      </c>
      <c r="N306" s="222">
        <v>0</v>
      </c>
      <c r="O306" s="222">
        <v>0</v>
      </c>
      <c r="P306" s="222">
        <v>0</v>
      </c>
      <c r="Q306" s="222">
        <v>0</v>
      </c>
      <c r="R306" s="222">
        <v>0</v>
      </c>
      <c r="S306" s="222">
        <v>0</v>
      </c>
      <c r="T306" s="222">
        <v>0</v>
      </c>
      <c r="U306" s="222">
        <v>0</v>
      </c>
      <c r="V306" s="222">
        <v>0</v>
      </c>
      <c r="W306" s="222">
        <v>0</v>
      </c>
      <c r="X306" s="222">
        <v>0</v>
      </c>
      <c r="Y306" s="222">
        <v>0</v>
      </c>
      <c r="Z306" s="222">
        <v>0</v>
      </c>
      <c r="AA306" s="222">
        <v>0</v>
      </c>
      <c r="AB306" s="222">
        <v>0</v>
      </c>
      <c r="AC306" s="222">
        <v>0</v>
      </c>
      <c r="AD306" s="222">
        <v>0</v>
      </c>
      <c r="AE306" s="222">
        <v>0</v>
      </c>
      <c r="AF306" s="222">
        <v>0</v>
      </c>
      <c r="AG306" s="222">
        <v>0</v>
      </c>
      <c r="AH306" s="222">
        <v>0</v>
      </c>
      <c r="AI306" s="222">
        <v>0</v>
      </c>
      <c r="AJ306" s="222">
        <v>0</v>
      </c>
      <c r="AK306" s="222">
        <v>0</v>
      </c>
      <c r="AL306" s="222">
        <v>0</v>
      </c>
      <c r="AM306" s="222">
        <v>0</v>
      </c>
      <c r="AN306" s="222">
        <v>0</v>
      </c>
      <c r="AO306" s="222">
        <v>0</v>
      </c>
      <c r="AP306" s="222">
        <v>0</v>
      </c>
    </row>
    <row r="307" spans="7:42" ht="14.25" customHeight="1" thickTop="1" x14ac:dyDescent="0.2">
      <c r="G307" s="138"/>
      <c r="H307" s="380"/>
      <c r="J307" s="358"/>
      <c r="K307" s="194" t="s">
        <v>353</v>
      </c>
      <c r="L307" s="194" t="s">
        <v>276</v>
      </c>
      <c r="M307" s="223">
        <v>0</v>
      </c>
      <c r="N307" s="223">
        <v>0</v>
      </c>
      <c r="O307" s="223">
        <v>0</v>
      </c>
      <c r="P307" s="223">
        <v>0</v>
      </c>
      <c r="Q307" s="223">
        <v>0</v>
      </c>
      <c r="R307" s="223">
        <v>0</v>
      </c>
      <c r="S307" s="223">
        <v>0</v>
      </c>
      <c r="T307" s="223">
        <v>0</v>
      </c>
      <c r="U307" s="223">
        <v>0</v>
      </c>
      <c r="V307" s="223">
        <v>0</v>
      </c>
      <c r="W307" s="223">
        <v>0</v>
      </c>
      <c r="X307" s="223">
        <v>0</v>
      </c>
      <c r="Y307" s="223">
        <v>0</v>
      </c>
      <c r="Z307" s="223">
        <v>0</v>
      </c>
      <c r="AA307" s="223">
        <v>0</v>
      </c>
      <c r="AB307" s="223">
        <v>0</v>
      </c>
      <c r="AC307" s="223">
        <v>0</v>
      </c>
      <c r="AD307" s="223">
        <v>0</v>
      </c>
      <c r="AE307" s="223">
        <v>0</v>
      </c>
      <c r="AF307" s="223">
        <v>0</v>
      </c>
      <c r="AG307" s="223">
        <v>0</v>
      </c>
      <c r="AH307" s="223">
        <v>0</v>
      </c>
      <c r="AI307" s="223">
        <v>0</v>
      </c>
      <c r="AJ307" s="223">
        <v>0</v>
      </c>
      <c r="AK307" s="223">
        <v>0</v>
      </c>
      <c r="AL307" s="223">
        <v>0</v>
      </c>
      <c r="AM307" s="223">
        <v>0</v>
      </c>
      <c r="AN307" s="223">
        <v>0</v>
      </c>
      <c r="AO307" s="223">
        <v>0</v>
      </c>
      <c r="AP307" s="223">
        <v>0</v>
      </c>
    </row>
    <row r="308" spans="7:42" ht="14.25" customHeight="1" x14ac:dyDescent="0.2">
      <c r="G308" s="138"/>
      <c r="H308" s="380"/>
      <c r="J308" s="358"/>
      <c r="K308" s="135" t="s">
        <v>353</v>
      </c>
      <c r="L308" s="185" t="s">
        <v>277</v>
      </c>
      <c r="M308" s="221">
        <v>0</v>
      </c>
      <c r="N308" s="221">
        <v>0</v>
      </c>
      <c r="O308" s="221">
        <v>0</v>
      </c>
      <c r="P308" s="221">
        <v>0</v>
      </c>
      <c r="Q308" s="221">
        <v>0</v>
      </c>
      <c r="R308" s="221">
        <v>0</v>
      </c>
      <c r="S308" s="221">
        <v>0</v>
      </c>
      <c r="T308" s="221">
        <v>0</v>
      </c>
      <c r="U308" s="221">
        <v>0</v>
      </c>
      <c r="V308" s="221">
        <v>0</v>
      </c>
      <c r="W308" s="221">
        <v>0</v>
      </c>
      <c r="X308" s="221">
        <v>0</v>
      </c>
      <c r="Y308" s="221">
        <v>0</v>
      </c>
      <c r="Z308" s="221">
        <v>0</v>
      </c>
      <c r="AA308" s="221">
        <v>0</v>
      </c>
      <c r="AB308" s="221">
        <v>0</v>
      </c>
      <c r="AC308" s="221">
        <v>0</v>
      </c>
      <c r="AD308" s="221">
        <v>0</v>
      </c>
      <c r="AE308" s="221">
        <v>0</v>
      </c>
      <c r="AF308" s="221">
        <v>0</v>
      </c>
      <c r="AG308" s="221">
        <v>0</v>
      </c>
      <c r="AH308" s="221">
        <v>0</v>
      </c>
      <c r="AI308" s="221">
        <v>0</v>
      </c>
      <c r="AJ308" s="221">
        <v>0</v>
      </c>
      <c r="AK308" s="221">
        <v>0</v>
      </c>
      <c r="AL308" s="221">
        <v>0</v>
      </c>
      <c r="AM308" s="221">
        <v>0</v>
      </c>
      <c r="AN308" s="221">
        <v>0</v>
      </c>
      <c r="AO308" s="221">
        <v>0</v>
      </c>
      <c r="AP308" s="221">
        <v>0</v>
      </c>
    </row>
    <row r="309" spans="7:42" ht="14.25" customHeight="1" thickBot="1" x14ac:dyDescent="0.25">
      <c r="G309" s="138"/>
      <c r="H309" s="380"/>
      <c r="J309" s="358"/>
      <c r="K309" s="196" t="s">
        <v>353</v>
      </c>
      <c r="L309" s="196" t="s">
        <v>278</v>
      </c>
      <c r="M309" s="222">
        <v>0</v>
      </c>
      <c r="N309" s="222">
        <v>0</v>
      </c>
      <c r="O309" s="222">
        <v>0</v>
      </c>
      <c r="P309" s="222">
        <v>0</v>
      </c>
      <c r="Q309" s="222">
        <v>0</v>
      </c>
      <c r="R309" s="222">
        <v>0</v>
      </c>
      <c r="S309" s="222">
        <v>0</v>
      </c>
      <c r="T309" s="222">
        <v>0</v>
      </c>
      <c r="U309" s="222">
        <v>0</v>
      </c>
      <c r="V309" s="222">
        <v>0</v>
      </c>
      <c r="W309" s="222">
        <v>0</v>
      </c>
      <c r="X309" s="222">
        <v>0</v>
      </c>
      <c r="Y309" s="222">
        <v>0</v>
      </c>
      <c r="Z309" s="222">
        <v>0</v>
      </c>
      <c r="AA309" s="222">
        <v>0</v>
      </c>
      <c r="AB309" s="222">
        <v>0</v>
      </c>
      <c r="AC309" s="222">
        <v>0</v>
      </c>
      <c r="AD309" s="222">
        <v>0</v>
      </c>
      <c r="AE309" s="222">
        <v>0</v>
      </c>
      <c r="AF309" s="222">
        <v>0</v>
      </c>
      <c r="AG309" s="222">
        <v>0</v>
      </c>
      <c r="AH309" s="222">
        <v>0</v>
      </c>
      <c r="AI309" s="222">
        <v>0</v>
      </c>
      <c r="AJ309" s="222">
        <v>0</v>
      </c>
      <c r="AK309" s="222">
        <v>0</v>
      </c>
      <c r="AL309" s="222">
        <v>0</v>
      </c>
      <c r="AM309" s="222">
        <v>0</v>
      </c>
      <c r="AN309" s="222">
        <v>0</v>
      </c>
      <c r="AO309" s="222">
        <v>0</v>
      </c>
      <c r="AP309" s="222">
        <v>0</v>
      </c>
    </row>
    <row r="310" spans="7:42" ht="14.25" customHeight="1" thickTop="1" x14ac:dyDescent="0.2">
      <c r="G310" s="138"/>
      <c r="H310" s="380"/>
      <c r="J310" s="358"/>
      <c r="K310" s="194" t="s">
        <v>355</v>
      </c>
      <c r="L310" s="194" t="s">
        <v>276</v>
      </c>
      <c r="M310" s="223">
        <v>0</v>
      </c>
      <c r="N310" s="223">
        <v>0</v>
      </c>
      <c r="O310" s="223">
        <v>0</v>
      </c>
      <c r="P310" s="223">
        <v>0</v>
      </c>
      <c r="Q310" s="223">
        <v>0</v>
      </c>
      <c r="R310" s="223">
        <v>0</v>
      </c>
      <c r="S310" s="223">
        <v>0</v>
      </c>
      <c r="T310" s="223">
        <v>0</v>
      </c>
      <c r="U310" s="223">
        <v>0</v>
      </c>
      <c r="V310" s="223">
        <v>0</v>
      </c>
      <c r="W310" s="223">
        <v>0</v>
      </c>
      <c r="X310" s="223">
        <v>0</v>
      </c>
      <c r="Y310" s="223">
        <v>0</v>
      </c>
      <c r="Z310" s="223">
        <v>0</v>
      </c>
      <c r="AA310" s="223">
        <v>0</v>
      </c>
      <c r="AB310" s="223">
        <v>0</v>
      </c>
      <c r="AC310" s="223">
        <v>0</v>
      </c>
      <c r="AD310" s="223">
        <v>0</v>
      </c>
      <c r="AE310" s="223">
        <v>0</v>
      </c>
      <c r="AF310" s="223">
        <v>0</v>
      </c>
      <c r="AG310" s="223">
        <v>0</v>
      </c>
      <c r="AH310" s="223">
        <v>0</v>
      </c>
      <c r="AI310" s="223">
        <v>0</v>
      </c>
      <c r="AJ310" s="223">
        <v>0</v>
      </c>
      <c r="AK310" s="223">
        <v>0</v>
      </c>
      <c r="AL310" s="223">
        <v>0</v>
      </c>
      <c r="AM310" s="223">
        <v>0</v>
      </c>
      <c r="AN310" s="223">
        <v>0</v>
      </c>
      <c r="AO310" s="223">
        <v>0</v>
      </c>
      <c r="AP310" s="223">
        <v>0</v>
      </c>
    </row>
    <row r="311" spans="7:42" ht="14.25" customHeight="1" x14ac:dyDescent="0.2">
      <c r="G311" s="138"/>
      <c r="H311" s="380"/>
      <c r="J311" s="358"/>
      <c r="K311" s="135" t="s">
        <v>355</v>
      </c>
      <c r="L311" s="185" t="s">
        <v>277</v>
      </c>
      <c r="M311" s="221">
        <v>0</v>
      </c>
      <c r="N311" s="221">
        <v>0</v>
      </c>
      <c r="O311" s="221">
        <v>0</v>
      </c>
      <c r="P311" s="221">
        <v>0</v>
      </c>
      <c r="Q311" s="221">
        <v>0</v>
      </c>
      <c r="R311" s="221">
        <v>0</v>
      </c>
      <c r="S311" s="221">
        <v>0</v>
      </c>
      <c r="T311" s="221">
        <v>0</v>
      </c>
      <c r="U311" s="221">
        <v>0</v>
      </c>
      <c r="V311" s="221">
        <v>0</v>
      </c>
      <c r="W311" s="221">
        <v>0</v>
      </c>
      <c r="X311" s="221">
        <v>0</v>
      </c>
      <c r="Y311" s="221">
        <v>0</v>
      </c>
      <c r="Z311" s="221">
        <v>0</v>
      </c>
      <c r="AA311" s="221">
        <v>0</v>
      </c>
      <c r="AB311" s="221">
        <v>0</v>
      </c>
      <c r="AC311" s="221">
        <v>0</v>
      </c>
      <c r="AD311" s="221">
        <v>0</v>
      </c>
      <c r="AE311" s="221">
        <v>0</v>
      </c>
      <c r="AF311" s="221">
        <v>0</v>
      </c>
      <c r="AG311" s="221">
        <v>0</v>
      </c>
      <c r="AH311" s="221">
        <v>0</v>
      </c>
      <c r="AI311" s="221">
        <v>0</v>
      </c>
      <c r="AJ311" s="221">
        <v>0</v>
      </c>
      <c r="AK311" s="221">
        <v>0</v>
      </c>
      <c r="AL311" s="221">
        <v>0</v>
      </c>
      <c r="AM311" s="221">
        <v>0</v>
      </c>
      <c r="AN311" s="221">
        <v>0</v>
      </c>
      <c r="AO311" s="221">
        <v>0</v>
      </c>
      <c r="AP311" s="221">
        <v>0</v>
      </c>
    </row>
    <row r="312" spans="7:42" ht="14.25" customHeight="1" thickBot="1" x14ac:dyDescent="0.25">
      <c r="G312" s="138"/>
      <c r="H312" s="380"/>
      <c r="J312" s="358"/>
      <c r="K312" s="196" t="s">
        <v>355</v>
      </c>
      <c r="L312" s="196" t="s">
        <v>278</v>
      </c>
      <c r="M312" s="222">
        <v>0</v>
      </c>
      <c r="N312" s="222">
        <v>0</v>
      </c>
      <c r="O312" s="222">
        <v>0</v>
      </c>
      <c r="P312" s="222">
        <v>0</v>
      </c>
      <c r="Q312" s="222">
        <v>0</v>
      </c>
      <c r="R312" s="222">
        <v>0</v>
      </c>
      <c r="S312" s="222">
        <v>0</v>
      </c>
      <c r="T312" s="222">
        <v>0</v>
      </c>
      <c r="U312" s="222">
        <v>0</v>
      </c>
      <c r="V312" s="222">
        <v>0</v>
      </c>
      <c r="W312" s="222">
        <v>0</v>
      </c>
      <c r="X312" s="222">
        <v>0</v>
      </c>
      <c r="Y312" s="222">
        <v>0</v>
      </c>
      <c r="Z312" s="222">
        <v>0</v>
      </c>
      <c r="AA312" s="222">
        <v>0</v>
      </c>
      <c r="AB312" s="222">
        <v>0</v>
      </c>
      <c r="AC312" s="222">
        <v>0</v>
      </c>
      <c r="AD312" s="222">
        <v>0</v>
      </c>
      <c r="AE312" s="222">
        <v>0</v>
      </c>
      <c r="AF312" s="222">
        <v>0</v>
      </c>
      <c r="AG312" s="222">
        <v>0</v>
      </c>
      <c r="AH312" s="222">
        <v>0</v>
      </c>
      <c r="AI312" s="222">
        <v>0</v>
      </c>
      <c r="AJ312" s="222">
        <v>0</v>
      </c>
      <c r="AK312" s="222">
        <v>0</v>
      </c>
      <c r="AL312" s="222">
        <v>0</v>
      </c>
      <c r="AM312" s="222">
        <v>0</v>
      </c>
      <c r="AN312" s="222">
        <v>0</v>
      </c>
      <c r="AO312" s="222">
        <v>0</v>
      </c>
      <c r="AP312" s="222">
        <v>0</v>
      </c>
    </row>
    <row r="313" spans="7:42" ht="14.25" customHeight="1" thickTop="1" x14ac:dyDescent="0.2">
      <c r="G313" s="138"/>
      <c r="H313" s="380"/>
      <c r="J313" s="358"/>
      <c r="K313" s="194" t="s">
        <v>357</v>
      </c>
      <c r="L313" s="194" t="s">
        <v>276</v>
      </c>
      <c r="M313" s="223">
        <v>0</v>
      </c>
      <c r="N313" s="223">
        <v>0</v>
      </c>
      <c r="O313" s="223">
        <v>0</v>
      </c>
      <c r="P313" s="223">
        <v>0</v>
      </c>
      <c r="Q313" s="223">
        <v>0</v>
      </c>
      <c r="R313" s="223">
        <v>0</v>
      </c>
      <c r="S313" s="223">
        <v>0</v>
      </c>
      <c r="T313" s="223">
        <v>0</v>
      </c>
      <c r="U313" s="223">
        <v>0</v>
      </c>
      <c r="V313" s="223">
        <v>0</v>
      </c>
      <c r="W313" s="223">
        <v>0</v>
      </c>
      <c r="X313" s="223">
        <v>0</v>
      </c>
      <c r="Y313" s="223">
        <v>0</v>
      </c>
      <c r="Z313" s="223">
        <v>0</v>
      </c>
      <c r="AA313" s="223">
        <v>0</v>
      </c>
      <c r="AB313" s="223">
        <v>0</v>
      </c>
      <c r="AC313" s="223">
        <v>0</v>
      </c>
      <c r="AD313" s="223">
        <v>0</v>
      </c>
      <c r="AE313" s="223">
        <v>0</v>
      </c>
      <c r="AF313" s="223">
        <v>0</v>
      </c>
      <c r="AG313" s="223">
        <v>0</v>
      </c>
      <c r="AH313" s="223">
        <v>0</v>
      </c>
      <c r="AI313" s="223">
        <v>0</v>
      </c>
      <c r="AJ313" s="223">
        <v>0</v>
      </c>
      <c r="AK313" s="223">
        <v>0</v>
      </c>
      <c r="AL313" s="223">
        <v>0</v>
      </c>
      <c r="AM313" s="223">
        <v>0</v>
      </c>
      <c r="AN313" s="223">
        <v>0</v>
      </c>
      <c r="AO313" s="223">
        <v>0</v>
      </c>
      <c r="AP313" s="223">
        <v>0</v>
      </c>
    </row>
    <row r="314" spans="7:42" ht="14.25" customHeight="1" x14ac:dyDescent="0.2">
      <c r="G314" s="138"/>
      <c r="H314" s="380"/>
      <c r="J314" s="358"/>
      <c r="K314" s="135" t="s">
        <v>357</v>
      </c>
      <c r="L314" s="185" t="s">
        <v>277</v>
      </c>
      <c r="M314" s="221">
        <v>0</v>
      </c>
      <c r="N314" s="221">
        <v>0</v>
      </c>
      <c r="O314" s="221">
        <v>0</v>
      </c>
      <c r="P314" s="221">
        <v>0</v>
      </c>
      <c r="Q314" s="221">
        <v>0</v>
      </c>
      <c r="R314" s="221">
        <v>0</v>
      </c>
      <c r="S314" s="221">
        <v>0</v>
      </c>
      <c r="T314" s="221">
        <v>0</v>
      </c>
      <c r="U314" s="221">
        <v>0</v>
      </c>
      <c r="V314" s="221">
        <v>0</v>
      </c>
      <c r="W314" s="221">
        <v>0</v>
      </c>
      <c r="X314" s="221">
        <v>0</v>
      </c>
      <c r="Y314" s="221">
        <v>0</v>
      </c>
      <c r="Z314" s="221">
        <v>0</v>
      </c>
      <c r="AA314" s="221">
        <v>0</v>
      </c>
      <c r="AB314" s="221">
        <v>0</v>
      </c>
      <c r="AC314" s="221">
        <v>0</v>
      </c>
      <c r="AD314" s="221">
        <v>0</v>
      </c>
      <c r="AE314" s="221">
        <v>0</v>
      </c>
      <c r="AF314" s="221">
        <v>0</v>
      </c>
      <c r="AG314" s="221">
        <v>0</v>
      </c>
      <c r="AH314" s="221">
        <v>0</v>
      </c>
      <c r="AI314" s="221">
        <v>0</v>
      </c>
      <c r="AJ314" s="221">
        <v>0</v>
      </c>
      <c r="AK314" s="221">
        <v>0</v>
      </c>
      <c r="AL314" s="221">
        <v>0</v>
      </c>
      <c r="AM314" s="221">
        <v>0</v>
      </c>
      <c r="AN314" s="221">
        <v>0</v>
      </c>
      <c r="AO314" s="221">
        <v>0</v>
      </c>
      <c r="AP314" s="221">
        <v>0</v>
      </c>
    </row>
    <row r="315" spans="7:42" ht="14.25" customHeight="1" thickBot="1" x14ac:dyDescent="0.25">
      <c r="G315" s="138"/>
      <c r="H315" s="380"/>
      <c r="J315" s="358"/>
      <c r="K315" s="196" t="s">
        <v>357</v>
      </c>
      <c r="L315" s="196" t="s">
        <v>278</v>
      </c>
      <c r="M315" s="222">
        <v>0</v>
      </c>
      <c r="N315" s="222">
        <v>0</v>
      </c>
      <c r="O315" s="222">
        <v>0</v>
      </c>
      <c r="P315" s="222">
        <v>0</v>
      </c>
      <c r="Q315" s="222">
        <v>0</v>
      </c>
      <c r="R315" s="222">
        <v>0</v>
      </c>
      <c r="S315" s="222">
        <v>0</v>
      </c>
      <c r="T315" s="222">
        <v>0</v>
      </c>
      <c r="U315" s="222">
        <v>0</v>
      </c>
      <c r="V315" s="222">
        <v>0</v>
      </c>
      <c r="W315" s="222">
        <v>0</v>
      </c>
      <c r="X315" s="222">
        <v>0</v>
      </c>
      <c r="Y315" s="222">
        <v>0</v>
      </c>
      <c r="Z315" s="222">
        <v>0</v>
      </c>
      <c r="AA315" s="222">
        <v>0</v>
      </c>
      <c r="AB315" s="222">
        <v>0</v>
      </c>
      <c r="AC315" s="222">
        <v>0</v>
      </c>
      <c r="AD315" s="222">
        <v>0</v>
      </c>
      <c r="AE315" s="222">
        <v>0</v>
      </c>
      <c r="AF315" s="222">
        <v>0</v>
      </c>
      <c r="AG315" s="222">
        <v>0</v>
      </c>
      <c r="AH315" s="222">
        <v>0</v>
      </c>
      <c r="AI315" s="222">
        <v>0</v>
      </c>
      <c r="AJ315" s="222">
        <v>0</v>
      </c>
      <c r="AK315" s="222">
        <v>0</v>
      </c>
      <c r="AL315" s="222">
        <v>0</v>
      </c>
      <c r="AM315" s="222">
        <v>0</v>
      </c>
      <c r="AN315" s="222">
        <v>0</v>
      </c>
      <c r="AO315" s="222">
        <v>0</v>
      </c>
      <c r="AP315" s="222">
        <v>0</v>
      </c>
    </row>
    <row r="316" spans="7:42" ht="14.25" customHeight="1" thickTop="1" x14ac:dyDescent="0.2">
      <c r="G316" s="138"/>
      <c r="H316" s="380"/>
      <c r="J316" s="358"/>
      <c r="K316" s="194" t="s">
        <v>359</v>
      </c>
      <c r="L316" s="194" t="s">
        <v>276</v>
      </c>
      <c r="M316" s="223">
        <v>0</v>
      </c>
      <c r="N316" s="223">
        <v>0</v>
      </c>
      <c r="O316" s="223">
        <v>0</v>
      </c>
      <c r="P316" s="223">
        <v>0</v>
      </c>
      <c r="Q316" s="223">
        <v>0</v>
      </c>
      <c r="R316" s="223">
        <v>0</v>
      </c>
      <c r="S316" s="223">
        <v>0</v>
      </c>
      <c r="T316" s="223">
        <v>0</v>
      </c>
      <c r="U316" s="223">
        <v>0</v>
      </c>
      <c r="V316" s="223">
        <v>0</v>
      </c>
      <c r="W316" s="223">
        <v>0</v>
      </c>
      <c r="X316" s="223">
        <v>0</v>
      </c>
      <c r="Y316" s="223">
        <v>0</v>
      </c>
      <c r="Z316" s="223">
        <v>0</v>
      </c>
      <c r="AA316" s="223">
        <v>0</v>
      </c>
      <c r="AB316" s="223">
        <v>0</v>
      </c>
      <c r="AC316" s="223">
        <v>0</v>
      </c>
      <c r="AD316" s="223">
        <v>0</v>
      </c>
      <c r="AE316" s="223">
        <v>0</v>
      </c>
      <c r="AF316" s="223">
        <v>0</v>
      </c>
      <c r="AG316" s="223">
        <v>0</v>
      </c>
      <c r="AH316" s="223">
        <v>0</v>
      </c>
      <c r="AI316" s="223">
        <v>0</v>
      </c>
      <c r="AJ316" s="223">
        <v>0</v>
      </c>
      <c r="AK316" s="223">
        <v>0</v>
      </c>
      <c r="AL316" s="223">
        <v>0</v>
      </c>
      <c r="AM316" s="223">
        <v>0</v>
      </c>
      <c r="AN316" s="223">
        <v>0</v>
      </c>
      <c r="AO316" s="223">
        <v>0</v>
      </c>
      <c r="AP316" s="223">
        <v>0</v>
      </c>
    </row>
    <row r="317" spans="7:42" ht="14.25" customHeight="1" x14ac:dyDescent="0.2">
      <c r="G317" s="138"/>
      <c r="H317" s="380"/>
      <c r="J317" s="358"/>
      <c r="K317" s="135" t="s">
        <v>359</v>
      </c>
      <c r="L317" s="185" t="s">
        <v>277</v>
      </c>
      <c r="M317" s="221">
        <v>0</v>
      </c>
      <c r="N317" s="221">
        <v>0</v>
      </c>
      <c r="O317" s="221">
        <v>0</v>
      </c>
      <c r="P317" s="221">
        <v>0</v>
      </c>
      <c r="Q317" s="221">
        <v>0</v>
      </c>
      <c r="R317" s="221">
        <v>0</v>
      </c>
      <c r="S317" s="221">
        <v>0</v>
      </c>
      <c r="T317" s="221">
        <v>0</v>
      </c>
      <c r="U317" s="221">
        <v>0</v>
      </c>
      <c r="V317" s="221">
        <v>0</v>
      </c>
      <c r="W317" s="221">
        <v>0</v>
      </c>
      <c r="X317" s="221">
        <v>0</v>
      </c>
      <c r="Y317" s="221">
        <v>0</v>
      </c>
      <c r="Z317" s="221">
        <v>0</v>
      </c>
      <c r="AA317" s="221">
        <v>0</v>
      </c>
      <c r="AB317" s="221">
        <v>0</v>
      </c>
      <c r="AC317" s="221">
        <v>0</v>
      </c>
      <c r="AD317" s="221">
        <v>0</v>
      </c>
      <c r="AE317" s="221">
        <v>0</v>
      </c>
      <c r="AF317" s="221">
        <v>0</v>
      </c>
      <c r="AG317" s="221">
        <v>0</v>
      </c>
      <c r="AH317" s="221">
        <v>0</v>
      </c>
      <c r="AI317" s="221">
        <v>0</v>
      </c>
      <c r="AJ317" s="221">
        <v>0</v>
      </c>
      <c r="AK317" s="221">
        <v>0</v>
      </c>
      <c r="AL317" s="221">
        <v>0</v>
      </c>
      <c r="AM317" s="221">
        <v>0</v>
      </c>
      <c r="AN317" s="221">
        <v>0</v>
      </c>
      <c r="AO317" s="221">
        <v>0</v>
      </c>
      <c r="AP317" s="221">
        <v>0</v>
      </c>
    </row>
    <row r="318" spans="7:42" ht="14.25" customHeight="1" thickBot="1" x14ac:dyDescent="0.25">
      <c r="G318" s="138"/>
      <c r="H318" s="380"/>
      <c r="J318" s="358"/>
      <c r="K318" s="196" t="s">
        <v>359</v>
      </c>
      <c r="L318" s="196" t="s">
        <v>278</v>
      </c>
      <c r="M318" s="222">
        <v>0</v>
      </c>
      <c r="N318" s="222">
        <v>0</v>
      </c>
      <c r="O318" s="222">
        <v>0</v>
      </c>
      <c r="P318" s="222">
        <v>0</v>
      </c>
      <c r="Q318" s="222">
        <v>0</v>
      </c>
      <c r="R318" s="222">
        <v>0</v>
      </c>
      <c r="S318" s="222">
        <v>0</v>
      </c>
      <c r="T318" s="222">
        <v>0</v>
      </c>
      <c r="U318" s="222">
        <v>0</v>
      </c>
      <c r="V318" s="222">
        <v>0</v>
      </c>
      <c r="W318" s="222">
        <v>0</v>
      </c>
      <c r="X318" s="222">
        <v>0</v>
      </c>
      <c r="Y318" s="222">
        <v>0</v>
      </c>
      <c r="Z318" s="222">
        <v>0</v>
      </c>
      <c r="AA318" s="222">
        <v>0</v>
      </c>
      <c r="AB318" s="222">
        <v>0</v>
      </c>
      <c r="AC318" s="222">
        <v>0</v>
      </c>
      <c r="AD318" s="222">
        <v>0</v>
      </c>
      <c r="AE318" s="222">
        <v>0</v>
      </c>
      <c r="AF318" s="222">
        <v>0</v>
      </c>
      <c r="AG318" s="222">
        <v>0</v>
      </c>
      <c r="AH318" s="222">
        <v>0</v>
      </c>
      <c r="AI318" s="222">
        <v>0</v>
      </c>
      <c r="AJ318" s="222">
        <v>0</v>
      </c>
      <c r="AK318" s="222">
        <v>0</v>
      </c>
      <c r="AL318" s="222">
        <v>0</v>
      </c>
      <c r="AM318" s="222">
        <v>0</v>
      </c>
      <c r="AN318" s="222">
        <v>0</v>
      </c>
      <c r="AO318" s="222">
        <v>0</v>
      </c>
      <c r="AP318" s="222">
        <v>0</v>
      </c>
    </row>
    <row r="319" spans="7:42" ht="14.25" customHeight="1" thickTop="1" x14ac:dyDescent="0.2">
      <c r="G319" s="138"/>
      <c r="H319" s="380"/>
      <c r="J319" s="358"/>
      <c r="K319" s="194" t="s">
        <v>361</v>
      </c>
      <c r="L319" s="194" t="s">
        <v>276</v>
      </c>
      <c r="M319" s="223">
        <v>0</v>
      </c>
      <c r="N319" s="223">
        <v>0</v>
      </c>
      <c r="O319" s="223">
        <v>0</v>
      </c>
      <c r="P319" s="223">
        <v>0</v>
      </c>
      <c r="Q319" s="223">
        <v>0</v>
      </c>
      <c r="R319" s="223">
        <v>0</v>
      </c>
      <c r="S319" s="223">
        <v>0</v>
      </c>
      <c r="T319" s="223">
        <v>0</v>
      </c>
      <c r="U319" s="223">
        <v>0</v>
      </c>
      <c r="V319" s="223">
        <v>0</v>
      </c>
      <c r="W319" s="223">
        <v>0</v>
      </c>
      <c r="X319" s="223">
        <v>0</v>
      </c>
      <c r="Y319" s="223">
        <v>0</v>
      </c>
      <c r="Z319" s="223">
        <v>0</v>
      </c>
      <c r="AA319" s="223">
        <v>0</v>
      </c>
      <c r="AB319" s="223">
        <v>0</v>
      </c>
      <c r="AC319" s="223">
        <v>0</v>
      </c>
      <c r="AD319" s="223">
        <v>0</v>
      </c>
      <c r="AE319" s="223">
        <v>0</v>
      </c>
      <c r="AF319" s="223">
        <v>0</v>
      </c>
      <c r="AG319" s="223">
        <v>0</v>
      </c>
      <c r="AH319" s="223">
        <v>0</v>
      </c>
      <c r="AI319" s="223">
        <v>0</v>
      </c>
      <c r="AJ319" s="223">
        <v>0</v>
      </c>
      <c r="AK319" s="223">
        <v>0</v>
      </c>
      <c r="AL319" s="223">
        <v>0</v>
      </c>
      <c r="AM319" s="223">
        <v>0</v>
      </c>
      <c r="AN319" s="223">
        <v>0</v>
      </c>
      <c r="AO319" s="223">
        <v>0</v>
      </c>
      <c r="AP319" s="223">
        <v>0</v>
      </c>
    </row>
    <row r="320" spans="7:42" ht="14.25" customHeight="1" x14ac:dyDescent="0.2">
      <c r="G320" s="138"/>
      <c r="H320" s="380"/>
      <c r="J320" s="358"/>
      <c r="K320" s="135" t="s">
        <v>361</v>
      </c>
      <c r="L320" s="185" t="s">
        <v>277</v>
      </c>
      <c r="M320" s="221">
        <v>0</v>
      </c>
      <c r="N320" s="221">
        <v>0</v>
      </c>
      <c r="O320" s="221">
        <v>0</v>
      </c>
      <c r="P320" s="221">
        <v>0</v>
      </c>
      <c r="Q320" s="221">
        <v>0</v>
      </c>
      <c r="R320" s="221">
        <v>0</v>
      </c>
      <c r="S320" s="221">
        <v>0</v>
      </c>
      <c r="T320" s="221">
        <v>0</v>
      </c>
      <c r="U320" s="221">
        <v>0</v>
      </c>
      <c r="V320" s="221">
        <v>0</v>
      </c>
      <c r="W320" s="221">
        <v>0</v>
      </c>
      <c r="X320" s="221">
        <v>0</v>
      </c>
      <c r="Y320" s="221">
        <v>0</v>
      </c>
      <c r="Z320" s="221">
        <v>0</v>
      </c>
      <c r="AA320" s="221">
        <v>0</v>
      </c>
      <c r="AB320" s="221">
        <v>0</v>
      </c>
      <c r="AC320" s="221">
        <v>0</v>
      </c>
      <c r="AD320" s="221">
        <v>0</v>
      </c>
      <c r="AE320" s="221">
        <v>0</v>
      </c>
      <c r="AF320" s="221">
        <v>0</v>
      </c>
      <c r="AG320" s="221">
        <v>0</v>
      </c>
      <c r="AH320" s="221">
        <v>0</v>
      </c>
      <c r="AI320" s="221">
        <v>0</v>
      </c>
      <c r="AJ320" s="221">
        <v>0</v>
      </c>
      <c r="AK320" s="221">
        <v>0</v>
      </c>
      <c r="AL320" s="221">
        <v>0</v>
      </c>
      <c r="AM320" s="221">
        <v>0</v>
      </c>
      <c r="AN320" s="221">
        <v>0</v>
      </c>
      <c r="AO320" s="221">
        <v>0</v>
      </c>
      <c r="AP320" s="221">
        <v>0</v>
      </c>
    </row>
    <row r="321" spans="7:42" ht="14.25" customHeight="1" thickBot="1" x14ac:dyDescent="0.25">
      <c r="G321" s="138"/>
      <c r="H321" s="380"/>
      <c r="J321" s="358"/>
      <c r="K321" s="196" t="s">
        <v>361</v>
      </c>
      <c r="L321" s="196" t="s">
        <v>278</v>
      </c>
      <c r="M321" s="222">
        <v>0</v>
      </c>
      <c r="N321" s="222">
        <v>0</v>
      </c>
      <c r="O321" s="222">
        <v>0</v>
      </c>
      <c r="P321" s="222">
        <v>0</v>
      </c>
      <c r="Q321" s="222">
        <v>0</v>
      </c>
      <c r="R321" s="222">
        <v>0</v>
      </c>
      <c r="S321" s="222">
        <v>0</v>
      </c>
      <c r="T321" s="222">
        <v>0</v>
      </c>
      <c r="U321" s="222">
        <v>0</v>
      </c>
      <c r="V321" s="222">
        <v>0</v>
      </c>
      <c r="W321" s="222">
        <v>0</v>
      </c>
      <c r="X321" s="222">
        <v>0</v>
      </c>
      <c r="Y321" s="222">
        <v>0</v>
      </c>
      <c r="Z321" s="222">
        <v>0</v>
      </c>
      <c r="AA321" s="222">
        <v>0</v>
      </c>
      <c r="AB321" s="222">
        <v>0</v>
      </c>
      <c r="AC321" s="222">
        <v>0</v>
      </c>
      <c r="AD321" s="222">
        <v>0</v>
      </c>
      <c r="AE321" s="222">
        <v>0</v>
      </c>
      <c r="AF321" s="222">
        <v>0</v>
      </c>
      <c r="AG321" s="222">
        <v>0</v>
      </c>
      <c r="AH321" s="222">
        <v>0</v>
      </c>
      <c r="AI321" s="222">
        <v>0</v>
      </c>
      <c r="AJ321" s="222">
        <v>0</v>
      </c>
      <c r="AK321" s="222">
        <v>0</v>
      </c>
      <c r="AL321" s="222">
        <v>0</v>
      </c>
      <c r="AM321" s="222">
        <v>0</v>
      </c>
      <c r="AN321" s="222">
        <v>0</v>
      </c>
      <c r="AO321" s="222">
        <v>0</v>
      </c>
      <c r="AP321" s="222">
        <v>0</v>
      </c>
    </row>
    <row r="322" spans="7:42" ht="14.25" customHeight="1" thickTop="1" x14ac:dyDescent="0.2">
      <c r="G322" s="138"/>
      <c r="H322" s="380"/>
      <c r="J322" s="358"/>
      <c r="K322" s="194" t="s">
        <v>363</v>
      </c>
      <c r="L322" s="194" t="s">
        <v>276</v>
      </c>
      <c r="M322" s="223">
        <v>0</v>
      </c>
      <c r="N322" s="223">
        <v>0</v>
      </c>
      <c r="O322" s="223">
        <v>0</v>
      </c>
      <c r="P322" s="223">
        <v>0</v>
      </c>
      <c r="Q322" s="223">
        <v>0</v>
      </c>
      <c r="R322" s="223">
        <v>0</v>
      </c>
      <c r="S322" s="223">
        <v>0</v>
      </c>
      <c r="T322" s="223">
        <v>0</v>
      </c>
      <c r="U322" s="223">
        <v>0</v>
      </c>
      <c r="V322" s="223">
        <v>0</v>
      </c>
      <c r="W322" s="223">
        <v>0</v>
      </c>
      <c r="X322" s="223">
        <v>0</v>
      </c>
      <c r="Y322" s="223">
        <v>0</v>
      </c>
      <c r="Z322" s="223">
        <v>0</v>
      </c>
      <c r="AA322" s="223">
        <v>0</v>
      </c>
      <c r="AB322" s="223">
        <v>0</v>
      </c>
      <c r="AC322" s="223">
        <v>0</v>
      </c>
      <c r="AD322" s="223">
        <v>0</v>
      </c>
      <c r="AE322" s="223">
        <v>0</v>
      </c>
      <c r="AF322" s="223">
        <v>0</v>
      </c>
      <c r="AG322" s="223">
        <v>0</v>
      </c>
      <c r="AH322" s="223">
        <v>0</v>
      </c>
      <c r="AI322" s="223">
        <v>0</v>
      </c>
      <c r="AJ322" s="223">
        <v>0</v>
      </c>
      <c r="AK322" s="223">
        <v>0</v>
      </c>
      <c r="AL322" s="223">
        <v>0</v>
      </c>
      <c r="AM322" s="223">
        <v>0</v>
      </c>
      <c r="AN322" s="223">
        <v>0</v>
      </c>
      <c r="AO322" s="223">
        <v>0</v>
      </c>
      <c r="AP322" s="223">
        <v>0</v>
      </c>
    </row>
    <row r="323" spans="7:42" ht="14.25" customHeight="1" x14ac:dyDescent="0.2">
      <c r="G323" s="138"/>
      <c r="H323" s="380"/>
      <c r="J323" s="358"/>
      <c r="K323" s="135" t="s">
        <v>363</v>
      </c>
      <c r="L323" s="185" t="s">
        <v>277</v>
      </c>
      <c r="M323" s="221">
        <v>0</v>
      </c>
      <c r="N323" s="221">
        <v>0</v>
      </c>
      <c r="O323" s="221">
        <v>0</v>
      </c>
      <c r="P323" s="221">
        <v>0</v>
      </c>
      <c r="Q323" s="221">
        <v>0</v>
      </c>
      <c r="R323" s="221">
        <v>0</v>
      </c>
      <c r="S323" s="221">
        <v>0</v>
      </c>
      <c r="T323" s="221">
        <v>0</v>
      </c>
      <c r="U323" s="221">
        <v>0</v>
      </c>
      <c r="V323" s="221">
        <v>0</v>
      </c>
      <c r="W323" s="221">
        <v>0</v>
      </c>
      <c r="X323" s="221">
        <v>0</v>
      </c>
      <c r="Y323" s="221">
        <v>0</v>
      </c>
      <c r="Z323" s="221">
        <v>0</v>
      </c>
      <c r="AA323" s="221">
        <v>0</v>
      </c>
      <c r="AB323" s="221">
        <v>0</v>
      </c>
      <c r="AC323" s="221">
        <v>0</v>
      </c>
      <c r="AD323" s="221">
        <v>0</v>
      </c>
      <c r="AE323" s="221">
        <v>0</v>
      </c>
      <c r="AF323" s="221">
        <v>0</v>
      </c>
      <c r="AG323" s="221">
        <v>0</v>
      </c>
      <c r="AH323" s="221">
        <v>0</v>
      </c>
      <c r="AI323" s="221">
        <v>0</v>
      </c>
      <c r="AJ323" s="221">
        <v>0</v>
      </c>
      <c r="AK323" s="221">
        <v>0</v>
      </c>
      <c r="AL323" s="221">
        <v>0</v>
      </c>
      <c r="AM323" s="221">
        <v>0</v>
      </c>
      <c r="AN323" s="221">
        <v>0</v>
      </c>
      <c r="AO323" s="221">
        <v>0</v>
      </c>
      <c r="AP323" s="221">
        <v>0</v>
      </c>
    </row>
    <row r="324" spans="7:42" ht="14.25" customHeight="1" thickBot="1" x14ac:dyDescent="0.25">
      <c r="G324" s="138"/>
      <c r="H324" s="380"/>
      <c r="J324" s="358"/>
      <c r="K324" s="196" t="s">
        <v>363</v>
      </c>
      <c r="L324" s="196" t="s">
        <v>278</v>
      </c>
      <c r="M324" s="222">
        <v>0</v>
      </c>
      <c r="N324" s="222">
        <v>0</v>
      </c>
      <c r="O324" s="222">
        <v>0</v>
      </c>
      <c r="P324" s="222">
        <v>0</v>
      </c>
      <c r="Q324" s="222">
        <v>0</v>
      </c>
      <c r="R324" s="222">
        <v>0</v>
      </c>
      <c r="S324" s="222">
        <v>0</v>
      </c>
      <c r="T324" s="222">
        <v>0</v>
      </c>
      <c r="U324" s="222">
        <v>0</v>
      </c>
      <c r="V324" s="222">
        <v>0</v>
      </c>
      <c r="W324" s="222">
        <v>0</v>
      </c>
      <c r="X324" s="222">
        <v>0</v>
      </c>
      <c r="Y324" s="222">
        <v>0</v>
      </c>
      <c r="Z324" s="222">
        <v>0</v>
      </c>
      <c r="AA324" s="222">
        <v>0</v>
      </c>
      <c r="AB324" s="222">
        <v>0</v>
      </c>
      <c r="AC324" s="222">
        <v>0</v>
      </c>
      <c r="AD324" s="222">
        <v>0</v>
      </c>
      <c r="AE324" s="222">
        <v>0</v>
      </c>
      <c r="AF324" s="222">
        <v>0</v>
      </c>
      <c r="AG324" s="222">
        <v>0</v>
      </c>
      <c r="AH324" s="222">
        <v>0</v>
      </c>
      <c r="AI324" s="222">
        <v>0</v>
      </c>
      <c r="AJ324" s="222">
        <v>0</v>
      </c>
      <c r="AK324" s="222">
        <v>0</v>
      </c>
      <c r="AL324" s="222">
        <v>0</v>
      </c>
      <c r="AM324" s="222">
        <v>0</v>
      </c>
      <c r="AN324" s="222">
        <v>0</v>
      </c>
      <c r="AO324" s="222">
        <v>0</v>
      </c>
      <c r="AP324" s="222">
        <v>0</v>
      </c>
    </row>
    <row r="325" spans="7:42" ht="14.25" customHeight="1" thickTop="1" x14ac:dyDescent="0.2">
      <c r="G325" s="138"/>
      <c r="H325" s="380"/>
      <c r="J325" s="358"/>
      <c r="K325" s="194" t="s">
        <v>366</v>
      </c>
      <c r="L325" s="194" t="s">
        <v>276</v>
      </c>
      <c r="M325" s="223">
        <v>0</v>
      </c>
      <c r="N325" s="223">
        <v>0</v>
      </c>
      <c r="O325" s="223">
        <v>0</v>
      </c>
      <c r="P325" s="223">
        <v>0</v>
      </c>
      <c r="Q325" s="223">
        <v>0</v>
      </c>
      <c r="R325" s="223">
        <v>0</v>
      </c>
      <c r="S325" s="223">
        <v>0</v>
      </c>
      <c r="T325" s="223">
        <v>0</v>
      </c>
      <c r="U325" s="223">
        <v>0</v>
      </c>
      <c r="V325" s="223">
        <v>0</v>
      </c>
      <c r="W325" s="223">
        <v>0</v>
      </c>
      <c r="X325" s="223">
        <v>0</v>
      </c>
      <c r="Y325" s="223">
        <v>0</v>
      </c>
      <c r="Z325" s="223">
        <v>0</v>
      </c>
      <c r="AA325" s="223">
        <v>0</v>
      </c>
      <c r="AB325" s="223">
        <v>0</v>
      </c>
      <c r="AC325" s="223">
        <v>0</v>
      </c>
      <c r="AD325" s="223">
        <v>0</v>
      </c>
      <c r="AE325" s="223">
        <v>0</v>
      </c>
      <c r="AF325" s="223">
        <v>0</v>
      </c>
      <c r="AG325" s="223">
        <v>0</v>
      </c>
      <c r="AH325" s="223">
        <v>0</v>
      </c>
      <c r="AI325" s="223">
        <v>0</v>
      </c>
      <c r="AJ325" s="223">
        <v>0</v>
      </c>
      <c r="AK325" s="223">
        <v>0</v>
      </c>
      <c r="AL325" s="223">
        <v>0</v>
      </c>
      <c r="AM325" s="223">
        <v>0</v>
      </c>
      <c r="AN325" s="223">
        <v>0</v>
      </c>
      <c r="AO325" s="223">
        <v>0</v>
      </c>
      <c r="AP325" s="223">
        <v>0</v>
      </c>
    </row>
    <row r="326" spans="7:42" ht="14.25" customHeight="1" x14ac:dyDescent="0.2">
      <c r="G326" s="138"/>
      <c r="H326" s="380"/>
      <c r="J326" s="358"/>
      <c r="K326" s="135" t="s">
        <v>366</v>
      </c>
      <c r="L326" s="185" t="s">
        <v>277</v>
      </c>
      <c r="M326" s="221">
        <v>0</v>
      </c>
      <c r="N326" s="221">
        <v>0</v>
      </c>
      <c r="O326" s="221">
        <v>0</v>
      </c>
      <c r="P326" s="221">
        <v>0</v>
      </c>
      <c r="Q326" s="221">
        <v>0</v>
      </c>
      <c r="R326" s="221">
        <v>0</v>
      </c>
      <c r="S326" s="221">
        <v>0</v>
      </c>
      <c r="T326" s="221">
        <v>0</v>
      </c>
      <c r="U326" s="221">
        <v>0</v>
      </c>
      <c r="V326" s="221">
        <v>0</v>
      </c>
      <c r="W326" s="221">
        <v>0</v>
      </c>
      <c r="X326" s="221">
        <v>0</v>
      </c>
      <c r="Y326" s="221">
        <v>0</v>
      </c>
      <c r="Z326" s="221">
        <v>0</v>
      </c>
      <c r="AA326" s="221">
        <v>0</v>
      </c>
      <c r="AB326" s="221">
        <v>0</v>
      </c>
      <c r="AC326" s="221">
        <v>0</v>
      </c>
      <c r="AD326" s="221">
        <v>0</v>
      </c>
      <c r="AE326" s="221">
        <v>0</v>
      </c>
      <c r="AF326" s="221">
        <v>0</v>
      </c>
      <c r="AG326" s="221">
        <v>0</v>
      </c>
      <c r="AH326" s="221">
        <v>0</v>
      </c>
      <c r="AI326" s="221">
        <v>0</v>
      </c>
      <c r="AJ326" s="221">
        <v>0</v>
      </c>
      <c r="AK326" s="221">
        <v>0</v>
      </c>
      <c r="AL326" s="221">
        <v>0</v>
      </c>
      <c r="AM326" s="221">
        <v>0</v>
      </c>
      <c r="AN326" s="221">
        <v>0</v>
      </c>
      <c r="AO326" s="221">
        <v>0</v>
      </c>
      <c r="AP326" s="221">
        <v>0</v>
      </c>
    </row>
    <row r="327" spans="7:42" ht="14.25" customHeight="1" thickBot="1" x14ac:dyDescent="0.25">
      <c r="G327" s="138"/>
      <c r="H327" s="380"/>
      <c r="J327" s="358"/>
      <c r="K327" s="196" t="s">
        <v>366</v>
      </c>
      <c r="L327" s="196" t="s">
        <v>278</v>
      </c>
      <c r="M327" s="222">
        <v>0</v>
      </c>
      <c r="N327" s="222">
        <v>0</v>
      </c>
      <c r="O327" s="222">
        <v>0</v>
      </c>
      <c r="P327" s="222">
        <v>0</v>
      </c>
      <c r="Q327" s="222">
        <v>0</v>
      </c>
      <c r="R327" s="222">
        <v>0</v>
      </c>
      <c r="S327" s="222">
        <v>0</v>
      </c>
      <c r="T327" s="222">
        <v>0</v>
      </c>
      <c r="U327" s="222">
        <v>0</v>
      </c>
      <c r="V327" s="222">
        <v>0</v>
      </c>
      <c r="W327" s="222">
        <v>0</v>
      </c>
      <c r="X327" s="222">
        <v>0</v>
      </c>
      <c r="Y327" s="222">
        <v>0</v>
      </c>
      <c r="Z327" s="222">
        <v>0</v>
      </c>
      <c r="AA327" s="222">
        <v>0</v>
      </c>
      <c r="AB327" s="222">
        <v>0</v>
      </c>
      <c r="AC327" s="222">
        <v>0</v>
      </c>
      <c r="AD327" s="222">
        <v>0</v>
      </c>
      <c r="AE327" s="222">
        <v>0</v>
      </c>
      <c r="AF327" s="222">
        <v>0</v>
      </c>
      <c r="AG327" s="222">
        <v>0</v>
      </c>
      <c r="AH327" s="222">
        <v>0</v>
      </c>
      <c r="AI327" s="222">
        <v>0</v>
      </c>
      <c r="AJ327" s="222">
        <v>0</v>
      </c>
      <c r="AK327" s="222">
        <v>0</v>
      </c>
      <c r="AL327" s="222">
        <v>0</v>
      </c>
      <c r="AM327" s="222">
        <v>0</v>
      </c>
      <c r="AN327" s="222">
        <v>0</v>
      </c>
      <c r="AO327" s="222">
        <v>0</v>
      </c>
      <c r="AP327" s="222">
        <v>0</v>
      </c>
    </row>
    <row r="328" spans="7:42" ht="14.25" customHeight="1" thickTop="1" x14ac:dyDescent="0.2">
      <c r="G328" s="138"/>
      <c r="H328" s="380"/>
      <c r="J328" s="358"/>
      <c r="K328" s="194" t="s">
        <v>369</v>
      </c>
      <c r="L328" s="194" t="s">
        <v>276</v>
      </c>
      <c r="M328" s="223">
        <v>0</v>
      </c>
      <c r="N328" s="223">
        <v>0</v>
      </c>
      <c r="O328" s="223">
        <v>0</v>
      </c>
      <c r="P328" s="223">
        <v>0</v>
      </c>
      <c r="Q328" s="223">
        <v>0</v>
      </c>
      <c r="R328" s="223">
        <v>0</v>
      </c>
      <c r="S328" s="223">
        <v>0</v>
      </c>
      <c r="T328" s="223">
        <v>0</v>
      </c>
      <c r="U328" s="223">
        <v>0</v>
      </c>
      <c r="V328" s="223">
        <v>0</v>
      </c>
      <c r="W328" s="223">
        <v>0</v>
      </c>
      <c r="X328" s="223">
        <v>0</v>
      </c>
      <c r="Y328" s="223">
        <v>0</v>
      </c>
      <c r="Z328" s="223">
        <v>0</v>
      </c>
      <c r="AA328" s="223">
        <v>0</v>
      </c>
      <c r="AB328" s="223">
        <v>0</v>
      </c>
      <c r="AC328" s="223">
        <v>0</v>
      </c>
      <c r="AD328" s="223">
        <v>0</v>
      </c>
      <c r="AE328" s="223">
        <v>0</v>
      </c>
      <c r="AF328" s="223">
        <v>0</v>
      </c>
      <c r="AG328" s="223">
        <v>0</v>
      </c>
      <c r="AH328" s="223">
        <v>0</v>
      </c>
      <c r="AI328" s="223">
        <v>0</v>
      </c>
      <c r="AJ328" s="223">
        <v>0</v>
      </c>
      <c r="AK328" s="223">
        <v>0</v>
      </c>
      <c r="AL328" s="223">
        <v>0</v>
      </c>
      <c r="AM328" s="223">
        <v>0</v>
      </c>
      <c r="AN328" s="223">
        <v>0</v>
      </c>
      <c r="AO328" s="223">
        <v>0</v>
      </c>
      <c r="AP328" s="223">
        <v>0</v>
      </c>
    </row>
    <row r="329" spans="7:42" ht="14.25" customHeight="1" x14ac:dyDescent="0.2">
      <c r="G329" s="138"/>
      <c r="H329" s="380"/>
      <c r="J329" s="358"/>
      <c r="K329" s="135" t="s">
        <v>369</v>
      </c>
      <c r="L329" s="185" t="s">
        <v>277</v>
      </c>
      <c r="M329" s="221">
        <v>0</v>
      </c>
      <c r="N329" s="221">
        <v>0</v>
      </c>
      <c r="O329" s="221">
        <v>0</v>
      </c>
      <c r="P329" s="221">
        <v>0</v>
      </c>
      <c r="Q329" s="221">
        <v>0</v>
      </c>
      <c r="R329" s="221">
        <v>0</v>
      </c>
      <c r="S329" s="221">
        <v>0</v>
      </c>
      <c r="T329" s="221">
        <v>0</v>
      </c>
      <c r="U329" s="221">
        <v>0</v>
      </c>
      <c r="V329" s="221">
        <v>0</v>
      </c>
      <c r="W329" s="221">
        <v>0</v>
      </c>
      <c r="X329" s="221">
        <v>0</v>
      </c>
      <c r="Y329" s="221">
        <v>0</v>
      </c>
      <c r="Z329" s="221">
        <v>0</v>
      </c>
      <c r="AA329" s="221">
        <v>0</v>
      </c>
      <c r="AB329" s="221">
        <v>0</v>
      </c>
      <c r="AC329" s="221">
        <v>0</v>
      </c>
      <c r="AD329" s="221">
        <v>0</v>
      </c>
      <c r="AE329" s="221">
        <v>0</v>
      </c>
      <c r="AF329" s="221">
        <v>0</v>
      </c>
      <c r="AG329" s="221">
        <v>0</v>
      </c>
      <c r="AH329" s="221">
        <v>0</v>
      </c>
      <c r="AI329" s="221">
        <v>0</v>
      </c>
      <c r="AJ329" s="221">
        <v>0</v>
      </c>
      <c r="AK329" s="221">
        <v>0</v>
      </c>
      <c r="AL329" s="221">
        <v>0</v>
      </c>
      <c r="AM329" s="221">
        <v>0</v>
      </c>
      <c r="AN329" s="221">
        <v>0</v>
      </c>
      <c r="AO329" s="221">
        <v>0</v>
      </c>
      <c r="AP329" s="221">
        <v>0</v>
      </c>
    </row>
    <row r="330" spans="7:42" ht="14.25" customHeight="1" x14ac:dyDescent="0.2">
      <c r="G330" s="138"/>
      <c r="H330" s="380"/>
      <c r="J330" s="368"/>
      <c r="K330" s="196" t="s">
        <v>369</v>
      </c>
      <c r="L330" s="196" t="s">
        <v>278</v>
      </c>
      <c r="M330" s="232">
        <v>0</v>
      </c>
      <c r="N330" s="232">
        <v>0</v>
      </c>
      <c r="O330" s="232">
        <v>0</v>
      </c>
      <c r="P330" s="232">
        <v>0</v>
      </c>
      <c r="Q330" s="232">
        <v>0</v>
      </c>
      <c r="R330" s="232">
        <v>0</v>
      </c>
      <c r="S330" s="232">
        <v>0</v>
      </c>
      <c r="T330" s="232">
        <v>0</v>
      </c>
      <c r="U330" s="232">
        <v>0</v>
      </c>
      <c r="V330" s="232">
        <v>0</v>
      </c>
      <c r="W330" s="232">
        <v>0</v>
      </c>
      <c r="X330" s="232">
        <v>0</v>
      </c>
      <c r="Y330" s="232">
        <v>0</v>
      </c>
      <c r="Z330" s="232">
        <v>0</v>
      </c>
      <c r="AA330" s="232">
        <v>0</v>
      </c>
      <c r="AB330" s="232">
        <v>0</v>
      </c>
      <c r="AC330" s="232">
        <v>0</v>
      </c>
      <c r="AD330" s="232">
        <v>0</v>
      </c>
      <c r="AE330" s="232">
        <v>0</v>
      </c>
      <c r="AF330" s="232">
        <v>0</v>
      </c>
      <c r="AG330" s="232">
        <v>0</v>
      </c>
      <c r="AH330" s="232">
        <v>0</v>
      </c>
      <c r="AI330" s="232">
        <v>0</v>
      </c>
      <c r="AJ330" s="232">
        <v>0</v>
      </c>
      <c r="AK330" s="232">
        <v>0</v>
      </c>
      <c r="AL330" s="232">
        <v>0</v>
      </c>
      <c r="AM330" s="232">
        <v>0</v>
      </c>
      <c r="AN330" s="232">
        <v>0</v>
      </c>
      <c r="AO330" s="232">
        <v>0</v>
      </c>
      <c r="AP330" s="232">
        <v>0</v>
      </c>
    </row>
    <row r="331" spans="7:42" ht="14.25" customHeight="1" thickBot="1" x14ac:dyDescent="0.25">
      <c r="G331" s="138"/>
      <c r="H331" s="230"/>
      <c r="I331" s="230"/>
      <c r="J331" s="230"/>
      <c r="K331" s="230"/>
      <c r="L331" s="230"/>
      <c r="M331" s="230"/>
      <c r="N331" s="230"/>
      <c r="O331" s="230"/>
      <c r="P331" s="230"/>
      <c r="Q331" s="230"/>
      <c r="R331" s="230"/>
      <c r="S331" s="230"/>
      <c r="T331" s="230"/>
      <c r="U331" s="230"/>
      <c r="V331" s="230"/>
      <c r="W331" s="230"/>
      <c r="X331" s="230"/>
      <c r="Y331" s="230"/>
      <c r="Z331" s="230"/>
      <c r="AA331" s="230"/>
      <c r="AB331" s="230"/>
      <c r="AC331" s="230"/>
      <c r="AD331" s="230"/>
      <c r="AE331" s="230"/>
      <c r="AF331" s="230"/>
      <c r="AG331" s="230"/>
      <c r="AH331" s="230"/>
      <c r="AI331" s="230"/>
      <c r="AJ331" s="230"/>
      <c r="AK331" s="230"/>
      <c r="AL331" s="230"/>
      <c r="AM331" s="230"/>
      <c r="AN331" s="230"/>
      <c r="AO331" s="230"/>
      <c r="AP331" s="230"/>
    </row>
    <row r="332" spans="7:42" ht="14.25" customHeight="1" x14ac:dyDescent="0.2">
      <c r="G332" s="138"/>
      <c r="H332" s="231"/>
      <c r="I332" s="231"/>
      <c r="J332" s="231"/>
      <c r="K332" s="231"/>
      <c r="L332" s="231"/>
      <c r="M332" s="231"/>
      <c r="N332" s="231"/>
      <c r="O332" s="231"/>
      <c r="P332" s="231"/>
      <c r="Q332" s="231"/>
      <c r="R332" s="231"/>
      <c r="S332" s="231"/>
      <c r="T332" s="231"/>
      <c r="U332" s="231"/>
      <c r="V332" s="231"/>
      <c r="W332" s="231"/>
      <c r="X332" s="231"/>
      <c r="Y332" s="231"/>
      <c r="Z332" s="231"/>
      <c r="AA332" s="231"/>
      <c r="AB332" s="231"/>
      <c r="AC332" s="231"/>
      <c r="AD332" s="231"/>
      <c r="AE332" s="231"/>
      <c r="AF332" s="231"/>
      <c r="AG332" s="231"/>
      <c r="AH332" s="231"/>
      <c r="AI332" s="231"/>
      <c r="AJ332" s="231"/>
      <c r="AK332" s="231"/>
      <c r="AL332" s="231"/>
      <c r="AM332" s="231"/>
      <c r="AN332" s="231"/>
      <c r="AO332" s="231"/>
      <c r="AP332" s="231"/>
    </row>
    <row r="333" spans="7:42" ht="14.25" customHeight="1" thickBot="1" x14ac:dyDescent="0.25">
      <c r="G333" s="138"/>
      <c r="M333" s="123">
        <v>2021</v>
      </c>
      <c r="N333" s="123">
        <v>2022</v>
      </c>
      <c r="O333" s="123">
        <v>2023</v>
      </c>
      <c r="P333" s="123">
        <v>2024</v>
      </c>
      <c r="Q333" s="123">
        <v>2025</v>
      </c>
      <c r="R333" s="123">
        <v>2026</v>
      </c>
      <c r="S333" s="123">
        <v>2027</v>
      </c>
      <c r="T333" s="123">
        <v>2028</v>
      </c>
      <c r="U333" s="123">
        <v>2029</v>
      </c>
      <c r="V333" s="123">
        <v>2030</v>
      </c>
      <c r="W333" s="123">
        <v>2031</v>
      </c>
      <c r="X333" s="123">
        <v>2032</v>
      </c>
      <c r="Y333" s="123">
        <v>2033</v>
      </c>
      <c r="Z333" s="123">
        <v>2034</v>
      </c>
      <c r="AA333" s="123">
        <v>2035</v>
      </c>
      <c r="AB333" s="123">
        <v>2036</v>
      </c>
      <c r="AC333" s="123">
        <v>2037</v>
      </c>
      <c r="AD333" s="123">
        <v>2038</v>
      </c>
      <c r="AE333" s="123">
        <v>2039</v>
      </c>
      <c r="AF333" s="123">
        <v>2040</v>
      </c>
      <c r="AG333" s="123">
        <v>2041</v>
      </c>
      <c r="AH333" s="123">
        <v>2042</v>
      </c>
      <c r="AI333" s="123">
        <v>2043</v>
      </c>
      <c r="AJ333" s="123">
        <v>2044</v>
      </c>
      <c r="AK333" s="123">
        <v>2045</v>
      </c>
      <c r="AL333" s="123">
        <v>2046</v>
      </c>
      <c r="AM333" s="123">
        <v>2047</v>
      </c>
      <c r="AN333" s="123">
        <v>2048</v>
      </c>
      <c r="AO333" s="123">
        <v>2049</v>
      </c>
      <c r="AP333" s="123">
        <v>2050</v>
      </c>
    </row>
    <row r="334" spans="7:42" ht="14.25" customHeight="1" thickTop="1" x14ac:dyDescent="0.2">
      <c r="G334" s="138"/>
      <c r="H334" s="451" t="s">
        <v>302</v>
      </c>
      <c r="J334" s="367" t="s">
        <v>303</v>
      </c>
      <c r="K334" s="194" t="s">
        <v>348</v>
      </c>
      <c r="L334" s="194" t="s">
        <v>276</v>
      </c>
      <c r="M334" s="215">
        <v>17.21996950267787</v>
      </c>
      <c r="N334" s="215">
        <v>15.151139285610411</v>
      </c>
      <c r="O334" s="215">
        <v>13.00212163423682</v>
      </c>
      <c r="P334" s="215">
        <v>9.5100503700719159</v>
      </c>
      <c r="Q334" s="215">
        <v>8.3784185478366204</v>
      </c>
      <c r="R334" s="215">
        <v>7.2739446721447898</v>
      </c>
      <c r="S334" s="215">
        <v>6.1955956841139894</v>
      </c>
      <c r="T334" s="215">
        <v>5.142375908344885</v>
      </c>
      <c r="U334" s="215">
        <v>4.1133245364373181</v>
      </c>
      <c r="V334" s="215">
        <v>3.107513213136166</v>
      </c>
      <c r="W334" s="215">
        <v>2.792634838413885</v>
      </c>
      <c r="X334" s="215">
        <v>2.4779165964047039</v>
      </c>
      <c r="Y334" s="215">
        <v>2.1633492234058309</v>
      </c>
      <c r="Z334" s="215">
        <v>1.848923192003429</v>
      </c>
      <c r="AA334" s="215">
        <v>1.534628700157231</v>
      </c>
      <c r="AB334" s="215">
        <v>1.220455659744655</v>
      </c>
      <c r="AC334" s="215">
        <v>0.90639368453507529</v>
      </c>
      <c r="AD334" s="215">
        <v>0.59243207756095728</v>
      </c>
      <c r="AE334" s="215">
        <v>0.27855981784779971</v>
      </c>
      <c r="AF334" s="215">
        <v>-3.5234453532179799E-2</v>
      </c>
      <c r="AG334" s="215">
        <v>-0.34896244812196292</v>
      </c>
      <c r="AH334" s="215">
        <v>-0.66263624551032407</v>
      </c>
      <c r="AI334" s="215">
        <v>-0.9762683095633804</v>
      </c>
      <c r="AJ334" s="215">
        <v>3.7589838320636519</v>
      </c>
      <c r="AK334" s="215">
        <v>8.345623783036773</v>
      </c>
      <c r="AL334" s="215">
        <v>17.212587417366969</v>
      </c>
      <c r="AM334" s="215">
        <v>16.926914673557121</v>
      </c>
      <c r="AN334" s="215">
        <v>16.641724680051709</v>
      </c>
      <c r="AO334" s="215">
        <v>16.35701641859561</v>
      </c>
      <c r="AP334" s="215">
        <v>16.072788873716679</v>
      </c>
    </row>
    <row r="335" spans="7:42" ht="14.25" customHeight="1" x14ac:dyDescent="0.2">
      <c r="G335" s="138"/>
      <c r="H335" s="380"/>
      <c r="J335" s="358"/>
      <c r="K335" s="135" t="s">
        <v>348</v>
      </c>
      <c r="L335" s="185" t="s">
        <v>277</v>
      </c>
      <c r="M335" s="213">
        <v>17.21996950267787</v>
      </c>
      <c r="N335" s="213">
        <v>15.63599378108734</v>
      </c>
      <c r="O335" s="213">
        <v>13.93372876605526</v>
      </c>
      <c r="P335" s="213">
        <v>10.798120455220291</v>
      </c>
      <c r="Q335" s="213">
        <v>10.057484938397399</v>
      </c>
      <c r="R335" s="213">
        <v>9.3261735521509728</v>
      </c>
      <c r="S335" s="213">
        <v>8.6039056315397637</v>
      </c>
      <c r="T335" s="213">
        <v>7.8904040129068207</v>
      </c>
      <c r="U335" s="213">
        <v>7.1853945381029192</v>
      </c>
      <c r="V335" s="213">
        <v>6.4886055446856297</v>
      </c>
      <c r="W335" s="213">
        <v>6.2237190551404851</v>
      </c>
      <c r="X335" s="213">
        <v>5.9589545072268102</v>
      </c>
      <c r="Y335" s="213">
        <v>5.6943042719199326</v>
      </c>
      <c r="Z335" s="213">
        <v>5.4297605085734686</v>
      </c>
      <c r="AA335" s="213">
        <v>5.1653151562003856</v>
      </c>
      <c r="AB335" s="213">
        <v>4.9009599243258037</v>
      </c>
      <c r="AC335" s="213">
        <v>4.636686283388002</v>
      </c>
      <c r="AD335" s="213">
        <v>4.3724854546657923</v>
      </c>
      <c r="AE335" s="213">
        <v>4.1083483996948864</v>
      </c>
      <c r="AF335" s="213">
        <v>3.844265809154535</v>
      </c>
      <c r="AG335" s="213">
        <v>3.5802280911878701</v>
      </c>
      <c r="AH335" s="213">
        <v>3.3162253591137869</v>
      </c>
      <c r="AI335" s="213">
        <v>3.0522474185107948</v>
      </c>
      <c r="AJ335" s="213">
        <v>7.7319017813250666</v>
      </c>
      <c r="AK335" s="213">
        <v>12.262794575035571</v>
      </c>
      <c r="AL335" s="213">
        <v>20.957166036322501</v>
      </c>
      <c r="AM335" s="213">
        <v>20.71599644813822</v>
      </c>
      <c r="AN335" s="213">
        <v>20.475211175377002</v>
      </c>
      <c r="AO335" s="213">
        <v>20.234809300888699</v>
      </c>
      <c r="AP335" s="213">
        <v>19.994789910467279</v>
      </c>
    </row>
    <row r="336" spans="7:42" ht="14.25" customHeight="1" thickBot="1" x14ac:dyDescent="0.25">
      <c r="G336" s="138"/>
      <c r="H336" s="380"/>
      <c r="J336" s="358"/>
      <c r="K336" s="196" t="s">
        <v>348</v>
      </c>
      <c r="L336" s="196" t="s">
        <v>278</v>
      </c>
      <c r="M336" s="218">
        <v>17.21996950267787</v>
      </c>
      <c r="N336" s="218">
        <v>16.222554262815908</v>
      </c>
      <c r="O336" s="218">
        <v>15.073768856197031</v>
      </c>
      <c r="P336" s="218">
        <v>12.37973883309683</v>
      </c>
      <c r="Q336" s="218">
        <v>12.14912196026488</v>
      </c>
      <c r="R336" s="218">
        <v>11.919757390457439</v>
      </c>
      <c r="S336" s="218">
        <v>11.69167449632274</v>
      </c>
      <c r="T336" s="218">
        <v>11.46490501596719</v>
      </c>
      <c r="U336" s="218">
        <v>11.2394832677527</v>
      </c>
      <c r="V336" s="218">
        <v>11.015446388715519</v>
      </c>
      <c r="W336" s="218">
        <v>10.79925291995559</v>
      </c>
      <c r="X336" s="218">
        <v>10.58348380975314</v>
      </c>
      <c r="Y336" s="218">
        <v>10.36813533032625</v>
      </c>
      <c r="Z336" s="218">
        <v>10.1532037102888</v>
      </c>
      <c r="AA336" s="218">
        <v>9.9386851327686863</v>
      </c>
      <c r="AB336" s="218">
        <v>9.7245757334545857</v>
      </c>
      <c r="AC336" s="218">
        <v>9.510871598563039</v>
      </c>
      <c r="AD336" s="218">
        <v>9.297568762728158</v>
      </c>
      <c r="AE336" s="218">
        <v>9.0846632068039384</v>
      </c>
      <c r="AF336" s="218">
        <v>8.8721508555803581</v>
      </c>
      <c r="AG336" s="218">
        <v>8.6600275754130003</v>
      </c>
      <c r="AH336" s="218">
        <v>8.4482891717432764</v>
      </c>
      <c r="AI336" s="218">
        <v>8.2369313865318148</v>
      </c>
      <c r="AJ336" s="218">
        <v>12.7840038849368</v>
      </c>
      <c r="AK336" s="218">
        <v>17.180207828772929</v>
      </c>
      <c r="AL336" s="218">
        <v>25.529522584171371</v>
      </c>
      <c r="AM336" s="218">
        <v>25.328671488015139</v>
      </c>
      <c r="AN336" s="218">
        <v>25.12829973378976</v>
      </c>
      <c r="AO336" s="218">
        <v>24.92840560706863</v>
      </c>
      <c r="AP336" s="218">
        <v>24.728987401572279</v>
      </c>
    </row>
    <row r="337" spans="7:42" ht="14.25" customHeight="1" thickTop="1" x14ac:dyDescent="0.2">
      <c r="G337" s="138"/>
      <c r="H337" s="380"/>
      <c r="J337" s="358"/>
      <c r="K337" s="194" t="s">
        <v>351</v>
      </c>
      <c r="L337" s="194" t="s">
        <v>276</v>
      </c>
      <c r="M337" s="215">
        <v>19.400914879898149</v>
      </c>
      <c r="N337" s="215">
        <v>17.542787035011798</v>
      </c>
      <c r="O337" s="215">
        <v>15.258019673417181</v>
      </c>
      <c r="P337" s="215">
        <v>11.538977757900639</v>
      </c>
      <c r="Q337" s="215">
        <v>10.32800919647819</v>
      </c>
      <c r="R337" s="215">
        <v>9.1466045142304999</v>
      </c>
      <c r="S337" s="215">
        <v>7.9936392819281181</v>
      </c>
      <c r="T337" s="215">
        <v>6.8680303596689001</v>
      </c>
      <c r="U337" s="215">
        <v>5.7687331570819751</v>
      </c>
      <c r="V337" s="215">
        <v>4.6947390086369083</v>
      </c>
      <c r="W337" s="215">
        <v>4.3632914347306659</v>
      </c>
      <c r="X337" s="215">
        <v>4.0319583918660733</v>
      </c>
      <c r="Y337" s="215">
        <v>3.7007304236823022</v>
      </c>
      <c r="Z337" s="215">
        <v>3.369597799310895</v>
      </c>
      <c r="AA337" s="215">
        <v>3.0385505020146399</v>
      </c>
      <c r="AB337" s="215">
        <v>2.707578217262494</v>
      </c>
      <c r="AC337" s="215">
        <v>2.3766703202099571</v>
      </c>
      <c r="AD337" s="215">
        <v>2.045815862550548</v>
      </c>
      <c r="AE337" s="215">
        <v>1.7150035586984771</v>
      </c>
      <c r="AF337" s="215">
        <v>1.384221771265594</v>
      </c>
      <c r="AG337" s="215">
        <v>1.053458495792075</v>
      </c>
      <c r="AH337" s="215">
        <v>0.72270134467439107</v>
      </c>
      <c r="AI337" s="215">
        <v>0.39193753025794109</v>
      </c>
      <c r="AJ337" s="215">
        <v>5.062358749983904</v>
      </c>
      <c r="AK337" s="215">
        <v>9.5853864187279019</v>
      </c>
      <c r="AL337" s="215">
        <v>18.338587191440979</v>
      </c>
      <c r="AM337" s="215">
        <v>18.03609174444016</v>
      </c>
      <c r="AN337" s="215">
        <v>17.734047463591441</v>
      </c>
      <c r="AO337" s="215">
        <v>17.432453439412821</v>
      </c>
      <c r="AP337" s="215">
        <v>17.131308764880021</v>
      </c>
    </row>
    <row r="338" spans="7:42" ht="14.25" customHeight="1" x14ac:dyDescent="0.2">
      <c r="G338" s="138"/>
      <c r="H338" s="380"/>
      <c r="J338" s="358"/>
      <c r="K338" s="135" t="s">
        <v>351</v>
      </c>
      <c r="L338" s="185" t="s">
        <v>277</v>
      </c>
      <c r="M338" s="213">
        <v>19.400914879898149</v>
      </c>
      <c r="N338" s="213">
        <v>18.068784067065021</v>
      </c>
      <c r="O338" s="213">
        <v>16.268356934380449</v>
      </c>
      <c r="P338" s="213">
        <v>12.935319672895121</v>
      </c>
      <c r="Q338" s="213">
        <v>12.147689482179191</v>
      </c>
      <c r="R338" s="213">
        <v>11.370050082311151</v>
      </c>
      <c r="S338" s="213">
        <v>10.602104675869899</v>
      </c>
      <c r="T338" s="213">
        <v>9.8435603388592838</v>
      </c>
      <c r="U338" s="213">
        <v>9.0941275030327304</v>
      </c>
      <c r="V338" s="213">
        <v>8.353519424257307</v>
      </c>
      <c r="W338" s="213">
        <v>8.0719656280942971</v>
      </c>
      <c r="X338" s="213">
        <v>7.7905537696524512</v>
      </c>
      <c r="Y338" s="213">
        <v>7.5092759948893999</v>
      </c>
      <c r="Z338" s="213">
        <v>7.2281242328167039</v>
      </c>
      <c r="AA338" s="213">
        <v>6.9470901865424111</v>
      </c>
      <c r="AB338" s="213">
        <v>6.6661653238725371</v>
      </c>
      <c r="AC338" s="213">
        <v>6.3853408674481962</v>
      </c>
      <c r="AD338" s="213">
        <v>6.1046077843949043</v>
      </c>
      <c r="AE338" s="213">
        <v>5.8239567754463764</v>
      </c>
      <c r="AF338" s="213">
        <v>5.5433782635220972</v>
      </c>
      <c r="AG338" s="213">
        <v>5.2628623817235862</v>
      </c>
      <c r="AH338" s="213">
        <v>4.9823989607025956</v>
      </c>
      <c r="AI338" s="213">
        <v>4.7019775153837919</v>
      </c>
      <c r="AJ338" s="213">
        <v>9.3101409403470079</v>
      </c>
      <c r="AK338" s="213">
        <v>13.77099125097241</v>
      </c>
      <c r="AL338" s="213">
        <v>22.337360679962462</v>
      </c>
      <c r="AM338" s="213">
        <v>22.08030817262566</v>
      </c>
      <c r="AN338" s="213">
        <v>21.823665290913091</v>
      </c>
      <c r="AO338" s="213">
        <v>21.567431057273058</v>
      </c>
      <c r="AP338" s="213">
        <v>21.311604497291821</v>
      </c>
    </row>
    <row r="339" spans="7:42" ht="14.25" customHeight="1" thickBot="1" x14ac:dyDescent="0.25">
      <c r="G339" s="138"/>
      <c r="H339" s="380"/>
      <c r="J339" s="358"/>
      <c r="K339" s="196" t="s">
        <v>351</v>
      </c>
      <c r="L339" s="196" t="s">
        <v>278</v>
      </c>
      <c r="M339" s="218">
        <v>19.400914879898149</v>
      </c>
      <c r="N339" s="218">
        <v>18.69397418190573</v>
      </c>
      <c r="O339" s="218">
        <v>17.483477654375541</v>
      </c>
      <c r="P339" s="218">
        <v>14.621100092988801</v>
      </c>
      <c r="Q339" s="218">
        <v>14.37707729578144</v>
      </c>
      <c r="R339" s="218">
        <v>14.134441868374379</v>
      </c>
      <c r="S339" s="218">
        <v>13.89322746935612</v>
      </c>
      <c r="T339" s="218">
        <v>13.653470420110841</v>
      </c>
      <c r="U339" s="218">
        <v>13.415209944513849</v>
      </c>
      <c r="V339" s="218">
        <v>13.178488434791699</v>
      </c>
      <c r="W339" s="218">
        <v>12.94883447880717</v>
      </c>
      <c r="X339" s="218">
        <v>12.719644794008939</v>
      </c>
      <c r="Y339" s="218">
        <v>12.49091568452531</v>
      </c>
      <c r="Z339" s="218">
        <v>12.26264341662074</v>
      </c>
      <c r="AA339" s="218">
        <v>12.03482421702684</v>
      </c>
      <c r="AB339" s="218">
        <v>11.807454271210791</v>
      </c>
      <c r="AC339" s="218">
        <v>11.58052972157758</v>
      </c>
      <c r="AD339" s="218">
        <v>11.354046665605271</v>
      </c>
      <c r="AE339" s="218">
        <v>11.128001153907499</v>
      </c>
      <c r="AF339" s="218">
        <v>10.90238918822206</v>
      </c>
      <c r="AG339" s="218">
        <v>10.677206719329289</v>
      </c>
      <c r="AH339" s="218">
        <v>10.452449644874481</v>
      </c>
      <c r="AI339" s="218">
        <v>10.228113807122019</v>
      </c>
      <c r="AJ339" s="218">
        <v>14.694963806415039</v>
      </c>
      <c r="AK339" s="218">
        <v>19.0122549442974</v>
      </c>
      <c r="AL339" s="218">
        <v>27.21084296233176</v>
      </c>
      <c r="AM339" s="218">
        <v>26.996764237659171</v>
      </c>
      <c r="AN339" s="218">
        <v>26.783196423363488</v>
      </c>
      <c r="AO339" s="218">
        <v>26.570137692109601</v>
      </c>
      <c r="AP339" s="218">
        <v>26.35758622524607</v>
      </c>
    </row>
    <row r="340" spans="7:42" ht="14.25" customHeight="1" thickTop="1" x14ac:dyDescent="0.2">
      <c r="G340" s="138"/>
      <c r="H340" s="380"/>
      <c r="J340" s="358"/>
      <c r="K340" s="194" t="s">
        <v>353</v>
      </c>
      <c r="L340" s="194" t="s">
        <v>276</v>
      </c>
      <c r="M340" s="215">
        <v>20.214495427251531</v>
      </c>
      <c r="N340" s="215">
        <v>18.434677693438541</v>
      </c>
      <c r="O340" s="215">
        <v>16.099014953393311</v>
      </c>
      <c r="P340" s="215">
        <v>12.295116231183799</v>
      </c>
      <c r="Q340" s="215">
        <v>11.05434932855519</v>
      </c>
      <c r="R340" s="215">
        <v>9.8440629089063094</v>
      </c>
      <c r="S340" s="215">
        <v>8.6630974435368273</v>
      </c>
      <c r="T340" s="215">
        <v>7.5103362057822034</v>
      </c>
      <c r="U340" s="215">
        <v>6.3847024447534864</v>
      </c>
      <c r="V340" s="215">
        <v>5.2851566790523101</v>
      </c>
      <c r="W340" s="215">
        <v>4.9476289527879089</v>
      </c>
      <c r="X340" s="215">
        <v>4.6101970251369231</v>
      </c>
      <c r="Y340" s="215">
        <v>4.2728513610385228</v>
      </c>
      <c r="Z340" s="215">
        <v>3.9355821468665231</v>
      </c>
      <c r="AA340" s="215">
        <v>3.598379278899138</v>
      </c>
      <c r="AB340" s="215">
        <v>3.2612323512163321</v>
      </c>
      <c r="AC340" s="215">
        <v>2.9241306429933012</v>
      </c>
      <c r="AD340" s="215">
        <v>2.587063105155206</v>
      </c>
      <c r="AE340" s="215">
        <v>2.2500183463525332</v>
      </c>
      <c r="AF340" s="215">
        <v>1.9129846182196919</v>
      </c>
      <c r="AG340" s="215">
        <v>1.575949799875946</v>
      </c>
      <c r="AH340" s="215">
        <v>1.238901381610283</v>
      </c>
      <c r="AI340" s="215">
        <v>0.90182644771842391</v>
      </c>
      <c r="AJ340" s="215">
        <v>5.5481561629326137</v>
      </c>
      <c r="AK340" s="215">
        <v>10.047539734156009</v>
      </c>
      <c r="AL340" s="215">
        <v>18.75839209744597</v>
      </c>
      <c r="AM340" s="215">
        <v>18.44968338424427</v>
      </c>
      <c r="AN340" s="215">
        <v>18.141412271822809</v>
      </c>
      <c r="AO340" s="215">
        <v>17.83357788650591</v>
      </c>
      <c r="AP340" s="215">
        <v>17.526179356978322</v>
      </c>
    </row>
    <row r="341" spans="7:42" ht="14.25" customHeight="1" x14ac:dyDescent="0.2">
      <c r="G341" s="138"/>
      <c r="H341" s="380"/>
      <c r="J341" s="358"/>
      <c r="K341" s="135" t="s">
        <v>353</v>
      </c>
      <c r="L341" s="185" t="s">
        <v>277</v>
      </c>
      <c r="M341" s="213">
        <v>20.214495427251531</v>
      </c>
      <c r="N341" s="213">
        <v>18.976312918147158</v>
      </c>
      <c r="O341" s="213">
        <v>17.139267358314779</v>
      </c>
      <c r="P341" s="213">
        <v>13.732581139174989</v>
      </c>
      <c r="Q341" s="213">
        <v>12.927420040574781</v>
      </c>
      <c r="R341" s="213">
        <v>12.13249842397928</v>
      </c>
      <c r="S341" s="213">
        <v>11.347513473901831</v>
      </c>
      <c r="T341" s="213">
        <v>10.572166387104421</v>
      </c>
      <c r="U341" s="213">
        <v>9.8061618467530351</v>
      </c>
      <c r="V341" s="213">
        <v>9.0492074826361346</v>
      </c>
      <c r="W341" s="213">
        <v>8.7614361091864481</v>
      </c>
      <c r="X341" s="213">
        <v>8.4738141328054155</v>
      </c>
      <c r="Y341" s="213">
        <v>8.186333615510069</v>
      </c>
      <c r="Z341" s="213">
        <v>7.8989864003851116</v>
      </c>
      <c r="AA341" s="213">
        <v>7.6117641025364513</v>
      </c>
      <c r="AB341" s="213">
        <v>7.32465809959929</v>
      </c>
      <c r="AC341" s="213">
        <v>7.037659521776348</v>
      </c>
      <c r="AD341" s="213">
        <v>6.7507592413837898</v>
      </c>
      <c r="AE341" s="213">
        <v>6.4639478618654884</v>
      </c>
      <c r="AF341" s="213">
        <v>6.1772157062557937</v>
      </c>
      <c r="AG341" s="213">
        <v>5.8905528050547851</v>
      </c>
      <c r="AH341" s="213">
        <v>5.6039488834677371</v>
      </c>
      <c r="AI341" s="213">
        <v>5.3173933479939421</v>
      </c>
      <c r="AJ341" s="213">
        <v>9.8988877710851746</v>
      </c>
      <c r="AK341" s="213">
        <v>14.33360941185871</v>
      </c>
      <c r="AL341" s="213">
        <v>22.852228922585759</v>
      </c>
      <c r="AM341" s="213">
        <v>22.589251446108211</v>
      </c>
      <c r="AN341" s="213">
        <v>22.326693036980249</v>
      </c>
      <c r="AO341" s="213">
        <v>22.064552695118049</v>
      </c>
      <c r="AP341" s="213">
        <v>21.802829423647879</v>
      </c>
    </row>
    <row r="342" spans="7:42" ht="14.25" customHeight="1" thickBot="1" x14ac:dyDescent="0.25">
      <c r="G342" s="138"/>
      <c r="H342" s="380"/>
      <c r="J342" s="358"/>
      <c r="K342" s="196" t="s">
        <v>353</v>
      </c>
      <c r="L342" s="196" t="s">
        <v>278</v>
      </c>
      <c r="M342" s="218">
        <v>20.214495427251531</v>
      </c>
      <c r="N342" s="218">
        <v>19.615913443436359</v>
      </c>
      <c r="O342" s="218">
        <v>18.38239618001186</v>
      </c>
      <c r="P342" s="218">
        <v>15.457218200157399</v>
      </c>
      <c r="Q342" s="218">
        <v>15.208194452717571</v>
      </c>
      <c r="R342" s="218">
        <v>14.960608460430439</v>
      </c>
      <c r="S342" s="218">
        <v>14.71449548071306</v>
      </c>
      <c r="T342" s="218">
        <v>14.469893544696889</v>
      </c>
      <c r="U342" s="218">
        <v>14.226843706211531</v>
      </c>
      <c r="V342" s="218">
        <v>13.98539031788142</v>
      </c>
      <c r="W342" s="218">
        <v>13.750715057522079</v>
      </c>
      <c r="X342" s="218">
        <v>13.516518957368721</v>
      </c>
      <c r="Y342" s="218">
        <v>13.28279833345314</v>
      </c>
      <c r="Z342" s="218">
        <v>13.04954946608528</v>
      </c>
      <c r="AA342" s="218">
        <v>12.81676859826254</v>
      </c>
      <c r="AB342" s="218">
        <v>12.58445193402164</v>
      </c>
      <c r="AC342" s="218">
        <v>12.352595636727861</v>
      </c>
      <c r="AD342" s="218">
        <v>12.12119582730293</v>
      </c>
      <c r="AE342" s="218">
        <v>11.89024858238329</v>
      </c>
      <c r="AF342" s="218">
        <v>11.65974993241168</v>
      </c>
      <c r="AG342" s="218">
        <v>11.42969585966199</v>
      </c>
      <c r="AH342" s="218">
        <v>11.20008229617549</v>
      </c>
      <c r="AI342" s="218">
        <v>10.970905121633891</v>
      </c>
      <c r="AJ342" s="218">
        <v>15.40782889470443</v>
      </c>
      <c r="AK342" s="218">
        <v>19.695682374710682</v>
      </c>
      <c r="AL342" s="218">
        <v>27.838043243378419</v>
      </c>
      <c r="AM342" s="218">
        <v>27.619030080016561</v>
      </c>
      <c r="AN342" s="218">
        <v>27.400539603334639</v>
      </c>
      <c r="AO342" s="218">
        <v>27.182569943878089</v>
      </c>
      <c r="AP342" s="218">
        <v>26.96511924107622</v>
      </c>
    </row>
    <row r="343" spans="7:42" ht="14.25" customHeight="1" thickTop="1" x14ac:dyDescent="0.2">
      <c r="G343" s="138"/>
      <c r="H343" s="380"/>
      <c r="J343" s="358"/>
      <c r="K343" s="194" t="s">
        <v>355</v>
      </c>
      <c r="L343" s="194" t="s">
        <v>276</v>
      </c>
      <c r="M343" s="215">
        <v>21.201120008636199</v>
      </c>
      <c r="N343" s="215">
        <v>19.51605691344189</v>
      </c>
      <c r="O343" s="215">
        <v>17.118487788655329</v>
      </c>
      <c r="P343" s="215">
        <v>13.21154726808942</v>
      </c>
      <c r="Q343" s="215">
        <v>11.934496904836919</v>
      </c>
      <c r="R343" s="215">
        <v>10.689052597235561</v>
      </c>
      <c r="S343" s="215">
        <v>9.4740114950225944</v>
      </c>
      <c r="T343" s="215">
        <v>8.2882154264055536</v>
      </c>
      <c r="U343" s="215">
        <v>7.1305479645397298</v>
      </c>
      <c r="V343" s="215">
        <v>5.9999316200514023</v>
      </c>
      <c r="W343" s="215">
        <v>5.6551035382103017</v>
      </c>
      <c r="X343" s="215">
        <v>5.3103473154772551</v>
      </c>
      <c r="Y343" s="215">
        <v>4.9656533156784519</v>
      </c>
      <c r="Z343" s="215">
        <v>4.6210116191283497</v>
      </c>
      <c r="AA343" s="215">
        <v>4.2764120108920558</v>
      </c>
      <c r="AB343" s="215">
        <v>3.9318439684657851</v>
      </c>
      <c r="AC343" s="215">
        <v>3.5872966488415048</v>
      </c>
      <c r="AD343" s="215">
        <v>3.2427588749206251</v>
      </c>
      <c r="AE343" s="215">
        <v>2.898219121236409</v>
      </c>
      <c r="AF343" s="215">
        <v>2.5536654989448242</v>
      </c>
      <c r="AG343" s="215">
        <v>2.2090857400446602</v>
      </c>
      <c r="AH343" s="215">
        <v>1.864467180764819</v>
      </c>
      <c r="AI343" s="215">
        <v>1.519796744088737</v>
      </c>
      <c r="AJ343" s="215">
        <v>6.1369785110565367</v>
      </c>
      <c r="AK343" s="215">
        <v>10.607751487347871</v>
      </c>
      <c r="AL343" s="215">
        <v>19.26731348839439</v>
      </c>
      <c r="AM343" s="215">
        <v>18.951115327711491</v>
      </c>
      <c r="AN343" s="215">
        <v>18.635337034762479</v>
      </c>
      <c r="AO343" s="215">
        <v>18.319977775081188</v>
      </c>
      <c r="AP343" s="215">
        <v>18.00503671645858</v>
      </c>
    </row>
    <row r="344" spans="7:42" ht="14.25" customHeight="1" x14ac:dyDescent="0.2">
      <c r="G344" s="138"/>
      <c r="H344" s="380"/>
      <c r="J344" s="358"/>
      <c r="K344" s="135" t="s">
        <v>355</v>
      </c>
      <c r="L344" s="185" t="s">
        <v>277</v>
      </c>
      <c r="M344" s="213">
        <v>21.201120008636199</v>
      </c>
      <c r="N344" s="213">
        <v>20.07686808223789</v>
      </c>
      <c r="O344" s="213">
        <v>18.19541556052171</v>
      </c>
      <c r="P344" s="213">
        <v>14.699415662175079</v>
      </c>
      <c r="Q344" s="213">
        <v>13.872994929591741</v>
      </c>
      <c r="R344" s="213">
        <v>13.057115265388431</v>
      </c>
      <c r="S344" s="213">
        <v>12.25146655600431</v>
      </c>
      <c r="T344" s="213">
        <v>11.45574286847777</v>
      </c>
      <c r="U344" s="213">
        <v>10.6696419146946</v>
      </c>
      <c r="V344" s="213">
        <v>9.8928645017293562</v>
      </c>
      <c r="W344" s="213">
        <v>9.5975531070639342</v>
      </c>
      <c r="X344" s="213">
        <v>9.3024001553762439</v>
      </c>
      <c r="Y344" s="213">
        <v>9.0073976068889294</v>
      </c>
      <c r="Z344" s="213">
        <v>8.7125372004836876</v>
      </c>
      <c r="AA344" s="213">
        <v>8.4178104445468058</v>
      </c>
      <c r="AB344" s="213">
        <v>8.1232086073636971</v>
      </c>
      <c r="AC344" s="213">
        <v>7.8287227070376169</v>
      </c>
      <c r="AD344" s="213">
        <v>7.5343435009099116</v>
      </c>
      <c r="AE344" s="213">
        <v>7.2400614744417133</v>
      </c>
      <c r="AF344" s="213">
        <v>6.9458668295373052</v>
      </c>
      <c r="AG344" s="213">
        <v>6.6517494722721899</v>
      </c>
      <c r="AH344" s="213">
        <v>6.3576989999777958</v>
      </c>
      <c r="AI344" s="213">
        <v>6.0637046876660712</v>
      </c>
      <c r="AJ344" s="213">
        <v>10.612857761282569</v>
      </c>
      <c r="AK344" s="213">
        <v>15.015893310201269</v>
      </c>
      <c r="AL344" s="213">
        <v>23.476606762000621</v>
      </c>
      <c r="AM344" s="213">
        <v>23.206444108570139</v>
      </c>
      <c r="AN344" s="213">
        <v>22.936711972416859</v>
      </c>
      <c r="AO344" s="213">
        <v>22.667409326132159</v>
      </c>
      <c r="AP344" s="213">
        <v>22.398535145605429</v>
      </c>
    </row>
    <row r="345" spans="7:42" ht="14.25" customHeight="1" thickBot="1" x14ac:dyDescent="0.25">
      <c r="G345" s="138"/>
      <c r="H345" s="380"/>
      <c r="J345" s="358"/>
      <c r="K345" s="196" t="s">
        <v>355</v>
      </c>
      <c r="L345" s="196" t="s">
        <v>278</v>
      </c>
      <c r="M345" s="218">
        <v>21.201120008636199</v>
      </c>
      <c r="N345" s="218">
        <v>20.733944031715279</v>
      </c>
      <c r="O345" s="218">
        <v>19.472509650571212</v>
      </c>
      <c r="P345" s="218">
        <v>16.47117395433186</v>
      </c>
      <c r="Q345" s="218">
        <v>16.216085582503421</v>
      </c>
      <c r="R345" s="218">
        <v>15.96249606786286</v>
      </c>
      <c r="S345" s="218">
        <v>15.71044260671748</v>
      </c>
      <c r="T345" s="218">
        <v>15.45996530360005</v>
      </c>
      <c r="U345" s="218">
        <v>15.21110743151536</v>
      </c>
      <c r="V345" s="218">
        <v>14.96391572045135</v>
      </c>
      <c r="W345" s="218">
        <v>14.72315115234861</v>
      </c>
      <c r="X345" s="218">
        <v>14.48288380028279</v>
      </c>
      <c r="Y345" s="218">
        <v>14.243109994721131</v>
      </c>
      <c r="Z345" s="218">
        <v>14.00382603300632</v>
      </c>
      <c r="AA345" s="218">
        <v>13.765028177861019</v>
      </c>
      <c r="AB345" s="218">
        <v>13.52671265584129</v>
      </c>
      <c r="AC345" s="218">
        <v>13.28887565573096</v>
      </c>
      <c r="AD345" s="218">
        <v>13.051513326881469</v>
      </c>
      <c r="AE345" s="218">
        <v>12.814621777487311</v>
      </c>
      <c r="AF345" s="218">
        <v>12.578197072801199</v>
      </c>
      <c r="AG345" s="218">
        <v>12.34223523328941</v>
      </c>
      <c r="AH345" s="218">
        <v>12.106732232704831</v>
      </c>
      <c r="AI345" s="218">
        <v>11.87168399610492</v>
      </c>
      <c r="AJ345" s="218">
        <v>16.272316401940529</v>
      </c>
      <c r="AK345" s="218">
        <v>20.52447099881417</v>
      </c>
      <c r="AL345" s="218">
        <v>28.59864551778761</v>
      </c>
      <c r="AM345" s="218">
        <v>28.373648388213681</v>
      </c>
      <c r="AN345" s="218">
        <v>28.149188226376509</v>
      </c>
      <c r="AO345" s="218">
        <v>27.925263111743551</v>
      </c>
      <c r="AP345" s="218">
        <v>27.701871132908838</v>
      </c>
    </row>
    <row r="346" spans="7:42" ht="14.25" customHeight="1" thickTop="1" x14ac:dyDescent="0.2">
      <c r="G346" s="138"/>
      <c r="H346" s="380"/>
      <c r="J346" s="358"/>
      <c r="K346" s="194" t="s">
        <v>357</v>
      </c>
      <c r="L346" s="194" t="s">
        <v>276</v>
      </c>
      <c r="M346" s="215">
        <v>22.45864828863845</v>
      </c>
      <c r="N346" s="215">
        <v>20.89402111560165</v>
      </c>
      <c r="O346" s="215">
        <v>18.41725260090702</v>
      </c>
      <c r="P346" s="215">
        <v>14.378761107034791</v>
      </c>
      <c r="Q346" s="215">
        <v>13.055231435392569</v>
      </c>
      <c r="R346" s="215">
        <v>11.76476482354237</v>
      </c>
      <c r="S346" s="215">
        <v>10.506101981616601</v>
      </c>
      <c r="T346" s="215">
        <v>9.2780307583278478</v>
      </c>
      <c r="U346" s="215">
        <v>8.0793830667711219</v>
      </c>
      <c r="V346" s="215">
        <v>6.909031944283889</v>
      </c>
      <c r="W346" s="215">
        <v>6.5550144104908448</v>
      </c>
      <c r="X346" s="215">
        <v>6.2010363187461834</v>
      </c>
      <c r="Y346" s="215">
        <v>5.8470878941709614</v>
      </c>
      <c r="Z346" s="215">
        <v>5.4931590720224861</v>
      </c>
      <c r="AA346" s="215">
        <v>5.139239485691526</v>
      </c>
      <c r="AB346" s="215">
        <v>4.7853184541017093</v>
      </c>
      <c r="AC346" s="215">
        <v>4.4313849684796844</v>
      </c>
      <c r="AD346" s="215">
        <v>4.0774276784588501</v>
      </c>
      <c r="AE346" s="215">
        <v>3.723434877474411</v>
      </c>
      <c r="AF346" s="215">
        <v>3.3693944874107369</v>
      </c>
      <c r="AG346" s="215">
        <v>3.0152940424581409</v>
      </c>
      <c r="AH346" s="215">
        <v>2.6611206721178959</v>
      </c>
      <c r="AI346" s="215">
        <v>2.306861083322957</v>
      </c>
      <c r="AJ346" s="215">
        <v>6.886998932734965</v>
      </c>
      <c r="AK346" s="215">
        <v>11.321404640840811</v>
      </c>
      <c r="AL346" s="215">
        <v>19.91569683042022</v>
      </c>
      <c r="AM346" s="215">
        <v>19.590024776172331</v>
      </c>
      <c r="AN346" s="215">
        <v>19.264747971394499</v>
      </c>
      <c r="AO346" s="215">
        <v>18.939865624022062</v>
      </c>
      <c r="AP346" s="215">
        <v>18.61537694413515</v>
      </c>
    </row>
    <row r="347" spans="7:42" ht="14.25" customHeight="1" x14ac:dyDescent="0.2">
      <c r="G347" s="138"/>
      <c r="H347" s="380"/>
      <c r="J347" s="358"/>
      <c r="K347" s="135" t="s">
        <v>357</v>
      </c>
      <c r="L347" s="185" t="s">
        <v>277</v>
      </c>
      <c r="M347" s="213">
        <v>22.45864828863845</v>
      </c>
      <c r="N347" s="213">
        <v>21.479609579519661</v>
      </c>
      <c r="O347" s="213">
        <v>19.54155699791097</v>
      </c>
      <c r="P347" s="213">
        <v>15.93172000335494</v>
      </c>
      <c r="Q347" s="213">
        <v>15.07820224576254</v>
      </c>
      <c r="R347" s="213">
        <v>14.235609951387939</v>
      </c>
      <c r="S347" s="213">
        <v>13.40362370471807</v>
      </c>
      <c r="T347" s="213">
        <v>12.58192848541467</v>
      </c>
      <c r="U347" s="213">
        <v>11.770213119935431</v>
      </c>
      <c r="V347" s="213">
        <v>10.968169719285539</v>
      </c>
      <c r="W347" s="213">
        <v>10.6632479924943</v>
      </c>
      <c r="X347" s="213">
        <v>10.358496238381839</v>
      </c>
      <c r="Y347" s="213">
        <v>10.05390628742613</v>
      </c>
      <c r="Z347" s="213">
        <v>9.7494697456941601</v>
      </c>
      <c r="AA347" s="213">
        <v>9.4451779855499076</v>
      </c>
      <c r="AB347" s="213">
        <v>9.1410221359041763</v>
      </c>
      <c r="AC347" s="213">
        <v>8.8369930719808707</v>
      </c>
      <c r="AD347" s="213">
        <v>8.533081404577171</v>
      </c>
      <c r="AE347" s="213">
        <v>8.2292774687762247</v>
      </c>
      <c r="AF347" s="213">
        <v>7.9255713120927247</v>
      </c>
      <c r="AG347" s="213">
        <v>7.6219526820137737</v>
      </c>
      <c r="AH347" s="213">
        <v>7.3184110128855373</v>
      </c>
      <c r="AI347" s="213">
        <v>7.0149354121296064</v>
      </c>
      <c r="AJ347" s="213">
        <v>11.522866969127399</v>
      </c>
      <c r="AK347" s="213">
        <v>15.885516177241289</v>
      </c>
      <c r="AL347" s="213">
        <v>24.272423940373521</v>
      </c>
      <c r="AM347" s="213">
        <v>23.993103230894551</v>
      </c>
      <c r="AN347" s="213">
        <v>23.71422763249879</v>
      </c>
      <c r="AO347" s="213">
        <v>23.435796082950191</v>
      </c>
      <c r="AP347" s="213">
        <v>23.157807523422559</v>
      </c>
    </row>
    <row r="348" spans="7:42" ht="14.25" customHeight="1" thickBot="1" x14ac:dyDescent="0.25">
      <c r="G348" s="138"/>
      <c r="H348" s="380"/>
      <c r="J348" s="358"/>
      <c r="K348" s="196" t="s">
        <v>357</v>
      </c>
      <c r="L348" s="196" t="s">
        <v>278</v>
      </c>
      <c r="M348" s="218">
        <v>22.45864828863845</v>
      </c>
      <c r="N348" s="218">
        <v>22.158959289996289</v>
      </c>
      <c r="O348" s="218">
        <v>20.861942413046879</v>
      </c>
      <c r="P348" s="218">
        <v>17.76353789863569</v>
      </c>
      <c r="Q348" s="218">
        <v>17.50071970046784</v>
      </c>
      <c r="R348" s="218">
        <v>17.239478238692008</v>
      </c>
      <c r="S348" s="218">
        <v>16.97985318087915</v>
      </c>
      <c r="T348" s="218">
        <v>16.721887274269921</v>
      </c>
      <c r="U348" s="218">
        <v>16.46562662037724</v>
      </c>
      <c r="V348" s="218">
        <v>16.21112097932015</v>
      </c>
      <c r="W348" s="218">
        <v>15.96259512405981</v>
      </c>
      <c r="X348" s="218">
        <v>15.714589498369969</v>
      </c>
      <c r="Y348" s="218">
        <v>15.46710045111706</v>
      </c>
      <c r="Z348" s="218">
        <v>15.22012430135316</v>
      </c>
      <c r="AA348" s="218">
        <v>14.97365733694266</v>
      </c>
      <c r="AB348" s="218">
        <v>14.7276958131438</v>
      </c>
      <c r="AC348" s="218">
        <v>14.482235951138479</v>
      </c>
      <c r="AD348" s="218">
        <v>14.23727393651394</v>
      </c>
      <c r="AE348" s="218">
        <v>13.99280591768785</v>
      </c>
      <c r="AF348" s="218">
        <v>13.748828004280901</v>
      </c>
      <c r="AG348" s="218">
        <v>13.50533626543843</v>
      </c>
      <c r="AH348" s="218">
        <v>13.262326728077969</v>
      </c>
      <c r="AI348" s="218">
        <v>13.019795375091871</v>
      </c>
      <c r="AJ348" s="218">
        <v>17.374171665400951</v>
      </c>
      <c r="AK348" s="218">
        <v>21.580825312925882</v>
      </c>
      <c r="AL348" s="218">
        <v>29.56809112856013</v>
      </c>
      <c r="AM348" s="218">
        <v>29.335466977644721</v>
      </c>
      <c r="AN348" s="218">
        <v>29.103397996762219</v>
      </c>
      <c r="AO348" s="218">
        <v>28.871882200277302</v>
      </c>
      <c r="AP348" s="218">
        <v>28.64091761199056</v>
      </c>
    </row>
    <row r="349" spans="7:42" ht="14.25" customHeight="1" thickTop="1" x14ac:dyDescent="0.2">
      <c r="G349" s="138"/>
      <c r="H349" s="380"/>
      <c r="J349" s="358"/>
      <c r="K349" s="194" t="s">
        <v>359</v>
      </c>
      <c r="L349" s="194" t="s">
        <v>276</v>
      </c>
      <c r="M349" s="215">
        <v>24.59369630279733</v>
      </c>
      <c r="N349" s="215">
        <v>23.232684598161651</v>
      </c>
      <c r="O349" s="215">
        <v>20.62069433064844</v>
      </c>
      <c r="P349" s="215">
        <v>16.3583001356888</v>
      </c>
      <c r="Q349" s="215">
        <v>14.955260692582771</v>
      </c>
      <c r="R349" s="215">
        <v>13.587815868360851</v>
      </c>
      <c r="S349" s="215">
        <v>12.254607333627</v>
      </c>
      <c r="T349" s="215">
        <v>10.954328256624679</v>
      </c>
      <c r="U349" s="215">
        <v>9.6857199795263327</v>
      </c>
      <c r="V349" s="215">
        <v>8.447568843123161</v>
      </c>
      <c r="W349" s="215">
        <v>8.0782433616363249</v>
      </c>
      <c r="X349" s="215">
        <v>7.7088975363763481</v>
      </c>
      <c r="Y349" s="215">
        <v>7.3395213288619132</v>
      </c>
      <c r="Z349" s="215">
        <v>6.9701043998230006</v>
      </c>
      <c r="AA349" s="215">
        <v>6.6006360967381141</v>
      </c>
      <c r="AB349" s="215">
        <v>6.2311054407502384</v>
      </c>
      <c r="AC349" s="215">
        <v>5.8615011129279999</v>
      </c>
      <c r="AD349" s="215">
        <v>5.4918114398336719</v>
      </c>
      <c r="AE349" s="215">
        <v>5.1220243783541024</v>
      </c>
      <c r="AF349" s="215">
        <v>4.752127499753577</v>
      </c>
      <c r="AG349" s="215">
        <v>4.382107972904894</v>
      </c>
      <c r="AH349" s="215">
        <v>4.0119525466332284</v>
      </c>
      <c r="AI349" s="215">
        <v>3.641647531140539</v>
      </c>
      <c r="AJ349" s="215">
        <v>8.1591666474842413</v>
      </c>
      <c r="AK349" s="215">
        <v>12.532081411873101</v>
      </c>
      <c r="AL349" s="215">
        <v>21.015823314343411</v>
      </c>
      <c r="AM349" s="215">
        <v>20.674250841418051</v>
      </c>
      <c r="AN349" s="215">
        <v>20.333026724704371</v>
      </c>
      <c r="AO349" s="215">
        <v>19.992150221509071</v>
      </c>
      <c r="AP349" s="215">
        <v>19.6516205911248</v>
      </c>
    </row>
    <row r="350" spans="7:42" ht="14.25" customHeight="1" x14ac:dyDescent="0.2">
      <c r="G350" s="138"/>
      <c r="H350" s="380"/>
      <c r="J350" s="358"/>
      <c r="K350" s="135" t="s">
        <v>359</v>
      </c>
      <c r="L350" s="185" t="s">
        <v>277</v>
      </c>
      <c r="M350" s="213">
        <v>24.59369630279733</v>
      </c>
      <c r="N350" s="213">
        <v>23.86120249935799</v>
      </c>
      <c r="O350" s="213">
        <v>21.82705359339894</v>
      </c>
      <c r="P350" s="213">
        <v>18.023942483211059</v>
      </c>
      <c r="Q350" s="213">
        <v>17.124419041010789</v>
      </c>
      <c r="R350" s="213">
        <v>16.23647369262774</v>
      </c>
      <c r="S350" s="213">
        <v>15.359771229572109</v>
      </c>
      <c r="T350" s="213">
        <v>14.4939812028384</v>
      </c>
      <c r="U350" s="213">
        <v>13.638777353087869</v>
      </c>
      <c r="V350" s="213">
        <v>12.79383702702507</v>
      </c>
      <c r="W350" s="213">
        <v>12.472598752250819</v>
      </c>
      <c r="X350" s="213">
        <v>12.151550025433099</v>
      </c>
      <c r="Y350" s="213">
        <v>11.830682456767621</v>
      </c>
      <c r="Z350" s="213">
        <v>11.509987426826839</v>
      </c>
      <c r="AA350" s="213">
        <v>11.189456077034309</v>
      </c>
      <c r="AB350" s="213">
        <v>10.869079299668719</v>
      </c>
      <c r="AC350" s="213">
        <v>10.5488477273716</v>
      </c>
      <c r="AD350" s="213">
        <v>10.22875172213551</v>
      </c>
      <c r="AE350" s="213">
        <v>9.9087813637299185</v>
      </c>
      <c r="AF350" s="213">
        <v>9.5889264375446714</v>
      </c>
      <c r="AG350" s="213">
        <v>9.2691764218135901</v>
      </c>
      <c r="AH350" s="213">
        <v>8.9495204741642809</v>
      </c>
      <c r="AI350" s="213">
        <v>8.6299474174812083</v>
      </c>
      <c r="AJ350" s="213">
        <v>13.06789254268501</v>
      </c>
      <c r="AK350" s="213">
        <v>17.36197329146032</v>
      </c>
      <c r="AL350" s="213">
        <v>25.623572787948991</v>
      </c>
      <c r="AM350" s="213">
        <v>25.32870341074554</v>
      </c>
      <c r="AN350" s="213">
        <v>25.03430392218063</v>
      </c>
      <c r="AO350" s="213">
        <v>24.740373200887781</v>
      </c>
      <c r="AP350" s="213">
        <v>24.446910129100161</v>
      </c>
    </row>
    <row r="351" spans="7:42" ht="14.25" customHeight="1" thickBot="1" x14ac:dyDescent="0.25">
      <c r="G351" s="138"/>
      <c r="H351" s="380"/>
      <c r="J351" s="358"/>
      <c r="K351" s="196" t="s">
        <v>359</v>
      </c>
      <c r="L351" s="196" t="s">
        <v>278</v>
      </c>
      <c r="M351" s="218">
        <v>24.59369630279733</v>
      </c>
      <c r="N351" s="218">
        <v>24.578368893519219</v>
      </c>
      <c r="O351" s="218">
        <v>23.220939588303889</v>
      </c>
      <c r="P351" s="218">
        <v>19.957730360734089</v>
      </c>
      <c r="Q351" s="218">
        <v>19.681788361982029</v>
      </c>
      <c r="R351" s="218">
        <v>19.407555323956661</v>
      </c>
      <c r="S351" s="218">
        <v>19.13507510997275</v>
      </c>
      <c r="T351" s="218">
        <v>18.864394954095111</v>
      </c>
      <c r="U351" s="218">
        <v>18.595565760114891</v>
      </c>
      <c r="V351" s="218">
        <v>18.32864243274749</v>
      </c>
      <c r="W351" s="218">
        <v>18.066939362313121</v>
      </c>
      <c r="X351" s="218">
        <v>17.805795594128309</v>
      </c>
      <c r="Y351" s="218">
        <v>17.545207508298201</v>
      </c>
      <c r="Z351" s="218">
        <v>17.28517146073326</v>
      </c>
      <c r="AA351" s="218">
        <v>17.02568378198373</v>
      </c>
      <c r="AB351" s="218">
        <v>16.76674077603899</v>
      </c>
      <c r="AC351" s="218">
        <v>16.508338719086691</v>
      </c>
      <c r="AD351" s="218">
        <v>16.250473858235761</v>
      </c>
      <c r="AE351" s="218">
        <v>15.99314241019521</v>
      </c>
      <c r="AF351" s="218">
        <v>15.7363405599143</v>
      </c>
      <c r="AG351" s="218">
        <v>15.480064459186361</v>
      </c>
      <c r="AH351" s="218">
        <v>15.224310225192481</v>
      </c>
      <c r="AI351" s="218">
        <v>14.969073939017919</v>
      </c>
      <c r="AJ351" s="218">
        <v>19.244915989446959</v>
      </c>
      <c r="AK351" s="218">
        <v>23.374317528137301</v>
      </c>
      <c r="AL351" s="218">
        <v>31.214028606889531</v>
      </c>
      <c r="AM351" s="218">
        <v>30.968455199064309</v>
      </c>
      <c r="AN351" s="218">
        <v>30.723467865369269</v>
      </c>
      <c r="AO351" s="218">
        <v>30.479064509636672</v>
      </c>
      <c r="AP351" s="218">
        <v>30.23524304566002</v>
      </c>
    </row>
    <row r="352" spans="7:42" ht="14.25" customHeight="1" thickTop="1" x14ac:dyDescent="0.2">
      <c r="G352" s="138"/>
      <c r="H352" s="380"/>
      <c r="J352" s="358"/>
      <c r="K352" s="194" t="s">
        <v>361</v>
      </c>
      <c r="L352" s="194" t="s">
        <v>276</v>
      </c>
      <c r="M352" s="215">
        <v>27.996922082139719</v>
      </c>
      <c r="N352" s="215">
        <v>26.958227598803589</v>
      </c>
      <c r="O352" s="215">
        <v>24.128733790269269</v>
      </c>
      <c r="P352" s="215">
        <v>19.508008292192638</v>
      </c>
      <c r="Q352" s="215">
        <v>17.97668795717405</v>
      </c>
      <c r="R352" s="215">
        <v>16.485149623698909</v>
      </c>
      <c r="S352" s="215">
        <v>15.031868415866811</v>
      </c>
      <c r="T352" s="215">
        <v>13.615378405330089</v>
      </c>
      <c r="U352" s="215">
        <v>12.23426885992809</v>
      </c>
      <c r="V352" s="215">
        <v>10.88718066567016</v>
      </c>
      <c r="W352" s="215">
        <v>10.49421095234969</v>
      </c>
      <c r="X352" s="215">
        <v>10.101113799049079</v>
      </c>
      <c r="Y352" s="215">
        <v>9.7078786630370857</v>
      </c>
      <c r="Z352" s="215">
        <v>9.3144946829062611</v>
      </c>
      <c r="AA352" s="215">
        <v>8.920950665355889</v>
      </c>
      <c r="AB352" s="215">
        <v>8.5272350713158929</v>
      </c>
      <c r="AC352" s="215">
        <v>8.1333360013732872</v>
      </c>
      <c r="AD352" s="215">
        <v>7.7392411804631571</v>
      </c>
      <c r="AE352" s="215">
        <v>7.3449379417745817</v>
      </c>
      <c r="AF352" s="215">
        <v>6.9504132098296338</v>
      </c>
      <c r="AG352" s="215">
        <v>6.5556534826889434</v>
      </c>
      <c r="AH352" s="215">
        <v>6.1606448132119951</v>
      </c>
      <c r="AI352" s="215">
        <v>5.7653727893408053</v>
      </c>
      <c r="AJ352" s="215">
        <v>10.183791574430821</v>
      </c>
      <c r="AK352" s="215">
        <v>14.459349493203311</v>
      </c>
      <c r="AL352" s="215">
        <v>22.767565914214629</v>
      </c>
      <c r="AM352" s="215">
        <v>22.40112746834065</v>
      </c>
      <c r="AN352" s="215">
        <v>22.034949687932471</v>
      </c>
      <c r="AO352" s="215">
        <v>21.669031837659219</v>
      </c>
      <c r="AP352" s="215">
        <v>21.303373183913308</v>
      </c>
    </row>
    <row r="353" spans="7:42" ht="14.25" customHeight="1" x14ac:dyDescent="0.2">
      <c r="G353" s="138"/>
      <c r="H353" s="380"/>
      <c r="J353" s="358"/>
      <c r="K353" s="135" t="s">
        <v>361</v>
      </c>
      <c r="L353" s="185" t="s">
        <v>277</v>
      </c>
      <c r="M353" s="213">
        <v>27.996922082139719</v>
      </c>
      <c r="N353" s="213">
        <v>27.657416152138879</v>
      </c>
      <c r="O353" s="213">
        <v>25.470091539516471</v>
      </c>
      <c r="P353" s="213">
        <v>21.358905178357261</v>
      </c>
      <c r="Q353" s="213">
        <v>20.386049553079459</v>
      </c>
      <c r="R353" s="213">
        <v>19.425812302336269</v>
      </c>
      <c r="S353" s="213">
        <v>18.477833043934901</v>
      </c>
      <c r="T353" s="213">
        <v>17.54175673586855</v>
      </c>
      <c r="U353" s="213">
        <v>16.617233072326961</v>
      </c>
      <c r="V353" s="213">
        <v>15.7039158660012</v>
      </c>
      <c r="W353" s="213">
        <v>15.356669325203249</v>
      </c>
      <c r="X353" s="213">
        <v>15.009643534980849</v>
      </c>
      <c r="Y353" s="213">
        <v>14.662829754404081</v>
      </c>
      <c r="Z353" s="213">
        <v>14.316219004611391</v>
      </c>
      <c r="AA353" s="213">
        <v>13.96980205891165</v>
      </c>
      <c r="AB353" s="213">
        <v>13.62356943239654</v>
      </c>
      <c r="AC353" s="213">
        <v>13.27751137103591</v>
      </c>
      <c r="AD353" s="213">
        <v>12.93161784023245</v>
      </c>
      <c r="AE353" s="213">
        <v>12.5858785127904</v>
      </c>
      <c r="AF353" s="213">
        <v>12.240282756278081</v>
      </c>
      <c r="AG353" s="213">
        <v>11.894819619744201</v>
      </c>
      <c r="AH353" s="213">
        <v>11.54947781973245</v>
      </c>
      <c r="AI353" s="213">
        <v>11.20424572558052</v>
      </c>
      <c r="AJ353" s="213">
        <v>15.530633814452599</v>
      </c>
      <c r="AK353" s="213">
        <v>19.71541774792291</v>
      </c>
      <c r="AL353" s="213">
        <v>27.77727825934987</v>
      </c>
      <c r="AM353" s="213">
        <v>27.457624602597001</v>
      </c>
      <c r="AN353" s="213">
        <v>27.13848032943288</v>
      </c>
      <c r="AO353" s="213">
        <v>26.81984422423826</v>
      </c>
      <c r="AP353" s="213">
        <v>26.50171507529608</v>
      </c>
    </row>
    <row r="354" spans="7:42" ht="14.25" customHeight="1" thickBot="1" x14ac:dyDescent="0.25">
      <c r="G354" s="138"/>
      <c r="H354" s="380"/>
      <c r="J354" s="358"/>
      <c r="K354" s="196" t="s">
        <v>361</v>
      </c>
      <c r="L354" s="196" t="s">
        <v>278</v>
      </c>
      <c r="M354" s="218">
        <v>27.996922082139719</v>
      </c>
      <c r="N354" s="218">
        <v>28.434861618223199</v>
      </c>
      <c r="O354" s="218">
        <v>26.981136055544859</v>
      </c>
      <c r="P354" s="218">
        <v>23.45523126110314</v>
      </c>
      <c r="Q354" s="218">
        <v>23.158370174735719</v>
      </c>
      <c r="R354" s="218">
        <v>22.863428812160571</v>
      </c>
      <c r="S354" s="218">
        <v>22.570457724627818</v>
      </c>
      <c r="T354" s="218">
        <v>22.27951129811456</v>
      </c>
      <c r="U354" s="218">
        <v>21.990648091151488</v>
      </c>
      <c r="V354" s="218">
        <v>21.70393120884253</v>
      </c>
      <c r="W354" s="218">
        <v>21.421223908956019</v>
      </c>
      <c r="X354" s="218">
        <v>21.139138192424159</v>
      </c>
      <c r="Y354" s="218">
        <v>20.85767048914521</v>
      </c>
      <c r="Z354" s="218">
        <v>20.576817213781489</v>
      </c>
      <c r="AA354" s="218">
        <v>20.29657476492352</v>
      </c>
      <c r="AB354" s="218">
        <v>20.01693952423749</v>
      </c>
      <c r="AC354" s="218">
        <v>19.737907855589022</v>
      </c>
      <c r="AD354" s="218">
        <v>19.459476104151388</v>
      </c>
      <c r="AE354" s="218">
        <v>19.18164059548873</v>
      </c>
      <c r="AF354" s="218">
        <v>18.904397634622629</v>
      </c>
      <c r="AG354" s="218">
        <v>18.6277435050857</v>
      </c>
      <c r="AH354" s="218">
        <v>18.351674467937588</v>
      </c>
      <c r="AI354" s="218">
        <v>18.076186760780889</v>
      </c>
      <c r="AJ354" s="218">
        <v>22.22684673195533</v>
      </c>
      <c r="AK354" s="218">
        <v>26.233109883803341</v>
      </c>
      <c r="AL354" s="218">
        <v>33.837621528589302</v>
      </c>
      <c r="AM354" s="218">
        <v>33.571407252433943</v>
      </c>
      <c r="AN354" s="218">
        <v>33.305828310949877</v>
      </c>
      <c r="AO354" s="218">
        <v>33.040882431782777</v>
      </c>
      <c r="AP354" s="218">
        <v>32.776567353377139</v>
      </c>
    </row>
    <row r="355" spans="7:42" ht="14.25" customHeight="1" thickTop="1" x14ac:dyDescent="0.2">
      <c r="G355" s="138"/>
      <c r="H355" s="380"/>
      <c r="J355" s="358"/>
      <c r="K355" s="194" t="s">
        <v>363</v>
      </c>
      <c r="L355" s="194" t="s">
        <v>276</v>
      </c>
      <c r="M355" s="215">
        <v>35.656756694655293</v>
      </c>
      <c r="N355" s="215">
        <v>35.33124501836123</v>
      </c>
      <c r="O355" s="215">
        <v>31.768107626917619</v>
      </c>
      <c r="P355" s="215">
        <v>26.081116063110819</v>
      </c>
      <c r="Q355" s="215">
        <v>24.074285180137899</v>
      </c>
      <c r="R355" s="215">
        <v>22.120915656759831</v>
      </c>
      <c r="S355" s="215">
        <v>20.218897271177379</v>
      </c>
      <c r="T355" s="215">
        <v>18.366201273819868</v>
      </c>
      <c r="U355" s="215">
        <v>16.56087505847686</v>
      </c>
      <c r="V355" s="215">
        <v>14.80103707100853</v>
      </c>
      <c r="W355" s="215">
        <v>14.34967841679738</v>
      </c>
      <c r="X355" s="215">
        <v>13.89845453266811</v>
      </c>
      <c r="Y355" s="215">
        <v>13.44735362458492</v>
      </c>
      <c r="Z355" s="215">
        <v>12.996363551726381</v>
      </c>
      <c r="AA355" s="215">
        <v>12.545471812011449</v>
      </c>
      <c r="AB355" s="215">
        <v>12.094665526900931</v>
      </c>
      <c r="AC355" s="215">
        <v>11.64393142543209</v>
      </c>
      <c r="AD355" s="215">
        <v>11.193255827448359</v>
      </c>
      <c r="AE355" s="215">
        <v>10.74262462596363</v>
      </c>
      <c r="AF355" s="215">
        <v>10.29202326861996</v>
      </c>
      <c r="AG355" s="215">
        <v>9.8414367381847718</v>
      </c>
      <c r="AH355" s="215">
        <v>9.3908495320085947</v>
      </c>
      <c r="AI355" s="215">
        <v>8.9402456404104989</v>
      </c>
      <c r="AJ355" s="215">
        <v>13.177170949427509</v>
      </c>
      <c r="AK355" s="215">
        <v>17.276349264746759</v>
      </c>
      <c r="AL355" s="215">
        <v>25.27863364906603</v>
      </c>
      <c r="AM355" s="215">
        <v>24.862247199306239</v>
      </c>
      <c r="AN355" s="215">
        <v>24.44641365739573</v>
      </c>
      <c r="AO355" s="215">
        <v>24.03113192456382</v>
      </c>
      <c r="AP355" s="215">
        <v>23.616400905015521</v>
      </c>
    </row>
    <row r="356" spans="7:42" ht="14.25" customHeight="1" x14ac:dyDescent="0.2">
      <c r="G356" s="138"/>
      <c r="H356" s="380"/>
      <c r="J356" s="358"/>
      <c r="K356" s="135" t="s">
        <v>363</v>
      </c>
      <c r="L356" s="185" t="s">
        <v>277</v>
      </c>
      <c r="M356" s="213">
        <v>35.656756694655293</v>
      </c>
      <c r="N356" s="213">
        <v>36.189402614933492</v>
      </c>
      <c r="O356" s="213">
        <v>33.407257478254039</v>
      </c>
      <c r="P356" s="213">
        <v>28.32332594187303</v>
      </c>
      <c r="Q356" s="213">
        <v>26.98472636932096</v>
      </c>
      <c r="R356" s="213">
        <v>25.662867595101201</v>
      </c>
      <c r="S356" s="213">
        <v>24.357234867388431</v>
      </c>
      <c r="T356" s="213">
        <v>23.067319047566372</v>
      </c>
      <c r="U356" s="213">
        <v>21.79261564034028</v>
      </c>
      <c r="V356" s="213">
        <v>20.53262378947468</v>
      </c>
      <c r="W356" s="213">
        <v>20.144130936605471</v>
      </c>
      <c r="X356" s="213">
        <v>19.755909682007331</v>
      </c>
      <c r="Y356" s="213">
        <v>19.36795075706527</v>
      </c>
      <c r="Z356" s="213">
        <v>18.980244643001139</v>
      </c>
      <c r="AA356" s="213">
        <v>18.592781560421169</v>
      </c>
      <c r="AB356" s="213">
        <v>18.20555145834593</v>
      </c>
      <c r="AC356" s="213">
        <v>17.818544002696601</v>
      </c>
      <c r="AD356" s="213">
        <v>17.431748564202429</v>
      </c>
      <c r="AE356" s="213">
        <v>17.045154205693159</v>
      </c>
      <c r="AF356" s="213">
        <v>16.658749668744662</v>
      </c>
      <c r="AG356" s="213">
        <v>16.272523359643479</v>
      </c>
      <c r="AH356" s="213">
        <v>15.88646333460386</v>
      </c>
      <c r="AI356" s="213">
        <v>15.50055728423073</v>
      </c>
      <c r="AJ356" s="213">
        <v>19.608300704083842</v>
      </c>
      <c r="AK356" s="213">
        <v>23.57888543437134</v>
      </c>
      <c r="AL356" s="213">
        <v>31.238686479686422</v>
      </c>
      <c r="AM356" s="213">
        <v>30.87965120544067</v>
      </c>
      <c r="AN356" s="213">
        <v>30.521188071233489</v>
      </c>
      <c r="AO356" s="213">
        <v>30.163295711678462</v>
      </c>
      <c r="AP356" s="213">
        <v>29.805972765772129</v>
      </c>
    </row>
    <row r="357" spans="7:42" ht="14.25" customHeight="1" thickBot="1" x14ac:dyDescent="0.25">
      <c r="G357" s="138"/>
      <c r="H357" s="380"/>
      <c r="J357" s="358"/>
      <c r="K357" s="196" t="s">
        <v>363</v>
      </c>
      <c r="L357" s="196" t="s">
        <v>278</v>
      </c>
      <c r="M357" s="218">
        <v>35.656756694655293</v>
      </c>
      <c r="N357" s="218">
        <v>37.272614558333643</v>
      </c>
      <c r="O357" s="218">
        <v>35.512540735509504</v>
      </c>
      <c r="P357" s="218">
        <v>31.242360745572281</v>
      </c>
      <c r="Q357" s="218">
        <v>30.845855453967271</v>
      </c>
      <c r="R357" s="218">
        <v>30.45158407269771</v>
      </c>
      <c r="S357" s="218">
        <v>30.059597818496538</v>
      </c>
      <c r="T357" s="218">
        <v>29.669951859228728</v>
      </c>
      <c r="U357" s="218">
        <v>29.282705660287661</v>
      </c>
      <c r="V357" s="218">
        <v>28.897923368000811</v>
      </c>
      <c r="W357" s="218">
        <v>28.573904550398581</v>
      </c>
      <c r="X357" s="218">
        <v>28.25065108482362</v>
      </c>
      <c r="Y357" s="218">
        <v>27.928159954875621</v>
      </c>
      <c r="Z357" s="218">
        <v>27.606428162250651</v>
      </c>
      <c r="AA357" s="218">
        <v>27.285452727223031</v>
      </c>
      <c r="AB357" s="218">
        <v>26.965230689166571</v>
      </c>
      <c r="AC357" s="218">
        <v>26.645759107134911</v>
      </c>
      <c r="AD357" s="218">
        <v>26.327035060491632</v>
      </c>
      <c r="AE357" s="218">
        <v>26.00905564960491</v>
      </c>
      <c r="AF357" s="218">
        <v>25.691817996600761</v>
      </c>
      <c r="AG357" s="218">
        <v>25.375319246206299</v>
      </c>
      <c r="AH357" s="218">
        <v>25.05955656663598</v>
      </c>
      <c r="AI357" s="218">
        <v>24.744527150595118</v>
      </c>
      <c r="AJ357" s="218">
        <v>28.587631934106629</v>
      </c>
      <c r="AK357" s="218">
        <v>32.291048855236802</v>
      </c>
      <c r="AL357" s="218">
        <v>39.305436228840797</v>
      </c>
      <c r="AM357" s="218">
        <v>38.997594337779162</v>
      </c>
      <c r="AN357" s="218">
        <v>38.690487124118071</v>
      </c>
      <c r="AO357" s="218">
        <v>38.384111960085662</v>
      </c>
      <c r="AP357" s="218">
        <v>38.078466230394518</v>
      </c>
    </row>
    <row r="358" spans="7:42" ht="14.25" customHeight="1" thickTop="1" x14ac:dyDescent="0.2">
      <c r="G358" s="138"/>
      <c r="H358" s="380"/>
      <c r="J358" s="358"/>
      <c r="K358" s="194" t="s">
        <v>366</v>
      </c>
      <c r="L358" s="194" t="s">
        <v>276</v>
      </c>
      <c r="M358" s="215">
        <v>38.755254407787113</v>
      </c>
      <c r="N358" s="215">
        <v>38.7584140146081</v>
      </c>
      <c r="O358" s="215">
        <v>35.623829221323597</v>
      </c>
      <c r="P358" s="215">
        <v>30.276203084921001</v>
      </c>
      <c r="Q358" s="215">
        <v>28.630482439407309</v>
      </c>
      <c r="R358" s="215">
        <v>27.030109263066141</v>
      </c>
      <c r="S358" s="215">
        <v>25.473400954616839</v>
      </c>
      <c r="T358" s="215">
        <v>23.958746175060352</v>
      </c>
      <c r="U358" s="215">
        <v>22.484600777512149</v>
      </c>
      <c r="V358" s="215">
        <v>21.049483968721059</v>
      </c>
      <c r="W358" s="215">
        <v>20.526499936327951</v>
      </c>
      <c r="X358" s="215">
        <v>20.003752609679911</v>
      </c>
      <c r="Y358" s="215">
        <v>19.481230129783359</v>
      </c>
      <c r="Z358" s="215">
        <v>18.95892029556412</v>
      </c>
      <c r="AA358" s="215">
        <v>18.436810549560509</v>
      </c>
      <c r="AB358" s="215">
        <v>17.91488796290259</v>
      </c>
      <c r="AC358" s="215">
        <v>17.393139219533989</v>
      </c>
      <c r="AD358" s="215">
        <v>16.871550599634219</v>
      </c>
      <c r="AE358" s="215">
        <v>16.350107962190801</v>
      </c>
      <c r="AF358" s="215">
        <v>15.82879672667031</v>
      </c>
      <c r="AG358" s="215">
        <v>15.30760185374478</v>
      </c>
      <c r="AH358" s="215">
        <v>14.786507824986071</v>
      </c>
      <c r="AI358" s="215">
        <v>14.265498621504211</v>
      </c>
      <c r="AJ358" s="215">
        <v>18.28943483991884</v>
      </c>
      <c r="AK358" s="215">
        <v>22.178584389293079</v>
      </c>
      <c r="AL358" s="215">
        <v>29.818924253609229</v>
      </c>
      <c r="AM358" s="215">
        <v>29.332027887196119</v>
      </c>
      <c r="AN358" s="215">
        <v>28.845778046149171</v>
      </c>
      <c r="AO358" s="215">
        <v>28.360173445361632</v>
      </c>
      <c r="AP358" s="215">
        <v>27.87521280319632</v>
      </c>
    </row>
    <row r="359" spans="7:42" ht="14.25" customHeight="1" x14ac:dyDescent="0.2">
      <c r="G359" s="138"/>
      <c r="H359" s="380"/>
      <c r="J359" s="358"/>
      <c r="K359" s="135" t="s">
        <v>366</v>
      </c>
      <c r="L359" s="185" t="s">
        <v>277</v>
      </c>
      <c r="M359" s="213">
        <v>38.755254407787113</v>
      </c>
      <c r="N359" s="213">
        <v>39.625692258353617</v>
      </c>
      <c r="O359" s="213">
        <v>37.294096591530682</v>
      </c>
      <c r="P359" s="213">
        <v>32.603201746479371</v>
      </c>
      <c r="Q359" s="213">
        <v>31.664689433069739</v>
      </c>
      <c r="R359" s="213">
        <v>30.739755023185989</v>
      </c>
      <c r="S359" s="213">
        <v>29.82808904279393</v>
      </c>
      <c r="T359" s="213">
        <v>28.929390647291228</v>
      </c>
      <c r="U359" s="213">
        <v>28.043367298920639</v>
      </c>
      <c r="V359" s="213">
        <v>27.16973445918466</v>
      </c>
      <c r="W359" s="213">
        <v>26.725329019913179</v>
      </c>
      <c r="X359" s="213">
        <v>26.281305587564439</v>
      </c>
      <c r="Y359" s="213">
        <v>25.837655129495541</v>
      </c>
      <c r="Z359" s="213">
        <v>25.394368378974288</v>
      </c>
      <c r="AA359" s="213">
        <v>24.95143582536825</v>
      </c>
      <c r="AB359" s="213">
        <v>24.508847703854411</v>
      </c>
      <c r="AC359" s="213">
        <v>24.066593984615469</v>
      </c>
      <c r="AD359" s="213">
        <v>23.62466436149527</v>
      </c>
      <c r="AE359" s="213">
        <v>23.183048240080609</v>
      </c>
      <c r="AF359" s="213">
        <v>22.741734725174059</v>
      </c>
      <c r="AG359" s="213">
        <v>22.300712607633759</v>
      </c>
      <c r="AH359" s="213">
        <v>21.85997035051081</v>
      </c>
      <c r="AI359" s="213">
        <v>21.419496074480051</v>
      </c>
      <c r="AJ359" s="213">
        <v>25.356013467793851</v>
      </c>
      <c r="AK359" s="213">
        <v>29.157329299276991</v>
      </c>
      <c r="AL359" s="213">
        <v>36.522521152985007</v>
      </c>
      <c r="AM359" s="213">
        <v>36.107908934804463</v>
      </c>
      <c r="AN359" s="213">
        <v>35.693957411998767</v>
      </c>
      <c r="AO359" s="213">
        <v>35.280665007593853</v>
      </c>
      <c r="AP359" s="213">
        <v>34.868030149667902</v>
      </c>
    </row>
    <row r="360" spans="7:42" ht="14.25" customHeight="1" thickBot="1" x14ac:dyDescent="0.25">
      <c r="G360" s="138"/>
      <c r="H360" s="380"/>
      <c r="J360" s="358"/>
      <c r="K360" s="196" t="s">
        <v>366</v>
      </c>
      <c r="L360" s="196" t="s">
        <v>278</v>
      </c>
      <c r="M360" s="218">
        <v>38.755254407787113</v>
      </c>
      <c r="N360" s="218">
        <v>40.405205806054568</v>
      </c>
      <c r="O360" s="218">
        <v>38.810083367992917</v>
      </c>
      <c r="P360" s="218">
        <v>34.710379971027002</v>
      </c>
      <c r="Q360" s="218">
        <v>34.451577743915692</v>
      </c>
      <c r="R360" s="218">
        <v>34.195703384348683</v>
      </c>
      <c r="S360" s="218">
        <v>33.942858198520391</v>
      </c>
      <c r="T360" s="218">
        <v>33.693150706387918</v>
      </c>
      <c r="U360" s="218">
        <v>33.446697264780397</v>
      </c>
      <c r="V360" s="218">
        <v>33.20362275597742</v>
      </c>
      <c r="W360" s="218">
        <v>32.84410418488558</v>
      </c>
      <c r="X360" s="218">
        <v>32.485402646512938</v>
      </c>
      <c r="Y360" s="218">
        <v>32.127514060641012</v>
      </c>
      <c r="Z360" s="218">
        <v>31.77043434070584</v>
      </c>
      <c r="AA360" s="218">
        <v>31.414159393166411</v>
      </c>
      <c r="AB360" s="218">
        <v>31.05868511686344</v>
      </c>
      <c r="AC360" s="218">
        <v>30.704007402367569</v>
      </c>
      <c r="AD360" s="218">
        <v>30.35012213132562</v>
      </c>
      <c r="AE360" s="218">
        <v>29.997025175790451</v>
      </c>
      <c r="AF360" s="218">
        <v>29.644712397551171</v>
      </c>
      <c r="AG360" s="218">
        <v>29.293179647465649</v>
      </c>
      <c r="AH360" s="218">
        <v>28.94242276476519</v>
      </c>
      <c r="AI360" s="218">
        <v>28.592437576380789</v>
      </c>
      <c r="AJ360" s="218">
        <v>32.378483091257678</v>
      </c>
      <c r="AK360" s="218">
        <v>36.026558429100042</v>
      </c>
      <c r="AL360" s="218">
        <v>42.964648854854879</v>
      </c>
      <c r="AM360" s="218">
        <v>42.62451760338034</v>
      </c>
      <c r="AN360" s="218">
        <v>42.285198099196172</v>
      </c>
      <c r="AO360" s="218">
        <v>41.946687439146928</v>
      </c>
      <c r="AP360" s="218">
        <v>41.608982733878342</v>
      </c>
    </row>
    <row r="361" spans="7:42" ht="14.25" customHeight="1" thickTop="1" x14ac:dyDescent="0.2">
      <c r="G361" s="138"/>
      <c r="H361" s="380"/>
      <c r="J361" s="358"/>
      <c r="K361" s="194" t="s">
        <v>369</v>
      </c>
      <c r="L361" s="194" t="s">
        <v>276</v>
      </c>
      <c r="M361" s="215">
        <v>70.086004709134428</v>
      </c>
      <c r="N361" s="215">
        <v>73.136500408918891</v>
      </c>
      <c r="O361" s="215">
        <v>66.834079979003818</v>
      </c>
      <c r="P361" s="215">
        <v>56.9089878649676</v>
      </c>
      <c r="Q361" s="215">
        <v>53.218673323487408</v>
      </c>
      <c r="R361" s="215">
        <v>49.636402881456647</v>
      </c>
      <c r="S361" s="215">
        <v>46.157701605927471</v>
      </c>
      <c r="T361" s="215">
        <v>42.778280770860292</v>
      </c>
      <c r="U361" s="215">
        <v>39.494025817391687</v>
      </c>
      <c r="V361" s="215">
        <v>36.300984910466617</v>
      </c>
      <c r="W361" s="215">
        <v>35.588440662453337</v>
      </c>
      <c r="X361" s="215">
        <v>34.876171356756288</v>
      </c>
      <c r="Y361" s="215">
        <v>34.164159581869612</v>
      </c>
      <c r="Z361" s="215">
        <v>33.452387413227939</v>
      </c>
      <c r="AA361" s="215">
        <v>32.740836391543837</v>
      </c>
      <c r="AB361" s="215">
        <v>32.029487500054067</v>
      </c>
      <c r="AC361" s="215">
        <v>31.31832114060548</v>
      </c>
      <c r="AD361" s="215">
        <v>30.607317108519378</v>
      </c>
      <c r="AE361" s="215">
        <v>29.8964545661477</v>
      </c>
      <c r="AF361" s="215">
        <v>29.185712015053941</v>
      </c>
      <c r="AG361" s="215">
        <v>28.47506726673965</v>
      </c>
      <c r="AH361" s="215">
        <v>27.76449741178839</v>
      </c>
      <c r="AI361" s="215">
        <v>27.053978787387688</v>
      </c>
      <c r="AJ361" s="215">
        <v>30.348545438171168</v>
      </c>
      <c r="AK361" s="215">
        <v>33.52727710855104</v>
      </c>
      <c r="AL361" s="215">
        <v>39.8992189110391</v>
      </c>
      <c r="AM361" s="215">
        <v>39.237939346402662</v>
      </c>
      <c r="AN361" s="215">
        <v>38.577537886381378</v>
      </c>
      <c r="AO361" s="215">
        <v>37.918012786233398</v>
      </c>
      <c r="AP361" s="215">
        <v>37.259362305952948</v>
      </c>
    </row>
    <row r="362" spans="7:42" ht="14.25" customHeight="1" x14ac:dyDescent="0.2">
      <c r="G362" s="138"/>
      <c r="H362" s="380"/>
      <c r="J362" s="358"/>
      <c r="K362" s="135" t="s">
        <v>369</v>
      </c>
      <c r="L362" s="185" t="s">
        <v>277</v>
      </c>
      <c r="M362" s="213">
        <v>70.086004709134428</v>
      </c>
      <c r="N362" s="213">
        <v>74.828906083400852</v>
      </c>
      <c r="O362" s="213">
        <v>70.056876731844071</v>
      </c>
      <c r="P362" s="213">
        <v>61.29880255269866</v>
      </c>
      <c r="Q362" s="213">
        <v>58.902068758255297</v>
      </c>
      <c r="R362" s="213">
        <v>56.534913525231183</v>
      </c>
      <c r="S362" s="213">
        <v>54.196400032171368</v>
      </c>
      <c r="T362" s="213">
        <v>51.885600093771998</v>
      </c>
      <c r="U362" s="213">
        <v>49.601592298376922</v>
      </c>
      <c r="V362" s="213">
        <v>47.3434600692541</v>
      </c>
      <c r="W362" s="213">
        <v>46.722786199105308</v>
      </c>
      <c r="X362" s="213">
        <v>46.102683401060403</v>
      </c>
      <c r="Y362" s="213">
        <v>45.483139743866062</v>
      </c>
      <c r="Z362" s="213">
        <v>44.864142987919891</v>
      </c>
      <c r="AA362" s="213">
        <v>44.245680572164758</v>
      </c>
      <c r="AB362" s="213">
        <v>43.627739600332397</v>
      </c>
      <c r="AC362" s="213">
        <v>43.01030682649202</v>
      </c>
      <c r="AD362" s="213">
        <v>42.393368639868399</v>
      </c>
      <c r="AE362" s="213">
        <v>41.776911048877757</v>
      </c>
      <c r="AF362" s="213">
        <v>41.160919664342742</v>
      </c>
      <c r="AG362" s="213">
        <v>40.545379681848871</v>
      </c>
      <c r="AH362" s="213">
        <v>39.930275863135407</v>
      </c>
      <c r="AI362" s="213">
        <v>39.31559251654096</v>
      </c>
      <c r="AJ362" s="213">
        <v>42.319535574379287</v>
      </c>
      <c r="AK362" s="213">
        <v>45.208156578544013</v>
      </c>
      <c r="AL362" s="213">
        <v>50.862196883592652</v>
      </c>
      <c r="AM362" s="213">
        <v>50.280785497774758</v>
      </c>
      <c r="AN362" s="213">
        <v>49.700300615373301</v>
      </c>
      <c r="AO362" s="213">
        <v>49.120740025228443</v>
      </c>
      <c r="AP362" s="213">
        <v>48.542101523273253</v>
      </c>
    </row>
    <row r="363" spans="7:42" ht="14.25" customHeight="1" x14ac:dyDescent="0.2">
      <c r="G363" s="138"/>
      <c r="H363" s="380"/>
      <c r="J363" s="368"/>
      <c r="K363" s="196" t="s">
        <v>369</v>
      </c>
      <c r="L363" s="196" t="s">
        <v>278</v>
      </c>
      <c r="M363" s="218">
        <v>70.086004709134428</v>
      </c>
      <c r="N363" s="218">
        <v>76.748327750273603</v>
      </c>
      <c r="O363" s="218">
        <v>73.782799453674073</v>
      </c>
      <c r="P363" s="218">
        <v>66.442424771712183</v>
      </c>
      <c r="Q363" s="218">
        <v>65.705630847161459</v>
      </c>
      <c r="R363" s="218">
        <v>64.972830780478702</v>
      </c>
      <c r="S363" s="218">
        <v>64.24410912172624</v>
      </c>
      <c r="T363" s="218">
        <v>63.519556854182163</v>
      </c>
      <c r="U363" s="218">
        <v>62.799271945714359</v>
      </c>
      <c r="V363" s="218">
        <v>62.083359957934363</v>
      </c>
      <c r="W363" s="218">
        <v>61.562596547773111</v>
      </c>
      <c r="X363" s="218">
        <v>61.043241982273763</v>
      </c>
      <c r="Y363" s="218">
        <v>60.525294999309551</v>
      </c>
      <c r="Z363" s="218">
        <v>60.008754483171387</v>
      </c>
      <c r="AA363" s="218">
        <v>59.493619470013122</v>
      </c>
      <c r="AB363" s="218">
        <v>58.979889153597597</v>
      </c>
      <c r="AC363" s="218">
        <v>58.467562891365169</v>
      </c>
      <c r="AD363" s="218">
        <v>57.956640210846771</v>
      </c>
      <c r="AE363" s="218">
        <v>57.447120816438208</v>
      </c>
      <c r="AF363" s="218">
        <v>56.93900459655972</v>
      </c>
      <c r="AG363" s="218">
        <v>56.432291631251118</v>
      </c>
      <c r="AH363" s="218">
        <v>55.926982200161433</v>
      </c>
      <c r="AI363" s="218">
        <v>55.423076791052353</v>
      </c>
      <c r="AJ363" s="218">
        <v>57.920270314388553</v>
      </c>
      <c r="AK363" s="218">
        <v>60.298867049363459</v>
      </c>
      <c r="AL363" s="218">
        <v>64.749801477527882</v>
      </c>
      <c r="AM363" s="218">
        <v>64.245705917946196</v>
      </c>
      <c r="AN363" s="218">
        <v>63.742813394920631</v>
      </c>
      <c r="AO363" s="218">
        <v>63.24111960523701</v>
      </c>
      <c r="AP363" s="218">
        <v>62.740620266115123</v>
      </c>
    </row>
    <row r="364" spans="7:42" ht="14.25" customHeight="1" thickBot="1" x14ac:dyDescent="0.25">
      <c r="G364" s="138"/>
      <c r="H364" s="230"/>
      <c r="I364" s="230"/>
      <c r="J364" s="230"/>
      <c r="K364" s="230"/>
      <c r="L364" s="230"/>
      <c r="M364" s="230"/>
      <c r="N364" s="230"/>
      <c r="O364" s="230"/>
      <c r="P364" s="230"/>
      <c r="Q364" s="230"/>
      <c r="R364" s="230"/>
      <c r="S364" s="230"/>
      <c r="T364" s="230"/>
      <c r="U364" s="230"/>
      <c r="V364" s="230"/>
      <c r="W364" s="230"/>
      <c r="X364" s="230"/>
      <c r="Y364" s="230"/>
      <c r="Z364" s="230"/>
      <c r="AA364" s="230"/>
      <c r="AB364" s="230"/>
      <c r="AC364" s="230"/>
      <c r="AD364" s="230"/>
      <c r="AE364" s="230"/>
      <c r="AF364" s="230"/>
      <c r="AG364" s="230"/>
      <c r="AH364" s="230"/>
      <c r="AI364" s="230"/>
      <c r="AJ364" s="230"/>
      <c r="AK364" s="230"/>
      <c r="AL364" s="230"/>
      <c r="AM364" s="230"/>
      <c r="AN364" s="230"/>
      <c r="AO364" s="230"/>
      <c r="AP364" s="230"/>
    </row>
    <row r="365" spans="7:42" ht="14.25" customHeight="1" x14ac:dyDescent="0.2">
      <c r="G365" s="138"/>
      <c r="H365" s="231"/>
      <c r="I365" s="231"/>
      <c r="J365" s="231"/>
      <c r="K365" s="231"/>
      <c r="L365" s="231"/>
      <c r="M365" s="231"/>
      <c r="N365" s="231"/>
      <c r="O365" s="231"/>
      <c r="P365" s="231"/>
      <c r="Q365" s="231"/>
      <c r="R365" s="231"/>
      <c r="S365" s="231"/>
      <c r="T365" s="231"/>
      <c r="U365" s="231"/>
      <c r="V365" s="231"/>
      <c r="W365" s="231"/>
      <c r="X365" s="231"/>
      <c r="Y365" s="231"/>
      <c r="Z365" s="231"/>
      <c r="AA365" s="231"/>
      <c r="AB365" s="231"/>
      <c r="AC365" s="231"/>
      <c r="AD365" s="231"/>
      <c r="AE365" s="231"/>
      <c r="AF365" s="231"/>
      <c r="AG365" s="231"/>
      <c r="AH365" s="231"/>
      <c r="AI365" s="231"/>
      <c r="AJ365" s="231"/>
      <c r="AK365" s="231"/>
      <c r="AL365" s="231"/>
      <c r="AM365" s="231"/>
      <c r="AN365" s="231"/>
      <c r="AO365" s="231"/>
      <c r="AP365" s="231"/>
    </row>
    <row r="366" spans="7:42" ht="15.75" customHeight="1" x14ac:dyDescent="0.2">
      <c r="G366" s="138"/>
      <c r="M366" s="123">
        <v>2021</v>
      </c>
      <c r="N366" s="123">
        <v>2022</v>
      </c>
      <c r="O366" s="123">
        <v>2023</v>
      </c>
      <c r="P366" s="123">
        <v>2024</v>
      </c>
      <c r="Q366" s="123">
        <v>2025</v>
      </c>
      <c r="R366" s="123">
        <v>2026</v>
      </c>
      <c r="S366" s="123">
        <v>2027</v>
      </c>
      <c r="T366" s="123">
        <v>2028</v>
      </c>
      <c r="U366" s="123">
        <v>2029</v>
      </c>
      <c r="V366" s="123">
        <v>2030</v>
      </c>
      <c r="W366" s="123">
        <v>2031</v>
      </c>
      <c r="X366" s="123">
        <v>2032</v>
      </c>
      <c r="Y366" s="123">
        <v>2033</v>
      </c>
      <c r="Z366" s="123">
        <v>2034</v>
      </c>
      <c r="AA366" s="123">
        <v>2035</v>
      </c>
      <c r="AB366" s="123">
        <v>2036</v>
      </c>
      <c r="AC366" s="123">
        <v>2037</v>
      </c>
      <c r="AD366" s="123">
        <v>2038</v>
      </c>
      <c r="AE366" s="123">
        <v>2039</v>
      </c>
      <c r="AF366" s="123">
        <v>2040</v>
      </c>
      <c r="AG366" s="123">
        <v>2041</v>
      </c>
      <c r="AH366" s="123">
        <v>2042</v>
      </c>
      <c r="AI366" s="123">
        <v>2043</v>
      </c>
      <c r="AJ366" s="123">
        <v>2044</v>
      </c>
      <c r="AK366" s="123">
        <v>2045</v>
      </c>
      <c r="AL366" s="123">
        <v>2046</v>
      </c>
      <c r="AM366" s="123">
        <v>2047</v>
      </c>
      <c r="AN366" s="123">
        <v>2048</v>
      </c>
      <c r="AO366" s="123">
        <v>2049</v>
      </c>
      <c r="AP366" s="123">
        <v>2050</v>
      </c>
    </row>
    <row r="367" spans="7:42" ht="15.75" customHeight="1" x14ac:dyDescent="0.2">
      <c r="G367" s="138"/>
      <c r="H367" s="429" t="s">
        <v>304</v>
      </c>
      <c r="J367" s="357" t="s">
        <v>305</v>
      </c>
      <c r="K367" s="135" t="s">
        <v>306</v>
      </c>
      <c r="L367" s="135" t="s">
        <v>276</v>
      </c>
      <c r="M367" s="124">
        <v>0.12816704158451869</v>
      </c>
      <c r="N367" s="124">
        <v>0.13000125039260491</v>
      </c>
      <c r="O367" s="124">
        <v>0.13175305022353259</v>
      </c>
      <c r="P367" s="124">
        <v>0.13290812268115551</v>
      </c>
      <c r="Q367" s="124">
        <v>0.1331363472428311</v>
      </c>
      <c r="R367" s="124">
        <v>0.13337180119723421</v>
      </c>
      <c r="S367" s="124">
        <v>0.13361483311571309</v>
      </c>
      <c r="T367" s="124">
        <v>0.1338658143151526</v>
      </c>
      <c r="U367" s="124">
        <v>0.1341251407416669</v>
      </c>
      <c r="V367" s="124">
        <v>0.13439323504434689</v>
      </c>
      <c r="W367" s="124">
        <v>0.1344941106352443</v>
      </c>
      <c r="X367" s="124">
        <v>0.1345966333784758</v>
      </c>
      <c r="Y367" s="124">
        <v>0.13470084391305839</v>
      </c>
      <c r="Z367" s="124">
        <v>0.13480678422479819</v>
      </c>
      <c r="AA367" s="124">
        <v>0.1349144977024995</v>
      </c>
      <c r="AB367" s="124">
        <v>0.1350240291970122</v>
      </c>
      <c r="AC367" s="124">
        <v>0.1351354250832808</v>
      </c>
      <c r="AD367" s="124">
        <v>0.13524873332558529</v>
      </c>
      <c r="AE367" s="124">
        <v>0.135364003546146</v>
      </c>
      <c r="AF367" s="124">
        <v>0.1354812870973178</v>
      </c>
      <c r="AG367" s="124">
        <v>0.1356006371376085</v>
      </c>
      <c r="AH367" s="124">
        <v>0.13572210871167939</v>
      </c>
      <c r="AI367" s="124">
        <v>0.13584575883469249</v>
      </c>
      <c r="AJ367" s="124">
        <v>0.132821001476954</v>
      </c>
      <c r="AK367" s="124">
        <v>0.12977129653274519</v>
      </c>
      <c r="AL367" s="124">
        <v>0.1230821463190676</v>
      </c>
      <c r="AM367" s="124">
        <v>0.12308212785945941</v>
      </c>
      <c r="AN367" s="124">
        <v>0.1230821090621522</v>
      </c>
      <c r="AO367" s="124">
        <v>0.1230820899177938</v>
      </c>
      <c r="AP367" s="124">
        <v>0.1230820704166833</v>
      </c>
    </row>
    <row r="368" spans="7:42" ht="15.75" customHeight="1" x14ac:dyDescent="0.2">
      <c r="G368" s="138"/>
      <c r="H368" s="380"/>
      <c r="J368" s="358"/>
      <c r="K368" s="135" t="s">
        <v>306</v>
      </c>
      <c r="L368" s="135" t="s">
        <v>277</v>
      </c>
      <c r="M368" s="124">
        <v>0.12816704158451869</v>
      </c>
      <c r="N368" s="124">
        <v>0.13000125039260491</v>
      </c>
      <c r="O368" s="124">
        <v>0.13175305022353259</v>
      </c>
      <c r="P368" s="124">
        <v>0.13290812268115551</v>
      </c>
      <c r="Q368" s="124">
        <v>0.1331363472428311</v>
      </c>
      <c r="R368" s="124">
        <v>0.13337180119723421</v>
      </c>
      <c r="S368" s="124">
        <v>0.13361483311571309</v>
      </c>
      <c r="T368" s="124">
        <v>0.1338658143151526</v>
      </c>
      <c r="U368" s="124">
        <v>0.1341251407416669</v>
      </c>
      <c r="V368" s="124">
        <v>0.13439323504434689</v>
      </c>
      <c r="W368" s="124">
        <v>0.1344941106352443</v>
      </c>
      <c r="X368" s="124">
        <v>0.1345966333784758</v>
      </c>
      <c r="Y368" s="124">
        <v>0.13470084391305839</v>
      </c>
      <c r="Z368" s="124">
        <v>0.13480678422479819</v>
      </c>
      <c r="AA368" s="124">
        <v>0.1349144977024995</v>
      </c>
      <c r="AB368" s="124">
        <v>0.1350240291970122</v>
      </c>
      <c r="AC368" s="124">
        <v>0.1351354250832808</v>
      </c>
      <c r="AD368" s="124">
        <v>0.13524873332558529</v>
      </c>
      <c r="AE368" s="124">
        <v>0.135364003546146</v>
      </c>
      <c r="AF368" s="124">
        <v>0.1354812870973178</v>
      </c>
      <c r="AG368" s="124">
        <v>0.1356006371376085</v>
      </c>
      <c r="AH368" s="124">
        <v>0.13572210871167939</v>
      </c>
      <c r="AI368" s="124">
        <v>0.13584575883469249</v>
      </c>
      <c r="AJ368" s="124">
        <v>0.132821001476954</v>
      </c>
      <c r="AK368" s="124">
        <v>0.12977129653274519</v>
      </c>
      <c r="AL368" s="124">
        <v>0.1230821463190676</v>
      </c>
      <c r="AM368" s="124">
        <v>0.12308212785945941</v>
      </c>
      <c r="AN368" s="124">
        <v>0.1230821090621522</v>
      </c>
      <c r="AO368" s="124">
        <v>0.1230820899177938</v>
      </c>
      <c r="AP368" s="124">
        <v>0.1230820704166833</v>
      </c>
    </row>
    <row r="369" spans="7:42" ht="15.75" customHeight="1" x14ac:dyDescent="0.2">
      <c r="G369" s="138"/>
      <c r="H369" s="380"/>
      <c r="J369" s="358"/>
      <c r="K369" s="135" t="s">
        <v>306</v>
      </c>
      <c r="L369" s="135" t="s">
        <v>278</v>
      </c>
      <c r="M369" s="124">
        <v>0.12816704158451869</v>
      </c>
      <c r="N369" s="124">
        <v>0.13000125039260491</v>
      </c>
      <c r="O369" s="124">
        <v>0.13175305022353259</v>
      </c>
      <c r="P369" s="124">
        <v>0.13290812268115551</v>
      </c>
      <c r="Q369" s="124">
        <v>0.1331363472428311</v>
      </c>
      <c r="R369" s="124">
        <v>0.13337180119723421</v>
      </c>
      <c r="S369" s="124">
        <v>0.13361483311571309</v>
      </c>
      <c r="T369" s="124">
        <v>0.1338658143151526</v>
      </c>
      <c r="U369" s="124">
        <v>0.1341251407416669</v>
      </c>
      <c r="V369" s="124">
        <v>0.13439323504434689</v>
      </c>
      <c r="W369" s="124">
        <v>0.1344941106352443</v>
      </c>
      <c r="X369" s="124">
        <v>0.1345966333784758</v>
      </c>
      <c r="Y369" s="124">
        <v>0.13470084391305839</v>
      </c>
      <c r="Z369" s="124">
        <v>0.13480678422479819</v>
      </c>
      <c r="AA369" s="124">
        <v>0.1349144977024995</v>
      </c>
      <c r="AB369" s="124">
        <v>0.1350240291970122</v>
      </c>
      <c r="AC369" s="124">
        <v>0.1351354250832808</v>
      </c>
      <c r="AD369" s="124">
        <v>0.13524873332558529</v>
      </c>
      <c r="AE369" s="124">
        <v>0.135364003546146</v>
      </c>
      <c r="AF369" s="124">
        <v>0.1354812870973178</v>
      </c>
      <c r="AG369" s="124">
        <v>0.1356006371376085</v>
      </c>
      <c r="AH369" s="124">
        <v>0.13572210871167939</v>
      </c>
      <c r="AI369" s="124">
        <v>0.13584575883469249</v>
      </c>
      <c r="AJ369" s="124">
        <v>0.132821001476954</v>
      </c>
      <c r="AK369" s="124">
        <v>0.12977129653274519</v>
      </c>
      <c r="AL369" s="124">
        <v>0.1230821463190676</v>
      </c>
      <c r="AM369" s="124">
        <v>0.12308212785945941</v>
      </c>
      <c r="AN369" s="124">
        <v>0.1230821090621522</v>
      </c>
      <c r="AO369" s="124">
        <v>0.1230820899177938</v>
      </c>
      <c r="AP369" s="124">
        <v>0.1230820704166833</v>
      </c>
    </row>
    <row r="370" spans="7:42" ht="14.25" customHeight="1" x14ac:dyDescent="0.2">
      <c r="G370" s="138"/>
      <c r="H370" s="380"/>
      <c r="J370" s="358"/>
      <c r="K370" s="135" t="s">
        <v>307</v>
      </c>
      <c r="L370" s="135" t="s">
        <v>274</v>
      </c>
      <c r="M370" s="234">
        <v>0</v>
      </c>
      <c r="N370" s="234">
        <v>0</v>
      </c>
      <c r="O370" s="234">
        <v>0</v>
      </c>
      <c r="P370" s="234">
        <v>0</v>
      </c>
      <c r="Q370" s="234">
        <v>0</v>
      </c>
      <c r="R370" s="234">
        <v>0</v>
      </c>
      <c r="S370" s="234">
        <v>0</v>
      </c>
      <c r="T370" s="234">
        <v>0</v>
      </c>
      <c r="U370" s="234">
        <v>0</v>
      </c>
      <c r="V370" s="234">
        <v>0</v>
      </c>
      <c r="W370" s="234">
        <v>0</v>
      </c>
      <c r="X370" s="234">
        <v>0</v>
      </c>
      <c r="Y370" s="234">
        <v>0</v>
      </c>
      <c r="Z370" s="234">
        <v>0</v>
      </c>
      <c r="AA370" s="234">
        <v>0</v>
      </c>
      <c r="AB370" s="234">
        <v>0</v>
      </c>
      <c r="AC370" s="234">
        <v>0</v>
      </c>
      <c r="AD370" s="234">
        <v>0</v>
      </c>
      <c r="AE370" s="234">
        <v>0</v>
      </c>
      <c r="AF370" s="234">
        <v>0</v>
      </c>
      <c r="AG370" s="234">
        <v>0</v>
      </c>
      <c r="AH370" s="234">
        <v>0</v>
      </c>
      <c r="AI370" s="234">
        <v>0</v>
      </c>
      <c r="AJ370" s="234">
        <v>0</v>
      </c>
      <c r="AK370" s="234">
        <v>0</v>
      </c>
      <c r="AL370" s="234">
        <v>0</v>
      </c>
      <c r="AM370" s="234">
        <v>0</v>
      </c>
      <c r="AN370" s="234">
        <v>0</v>
      </c>
      <c r="AO370" s="234">
        <v>0</v>
      </c>
      <c r="AP370" s="234">
        <v>0</v>
      </c>
    </row>
    <row r="371" spans="7:42" ht="14.25" customHeight="1" x14ac:dyDescent="0.2">
      <c r="G371" s="138"/>
      <c r="H371" s="380"/>
      <c r="J371" s="358"/>
      <c r="K371" s="135" t="s">
        <v>137</v>
      </c>
      <c r="L371" s="135" t="s">
        <v>276</v>
      </c>
      <c r="M371" s="235">
        <v>15.895964251430071</v>
      </c>
      <c r="N371" s="235">
        <v>21.304006087574539</v>
      </c>
      <c r="O371" s="235">
        <v>21.515756842461329</v>
      </c>
      <c r="P371" s="235">
        <v>21.653562402630921</v>
      </c>
      <c r="Q371" s="235">
        <v>21.680620897446801</v>
      </c>
      <c r="R371" s="235">
        <v>21.70847797159713</v>
      </c>
      <c r="S371" s="235">
        <v>21.7371693310517</v>
      </c>
      <c r="T371" s="235">
        <v>21.766732831160908</v>
      </c>
      <c r="U371" s="235">
        <v>21.797208639909851</v>
      </c>
      <c r="V371" s="235">
        <v>21.828639416178099</v>
      </c>
      <c r="W371" s="235">
        <v>21.840446013131839</v>
      </c>
      <c r="X371" s="235">
        <v>21.852434293288919</v>
      </c>
      <c r="Y371" s="235">
        <v>21.864608468958512</v>
      </c>
      <c r="Z371" s="235">
        <v>21.876972883225172</v>
      </c>
      <c r="AA371" s="235">
        <v>21.889532015044821</v>
      </c>
      <c r="AB371" s="235">
        <v>21.902290484580309</v>
      </c>
      <c r="AC371" s="235">
        <v>21.915253058788341</v>
      </c>
      <c r="AD371" s="235">
        <v>21.928424657274331</v>
      </c>
      <c r="AE371" s="235">
        <v>21.941810358426391</v>
      </c>
      <c r="AF371" s="235">
        <v>21.955415405847599</v>
      </c>
      <c r="AG371" s="235">
        <v>21.969245215104429</v>
      </c>
      <c r="AH371" s="235">
        <v>21.983305380800509</v>
      </c>
      <c r="AI371" s="235">
        <v>21.997601684008089</v>
      </c>
      <c r="AJ371" s="235">
        <v>16.23241387013967</v>
      </c>
      <c r="AK371" s="235">
        <v>10.637981267479169</v>
      </c>
      <c r="AL371" s="235">
        <v>0</v>
      </c>
      <c r="AM371" s="235">
        <v>0</v>
      </c>
      <c r="AN371" s="235">
        <v>0</v>
      </c>
      <c r="AO371" s="235">
        <v>0</v>
      </c>
      <c r="AP371" s="235">
        <v>0</v>
      </c>
    </row>
    <row r="372" spans="7:42" ht="14.25" customHeight="1" x14ac:dyDescent="0.2">
      <c r="G372" s="138"/>
      <c r="H372" s="380"/>
      <c r="J372" s="358"/>
      <c r="K372" s="135" t="s">
        <v>137</v>
      </c>
      <c r="L372" s="135" t="s">
        <v>277</v>
      </c>
      <c r="M372" s="235">
        <v>15.895964251430071</v>
      </c>
      <c r="N372" s="235">
        <v>21.304006087574539</v>
      </c>
      <c r="O372" s="235">
        <v>21.515756842461329</v>
      </c>
      <c r="P372" s="235">
        <v>21.653562402630921</v>
      </c>
      <c r="Q372" s="235">
        <v>21.680620897446801</v>
      </c>
      <c r="R372" s="235">
        <v>21.70847797159713</v>
      </c>
      <c r="S372" s="235">
        <v>21.7371693310517</v>
      </c>
      <c r="T372" s="235">
        <v>21.766732831160908</v>
      </c>
      <c r="U372" s="235">
        <v>21.797208639909851</v>
      </c>
      <c r="V372" s="235">
        <v>21.828639416178099</v>
      </c>
      <c r="W372" s="235">
        <v>21.840446013131839</v>
      </c>
      <c r="X372" s="235">
        <v>21.852434293288919</v>
      </c>
      <c r="Y372" s="235">
        <v>21.864608468958512</v>
      </c>
      <c r="Z372" s="235">
        <v>21.876972883225172</v>
      </c>
      <c r="AA372" s="235">
        <v>21.889532015044821</v>
      </c>
      <c r="AB372" s="235">
        <v>21.902290484580309</v>
      </c>
      <c r="AC372" s="235">
        <v>21.915253058788341</v>
      </c>
      <c r="AD372" s="235">
        <v>21.928424657274331</v>
      </c>
      <c r="AE372" s="235">
        <v>21.941810358426391</v>
      </c>
      <c r="AF372" s="235">
        <v>21.955415405847599</v>
      </c>
      <c r="AG372" s="235">
        <v>21.969245215104429</v>
      </c>
      <c r="AH372" s="235">
        <v>21.983305380800509</v>
      </c>
      <c r="AI372" s="235">
        <v>21.997601684008089</v>
      </c>
      <c r="AJ372" s="235">
        <v>16.23241387013967</v>
      </c>
      <c r="AK372" s="235">
        <v>10.637981267479169</v>
      </c>
      <c r="AL372" s="235">
        <v>0</v>
      </c>
      <c r="AM372" s="235">
        <v>0</v>
      </c>
      <c r="AN372" s="235">
        <v>0</v>
      </c>
      <c r="AO372" s="235">
        <v>0</v>
      </c>
      <c r="AP372" s="235">
        <v>0</v>
      </c>
    </row>
    <row r="373" spans="7:42" ht="14.25" customHeight="1" x14ac:dyDescent="0.2">
      <c r="G373" s="138"/>
      <c r="H373" s="380"/>
      <c r="J373" s="358"/>
      <c r="K373" s="135" t="s">
        <v>137</v>
      </c>
      <c r="L373" s="135" t="s">
        <v>278</v>
      </c>
      <c r="M373" s="235">
        <v>15.895964251430071</v>
      </c>
      <c r="N373" s="235">
        <v>21.304006087574539</v>
      </c>
      <c r="O373" s="235">
        <v>21.515756842461329</v>
      </c>
      <c r="P373" s="235">
        <v>21.653562402630921</v>
      </c>
      <c r="Q373" s="235">
        <v>21.680620897446801</v>
      </c>
      <c r="R373" s="235">
        <v>21.70847797159713</v>
      </c>
      <c r="S373" s="235">
        <v>21.7371693310517</v>
      </c>
      <c r="T373" s="235">
        <v>21.766732831160908</v>
      </c>
      <c r="U373" s="235">
        <v>21.797208639909851</v>
      </c>
      <c r="V373" s="235">
        <v>21.828639416178099</v>
      </c>
      <c r="W373" s="235">
        <v>21.840446013131839</v>
      </c>
      <c r="X373" s="235">
        <v>21.852434293288919</v>
      </c>
      <c r="Y373" s="235">
        <v>21.864608468958512</v>
      </c>
      <c r="Z373" s="235">
        <v>21.876972883225172</v>
      </c>
      <c r="AA373" s="235">
        <v>21.889532015044821</v>
      </c>
      <c r="AB373" s="235">
        <v>21.902290484580309</v>
      </c>
      <c r="AC373" s="235">
        <v>21.915253058788341</v>
      </c>
      <c r="AD373" s="235">
        <v>21.928424657274331</v>
      </c>
      <c r="AE373" s="235">
        <v>21.941810358426391</v>
      </c>
      <c r="AF373" s="235">
        <v>21.955415405847599</v>
      </c>
      <c r="AG373" s="235">
        <v>21.969245215104429</v>
      </c>
      <c r="AH373" s="235">
        <v>21.983305380800509</v>
      </c>
      <c r="AI373" s="235">
        <v>21.997601684008089</v>
      </c>
      <c r="AJ373" s="235">
        <v>16.23241387013967</v>
      </c>
      <c r="AK373" s="235">
        <v>10.637981267479169</v>
      </c>
      <c r="AL373" s="235">
        <v>0</v>
      </c>
      <c r="AM373" s="235">
        <v>0</v>
      </c>
      <c r="AN373" s="235">
        <v>0</v>
      </c>
      <c r="AO373" s="235">
        <v>0</v>
      </c>
      <c r="AP373" s="235">
        <v>0</v>
      </c>
    </row>
    <row r="374" spans="7:42" ht="14.25" customHeight="1" x14ac:dyDescent="0.2">
      <c r="G374" s="138"/>
      <c r="H374" s="236"/>
      <c r="J374" s="237"/>
      <c r="K374" s="135" t="s">
        <v>308</v>
      </c>
      <c r="L374" s="135" t="s">
        <v>276</v>
      </c>
      <c r="M374" s="238">
        <v>0.81709853385293796</v>
      </c>
      <c r="N374" s="238">
        <v>0.8125745997971765</v>
      </c>
      <c r="O374" s="238">
        <v>0.81089959677475965</v>
      </c>
      <c r="P374" s="238">
        <v>0.80784755291008847</v>
      </c>
      <c r="Q374" s="238">
        <v>0.80712594022849449</v>
      </c>
      <c r="R374" s="238">
        <v>0.8063832221125844</v>
      </c>
      <c r="S374" s="238">
        <v>0.805618459182598</v>
      </c>
      <c r="T374" s="238">
        <v>0.80483065548983357</v>
      </c>
      <c r="U374" s="238">
        <v>0.80401875419480184</v>
      </c>
      <c r="V374" s="238">
        <v>0.80318163284333988</v>
      </c>
      <c r="W374" s="238">
        <v>0.80286723492496248</v>
      </c>
      <c r="X374" s="238">
        <v>0.80254803015284137</v>
      </c>
      <c r="Y374" s="238">
        <v>0.80222390746168104</v>
      </c>
      <c r="Z374" s="238">
        <v>0.80189475233871321</v>
      </c>
      <c r="AA374" s="238">
        <v>0.80156044668891691</v>
      </c>
      <c r="AB374" s="238">
        <v>0.80122086869386189</v>
      </c>
      <c r="AC374" s="238">
        <v>0.80087589266384385</v>
      </c>
      <c r="AD374" s="238">
        <v>0.80052538888288771</v>
      </c>
      <c r="AE374" s="238">
        <v>0.80016922344628871</v>
      </c>
      <c r="AF374" s="238">
        <v>0.79980725809020381</v>
      </c>
      <c r="AG374" s="238">
        <v>0.79943935001278377</v>
      </c>
      <c r="AH374" s="238">
        <v>0.79906535168661719</v>
      </c>
      <c r="AI374" s="238">
        <v>0.79868511066159498</v>
      </c>
      <c r="AJ374" s="238">
        <v>0.80812345996335389</v>
      </c>
      <c r="AK374" s="238">
        <v>0.81793893670470375</v>
      </c>
      <c r="AL374" s="238">
        <v>0.84060620006594722</v>
      </c>
      <c r="AM374" s="238">
        <v>0.84060626491178625</v>
      </c>
      <c r="AN374" s="238">
        <v>0.84060633094392512</v>
      </c>
      <c r="AO374" s="238">
        <v>0.84060639819521676</v>
      </c>
      <c r="AP374" s="238">
        <v>0.8406064666997406</v>
      </c>
    </row>
    <row r="375" spans="7:42" ht="14.25" customHeight="1" x14ac:dyDescent="0.2">
      <c r="G375" s="138"/>
      <c r="H375" s="236"/>
      <c r="J375" s="237"/>
      <c r="K375" s="135" t="s">
        <v>308</v>
      </c>
      <c r="L375" s="135" t="s">
        <v>277</v>
      </c>
      <c r="M375" s="238">
        <v>0.81709853385293796</v>
      </c>
      <c r="N375" s="238">
        <v>0.8125745997971765</v>
      </c>
      <c r="O375" s="238">
        <v>0.81089959677475965</v>
      </c>
      <c r="P375" s="238">
        <v>0.80784755291008847</v>
      </c>
      <c r="Q375" s="238">
        <v>0.80712594022849449</v>
      </c>
      <c r="R375" s="238">
        <v>0.8063832221125844</v>
      </c>
      <c r="S375" s="238">
        <v>0.805618459182598</v>
      </c>
      <c r="T375" s="238">
        <v>0.80483065548983357</v>
      </c>
      <c r="U375" s="238">
        <v>0.80401875419480184</v>
      </c>
      <c r="V375" s="238">
        <v>0.80318163284333988</v>
      </c>
      <c r="W375" s="238">
        <v>0.80286723492496248</v>
      </c>
      <c r="X375" s="238">
        <v>0.80254803015284137</v>
      </c>
      <c r="Y375" s="238">
        <v>0.80222390746168104</v>
      </c>
      <c r="Z375" s="238">
        <v>0.80189475233871321</v>
      </c>
      <c r="AA375" s="238">
        <v>0.80156044668891691</v>
      </c>
      <c r="AB375" s="238">
        <v>0.80122086869386189</v>
      </c>
      <c r="AC375" s="238">
        <v>0.80087589266384385</v>
      </c>
      <c r="AD375" s="238">
        <v>0.80052538888288771</v>
      </c>
      <c r="AE375" s="238">
        <v>0.80016922344628871</v>
      </c>
      <c r="AF375" s="238">
        <v>0.79980725809020381</v>
      </c>
      <c r="AG375" s="238">
        <v>0.79943935001278377</v>
      </c>
      <c r="AH375" s="238">
        <v>0.79906535168661719</v>
      </c>
      <c r="AI375" s="238">
        <v>0.79868511066159498</v>
      </c>
      <c r="AJ375" s="238">
        <v>0.80812345996335389</v>
      </c>
      <c r="AK375" s="238">
        <v>0.81793893670470375</v>
      </c>
      <c r="AL375" s="238">
        <v>0.84060620006594722</v>
      </c>
      <c r="AM375" s="238">
        <v>0.84060626491178625</v>
      </c>
      <c r="AN375" s="238">
        <v>0.84060633094392512</v>
      </c>
      <c r="AO375" s="238">
        <v>0.84060639819521676</v>
      </c>
      <c r="AP375" s="238">
        <v>0.8406064666997406</v>
      </c>
    </row>
    <row r="376" spans="7:42" ht="14.25" customHeight="1" x14ac:dyDescent="0.2">
      <c r="G376" s="138"/>
      <c r="H376" s="236"/>
      <c r="J376" s="237"/>
      <c r="K376" s="135" t="s">
        <v>308</v>
      </c>
      <c r="L376" s="135" t="s">
        <v>278</v>
      </c>
      <c r="M376" s="238">
        <v>0.81709853385293796</v>
      </c>
      <c r="N376" s="238">
        <v>0.8125745997971765</v>
      </c>
      <c r="O376" s="238">
        <v>0.81089959677475965</v>
      </c>
      <c r="P376" s="238">
        <v>0.80784755291008847</v>
      </c>
      <c r="Q376" s="238">
        <v>0.80712594022849449</v>
      </c>
      <c r="R376" s="238">
        <v>0.8063832221125844</v>
      </c>
      <c r="S376" s="238">
        <v>0.805618459182598</v>
      </c>
      <c r="T376" s="238">
        <v>0.80483065548983357</v>
      </c>
      <c r="U376" s="238">
        <v>0.80401875419480184</v>
      </c>
      <c r="V376" s="238">
        <v>0.80318163284333988</v>
      </c>
      <c r="W376" s="238">
        <v>0.80286723492496248</v>
      </c>
      <c r="X376" s="238">
        <v>0.80254803015284137</v>
      </c>
      <c r="Y376" s="238">
        <v>0.80222390746168104</v>
      </c>
      <c r="Z376" s="238">
        <v>0.80189475233871321</v>
      </c>
      <c r="AA376" s="238">
        <v>0.80156044668891691</v>
      </c>
      <c r="AB376" s="238">
        <v>0.80122086869386189</v>
      </c>
      <c r="AC376" s="238">
        <v>0.80087589266384385</v>
      </c>
      <c r="AD376" s="238">
        <v>0.80052538888288771</v>
      </c>
      <c r="AE376" s="238">
        <v>0.80016922344628871</v>
      </c>
      <c r="AF376" s="238">
        <v>0.79980725809020381</v>
      </c>
      <c r="AG376" s="238">
        <v>0.79943935001278377</v>
      </c>
      <c r="AH376" s="238">
        <v>0.79906535168661719</v>
      </c>
      <c r="AI376" s="238">
        <v>0.79868511066159498</v>
      </c>
      <c r="AJ376" s="238">
        <v>0.80812345996335389</v>
      </c>
      <c r="AK376" s="238">
        <v>0.81793893670470375</v>
      </c>
      <c r="AL376" s="238">
        <v>0.84060620006594722</v>
      </c>
      <c r="AM376" s="238">
        <v>0.84060626491178625</v>
      </c>
      <c r="AN376" s="238">
        <v>0.84060633094392512</v>
      </c>
      <c r="AO376" s="238">
        <v>0.84060639819521676</v>
      </c>
      <c r="AP376" s="238">
        <v>0.8406064666997406</v>
      </c>
    </row>
    <row r="377" spans="7:42" ht="14.25" customHeight="1" x14ac:dyDescent="0.2">
      <c r="G377" s="138"/>
      <c r="H377" s="236"/>
      <c r="J377" s="237"/>
      <c r="K377" s="135" t="s">
        <v>309</v>
      </c>
      <c r="L377" s="135" t="s">
        <v>276</v>
      </c>
      <c r="M377" s="238">
        <v>1.063397303240309</v>
      </c>
      <c r="N377" s="238">
        <v>1.0649653891896129</v>
      </c>
      <c r="O377" s="238">
        <v>1.065545978710176</v>
      </c>
      <c r="P377" s="238">
        <v>1.0666038781052289</v>
      </c>
      <c r="Q377" s="238">
        <v>1.066854003481263</v>
      </c>
      <c r="R377" s="238">
        <v>1.0671114444225971</v>
      </c>
      <c r="S377" s="238">
        <v>1.067376526537031</v>
      </c>
      <c r="T377" s="238">
        <v>1.0676495950402869</v>
      </c>
      <c r="U377" s="238">
        <v>1.067931016254051</v>
      </c>
      <c r="V377" s="238">
        <v>1.0682211792433669</v>
      </c>
      <c r="W377" s="238">
        <v>1.068330155844754</v>
      </c>
      <c r="X377" s="238">
        <v>1.0684407985977089</v>
      </c>
      <c r="Y377" s="238">
        <v>1.0685531459996811</v>
      </c>
      <c r="Z377" s="238">
        <v>1.068667237743085</v>
      </c>
      <c r="AA377" s="238">
        <v>1.0687831147620159</v>
      </c>
      <c r="AB377" s="238">
        <v>1.068900819281174</v>
      </c>
      <c r="AC377" s="238">
        <v>1.069020394867124</v>
      </c>
      <c r="AD377" s="238">
        <v>1.069141886482015</v>
      </c>
      <c r="AE377" s="238">
        <v>1.069265340539894</v>
      </c>
      <c r="AF377" s="238">
        <v>1.069390804965771</v>
      </c>
      <c r="AG377" s="238">
        <v>1.0695183292576209</v>
      </c>
      <c r="AH377" s="238">
        <v>1.069647964551393</v>
      </c>
      <c r="AI377" s="238">
        <v>1.069779763689342</v>
      </c>
      <c r="AJ377" s="238">
        <v>1.0665082432068851</v>
      </c>
      <c r="AK377" s="238">
        <v>1.0631060028174111</v>
      </c>
      <c r="AL377" s="238">
        <v>1.0552490763574269</v>
      </c>
      <c r="AM377" s="238">
        <v>1.055249053880563</v>
      </c>
      <c r="AN377" s="238">
        <v>1.055249030992504</v>
      </c>
      <c r="AO377" s="238">
        <v>1.055249007681863</v>
      </c>
      <c r="AP377" s="238">
        <v>1.055248983936826</v>
      </c>
    </row>
    <row r="378" spans="7:42" ht="14.25" customHeight="1" x14ac:dyDescent="0.2">
      <c r="G378" s="138"/>
      <c r="H378" s="236"/>
      <c r="J378" s="237"/>
      <c r="K378" s="135" t="s">
        <v>309</v>
      </c>
      <c r="L378" s="135" t="s">
        <v>277</v>
      </c>
      <c r="M378" s="238">
        <v>1.063397303240309</v>
      </c>
      <c r="N378" s="238">
        <v>1.0649653891896129</v>
      </c>
      <c r="O378" s="238">
        <v>1.065545978710176</v>
      </c>
      <c r="P378" s="238">
        <v>1.0666038781052289</v>
      </c>
      <c r="Q378" s="238">
        <v>1.066854003481263</v>
      </c>
      <c r="R378" s="238">
        <v>1.0671114444225971</v>
      </c>
      <c r="S378" s="238">
        <v>1.067376526537031</v>
      </c>
      <c r="T378" s="238">
        <v>1.0676495950402869</v>
      </c>
      <c r="U378" s="238">
        <v>1.067931016254051</v>
      </c>
      <c r="V378" s="238">
        <v>1.0682211792433669</v>
      </c>
      <c r="W378" s="238">
        <v>1.068330155844754</v>
      </c>
      <c r="X378" s="238">
        <v>1.0684407985977089</v>
      </c>
      <c r="Y378" s="238">
        <v>1.0685531459996811</v>
      </c>
      <c r="Z378" s="238">
        <v>1.068667237743085</v>
      </c>
      <c r="AA378" s="238">
        <v>1.0687831147620159</v>
      </c>
      <c r="AB378" s="238">
        <v>1.068900819281174</v>
      </c>
      <c r="AC378" s="238">
        <v>1.069020394867124</v>
      </c>
      <c r="AD378" s="238">
        <v>1.069141886482015</v>
      </c>
      <c r="AE378" s="238">
        <v>1.069265340539894</v>
      </c>
      <c r="AF378" s="238">
        <v>1.069390804965771</v>
      </c>
      <c r="AG378" s="238">
        <v>1.0695183292576209</v>
      </c>
      <c r="AH378" s="238">
        <v>1.069647964551393</v>
      </c>
      <c r="AI378" s="238">
        <v>1.069779763689342</v>
      </c>
      <c r="AJ378" s="238">
        <v>1.0665082432068851</v>
      </c>
      <c r="AK378" s="238">
        <v>1.0631060028174111</v>
      </c>
      <c r="AL378" s="238">
        <v>1.0552490763574269</v>
      </c>
      <c r="AM378" s="238">
        <v>1.055249053880563</v>
      </c>
      <c r="AN378" s="238">
        <v>1.055249030992504</v>
      </c>
      <c r="AO378" s="238">
        <v>1.055249007681863</v>
      </c>
      <c r="AP378" s="238">
        <v>1.055248983936826</v>
      </c>
    </row>
    <row r="379" spans="7:42" ht="14.25" customHeight="1" x14ac:dyDescent="0.2">
      <c r="G379" s="138"/>
      <c r="H379" s="236"/>
      <c r="J379" s="237"/>
      <c r="K379" s="135" t="s">
        <v>309</v>
      </c>
      <c r="L379" s="135" t="s">
        <v>278</v>
      </c>
      <c r="M379" s="238">
        <v>1.063397303240309</v>
      </c>
      <c r="N379" s="238">
        <v>1.0649653891896129</v>
      </c>
      <c r="O379" s="238">
        <v>1.065545978710176</v>
      </c>
      <c r="P379" s="238">
        <v>1.0666038781052289</v>
      </c>
      <c r="Q379" s="238">
        <v>1.066854003481263</v>
      </c>
      <c r="R379" s="238">
        <v>1.0671114444225971</v>
      </c>
      <c r="S379" s="238">
        <v>1.067376526537031</v>
      </c>
      <c r="T379" s="238">
        <v>1.0676495950402869</v>
      </c>
      <c r="U379" s="238">
        <v>1.067931016254051</v>
      </c>
      <c r="V379" s="238">
        <v>1.0682211792433669</v>
      </c>
      <c r="W379" s="238">
        <v>1.068330155844754</v>
      </c>
      <c r="X379" s="238">
        <v>1.0684407985977089</v>
      </c>
      <c r="Y379" s="238">
        <v>1.0685531459996811</v>
      </c>
      <c r="Z379" s="238">
        <v>1.068667237743085</v>
      </c>
      <c r="AA379" s="238">
        <v>1.0687831147620159</v>
      </c>
      <c r="AB379" s="238">
        <v>1.068900819281174</v>
      </c>
      <c r="AC379" s="238">
        <v>1.069020394867124</v>
      </c>
      <c r="AD379" s="238">
        <v>1.069141886482015</v>
      </c>
      <c r="AE379" s="238">
        <v>1.069265340539894</v>
      </c>
      <c r="AF379" s="238">
        <v>1.069390804965771</v>
      </c>
      <c r="AG379" s="238">
        <v>1.0695183292576209</v>
      </c>
      <c r="AH379" s="238">
        <v>1.069647964551393</v>
      </c>
      <c r="AI379" s="238">
        <v>1.069779763689342</v>
      </c>
      <c r="AJ379" s="238">
        <v>1.0665082432068851</v>
      </c>
      <c r="AK379" s="238">
        <v>1.0631060028174111</v>
      </c>
      <c r="AL379" s="238">
        <v>1.0552490763574269</v>
      </c>
      <c r="AM379" s="238">
        <v>1.055249053880563</v>
      </c>
      <c r="AN379" s="238">
        <v>1.055249030992504</v>
      </c>
      <c r="AO379" s="238">
        <v>1.055249007681863</v>
      </c>
      <c r="AP379" s="238">
        <v>1.055248983936826</v>
      </c>
    </row>
    <row r="380" spans="7:42" ht="14.25" customHeight="1" x14ac:dyDescent="0.2">
      <c r="G380" s="138"/>
      <c r="H380" s="233"/>
      <c r="I380" s="239" t="s">
        <v>310</v>
      </c>
      <c r="J380" s="446" t="s">
        <v>312</v>
      </c>
      <c r="K380" s="241" t="s">
        <v>311</v>
      </c>
      <c r="L380" s="241"/>
      <c r="M380" s="123">
        <v>2021</v>
      </c>
      <c r="N380" s="123">
        <v>2022</v>
      </c>
      <c r="O380" s="123">
        <v>2023</v>
      </c>
      <c r="P380" s="123">
        <v>2024</v>
      </c>
      <c r="Q380" s="123">
        <v>2025</v>
      </c>
      <c r="R380" s="123">
        <v>2026</v>
      </c>
      <c r="S380" s="123">
        <v>2027</v>
      </c>
      <c r="T380" s="123">
        <v>2028</v>
      </c>
      <c r="U380" s="123">
        <v>2029</v>
      </c>
      <c r="V380" s="123">
        <v>2030</v>
      </c>
      <c r="W380" s="123">
        <v>2031</v>
      </c>
      <c r="X380" s="123">
        <v>2032</v>
      </c>
      <c r="Y380" s="123">
        <v>2033</v>
      </c>
      <c r="Z380" s="123">
        <v>2034</v>
      </c>
      <c r="AA380" s="123">
        <v>2035</v>
      </c>
      <c r="AB380" s="123">
        <v>2036</v>
      </c>
      <c r="AC380" s="123">
        <v>2037</v>
      </c>
      <c r="AD380" s="123">
        <v>2038</v>
      </c>
      <c r="AE380" s="123">
        <v>2039</v>
      </c>
      <c r="AF380" s="123">
        <v>2040</v>
      </c>
      <c r="AG380" s="123">
        <v>2041</v>
      </c>
      <c r="AH380" s="123">
        <v>2042</v>
      </c>
      <c r="AI380" s="123">
        <v>2043</v>
      </c>
      <c r="AJ380" s="123">
        <v>2044</v>
      </c>
      <c r="AK380" s="123">
        <v>2045</v>
      </c>
      <c r="AL380" s="123">
        <v>2046</v>
      </c>
      <c r="AM380" s="123">
        <v>2047</v>
      </c>
      <c r="AN380" s="123">
        <v>2048</v>
      </c>
      <c r="AO380" s="123">
        <v>2049</v>
      </c>
      <c r="AP380" s="123">
        <v>2050</v>
      </c>
    </row>
    <row r="381" spans="7:42" ht="14.25" customHeight="1" x14ac:dyDescent="0.2">
      <c r="G381" s="138"/>
      <c r="H381" s="233"/>
      <c r="I381" s="131">
        <v>0.2</v>
      </c>
      <c r="J381" s="380"/>
      <c r="K381" s="242">
        <v>1</v>
      </c>
      <c r="L381" s="242"/>
      <c r="M381" s="243">
        <v>0.92841602387619371</v>
      </c>
      <c r="N381" s="243">
        <v>0.92646596902579126</v>
      </c>
      <c r="O381" s="243">
        <v>0.92574144602739505</v>
      </c>
      <c r="P381" s="243">
        <v>0.92441777423725047</v>
      </c>
      <c r="Q381" s="243">
        <v>0.92410414558544873</v>
      </c>
      <c r="R381" s="243">
        <v>0.92378107748470317</v>
      </c>
      <c r="S381" s="243">
        <v>0.92344813726771102</v>
      </c>
      <c r="T381" s="243">
        <v>0.92310486541453451</v>
      </c>
      <c r="U381" s="243">
        <v>0.92275077343655154</v>
      </c>
      <c r="V381" s="243">
        <v>0.92238534155718321</v>
      </c>
      <c r="W381" s="243">
        <v>0.92224800669421647</v>
      </c>
      <c r="X381" s="243">
        <v>0.92210852205209193</v>
      </c>
      <c r="Y381" s="243">
        <v>0.92196683675507851</v>
      </c>
      <c r="Z381" s="243">
        <v>0.92182289830934494</v>
      </c>
      <c r="AA381" s="243">
        <v>0.92167665253811371</v>
      </c>
      <c r="AB381" s="243">
        <v>0.92152804351367079</v>
      </c>
      <c r="AC381" s="243">
        <v>0.92137701348605727</v>
      </c>
      <c r="AD381" s="243">
        <v>0.92122350280823739</v>
      </c>
      <c r="AE381" s="243">
        <v>0.92106744985756428</v>
      </c>
      <c r="AF381" s="243">
        <v>0.92090879095330447</v>
      </c>
      <c r="AG381" s="243">
        <v>0.92074746026996224</v>
      </c>
      <c r="AH381" s="243">
        <v>0.92058338974627008</v>
      </c>
      <c r="AI381" s="243">
        <v>0.92041650898941696</v>
      </c>
      <c r="AJ381" s="243">
        <v>0.92453762210875801</v>
      </c>
      <c r="AK381" s="243">
        <v>0.9287771987568052</v>
      </c>
      <c r="AL381" s="243">
        <v>0.93839339302495139</v>
      </c>
      <c r="AM381" s="243">
        <v>0.9383934201948092</v>
      </c>
      <c r="AN381" s="243">
        <v>0.93839344786171464</v>
      </c>
      <c r="AO381" s="243">
        <v>0.93839347603943257</v>
      </c>
      <c r="AP381" s="243">
        <v>0.93839350474224215</v>
      </c>
    </row>
    <row r="382" spans="7:42" ht="14.25" customHeight="1" x14ac:dyDescent="0.2">
      <c r="G382" s="138"/>
      <c r="H382" s="233"/>
      <c r="I382" s="131">
        <v>0.32</v>
      </c>
      <c r="J382" s="380"/>
      <c r="K382" s="242">
        <v>2</v>
      </c>
      <c r="L382" s="242"/>
      <c r="M382" s="243">
        <v>0.86195631339008105</v>
      </c>
      <c r="N382" s="243">
        <v>0.8583391917628983</v>
      </c>
      <c r="O382" s="243">
        <v>0.85699722489289243</v>
      </c>
      <c r="P382" s="243">
        <v>0.85454822132575226</v>
      </c>
      <c r="Q382" s="243">
        <v>0.85396847188821212</v>
      </c>
      <c r="R382" s="243">
        <v>0.85337147911879907</v>
      </c>
      <c r="S382" s="243">
        <v>0.85275646222320511</v>
      </c>
      <c r="T382" s="243">
        <v>0.85212259255198597</v>
      </c>
      <c r="U382" s="243">
        <v>0.8514689898777541</v>
      </c>
      <c r="V382" s="243">
        <v>0.85079471831956155</v>
      </c>
      <c r="W382" s="243">
        <v>0.85054138585145556</v>
      </c>
      <c r="X382" s="243">
        <v>0.8502841264410933</v>
      </c>
      <c r="Y382" s="243">
        <v>0.85002284807616557</v>
      </c>
      <c r="Z382" s="243">
        <v>0.84975745584744078</v>
      </c>
      <c r="AA382" s="243">
        <v>0.84948785183386288</v>
      </c>
      <c r="AB382" s="243">
        <v>0.84921393498213393</v>
      </c>
      <c r="AC382" s="243">
        <v>0.84893560098048615</v>
      </c>
      <c r="AD382" s="243">
        <v>0.8486527421262785</v>
      </c>
      <c r="AE382" s="243">
        <v>0.8483652471871167</v>
      </c>
      <c r="AF382" s="243">
        <v>0.84807300125507701</v>
      </c>
      <c r="AG382" s="243">
        <v>0.84777588559358563</v>
      </c>
      <c r="AH382" s="243">
        <v>0.84747377747673303</v>
      </c>
      <c r="AI382" s="243">
        <v>0.84716655002026542</v>
      </c>
      <c r="AJ382" s="243">
        <v>0.85476981469451674</v>
      </c>
      <c r="AK382" s="243">
        <v>0.86262708493053808</v>
      </c>
      <c r="AL382" s="243">
        <v>0.88058216007288093</v>
      </c>
      <c r="AM382" s="243">
        <v>0.88058221106491175</v>
      </c>
      <c r="AN382" s="243">
        <v>0.88058226298979658</v>
      </c>
      <c r="AO382" s="243">
        <v>0.88058231587336921</v>
      </c>
      <c r="AP382" s="243">
        <v>0.88058236974242843</v>
      </c>
    </row>
    <row r="383" spans="7:42" ht="14.25" customHeight="1" x14ac:dyDescent="0.2">
      <c r="G383" s="138"/>
      <c r="H383" s="233"/>
      <c r="I383" s="131">
        <v>0.192</v>
      </c>
      <c r="J383" s="380"/>
      <c r="K383" s="242">
        <v>3</v>
      </c>
      <c r="L383" s="242"/>
      <c r="M383" s="243">
        <v>0.80025405323260146</v>
      </c>
      <c r="N383" s="243">
        <v>0.79522205104942811</v>
      </c>
      <c r="O383" s="243">
        <v>0.793357850213811</v>
      </c>
      <c r="P383" s="243">
        <v>0.78995956473635309</v>
      </c>
      <c r="Q383" s="243">
        <v>0.78915580507116756</v>
      </c>
      <c r="R383" s="243">
        <v>0.78832842447507911</v>
      </c>
      <c r="S383" s="243">
        <v>0.787476366583022</v>
      </c>
      <c r="T383" s="243">
        <v>0.78659851111438528</v>
      </c>
      <c r="U383" s="243">
        <v>0.78569366896693671</v>
      </c>
      <c r="V383" s="243">
        <v>0.78476057685223632</v>
      </c>
      <c r="W383" s="243">
        <v>0.7844100977124413</v>
      </c>
      <c r="X383" s="243">
        <v>0.78405423915695049</v>
      </c>
      <c r="Y383" s="243">
        <v>0.78369287641032503</v>
      </c>
      <c r="Z383" s="243">
        <v>0.78332588080926302</v>
      </c>
      <c r="AA383" s="243">
        <v>0.7829531196500279</v>
      </c>
      <c r="AB383" s="243">
        <v>0.7825744560286314</v>
      </c>
      <c r="AC383" s="243">
        <v>0.78218974867339153</v>
      </c>
      <c r="AD383" s="243">
        <v>0.78179885176938602</v>
      </c>
      <c r="AE383" s="243">
        <v>0.78140161477441972</v>
      </c>
      <c r="AF383" s="243">
        <v>0.78099788222595323</v>
      </c>
      <c r="AG383" s="243">
        <v>0.78058749353841217</v>
      </c>
      <c r="AH383" s="243">
        <v>0.78017028279060718</v>
      </c>
      <c r="AI383" s="243">
        <v>0.77974607850226096</v>
      </c>
      <c r="AJ383" s="243">
        <v>0.79026685192801238</v>
      </c>
      <c r="AK383" s="243">
        <v>0.80118836751353384</v>
      </c>
      <c r="AL383" s="243">
        <v>0.8263324810280317</v>
      </c>
      <c r="AM383" s="243">
        <v>0.82633255280390994</v>
      </c>
      <c r="AN383" s="243">
        <v>0.82633262589286627</v>
      </c>
      <c r="AO383" s="243">
        <v>0.82633270033126471</v>
      </c>
      <c r="AP383" s="243">
        <v>0.82633277615682632</v>
      </c>
    </row>
    <row r="384" spans="7:42" ht="14.25" customHeight="1" x14ac:dyDescent="0.2">
      <c r="G384" s="138"/>
      <c r="H384" s="233"/>
      <c r="I384" s="131">
        <v>0.1152</v>
      </c>
      <c r="J384" s="380"/>
      <c r="K384" s="242">
        <v>4</v>
      </c>
      <c r="L384" s="242"/>
      <c r="M384" s="243">
        <v>0.74296868619301959</v>
      </c>
      <c r="N384" s="243">
        <v>0.73674616811618565</v>
      </c>
      <c r="O384" s="243">
        <v>0.73444424347411896</v>
      </c>
      <c r="P384" s="243">
        <v>0.73025266257100685</v>
      </c>
      <c r="Q384" s="243">
        <v>0.72926215097908809</v>
      </c>
      <c r="R384" s="243">
        <v>0.72824288137340698</v>
      </c>
      <c r="S384" s="243">
        <v>0.7271935838634368</v>
      </c>
      <c r="T384" s="243">
        <v>0.72611291273751777</v>
      </c>
      <c r="U384" s="243">
        <v>0.7249994407234428</v>
      </c>
      <c r="V384" s="243">
        <v>0.72385165272046215</v>
      </c>
      <c r="W384" s="243">
        <v>0.72342064904611458</v>
      </c>
      <c r="X384" s="243">
        <v>0.72298309567769303</v>
      </c>
      <c r="Y384" s="243">
        <v>0.7225388422515161</v>
      </c>
      <c r="Z384" s="243">
        <v>0.72208773376831525</v>
      </c>
      <c r="AA384" s="243">
        <v>0.72162961041331097</v>
      </c>
      <c r="AB384" s="243">
        <v>0.72116430736783987</v>
      </c>
      <c r="AC384" s="243">
        <v>0.72069165461209928</v>
      </c>
      <c r="AD384" s="243">
        <v>0.72021147671845165</v>
      </c>
      <c r="AE384" s="243">
        <v>0.71972359263485763</v>
      </c>
      <c r="AF384" s="243">
        <v>0.7192278154577938</v>
      </c>
      <c r="AG384" s="243">
        <v>0.71872395219398844</v>
      </c>
      <c r="AH384" s="243">
        <v>0.71821180351068326</v>
      </c>
      <c r="AI384" s="243">
        <v>0.71769116347323891</v>
      </c>
      <c r="AJ384" s="243">
        <v>0.73063143611289849</v>
      </c>
      <c r="AK384" s="243">
        <v>0.74412548765575781</v>
      </c>
      <c r="AL384" s="243">
        <v>0.775424940638621</v>
      </c>
      <c r="AM384" s="243">
        <v>0.77542503044396882</v>
      </c>
      <c r="AN384" s="243">
        <v>0.77542512189223134</v>
      </c>
      <c r="AO384" s="243">
        <v>0.77542521502890627</v>
      </c>
      <c r="AP384" s="243">
        <v>0.77542530990119085</v>
      </c>
    </row>
    <row r="385" spans="7:42" ht="14.25" customHeight="1" x14ac:dyDescent="0.2">
      <c r="G385" s="138"/>
      <c r="H385" s="233"/>
      <c r="I385" s="131">
        <v>0.1152</v>
      </c>
      <c r="J385" s="380"/>
      <c r="K385" s="242">
        <v>5</v>
      </c>
      <c r="L385" s="242"/>
      <c r="M385" s="243">
        <v>0.68978403349984274</v>
      </c>
      <c r="N385" s="243">
        <v>0.68257025256980042</v>
      </c>
      <c r="O385" s="243">
        <v>0.67990547598022699</v>
      </c>
      <c r="P385" s="243">
        <v>0.67505854096471596</v>
      </c>
      <c r="Q385" s="243">
        <v>0.67391417693833655</v>
      </c>
      <c r="R385" s="243">
        <v>0.67273699362569073</v>
      </c>
      <c r="S385" s="243">
        <v>0.67152556045172174</v>
      </c>
      <c r="T385" s="243">
        <v>0.67027836258832207</v>
      </c>
      <c r="U385" s="243">
        <v>0.66899379466862408</v>
      </c>
      <c r="V385" s="243">
        <v>0.66767015393129503</v>
      </c>
      <c r="W385" s="243">
        <v>0.66717325158421548</v>
      </c>
      <c r="X385" s="243">
        <v>0.66666887382400375</v>
      </c>
      <c r="Y385" s="243">
        <v>0.66615685082330711</v>
      </c>
      <c r="Z385" s="243">
        <v>0.66563700757593502</v>
      </c>
      <c r="AA385" s="243">
        <v>0.66510916369812356</v>
      </c>
      <c r="AB385" s="243">
        <v>0.66457313322057698</v>
      </c>
      <c r="AC385" s="243">
        <v>0.66402872437082106</v>
      </c>
      <c r="AD385" s="243">
        <v>0.66347573934526527</v>
      </c>
      <c r="AE385" s="243">
        <v>0.66291397407051278</v>
      </c>
      <c r="AF385" s="243">
        <v>0.66234321795322315</v>
      </c>
      <c r="AG385" s="243">
        <v>0.66176325361780464</v>
      </c>
      <c r="AH385" s="243">
        <v>0.66117385663164696</v>
      </c>
      <c r="AI385" s="243">
        <v>0.66057479521659157</v>
      </c>
      <c r="AJ385" s="243">
        <v>0.67549625058172613</v>
      </c>
      <c r="AK385" s="243">
        <v>0.69112678594845633</v>
      </c>
      <c r="AL385" s="243">
        <v>0.72765364108204711</v>
      </c>
      <c r="AM385" s="243">
        <v>0.72765374642297986</v>
      </c>
      <c r="AN385" s="243">
        <v>0.7276538536910413</v>
      </c>
      <c r="AO385" s="243">
        <v>0.72765396293959983</v>
      </c>
      <c r="AP385" s="243">
        <v>0.72765407422401762</v>
      </c>
    </row>
    <row r="386" spans="7:42" ht="14.25" customHeight="1" x14ac:dyDescent="0.2">
      <c r="G386" s="138"/>
      <c r="H386" s="233"/>
      <c r="I386" s="131">
        <v>5.7599999999999998E-2</v>
      </c>
      <c r="J386" s="380"/>
      <c r="K386" s="242">
        <v>6</v>
      </c>
      <c r="L386" s="242"/>
      <c r="M386" s="243">
        <v>0.64040654971520716</v>
      </c>
      <c r="N386" s="243">
        <v>0.63237811047525916</v>
      </c>
      <c r="O386" s="243">
        <v>0.62941667849587979</v>
      </c>
      <c r="P386" s="243">
        <v>0.6240361139184486</v>
      </c>
      <c r="Q386" s="243">
        <v>0.6227668846775225</v>
      </c>
      <c r="R386" s="243">
        <v>0.62146170483536045</v>
      </c>
      <c r="S386" s="243">
        <v>0.62011902792679807</v>
      </c>
      <c r="T386" s="243">
        <v>0.61873721768736756</v>
      </c>
      <c r="U386" s="243">
        <v>0.61731454145472642</v>
      </c>
      <c r="V386" s="243">
        <v>0.61584916298145476</v>
      </c>
      <c r="W386" s="243">
        <v>0.61529920139324168</v>
      </c>
      <c r="X386" s="243">
        <v>0.61474104993998457</v>
      </c>
      <c r="Y386" s="243">
        <v>0.61417452453628907</v>
      </c>
      <c r="Z386" s="243">
        <v>0.6135994355456077</v>
      </c>
      <c r="AA386" s="243">
        <v>0.61301558756971097</v>
      </c>
      <c r="AB386" s="243">
        <v>0.61242277922850841</v>
      </c>
      <c r="AC386" s="243">
        <v>0.61182080292974339</v>
      </c>
      <c r="AD386" s="243">
        <v>0.61120944462793037</v>
      </c>
      <c r="AE386" s="243">
        <v>0.61058848357207074</v>
      </c>
      <c r="AF386" s="243">
        <v>0.6099576920414238</v>
      </c>
      <c r="AG386" s="243">
        <v>0.60931683506858048</v>
      </c>
      <c r="AH386" s="243">
        <v>0.60866567014957595</v>
      </c>
      <c r="AI386" s="243">
        <v>0.60800394693965421</v>
      </c>
      <c r="AJ386" s="243">
        <v>0.62452169725621087</v>
      </c>
      <c r="AK386" s="243">
        <v>0.64190280023900148</v>
      </c>
      <c r="AL386" s="243">
        <v>0.68282536920194237</v>
      </c>
      <c r="AM386" s="243">
        <v>0.68282548782342656</v>
      </c>
      <c r="AN386" s="243">
        <v>0.68282560861499986</v>
      </c>
      <c r="AO386" s="243">
        <v>0.68282573163675953</v>
      </c>
      <c r="AP386" s="243">
        <v>0.68282585695104747</v>
      </c>
    </row>
    <row r="387" spans="7:42" ht="14.25" customHeight="1" x14ac:dyDescent="0.2">
      <c r="G387" s="138"/>
      <c r="H387" s="233"/>
      <c r="J387" s="244"/>
      <c r="K387" s="241" t="s">
        <v>313</v>
      </c>
      <c r="L387" s="241"/>
      <c r="M387" s="123">
        <v>2021</v>
      </c>
      <c r="N387" s="123">
        <v>2022</v>
      </c>
      <c r="O387" s="123">
        <v>2023</v>
      </c>
      <c r="P387" s="123">
        <v>2024</v>
      </c>
      <c r="Q387" s="123">
        <v>2025</v>
      </c>
      <c r="R387" s="123">
        <v>2026</v>
      </c>
      <c r="S387" s="123">
        <v>2027</v>
      </c>
      <c r="T387" s="123">
        <v>2028</v>
      </c>
      <c r="U387" s="123">
        <v>2029</v>
      </c>
      <c r="V387" s="123">
        <v>2030</v>
      </c>
      <c r="W387" s="123">
        <v>2031</v>
      </c>
      <c r="X387" s="123">
        <v>2032</v>
      </c>
      <c r="Y387" s="123">
        <v>2033</v>
      </c>
      <c r="Z387" s="123">
        <v>2034</v>
      </c>
      <c r="AA387" s="123">
        <v>2035</v>
      </c>
      <c r="AB387" s="123">
        <v>2036</v>
      </c>
      <c r="AC387" s="123">
        <v>2037</v>
      </c>
      <c r="AD387" s="123">
        <v>2038</v>
      </c>
      <c r="AE387" s="123">
        <v>2039</v>
      </c>
      <c r="AF387" s="123">
        <v>2040</v>
      </c>
      <c r="AG387" s="123">
        <v>2041</v>
      </c>
      <c r="AH387" s="123">
        <v>2042</v>
      </c>
      <c r="AI387" s="123">
        <v>2043</v>
      </c>
      <c r="AJ387" s="123">
        <v>2044</v>
      </c>
      <c r="AK387" s="123">
        <v>2045</v>
      </c>
      <c r="AL387" s="123">
        <v>2046</v>
      </c>
      <c r="AM387" s="123">
        <v>2047</v>
      </c>
      <c r="AN387" s="123">
        <v>2048</v>
      </c>
      <c r="AO387" s="123">
        <v>2049</v>
      </c>
      <c r="AP387" s="123">
        <v>2050</v>
      </c>
    </row>
    <row r="388" spans="7:42" ht="14.25" customHeight="1" x14ac:dyDescent="0.2">
      <c r="G388" s="138"/>
      <c r="H388" s="233"/>
      <c r="J388" s="244"/>
      <c r="K388" s="242">
        <v>1</v>
      </c>
      <c r="L388" s="242"/>
      <c r="M388" s="243">
        <v>0.92841602387619371</v>
      </c>
      <c r="N388" s="243">
        <v>0.92646596902579126</v>
      </c>
      <c r="O388" s="243">
        <v>0.92574144602739505</v>
      </c>
      <c r="P388" s="243">
        <v>0.92441777423725047</v>
      </c>
      <c r="Q388" s="243">
        <v>0.92410414558544873</v>
      </c>
      <c r="R388" s="243">
        <v>0.92378107748470317</v>
      </c>
      <c r="S388" s="243">
        <v>0.92344813726771102</v>
      </c>
      <c r="T388" s="243">
        <v>0.92310486541453451</v>
      </c>
      <c r="U388" s="243">
        <v>0.92275077343655154</v>
      </c>
      <c r="V388" s="243">
        <v>0.92238534155718321</v>
      </c>
      <c r="W388" s="243">
        <v>0.92224800669421647</v>
      </c>
      <c r="X388" s="243">
        <v>0.92210852205209193</v>
      </c>
      <c r="Y388" s="243">
        <v>0.92196683675507851</v>
      </c>
      <c r="Z388" s="243">
        <v>0.92182289830934494</v>
      </c>
      <c r="AA388" s="243">
        <v>0.92167665253811371</v>
      </c>
      <c r="AB388" s="243">
        <v>0.92152804351367079</v>
      </c>
      <c r="AC388" s="243">
        <v>0.92137701348605727</v>
      </c>
      <c r="AD388" s="243">
        <v>0.92122350280823739</v>
      </c>
      <c r="AE388" s="243">
        <v>0.92106744985756428</v>
      </c>
      <c r="AF388" s="243">
        <v>0.92090879095330447</v>
      </c>
      <c r="AG388" s="243">
        <v>0.92074746026996224</v>
      </c>
      <c r="AH388" s="243">
        <v>0.92058338974627008</v>
      </c>
      <c r="AI388" s="243">
        <v>0.92041650898941696</v>
      </c>
      <c r="AJ388" s="243">
        <v>0.92453762210875801</v>
      </c>
      <c r="AK388" s="243">
        <v>0.9287771987568052</v>
      </c>
      <c r="AL388" s="243">
        <v>0.93839339302495139</v>
      </c>
      <c r="AM388" s="243">
        <v>0.9383934201948092</v>
      </c>
      <c r="AN388" s="243">
        <v>0.93839344786171464</v>
      </c>
      <c r="AO388" s="243">
        <v>0.93839347603943257</v>
      </c>
      <c r="AP388" s="243">
        <v>0.93839350474224215</v>
      </c>
    </row>
    <row r="389" spans="7:42" ht="14.25" customHeight="1" x14ac:dyDescent="0.2">
      <c r="G389" s="138"/>
      <c r="H389" s="233"/>
      <c r="J389" s="244"/>
      <c r="K389" s="242">
        <v>2</v>
      </c>
      <c r="L389" s="242"/>
      <c r="M389" s="243">
        <v>0.86195631339008105</v>
      </c>
      <c r="N389" s="243">
        <v>0.8583391917628983</v>
      </c>
      <c r="O389" s="243">
        <v>0.85699722489289243</v>
      </c>
      <c r="P389" s="243">
        <v>0.85454822132575226</v>
      </c>
      <c r="Q389" s="243">
        <v>0.85396847188821212</v>
      </c>
      <c r="R389" s="243">
        <v>0.85337147911879907</v>
      </c>
      <c r="S389" s="243">
        <v>0.85275646222320511</v>
      </c>
      <c r="T389" s="243">
        <v>0.85212259255198597</v>
      </c>
      <c r="U389" s="243">
        <v>0.8514689898777541</v>
      </c>
      <c r="V389" s="243">
        <v>0.85079471831956155</v>
      </c>
      <c r="W389" s="243">
        <v>0.85054138585145556</v>
      </c>
      <c r="X389" s="243">
        <v>0.8502841264410933</v>
      </c>
      <c r="Y389" s="243">
        <v>0.85002284807616557</v>
      </c>
      <c r="Z389" s="243">
        <v>0.84975745584744078</v>
      </c>
      <c r="AA389" s="243">
        <v>0.84948785183386288</v>
      </c>
      <c r="AB389" s="243">
        <v>0.84921393498213393</v>
      </c>
      <c r="AC389" s="243">
        <v>0.84893560098048615</v>
      </c>
      <c r="AD389" s="243">
        <v>0.8486527421262785</v>
      </c>
      <c r="AE389" s="243">
        <v>0.8483652471871167</v>
      </c>
      <c r="AF389" s="243">
        <v>0.84807300125507701</v>
      </c>
      <c r="AG389" s="243">
        <v>0.84777588559358563</v>
      </c>
      <c r="AH389" s="243">
        <v>0.84747377747673303</v>
      </c>
      <c r="AI389" s="243">
        <v>0.84716655002026542</v>
      </c>
      <c r="AJ389" s="243">
        <v>0.85476981469451674</v>
      </c>
      <c r="AK389" s="243">
        <v>0.86262708493053808</v>
      </c>
      <c r="AL389" s="243">
        <v>0.88058216007288093</v>
      </c>
      <c r="AM389" s="243">
        <v>0.88058221106491175</v>
      </c>
      <c r="AN389" s="243">
        <v>0.88058226298979658</v>
      </c>
      <c r="AO389" s="243">
        <v>0.88058231587336921</v>
      </c>
      <c r="AP389" s="243">
        <v>0.88058236974242843</v>
      </c>
    </row>
    <row r="390" spans="7:42" ht="14.25" customHeight="1" x14ac:dyDescent="0.2">
      <c r="G390" s="138"/>
      <c r="H390" s="233"/>
      <c r="J390" s="244"/>
      <c r="K390" s="242">
        <v>3</v>
      </c>
      <c r="L390" s="242"/>
      <c r="M390" s="243">
        <v>0.80025405323260146</v>
      </c>
      <c r="N390" s="243">
        <v>0.79522205104942811</v>
      </c>
      <c r="O390" s="243">
        <v>0.793357850213811</v>
      </c>
      <c r="P390" s="243">
        <v>0.78995956473635309</v>
      </c>
      <c r="Q390" s="243">
        <v>0.78915580507116756</v>
      </c>
      <c r="R390" s="243">
        <v>0.78832842447507911</v>
      </c>
      <c r="S390" s="243">
        <v>0.787476366583022</v>
      </c>
      <c r="T390" s="243">
        <v>0.78659851111438528</v>
      </c>
      <c r="U390" s="243">
        <v>0.78569366896693671</v>
      </c>
      <c r="V390" s="243">
        <v>0.78476057685223632</v>
      </c>
      <c r="W390" s="243">
        <v>0.7844100977124413</v>
      </c>
      <c r="X390" s="243">
        <v>0.78405423915695049</v>
      </c>
      <c r="Y390" s="243">
        <v>0.78369287641032503</v>
      </c>
      <c r="Z390" s="243">
        <v>0.78332588080926302</v>
      </c>
      <c r="AA390" s="243">
        <v>0.7829531196500279</v>
      </c>
      <c r="AB390" s="243">
        <v>0.7825744560286314</v>
      </c>
      <c r="AC390" s="243">
        <v>0.78218974867339153</v>
      </c>
      <c r="AD390" s="243">
        <v>0.78179885176938602</v>
      </c>
      <c r="AE390" s="243">
        <v>0.78140161477441972</v>
      </c>
      <c r="AF390" s="243">
        <v>0.78099788222595323</v>
      </c>
      <c r="AG390" s="243">
        <v>0.78058749353841217</v>
      </c>
      <c r="AH390" s="243">
        <v>0.78017028279060718</v>
      </c>
      <c r="AI390" s="243">
        <v>0.77974607850226096</v>
      </c>
      <c r="AJ390" s="243">
        <v>0.79026685192801238</v>
      </c>
      <c r="AK390" s="243">
        <v>0.80118836751353384</v>
      </c>
      <c r="AL390" s="243">
        <v>0.8263324810280317</v>
      </c>
      <c r="AM390" s="243">
        <v>0.82633255280390994</v>
      </c>
      <c r="AN390" s="243">
        <v>0.82633262589286627</v>
      </c>
      <c r="AO390" s="243">
        <v>0.82633270033126471</v>
      </c>
      <c r="AP390" s="243">
        <v>0.82633277615682632</v>
      </c>
    </row>
    <row r="391" spans="7:42" ht="14.25" customHeight="1" x14ac:dyDescent="0.2">
      <c r="G391" s="138"/>
      <c r="H391" s="233"/>
      <c r="J391" s="244"/>
      <c r="K391" s="242">
        <v>4</v>
      </c>
      <c r="L391" s="242"/>
      <c r="M391" s="243">
        <v>0.74296868619301959</v>
      </c>
      <c r="N391" s="243">
        <v>0.73674616811618565</v>
      </c>
      <c r="O391" s="243">
        <v>0.73444424347411896</v>
      </c>
      <c r="P391" s="243">
        <v>0.73025266257100685</v>
      </c>
      <c r="Q391" s="243">
        <v>0.72926215097908809</v>
      </c>
      <c r="R391" s="243">
        <v>0.72824288137340698</v>
      </c>
      <c r="S391" s="243">
        <v>0.7271935838634368</v>
      </c>
      <c r="T391" s="243">
        <v>0.72611291273751777</v>
      </c>
      <c r="U391" s="243">
        <v>0.7249994407234428</v>
      </c>
      <c r="V391" s="243">
        <v>0.72385165272046215</v>
      </c>
      <c r="W391" s="243">
        <v>0.72342064904611458</v>
      </c>
      <c r="X391" s="243">
        <v>0.72298309567769303</v>
      </c>
      <c r="Y391" s="243">
        <v>0.7225388422515161</v>
      </c>
      <c r="Z391" s="243">
        <v>0.72208773376831525</v>
      </c>
      <c r="AA391" s="243">
        <v>0.72162961041331097</v>
      </c>
      <c r="AB391" s="243">
        <v>0.72116430736783987</v>
      </c>
      <c r="AC391" s="243">
        <v>0.72069165461209928</v>
      </c>
      <c r="AD391" s="243">
        <v>0.72021147671845165</v>
      </c>
      <c r="AE391" s="243">
        <v>0.71972359263485763</v>
      </c>
      <c r="AF391" s="243">
        <v>0.7192278154577938</v>
      </c>
      <c r="AG391" s="243">
        <v>0.71872395219398844</v>
      </c>
      <c r="AH391" s="243">
        <v>0.71821180351068326</v>
      </c>
      <c r="AI391" s="243">
        <v>0.71769116347323891</v>
      </c>
      <c r="AJ391" s="243">
        <v>0.73063143611289849</v>
      </c>
      <c r="AK391" s="243">
        <v>0.74412548765575781</v>
      </c>
      <c r="AL391" s="243">
        <v>0.775424940638621</v>
      </c>
      <c r="AM391" s="243">
        <v>0.77542503044396882</v>
      </c>
      <c r="AN391" s="243">
        <v>0.77542512189223134</v>
      </c>
      <c r="AO391" s="243">
        <v>0.77542521502890627</v>
      </c>
      <c r="AP391" s="243">
        <v>0.77542530990119085</v>
      </c>
    </row>
    <row r="392" spans="7:42" ht="14.25" customHeight="1" x14ac:dyDescent="0.2">
      <c r="G392" s="138"/>
      <c r="H392" s="233"/>
      <c r="J392" s="244"/>
      <c r="K392" s="242">
        <v>5</v>
      </c>
      <c r="L392" s="242"/>
      <c r="M392" s="243">
        <v>0.68978403349984274</v>
      </c>
      <c r="N392" s="243">
        <v>0.68257025256980042</v>
      </c>
      <c r="O392" s="243">
        <v>0.67990547598022699</v>
      </c>
      <c r="P392" s="243">
        <v>0.67505854096471596</v>
      </c>
      <c r="Q392" s="243">
        <v>0.67391417693833655</v>
      </c>
      <c r="R392" s="243">
        <v>0.67273699362569073</v>
      </c>
      <c r="S392" s="243">
        <v>0.67152556045172174</v>
      </c>
      <c r="T392" s="243">
        <v>0.67027836258832207</v>
      </c>
      <c r="U392" s="243">
        <v>0.66899379466862408</v>
      </c>
      <c r="V392" s="243">
        <v>0.66767015393129503</v>
      </c>
      <c r="W392" s="243">
        <v>0.66717325158421548</v>
      </c>
      <c r="X392" s="243">
        <v>0.66666887382400375</v>
      </c>
      <c r="Y392" s="243">
        <v>0.66615685082330711</v>
      </c>
      <c r="Z392" s="243">
        <v>0.66563700757593502</v>
      </c>
      <c r="AA392" s="243">
        <v>0.66510916369812356</v>
      </c>
      <c r="AB392" s="243">
        <v>0.66457313322057698</v>
      </c>
      <c r="AC392" s="243">
        <v>0.66402872437082106</v>
      </c>
      <c r="AD392" s="243">
        <v>0.66347573934526527</v>
      </c>
      <c r="AE392" s="243">
        <v>0.66291397407051278</v>
      </c>
      <c r="AF392" s="243">
        <v>0.66234321795322315</v>
      </c>
      <c r="AG392" s="243">
        <v>0.66176325361780464</v>
      </c>
      <c r="AH392" s="243">
        <v>0.66117385663164696</v>
      </c>
      <c r="AI392" s="243">
        <v>0.66057479521659157</v>
      </c>
      <c r="AJ392" s="243">
        <v>0.67549625058172613</v>
      </c>
      <c r="AK392" s="243">
        <v>0.69112678594845633</v>
      </c>
      <c r="AL392" s="243">
        <v>0.72765364108204711</v>
      </c>
      <c r="AM392" s="243">
        <v>0.72765374642297986</v>
      </c>
      <c r="AN392" s="243">
        <v>0.7276538536910413</v>
      </c>
      <c r="AO392" s="243">
        <v>0.72765396293959983</v>
      </c>
      <c r="AP392" s="243">
        <v>0.72765407422401762</v>
      </c>
    </row>
    <row r="393" spans="7:42" ht="14.25" customHeight="1" x14ac:dyDescent="0.2">
      <c r="G393" s="138"/>
      <c r="H393" s="233"/>
      <c r="J393" s="244"/>
      <c r="K393" s="242">
        <v>6</v>
      </c>
      <c r="L393" s="242"/>
      <c r="M393" s="243">
        <v>0.64040654971520716</v>
      </c>
      <c r="N393" s="243">
        <v>0.63237811047525916</v>
      </c>
      <c r="O393" s="243">
        <v>0.62941667849587979</v>
      </c>
      <c r="P393" s="243">
        <v>0.6240361139184486</v>
      </c>
      <c r="Q393" s="243">
        <v>0.6227668846775225</v>
      </c>
      <c r="R393" s="243">
        <v>0.62146170483536045</v>
      </c>
      <c r="S393" s="243">
        <v>0.62011902792679807</v>
      </c>
      <c r="T393" s="243">
        <v>0.61873721768736756</v>
      </c>
      <c r="U393" s="243">
        <v>0.61731454145472642</v>
      </c>
      <c r="V393" s="243">
        <v>0.61584916298145476</v>
      </c>
      <c r="W393" s="243">
        <v>0.61529920139324168</v>
      </c>
      <c r="X393" s="243">
        <v>0.61474104993998457</v>
      </c>
      <c r="Y393" s="243">
        <v>0.61417452453628907</v>
      </c>
      <c r="Z393" s="243">
        <v>0.6135994355456077</v>
      </c>
      <c r="AA393" s="243">
        <v>0.61301558756971097</v>
      </c>
      <c r="AB393" s="243">
        <v>0.61242277922850841</v>
      </c>
      <c r="AC393" s="243">
        <v>0.61182080292974339</v>
      </c>
      <c r="AD393" s="243">
        <v>0.61120944462793037</v>
      </c>
      <c r="AE393" s="243">
        <v>0.61058848357207074</v>
      </c>
      <c r="AF393" s="243">
        <v>0.6099576920414238</v>
      </c>
      <c r="AG393" s="243">
        <v>0.60931683506858048</v>
      </c>
      <c r="AH393" s="243">
        <v>0.60866567014957595</v>
      </c>
      <c r="AI393" s="243">
        <v>0.60800394693965421</v>
      </c>
      <c r="AJ393" s="243">
        <v>0.62452169725621087</v>
      </c>
      <c r="AK393" s="243">
        <v>0.64190280023900148</v>
      </c>
      <c r="AL393" s="243">
        <v>0.68282536920194237</v>
      </c>
      <c r="AM393" s="243">
        <v>0.68282548782342656</v>
      </c>
      <c r="AN393" s="243">
        <v>0.68282560861499986</v>
      </c>
      <c r="AO393" s="243">
        <v>0.68282573163675953</v>
      </c>
      <c r="AP393" s="243">
        <v>0.68282585695104747</v>
      </c>
    </row>
    <row r="394" spans="7:42" ht="14.25" customHeight="1" x14ac:dyDescent="0.2">
      <c r="G394" s="138"/>
      <c r="H394" s="233"/>
      <c r="J394" s="244"/>
      <c r="K394" s="242" t="s">
        <v>314</v>
      </c>
      <c r="L394" s="242"/>
      <c r="M394" s="123">
        <v>2021</v>
      </c>
      <c r="N394" s="123">
        <v>2022</v>
      </c>
      <c r="O394" s="123">
        <v>2023</v>
      </c>
      <c r="P394" s="123">
        <v>2024</v>
      </c>
      <c r="Q394" s="123">
        <v>2025</v>
      </c>
      <c r="R394" s="123">
        <v>2026</v>
      </c>
      <c r="S394" s="123">
        <v>2027</v>
      </c>
      <c r="T394" s="123">
        <v>2028</v>
      </c>
      <c r="U394" s="123">
        <v>2029</v>
      </c>
      <c r="V394" s="123">
        <v>2030</v>
      </c>
      <c r="W394" s="123">
        <v>2031</v>
      </c>
      <c r="X394" s="123">
        <v>2032</v>
      </c>
      <c r="Y394" s="123">
        <v>2033</v>
      </c>
      <c r="Z394" s="123">
        <v>2034</v>
      </c>
      <c r="AA394" s="123">
        <v>2035</v>
      </c>
      <c r="AB394" s="123">
        <v>2036</v>
      </c>
      <c r="AC394" s="123">
        <v>2037</v>
      </c>
      <c r="AD394" s="123">
        <v>2038</v>
      </c>
      <c r="AE394" s="123">
        <v>2039</v>
      </c>
      <c r="AF394" s="123">
        <v>2040</v>
      </c>
      <c r="AG394" s="123">
        <v>2041</v>
      </c>
      <c r="AH394" s="123">
        <v>2042</v>
      </c>
      <c r="AI394" s="123">
        <v>2043</v>
      </c>
      <c r="AJ394" s="123">
        <v>2044</v>
      </c>
      <c r="AK394" s="123">
        <v>2045</v>
      </c>
      <c r="AL394" s="123">
        <v>2046</v>
      </c>
      <c r="AM394" s="123">
        <v>2047</v>
      </c>
      <c r="AN394" s="123">
        <v>2048</v>
      </c>
      <c r="AO394" s="123">
        <v>2049</v>
      </c>
      <c r="AP394" s="123">
        <v>2050</v>
      </c>
    </row>
    <row r="395" spans="7:42" ht="14.25" customHeight="1" x14ac:dyDescent="0.2">
      <c r="G395" s="138"/>
      <c r="H395" s="233"/>
      <c r="J395" s="244"/>
      <c r="K395" s="242">
        <v>1</v>
      </c>
      <c r="L395" s="242"/>
      <c r="M395" s="243">
        <v>0.92841602387619371</v>
      </c>
      <c r="N395" s="243">
        <v>0.92646596902579126</v>
      </c>
      <c r="O395" s="243">
        <v>0.92574144602739505</v>
      </c>
      <c r="P395" s="243">
        <v>0.92441777423725047</v>
      </c>
      <c r="Q395" s="243">
        <v>0.92410414558544873</v>
      </c>
      <c r="R395" s="243">
        <v>0.92378107748470317</v>
      </c>
      <c r="S395" s="243">
        <v>0.92344813726771102</v>
      </c>
      <c r="T395" s="243">
        <v>0.92310486541453451</v>
      </c>
      <c r="U395" s="243">
        <v>0.92275077343655154</v>
      </c>
      <c r="V395" s="243">
        <v>0.92238534155718321</v>
      </c>
      <c r="W395" s="243">
        <v>0.92224800669421647</v>
      </c>
      <c r="X395" s="243">
        <v>0.92210852205209193</v>
      </c>
      <c r="Y395" s="243">
        <v>0.92196683675507851</v>
      </c>
      <c r="Z395" s="243">
        <v>0.92182289830934494</v>
      </c>
      <c r="AA395" s="243">
        <v>0.92167665253811371</v>
      </c>
      <c r="AB395" s="243">
        <v>0.92152804351367079</v>
      </c>
      <c r="AC395" s="243">
        <v>0.92137701348605727</v>
      </c>
      <c r="AD395" s="243">
        <v>0.92122350280823739</v>
      </c>
      <c r="AE395" s="243">
        <v>0.92106744985756428</v>
      </c>
      <c r="AF395" s="243">
        <v>0.92090879095330447</v>
      </c>
      <c r="AG395" s="243">
        <v>0.92074746026996224</v>
      </c>
      <c r="AH395" s="243">
        <v>0.92058338974627008</v>
      </c>
      <c r="AI395" s="243">
        <v>0.92041650898941696</v>
      </c>
      <c r="AJ395" s="243">
        <v>0.92453762210875801</v>
      </c>
      <c r="AK395" s="243">
        <v>0.9287771987568052</v>
      </c>
      <c r="AL395" s="243">
        <v>0.93839339302495139</v>
      </c>
      <c r="AM395" s="243">
        <v>0.9383934201948092</v>
      </c>
      <c r="AN395" s="243">
        <v>0.93839344786171464</v>
      </c>
      <c r="AO395" s="243">
        <v>0.93839347603943257</v>
      </c>
      <c r="AP395" s="243">
        <v>0.93839350474224215</v>
      </c>
    </row>
    <row r="396" spans="7:42" ht="14.25" customHeight="1" x14ac:dyDescent="0.2">
      <c r="G396" s="138"/>
      <c r="H396" s="233"/>
      <c r="J396" s="244"/>
      <c r="K396" s="242">
        <v>2</v>
      </c>
      <c r="L396" s="242"/>
      <c r="M396" s="243">
        <v>0.86195631339008105</v>
      </c>
      <c r="N396" s="243">
        <v>0.8583391917628983</v>
      </c>
      <c r="O396" s="243">
        <v>0.85699722489289243</v>
      </c>
      <c r="P396" s="243">
        <v>0.85454822132575226</v>
      </c>
      <c r="Q396" s="243">
        <v>0.85396847188821212</v>
      </c>
      <c r="R396" s="243">
        <v>0.85337147911879907</v>
      </c>
      <c r="S396" s="243">
        <v>0.85275646222320511</v>
      </c>
      <c r="T396" s="243">
        <v>0.85212259255198597</v>
      </c>
      <c r="U396" s="243">
        <v>0.8514689898777541</v>
      </c>
      <c r="V396" s="243">
        <v>0.85079471831956155</v>
      </c>
      <c r="W396" s="243">
        <v>0.85054138585145556</v>
      </c>
      <c r="X396" s="243">
        <v>0.8502841264410933</v>
      </c>
      <c r="Y396" s="243">
        <v>0.85002284807616557</v>
      </c>
      <c r="Z396" s="243">
        <v>0.84975745584744078</v>
      </c>
      <c r="AA396" s="243">
        <v>0.84948785183386288</v>
      </c>
      <c r="AB396" s="243">
        <v>0.84921393498213393</v>
      </c>
      <c r="AC396" s="243">
        <v>0.84893560098048615</v>
      </c>
      <c r="AD396" s="243">
        <v>0.8486527421262785</v>
      </c>
      <c r="AE396" s="243">
        <v>0.8483652471871167</v>
      </c>
      <c r="AF396" s="243">
        <v>0.84807300125507701</v>
      </c>
      <c r="AG396" s="243">
        <v>0.84777588559358563</v>
      </c>
      <c r="AH396" s="243">
        <v>0.84747377747673303</v>
      </c>
      <c r="AI396" s="243">
        <v>0.84716655002026542</v>
      </c>
      <c r="AJ396" s="243">
        <v>0.85476981469451674</v>
      </c>
      <c r="AK396" s="243">
        <v>0.86262708493053808</v>
      </c>
      <c r="AL396" s="243">
        <v>0.88058216007288093</v>
      </c>
      <c r="AM396" s="243">
        <v>0.88058221106491175</v>
      </c>
      <c r="AN396" s="243">
        <v>0.88058226298979658</v>
      </c>
      <c r="AO396" s="243">
        <v>0.88058231587336921</v>
      </c>
      <c r="AP396" s="243">
        <v>0.88058236974242843</v>
      </c>
    </row>
    <row r="397" spans="7:42" ht="14.25" customHeight="1" x14ac:dyDescent="0.2">
      <c r="G397" s="138"/>
      <c r="H397" s="233"/>
      <c r="J397" s="244"/>
      <c r="K397" s="242">
        <v>3</v>
      </c>
      <c r="L397" s="242"/>
      <c r="M397" s="243">
        <v>0.80025405323260146</v>
      </c>
      <c r="N397" s="243">
        <v>0.79522205104942811</v>
      </c>
      <c r="O397" s="243">
        <v>0.793357850213811</v>
      </c>
      <c r="P397" s="243">
        <v>0.78995956473635309</v>
      </c>
      <c r="Q397" s="243">
        <v>0.78915580507116756</v>
      </c>
      <c r="R397" s="243">
        <v>0.78832842447507911</v>
      </c>
      <c r="S397" s="243">
        <v>0.787476366583022</v>
      </c>
      <c r="T397" s="243">
        <v>0.78659851111438528</v>
      </c>
      <c r="U397" s="243">
        <v>0.78569366896693671</v>
      </c>
      <c r="V397" s="243">
        <v>0.78476057685223632</v>
      </c>
      <c r="W397" s="243">
        <v>0.7844100977124413</v>
      </c>
      <c r="X397" s="243">
        <v>0.78405423915695049</v>
      </c>
      <c r="Y397" s="243">
        <v>0.78369287641032503</v>
      </c>
      <c r="Z397" s="243">
        <v>0.78332588080926302</v>
      </c>
      <c r="AA397" s="243">
        <v>0.7829531196500279</v>
      </c>
      <c r="AB397" s="243">
        <v>0.7825744560286314</v>
      </c>
      <c r="AC397" s="243">
        <v>0.78218974867339153</v>
      </c>
      <c r="AD397" s="243">
        <v>0.78179885176938602</v>
      </c>
      <c r="AE397" s="243">
        <v>0.78140161477441972</v>
      </c>
      <c r="AF397" s="243">
        <v>0.78099788222595323</v>
      </c>
      <c r="AG397" s="243">
        <v>0.78058749353841217</v>
      </c>
      <c r="AH397" s="243">
        <v>0.78017028279060718</v>
      </c>
      <c r="AI397" s="243">
        <v>0.77974607850226096</v>
      </c>
      <c r="AJ397" s="243">
        <v>0.79026685192801238</v>
      </c>
      <c r="AK397" s="243">
        <v>0.80118836751353384</v>
      </c>
      <c r="AL397" s="243">
        <v>0.8263324810280317</v>
      </c>
      <c r="AM397" s="243">
        <v>0.82633255280390994</v>
      </c>
      <c r="AN397" s="243">
        <v>0.82633262589286627</v>
      </c>
      <c r="AO397" s="243">
        <v>0.82633270033126471</v>
      </c>
      <c r="AP397" s="243">
        <v>0.82633277615682632</v>
      </c>
    </row>
    <row r="398" spans="7:42" ht="14.25" customHeight="1" x14ac:dyDescent="0.2">
      <c r="G398" s="138"/>
      <c r="H398" s="233"/>
      <c r="J398" s="244"/>
      <c r="K398" s="242">
        <v>4</v>
      </c>
      <c r="L398" s="242"/>
      <c r="M398" s="243">
        <v>0.74296868619301959</v>
      </c>
      <c r="N398" s="243">
        <v>0.73674616811618565</v>
      </c>
      <c r="O398" s="243">
        <v>0.73444424347411896</v>
      </c>
      <c r="P398" s="243">
        <v>0.73025266257100685</v>
      </c>
      <c r="Q398" s="243">
        <v>0.72926215097908809</v>
      </c>
      <c r="R398" s="243">
        <v>0.72824288137340698</v>
      </c>
      <c r="S398" s="243">
        <v>0.7271935838634368</v>
      </c>
      <c r="T398" s="243">
        <v>0.72611291273751777</v>
      </c>
      <c r="U398" s="243">
        <v>0.7249994407234428</v>
      </c>
      <c r="V398" s="243">
        <v>0.72385165272046215</v>
      </c>
      <c r="W398" s="243">
        <v>0.72342064904611458</v>
      </c>
      <c r="X398" s="243">
        <v>0.72298309567769303</v>
      </c>
      <c r="Y398" s="243">
        <v>0.7225388422515161</v>
      </c>
      <c r="Z398" s="243">
        <v>0.72208773376831525</v>
      </c>
      <c r="AA398" s="243">
        <v>0.72162961041331097</v>
      </c>
      <c r="AB398" s="243">
        <v>0.72116430736783987</v>
      </c>
      <c r="AC398" s="243">
        <v>0.72069165461209928</v>
      </c>
      <c r="AD398" s="243">
        <v>0.72021147671845165</v>
      </c>
      <c r="AE398" s="243">
        <v>0.71972359263485763</v>
      </c>
      <c r="AF398" s="243">
        <v>0.7192278154577938</v>
      </c>
      <c r="AG398" s="243">
        <v>0.71872395219398844</v>
      </c>
      <c r="AH398" s="243">
        <v>0.71821180351068326</v>
      </c>
      <c r="AI398" s="243">
        <v>0.71769116347323891</v>
      </c>
      <c r="AJ398" s="243">
        <v>0.73063143611289849</v>
      </c>
      <c r="AK398" s="243">
        <v>0.74412548765575781</v>
      </c>
      <c r="AL398" s="243">
        <v>0.775424940638621</v>
      </c>
      <c r="AM398" s="243">
        <v>0.77542503044396882</v>
      </c>
      <c r="AN398" s="243">
        <v>0.77542512189223134</v>
      </c>
      <c r="AO398" s="243">
        <v>0.77542521502890627</v>
      </c>
      <c r="AP398" s="243">
        <v>0.77542530990119085</v>
      </c>
    </row>
    <row r="399" spans="7:42" ht="14.25" customHeight="1" x14ac:dyDescent="0.2">
      <c r="G399" s="138"/>
      <c r="H399" s="233"/>
      <c r="J399" s="244"/>
      <c r="K399" s="242">
        <v>5</v>
      </c>
      <c r="L399" s="242"/>
      <c r="M399" s="243">
        <v>0.68978403349984274</v>
      </c>
      <c r="N399" s="243">
        <v>0.68257025256980042</v>
      </c>
      <c r="O399" s="243">
        <v>0.67990547598022699</v>
      </c>
      <c r="P399" s="243">
        <v>0.67505854096471596</v>
      </c>
      <c r="Q399" s="243">
        <v>0.67391417693833655</v>
      </c>
      <c r="R399" s="243">
        <v>0.67273699362569073</v>
      </c>
      <c r="S399" s="243">
        <v>0.67152556045172174</v>
      </c>
      <c r="T399" s="243">
        <v>0.67027836258832207</v>
      </c>
      <c r="U399" s="243">
        <v>0.66899379466862408</v>
      </c>
      <c r="V399" s="243">
        <v>0.66767015393129503</v>
      </c>
      <c r="W399" s="243">
        <v>0.66717325158421548</v>
      </c>
      <c r="X399" s="243">
        <v>0.66666887382400375</v>
      </c>
      <c r="Y399" s="243">
        <v>0.66615685082330711</v>
      </c>
      <c r="Z399" s="243">
        <v>0.66563700757593502</v>
      </c>
      <c r="AA399" s="243">
        <v>0.66510916369812356</v>
      </c>
      <c r="AB399" s="243">
        <v>0.66457313322057698</v>
      </c>
      <c r="AC399" s="243">
        <v>0.66402872437082106</v>
      </c>
      <c r="AD399" s="243">
        <v>0.66347573934526527</v>
      </c>
      <c r="AE399" s="243">
        <v>0.66291397407051278</v>
      </c>
      <c r="AF399" s="243">
        <v>0.66234321795322315</v>
      </c>
      <c r="AG399" s="243">
        <v>0.66176325361780464</v>
      </c>
      <c r="AH399" s="243">
        <v>0.66117385663164696</v>
      </c>
      <c r="AI399" s="243">
        <v>0.66057479521659157</v>
      </c>
      <c r="AJ399" s="243">
        <v>0.67549625058172613</v>
      </c>
      <c r="AK399" s="243">
        <v>0.69112678594845633</v>
      </c>
      <c r="AL399" s="243">
        <v>0.72765364108204711</v>
      </c>
      <c r="AM399" s="243">
        <v>0.72765374642297986</v>
      </c>
      <c r="AN399" s="243">
        <v>0.7276538536910413</v>
      </c>
      <c r="AO399" s="243">
        <v>0.72765396293959983</v>
      </c>
      <c r="AP399" s="243">
        <v>0.72765407422401762</v>
      </c>
    </row>
    <row r="400" spans="7:42" ht="14.25" customHeight="1" x14ac:dyDescent="0.2">
      <c r="G400" s="245"/>
      <c r="H400" s="233"/>
      <c r="I400" s="246"/>
      <c r="J400" s="247"/>
      <c r="K400" s="242">
        <v>6</v>
      </c>
      <c r="L400" s="242"/>
      <c r="M400" s="243">
        <v>0.64040654971520716</v>
      </c>
      <c r="N400" s="243">
        <v>0.63237811047525916</v>
      </c>
      <c r="O400" s="243">
        <v>0.62941667849587979</v>
      </c>
      <c r="P400" s="243">
        <v>0.6240361139184486</v>
      </c>
      <c r="Q400" s="243">
        <v>0.6227668846775225</v>
      </c>
      <c r="R400" s="243">
        <v>0.62146170483536045</v>
      </c>
      <c r="S400" s="243">
        <v>0.62011902792679807</v>
      </c>
      <c r="T400" s="243">
        <v>0.61873721768736756</v>
      </c>
      <c r="U400" s="243">
        <v>0.61731454145472642</v>
      </c>
      <c r="V400" s="243">
        <v>0.61584916298145476</v>
      </c>
      <c r="W400" s="243">
        <v>0.61529920139324168</v>
      </c>
      <c r="X400" s="243">
        <v>0.61474104993998457</v>
      </c>
      <c r="Y400" s="243">
        <v>0.61417452453628907</v>
      </c>
      <c r="Z400" s="243">
        <v>0.6135994355456077</v>
      </c>
      <c r="AA400" s="243">
        <v>0.61301558756971097</v>
      </c>
      <c r="AB400" s="243">
        <v>0.61242277922850841</v>
      </c>
      <c r="AC400" s="243">
        <v>0.61182080292974339</v>
      </c>
      <c r="AD400" s="243">
        <v>0.61120944462793037</v>
      </c>
      <c r="AE400" s="243">
        <v>0.61058848357207074</v>
      </c>
      <c r="AF400" s="243">
        <v>0.6099576920414238</v>
      </c>
      <c r="AG400" s="243">
        <v>0.60931683506858048</v>
      </c>
      <c r="AH400" s="243">
        <v>0.60866567014957595</v>
      </c>
      <c r="AI400" s="243">
        <v>0.60800394693965421</v>
      </c>
      <c r="AJ400" s="243">
        <v>0.62452169725621087</v>
      </c>
      <c r="AK400" s="243">
        <v>0.64190280023900148</v>
      </c>
      <c r="AL400" s="243">
        <v>0.68282536920194237</v>
      </c>
      <c r="AM400" s="243">
        <v>0.68282548782342656</v>
      </c>
      <c r="AN400" s="243">
        <v>0.68282560861499986</v>
      </c>
      <c r="AO400" s="243">
        <v>0.68282573163675953</v>
      </c>
      <c r="AP400" s="243">
        <v>0.68282585695104747</v>
      </c>
    </row>
    <row r="401" spans="6:42" ht="14.25" customHeight="1" x14ac:dyDescent="0.2">
      <c r="G401" s="245"/>
      <c r="H401" s="246"/>
      <c r="I401" s="246"/>
      <c r="J401" s="246"/>
      <c r="K401" s="246"/>
      <c r="L401" s="246"/>
      <c r="M401" s="246"/>
      <c r="N401" s="246"/>
      <c r="O401" s="246"/>
      <c r="P401" s="246"/>
      <c r="Q401" s="246"/>
      <c r="R401" s="246"/>
      <c r="S401" s="246"/>
      <c r="T401" s="246"/>
      <c r="U401" s="246"/>
      <c r="V401" s="246"/>
      <c r="W401" s="246"/>
      <c r="X401" s="246"/>
      <c r="Y401" s="246"/>
      <c r="Z401" s="246"/>
      <c r="AA401" s="246"/>
      <c r="AB401" s="246"/>
      <c r="AC401" s="246"/>
      <c r="AD401" s="246"/>
      <c r="AE401" s="246"/>
      <c r="AF401" s="246"/>
      <c r="AG401" s="246"/>
      <c r="AH401" s="246"/>
      <c r="AI401" s="246"/>
      <c r="AJ401" s="246"/>
      <c r="AK401" s="246"/>
      <c r="AL401" s="246"/>
      <c r="AM401" s="246"/>
      <c r="AN401" s="246"/>
      <c r="AO401" s="246"/>
      <c r="AP401" s="246"/>
    </row>
    <row r="402" spans="6:42" ht="15.75" customHeight="1" thickBot="1" x14ac:dyDescent="0.25">
      <c r="G402" s="138"/>
      <c r="M402" s="123">
        <v>2021</v>
      </c>
      <c r="N402" s="123">
        <v>2022</v>
      </c>
      <c r="O402" s="123">
        <v>2023</v>
      </c>
      <c r="P402" s="123">
        <v>2024</v>
      </c>
      <c r="Q402" s="123">
        <v>2025</v>
      </c>
      <c r="R402" s="123">
        <v>2026</v>
      </c>
      <c r="S402" s="123">
        <v>2027</v>
      </c>
      <c r="T402" s="123">
        <v>2028</v>
      </c>
      <c r="U402" s="123">
        <v>2029</v>
      </c>
      <c r="V402" s="123">
        <v>2030</v>
      </c>
      <c r="W402" s="123">
        <v>2031</v>
      </c>
      <c r="X402" s="123">
        <v>2032</v>
      </c>
      <c r="Y402" s="123">
        <v>2033</v>
      </c>
      <c r="Z402" s="123">
        <v>2034</v>
      </c>
      <c r="AA402" s="123">
        <v>2035</v>
      </c>
      <c r="AB402" s="123">
        <v>2036</v>
      </c>
      <c r="AC402" s="123">
        <v>2037</v>
      </c>
      <c r="AD402" s="123">
        <v>2038</v>
      </c>
      <c r="AE402" s="123">
        <v>2039</v>
      </c>
      <c r="AF402" s="123">
        <v>2040</v>
      </c>
      <c r="AG402" s="123">
        <v>2041</v>
      </c>
      <c r="AH402" s="123">
        <v>2042</v>
      </c>
      <c r="AI402" s="123">
        <v>2043</v>
      </c>
      <c r="AJ402" s="123">
        <v>2044</v>
      </c>
      <c r="AK402" s="123">
        <v>2045</v>
      </c>
      <c r="AL402" s="123">
        <v>2046</v>
      </c>
      <c r="AM402" s="123">
        <v>2047</v>
      </c>
      <c r="AN402" s="123">
        <v>2048</v>
      </c>
      <c r="AO402" s="123">
        <v>2049</v>
      </c>
      <c r="AP402" s="123">
        <v>2050</v>
      </c>
    </row>
    <row r="403" spans="6:42" ht="14.25" customHeight="1" thickTop="1" x14ac:dyDescent="0.2">
      <c r="G403" s="248"/>
      <c r="H403" s="233"/>
      <c r="J403" s="357" t="s">
        <v>315</v>
      </c>
      <c r="K403" s="135" t="s">
        <v>316</v>
      </c>
      <c r="L403" s="135" t="s">
        <v>276</v>
      </c>
      <c r="M403" s="249">
        <v>1.061623187507454</v>
      </c>
      <c r="N403" s="249">
        <v>1.061623187507454</v>
      </c>
      <c r="O403" s="249">
        <v>1.061623187507454</v>
      </c>
      <c r="P403" s="249">
        <v>1.061623187507454</v>
      </c>
      <c r="Q403" s="249">
        <v>1.061623187507454</v>
      </c>
      <c r="R403" s="249">
        <v>1.061623187507454</v>
      </c>
      <c r="S403" s="249">
        <v>1.061623187507454</v>
      </c>
      <c r="T403" s="249">
        <v>1.061623187507454</v>
      </c>
      <c r="U403" s="249">
        <v>1.061623187507454</v>
      </c>
      <c r="V403" s="249">
        <v>1.061623187507454</v>
      </c>
      <c r="W403" s="249">
        <v>1.061623187507454</v>
      </c>
      <c r="X403" s="249">
        <v>1.061623187507454</v>
      </c>
      <c r="Y403" s="249">
        <v>1.061623187507454</v>
      </c>
      <c r="Z403" s="249">
        <v>1.061623187507454</v>
      </c>
      <c r="AA403" s="249">
        <v>1.061623187507454</v>
      </c>
      <c r="AB403" s="249">
        <v>1.061623187507454</v>
      </c>
      <c r="AC403" s="249">
        <v>1.061623187507454</v>
      </c>
      <c r="AD403" s="249">
        <v>1.061623187507454</v>
      </c>
      <c r="AE403" s="249">
        <v>1.061623187507454</v>
      </c>
      <c r="AF403" s="249">
        <v>1.061623187507454</v>
      </c>
      <c r="AG403" s="249">
        <v>1.061623187507454</v>
      </c>
      <c r="AH403" s="249">
        <v>1.061623187507454</v>
      </c>
      <c r="AI403" s="249">
        <v>1.061623187507454</v>
      </c>
      <c r="AJ403" s="249">
        <v>1.061623187507454</v>
      </c>
      <c r="AK403" s="249">
        <v>1.061623187507454</v>
      </c>
      <c r="AL403" s="249">
        <v>1.061623187507454</v>
      </c>
      <c r="AM403" s="249">
        <v>1.061623187507454</v>
      </c>
      <c r="AN403" s="249">
        <v>1.061623187507454</v>
      </c>
      <c r="AO403" s="249">
        <v>1.061623187507454</v>
      </c>
      <c r="AP403" s="249">
        <v>1.061623187507454</v>
      </c>
    </row>
    <row r="404" spans="6:42" ht="14.25" customHeight="1" x14ac:dyDescent="0.2">
      <c r="F404" s="250"/>
      <c r="H404" s="233"/>
      <c r="J404" s="358"/>
      <c r="K404" s="135" t="s">
        <v>316</v>
      </c>
      <c r="L404" s="135" t="s">
        <v>277</v>
      </c>
      <c r="M404" s="251">
        <v>1.061623187507454</v>
      </c>
      <c r="N404" s="251">
        <v>1.061623187507454</v>
      </c>
      <c r="O404" s="251">
        <v>1.061623187507454</v>
      </c>
      <c r="P404" s="251">
        <v>1.061623187507454</v>
      </c>
      <c r="Q404" s="251">
        <v>1.061623187507454</v>
      </c>
      <c r="R404" s="251">
        <v>1.061623187507454</v>
      </c>
      <c r="S404" s="251">
        <v>1.061623187507454</v>
      </c>
      <c r="T404" s="251">
        <v>1.061623187507454</v>
      </c>
      <c r="U404" s="251">
        <v>1.061623187507454</v>
      </c>
      <c r="V404" s="251">
        <v>1.061623187507454</v>
      </c>
      <c r="W404" s="251">
        <v>1.061623187507454</v>
      </c>
      <c r="X404" s="251">
        <v>1.061623187507454</v>
      </c>
      <c r="Y404" s="251">
        <v>1.061623187507454</v>
      </c>
      <c r="Z404" s="251">
        <v>1.061623187507454</v>
      </c>
      <c r="AA404" s="251">
        <v>1.061623187507454</v>
      </c>
      <c r="AB404" s="251">
        <v>1.061623187507454</v>
      </c>
      <c r="AC404" s="251">
        <v>1.061623187507454</v>
      </c>
      <c r="AD404" s="251">
        <v>1.061623187507454</v>
      </c>
      <c r="AE404" s="251">
        <v>1.061623187507454</v>
      </c>
      <c r="AF404" s="251">
        <v>1.061623187507454</v>
      </c>
      <c r="AG404" s="251">
        <v>1.061623187507454</v>
      </c>
      <c r="AH404" s="251">
        <v>1.061623187507454</v>
      </c>
      <c r="AI404" s="251">
        <v>1.061623187507454</v>
      </c>
      <c r="AJ404" s="251">
        <v>1.061623187507454</v>
      </c>
      <c r="AK404" s="251">
        <v>1.061623187507454</v>
      </c>
      <c r="AL404" s="251">
        <v>1.061623187507454</v>
      </c>
      <c r="AM404" s="251">
        <v>1.061623187507454</v>
      </c>
      <c r="AN404" s="251">
        <v>1.061623187507454</v>
      </c>
      <c r="AO404" s="251">
        <v>1.061623187507454</v>
      </c>
      <c r="AP404" s="251">
        <v>1.061623187507454</v>
      </c>
    </row>
    <row r="405" spans="6:42" ht="14.25" customHeight="1" x14ac:dyDescent="0.2">
      <c r="F405" s="250"/>
      <c r="H405" s="233"/>
      <c r="J405" s="358"/>
      <c r="K405" s="135" t="s">
        <v>316</v>
      </c>
      <c r="L405" s="135" t="s">
        <v>278</v>
      </c>
      <c r="M405" s="252">
        <v>1.061623187507454</v>
      </c>
      <c r="N405" s="252">
        <v>1.061623187507454</v>
      </c>
      <c r="O405" s="252">
        <v>1.061623187507454</v>
      </c>
      <c r="P405" s="252">
        <v>1.061623187507454</v>
      </c>
      <c r="Q405" s="252">
        <v>1.061623187507454</v>
      </c>
      <c r="R405" s="252">
        <v>1.061623187507454</v>
      </c>
      <c r="S405" s="252">
        <v>1.061623187507454</v>
      </c>
      <c r="T405" s="252">
        <v>1.061623187507454</v>
      </c>
      <c r="U405" s="252">
        <v>1.061623187507454</v>
      </c>
      <c r="V405" s="252">
        <v>1.061623187507454</v>
      </c>
      <c r="W405" s="252">
        <v>1.061623187507454</v>
      </c>
      <c r="X405" s="252">
        <v>1.061623187507454</v>
      </c>
      <c r="Y405" s="252">
        <v>1.061623187507454</v>
      </c>
      <c r="Z405" s="252">
        <v>1.061623187507454</v>
      </c>
      <c r="AA405" s="252">
        <v>1.061623187507454</v>
      </c>
      <c r="AB405" s="252">
        <v>1.061623187507454</v>
      </c>
      <c r="AC405" s="252">
        <v>1.061623187507454</v>
      </c>
      <c r="AD405" s="252">
        <v>1.061623187507454</v>
      </c>
      <c r="AE405" s="252">
        <v>1.061623187507454</v>
      </c>
      <c r="AF405" s="252">
        <v>1.061623187507454</v>
      </c>
      <c r="AG405" s="252">
        <v>1.061623187507454</v>
      </c>
      <c r="AH405" s="252">
        <v>1.061623187507454</v>
      </c>
      <c r="AI405" s="252">
        <v>1.061623187507454</v>
      </c>
      <c r="AJ405" s="252">
        <v>1.061623187507454</v>
      </c>
      <c r="AK405" s="252">
        <v>1.061623187507454</v>
      </c>
      <c r="AL405" s="252">
        <v>1.061623187507454</v>
      </c>
      <c r="AM405" s="252">
        <v>1.061623187507454</v>
      </c>
      <c r="AN405" s="252">
        <v>1.061623187507454</v>
      </c>
      <c r="AO405" s="252">
        <v>1.061623187507454</v>
      </c>
      <c r="AP405" s="252">
        <v>1.061623187507454</v>
      </c>
    </row>
    <row r="406" spans="6:42" ht="14.25" customHeight="1" thickBot="1" x14ac:dyDescent="0.25">
      <c r="F406" s="250"/>
      <c r="H406" s="233"/>
      <c r="J406" s="126"/>
    </row>
    <row r="407" spans="6:42" ht="14.25" customHeight="1" thickTop="1" thickBot="1" x14ac:dyDescent="0.25">
      <c r="F407" s="250"/>
      <c r="H407" s="233"/>
      <c r="J407" s="244"/>
      <c r="K407" s="135" t="s">
        <v>317</v>
      </c>
      <c r="L407" s="135" t="s">
        <v>274</v>
      </c>
      <c r="M407" s="249">
        <v>1.0319883720275149</v>
      </c>
      <c r="N407" s="249">
        <v>1.0319883720275149</v>
      </c>
      <c r="O407" s="249">
        <v>1.0319883720275149</v>
      </c>
      <c r="P407" s="249">
        <v>1.0319883720275149</v>
      </c>
      <c r="Q407" s="249">
        <v>1.0319883720275149</v>
      </c>
      <c r="R407" s="249">
        <v>1.0319883720275149</v>
      </c>
      <c r="S407" s="249">
        <v>1.0319883720275149</v>
      </c>
      <c r="T407" s="249">
        <v>1.0319883720275149</v>
      </c>
      <c r="U407" s="249">
        <v>1.0319883720275149</v>
      </c>
      <c r="V407" s="249">
        <v>1.0319883720275149</v>
      </c>
      <c r="W407" s="249">
        <v>1.0319883720275149</v>
      </c>
      <c r="X407" s="249">
        <v>1.0319883720275149</v>
      </c>
      <c r="Y407" s="249">
        <v>1.0319883720275149</v>
      </c>
      <c r="Z407" s="249">
        <v>1.0319883720275149</v>
      </c>
      <c r="AA407" s="249">
        <v>1.0319883720275149</v>
      </c>
      <c r="AB407" s="249">
        <v>1.0319883720275149</v>
      </c>
      <c r="AC407" s="249">
        <v>1.0319883720275149</v>
      </c>
      <c r="AD407" s="249">
        <v>1.0319883720275149</v>
      </c>
      <c r="AE407" s="249">
        <v>1.0319883720275149</v>
      </c>
      <c r="AF407" s="249">
        <v>1.0319883720275149</v>
      </c>
      <c r="AG407" s="249">
        <v>1.0319883720275149</v>
      </c>
      <c r="AH407" s="249">
        <v>1.0319883720275149</v>
      </c>
      <c r="AI407" s="249">
        <v>1.0319883720275149</v>
      </c>
      <c r="AJ407" s="249">
        <v>1.0319883720275149</v>
      </c>
      <c r="AK407" s="249">
        <v>1.0319883720275149</v>
      </c>
      <c r="AL407" s="249">
        <v>1.0319883720275149</v>
      </c>
      <c r="AM407" s="249">
        <v>1.0319883720275149</v>
      </c>
      <c r="AN407" s="249">
        <v>1.0319883720275149</v>
      </c>
      <c r="AO407" s="249">
        <v>1.0319883720275149</v>
      </c>
      <c r="AP407" s="249">
        <v>1.0319883720275149</v>
      </c>
    </row>
    <row r="408" spans="6:42" ht="14.25" customHeight="1" thickTop="1" thickBot="1" x14ac:dyDescent="0.25">
      <c r="F408" s="250"/>
      <c r="H408" s="233"/>
      <c r="J408" s="244"/>
      <c r="K408" s="135" t="s">
        <v>318</v>
      </c>
      <c r="L408" s="135" t="s">
        <v>274</v>
      </c>
      <c r="M408" s="249">
        <v>1.0990676162093029</v>
      </c>
      <c r="N408" s="249">
        <v>1.0990676162093029</v>
      </c>
      <c r="O408" s="249">
        <v>1.0990676162093029</v>
      </c>
      <c r="P408" s="249">
        <v>1.0990676162093029</v>
      </c>
      <c r="Q408" s="249">
        <v>1.0990676162093029</v>
      </c>
      <c r="R408" s="249">
        <v>1.0990676162093029</v>
      </c>
      <c r="S408" s="249">
        <v>1.0990676162093029</v>
      </c>
      <c r="T408" s="249">
        <v>1.0990676162093029</v>
      </c>
      <c r="U408" s="249">
        <v>1.0990676162093029</v>
      </c>
      <c r="V408" s="249">
        <v>1.0990676162093029</v>
      </c>
      <c r="W408" s="249">
        <v>1.0990676162093029</v>
      </c>
      <c r="X408" s="249">
        <v>1.0990676162093029</v>
      </c>
      <c r="Y408" s="249">
        <v>1.0990676162093029</v>
      </c>
      <c r="Z408" s="249">
        <v>1.0990676162093029</v>
      </c>
      <c r="AA408" s="249">
        <v>1.0990676162093029</v>
      </c>
      <c r="AB408" s="249">
        <v>1.0990676162093029</v>
      </c>
      <c r="AC408" s="249">
        <v>1.0990676162093029</v>
      </c>
      <c r="AD408" s="249">
        <v>1.0990676162093029</v>
      </c>
      <c r="AE408" s="249">
        <v>1.0990676162093029</v>
      </c>
      <c r="AF408" s="249">
        <v>1.0990676162093029</v>
      </c>
      <c r="AG408" s="249">
        <v>1.0990676162093029</v>
      </c>
      <c r="AH408" s="249">
        <v>1.0990676162093029</v>
      </c>
      <c r="AI408" s="249">
        <v>1.0990676162093029</v>
      </c>
      <c r="AJ408" s="249">
        <v>1.0990676162093029</v>
      </c>
      <c r="AK408" s="249">
        <v>1.0990676162093029</v>
      </c>
      <c r="AL408" s="249">
        <v>1.0990676162093029</v>
      </c>
      <c r="AM408" s="249">
        <v>1.0990676162093029</v>
      </c>
      <c r="AN408" s="249">
        <v>1.0990676162093029</v>
      </c>
      <c r="AO408" s="249">
        <v>1.0990676162093029</v>
      </c>
      <c r="AP408" s="249">
        <v>1.0990676162093029</v>
      </c>
    </row>
    <row r="409" spans="6:42" ht="13.5" customHeight="1" thickTop="1" thickBot="1" x14ac:dyDescent="0.25">
      <c r="F409" s="250"/>
      <c r="H409" s="233"/>
      <c r="J409" s="244"/>
      <c r="K409" s="135" t="s">
        <v>319</v>
      </c>
      <c r="L409" s="135" t="s">
        <v>274</v>
      </c>
      <c r="M409" s="249">
        <v>1.1705070112629079</v>
      </c>
      <c r="N409" s="249">
        <v>1.1705070112629079</v>
      </c>
      <c r="O409" s="249">
        <v>1.1705070112629079</v>
      </c>
      <c r="P409" s="249">
        <v>1.1705070112629079</v>
      </c>
      <c r="Q409" s="249">
        <v>1.1705070112629079</v>
      </c>
      <c r="R409" s="249">
        <v>1.1705070112629079</v>
      </c>
      <c r="S409" s="249">
        <v>1.1705070112629079</v>
      </c>
      <c r="T409" s="249">
        <v>1.1705070112629079</v>
      </c>
      <c r="U409" s="249">
        <v>1.1705070112629079</v>
      </c>
      <c r="V409" s="249">
        <v>1.1705070112629079</v>
      </c>
      <c r="W409" s="249">
        <v>1.1705070112629079</v>
      </c>
      <c r="X409" s="249">
        <v>1.1705070112629079</v>
      </c>
      <c r="Y409" s="249">
        <v>1.1705070112629079</v>
      </c>
      <c r="Z409" s="249">
        <v>1.1705070112629079</v>
      </c>
      <c r="AA409" s="249">
        <v>1.1705070112629079</v>
      </c>
      <c r="AB409" s="249">
        <v>1.1705070112629079</v>
      </c>
      <c r="AC409" s="249">
        <v>1.1705070112629079</v>
      </c>
      <c r="AD409" s="249">
        <v>1.1705070112629079</v>
      </c>
      <c r="AE409" s="249">
        <v>1.1705070112629079</v>
      </c>
      <c r="AF409" s="249">
        <v>1.1705070112629079</v>
      </c>
      <c r="AG409" s="249">
        <v>1.1705070112629079</v>
      </c>
      <c r="AH409" s="249">
        <v>1.1705070112629079</v>
      </c>
      <c r="AI409" s="249">
        <v>1.1705070112629079</v>
      </c>
      <c r="AJ409" s="249">
        <v>1.1705070112629079</v>
      </c>
      <c r="AK409" s="249">
        <v>1.1705070112629079</v>
      </c>
      <c r="AL409" s="249">
        <v>1.1705070112629079</v>
      </c>
      <c r="AM409" s="249">
        <v>1.1705070112629079</v>
      </c>
      <c r="AN409" s="249">
        <v>1.1705070112629079</v>
      </c>
      <c r="AO409" s="249">
        <v>1.1705070112629079</v>
      </c>
      <c r="AP409" s="249">
        <v>1.1705070112629079</v>
      </c>
    </row>
    <row r="410" spans="6:42" ht="14.25" customHeight="1" thickTop="1" thickBot="1" x14ac:dyDescent="0.25">
      <c r="F410" s="250"/>
      <c r="H410" s="233"/>
      <c r="J410" s="244"/>
      <c r="K410" s="135" t="s">
        <v>320</v>
      </c>
      <c r="L410" s="135" t="s">
        <v>276</v>
      </c>
      <c r="M410" s="249">
        <v>1.0583005244258361</v>
      </c>
      <c r="N410" s="249">
        <v>1.0583005244258361</v>
      </c>
      <c r="O410" s="249">
        <v>1.0583005244258361</v>
      </c>
      <c r="P410" s="249">
        <v>1.0583005244258361</v>
      </c>
      <c r="Q410" s="249">
        <v>1.0583005244258361</v>
      </c>
      <c r="R410" s="249">
        <v>1.0583005244258361</v>
      </c>
      <c r="S410" s="249">
        <v>1.0583005244258361</v>
      </c>
      <c r="T410" s="249">
        <v>1.0583005244258361</v>
      </c>
      <c r="U410" s="249">
        <v>1.0583005244258361</v>
      </c>
      <c r="V410" s="249">
        <v>1.0583005244258361</v>
      </c>
      <c r="W410" s="249">
        <v>1.0583005244258361</v>
      </c>
      <c r="X410" s="249">
        <v>1.0583005244258361</v>
      </c>
      <c r="Y410" s="249">
        <v>1.0583005244258361</v>
      </c>
      <c r="Z410" s="249">
        <v>1.0583005244258361</v>
      </c>
      <c r="AA410" s="249">
        <v>1.0583005244258361</v>
      </c>
      <c r="AB410" s="249">
        <v>1.0583005244258361</v>
      </c>
      <c r="AC410" s="249">
        <v>1.0583005244258361</v>
      </c>
      <c r="AD410" s="249">
        <v>1.0583005244258361</v>
      </c>
      <c r="AE410" s="249">
        <v>1.0583005244258361</v>
      </c>
      <c r="AF410" s="249">
        <v>1.0583005244258361</v>
      </c>
      <c r="AG410" s="249">
        <v>1.0583005244258361</v>
      </c>
      <c r="AH410" s="249">
        <v>1.0583005244258361</v>
      </c>
      <c r="AI410" s="249">
        <v>1.0583005244258361</v>
      </c>
      <c r="AJ410" s="249">
        <v>1.0583005244258361</v>
      </c>
      <c r="AK410" s="249">
        <v>1.0583005244258361</v>
      </c>
      <c r="AL410" s="249">
        <v>1.0583005244258361</v>
      </c>
      <c r="AM410" s="249">
        <v>1.0583005244258361</v>
      </c>
      <c r="AN410" s="249">
        <v>1.0583005244258361</v>
      </c>
      <c r="AO410" s="249">
        <v>1.0583005244258361</v>
      </c>
      <c r="AP410" s="249">
        <v>1.0583005244258361</v>
      </c>
    </row>
    <row r="411" spans="6:42" ht="14.25" customHeight="1" thickTop="1" thickBot="1" x14ac:dyDescent="0.25">
      <c r="F411" s="250"/>
      <c r="H411" s="233"/>
      <c r="J411" s="244"/>
      <c r="K411" s="135" t="s">
        <v>321</v>
      </c>
      <c r="L411" s="135" t="s">
        <v>276</v>
      </c>
      <c r="M411" s="249">
        <v>1.185296587356937</v>
      </c>
      <c r="N411" s="249">
        <v>1.185296587356937</v>
      </c>
      <c r="O411" s="249">
        <v>1.185296587356937</v>
      </c>
      <c r="P411" s="249">
        <v>1.185296587356937</v>
      </c>
      <c r="Q411" s="249">
        <v>1.185296587356937</v>
      </c>
      <c r="R411" s="249">
        <v>1.185296587356937</v>
      </c>
      <c r="S411" s="249">
        <v>1.185296587356937</v>
      </c>
      <c r="T411" s="249">
        <v>1.185296587356937</v>
      </c>
      <c r="U411" s="249">
        <v>1.185296587356937</v>
      </c>
      <c r="V411" s="249">
        <v>1.185296587356937</v>
      </c>
      <c r="W411" s="249">
        <v>1.185296587356937</v>
      </c>
      <c r="X411" s="249">
        <v>1.185296587356937</v>
      </c>
      <c r="Y411" s="249">
        <v>1.185296587356937</v>
      </c>
      <c r="Z411" s="249">
        <v>1.185296587356937</v>
      </c>
      <c r="AA411" s="249">
        <v>1.185296587356937</v>
      </c>
      <c r="AB411" s="249">
        <v>1.185296587356937</v>
      </c>
      <c r="AC411" s="249">
        <v>1.185296587356937</v>
      </c>
      <c r="AD411" s="249">
        <v>1.185296587356937</v>
      </c>
      <c r="AE411" s="249">
        <v>1.185296587356937</v>
      </c>
      <c r="AF411" s="249">
        <v>1.185296587356937</v>
      </c>
      <c r="AG411" s="249">
        <v>1.185296587356937</v>
      </c>
      <c r="AH411" s="249">
        <v>1.185296587356937</v>
      </c>
      <c r="AI411" s="249">
        <v>1.185296587356937</v>
      </c>
      <c r="AJ411" s="249">
        <v>1.185296587356937</v>
      </c>
      <c r="AK411" s="249">
        <v>1.185296587356937</v>
      </c>
      <c r="AL411" s="249">
        <v>1.185296587356937</v>
      </c>
      <c r="AM411" s="249">
        <v>1.185296587356937</v>
      </c>
      <c r="AN411" s="249">
        <v>1.185296587356937</v>
      </c>
      <c r="AO411" s="249">
        <v>1.185296587356937</v>
      </c>
      <c r="AP411" s="249">
        <v>1.185296587356937</v>
      </c>
    </row>
    <row r="412" spans="6:42" ht="14.25" customHeight="1" thickTop="1" thickBot="1" x14ac:dyDescent="0.25">
      <c r="F412" s="250"/>
      <c r="H412" s="233"/>
      <c r="J412" s="244"/>
      <c r="K412" s="135" t="s">
        <v>322</v>
      </c>
      <c r="L412" s="135" t="s">
        <v>276</v>
      </c>
      <c r="M412" s="249">
        <v>1.3275321778397691</v>
      </c>
      <c r="N412" s="249">
        <v>1.3275321778397691</v>
      </c>
      <c r="O412" s="249">
        <v>1.3275321778397691</v>
      </c>
      <c r="P412" s="249">
        <v>1.3275321778397691</v>
      </c>
      <c r="Q412" s="249">
        <v>1.3275321778397691</v>
      </c>
      <c r="R412" s="249">
        <v>1.3275321778397691</v>
      </c>
      <c r="S412" s="249">
        <v>1.3275321778397691</v>
      </c>
      <c r="T412" s="249">
        <v>1.3275321778397691</v>
      </c>
      <c r="U412" s="249">
        <v>1.3275321778397691</v>
      </c>
      <c r="V412" s="249">
        <v>1.3275321778397691</v>
      </c>
      <c r="W412" s="249">
        <v>1.3275321778397691</v>
      </c>
      <c r="X412" s="249">
        <v>1.3275321778397691</v>
      </c>
      <c r="Y412" s="249">
        <v>1.3275321778397691</v>
      </c>
      <c r="Z412" s="249">
        <v>1.3275321778397691</v>
      </c>
      <c r="AA412" s="249">
        <v>1.3275321778397691</v>
      </c>
      <c r="AB412" s="249">
        <v>1.3275321778397691</v>
      </c>
      <c r="AC412" s="249">
        <v>1.3275321778397691</v>
      </c>
      <c r="AD412" s="249">
        <v>1.3275321778397691</v>
      </c>
      <c r="AE412" s="249">
        <v>1.3275321778397691</v>
      </c>
      <c r="AF412" s="249">
        <v>1.3275321778397691</v>
      </c>
      <c r="AG412" s="249">
        <v>1.3275321778397691</v>
      </c>
      <c r="AH412" s="249">
        <v>1.3275321778397691</v>
      </c>
      <c r="AI412" s="249">
        <v>1.3275321778397691</v>
      </c>
      <c r="AJ412" s="249">
        <v>1.3275321778397691</v>
      </c>
      <c r="AK412" s="249">
        <v>1.3275321778397691</v>
      </c>
      <c r="AL412" s="249">
        <v>1.3275321778397691</v>
      </c>
      <c r="AM412" s="249">
        <v>1.3275321778397691</v>
      </c>
      <c r="AN412" s="249">
        <v>1.3275321778397691</v>
      </c>
      <c r="AO412" s="249">
        <v>1.3275321778397691</v>
      </c>
      <c r="AP412" s="249">
        <v>1.3275321778397691</v>
      </c>
    </row>
    <row r="413" spans="6:42" ht="14.25" customHeight="1" thickTop="1" thickBot="1" x14ac:dyDescent="0.25">
      <c r="F413" s="250"/>
      <c r="H413" s="233"/>
      <c r="J413" s="244"/>
      <c r="K413" s="135" t="s">
        <v>320</v>
      </c>
      <c r="L413" s="135" t="s">
        <v>277</v>
      </c>
      <c r="M413" s="249">
        <v>1.0583005244258361</v>
      </c>
      <c r="N413" s="249">
        <v>1.0583005244258361</v>
      </c>
      <c r="O413" s="249">
        <v>1.0583005244258361</v>
      </c>
      <c r="P413" s="249">
        <v>1.0583005244258361</v>
      </c>
      <c r="Q413" s="249">
        <v>1.0583005244258361</v>
      </c>
      <c r="R413" s="249">
        <v>1.0583005244258361</v>
      </c>
      <c r="S413" s="249">
        <v>1.0583005244258361</v>
      </c>
      <c r="T413" s="249">
        <v>1.0583005244258361</v>
      </c>
      <c r="U413" s="249">
        <v>1.0583005244258361</v>
      </c>
      <c r="V413" s="249">
        <v>1.0583005244258361</v>
      </c>
      <c r="W413" s="249">
        <v>1.0583005244258361</v>
      </c>
      <c r="X413" s="249">
        <v>1.0583005244258361</v>
      </c>
      <c r="Y413" s="249">
        <v>1.0583005244258361</v>
      </c>
      <c r="Z413" s="249">
        <v>1.0583005244258361</v>
      </c>
      <c r="AA413" s="249">
        <v>1.0583005244258361</v>
      </c>
      <c r="AB413" s="249">
        <v>1.0583005244258361</v>
      </c>
      <c r="AC413" s="249">
        <v>1.0583005244258361</v>
      </c>
      <c r="AD413" s="249">
        <v>1.0583005244258361</v>
      </c>
      <c r="AE413" s="249">
        <v>1.0583005244258361</v>
      </c>
      <c r="AF413" s="249">
        <v>1.0583005244258361</v>
      </c>
      <c r="AG413" s="249">
        <v>1.0583005244258361</v>
      </c>
      <c r="AH413" s="249">
        <v>1.0583005244258361</v>
      </c>
      <c r="AI413" s="249">
        <v>1.0583005244258361</v>
      </c>
      <c r="AJ413" s="249">
        <v>1.0583005244258361</v>
      </c>
      <c r="AK413" s="249">
        <v>1.0583005244258361</v>
      </c>
      <c r="AL413" s="249">
        <v>1.0583005244258361</v>
      </c>
      <c r="AM413" s="249">
        <v>1.0583005244258361</v>
      </c>
      <c r="AN413" s="249">
        <v>1.0583005244258361</v>
      </c>
      <c r="AO413" s="249">
        <v>1.0583005244258361</v>
      </c>
      <c r="AP413" s="249">
        <v>1.0583005244258361</v>
      </c>
    </row>
    <row r="414" spans="6:42" ht="14.25" customHeight="1" thickTop="1" thickBot="1" x14ac:dyDescent="0.25">
      <c r="F414" s="250"/>
      <c r="H414" s="233"/>
      <c r="J414" s="244"/>
      <c r="K414" s="135" t="s">
        <v>321</v>
      </c>
      <c r="L414" s="135" t="s">
        <v>277</v>
      </c>
      <c r="M414" s="249">
        <v>1.185296587356937</v>
      </c>
      <c r="N414" s="249">
        <v>1.185296587356937</v>
      </c>
      <c r="O414" s="249">
        <v>1.185296587356937</v>
      </c>
      <c r="P414" s="249">
        <v>1.185296587356937</v>
      </c>
      <c r="Q414" s="249">
        <v>1.185296587356937</v>
      </c>
      <c r="R414" s="249">
        <v>1.185296587356937</v>
      </c>
      <c r="S414" s="249">
        <v>1.185296587356937</v>
      </c>
      <c r="T414" s="249">
        <v>1.185296587356937</v>
      </c>
      <c r="U414" s="249">
        <v>1.185296587356937</v>
      </c>
      <c r="V414" s="249">
        <v>1.185296587356937</v>
      </c>
      <c r="W414" s="249">
        <v>1.185296587356937</v>
      </c>
      <c r="X414" s="249">
        <v>1.185296587356937</v>
      </c>
      <c r="Y414" s="249">
        <v>1.185296587356937</v>
      </c>
      <c r="Z414" s="249">
        <v>1.185296587356937</v>
      </c>
      <c r="AA414" s="249">
        <v>1.185296587356937</v>
      </c>
      <c r="AB414" s="249">
        <v>1.185296587356937</v>
      </c>
      <c r="AC414" s="249">
        <v>1.185296587356937</v>
      </c>
      <c r="AD414" s="249">
        <v>1.185296587356937</v>
      </c>
      <c r="AE414" s="249">
        <v>1.185296587356937</v>
      </c>
      <c r="AF414" s="249">
        <v>1.185296587356937</v>
      </c>
      <c r="AG414" s="249">
        <v>1.185296587356937</v>
      </c>
      <c r="AH414" s="249">
        <v>1.185296587356937</v>
      </c>
      <c r="AI414" s="249">
        <v>1.185296587356937</v>
      </c>
      <c r="AJ414" s="249">
        <v>1.185296587356937</v>
      </c>
      <c r="AK414" s="249">
        <v>1.185296587356937</v>
      </c>
      <c r="AL414" s="249">
        <v>1.185296587356937</v>
      </c>
      <c r="AM414" s="249">
        <v>1.185296587356937</v>
      </c>
      <c r="AN414" s="249">
        <v>1.185296587356937</v>
      </c>
      <c r="AO414" s="249">
        <v>1.185296587356937</v>
      </c>
      <c r="AP414" s="249">
        <v>1.185296587356937</v>
      </c>
    </row>
    <row r="415" spans="6:42" ht="14.25" customHeight="1" thickTop="1" thickBot="1" x14ac:dyDescent="0.25">
      <c r="F415" s="250"/>
      <c r="H415" s="233"/>
      <c r="J415" s="244"/>
      <c r="K415" s="135" t="s">
        <v>322</v>
      </c>
      <c r="L415" s="135" t="s">
        <v>277</v>
      </c>
      <c r="M415" s="249">
        <v>1.3275321778397691</v>
      </c>
      <c r="N415" s="249">
        <v>1.3275321778397691</v>
      </c>
      <c r="O415" s="249">
        <v>1.3275321778397691</v>
      </c>
      <c r="P415" s="249">
        <v>1.3275321778397691</v>
      </c>
      <c r="Q415" s="249">
        <v>1.3275321778397691</v>
      </c>
      <c r="R415" s="249">
        <v>1.3275321778397691</v>
      </c>
      <c r="S415" s="249">
        <v>1.3275321778397691</v>
      </c>
      <c r="T415" s="249">
        <v>1.3275321778397691</v>
      </c>
      <c r="U415" s="249">
        <v>1.3275321778397691</v>
      </c>
      <c r="V415" s="249">
        <v>1.3275321778397691</v>
      </c>
      <c r="W415" s="249">
        <v>1.3275321778397691</v>
      </c>
      <c r="X415" s="249">
        <v>1.3275321778397691</v>
      </c>
      <c r="Y415" s="249">
        <v>1.3275321778397691</v>
      </c>
      <c r="Z415" s="249">
        <v>1.3275321778397691</v>
      </c>
      <c r="AA415" s="249">
        <v>1.3275321778397691</v>
      </c>
      <c r="AB415" s="249">
        <v>1.3275321778397691</v>
      </c>
      <c r="AC415" s="249">
        <v>1.3275321778397691</v>
      </c>
      <c r="AD415" s="249">
        <v>1.3275321778397691</v>
      </c>
      <c r="AE415" s="249">
        <v>1.3275321778397691</v>
      </c>
      <c r="AF415" s="249">
        <v>1.3275321778397691</v>
      </c>
      <c r="AG415" s="249">
        <v>1.3275321778397691</v>
      </c>
      <c r="AH415" s="249">
        <v>1.3275321778397691</v>
      </c>
      <c r="AI415" s="249">
        <v>1.3275321778397691</v>
      </c>
      <c r="AJ415" s="249">
        <v>1.3275321778397691</v>
      </c>
      <c r="AK415" s="249">
        <v>1.3275321778397691</v>
      </c>
      <c r="AL415" s="249">
        <v>1.3275321778397691</v>
      </c>
      <c r="AM415" s="249">
        <v>1.3275321778397691</v>
      </c>
      <c r="AN415" s="249">
        <v>1.3275321778397691</v>
      </c>
      <c r="AO415" s="249">
        <v>1.3275321778397691</v>
      </c>
      <c r="AP415" s="249">
        <v>1.3275321778397691</v>
      </c>
    </row>
    <row r="416" spans="6:42" ht="14.25" customHeight="1" thickTop="1" thickBot="1" x14ac:dyDescent="0.25">
      <c r="F416" s="250"/>
      <c r="H416" s="233"/>
      <c r="J416" s="244"/>
      <c r="K416" s="135" t="s">
        <v>320</v>
      </c>
      <c r="L416" s="135" t="s">
        <v>278</v>
      </c>
      <c r="M416" s="249">
        <v>1.0583005244258361</v>
      </c>
      <c r="N416" s="249">
        <v>1.0583005244258361</v>
      </c>
      <c r="O416" s="249">
        <v>1.0583005244258361</v>
      </c>
      <c r="P416" s="249">
        <v>1.0583005244258361</v>
      </c>
      <c r="Q416" s="249">
        <v>1.0583005244258361</v>
      </c>
      <c r="R416" s="249">
        <v>1.0583005244258361</v>
      </c>
      <c r="S416" s="249">
        <v>1.0583005244258361</v>
      </c>
      <c r="T416" s="249">
        <v>1.0583005244258361</v>
      </c>
      <c r="U416" s="249">
        <v>1.0583005244258361</v>
      </c>
      <c r="V416" s="249">
        <v>1.0583005244258361</v>
      </c>
      <c r="W416" s="249">
        <v>1.0583005244258361</v>
      </c>
      <c r="X416" s="249">
        <v>1.0583005244258361</v>
      </c>
      <c r="Y416" s="249">
        <v>1.0583005244258361</v>
      </c>
      <c r="Z416" s="249">
        <v>1.0583005244258361</v>
      </c>
      <c r="AA416" s="249">
        <v>1.0583005244258361</v>
      </c>
      <c r="AB416" s="249">
        <v>1.0583005244258361</v>
      </c>
      <c r="AC416" s="249">
        <v>1.0583005244258361</v>
      </c>
      <c r="AD416" s="249">
        <v>1.0583005244258361</v>
      </c>
      <c r="AE416" s="249">
        <v>1.0583005244258361</v>
      </c>
      <c r="AF416" s="249">
        <v>1.0583005244258361</v>
      </c>
      <c r="AG416" s="249">
        <v>1.0583005244258361</v>
      </c>
      <c r="AH416" s="249">
        <v>1.0583005244258361</v>
      </c>
      <c r="AI416" s="249">
        <v>1.0583005244258361</v>
      </c>
      <c r="AJ416" s="249">
        <v>1.0583005244258361</v>
      </c>
      <c r="AK416" s="249">
        <v>1.0583005244258361</v>
      </c>
      <c r="AL416" s="249">
        <v>1.0583005244258361</v>
      </c>
      <c r="AM416" s="249">
        <v>1.0583005244258361</v>
      </c>
      <c r="AN416" s="249">
        <v>1.0583005244258361</v>
      </c>
      <c r="AO416" s="249">
        <v>1.0583005244258361</v>
      </c>
      <c r="AP416" s="249">
        <v>1.0583005244258361</v>
      </c>
    </row>
    <row r="417" spans="3:42" ht="14.25" customHeight="1" thickTop="1" thickBot="1" x14ac:dyDescent="0.25">
      <c r="F417" s="250"/>
      <c r="H417" s="233"/>
      <c r="J417" s="244"/>
      <c r="K417" s="135" t="s">
        <v>321</v>
      </c>
      <c r="L417" s="135" t="s">
        <v>278</v>
      </c>
      <c r="M417" s="249">
        <v>1.185296587356937</v>
      </c>
      <c r="N417" s="249">
        <v>1.185296587356937</v>
      </c>
      <c r="O417" s="249">
        <v>1.185296587356937</v>
      </c>
      <c r="P417" s="249">
        <v>1.185296587356937</v>
      </c>
      <c r="Q417" s="249">
        <v>1.185296587356937</v>
      </c>
      <c r="R417" s="249">
        <v>1.185296587356937</v>
      </c>
      <c r="S417" s="249">
        <v>1.185296587356937</v>
      </c>
      <c r="T417" s="249">
        <v>1.185296587356937</v>
      </c>
      <c r="U417" s="249">
        <v>1.185296587356937</v>
      </c>
      <c r="V417" s="249">
        <v>1.185296587356937</v>
      </c>
      <c r="W417" s="249">
        <v>1.185296587356937</v>
      </c>
      <c r="X417" s="249">
        <v>1.185296587356937</v>
      </c>
      <c r="Y417" s="249">
        <v>1.185296587356937</v>
      </c>
      <c r="Z417" s="249">
        <v>1.185296587356937</v>
      </c>
      <c r="AA417" s="249">
        <v>1.185296587356937</v>
      </c>
      <c r="AB417" s="249">
        <v>1.185296587356937</v>
      </c>
      <c r="AC417" s="249">
        <v>1.185296587356937</v>
      </c>
      <c r="AD417" s="249">
        <v>1.185296587356937</v>
      </c>
      <c r="AE417" s="249">
        <v>1.185296587356937</v>
      </c>
      <c r="AF417" s="249">
        <v>1.185296587356937</v>
      </c>
      <c r="AG417" s="249">
        <v>1.185296587356937</v>
      </c>
      <c r="AH417" s="249">
        <v>1.185296587356937</v>
      </c>
      <c r="AI417" s="249">
        <v>1.185296587356937</v>
      </c>
      <c r="AJ417" s="249">
        <v>1.185296587356937</v>
      </c>
      <c r="AK417" s="249">
        <v>1.185296587356937</v>
      </c>
      <c r="AL417" s="249">
        <v>1.185296587356937</v>
      </c>
      <c r="AM417" s="249">
        <v>1.185296587356937</v>
      </c>
      <c r="AN417" s="249">
        <v>1.185296587356937</v>
      </c>
      <c r="AO417" s="249">
        <v>1.185296587356937</v>
      </c>
      <c r="AP417" s="249">
        <v>1.185296587356937</v>
      </c>
    </row>
    <row r="418" spans="3:42" ht="14.25" customHeight="1" thickTop="1" x14ac:dyDescent="0.2">
      <c r="F418" s="250"/>
      <c r="H418" s="233"/>
      <c r="J418" s="244"/>
      <c r="K418" s="135" t="s">
        <v>322</v>
      </c>
      <c r="L418" s="135" t="s">
        <v>278</v>
      </c>
      <c r="M418" s="249">
        <v>1.3275321778397691</v>
      </c>
      <c r="N418" s="249">
        <v>1.3275321778397691</v>
      </c>
      <c r="O418" s="249">
        <v>1.3275321778397691</v>
      </c>
      <c r="P418" s="249">
        <v>1.3275321778397691</v>
      </c>
      <c r="Q418" s="249">
        <v>1.3275321778397691</v>
      </c>
      <c r="R418" s="249">
        <v>1.3275321778397691</v>
      </c>
      <c r="S418" s="249">
        <v>1.3275321778397691</v>
      </c>
      <c r="T418" s="249">
        <v>1.3275321778397691</v>
      </c>
      <c r="U418" s="249">
        <v>1.3275321778397691</v>
      </c>
      <c r="V418" s="249">
        <v>1.3275321778397691</v>
      </c>
      <c r="W418" s="249">
        <v>1.3275321778397691</v>
      </c>
      <c r="X418" s="249">
        <v>1.3275321778397691</v>
      </c>
      <c r="Y418" s="249">
        <v>1.3275321778397691</v>
      </c>
      <c r="Z418" s="249">
        <v>1.3275321778397691</v>
      </c>
      <c r="AA418" s="249">
        <v>1.3275321778397691</v>
      </c>
      <c r="AB418" s="249">
        <v>1.3275321778397691</v>
      </c>
      <c r="AC418" s="249">
        <v>1.3275321778397691</v>
      </c>
      <c r="AD418" s="249">
        <v>1.3275321778397691</v>
      </c>
      <c r="AE418" s="249">
        <v>1.3275321778397691</v>
      </c>
      <c r="AF418" s="249">
        <v>1.3275321778397691</v>
      </c>
      <c r="AG418" s="249">
        <v>1.3275321778397691</v>
      </c>
      <c r="AH418" s="249">
        <v>1.3275321778397691</v>
      </c>
      <c r="AI418" s="249">
        <v>1.3275321778397691</v>
      </c>
      <c r="AJ418" s="249">
        <v>1.3275321778397691</v>
      </c>
      <c r="AK418" s="249">
        <v>1.3275321778397691</v>
      </c>
      <c r="AL418" s="249">
        <v>1.3275321778397691</v>
      </c>
      <c r="AM418" s="249">
        <v>1.3275321778397691</v>
      </c>
      <c r="AN418" s="249">
        <v>1.3275321778397691</v>
      </c>
      <c r="AO418" s="249">
        <v>1.3275321778397691</v>
      </c>
      <c r="AP418" s="249">
        <v>1.3275321778397691</v>
      </c>
    </row>
    <row r="420" spans="3:42" ht="14.25" customHeight="1" x14ac:dyDescent="0.2">
      <c r="C420" s="136" t="s">
        <v>217</v>
      </c>
      <c r="G420" s="395" t="s">
        <v>323</v>
      </c>
      <c r="H420" s="380"/>
      <c r="I420" s="380"/>
      <c r="J420" s="380"/>
      <c r="K420" s="380"/>
      <c r="L420" s="380"/>
      <c r="M420" s="380"/>
      <c r="N420" s="380"/>
      <c r="O420" s="380"/>
      <c r="P420" s="380"/>
      <c r="Q420" s="380"/>
      <c r="R420" s="380"/>
      <c r="S420" s="380"/>
      <c r="T420" s="380"/>
      <c r="U420" s="380"/>
      <c r="V420" s="137"/>
      <c r="W420" s="137"/>
      <c r="X420" s="137"/>
      <c r="Y420" s="137"/>
      <c r="Z420" s="137"/>
      <c r="AA420" s="137"/>
      <c r="AB420" s="137"/>
    </row>
    <row r="422" spans="3:42" ht="14.25" customHeight="1" x14ac:dyDescent="0.25">
      <c r="H422" s="443" t="s">
        <v>324</v>
      </c>
      <c r="I422" s="360"/>
      <c r="J422" s="360"/>
      <c r="K422" s="360"/>
      <c r="L422" s="360"/>
      <c r="M422" s="360"/>
      <c r="N422" s="442" t="s">
        <v>325</v>
      </c>
      <c r="O422" s="360"/>
      <c r="P422" s="360"/>
      <c r="Q422" s="360"/>
      <c r="R422" s="378"/>
      <c r="S422" s="253" t="s">
        <v>326</v>
      </c>
      <c r="T422" s="253" t="s">
        <v>327</v>
      </c>
      <c r="U422" s="254"/>
      <c r="V422" s="254"/>
      <c r="W422" s="254"/>
      <c r="X422" s="254"/>
      <c r="Y422" s="254"/>
      <c r="Z422" s="254"/>
      <c r="AA422" s="254"/>
      <c r="AB422" s="255"/>
    </row>
    <row r="423" spans="3:42" ht="14.25" customHeight="1" x14ac:dyDescent="0.25">
      <c r="H423" s="438" t="s">
        <v>373</v>
      </c>
      <c r="I423" s="360"/>
      <c r="J423" s="360"/>
      <c r="K423" s="360"/>
      <c r="L423" s="360"/>
      <c r="M423" s="360"/>
      <c r="N423" s="385" t="s">
        <v>374</v>
      </c>
      <c r="O423" s="360"/>
      <c r="P423" s="360"/>
      <c r="Q423" s="360"/>
      <c r="R423" s="360"/>
      <c r="S423" s="257"/>
      <c r="T423" s="257"/>
      <c r="U423" s="258"/>
      <c r="V423" s="258"/>
      <c r="W423" s="258"/>
      <c r="X423" s="258"/>
      <c r="Y423" s="258"/>
      <c r="Z423" s="258"/>
      <c r="AA423" s="258"/>
      <c r="AB423" s="259"/>
    </row>
    <row r="424" spans="3:42" ht="14.25" customHeight="1" x14ac:dyDescent="0.25">
      <c r="H424" s="438" t="s">
        <v>292</v>
      </c>
      <c r="I424" s="360"/>
      <c r="J424" s="360"/>
      <c r="K424" s="360"/>
      <c r="L424" s="360"/>
      <c r="M424" s="360"/>
      <c r="N424" s="385" t="s">
        <v>375</v>
      </c>
      <c r="O424" s="360"/>
      <c r="P424" s="360"/>
      <c r="Q424" s="360"/>
      <c r="R424" s="360"/>
      <c r="S424" s="257"/>
      <c r="T424" s="257"/>
      <c r="U424" s="258"/>
      <c r="V424" s="258"/>
      <c r="W424" s="258"/>
      <c r="X424" s="258"/>
      <c r="Y424" s="258"/>
      <c r="Z424" s="258"/>
      <c r="AA424" s="258"/>
      <c r="AB424" s="259"/>
    </row>
    <row r="425" spans="3:42" ht="14.25" customHeight="1" x14ac:dyDescent="0.25">
      <c r="H425" s="438" t="s">
        <v>296</v>
      </c>
      <c r="I425" s="360"/>
      <c r="J425" s="360"/>
      <c r="K425" s="360"/>
      <c r="L425" s="360"/>
      <c r="M425" s="360"/>
      <c r="N425" s="385" t="s">
        <v>376</v>
      </c>
      <c r="O425" s="360"/>
      <c r="P425" s="360"/>
      <c r="Q425" s="360"/>
      <c r="R425" s="360"/>
      <c r="S425" s="257"/>
      <c r="T425" s="257"/>
      <c r="U425" s="258"/>
      <c r="V425" s="258"/>
      <c r="W425" s="258"/>
      <c r="X425" s="258"/>
      <c r="Y425" s="258"/>
      <c r="Z425" s="258"/>
      <c r="AA425" s="258"/>
      <c r="AB425" s="259"/>
    </row>
    <row r="426" spans="3:42" ht="14.25" customHeight="1" x14ac:dyDescent="0.25">
      <c r="H426" s="438" t="s">
        <v>333</v>
      </c>
      <c r="I426" s="360"/>
      <c r="J426" s="360"/>
      <c r="K426" s="360"/>
      <c r="L426" s="360"/>
      <c r="M426" s="360"/>
      <c r="N426" s="385" t="s">
        <v>376</v>
      </c>
      <c r="O426" s="360"/>
      <c r="P426" s="360"/>
      <c r="Q426" s="360"/>
      <c r="R426" s="360"/>
      <c r="S426" s="260"/>
      <c r="T426" s="260"/>
    </row>
    <row r="427" spans="3:42" ht="14.25" customHeight="1" x14ac:dyDescent="0.25">
      <c r="H427" s="438" t="s">
        <v>334</v>
      </c>
      <c r="I427" s="360"/>
      <c r="J427" s="360"/>
      <c r="K427" s="360"/>
      <c r="L427" s="360"/>
      <c r="M427" s="360"/>
      <c r="N427" s="444" t="s">
        <v>335</v>
      </c>
      <c r="O427" s="360"/>
      <c r="P427" s="360"/>
      <c r="Q427" s="360"/>
      <c r="R427" s="360"/>
      <c r="S427" s="261"/>
      <c r="T427" s="261"/>
      <c r="U427" s="254"/>
      <c r="V427" s="254"/>
      <c r="W427" s="254"/>
      <c r="X427" s="254"/>
      <c r="Y427" s="254"/>
      <c r="Z427" s="254"/>
      <c r="AA427" s="254"/>
      <c r="AB427" s="255"/>
    </row>
    <row r="428" spans="3:42" ht="14.25" customHeight="1" x14ac:dyDescent="0.25">
      <c r="H428" s="438" t="s">
        <v>336</v>
      </c>
      <c r="I428" s="360"/>
      <c r="J428" s="360"/>
      <c r="K428" s="360"/>
      <c r="L428" s="360"/>
      <c r="M428" s="360"/>
      <c r="N428" s="444" t="s">
        <v>335</v>
      </c>
      <c r="O428" s="360"/>
      <c r="P428" s="360"/>
      <c r="Q428" s="360"/>
      <c r="R428" s="360"/>
      <c r="S428" s="261"/>
      <c r="T428" s="261"/>
      <c r="U428" s="254"/>
      <c r="V428" s="254"/>
      <c r="W428" s="254"/>
      <c r="X428" s="254"/>
      <c r="Y428" s="254"/>
      <c r="Z428" s="254"/>
      <c r="AA428" s="254"/>
      <c r="AB428" s="255"/>
    </row>
    <row r="429" spans="3:42" ht="14.25" customHeight="1" x14ac:dyDescent="0.25">
      <c r="H429" s="447"/>
      <c r="I429" s="448"/>
      <c r="J429" s="448"/>
      <c r="K429" s="448"/>
      <c r="L429" s="448"/>
      <c r="M429" s="448"/>
      <c r="O429" s="254"/>
      <c r="P429" s="254"/>
      <c r="Q429" s="254"/>
      <c r="R429" s="254"/>
      <c r="S429" s="254"/>
      <c r="T429" s="254"/>
      <c r="U429" s="254"/>
      <c r="V429" s="254"/>
      <c r="W429" s="254"/>
      <c r="X429" s="254"/>
      <c r="Y429" s="254"/>
      <c r="Z429" s="254"/>
      <c r="AA429" s="254"/>
      <c r="AB429" s="255"/>
    </row>
    <row r="430" spans="3:42" ht="14.25" customHeight="1" x14ac:dyDescent="0.25">
      <c r="H430" s="443" t="s">
        <v>337</v>
      </c>
      <c r="I430" s="360"/>
      <c r="J430" s="360"/>
      <c r="K430" s="360"/>
      <c r="L430" s="360"/>
      <c r="M430" s="360"/>
      <c r="N430" s="442" t="s">
        <v>325</v>
      </c>
      <c r="O430" s="360"/>
      <c r="P430" s="360"/>
      <c r="Q430" s="360"/>
      <c r="R430" s="378"/>
      <c r="S430" s="253" t="s">
        <v>326</v>
      </c>
      <c r="T430" s="253" t="s">
        <v>327</v>
      </c>
      <c r="U430" s="254"/>
      <c r="V430" s="254"/>
      <c r="W430" s="254"/>
      <c r="X430" s="254"/>
      <c r="Y430" s="254"/>
      <c r="Z430" s="254"/>
      <c r="AA430" s="254"/>
      <c r="AB430" s="255"/>
    </row>
    <row r="431" spans="3:42" ht="14.25" customHeight="1" x14ac:dyDescent="0.25">
      <c r="H431" s="445" t="s">
        <v>292</v>
      </c>
      <c r="I431" s="360"/>
      <c r="J431" s="360"/>
      <c r="K431" s="360"/>
      <c r="L431" s="360"/>
      <c r="M431" s="378"/>
      <c r="N431" s="385" t="s">
        <v>375</v>
      </c>
      <c r="O431" s="360"/>
      <c r="P431" s="360"/>
      <c r="Q431" s="360"/>
      <c r="R431" s="360"/>
      <c r="S431" s="257"/>
      <c r="T431" s="257"/>
      <c r="U431" s="258"/>
      <c r="V431" s="258"/>
      <c r="W431" s="258"/>
      <c r="X431" s="258"/>
      <c r="Y431" s="258"/>
      <c r="Z431" s="258"/>
      <c r="AA431" s="258"/>
      <c r="AB431" s="259"/>
    </row>
    <row r="432" spans="3:42" ht="14.25" customHeight="1" x14ac:dyDescent="0.25">
      <c r="H432" s="445" t="s">
        <v>296</v>
      </c>
      <c r="I432" s="360"/>
      <c r="J432" s="360"/>
      <c r="K432" s="360"/>
      <c r="L432" s="360"/>
      <c r="M432" s="378"/>
      <c r="N432" s="256" t="s">
        <v>377</v>
      </c>
      <c r="Q432" s="262" t="s">
        <v>378</v>
      </c>
      <c r="R432" s="254"/>
      <c r="S432" s="261"/>
      <c r="T432" s="261"/>
      <c r="U432" s="254"/>
      <c r="V432" s="254"/>
      <c r="W432" s="254"/>
      <c r="X432" s="254"/>
      <c r="Y432" s="254"/>
      <c r="Z432" s="254"/>
      <c r="AA432" s="254"/>
      <c r="AB432" s="255"/>
    </row>
    <row r="433" spans="8:28" ht="14.25" customHeight="1" x14ac:dyDescent="0.25">
      <c r="H433" s="410" t="s">
        <v>340</v>
      </c>
      <c r="I433" s="360"/>
      <c r="J433" s="360"/>
      <c r="K433" s="360"/>
      <c r="L433" s="360"/>
      <c r="M433" s="378"/>
      <c r="N433" s="263"/>
      <c r="O433" s="258"/>
      <c r="P433" s="258"/>
      <c r="Q433" s="254"/>
      <c r="R433" s="255"/>
      <c r="S433" s="254"/>
      <c r="T433" s="261"/>
      <c r="U433" s="254"/>
      <c r="V433" s="254"/>
      <c r="W433" s="254"/>
      <c r="X433" s="254"/>
      <c r="Y433" s="254"/>
      <c r="Z433" s="254"/>
      <c r="AA433" s="254"/>
      <c r="AB433" s="255"/>
    </row>
    <row r="434" spans="8:28" ht="14.25" customHeight="1" x14ac:dyDescent="0.25">
      <c r="H434" s="445" t="s">
        <v>333</v>
      </c>
      <c r="I434" s="360"/>
      <c r="J434" s="360"/>
      <c r="K434" s="360"/>
      <c r="L434" s="360"/>
      <c r="M434" s="378"/>
      <c r="N434" s="385" t="s">
        <v>379</v>
      </c>
      <c r="O434" s="360"/>
      <c r="P434" s="360"/>
      <c r="Q434" s="360"/>
      <c r="R434" s="360"/>
      <c r="S434" s="257"/>
      <c r="T434" s="257"/>
      <c r="U434" s="258"/>
      <c r="V434" s="258"/>
      <c r="W434" s="258"/>
      <c r="X434" s="258"/>
      <c r="Y434" s="258"/>
      <c r="Z434" s="258"/>
      <c r="AA434" s="258"/>
      <c r="AB434" s="259"/>
    </row>
    <row r="435" spans="8:28" ht="14.25" customHeight="1" x14ac:dyDescent="0.25">
      <c r="H435" s="445" t="s">
        <v>334</v>
      </c>
      <c r="I435" s="360"/>
      <c r="J435" s="360"/>
      <c r="K435" s="360"/>
      <c r="L435" s="360"/>
      <c r="M435" s="378"/>
      <c r="N435" s="444" t="s">
        <v>335</v>
      </c>
      <c r="O435" s="360"/>
      <c r="P435" s="360"/>
      <c r="Q435" s="360"/>
      <c r="R435" s="360"/>
      <c r="S435" s="261"/>
      <c r="T435" s="261"/>
      <c r="U435" s="254"/>
      <c r="V435" s="254"/>
      <c r="W435" s="254"/>
      <c r="X435" s="254"/>
      <c r="Y435" s="254"/>
      <c r="Z435" s="254"/>
      <c r="AA435" s="254"/>
      <c r="AB435" s="255"/>
    </row>
    <row r="436" spans="8:28" ht="14.25" customHeight="1" x14ac:dyDescent="0.25">
      <c r="H436" s="445" t="s">
        <v>341</v>
      </c>
      <c r="I436" s="360"/>
      <c r="J436" s="360"/>
      <c r="K436" s="360"/>
      <c r="L436" s="360"/>
      <c r="M436" s="378"/>
      <c r="N436" s="444" t="s">
        <v>335</v>
      </c>
      <c r="O436" s="360"/>
      <c r="P436" s="360"/>
      <c r="Q436" s="360"/>
      <c r="R436" s="360"/>
      <c r="S436" s="261"/>
      <c r="T436" s="261"/>
      <c r="U436" s="254"/>
      <c r="V436" s="254"/>
      <c r="W436" s="254"/>
      <c r="X436" s="254"/>
      <c r="Y436" s="254"/>
      <c r="Z436" s="254"/>
      <c r="AA436" s="254"/>
      <c r="AB436" s="255"/>
    </row>
    <row r="437" spans="8:28" ht="14.25" customHeight="1" x14ac:dyDescent="0.25">
      <c r="H437" s="445" t="s">
        <v>336</v>
      </c>
      <c r="I437" s="360"/>
      <c r="J437" s="360"/>
      <c r="K437" s="360"/>
      <c r="L437" s="360"/>
      <c r="M437" s="378"/>
      <c r="N437" s="444" t="s">
        <v>335</v>
      </c>
      <c r="O437" s="360"/>
      <c r="P437" s="360"/>
      <c r="Q437" s="360"/>
      <c r="R437" s="360"/>
      <c r="S437" s="261"/>
      <c r="T437" s="261"/>
      <c r="U437" s="254"/>
      <c r="V437" s="254"/>
      <c r="W437" s="254"/>
      <c r="X437" s="254"/>
      <c r="Y437" s="254"/>
      <c r="Z437" s="254"/>
      <c r="AA437" s="254"/>
      <c r="AB437" s="255"/>
    </row>
    <row r="438" spans="8:28" ht="14.25" customHeight="1" x14ac:dyDescent="0.2">
      <c r="H438" s="131" t="s">
        <v>380</v>
      </c>
    </row>
  </sheetData>
  <mergeCells count="59">
    <mergeCell ref="J13:J25"/>
    <mergeCell ref="N424:R424"/>
    <mergeCell ref="G7:X7"/>
    <mergeCell ref="H424:M424"/>
    <mergeCell ref="H334:H363"/>
    <mergeCell ref="H9:H25"/>
    <mergeCell ref="M9:P9"/>
    <mergeCell ref="J9:L9"/>
    <mergeCell ref="L33:L34"/>
    <mergeCell ref="H367:H373"/>
    <mergeCell ref="M33:M34"/>
    <mergeCell ref="J41:J68"/>
    <mergeCell ref="H28:H70"/>
    <mergeCell ref="H437:M437"/>
    <mergeCell ref="J403:J405"/>
    <mergeCell ref="J380:J386"/>
    <mergeCell ref="H433:M433"/>
    <mergeCell ref="H429:M429"/>
    <mergeCell ref="H423:M423"/>
    <mergeCell ref="N435:R435"/>
    <mergeCell ref="H435:M435"/>
    <mergeCell ref="G73:U73"/>
    <mergeCell ref="H425:M425"/>
    <mergeCell ref="H431:M431"/>
    <mergeCell ref="J76:J105"/>
    <mergeCell ref="N434:R434"/>
    <mergeCell ref="N428:R428"/>
    <mergeCell ref="N437:R437"/>
    <mergeCell ref="J334:J363"/>
    <mergeCell ref="G420:U420"/>
    <mergeCell ref="N431:R431"/>
    <mergeCell ref="J108:J137"/>
    <mergeCell ref="N427:R427"/>
    <mergeCell ref="H427:M427"/>
    <mergeCell ref="H434:M434"/>
    <mergeCell ref="N430:R430"/>
    <mergeCell ref="H430:M430"/>
    <mergeCell ref="H436:M436"/>
    <mergeCell ref="H428:M428"/>
    <mergeCell ref="H432:M432"/>
    <mergeCell ref="J204:J233"/>
    <mergeCell ref="N436:R436"/>
    <mergeCell ref="J140:J169"/>
    <mergeCell ref="U4:U5"/>
    <mergeCell ref="H426:M426"/>
    <mergeCell ref="J367:J373"/>
    <mergeCell ref="J31:N31"/>
    <mergeCell ref="N426:R426"/>
    <mergeCell ref="J172:J201"/>
    <mergeCell ref="H76:H297"/>
    <mergeCell ref="J268:J297"/>
    <mergeCell ref="N425:R425"/>
    <mergeCell ref="N423:R423"/>
    <mergeCell ref="J28:O28"/>
    <mergeCell ref="H301:H330"/>
    <mergeCell ref="J236:J265"/>
    <mergeCell ref="J301:J330"/>
    <mergeCell ref="N422:R422"/>
    <mergeCell ref="H422:M422"/>
  </mergeCells>
  <hyperlinks>
    <hyperlink ref="M1" r:id="rId1" xr:uid="{00000000-0004-0000-0400-000000000000}"/>
    <hyperlink ref="N423" r:id="rId2" xr:uid="{00000000-0004-0000-0400-000001000000}"/>
    <hyperlink ref="N424" r:id="rId3" xr:uid="{00000000-0004-0000-0400-000002000000}"/>
    <hyperlink ref="N425" r:id="rId4" xr:uid="{00000000-0004-0000-0400-000003000000}"/>
    <hyperlink ref="N426" r:id="rId5" xr:uid="{00000000-0004-0000-0400-000004000000}"/>
    <hyperlink ref="N431" r:id="rId6" xr:uid="{00000000-0004-0000-0400-000005000000}"/>
    <hyperlink ref="Q432" r:id="rId7" xr:uid="{00000000-0004-0000-0400-000006000000}"/>
    <hyperlink ref="N434" r:id="rId8" xr:uid="{00000000-0004-0000-0400-000007000000}"/>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20"/>
  <sheetViews>
    <sheetView topLeftCell="D1" workbookViewId="0">
      <selection activeCell="H14" sqref="H14"/>
    </sheetView>
  </sheetViews>
  <sheetFormatPr defaultColWidth="9.28515625" defaultRowHeight="15" x14ac:dyDescent="0.25"/>
  <cols>
    <col min="1" max="1" width="54" bestFit="1" customWidth="1"/>
    <col min="2" max="2" width="45.7109375" customWidth="1"/>
    <col min="3" max="3" width="89.28515625" customWidth="1"/>
    <col min="4" max="4" width="17.42578125" customWidth="1"/>
    <col min="5" max="5" width="21.5703125" bestFit="1" customWidth="1"/>
    <col min="7" max="7" width="10.28515625" bestFit="1" customWidth="1"/>
    <col min="8" max="9" width="10" bestFit="1" customWidth="1"/>
    <col min="10" max="10" width="10.28515625" bestFit="1" customWidth="1"/>
    <col min="11" max="11" width="10" bestFit="1" customWidth="1"/>
    <col min="15" max="15" width="11" bestFit="1" customWidth="1"/>
  </cols>
  <sheetData>
    <row r="1" spans="1:24" s="1" customFormat="1" x14ac:dyDescent="0.25">
      <c r="A1" s="1" t="s">
        <v>381</v>
      </c>
      <c r="B1" s="1" t="s">
        <v>382</v>
      </c>
      <c r="C1" s="1" t="s">
        <v>383</v>
      </c>
      <c r="D1" s="1" t="s">
        <v>384</v>
      </c>
      <c r="E1" s="1" t="s">
        <v>385</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386</v>
      </c>
      <c r="B2" t="s">
        <v>387</v>
      </c>
      <c r="C2" t="s">
        <v>388</v>
      </c>
      <c r="D2" t="s">
        <v>389</v>
      </c>
      <c r="E2" t="s">
        <v>390</v>
      </c>
      <c r="F2" s="28">
        <v>1.0999999999999999E-2</v>
      </c>
      <c r="G2" s="28">
        <v>1.2E-2</v>
      </c>
      <c r="H2" s="28">
        <v>1.2E-2</v>
      </c>
      <c r="I2" s="28">
        <v>1.2E-2</v>
      </c>
      <c r="J2" s="28">
        <v>0</v>
      </c>
      <c r="K2" s="28">
        <v>0</v>
      </c>
      <c r="L2" s="2">
        <v>0</v>
      </c>
      <c r="M2" s="2">
        <v>0</v>
      </c>
      <c r="N2" s="2">
        <v>0</v>
      </c>
      <c r="O2" s="2">
        <v>0</v>
      </c>
      <c r="P2" s="2">
        <v>0</v>
      </c>
      <c r="Q2" s="2">
        <v>0</v>
      </c>
      <c r="R2" s="2">
        <v>0</v>
      </c>
      <c r="S2" s="2">
        <v>0</v>
      </c>
      <c r="T2" s="2">
        <v>0</v>
      </c>
      <c r="U2" s="2">
        <v>0</v>
      </c>
      <c r="V2" s="2">
        <v>0</v>
      </c>
      <c r="W2" s="2">
        <v>0</v>
      </c>
      <c r="X2" t="s">
        <v>391</v>
      </c>
    </row>
    <row r="3" spans="1:24" x14ac:dyDescent="0.25">
      <c r="A3" t="s">
        <v>392</v>
      </c>
      <c r="B3" t="s">
        <v>393</v>
      </c>
      <c r="C3" t="s">
        <v>22</v>
      </c>
      <c r="D3" t="s">
        <v>389</v>
      </c>
      <c r="E3" t="s">
        <v>394</v>
      </c>
      <c r="F3" s="28">
        <v>0</v>
      </c>
      <c r="G3" s="28">
        <v>0</v>
      </c>
      <c r="H3" s="28">
        <v>0</v>
      </c>
      <c r="I3" s="28">
        <v>0</v>
      </c>
      <c r="J3" s="28">
        <v>0</v>
      </c>
      <c r="K3" s="28">
        <v>0</v>
      </c>
      <c r="L3" s="2">
        <v>0</v>
      </c>
      <c r="M3" s="2">
        <v>0</v>
      </c>
      <c r="N3" s="2">
        <v>0</v>
      </c>
      <c r="O3" s="2">
        <v>0</v>
      </c>
      <c r="P3" s="2">
        <v>0</v>
      </c>
      <c r="Q3" s="2">
        <v>0</v>
      </c>
      <c r="R3" s="2">
        <v>0</v>
      </c>
      <c r="S3" s="2">
        <v>0</v>
      </c>
      <c r="T3" s="2">
        <v>0</v>
      </c>
      <c r="U3" s="2">
        <v>0</v>
      </c>
      <c r="V3" s="2">
        <v>0</v>
      </c>
      <c r="W3" s="2">
        <v>0</v>
      </c>
      <c r="X3" t="s">
        <v>395</v>
      </c>
    </row>
    <row r="4" spans="1:24" x14ac:dyDescent="0.25">
      <c r="A4" s="16" t="s">
        <v>392</v>
      </c>
      <c r="B4" t="s">
        <v>396</v>
      </c>
      <c r="C4" t="s">
        <v>9</v>
      </c>
      <c r="D4" t="s">
        <v>389</v>
      </c>
      <c r="E4" t="s">
        <v>397</v>
      </c>
      <c r="F4" s="28" t="s">
        <v>398</v>
      </c>
      <c r="G4" s="28">
        <v>0.4</v>
      </c>
      <c r="H4" s="28">
        <v>0.4</v>
      </c>
      <c r="I4" s="28">
        <v>0.4</v>
      </c>
      <c r="J4" s="28">
        <v>0.3</v>
      </c>
      <c r="K4" s="28">
        <v>0.3</v>
      </c>
      <c r="L4" s="2" t="s">
        <v>398</v>
      </c>
      <c r="M4" s="2" t="s">
        <v>398</v>
      </c>
      <c r="N4" s="2" t="s">
        <v>398</v>
      </c>
      <c r="O4" s="2" t="s">
        <v>398</v>
      </c>
      <c r="P4" s="2" t="s">
        <v>398</v>
      </c>
      <c r="Q4" s="2" t="s">
        <v>398</v>
      </c>
      <c r="R4" s="2" t="s">
        <v>398</v>
      </c>
      <c r="S4" s="2" t="s">
        <v>398</v>
      </c>
      <c r="T4" s="2" t="s">
        <v>398</v>
      </c>
      <c r="U4" s="2" t="s">
        <v>398</v>
      </c>
      <c r="V4" s="2" t="s">
        <v>398</v>
      </c>
      <c r="W4" s="2" t="s">
        <v>398</v>
      </c>
      <c r="X4" t="s">
        <v>399</v>
      </c>
    </row>
    <row r="5" spans="1:24" x14ac:dyDescent="0.25">
      <c r="A5" t="s">
        <v>400</v>
      </c>
      <c r="B5" t="s">
        <v>387</v>
      </c>
      <c r="C5" s="17" t="s">
        <v>388</v>
      </c>
      <c r="D5" t="s">
        <v>389</v>
      </c>
      <c r="E5" t="s">
        <v>390</v>
      </c>
      <c r="F5" s="28">
        <v>1.0999999999999999E-2</v>
      </c>
      <c r="G5" s="28">
        <v>1.2E-2</v>
      </c>
      <c r="H5" s="28">
        <v>1.2E-2</v>
      </c>
      <c r="I5" s="28">
        <v>1.2E-2</v>
      </c>
      <c r="J5" s="28">
        <v>0</v>
      </c>
      <c r="K5" s="28">
        <v>0</v>
      </c>
      <c r="L5" s="2">
        <v>0</v>
      </c>
      <c r="M5" s="2">
        <v>0</v>
      </c>
      <c r="N5" s="2">
        <v>0</v>
      </c>
      <c r="O5" s="2">
        <v>0</v>
      </c>
      <c r="P5" s="2">
        <v>0</v>
      </c>
      <c r="Q5" s="2">
        <v>0</v>
      </c>
      <c r="R5" s="2">
        <v>0</v>
      </c>
      <c r="S5" s="2">
        <v>0</v>
      </c>
      <c r="T5" s="2">
        <v>0</v>
      </c>
      <c r="U5" s="2">
        <v>0</v>
      </c>
      <c r="V5" s="2">
        <v>0</v>
      </c>
      <c r="W5" s="2">
        <v>0</v>
      </c>
      <c r="X5" t="s">
        <v>391</v>
      </c>
    </row>
    <row r="6" spans="1:24" x14ac:dyDescent="0.25">
      <c r="A6" t="s">
        <v>401</v>
      </c>
      <c r="B6" t="s">
        <v>402</v>
      </c>
      <c r="C6" t="s">
        <v>9</v>
      </c>
      <c r="D6" t="s">
        <v>389</v>
      </c>
      <c r="E6" t="s">
        <v>397</v>
      </c>
      <c r="F6" s="28">
        <v>0</v>
      </c>
      <c r="G6" s="29">
        <v>0.2</v>
      </c>
      <c r="H6" s="29">
        <v>0.2</v>
      </c>
      <c r="I6" s="29">
        <v>0.2</v>
      </c>
      <c r="J6" s="29">
        <v>0.3</v>
      </c>
      <c r="K6" s="29">
        <v>0.3</v>
      </c>
      <c r="L6" s="2">
        <v>0</v>
      </c>
      <c r="M6" s="2">
        <v>0</v>
      </c>
      <c r="N6" s="2">
        <v>0</v>
      </c>
      <c r="O6" s="2">
        <v>0</v>
      </c>
      <c r="P6" s="2">
        <v>0</v>
      </c>
      <c r="Q6" s="2">
        <v>0</v>
      </c>
      <c r="R6" s="2">
        <v>0</v>
      </c>
      <c r="S6" s="2">
        <v>0</v>
      </c>
      <c r="T6" s="2">
        <v>0</v>
      </c>
      <c r="U6" s="2">
        <v>0</v>
      </c>
      <c r="V6" s="2">
        <v>0</v>
      </c>
      <c r="W6" s="2">
        <v>0</v>
      </c>
      <c r="X6" t="s">
        <v>399</v>
      </c>
    </row>
    <row r="7" spans="1:24" x14ac:dyDescent="0.25">
      <c r="A7" t="s">
        <v>401</v>
      </c>
      <c r="B7" t="s">
        <v>403</v>
      </c>
      <c r="C7" t="s">
        <v>404</v>
      </c>
      <c r="D7" t="s">
        <v>389</v>
      </c>
      <c r="E7" t="s">
        <v>397</v>
      </c>
      <c r="F7" s="28">
        <v>0</v>
      </c>
      <c r="G7" s="28">
        <v>0</v>
      </c>
      <c r="H7" s="28">
        <v>0</v>
      </c>
      <c r="I7" s="28">
        <v>0</v>
      </c>
      <c r="J7" s="28">
        <v>0</v>
      </c>
      <c r="K7" s="28">
        <v>0</v>
      </c>
      <c r="L7" s="28">
        <v>0</v>
      </c>
      <c r="M7" s="28">
        <v>0</v>
      </c>
      <c r="N7" s="28">
        <v>0</v>
      </c>
      <c r="O7" s="2">
        <f>6/5</f>
        <v>1.2</v>
      </c>
      <c r="P7" s="2">
        <f>6/5</f>
        <v>1.2</v>
      </c>
      <c r="Q7" s="2">
        <f>6/5</f>
        <v>1.2</v>
      </c>
      <c r="R7" s="2">
        <f>6/5</f>
        <v>1.2</v>
      </c>
      <c r="S7" s="2">
        <f>6/5</f>
        <v>1.2</v>
      </c>
      <c r="T7" s="28">
        <v>0</v>
      </c>
      <c r="U7" s="28">
        <v>0</v>
      </c>
      <c r="V7" s="28">
        <v>0</v>
      </c>
      <c r="W7" s="28">
        <v>0</v>
      </c>
      <c r="X7" t="s">
        <v>405</v>
      </c>
    </row>
    <row r="8" spans="1:24" x14ac:dyDescent="0.25">
      <c r="A8" t="s">
        <v>406</v>
      </c>
      <c r="B8" t="s">
        <v>407</v>
      </c>
      <c r="C8" s="17" t="s">
        <v>35</v>
      </c>
      <c r="D8" t="s">
        <v>389</v>
      </c>
      <c r="E8" t="s">
        <v>408</v>
      </c>
      <c r="F8" s="28">
        <v>0.3</v>
      </c>
      <c r="G8" s="28">
        <v>0.3</v>
      </c>
      <c r="H8" s="28">
        <v>0.3</v>
      </c>
      <c r="I8" s="28">
        <v>0.3</v>
      </c>
      <c r="J8" s="28">
        <v>0.3</v>
      </c>
      <c r="K8" s="28">
        <v>0.3</v>
      </c>
      <c r="L8" s="2">
        <v>0.3</v>
      </c>
      <c r="M8" s="2">
        <v>0.26</v>
      </c>
      <c r="N8" s="2">
        <v>0.26</v>
      </c>
      <c r="O8" s="2">
        <v>0.26</v>
      </c>
      <c r="P8" s="2">
        <v>0.22</v>
      </c>
      <c r="Q8" s="2">
        <v>0.1</v>
      </c>
      <c r="R8" s="2">
        <v>0.1</v>
      </c>
      <c r="S8" s="2">
        <v>0.1</v>
      </c>
      <c r="T8" s="2">
        <v>0.1</v>
      </c>
      <c r="U8" s="2">
        <v>0.1</v>
      </c>
      <c r="V8" s="2">
        <v>0.1</v>
      </c>
      <c r="W8" s="2">
        <v>0.1</v>
      </c>
      <c r="X8" t="s">
        <v>409</v>
      </c>
    </row>
    <row r="9" spans="1:24" x14ac:dyDescent="0.25">
      <c r="A9" t="s">
        <v>152</v>
      </c>
      <c r="B9" t="s">
        <v>407</v>
      </c>
      <c r="C9" s="17" t="s">
        <v>35</v>
      </c>
      <c r="D9" t="s">
        <v>389</v>
      </c>
      <c r="E9" t="s">
        <v>408</v>
      </c>
      <c r="F9" s="28">
        <v>0</v>
      </c>
      <c r="G9" s="28">
        <v>0</v>
      </c>
      <c r="H9" s="28">
        <v>0</v>
      </c>
      <c r="I9" s="28">
        <v>0</v>
      </c>
      <c r="J9" s="28">
        <v>0</v>
      </c>
      <c r="K9" s="28">
        <v>0</v>
      </c>
      <c r="L9" s="2">
        <v>0</v>
      </c>
      <c r="M9" s="2">
        <v>0</v>
      </c>
      <c r="N9" s="2">
        <v>0.3</v>
      </c>
      <c r="O9" s="2">
        <v>0.3</v>
      </c>
      <c r="P9" s="2">
        <v>0.3</v>
      </c>
      <c r="Q9" s="2">
        <v>0.3</v>
      </c>
      <c r="R9" s="2">
        <v>0.3</v>
      </c>
      <c r="S9" s="2">
        <v>0</v>
      </c>
      <c r="T9" s="2">
        <v>0</v>
      </c>
      <c r="U9" s="2">
        <v>0</v>
      </c>
      <c r="V9" s="2">
        <v>0</v>
      </c>
      <c r="W9" s="2">
        <v>0</v>
      </c>
      <c r="X9" t="s">
        <v>410</v>
      </c>
    </row>
    <row r="10" spans="1:24" x14ac:dyDescent="0.25">
      <c r="A10" t="s">
        <v>411</v>
      </c>
      <c r="B10" t="s">
        <v>387</v>
      </c>
      <c r="C10" t="s">
        <v>412</v>
      </c>
      <c r="D10" t="s">
        <v>389</v>
      </c>
      <c r="E10" t="s">
        <v>413</v>
      </c>
      <c r="F10" s="28">
        <v>2.3E-2</v>
      </c>
      <c r="G10" s="28">
        <v>2.3E-2</v>
      </c>
      <c r="H10" s="28">
        <v>2.3E-2</v>
      </c>
      <c r="I10" s="28">
        <v>2.3E-2</v>
      </c>
      <c r="J10" s="28">
        <f>I10*0.8</f>
        <v>1.84E-2</v>
      </c>
      <c r="K10" s="28">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414</v>
      </c>
    </row>
    <row r="11" spans="1:24" x14ac:dyDescent="0.25">
      <c r="A11" t="s">
        <v>152</v>
      </c>
      <c r="B11" t="s">
        <v>387</v>
      </c>
      <c r="C11" t="s">
        <v>412</v>
      </c>
      <c r="D11" t="s">
        <v>389</v>
      </c>
      <c r="E11" t="s">
        <v>413</v>
      </c>
      <c r="F11" s="28">
        <f t="shared" ref="F11:M11" si="0">F10</f>
        <v>2.3E-2</v>
      </c>
      <c r="G11" s="28">
        <f t="shared" si="0"/>
        <v>2.3E-2</v>
      </c>
      <c r="H11" s="28">
        <f t="shared" si="0"/>
        <v>2.3E-2</v>
      </c>
      <c r="I11" s="28">
        <f t="shared" si="0"/>
        <v>2.3E-2</v>
      </c>
      <c r="J11" s="28">
        <f t="shared" si="0"/>
        <v>1.84E-2</v>
      </c>
      <c r="K11" s="28">
        <f t="shared" si="0"/>
        <v>1.38E-2</v>
      </c>
      <c r="L11" s="2">
        <f t="shared" si="0"/>
        <v>1.0000000000000002E-2</v>
      </c>
      <c r="M11" s="2">
        <f t="shared" si="0"/>
        <v>1.4999999999999999E-2</v>
      </c>
      <c r="N11" s="2">
        <v>0</v>
      </c>
      <c r="O11" s="2">
        <v>0</v>
      </c>
      <c r="P11" s="2">
        <v>0</v>
      </c>
      <c r="Q11" s="2">
        <v>0</v>
      </c>
      <c r="R11" s="2">
        <v>0</v>
      </c>
      <c r="S11" s="2">
        <v>0</v>
      </c>
      <c r="T11" s="2">
        <v>0</v>
      </c>
      <c r="U11" s="2">
        <v>0</v>
      </c>
      <c r="V11" s="2">
        <v>0</v>
      </c>
      <c r="W11" s="2">
        <v>0</v>
      </c>
      <c r="X11" t="s">
        <v>415</v>
      </c>
    </row>
    <row r="12" spans="1:24" s="32" customFormat="1" x14ac:dyDescent="0.25">
      <c r="A12" s="32" t="s">
        <v>151</v>
      </c>
      <c r="B12" s="32" t="s">
        <v>387</v>
      </c>
      <c r="C12" s="32" t="s">
        <v>388</v>
      </c>
      <c r="D12" s="32" t="s">
        <v>389</v>
      </c>
      <c r="E12" s="32" t="s">
        <v>413</v>
      </c>
      <c r="F12" s="29">
        <f>0.023</f>
        <v>2.3E-2</v>
      </c>
      <c r="G12" s="29">
        <f>0.023</f>
        <v>2.3E-2</v>
      </c>
      <c r="H12" s="29">
        <f>0.023</f>
        <v>2.3E-2</v>
      </c>
      <c r="I12" s="29">
        <f>0.023</f>
        <v>2.3E-2</v>
      </c>
      <c r="J12" s="29">
        <v>0</v>
      </c>
      <c r="K12" s="29">
        <v>0</v>
      </c>
      <c r="L12" s="33">
        <v>0</v>
      </c>
      <c r="M12" s="33">
        <v>0</v>
      </c>
      <c r="N12" s="33">
        <v>0</v>
      </c>
      <c r="O12" s="33">
        <v>0</v>
      </c>
      <c r="P12" s="33">
        <v>0</v>
      </c>
      <c r="Q12" s="33">
        <v>0</v>
      </c>
      <c r="R12" s="33">
        <v>0</v>
      </c>
      <c r="S12" s="33">
        <v>0</v>
      </c>
      <c r="T12" s="33">
        <v>0</v>
      </c>
      <c r="U12" s="33">
        <v>0</v>
      </c>
      <c r="V12" s="33">
        <v>0</v>
      </c>
      <c r="W12" s="33">
        <v>0</v>
      </c>
      <c r="X12" s="32" t="s">
        <v>391</v>
      </c>
    </row>
    <row r="13" spans="1:24" x14ac:dyDescent="0.25">
      <c r="A13" t="s">
        <v>151</v>
      </c>
      <c r="B13" t="s">
        <v>407</v>
      </c>
      <c r="C13" s="17" t="s">
        <v>14</v>
      </c>
      <c r="D13" t="s">
        <v>389</v>
      </c>
      <c r="E13" t="s">
        <v>408</v>
      </c>
      <c r="F13" s="28">
        <v>0.1</v>
      </c>
      <c r="G13" s="28">
        <v>0.1</v>
      </c>
      <c r="H13" s="28">
        <v>0.1</v>
      </c>
      <c r="I13" s="28">
        <v>0.1</v>
      </c>
      <c r="J13" s="28">
        <v>0.1</v>
      </c>
      <c r="K13" s="28">
        <v>0.1</v>
      </c>
      <c r="L13" s="2">
        <v>0.1</v>
      </c>
      <c r="M13" s="2">
        <v>0.1</v>
      </c>
      <c r="N13" s="2">
        <v>0.1</v>
      </c>
      <c r="O13" s="2">
        <v>0.1</v>
      </c>
      <c r="P13" s="2">
        <v>0.1</v>
      </c>
      <c r="Q13" s="2">
        <v>0.1</v>
      </c>
      <c r="R13" s="2">
        <v>0.1</v>
      </c>
      <c r="S13" s="2">
        <v>0.1</v>
      </c>
      <c r="T13" s="2">
        <v>0.1</v>
      </c>
      <c r="U13" s="2">
        <v>0.1</v>
      </c>
      <c r="V13" s="2">
        <v>0.1</v>
      </c>
      <c r="W13" s="2">
        <v>0.1</v>
      </c>
      <c r="X13" t="s">
        <v>416</v>
      </c>
    </row>
    <row r="14" spans="1:24" x14ac:dyDescent="0.25">
      <c r="A14" t="s">
        <v>392</v>
      </c>
      <c r="B14" t="s">
        <v>417</v>
      </c>
      <c r="C14" s="17" t="s">
        <v>26</v>
      </c>
      <c r="D14" t="s">
        <v>418</v>
      </c>
      <c r="E14" t="s">
        <v>419</v>
      </c>
      <c r="F14" s="28" t="s">
        <v>398</v>
      </c>
      <c r="G14" s="28" t="s">
        <v>398</v>
      </c>
      <c r="H14" s="30">
        <v>53000000</v>
      </c>
      <c r="I14" s="28" t="s">
        <v>398</v>
      </c>
      <c r="J14" s="28" t="s">
        <v>398</v>
      </c>
      <c r="K14" s="28" t="s">
        <v>398</v>
      </c>
      <c r="L14" s="2" t="s">
        <v>398</v>
      </c>
      <c r="M14" s="2" t="s">
        <v>398</v>
      </c>
      <c r="N14" s="2" t="s">
        <v>398</v>
      </c>
      <c r="O14" s="2" t="s">
        <v>398</v>
      </c>
      <c r="P14" s="2" t="s">
        <v>398</v>
      </c>
      <c r="Q14" s="2" t="s">
        <v>398</v>
      </c>
      <c r="R14" s="2" t="s">
        <v>398</v>
      </c>
      <c r="S14" s="2" t="s">
        <v>398</v>
      </c>
      <c r="T14" s="2" t="s">
        <v>398</v>
      </c>
      <c r="U14" s="2" t="s">
        <v>398</v>
      </c>
      <c r="V14" s="2" t="s">
        <v>398</v>
      </c>
      <c r="W14" s="2" t="s">
        <v>398</v>
      </c>
      <c r="X14" t="s">
        <v>420</v>
      </c>
    </row>
    <row r="15" spans="1:24" x14ac:dyDescent="0.25">
      <c r="A15" t="s">
        <v>392</v>
      </c>
      <c r="B15" t="s">
        <v>421</v>
      </c>
      <c r="C15" t="s">
        <v>422</v>
      </c>
      <c r="D15" t="s">
        <v>418</v>
      </c>
      <c r="E15" t="s">
        <v>397</v>
      </c>
      <c r="F15" s="28" t="s">
        <v>398</v>
      </c>
      <c r="G15" s="28">
        <v>0.1</v>
      </c>
      <c r="H15" s="28">
        <v>0.1</v>
      </c>
      <c r="I15" s="28">
        <v>0.1</v>
      </c>
      <c r="J15" s="28">
        <v>0.1</v>
      </c>
      <c r="K15" s="28">
        <v>0.1</v>
      </c>
      <c r="L15" s="2" t="s">
        <v>398</v>
      </c>
      <c r="M15" s="2" t="s">
        <v>398</v>
      </c>
      <c r="N15" s="2" t="s">
        <v>398</v>
      </c>
      <c r="O15" s="2" t="s">
        <v>398</v>
      </c>
      <c r="P15" s="2" t="s">
        <v>398</v>
      </c>
      <c r="Q15" s="2" t="s">
        <v>398</v>
      </c>
      <c r="R15" s="2" t="s">
        <v>398</v>
      </c>
      <c r="S15" s="2" t="s">
        <v>398</v>
      </c>
      <c r="T15" s="2" t="s">
        <v>398</v>
      </c>
      <c r="U15" s="2" t="s">
        <v>398</v>
      </c>
      <c r="V15" s="2" t="s">
        <v>398</v>
      </c>
      <c r="W15" s="2" t="s">
        <v>398</v>
      </c>
    </row>
    <row r="16" spans="1:24" x14ac:dyDescent="0.25">
      <c r="A16" t="s">
        <v>423</v>
      </c>
      <c r="B16" t="s">
        <v>421</v>
      </c>
      <c r="C16" t="s">
        <v>422</v>
      </c>
      <c r="D16" t="s">
        <v>418</v>
      </c>
      <c r="E16" t="s">
        <v>397</v>
      </c>
      <c r="F16" s="28" t="s">
        <v>398</v>
      </c>
      <c r="G16" s="28">
        <v>1.1000000000000001</v>
      </c>
      <c r="H16" s="28">
        <v>1.1000000000000001</v>
      </c>
      <c r="I16" s="28">
        <v>1.2</v>
      </c>
      <c r="J16" s="28">
        <v>1.3</v>
      </c>
      <c r="K16" s="28">
        <v>1.3</v>
      </c>
      <c r="L16" s="2" t="s">
        <v>398</v>
      </c>
      <c r="M16" s="2" t="s">
        <v>398</v>
      </c>
      <c r="N16" s="2" t="s">
        <v>398</v>
      </c>
      <c r="O16" s="2" t="s">
        <v>398</v>
      </c>
      <c r="P16" s="2" t="s">
        <v>398</v>
      </c>
      <c r="Q16" s="2" t="s">
        <v>398</v>
      </c>
      <c r="R16" s="2" t="s">
        <v>398</v>
      </c>
      <c r="S16" s="2" t="s">
        <v>398</v>
      </c>
      <c r="T16" s="2" t="s">
        <v>398</v>
      </c>
      <c r="U16" s="2" t="s">
        <v>398</v>
      </c>
      <c r="V16" s="2" t="s">
        <v>398</v>
      </c>
      <c r="W16" s="2" t="s">
        <v>398</v>
      </c>
      <c r="X16" t="s">
        <v>399</v>
      </c>
    </row>
    <row r="17" spans="1:24" x14ac:dyDescent="0.25">
      <c r="A17" t="s">
        <v>424</v>
      </c>
      <c r="B17" t="s">
        <v>425</v>
      </c>
      <c r="C17" t="s">
        <v>26</v>
      </c>
      <c r="D17" t="s">
        <v>418</v>
      </c>
      <c r="E17" t="s">
        <v>397</v>
      </c>
      <c r="F17" s="28" t="s">
        <v>398</v>
      </c>
      <c r="G17" s="31">
        <v>1.02</v>
      </c>
      <c r="H17" s="31">
        <v>1.52</v>
      </c>
      <c r="I17" s="31">
        <v>1.62</v>
      </c>
      <c r="J17" s="31">
        <v>1.62</v>
      </c>
      <c r="K17" s="31">
        <v>1.62</v>
      </c>
      <c r="L17" s="2" t="s">
        <v>398</v>
      </c>
      <c r="M17" s="2" t="s">
        <v>398</v>
      </c>
      <c r="N17" s="2" t="s">
        <v>398</v>
      </c>
      <c r="O17" s="2" t="s">
        <v>398</v>
      </c>
      <c r="P17" s="2" t="s">
        <v>398</v>
      </c>
      <c r="Q17" s="2" t="s">
        <v>398</v>
      </c>
      <c r="R17" s="2" t="s">
        <v>398</v>
      </c>
      <c r="S17" s="2" t="s">
        <v>398</v>
      </c>
      <c r="T17" s="2" t="s">
        <v>398</v>
      </c>
      <c r="U17" s="2" t="s">
        <v>398</v>
      </c>
      <c r="V17" s="2" t="s">
        <v>398</v>
      </c>
      <c r="W17" s="2" t="s">
        <v>398</v>
      </c>
      <c r="X17" t="s">
        <v>399</v>
      </c>
    </row>
    <row r="18" spans="1:24" x14ac:dyDescent="0.25">
      <c r="A18" t="s">
        <v>424</v>
      </c>
      <c r="B18" t="s">
        <v>426</v>
      </c>
      <c r="C18" t="s">
        <v>26</v>
      </c>
      <c r="D18" t="s">
        <v>418</v>
      </c>
      <c r="E18" t="s">
        <v>397</v>
      </c>
      <c r="F18" s="28" t="s">
        <v>398</v>
      </c>
      <c r="G18" s="31">
        <v>0.14000000000000001</v>
      </c>
      <c r="H18" s="31">
        <v>0.14000000000000001</v>
      </c>
      <c r="I18" s="31">
        <v>0.14000000000000001</v>
      </c>
      <c r="J18" s="31">
        <v>0.14000000000000001</v>
      </c>
      <c r="K18" s="31">
        <v>0.14000000000000001</v>
      </c>
      <c r="L18" s="2" t="s">
        <v>398</v>
      </c>
      <c r="M18" s="2" t="s">
        <v>398</v>
      </c>
      <c r="N18" s="2" t="s">
        <v>398</v>
      </c>
      <c r="O18" s="2" t="s">
        <v>398</v>
      </c>
      <c r="P18" s="2" t="s">
        <v>398</v>
      </c>
      <c r="Q18" s="2" t="s">
        <v>398</v>
      </c>
      <c r="R18" s="2" t="s">
        <v>398</v>
      </c>
      <c r="S18" s="2" t="s">
        <v>398</v>
      </c>
      <c r="T18" s="2" t="s">
        <v>398</v>
      </c>
      <c r="U18" s="2" t="s">
        <v>398</v>
      </c>
      <c r="V18" s="2" t="s">
        <v>398</v>
      </c>
      <c r="W18" s="2" t="s">
        <v>398</v>
      </c>
      <c r="X18" t="s">
        <v>399</v>
      </c>
    </row>
    <row r="19" spans="1:24" x14ac:dyDescent="0.25">
      <c r="A19" t="s">
        <v>424</v>
      </c>
      <c r="B19" t="s">
        <v>427</v>
      </c>
      <c r="C19" t="s">
        <v>428</v>
      </c>
      <c r="D19" t="s">
        <v>418</v>
      </c>
      <c r="E19" t="s">
        <v>397</v>
      </c>
      <c r="F19" s="28" t="s">
        <v>398</v>
      </c>
      <c r="G19" s="28">
        <v>1.1000000000000001</v>
      </c>
      <c r="H19" s="28">
        <v>1.1000000000000001</v>
      </c>
      <c r="I19" s="28">
        <v>1.2</v>
      </c>
      <c r="J19" s="28">
        <v>1.2</v>
      </c>
      <c r="K19" s="28">
        <v>1.2</v>
      </c>
      <c r="L19" s="2" t="s">
        <v>398</v>
      </c>
      <c r="M19" s="2" t="s">
        <v>398</v>
      </c>
      <c r="N19" s="2" t="s">
        <v>398</v>
      </c>
      <c r="O19" s="2" t="s">
        <v>398</v>
      </c>
      <c r="P19" s="2" t="s">
        <v>398</v>
      </c>
      <c r="Q19" s="2" t="s">
        <v>398</v>
      </c>
      <c r="R19" s="2" t="s">
        <v>398</v>
      </c>
      <c r="S19" s="2" t="s">
        <v>398</v>
      </c>
      <c r="T19" s="2" t="s">
        <v>398</v>
      </c>
      <c r="U19" s="2" t="s">
        <v>398</v>
      </c>
      <c r="V19" s="2" t="s">
        <v>398</v>
      </c>
      <c r="W19" s="2" t="s">
        <v>398</v>
      </c>
      <c r="X19" t="s">
        <v>399</v>
      </c>
    </row>
    <row r="20" spans="1:24" x14ac:dyDescent="0.25">
      <c r="A20" t="s">
        <v>423</v>
      </c>
      <c r="B20" t="s">
        <v>429</v>
      </c>
      <c r="C20" t="s">
        <v>26</v>
      </c>
      <c r="D20" t="s">
        <v>418</v>
      </c>
      <c r="E20" t="s">
        <v>419</v>
      </c>
      <c r="F20" s="28" t="s">
        <v>398</v>
      </c>
      <c r="G20" s="28" t="s">
        <v>398</v>
      </c>
      <c r="H20" s="28">
        <v>10000000</v>
      </c>
      <c r="I20" s="28" t="s">
        <v>398</v>
      </c>
      <c r="J20" s="28" t="s">
        <v>398</v>
      </c>
      <c r="K20" s="28" t="s">
        <v>398</v>
      </c>
      <c r="L20" s="2" t="s">
        <v>398</v>
      </c>
      <c r="M20" s="2" t="s">
        <v>398</v>
      </c>
      <c r="N20" s="2" t="s">
        <v>398</v>
      </c>
      <c r="O20" s="2" t="s">
        <v>398</v>
      </c>
      <c r="P20" s="2" t="s">
        <v>398</v>
      </c>
      <c r="Q20" s="2" t="s">
        <v>398</v>
      </c>
      <c r="R20" s="2" t="s">
        <v>398</v>
      </c>
      <c r="S20" s="2" t="s">
        <v>398</v>
      </c>
      <c r="T20" s="2" t="s">
        <v>398</v>
      </c>
      <c r="U20" s="2" t="s">
        <v>398</v>
      </c>
      <c r="V20" s="2" t="s">
        <v>398</v>
      </c>
      <c r="W20" s="2" t="s">
        <v>398</v>
      </c>
      <c r="X20" t="s">
        <v>420</v>
      </c>
    </row>
  </sheetData>
  <hyperlinks>
    <hyperlink ref="C4" r:id="rId1" xr:uid="{00000000-0004-0000-0500-000000000000}"/>
    <hyperlink ref="C5" r:id="rId2" xr:uid="{00000000-0004-0000-0500-000001000000}"/>
    <hyperlink ref="C6" r:id="rId3" xr:uid="{00000000-0004-0000-0500-000002000000}"/>
    <hyperlink ref="C13" r:id="rId4" xr:uid="{00000000-0004-0000-0500-000003000000}"/>
    <hyperlink ref="C14" r:id="rId5" xr:uid="{00000000-0004-0000-0500-000004000000}"/>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2841"/>
  <sheetViews>
    <sheetView topLeftCell="A5" workbookViewId="0">
      <selection activeCell="A19" sqref="A19:XFD19"/>
    </sheetView>
  </sheetViews>
  <sheetFormatPr defaultColWidth="8.7109375" defaultRowHeight="12" x14ac:dyDescent="0.2"/>
  <cols>
    <col min="1" max="1" width="21.28515625" style="36" bestFit="1" customWidth="1"/>
    <col min="2" max="2" width="46.7109375" style="36" customWidth="1"/>
    <col min="3" max="3" width="8.7109375" style="36" customWidth="1"/>
    <col min="4" max="16384" width="8.7109375" style="36"/>
  </cols>
  <sheetData>
    <row r="1" spans="1:33" ht="15" customHeight="1" thickBot="1" x14ac:dyDescent="0.25">
      <c r="B1" s="52" t="s">
        <v>430</v>
      </c>
      <c r="C1" s="49">
        <v>2021</v>
      </c>
      <c r="D1" s="49">
        <v>2022</v>
      </c>
      <c r="E1" s="49">
        <v>2023</v>
      </c>
      <c r="F1" s="49">
        <v>2024</v>
      </c>
      <c r="G1" s="49">
        <v>2025</v>
      </c>
      <c r="H1" s="49">
        <v>2026</v>
      </c>
      <c r="I1" s="49">
        <v>2027</v>
      </c>
      <c r="J1" s="49">
        <v>2028</v>
      </c>
      <c r="K1" s="49">
        <v>2029</v>
      </c>
      <c r="L1" s="49">
        <v>2030</v>
      </c>
      <c r="M1" s="49">
        <v>2031</v>
      </c>
      <c r="N1" s="49">
        <v>2032</v>
      </c>
      <c r="O1" s="49">
        <v>2033</v>
      </c>
      <c r="P1" s="49">
        <v>2034</v>
      </c>
      <c r="Q1" s="49">
        <v>2035</v>
      </c>
      <c r="R1" s="49">
        <v>2036</v>
      </c>
      <c r="S1" s="49">
        <v>2037</v>
      </c>
      <c r="T1" s="49">
        <v>2038</v>
      </c>
      <c r="U1" s="49">
        <v>2039</v>
      </c>
      <c r="V1" s="49">
        <v>2040</v>
      </c>
      <c r="W1" s="49">
        <v>2041</v>
      </c>
      <c r="X1" s="49">
        <v>2042</v>
      </c>
      <c r="Y1" s="49">
        <v>2043</v>
      </c>
      <c r="Z1" s="49">
        <v>2044</v>
      </c>
      <c r="AA1" s="49">
        <v>2045</v>
      </c>
      <c r="AB1" s="49">
        <v>2046</v>
      </c>
      <c r="AC1" s="49">
        <v>2047</v>
      </c>
      <c r="AD1" s="49">
        <v>2048</v>
      </c>
      <c r="AE1" s="49">
        <v>2049</v>
      </c>
      <c r="AF1" s="49">
        <v>2050</v>
      </c>
    </row>
    <row r="2" spans="1:33" ht="15" customHeight="1" thickTop="1" x14ac:dyDescent="0.2"/>
    <row r="3" spans="1:33" ht="15" customHeight="1" x14ac:dyDescent="0.2">
      <c r="C3" s="54" t="s">
        <v>431</v>
      </c>
      <c r="D3" s="54" t="s">
        <v>432</v>
      </c>
      <c r="E3" s="54"/>
      <c r="F3" s="54"/>
      <c r="G3" s="54"/>
    </row>
    <row r="4" spans="1:33" ht="15" customHeight="1" x14ac:dyDescent="0.2">
      <c r="C4" s="54" t="s">
        <v>433</v>
      </c>
      <c r="D4" s="54" t="s">
        <v>434</v>
      </c>
      <c r="E4" s="54"/>
      <c r="F4" s="54"/>
      <c r="G4" s="54" t="s">
        <v>435</v>
      </c>
    </row>
    <row r="5" spans="1:33" ht="15" customHeight="1" x14ac:dyDescent="0.2">
      <c r="C5" s="54" t="s">
        <v>436</v>
      </c>
      <c r="D5" s="54" t="s">
        <v>437</v>
      </c>
      <c r="E5" s="54"/>
      <c r="F5" s="54"/>
      <c r="G5" s="54"/>
    </row>
    <row r="6" spans="1:33" ht="15" customHeight="1" x14ac:dyDescent="0.2">
      <c r="C6" s="54" t="s">
        <v>438</v>
      </c>
      <c r="D6" s="54"/>
      <c r="E6" s="54" t="s">
        <v>439</v>
      </c>
      <c r="F6" s="54"/>
      <c r="G6" s="54"/>
    </row>
    <row r="10" spans="1:33" ht="15" customHeight="1" x14ac:dyDescent="0.25">
      <c r="A10" s="42" t="s">
        <v>440</v>
      </c>
      <c r="B10" s="53" t="s">
        <v>441</v>
      </c>
      <c r="AG10" s="50" t="s">
        <v>442</v>
      </c>
    </row>
    <row r="11" spans="1:33" ht="15" customHeight="1" x14ac:dyDescent="0.2">
      <c r="B11" s="52" t="s">
        <v>443</v>
      </c>
      <c r="AG11" s="50" t="s">
        <v>444</v>
      </c>
    </row>
    <row r="12" spans="1:33" ht="15" customHeight="1" x14ac:dyDescent="0.2">
      <c r="B12" s="52"/>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0" t="s">
        <v>445</v>
      </c>
    </row>
    <row r="13" spans="1:33" ht="15" customHeight="1" thickBot="1" x14ac:dyDescent="0.25">
      <c r="B13" s="49" t="s">
        <v>446</v>
      </c>
      <c r="C13" s="49">
        <v>2021</v>
      </c>
      <c r="D13" s="49">
        <v>2022</v>
      </c>
      <c r="E13" s="49">
        <v>2023</v>
      </c>
      <c r="F13" s="49">
        <v>2024</v>
      </c>
      <c r="G13" s="49">
        <v>2025</v>
      </c>
      <c r="H13" s="49">
        <v>2026</v>
      </c>
      <c r="I13" s="49">
        <v>2027</v>
      </c>
      <c r="J13" s="49">
        <v>2028</v>
      </c>
      <c r="K13" s="49">
        <v>2029</v>
      </c>
      <c r="L13" s="49">
        <v>2030</v>
      </c>
      <c r="M13" s="49">
        <v>2031</v>
      </c>
      <c r="N13" s="49">
        <v>2032</v>
      </c>
      <c r="O13" s="49">
        <v>2033</v>
      </c>
      <c r="P13" s="49">
        <v>2034</v>
      </c>
      <c r="Q13" s="49">
        <v>2035</v>
      </c>
      <c r="R13" s="49">
        <v>2036</v>
      </c>
      <c r="S13" s="49">
        <v>2037</v>
      </c>
      <c r="T13" s="49">
        <v>2038</v>
      </c>
      <c r="U13" s="49">
        <v>2039</v>
      </c>
      <c r="V13" s="49">
        <v>2040</v>
      </c>
      <c r="W13" s="49">
        <v>2041</v>
      </c>
      <c r="X13" s="49">
        <v>2042</v>
      </c>
      <c r="Y13" s="49">
        <v>2043</v>
      </c>
      <c r="Z13" s="49">
        <v>2044</v>
      </c>
      <c r="AA13" s="49">
        <v>2045</v>
      </c>
      <c r="AB13" s="49">
        <v>2046</v>
      </c>
      <c r="AC13" s="49">
        <v>2047</v>
      </c>
      <c r="AD13" s="49">
        <v>2048</v>
      </c>
      <c r="AE13" s="49">
        <v>2049</v>
      </c>
      <c r="AF13" s="49">
        <v>2050</v>
      </c>
      <c r="AG13" s="48" t="s">
        <v>447</v>
      </c>
    </row>
    <row r="14" spans="1:33" ht="15" customHeight="1" thickTop="1" x14ac:dyDescent="0.2"/>
    <row r="15" spans="1:33" ht="15" customHeight="1" x14ac:dyDescent="0.2">
      <c r="B15" s="45" t="s">
        <v>448</v>
      </c>
    </row>
    <row r="16" spans="1:33" ht="15" customHeight="1" x14ac:dyDescent="0.25">
      <c r="A16" s="42" t="s">
        <v>449</v>
      </c>
      <c r="B16" s="41" t="s">
        <v>450</v>
      </c>
      <c r="C16" s="43">
        <v>23.173487000000002</v>
      </c>
      <c r="D16" s="43">
        <v>24.717472000000001</v>
      </c>
      <c r="E16" s="43">
        <v>25.494104</v>
      </c>
      <c r="F16" s="43">
        <v>26.154641999999999</v>
      </c>
      <c r="G16" s="43">
        <v>27.054276999999999</v>
      </c>
      <c r="H16" s="43">
        <v>27.435596</v>
      </c>
      <c r="I16" s="43">
        <v>27.342155000000002</v>
      </c>
      <c r="J16" s="43">
        <v>27.686851999999998</v>
      </c>
      <c r="K16" s="43">
        <v>27.633852000000001</v>
      </c>
      <c r="L16" s="43">
        <v>27.555264999999999</v>
      </c>
      <c r="M16" s="43">
        <v>27.280258</v>
      </c>
      <c r="N16" s="43">
        <v>27.009712</v>
      </c>
      <c r="O16" s="43">
        <v>27.003247999999999</v>
      </c>
      <c r="P16" s="43">
        <v>26.646474999999999</v>
      </c>
      <c r="Q16" s="43">
        <v>26.477429999999998</v>
      </c>
      <c r="R16" s="43">
        <v>26.305444999999999</v>
      </c>
      <c r="S16" s="43">
        <v>26.016472</v>
      </c>
      <c r="T16" s="43">
        <v>25.819599</v>
      </c>
      <c r="U16" s="43">
        <v>25.821352000000001</v>
      </c>
      <c r="V16" s="43">
        <v>25.902487000000001</v>
      </c>
      <c r="W16" s="43">
        <v>25.722721</v>
      </c>
      <c r="X16" s="43">
        <v>25.635947999999999</v>
      </c>
      <c r="Y16" s="43">
        <v>25.636410000000001</v>
      </c>
      <c r="Z16" s="43">
        <v>25.47831</v>
      </c>
      <c r="AA16" s="43">
        <v>25.779816</v>
      </c>
      <c r="AB16" s="43">
        <v>25.951447999999999</v>
      </c>
      <c r="AC16" s="43">
        <v>25.981897</v>
      </c>
      <c r="AD16" s="43">
        <v>25.859144000000001</v>
      </c>
      <c r="AE16" s="43">
        <v>25.553583</v>
      </c>
      <c r="AF16" s="43">
        <v>26.234584999999999</v>
      </c>
      <c r="AG16" s="39">
        <v>4.287E-3</v>
      </c>
    </row>
    <row r="17" spans="1:33" ht="15" customHeight="1" x14ac:dyDescent="0.25">
      <c r="A17" s="42" t="s">
        <v>451</v>
      </c>
      <c r="B17" s="41" t="s">
        <v>452</v>
      </c>
      <c r="C17" s="43">
        <v>7.0062150000000001</v>
      </c>
      <c r="D17" s="43">
        <v>7.5528149999999998</v>
      </c>
      <c r="E17" s="43">
        <v>7.8837830000000002</v>
      </c>
      <c r="F17" s="43">
        <v>8.023396</v>
      </c>
      <c r="G17" s="43">
        <v>8.1639909999999993</v>
      </c>
      <c r="H17" s="43">
        <v>8.1082020000000004</v>
      </c>
      <c r="I17" s="43">
        <v>8.0414820000000002</v>
      </c>
      <c r="J17" s="43">
        <v>8.0296179999999993</v>
      </c>
      <c r="K17" s="43">
        <v>8.0821810000000003</v>
      </c>
      <c r="L17" s="43">
        <v>8.1559480000000004</v>
      </c>
      <c r="M17" s="43">
        <v>8.1848320000000001</v>
      </c>
      <c r="N17" s="43">
        <v>8.2599870000000006</v>
      </c>
      <c r="O17" s="43">
        <v>8.235239</v>
      </c>
      <c r="P17" s="43">
        <v>8.2500719999999994</v>
      </c>
      <c r="Q17" s="43">
        <v>8.2784399999999998</v>
      </c>
      <c r="R17" s="43">
        <v>8.2101170000000003</v>
      </c>
      <c r="S17" s="43">
        <v>8.1747200000000007</v>
      </c>
      <c r="T17" s="43">
        <v>8.1722750000000008</v>
      </c>
      <c r="U17" s="43">
        <v>8.2225110000000008</v>
      </c>
      <c r="V17" s="43">
        <v>8.2677019999999999</v>
      </c>
      <c r="W17" s="43">
        <v>8.2817030000000003</v>
      </c>
      <c r="X17" s="43">
        <v>8.384741</v>
      </c>
      <c r="Y17" s="43">
        <v>8.4902529999999992</v>
      </c>
      <c r="Z17" s="43">
        <v>8.4762629999999994</v>
      </c>
      <c r="AA17" s="43">
        <v>8.5796620000000008</v>
      </c>
      <c r="AB17" s="43">
        <v>8.6128929999999997</v>
      </c>
      <c r="AC17" s="43">
        <v>8.6344580000000004</v>
      </c>
      <c r="AD17" s="43">
        <v>8.6448269999999994</v>
      </c>
      <c r="AE17" s="43">
        <v>8.6502510000000008</v>
      </c>
      <c r="AF17" s="43">
        <v>8.7012350000000005</v>
      </c>
      <c r="AG17" s="39">
        <v>7.4989999999999996E-3</v>
      </c>
    </row>
    <row r="18" spans="1:33" ht="15" customHeight="1" x14ac:dyDescent="0.25">
      <c r="A18" s="42" t="s">
        <v>453</v>
      </c>
      <c r="B18" s="41" t="s">
        <v>454</v>
      </c>
      <c r="C18" s="43">
        <v>35.682777000000002</v>
      </c>
      <c r="D18" s="43">
        <v>36.629646000000001</v>
      </c>
      <c r="E18" s="43">
        <v>36.922058</v>
      </c>
      <c r="F18" s="43">
        <v>37.131554000000001</v>
      </c>
      <c r="G18" s="43">
        <v>37.233967</v>
      </c>
      <c r="H18" s="43">
        <v>37.210548000000003</v>
      </c>
      <c r="I18" s="43">
        <v>37.134987000000002</v>
      </c>
      <c r="J18" s="43">
        <v>37.74691</v>
      </c>
      <c r="K18" s="43">
        <v>38.012238000000004</v>
      </c>
      <c r="L18" s="43">
        <v>38.079895</v>
      </c>
      <c r="M18" s="43">
        <v>38.334229000000001</v>
      </c>
      <c r="N18" s="43">
        <v>38.609394000000002</v>
      </c>
      <c r="O18" s="43">
        <v>38.861305000000002</v>
      </c>
      <c r="P18" s="43">
        <v>38.688675000000003</v>
      </c>
      <c r="Q18" s="43">
        <v>38.547446999999998</v>
      </c>
      <c r="R18" s="43">
        <v>38.495739</v>
      </c>
      <c r="S18" s="43">
        <v>38.611136999999999</v>
      </c>
      <c r="T18" s="43">
        <v>38.832619000000001</v>
      </c>
      <c r="U18" s="43">
        <v>39.095233999999998</v>
      </c>
      <c r="V18" s="43">
        <v>39.377578999999997</v>
      </c>
      <c r="W18" s="43">
        <v>39.502231999999999</v>
      </c>
      <c r="X18" s="43">
        <v>39.694870000000002</v>
      </c>
      <c r="Y18" s="43">
        <v>40.037334000000001</v>
      </c>
      <c r="Z18" s="43">
        <v>40.361305000000002</v>
      </c>
      <c r="AA18" s="43">
        <v>40.596077000000001</v>
      </c>
      <c r="AB18" s="43">
        <v>40.848937999999997</v>
      </c>
      <c r="AC18" s="43">
        <v>41.134644000000002</v>
      </c>
      <c r="AD18" s="43">
        <v>41.335979000000002</v>
      </c>
      <c r="AE18" s="43">
        <v>41.513866</v>
      </c>
      <c r="AF18" s="43">
        <v>41.894924000000003</v>
      </c>
      <c r="AG18" s="39">
        <v>5.5500000000000002E-3</v>
      </c>
    </row>
    <row r="19" spans="1:33" ht="15" customHeight="1" x14ac:dyDescent="0.25">
      <c r="A19" s="42" t="s">
        <v>455</v>
      </c>
      <c r="B19" s="41" t="s">
        <v>456</v>
      </c>
      <c r="C19" s="43">
        <v>13.089978</v>
      </c>
      <c r="D19" s="43">
        <v>12.741251999999999</v>
      </c>
      <c r="E19" s="43">
        <v>12.812080999999999</v>
      </c>
      <c r="F19" s="43">
        <v>11.346849000000001</v>
      </c>
      <c r="G19" s="43">
        <v>10.919338</v>
      </c>
      <c r="H19" s="43">
        <v>10.890395</v>
      </c>
      <c r="I19" s="43">
        <v>10.594276000000001</v>
      </c>
      <c r="J19" s="43">
        <v>10.517385000000001</v>
      </c>
      <c r="K19" s="43">
        <v>10.477952</v>
      </c>
      <c r="L19" s="43">
        <v>10.320335</v>
      </c>
      <c r="M19" s="43">
        <v>10.278053999999999</v>
      </c>
      <c r="N19" s="43">
        <v>10.186623000000001</v>
      </c>
      <c r="O19" s="43">
        <v>10.161192</v>
      </c>
      <c r="P19" s="43">
        <v>9.8407079999999993</v>
      </c>
      <c r="Q19" s="43">
        <v>9.5687519999999999</v>
      </c>
      <c r="R19" s="43">
        <v>9.414873</v>
      </c>
      <c r="S19" s="43">
        <v>9.2873289999999997</v>
      </c>
      <c r="T19" s="43">
        <v>9.3013359999999992</v>
      </c>
      <c r="U19" s="43">
        <v>9.2276330000000009</v>
      </c>
      <c r="V19" s="43">
        <v>9.1459650000000003</v>
      </c>
      <c r="W19" s="43">
        <v>9.1226819999999993</v>
      </c>
      <c r="X19" s="43">
        <v>9.0860120000000002</v>
      </c>
      <c r="Y19" s="43">
        <v>8.961373</v>
      </c>
      <c r="Z19" s="43">
        <v>8.89466</v>
      </c>
      <c r="AA19" s="43">
        <v>8.785145</v>
      </c>
      <c r="AB19" s="43">
        <v>8.7206039999999998</v>
      </c>
      <c r="AC19" s="43">
        <v>8.6230239999999991</v>
      </c>
      <c r="AD19" s="43">
        <v>8.5444119999999995</v>
      </c>
      <c r="AE19" s="43">
        <v>8.5071809999999992</v>
      </c>
      <c r="AF19" s="43">
        <v>8.5720969999999994</v>
      </c>
      <c r="AG19" s="39">
        <v>-1.4492E-2</v>
      </c>
    </row>
    <row r="20" spans="1:33" ht="15" customHeight="1" x14ac:dyDescent="0.25">
      <c r="A20" s="42" t="s">
        <v>457</v>
      </c>
      <c r="B20" s="41" t="s">
        <v>458</v>
      </c>
      <c r="C20" s="43">
        <v>8.1211500000000001</v>
      </c>
      <c r="D20" s="43">
        <v>8.1831110000000002</v>
      </c>
      <c r="E20" s="43">
        <v>8.2025790000000001</v>
      </c>
      <c r="F20" s="43">
        <v>8.239058</v>
      </c>
      <c r="G20" s="43">
        <v>8.1638990000000007</v>
      </c>
      <c r="H20" s="43">
        <v>8.0757549999999991</v>
      </c>
      <c r="I20" s="43">
        <v>7.9302669999999997</v>
      </c>
      <c r="J20" s="43">
        <v>7.3689460000000002</v>
      </c>
      <c r="K20" s="43">
        <v>7.2995039999999998</v>
      </c>
      <c r="L20" s="43">
        <v>7.3070060000000003</v>
      </c>
      <c r="M20" s="43">
        <v>7.3184230000000001</v>
      </c>
      <c r="N20" s="43">
        <v>7.3263429999999996</v>
      </c>
      <c r="O20" s="43">
        <v>6.8084160000000002</v>
      </c>
      <c r="P20" s="43">
        <v>6.8156670000000004</v>
      </c>
      <c r="Q20" s="43">
        <v>6.7474470000000002</v>
      </c>
      <c r="R20" s="43">
        <v>6.7583539999999998</v>
      </c>
      <c r="S20" s="43">
        <v>6.760554</v>
      </c>
      <c r="T20" s="43">
        <v>6.7626590000000002</v>
      </c>
      <c r="U20" s="43">
        <v>6.762759</v>
      </c>
      <c r="V20" s="43">
        <v>6.766273</v>
      </c>
      <c r="W20" s="43">
        <v>6.7793599999999996</v>
      </c>
      <c r="X20" s="43">
        <v>6.788805</v>
      </c>
      <c r="Y20" s="43">
        <v>6.797936</v>
      </c>
      <c r="Z20" s="43">
        <v>6.8059019999999997</v>
      </c>
      <c r="AA20" s="43">
        <v>6.8144450000000001</v>
      </c>
      <c r="AB20" s="43">
        <v>6.8189029999999997</v>
      </c>
      <c r="AC20" s="43">
        <v>6.8233490000000003</v>
      </c>
      <c r="AD20" s="43">
        <v>6.8261190000000003</v>
      </c>
      <c r="AE20" s="43">
        <v>6.829472</v>
      </c>
      <c r="AF20" s="43">
        <v>6.8343129999999999</v>
      </c>
      <c r="AG20" s="39">
        <v>-5.9309999999999996E-3</v>
      </c>
    </row>
    <row r="21" spans="1:33" ht="15" customHeight="1" x14ac:dyDescent="0.25">
      <c r="A21" s="42" t="s">
        <v>459</v>
      </c>
      <c r="B21" s="41" t="s">
        <v>460</v>
      </c>
      <c r="C21" s="43">
        <v>2.288529</v>
      </c>
      <c r="D21" s="43">
        <v>2.3965299999999998</v>
      </c>
      <c r="E21" s="43">
        <v>2.5203760000000002</v>
      </c>
      <c r="F21" s="43">
        <v>2.6075819999999998</v>
      </c>
      <c r="G21" s="43">
        <v>2.562303</v>
      </c>
      <c r="H21" s="43">
        <v>2.533515</v>
      </c>
      <c r="I21" s="43">
        <v>2.5148000000000001</v>
      </c>
      <c r="J21" s="43">
        <v>2.4944809999999999</v>
      </c>
      <c r="K21" s="43">
        <v>2.4826299999999999</v>
      </c>
      <c r="L21" s="43">
        <v>2.4713959999999999</v>
      </c>
      <c r="M21" s="43">
        <v>2.4567709999999998</v>
      </c>
      <c r="N21" s="43">
        <v>2.4500829999999998</v>
      </c>
      <c r="O21" s="43">
        <v>2.436512</v>
      </c>
      <c r="P21" s="43">
        <v>2.4270999999999998</v>
      </c>
      <c r="Q21" s="43">
        <v>2.4106049999999999</v>
      </c>
      <c r="R21" s="43">
        <v>2.3970229999999999</v>
      </c>
      <c r="S21" s="43">
        <v>2.3926630000000002</v>
      </c>
      <c r="T21" s="43">
        <v>2.3816570000000001</v>
      </c>
      <c r="U21" s="43">
        <v>2.3768020000000001</v>
      </c>
      <c r="V21" s="43">
        <v>2.3701400000000001</v>
      </c>
      <c r="W21" s="43">
        <v>2.3620960000000002</v>
      </c>
      <c r="X21" s="43">
        <v>2.3541889999999999</v>
      </c>
      <c r="Y21" s="43">
        <v>2.3426999999999998</v>
      </c>
      <c r="Z21" s="43">
        <v>2.3369900000000001</v>
      </c>
      <c r="AA21" s="43">
        <v>2.3251300000000001</v>
      </c>
      <c r="AB21" s="43">
        <v>2.3184429999999998</v>
      </c>
      <c r="AC21" s="43">
        <v>2.3090259999999998</v>
      </c>
      <c r="AD21" s="43">
        <v>2.304834</v>
      </c>
      <c r="AE21" s="43">
        <v>2.2952330000000001</v>
      </c>
      <c r="AF21" s="43">
        <v>2.2746879999999998</v>
      </c>
      <c r="AG21" s="39">
        <v>-2.0900000000000001E-4</v>
      </c>
    </row>
    <row r="22" spans="1:33" ht="15" customHeight="1" x14ac:dyDescent="0.25">
      <c r="A22" s="42" t="s">
        <v>461</v>
      </c>
      <c r="B22" s="41" t="s">
        <v>462</v>
      </c>
      <c r="C22" s="43">
        <v>4.7011900000000004</v>
      </c>
      <c r="D22" s="43">
        <v>4.8336649999999999</v>
      </c>
      <c r="E22" s="43">
        <v>4.7369510000000004</v>
      </c>
      <c r="F22" s="43">
        <v>4.7318429999999996</v>
      </c>
      <c r="G22" s="43">
        <v>4.7514820000000002</v>
      </c>
      <c r="H22" s="43">
        <v>4.7400380000000002</v>
      </c>
      <c r="I22" s="43">
        <v>4.7281459999999997</v>
      </c>
      <c r="J22" s="43">
        <v>4.7067750000000004</v>
      </c>
      <c r="K22" s="43">
        <v>4.7082629999999996</v>
      </c>
      <c r="L22" s="43">
        <v>4.6997</v>
      </c>
      <c r="M22" s="43">
        <v>4.6885269999999997</v>
      </c>
      <c r="N22" s="43">
        <v>4.6818270000000002</v>
      </c>
      <c r="O22" s="43">
        <v>4.6667490000000003</v>
      </c>
      <c r="P22" s="43">
        <v>4.6540860000000004</v>
      </c>
      <c r="Q22" s="43">
        <v>4.6489719999999997</v>
      </c>
      <c r="R22" s="43">
        <v>4.641438</v>
      </c>
      <c r="S22" s="43">
        <v>4.6341799999999997</v>
      </c>
      <c r="T22" s="43">
        <v>4.6383159999999997</v>
      </c>
      <c r="U22" s="43">
        <v>4.6474570000000002</v>
      </c>
      <c r="V22" s="43">
        <v>4.6834860000000003</v>
      </c>
      <c r="W22" s="43">
        <v>4.7054450000000001</v>
      </c>
      <c r="X22" s="43">
        <v>4.7221570000000002</v>
      </c>
      <c r="Y22" s="43">
        <v>4.7483430000000002</v>
      </c>
      <c r="Z22" s="43">
        <v>4.7919939999999999</v>
      </c>
      <c r="AA22" s="43">
        <v>4.8140039999999997</v>
      </c>
      <c r="AB22" s="43">
        <v>4.8435649999999999</v>
      </c>
      <c r="AC22" s="43">
        <v>4.8766879999999997</v>
      </c>
      <c r="AD22" s="43">
        <v>4.909999</v>
      </c>
      <c r="AE22" s="43">
        <v>4.942437</v>
      </c>
      <c r="AF22" s="43">
        <v>4.9846370000000002</v>
      </c>
      <c r="AG22" s="39">
        <v>2.0209999999999998E-3</v>
      </c>
    </row>
    <row r="23" spans="1:33" ht="15" customHeight="1" x14ac:dyDescent="0.25">
      <c r="A23" s="42" t="s">
        <v>463</v>
      </c>
      <c r="B23" s="41" t="s">
        <v>464</v>
      </c>
      <c r="C23" s="43">
        <v>4.8390050000000002</v>
      </c>
      <c r="D23" s="43">
        <v>5.5444839999999997</v>
      </c>
      <c r="E23" s="43">
        <v>6.0855569999999997</v>
      </c>
      <c r="F23" s="43">
        <v>6.9892269999999996</v>
      </c>
      <c r="G23" s="43">
        <v>7.5613590000000004</v>
      </c>
      <c r="H23" s="43">
        <v>7.8463159999999998</v>
      </c>
      <c r="I23" s="43">
        <v>8.3474660000000007</v>
      </c>
      <c r="J23" s="43">
        <v>8.5777000000000001</v>
      </c>
      <c r="K23" s="43">
        <v>8.7871590000000008</v>
      </c>
      <c r="L23" s="43">
        <v>9.1559860000000004</v>
      </c>
      <c r="M23" s="43">
        <v>9.4117800000000003</v>
      </c>
      <c r="N23" s="43">
        <v>9.6492149999999999</v>
      </c>
      <c r="O23" s="43">
        <v>9.9103840000000005</v>
      </c>
      <c r="P23" s="43">
        <v>10.464489</v>
      </c>
      <c r="Q23" s="43">
        <v>11.179779999999999</v>
      </c>
      <c r="R23" s="43">
        <v>11.560812</v>
      </c>
      <c r="S23" s="43">
        <v>11.709242</v>
      </c>
      <c r="T23" s="43">
        <v>11.735645</v>
      </c>
      <c r="U23" s="43">
        <v>11.787336</v>
      </c>
      <c r="V23" s="43">
        <v>11.864063</v>
      </c>
      <c r="W23" s="43">
        <v>11.965892999999999</v>
      </c>
      <c r="X23" s="43">
        <v>12.084974000000001</v>
      </c>
      <c r="Y23" s="43">
        <v>12.202391</v>
      </c>
      <c r="Z23" s="43">
        <v>12.369851000000001</v>
      </c>
      <c r="AA23" s="43">
        <v>12.586577</v>
      </c>
      <c r="AB23" s="43">
        <v>12.70438</v>
      </c>
      <c r="AC23" s="43">
        <v>12.871214</v>
      </c>
      <c r="AD23" s="43">
        <v>13.03612</v>
      </c>
      <c r="AE23" s="43">
        <v>13.182046</v>
      </c>
      <c r="AF23" s="43">
        <v>13.273847</v>
      </c>
      <c r="AG23" s="39">
        <v>3.5408000000000002E-2</v>
      </c>
    </row>
    <row r="24" spans="1:33" ht="15" customHeight="1" x14ac:dyDescent="0.25">
      <c r="A24" s="42" t="s">
        <v>465</v>
      </c>
      <c r="B24" s="41" t="s">
        <v>466</v>
      </c>
      <c r="C24" s="43">
        <v>2.1335760000000001</v>
      </c>
      <c r="D24" s="43">
        <v>1.0129729999999999</v>
      </c>
      <c r="E24" s="43">
        <v>0.87985500000000005</v>
      </c>
      <c r="F24" s="43">
        <v>0.89494600000000002</v>
      </c>
      <c r="G24" s="43">
        <v>0.77427100000000004</v>
      </c>
      <c r="H24" s="43">
        <v>0.88321000000000005</v>
      </c>
      <c r="I24" s="43">
        <v>0.86990000000000001</v>
      </c>
      <c r="J24" s="43">
        <v>0.79612899999999998</v>
      </c>
      <c r="K24" s="43">
        <v>0.77055099999999999</v>
      </c>
      <c r="L24" s="43">
        <v>0.770231</v>
      </c>
      <c r="M24" s="43">
        <v>0.76856500000000005</v>
      </c>
      <c r="N24" s="43">
        <v>0.63267300000000004</v>
      </c>
      <c r="O24" s="43">
        <v>0.63193500000000002</v>
      </c>
      <c r="P24" s="43">
        <v>0.64056500000000005</v>
      </c>
      <c r="Q24" s="43">
        <v>0.63755099999999998</v>
      </c>
      <c r="R24" s="43">
        <v>0.64736700000000003</v>
      </c>
      <c r="S24" s="43">
        <v>0.651814</v>
      </c>
      <c r="T24" s="43">
        <v>0.65363300000000002</v>
      </c>
      <c r="U24" s="43">
        <v>0.65149100000000004</v>
      </c>
      <c r="V24" s="43">
        <v>0.64203699999999997</v>
      </c>
      <c r="W24" s="43">
        <v>0.639621</v>
      </c>
      <c r="X24" s="43">
        <v>0.63405599999999995</v>
      </c>
      <c r="Y24" s="43">
        <v>0.62779700000000005</v>
      </c>
      <c r="Z24" s="43">
        <v>0.63269799999999998</v>
      </c>
      <c r="AA24" s="43">
        <v>0.62671699999999997</v>
      </c>
      <c r="AB24" s="43">
        <v>0.61856599999999995</v>
      </c>
      <c r="AC24" s="43">
        <v>0.61455000000000004</v>
      </c>
      <c r="AD24" s="43">
        <v>0.62107800000000002</v>
      </c>
      <c r="AE24" s="43">
        <v>0.62837600000000005</v>
      </c>
      <c r="AF24" s="43">
        <v>0.62333499999999997</v>
      </c>
      <c r="AG24" s="39">
        <v>-4.1542000000000003E-2</v>
      </c>
    </row>
    <row r="25" spans="1:33" ht="15" customHeight="1" x14ac:dyDescent="0.2">
      <c r="A25" s="42" t="s">
        <v>467</v>
      </c>
      <c r="B25" s="45" t="s">
        <v>468</v>
      </c>
      <c r="C25" s="47">
        <v>101.035904</v>
      </c>
      <c r="D25" s="47">
        <v>103.611946</v>
      </c>
      <c r="E25" s="47">
        <v>105.53733099999999</v>
      </c>
      <c r="F25" s="47">
        <v>106.119095</v>
      </c>
      <c r="G25" s="47">
        <v>107.18489099999999</v>
      </c>
      <c r="H25" s="47">
        <v>107.723572</v>
      </c>
      <c r="I25" s="47">
        <v>107.503479</v>
      </c>
      <c r="J25" s="47">
        <v>107.924797</v>
      </c>
      <c r="K25" s="47">
        <v>108.254341</v>
      </c>
      <c r="L25" s="47">
        <v>108.515762</v>
      </c>
      <c r="M25" s="47">
        <v>108.721436</v>
      </c>
      <c r="N25" s="47">
        <v>108.80585499999999</v>
      </c>
      <c r="O25" s="47">
        <v>108.714989</v>
      </c>
      <c r="P25" s="47">
        <v>108.427834</v>
      </c>
      <c r="Q25" s="47">
        <v>108.496422</v>
      </c>
      <c r="R25" s="47">
        <v>108.431175</v>
      </c>
      <c r="S25" s="47">
        <v>108.238113</v>
      </c>
      <c r="T25" s="47">
        <v>108.297737</v>
      </c>
      <c r="U25" s="47">
        <v>108.592575</v>
      </c>
      <c r="V25" s="47">
        <v>109.01973</v>
      </c>
      <c r="W25" s="47">
        <v>109.081749</v>
      </c>
      <c r="X25" s="47">
        <v>109.385757</v>
      </c>
      <c r="Y25" s="47">
        <v>109.844543</v>
      </c>
      <c r="Z25" s="47">
        <v>110.147972</v>
      </c>
      <c r="AA25" s="47">
        <v>110.90757000000001</v>
      </c>
      <c r="AB25" s="47">
        <v>111.437744</v>
      </c>
      <c r="AC25" s="47">
        <v>111.86885100000001</v>
      </c>
      <c r="AD25" s="47">
        <v>112.08251199999999</v>
      </c>
      <c r="AE25" s="47">
        <v>112.10244</v>
      </c>
      <c r="AF25" s="47">
        <v>113.393669</v>
      </c>
      <c r="AG25" s="46">
        <v>3.9870000000000001E-3</v>
      </c>
    </row>
    <row r="26" spans="1:33" ht="15" customHeight="1" x14ac:dyDescent="0.2"/>
    <row r="27" spans="1:33" ht="15" customHeight="1" x14ac:dyDescent="0.2">
      <c r="B27" s="45" t="s">
        <v>469</v>
      </c>
    </row>
    <row r="28" spans="1:33" ht="15" customHeight="1" x14ac:dyDescent="0.25">
      <c r="A28" s="42" t="s">
        <v>470</v>
      </c>
      <c r="B28" s="41" t="s">
        <v>471</v>
      </c>
      <c r="C28" s="43">
        <v>13.849983</v>
      </c>
      <c r="D28" s="43">
        <v>16.370850000000001</v>
      </c>
      <c r="E28" s="43">
        <v>16.629141000000001</v>
      </c>
      <c r="F28" s="43">
        <v>15.971055</v>
      </c>
      <c r="G28" s="43">
        <v>15.230758</v>
      </c>
      <c r="H28" s="43">
        <v>14.679036</v>
      </c>
      <c r="I28" s="43">
        <v>14.643375000000001</v>
      </c>
      <c r="J28" s="43">
        <v>14.357627000000001</v>
      </c>
      <c r="K28" s="43">
        <v>14.264915999999999</v>
      </c>
      <c r="L28" s="43">
        <v>14.200820999999999</v>
      </c>
      <c r="M28" s="43">
        <v>14.399286</v>
      </c>
      <c r="N28" s="43">
        <v>14.778255</v>
      </c>
      <c r="O28" s="43">
        <v>14.611300999999999</v>
      </c>
      <c r="P28" s="43">
        <v>14.955673000000001</v>
      </c>
      <c r="Q28" s="43">
        <v>15.036996</v>
      </c>
      <c r="R28" s="43">
        <v>15.363056</v>
      </c>
      <c r="S28" s="43">
        <v>15.527345</v>
      </c>
      <c r="T28" s="43">
        <v>15.740888</v>
      </c>
      <c r="U28" s="43">
        <v>15.813135000000001</v>
      </c>
      <c r="V28" s="43">
        <v>15.458242</v>
      </c>
      <c r="W28" s="43">
        <v>15.443821</v>
      </c>
      <c r="X28" s="43">
        <v>15.243117</v>
      </c>
      <c r="Y28" s="43">
        <v>14.882616000000001</v>
      </c>
      <c r="Z28" s="43">
        <v>15.204732</v>
      </c>
      <c r="AA28" s="43">
        <v>14.507173999999999</v>
      </c>
      <c r="AB28" s="43">
        <v>14.091373000000001</v>
      </c>
      <c r="AC28" s="43">
        <v>13.903983999999999</v>
      </c>
      <c r="AD28" s="43">
        <v>14.131474000000001</v>
      </c>
      <c r="AE28" s="43">
        <v>14.485480000000001</v>
      </c>
      <c r="AF28" s="43">
        <v>13.759513</v>
      </c>
      <c r="AG28" s="39">
        <v>-2.2599999999999999E-4</v>
      </c>
    </row>
    <row r="29" spans="1:33" ht="15" customHeight="1" x14ac:dyDescent="0.25">
      <c r="A29" s="42" t="s">
        <v>472</v>
      </c>
      <c r="B29" s="41" t="s">
        <v>473</v>
      </c>
      <c r="C29" s="43">
        <v>4.7159639999999996</v>
      </c>
      <c r="D29" s="43">
        <v>4.4709909999999997</v>
      </c>
      <c r="E29" s="43">
        <v>3.845002</v>
      </c>
      <c r="F29" s="43">
        <v>3.9238819999999999</v>
      </c>
      <c r="G29" s="43">
        <v>4.01288</v>
      </c>
      <c r="H29" s="43">
        <v>3.9654750000000001</v>
      </c>
      <c r="I29" s="43">
        <v>3.9148239999999999</v>
      </c>
      <c r="J29" s="43">
        <v>3.8320599999999998</v>
      </c>
      <c r="K29" s="43">
        <v>3.7203219999999999</v>
      </c>
      <c r="L29" s="43">
        <v>3.6937340000000001</v>
      </c>
      <c r="M29" s="43">
        <v>3.6342319999999999</v>
      </c>
      <c r="N29" s="43">
        <v>3.635437</v>
      </c>
      <c r="O29" s="43">
        <v>3.5949499999999999</v>
      </c>
      <c r="P29" s="43">
        <v>3.5628989999999998</v>
      </c>
      <c r="Q29" s="43">
        <v>3.5439729999999998</v>
      </c>
      <c r="R29" s="43">
        <v>3.4976250000000002</v>
      </c>
      <c r="S29" s="43">
        <v>3.494834</v>
      </c>
      <c r="T29" s="43">
        <v>3.5053169999999998</v>
      </c>
      <c r="U29" s="43">
        <v>3.5012050000000001</v>
      </c>
      <c r="V29" s="43">
        <v>3.4830779999999999</v>
      </c>
      <c r="W29" s="43">
        <v>3.5034010000000002</v>
      </c>
      <c r="X29" s="43">
        <v>3.5066989999999998</v>
      </c>
      <c r="Y29" s="43">
        <v>3.5148820000000001</v>
      </c>
      <c r="Z29" s="43">
        <v>3.5296599999999998</v>
      </c>
      <c r="AA29" s="43">
        <v>3.55301</v>
      </c>
      <c r="AB29" s="43">
        <v>3.5662569999999998</v>
      </c>
      <c r="AC29" s="43">
        <v>3.5994120000000001</v>
      </c>
      <c r="AD29" s="43">
        <v>3.6864880000000002</v>
      </c>
      <c r="AE29" s="43">
        <v>3.6776529999999998</v>
      </c>
      <c r="AF29" s="43">
        <v>3.6424300000000001</v>
      </c>
      <c r="AG29" s="39">
        <v>-8.8669999999999999E-3</v>
      </c>
    </row>
    <row r="30" spans="1:33" ht="15" customHeight="1" x14ac:dyDescent="0.25">
      <c r="A30" s="42" t="s">
        <v>474</v>
      </c>
      <c r="B30" s="41" t="s">
        <v>475</v>
      </c>
      <c r="C30" s="43">
        <v>2.798295</v>
      </c>
      <c r="D30" s="43">
        <v>2.540921</v>
      </c>
      <c r="E30" s="43">
        <v>2.4598689999999999</v>
      </c>
      <c r="F30" s="43">
        <v>2.3568530000000001</v>
      </c>
      <c r="G30" s="43">
        <v>2.2828909999999998</v>
      </c>
      <c r="H30" s="43">
        <v>2.2567409999999999</v>
      </c>
      <c r="I30" s="43">
        <v>2.221225</v>
      </c>
      <c r="J30" s="43">
        <v>2.1706270000000001</v>
      </c>
      <c r="K30" s="43">
        <v>2.0368050000000002</v>
      </c>
      <c r="L30" s="43">
        <v>1.983411</v>
      </c>
      <c r="M30" s="43">
        <v>1.890747</v>
      </c>
      <c r="N30" s="43">
        <v>1.8788009999999999</v>
      </c>
      <c r="O30" s="43">
        <v>1.924771</v>
      </c>
      <c r="P30" s="43">
        <v>1.886512</v>
      </c>
      <c r="Q30" s="43">
        <v>1.844462</v>
      </c>
      <c r="R30" s="43">
        <v>1.8390280000000001</v>
      </c>
      <c r="S30" s="43">
        <v>1.8733390000000001</v>
      </c>
      <c r="T30" s="43">
        <v>1.870136</v>
      </c>
      <c r="U30" s="43">
        <v>1.8399859999999999</v>
      </c>
      <c r="V30" s="43">
        <v>1.805083</v>
      </c>
      <c r="W30" s="43">
        <v>1.780095</v>
      </c>
      <c r="X30" s="43">
        <v>1.7721610000000001</v>
      </c>
      <c r="Y30" s="43">
        <v>1.7107829999999999</v>
      </c>
      <c r="Z30" s="43">
        <v>1.5873250000000001</v>
      </c>
      <c r="AA30" s="43">
        <v>1.509457</v>
      </c>
      <c r="AB30" s="43">
        <v>1.489166</v>
      </c>
      <c r="AC30" s="43">
        <v>1.4608019999999999</v>
      </c>
      <c r="AD30" s="43">
        <v>1.464388</v>
      </c>
      <c r="AE30" s="43">
        <v>1.431648</v>
      </c>
      <c r="AF30" s="43">
        <v>1.387205</v>
      </c>
      <c r="AG30" s="39">
        <v>-2.3907000000000001E-2</v>
      </c>
    </row>
    <row r="31" spans="1:33" ht="14.65" customHeight="1" x14ac:dyDescent="0.25">
      <c r="A31" s="42" t="s">
        <v>476</v>
      </c>
      <c r="B31" s="41" t="s">
        <v>477</v>
      </c>
      <c r="C31" s="43">
        <v>0.29038799999999998</v>
      </c>
      <c r="D31" s="43">
        <v>0.22012000000000001</v>
      </c>
      <c r="E31" s="43">
        <v>0.11650000000000001</v>
      </c>
      <c r="F31" s="43">
        <v>0.120814</v>
      </c>
      <c r="G31" s="43">
        <v>0.110212</v>
      </c>
      <c r="H31" s="43">
        <v>0.115351</v>
      </c>
      <c r="I31" s="43">
        <v>0.128298</v>
      </c>
      <c r="J31" s="43">
        <v>0.136961</v>
      </c>
      <c r="K31" s="43">
        <v>0.13830899999999999</v>
      </c>
      <c r="L31" s="43">
        <v>0.145788</v>
      </c>
      <c r="M31" s="43">
        <v>0.13736599999999999</v>
      </c>
      <c r="N31" s="43">
        <v>0.14191400000000001</v>
      </c>
      <c r="O31" s="43">
        <v>0.134995</v>
      </c>
      <c r="P31" s="43">
        <v>0.140072</v>
      </c>
      <c r="Q31" s="43">
        <v>0.137182</v>
      </c>
      <c r="R31" s="43">
        <v>0.13678799999999999</v>
      </c>
      <c r="S31" s="43">
        <v>0.13159199999999999</v>
      </c>
      <c r="T31" s="43">
        <v>0.13375000000000001</v>
      </c>
      <c r="U31" s="43">
        <v>0.13447799999999999</v>
      </c>
      <c r="V31" s="43">
        <v>0.13620399999999999</v>
      </c>
      <c r="W31" s="43">
        <v>0.131303</v>
      </c>
      <c r="X31" s="43">
        <v>0.131657</v>
      </c>
      <c r="Y31" s="43">
        <v>0.13910800000000001</v>
      </c>
      <c r="Z31" s="43">
        <v>0.13867099999999999</v>
      </c>
      <c r="AA31" s="43">
        <v>0.13456899999999999</v>
      </c>
      <c r="AB31" s="43">
        <v>0.13466600000000001</v>
      </c>
      <c r="AC31" s="43">
        <v>0.13440299999999999</v>
      </c>
      <c r="AD31" s="43">
        <v>0.13461000000000001</v>
      </c>
      <c r="AE31" s="43">
        <v>0.13483000000000001</v>
      </c>
      <c r="AF31" s="43">
        <v>0.13547200000000001</v>
      </c>
      <c r="AG31" s="39">
        <v>-2.5949E-2</v>
      </c>
    </row>
    <row r="32" spans="1:33" x14ac:dyDescent="0.2">
      <c r="A32" s="42" t="s">
        <v>478</v>
      </c>
      <c r="B32" s="45" t="s">
        <v>468</v>
      </c>
      <c r="C32" s="47">
        <v>21.654629</v>
      </c>
      <c r="D32" s="47">
        <v>23.602882000000001</v>
      </c>
      <c r="E32" s="47">
        <v>23.050509999999999</v>
      </c>
      <c r="F32" s="47">
        <v>22.372603999999999</v>
      </c>
      <c r="G32" s="47">
        <v>21.63674</v>
      </c>
      <c r="H32" s="47">
        <v>21.016601999999999</v>
      </c>
      <c r="I32" s="47">
        <v>20.907722</v>
      </c>
      <c r="J32" s="47">
        <v>20.497274000000001</v>
      </c>
      <c r="K32" s="47">
        <v>20.160353000000001</v>
      </c>
      <c r="L32" s="47">
        <v>20.023755999999999</v>
      </c>
      <c r="M32" s="47">
        <v>20.061630000000001</v>
      </c>
      <c r="N32" s="47">
        <v>20.434408000000001</v>
      </c>
      <c r="O32" s="47">
        <v>20.266016</v>
      </c>
      <c r="P32" s="47">
        <v>20.545155999999999</v>
      </c>
      <c r="Q32" s="47">
        <v>20.562612999999999</v>
      </c>
      <c r="R32" s="47">
        <v>20.836497999999999</v>
      </c>
      <c r="S32" s="47">
        <v>21.027108999999999</v>
      </c>
      <c r="T32" s="47">
        <v>21.250091999999999</v>
      </c>
      <c r="U32" s="47">
        <v>21.288803000000001</v>
      </c>
      <c r="V32" s="47">
        <v>20.882607</v>
      </c>
      <c r="W32" s="47">
        <v>20.858619999999998</v>
      </c>
      <c r="X32" s="47">
        <v>20.653632999999999</v>
      </c>
      <c r="Y32" s="47">
        <v>20.247391</v>
      </c>
      <c r="Z32" s="47">
        <v>20.460387999999998</v>
      </c>
      <c r="AA32" s="47">
        <v>19.70421</v>
      </c>
      <c r="AB32" s="47">
        <v>19.281464</v>
      </c>
      <c r="AC32" s="47">
        <v>19.098602</v>
      </c>
      <c r="AD32" s="47">
        <v>19.41696</v>
      </c>
      <c r="AE32" s="47">
        <v>19.729611999999999</v>
      </c>
      <c r="AF32" s="47">
        <v>18.924620000000001</v>
      </c>
      <c r="AG32" s="46">
        <v>-4.6360000000000004E-3</v>
      </c>
    </row>
    <row r="33" spans="1:33" ht="14.65" customHeight="1" x14ac:dyDescent="0.2"/>
    <row r="34" spans="1:33" ht="14.65" customHeight="1" x14ac:dyDescent="0.2">
      <c r="B34" s="45" t="s">
        <v>479</v>
      </c>
    </row>
    <row r="35" spans="1:33" ht="14.65" customHeight="1" x14ac:dyDescent="0.25">
      <c r="A35" s="42" t="s">
        <v>480</v>
      </c>
      <c r="B35" s="41" t="s">
        <v>481</v>
      </c>
      <c r="C35" s="43">
        <v>16.73385</v>
      </c>
      <c r="D35" s="43">
        <v>18.356297999999999</v>
      </c>
      <c r="E35" s="43">
        <v>19.182388</v>
      </c>
      <c r="F35" s="43">
        <v>19.602926</v>
      </c>
      <c r="G35" s="43">
        <v>19.941938</v>
      </c>
      <c r="H35" s="43">
        <v>19.903314999999999</v>
      </c>
      <c r="I35" s="43">
        <v>19.849981</v>
      </c>
      <c r="J35" s="43">
        <v>19.863662999999999</v>
      </c>
      <c r="K35" s="43">
        <v>19.811287</v>
      </c>
      <c r="L35" s="43">
        <v>19.834377</v>
      </c>
      <c r="M35" s="43">
        <v>19.808157000000001</v>
      </c>
      <c r="N35" s="43">
        <v>19.842936000000002</v>
      </c>
      <c r="O35" s="43">
        <v>19.662490999999999</v>
      </c>
      <c r="P35" s="43">
        <v>19.775711000000001</v>
      </c>
      <c r="Q35" s="43">
        <v>19.814879999999999</v>
      </c>
      <c r="R35" s="43">
        <v>19.950239</v>
      </c>
      <c r="S35" s="43">
        <v>19.816631000000001</v>
      </c>
      <c r="T35" s="43">
        <v>19.884661000000001</v>
      </c>
      <c r="U35" s="43">
        <v>19.983006</v>
      </c>
      <c r="V35" s="43">
        <v>19.831689999999998</v>
      </c>
      <c r="W35" s="43">
        <v>19.682124999999999</v>
      </c>
      <c r="X35" s="43">
        <v>19.486173999999998</v>
      </c>
      <c r="Y35" s="43">
        <v>19.221823000000001</v>
      </c>
      <c r="Z35" s="43">
        <v>19.413260999999999</v>
      </c>
      <c r="AA35" s="43">
        <v>19.138691000000001</v>
      </c>
      <c r="AB35" s="43">
        <v>18.841377000000001</v>
      </c>
      <c r="AC35" s="43">
        <v>18.655954000000001</v>
      </c>
      <c r="AD35" s="43">
        <v>18.810967999999999</v>
      </c>
      <c r="AE35" s="43">
        <v>18.771132999999999</v>
      </c>
      <c r="AF35" s="43">
        <v>18.527114999999998</v>
      </c>
      <c r="AG35" s="39">
        <v>3.5170000000000002E-3</v>
      </c>
    </row>
    <row r="36" spans="1:33" ht="14.65" customHeight="1" x14ac:dyDescent="0.25">
      <c r="A36" s="42" t="s">
        <v>482</v>
      </c>
      <c r="B36" s="41" t="s">
        <v>475</v>
      </c>
      <c r="C36" s="43">
        <v>6.8096719999999999</v>
      </c>
      <c r="D36" s="43">
        <v>7.5794759999999997</v>
      </c>
      <c r="E36" s="43">
        <v>7.7887389999999996</v>
      </c>
      <c r="F36" s="43">
        <v>7.8755379999999997</v>
      </c>
      <c r="G36" s="43">
        <v>8.0950819999999997</v>
      </c>
      <c r="H36" s="43">
        <v>8.1097380000000001</v>
      </c>
      <c r="I36" s="43">
        <v>8.2476500000000001</v>
      </c>
      <c r="J36" s="43">
        <v>8.5402070000000005</v>
      </c>
      <c r="K36" s="43">
        <v>8.7917880000000004</v>
      </c>
      <c r="L36" s="43">
        <v>9.0232550000000007</v>
      </c>
      <c r="M36" s="43">
        <v>9.3001489999999993</v>
      </c>
      <c r="N36" s="43">
        <v>9.5525009999999995</v>
      </c>
      <c r="O36" s="43">
        <v>9.6708750000000006</v>
      </c>
      <c r="P36" s="43">
        <v>9.7149719999999995</v>
      </c>
      <c r="Q36" s="43">
        <v>9.7774830000000001</v>
      </c>
      <c r="R36" s="43">
        <v>9.7998709999999996</v>
      </c>
      <c r="S36" s="43">
        <v>9.7984690000000008</v>
      </c>
      <c r="T36" s="43">
        <v>9.8207819999999995</v>
      </c>
      <c r="U36" s="43">
        <v>9.8456899999999994</v>
      </c>
      <c r="V36" s="43">
        <v>9.8811859999999996</v>
      </c>
      <c r="W36" s="43">
        <v>9.8682149999999993</v>
      </c>
      <c r="X36" s="43">
        <v>9.8854209999999991</v>
      </c>
      <c r="Y36" s="43">
        <v>9.8951910000000005</v>
      </c>
      <c r="Z36" s="43">
        <v>9.9312100000000001</v>
      </c>
      <c r="AA36" s="43">
        <v>9.9280050000000006</v>
      </c>
      <c r="AB36" s="43">
        <v>9.9116309999999999</v>
      </c>
      <c r="AC36" s="43">
        <v>9.8997290000000007</v>
      </c>
      <c r="AD36" s="43">
        <v>9.9049610000000001</v>
      </c>
      <c r="AE36" s="43">
        <v>9.8765959999999993</v>
      </c>
      <c r="AF36" s="43">
        <v>9.8704999999999998</v>
      </c>
      <c r="AG36" s="39">
        <v>1.2881999999999999E-2</v>
      </c>
    </row>
    <row r="37" spans="1:33" ht="14.65" customHeight="1" x14ac:dyDescent="0.25">
      <c r="A37" s="42" t="s">
        <v>483</v>
      </c>
      <c r="B37" s="41" t="s">
        <v>484</v>
      </c>
      <c r="C37" s="43">
        <v>2.2533989999999999</v>
      </c>
      <c r="D37" s="43">
        <v>2.3004180000000001</v>
      </c>
      <c r="E37" s="43">
        <v>2.9242330000000001</v>
      </c>
      <c r="F37" s="43">
        <v>2.8064490000000002</v>
      </c>
      <c r="G37" s="43">
        <v>2.745555</v>
      </c>
      <c r="H37" s="43">
        <v>2.8780790000000001</v>
      </c>
      <c r="I37" s="43">
        <v>2.8222209999999999</v>
      </c>
      <c r="J37" s="43">
        <v>2.8147229999999999</v>
      </c>
      <c r="K37" s="43">
        <v>2.789355</v>
      </c>
      <c r="L37" s="43">
        <v>2.7811759999999999</v>
      </c>
      <c r="M37" s="43">
        <v>2.8095370000000002</v>
      </c>
      <c r="N37" s="43">
        <v>2.8647689999999999</v>
      </c>
      <c r="O37" s="43">
        <v>2.790718</v>
      </c>
      <c r="P37" s="43">
        <v>2.767172</v>
      </c>
      <c r="Q37" s="43">
        <v>2.7934779999999999</v>
      </c>
      <c r="R37" s="43">
        <v>2.759903</v>
      </c>
      <c r="S37" s="43">
        <v>2.751223</v>
      </c>
      <c r="T37" s="43">
        <v>2.7855810000000001</v>
      </c>
      <c r="U37" s="43">
        <v>2.7260239999999998</v>
      </c>
      <c r="V37" s="43">
        <v>2.735147</v>
      </c>
      <c r="W37" s="43">
        <v>2.7193100000000001</v>
      </c>
      <c r="X37" s="43">
        <v>2.7343320000000002</v>
      </c>
      <c r="Y37" s="43">
        <v>2.698877</v>
      </c>
      <c r="Z37" s="43">
        <v>2.6986759999999999</v>
      </c>
      <c r="AA37" s="43">
        <v>2.7121629999999999</v>
      </c>
      <c r="AB37" s="43">
        <v>2.696237</v>
      </c>
      <c r="AC37" s="43">
        <v>2.690248</v>
      </c>
      <c r="AD37" s="43">
        <v>2.7119900000000001</v>
      </c>
      <c r="AE37" s="43">
        <v>2.7228439999999998</v>
      </c>
      <c r="AF37" s="43">
        <v>2.7371850000000002</v>
      </c>
      <c r="AG37" s="39">
        <v>6.7289999999999997E-3</v>
      </c>
    </row>
    <row r="38" spans="1:33" x14ac:dyDescent="0.2">
      <c r="A38" s="42" t="s">
        <v>485</v>
      </c>
      <c r="B38" s="45" t="s">
        <v>468</v>
      </c>
      <c r="C38" s="47">
        <v>25.796921000000001</v>
      </c>
      <c r="D38" s="47">
        <v>28.236191000000002</v>
      </c>
      <c r="E38" s="47">
        <v>29.895358999999999</v>
      </c>
      <c r="F38" s="47">
        <v>30.284914000000001</v>
      </c>
      <c r="G38" s="47">
        <v>30.782578000000001</v>
      </c>
      <c r="H38" s="47">
        <v>30.891131999999999</v>
      </c>
      <c r="I38" s="47">
        <v>30.919853</v>
      </c>
      <c r="J38" s="47">
        <v>31.218594</v>
      </c>
      <c r="K38" s="47">
        <v>31.392429</v>
      </c>
      <c r="L38" s="47">
        <v>31.638807</v>
      </c>
      <c r="M38" s="47">
        <v>31.917843000000001</v>
      </c>
      <c r="N38" s="47">
        <v>32.260204000000002</v>
      </c>
      <c r="O38" s="47">
        <v>32.124084000000003</v>
      </c>
      <c r="P38" s="47">
        <v>32.257857999999999</v>
      </c>
      <c r="Q38" s="47">
        <v>32.385840999999999</v>
      </c>
      <c r="R38" s="47">
        <v>32.510013999999998</v>
      </c>
      <c r="S38" s="47">
        <v>32.366325000000003</v>
      </c>
      <c r="T38" s="47">
        <v>32.491024000000003</v>
      </c>
      <c r="U38" s="47">
        <v>32.554718000000001</v>
      </c>
      <c r="V38" s="47">
        <v>32.448020999999997</v>
      </c>
      <c r="W38" s="47">
        <v>32.269649999999999</v>
      </c>
      <c r="X38" s="47">
        <v>32.105927000000001</v>
      </c>
      <c r="Y38" s="47">
        <v>31.815891000000001</v>
      </c>
      <c r="Z38" s="47">
        <v>32.043148000000002</v>
      </c>
      <c r="AA38" s="47">
        <v>31.778858</v>
      </c>
      <c r="AB38" s="47">
        <v>31.449245000000001</v>
      </c>
      <c r="AC38" s="47">
        <v>31.245932</v>
      </c>
      <c r="AD38" s="47">
        <v>31.427918999999999</v>
      </c>
      <c r="AE38" s="47">
        <v>31.370574999999999</v>
      </c>
      <c r="AF38" s="47">
        <v>31.134799999999998</v>
      </c>
      <c r="AG38" s="46">
        <v>6.5059999999999996E-3</v>
      </c>
    </row>
    <row r="39" spans="1:33" ht="14.65" customHeight="1" x14ac:dyDescent="0.2"/>
    <row r="40" spans="1:33" x14ac:dyDescent="0.2">
      <c r="A40" s="42" t="s">
        <v>486</v>
      </c>
      <c r="B40" s="45" t="s">
        <v>487</v>
      </c>
      <c r="C40" s="47">
        <v>-9.9559999999999996E-2</v>
      </c>
      <c r="D40" s="47">
        <v>1.014343</v>
      </c>
      <c r="E40" s="47">
        <v>0.351906</v>
      </c>
      <c r="F40" s="47">
        <v>0.37148900000000001</v>
      </c>
      <c r="G40" s="47">
        <v>0.34117700000000001</v>
      </c>
      <c r="H40" s="47">
        <v>0.382046</v>
      </c>
      <c r="I40" s="47">
        <v>0.38127899999999998</v>
      </c>
      <c r="J40" s="47">
        <v>0.35733999999999999</v>
      </c>
      <c r="K40" s="47">
        <v>0.38627099999999998</v>
      </c>
      <c r="L40" s="47">
        <v>0.38148700000000002</v>
      </c>
      <c r="M40" s="47">
        <v>0.40063900000000002</v>
      </c>
      <c r="N40" s="47">
        <v>0.43374299999999999</v>
      </c>
      <c r="O40" s="47">
        <v>0.41500900000000002</v>
      </c>
      <c r="P40" s="47">
        <v>0.41313899999999998</v>
      </c>
      <c r="Q40" s="47">
        <v>0.41773199999999999</v>
      </c>
      <c r="R40" s="47">
        <v>0.40796700000000002</v>
      </c>
      <c r="S40" s="47">
        <v>0.411499</v>
      </c>
      <c r="T40" s="47">
        <v>0.40859600000000001</v>
      </c>
      <c r="U40" s="47">
        <v>0.40251199999999998</v>
      </c>
      <c r="V40" s="47">
        <v>0.37765500000000002</v>
      </c>
      <c r="W40" s="47">
        <v>0.373608</v>
      </c>
      <c r="X40" s="47">
        <v>0.35802499999999998</v>
      </c>
      <c r="Y40" s="47">
        <v>0.34440199999999999</v>
      </c>
      <c r="Z40" s="47">
        <v>0.34875899999999999</v>
      </c>
      <c r="AA40" s="47">
        <v>0.32074399999999997</v>
      </c>
      <c r="AB40" s="47">
        <v>0.279781</v>
      </c>
      <c r="AC40" s="47">
        <v>0.300562</v>
      </c>
      <c r="AD40" s="47">
        <v>0.30450100000000002</v>
      </c>
      <c r="AE40" s="47">
        <v>0.30743199999999998</v>
      </c>
      <c r="AF40" s="47">
        <v>0.309587</v>
      </c>
      <c r="AG40" s="46" t="s">
        <v>488</v>
      </c>
    </row>
    <row r="41" spans="1:33" ht="14.65" customHeight="1" x14ac:dyDescent="0.2"/>
    <row r="42" spans="1:33" ht="14.65" customHeight="1" x14ac:dyDescent="0.2">
      <c r="B42" s="45" t="s">
        <v>489</v>
      </c>
    </row>
    <row r="43" spans="1:33" ht="14.65" customHeight="1" x14ac:dyDescent="0.25">
      <c r="A43" s="42" t="s">
        <v>490</v>
      </c>
      <c r="B43" s="41" t="s">
        <v>491</v>
      </c>
      <c r="C43" s="43">
        <v>36.038910000000001</v>
      </c>
      <c r="D43" s="43">
        <v>36.753875999999998</v>
      </c>
      <c r="E43" s="43">
        <v>37.164867000000001</v>
      </c>
      <c r="F43" s="43">
        <v>37.008743000000003</v>
      </c>
      <c r="G43" s="43">
        <v>36.993271</v>
      </c>
      <c r="H43" s="43">
        <v>36.890811999999997</v>
      </c>
      <c r="I43" s="43">
        <v>36.698307</v>
      </c>
      <c r="J43" s="43">
        <v>36.579684999999998</v>
      </c>
      <c r="K43" s="43">
        <v>36.420642999999998</v>
      </c>
      <c r="L43" s="43">
        <v>36.309967</v>
      </c>
      <c r="M43" s="43">
        <v>36.218291999999998</v>
      </c>
      <c r="N43" s="43">
        <v>36.215271000000001</v>
      </c>
      <c r="O43" s="43">
        <v>36.163837000000001</v>
      </c>
      <c r="P43" s="43">
        <v>36.030982999999999</v>
      </c>
      <c r="Q43" s="43">
        <v>35.914290999999999</v>
      </c>
      <c r="R43" s="43">
        <v>35.832382000000003</v>
      </c>
      <c r="S43" s="43">
        <v>35.810935999999998</v>
      </c>
      <c r="T43" s="43">
        <v>35.784923999999997</v>
      </c>
      <c r="U43" s="43">
        <v>35.813648000000001</v>
      </c>
      <c r="V43" s="43">
        <v>35.779423000000001</v>
      </c>
      <c r="W43" s="43">
        <v>35.801689000000003</v>
      </c>
      <c r="X43" s="43">
        <v>35.841453999999999</v>
      </c>
      <c r="Y43" s="43">
        <v>35.887526999999999</v>
      </c>
      <c r="Z43" s="43">
        <v>35.903362000000001</v>
      </c>
      <c r="AA43" s="43">
        <v>35.944035</v>
      </c>
      <c r="AB43" s="43">
        <v>36.088379000000003</v>
      </c>
      <c r="AC43" s="43">
        <v>36.201034999999997</v>
      </c>
      <c r="AD43" s="43">
        <v>36.273766000000002</v>
      </c>
      <c r="AE43" s="43">
        <v>36.392871999999997</v>
      </c>
      <c r="AF43" s="43">
        <v>36.628177999999998</v>
      </c>
      <c r="AG43" s="39">
        <v>5.5900000000000004E-4</v>
      </c>
    </row>
    <row r="44" spans="1:33" ht="14.65" customHeight="1" x14ac:dyDescent="0.25">
      <c r="A44" s="42" t="s">
        <v>492</v>
      </c>
      <c r="B44" s="41" t="s">
        <v>475</v>
      </c>
      <c r="C44" s="43">
        <v>31.361422000000001</v>
      </c>
      <c r="D44" s="43">
        <v>31.199945</v>
      </c>
      <c r="E44" s="43">
        <v>31.177605</v>
      </c>
      <c r="F44" s="43">
        <v>31.16921</v>
      </c>
      <c r="G44" s="43">
        <v>30.965534000000002</v>
      </c>
      <c r="H44" s="43">
        <v>30.880772</v>
      </c>
      <c r="I44" s="43">
        <v>30.613737</v>
      </c>
      <c r="J44" s="43">
        <v>30.871202</v>
      </c>
      <c r="K44" s="43">
        <v>30.754141000000001</v>
      </c>
      <c r="L44" s="43">
        <v>30.537724999999998</v>
      </c>
      <c r="M44" s="43">
        <v>30.416205999999999</v>
      </c>
      <c r="N44" s="43">
        <v>30.414434</v>
      </c>
      <c r="O44" s="43">
        <v>30.607911999999999</v>
      </c>
      <c r="P44" s="43">
        <v>30.353966</v>
      </c>
      <c r="Q44" s="43">
        <v>30.106273999999999</v>
      </c>
      <c r="R44" s="43">
        <v>30.033339999999999</v>
      </c>
      <c r="S44" s="43">
        <v>30.184532000000001</v>
      </c>
      <c r="T44" s="43">
        <v>30.381095999999999</v>
      </c>
      <c r="U44" s="43">
        <v>30.592625000000002</v>
      </c>
      <c r="V44" s="43">
        <v>30.803253000000002</v>
      </c>
      <c r="W44" s="43">
        <v>30.909265999999999</v>
      </c>
      <c r="X44" s="43">
        <v>31.077223</v>
      </c>
      <c r="Y44" s="43">
        <v>31.346886000000001</v>
      </c>
      <c r="Z44" s="43">
        <v>31.509253000000001</v>
      </c>
      <c r="AA44" s="43">
        <v>31.678867</v>
      </c>
      <c r="AB44" s="43">
        <v>31.934574000000001</v>
      </c>
      <c r="AC44" s="43">
        <v>32.173541999999998</v>
      </c>
      <c r="AD44" s="43">
        <v>32.373511999999998</v>
      </c>
      <c r="AE44" s="43">
        <v>32.546021000000003</v>
      </c>
      <c r="AF44" s="43">
        <v>32.886066</v>
      </c>
      <c r="AG44" s="39">
        <v>1.6379999999999999E-3</v>
      </c>
    </row>
    <row r="45" spans="1:33" ht="14.65" customHeight="1" x14ac:dyDescent="0.25">
      <c r="A45" s="42" t="s">
        <v>493</v>
      </c>
      <c r="B45" s="41" t="s">
        <v>494</v>
      </c>
      <c r="C45" s="43">
        <v>10.883374999999999</v>
      </c>
      <c r="D45" s="43">
        <v>10.484755</v>
      </c>
      <c r="E45" s="43">
        <v>9.8739120000000007</v>
      </c>
      <c r="F45" s="43">
        <v>8.5102779999999996</v>
      </c>
      <c r="G45" s="43">
        <v>8.1401909999999997</v>
      </c>
      <c r="H45" s="43">
        <v>7.937951</v>
      </c>
      <c r="I45" s="43">
        <v>7.7050960000000002</v>
      </c>
      <c r="J45" s="43">
        <v>7.669232</v>
      </c>
      <c r="K45" s="43">
        <v>7.6152100000000003</v>
      </c>
      <c r="L45" s="43">
        <v>7.4647059999999996</v>
      </c>
      <c r="M45" s="43">
        <v>7.3934369999999996</v>
      </c>
      <c r="N45" s="43">
        <v>7.2461659999999997</v>
      </c>
      <c r="O45" s="43">
        <v>7.2936759999999996</v>
      </c>
      <c r="P45" s="43">
        <v>6.99925</v>
      </c>
      <c r="Q45" s="43">
        <v>6.7008510000000001</v>
      </c>
      <c r="R45" s="43">
        <v>6.583507</v>
      </c>
      <c r="S45" s="43">
        <v>6.4617940000000003</v>
      </c>
      <c r="T45" s="43">
        <v>6.4417299999999997</v>
      </c>
      <c r="U45" s="43">
        <v>6.426641</v>
      </c>
      <c r="V45" s="43">
        <v>6.3371519999999997</v>
      </c>
      <c r="W45" s="43">
        <v>6.3267569999999997</v>
      </c>
      <c r="X45" s="43">
        <v>6.277361</v>
      </c>
      <c r="Y45" s="43">
        <v>6.194617</v>
      </c>
      <c r="Z45" s="43">
        <v>6.1279820000000003</v>
      </c>
      <c r="AA45" s="43">
        <v>6.0038099999999996</v>
      </c>
      <c r="AB45" s="43">
        <v>5.9578810000000004</v>
      </c>
      <c r="AC45" s="43">
        <v>5.8664969999999999</v>
      </c>
      <c r="AD45" s="43">
        <v>5.765072</v>
      </c>
      <c r="AE45" s="43">
        <v>5.7176580000000001</v>
      </c>
      <c r="AF45" s="43">
        <v>5.7663779999999996</v>
      </c>
      <c r="AG45" s="39">
        <v>-2.1665E-2</v>
      </c>
    </row>
    <row r="46" spans="1:33" ht="14.65" customHeight="1" x14ac:dyDescent="0.25">
      <c r="A46" s="42" t="s">
        <v>495</v>
      </c>
      <c r="B46" s="41" t="s">
        <v>458</v>
      </c>
      <c r="C46" s="43">
        <v>8.1211500000000001</v>
      </c>
      <c r="D46" s="43">
        <v>8.1831110000000002</v>
      </c>
      <c r="E46" s="43">
        <v>8.2025790000000001</v>
      </c>
      <c r="F46" s="43">
        <v>8.239058</v>
      </c>
      <c r="G46" s="43">
        <v>8.1638990000000007</v>
      </c>
      <c r="H46" s="43">
        <v>8.0757549999999991</v>
      </c>
      <c r="I46" s="43">
        <v>7.9302669999999997</v>
      </c>
      <c r="J46" s="43">
        <v>7.3689460000000002</v>
      </c>
      <c r="K46" s="43">
        <v>7.2995039999999998</v>
      </c>
      <c r="L46" s="43">
        <v>7.3070060000000003</v>
      </c>
      <c r="M46" s="43">
        <v>7.3184230000000001</v>
      </c>
      <c r="N46" s="43">
        <v>7.3263429999999996</v>
      </c>
      <c r="O46" s="43">
        <v>6.8084160000000002</v>
      </c>
      <c r="P46" s="43">
        <v>6.8156670000000004</v>
      </c>
      <c r="Q46" s="43">
        <v>6.7474470000000002</v>
      </c>
      <c r="R46" s="43">
        <v>6.7583539999999998</v>
      </c>
      <c r="S46" s="43">
        <v>6.760554</v>
      </c>
      <c r="T46" s="43">
        <v>6.7626590000000002</v>
      </c>
      <c r="U46" s="43">
        <v>6.762759</v>
      </c>
      <c r="V46" s="43">
        <v>6.766273</v>
      </c>
      <c r="W46" s="43">
        <v>6.7793599999999996</v>
      </c>
      <c r="X46" s="43">
        <v>6.788805</v>
      </c>
      <c r="Y46" s="43">
        <v>6.797936</v>
      </c>
      <c r="Z46" s="43">
        <v>6.8059019999999997</v>
      </c>
      <c r="AA46" s="43">
        <v>6.8144450000000001</v>
      </c>
      <c r="AB46" s="43">
        <v>6.8189029999999997</v>
      </c>
      <c r="AC46" s="43">
        <v>6.8233490000000003</v>
      </c>
      <c r="AD46" s="43">
        <v>6.8261190000000003</v>
      </c>
      <c r="AE46" s="43">
        <v>6.829472</v>
      </c>
      <c r="AF46" s="43">
        <v>6.8343129999999999</v>
      </c>
      <c r="AG46" s="39">
        <v>-5.9309999999999996E-3</v>
      </c>
    </row>
    <row r="47" spans="1:33" ht="14.65" customHeight="1" x14ac:dyDescent="0.25">
      <c r="A47" s="42" t="s">
        <v>496</v>
      </c>
      <c r="B47" s="41" t="s">
        <v>460</v>
      </c>
      <c r="C47" s="43">
        <v>2.288529</v>
      </c>
      <c r="D47" s="43">
        <v>2.3965299999999998</v>
      </c>
      <c r="E47" s="43">
        <v>2.5203760000000002</v>
      </c>
      <c r="F47" s="43">
        <v>2.6075819999999998</v>
      </c>
      <c r="G47" s="43">
        <v>2.562303</v>
      </c>
      <c r="H47" s="43">
        <v>2.533515</v>
      </c>
      <c r="I47" s="43">
        <v>2.5148000000000001</v>
      </c>
      <c r="J47" s="43">
        <v>2.4944809999999999</v>
      </c>
      <c r="K47" s="43">
        <v>2.4826299999999999</v>
      </c>
      <c r="L47" s="43">
        <v>2.4713959999999999</v>
      </c>
      <c r="M47" s="43">
        <v>2.4567709999999998</v>
      </c>
      <c r="N47" s="43">
        <v>2.4500829999999998</v>
      </c>
      <c r="O47" s="43">
        <v>2.436512</v>
      </c>
      <c r="P47" s="43">
        <v>2.4270999999999998</v>
      </c>
      <c r="Q47" s="43">
        <v>2.4106049999999999</v>
      </c>
      <c r="R47" s="43">
        <v>2.3970229999999999</v>
      </c>
      <c r="S47" s="43">
        <v>2.3926630000000002</v>
      </c>
      <c r="T47" s="43">
        <v>2.3816570000000001</v>
      </c>
      <c r="U47" s="43">
        <v>2.3768020000000001</v>
      </c>
      <c r="V47" s="43">
        <v>2.3701400000000001</v>
      </c>
      <c r="W47" s="43">
        <v>2.3620960000000002</v>
      </c>
      <c r="X47" s="43">
        <v>2.3541889999999999</v>
      </c>
      <c r="Y47" s="43">
        <v>2.3426999999999998</v>
      </c>
      <c r="Z47" s="43">
        <v>2.3369900000000001</v>
      </c>
      <c r="AA47" s="43">
        <v>2.3251300000000001</v>
      </c>
      <c r="AB47" s="43">
        <v>2.3184429999999998</v>
      </c>
      <c r="AC47" s="43">
        <v>2.3090259999999998</v>
      </c>
      <c r="AD47" s="43">
        <v>2.304834</v>
      </c>
      <c r="AE47" s="43">
        <v>2.2952330000000001</v>
      </c>
      <c r="AF47" s="43">
        <v>2.2746879999999998</v>
      </c>
      <c r="AG47" s="39">
        <v>-2.0900000000000001E-4</v>
      </c>
    </row>
    <row r="48" spans="1:33" ht="14.65" customHeight="1" x14ac:dyDescent="0.25">
      <c r="A48" s="42" t="s">
        <v>497</v>
      </c>
      <c r="B48" s="41" t="s">
        <v>498</v>
      </c>
      <c r="C48" s="43">
        <v>3.124412</v>
      </c>
      <c r="D48" s="43">
        <v>3.1245669999999999</v>
      </c>
      <c r="E48" s="43">
        <v>3.05355</v>
      </c>
      <c r="F48" s="43">
        <v>3.0459540000000001</v>
      </c>
      <c r="G48" s="43">
        <v>3.0558299999999998</v>
      </c>
      <c r="H48" s="43">
        <v>3.0414469999999998</v>
      </c>
      <c r="I48" s="43">
        <v>3.0265740000000001</v>
      </c>
      <c r="J48" s="43">
        <v>3.002259</v>
      </c>
      <c r="K48" s="43">
        <v>2.9924819999999999</v>
      </c>
      <c r="L48" s="43">
        <v>2.9805280000000001</v>
      </c>
      <c r="M48" s="43">
        <v>2.9658829999999998</v>
      </c>
      <c r="N48" s="43">
        <v>2.9562680000000001</v>
      </c>
      <c r="O48" s="43">
        <v>2.9392529999999999</v>
      </c>
      <c r="P48" s="43">
        <v>2.923384</v>
      </c>
      <c r="Q48" s="43">
        <v>2.9118710000000001</v>
      </c>
      <c r="R48" s="43">
        <v>2.9001670000000002</v>
      </c>
      <c r="S48" s="43">
        <v>2.8886090000000002</v>
      </c>
      <c r="T48" s="43">
        <v>2.8791690000000001</v>
      </c>
      <c r="U48" s="43">
        <v>2.8820519999999998</v>
      </c>
      <c r="V48" s="43">
        <v>2.8721390000000002</v>
      </c>
      <c r="W48" s="43">
        <v>2.8727550000000002</v>
      </c>
      <c r="X48" s="43">
        <v>2.8721779999999999</v>
      </c>
      <c r="Y48" s="43">
        <v>2.8794590000000002</v>
      </c>
      <c r="Z48" s="43">
        <v>2.8831980000000001</v>
      </c>
      <c r="AA48" s="43">
        <v>2.8833709999999999</v>
      </c>
      <c r="AB48" s="43">
        <v>2.891699</v>
      </c>
      <c r="AC48" s="43">
        <v>2.9005019999999999</v>
      </c>
      <c r="AD48" s="43">
        <v>2.9111570000000002</v>
      </c>
      <c r="AE48" s="43">
        <v>2.9138310000000001</v>
      </c>
      <c r="AF48" s="43">
        <v>2.9330039999999999</v>
      </c>
      <c r="AG48" s="39">
        <v>-2.1779999999999998E-3</v>
      </c>
    </row>
    <row r="49" spans="1:33" ht="14.65" customHeight="1" x14ac:dyDescent="0.25">
      <c r="A49" s="42" t="s">
        <v>499</v>
      </c>
      <c r="B49" s="41" t="s">
        <v>464</v>
      </c>
      <c r="C49" s="43">
        <v>4.8390050000000002</v>
      </c>
      <c r="D49" s="43">
        <v>5.5444839999999997</v>
      </c>
      <c r="E49" s="43">
        <v>6.0855569999999997</v>
      </c>
      <c r="F49" s="43">
        <v>6.9892269999999996</v>
      </c>
      <c r="G49" s="43">
        <v>7.5613590000000004</v>
      </c>
      <c r="H49" s="43">
        <v>7.8463159999999998</v>
      </c>
      <c r="I49" s="43">
        <v>8.3474660000000007</v>
      </c>
      <c r="J49" s="43">
        <v>8.5777000000000001</v>
      </c>
      <c r="K49" s="43">
        <v>8.7871590000000008</v>
      </c>
      <c r="L49" s="43">
        <v>9.1559860000000004</v>
      </c>
      <c r="M49" s="43">
        <v>9.4117800000000003</v>
      </c>
      <c r="N49" s="43">
        <v>9.6492149999999999</v>
      </c>
      <c r="O49" s="43">
        <v>9.9103840000000005</v>
      </c>
      <c r="P49" s="43">
        <v>10.464489</v>
      </c>
      <c r="Q49" s="43">
        <v>11.179779999999999</v>
      </c>
      <c r="R49" s="43">
        <v>11.560812</v>
      </c>
      <c r="S49" s="43">
        <v>11.709242</v>
      </c>
      <c r="T49" s="43">
        <v>11.735645</v>
      </c>
      <c r="U49" s="43">
        <v>11.787336</v>
      </c>
      <c r="V49" s="43">
        <v>11.864063</v>
      </c>
      <c r="W49" s="43">
        <v>11.965892999999999</v>
      </c>
      <c r="X49" s="43">
        <v>12.084974000000001</v>
      </c>
      <c r="Y49" s="43">
        <v>12.202391</v>
      </c>
      <c r="Z49" s="43">
        <v>12.369851000000001</v>
      </c>
      <c r="AA49" s="43">
        <v>12.586577</v>
      </c>
      <c r="AB49" s="43">
        <v>12.70438</v>
      </c>
      <c r="AC49" s="43">
        <v>12.871214</v>
      </c>
      <c r="AD49" s="43">
        <v>13.03612</v>
      </c>
      <c r="AE49" s="43">
        <v>13.182046</v>
      </c>
      <c r="AF49" s="43">
        <v>13.273847</v>
      </c>
      <c r="AG49" s="39">
        <v>3.5408000000000002E-2</v>
      </c>
    </row>
    <row r="50" spans="1:33" ht="15" customHeight="1" x14ac:dyDescent="0.25">
      <c r="A50" s="42" t="s">
        <v>500</v>
      </c>
      <c r="B50" s="41" t="s">
        <v>501</v>
      </c>
      <c r="C50" s="43">
        <v>0.33637299999999998</v>
      </c>
      <c r="D50" s="43">
        <v>0.27702399999999999</v>
      </c>
      <c r="E50" s="43">
        <v>0.26213999999999998</v>
      </c>
      <c r="F50" s="43">
        <v>0.26524199999999998</v>
      </c>
      <c r="G50" s="43">
        <v>0.255492</v>
      </c>
      <c r="H50" s="43">
        <v>0.26043100000000002</v>
      </c>
      <c r="I50" s="43">
        <v>0.27382699999999999</v>
      </c>
      <c r="J50" s="43">
        <v>0.28262100000000001</v>
      </c>
      <c r="K50" s="43">
        <v>0.284219</v>
      </c>
      <c r="L50" s="43">
        <v>0.29190700000000003</v>
      </c>
      <c r="M50" s="43">
        <v>0.28378999999999999</v>
      </c>
      <c r="N50" s="43">
        <v>0.28854600000000002</v>
      </c>
      <c r="O50" s="43">
        <v>0.28191300000000002</v>
      </c>
      <c r="P50" s="43">
        <v>0.28715800000000002</v>
      </c>
      <c r="Q50" s="43">
        <v>0.28434199999999998</v>
      </c>
      <c r="R50" s="43">
        <v>0.28410600000000003</v>
      </c>
      <c r="S50" s="43">
        <v>0.27906500000000001</v>
      </c>
      <c r="T50" s="43">
        <v>0.281331</v>
      </c>
      <c r="U50" s="43">
        <v>0.28228500000000001</v>
      </c>
      <c r="V50" s="43">
        <v>0.28422199999999997</v>
      </c>
      <c r="W50" s="43">
        <v>0.27929999999999999</v>
      </c>
      <c r="X50" s="43">
        <v>0.27926000000000001</v>
      </c>
      <c r="Y50" s="43">
        <v>0.28012500000000001</v>
      </c>
      <c r="Z50" s="43">
        <v>0.279916</v>
      </c>
      <c r="AA50" s="43">
        <v>0.275945</v>
      </c>
      <c r="AB50" s="43">
        <v>0.27593000000000001</v>
      </c>
      <c r="AC50" s="43">
        <v>0.27579500000000001</v>
      </c>
      <c r="AD50" s="43">
        <v>0.276476</v>
      </c>
      <c r="AE50" s="43">
        <v>0.27690799999999999</v>
      </c>
      <c r="AF50" s="43">
        <v>0.27742</v>
      </c>
      <c r="AG50" s="39">
        <v>-6.6220000000000003E-3</v>
      </c>
    </row>
    <row r="51" spans="1:33" ht="15" customHeight="1" x14ac:dyDescent="0.2">
      <c r="A51" s="42" t="s">
        <v>502</v>
      </c>
      <c r="B51" s="45" t="s">
        <v>503</v>
      </c>
      <c r="C51" s="47">
        <v>96.993172000000001</v>
      </c>
      <c r="D51" s="47">
        <v>97.964293999999995</v>
      </c>
      <c r="E51" s="47">
        <v>98.340575999999999</v>
      </c>
      <c r="F51" s="47">
        <v>97.835296999999997</v>
      </c>
      <c r="G51" s="47">
        <v>97.697875999999994</v>
      </c>
      <c r="H51" s="47">
        <v>97.466994999999997</v>
      </c>
      <c r="I51" s="47">
        <v>97.110068999999996</v>
      </c>
      <c r="J51" s="47">
        <v>96.846137999999996</v>
      </c>
      <c r="K51" s="47">
        <v>96.635993999999997</v>
      </c>
      <c r="L51" s="47">
        <v>96.519226000000003</v>
      </c>
      <c r="M51" s="47">
        <v>96.464584000000002</v>
      </c>
      <c r="N51" s="47">
        <v>96.546317999999999</v>
      </c>
      <c r="O51" s="47">
        <v>96.441909999999993</v>
      </c>
      <c r="P51" s="47">
        <v>96.301993999999993</v>
      </c>
      <c r="Q51" s="47">
        <v>96.255463000000006</v>
      </c>
      <c r="R51" s="47">
        <v>96.349693000000002</v>
      </c>
      <c r="S51" s="47">
        <v>96.487396000000004</v>
      </c>
      <c r="T51" s="47">
        <v>96.648208999999994</v>
      </c>
      <c r="U51" s="47">
        <v>96.924149</v>
      </c>
      <c r="V51" s="47">
        <v>97.076660000000004</v>
      </c>
      <c r="W51" s="47">
        <v>97.297111999999998</v>
      </c>
      <c r="X51" s="47">
        <v>97.575439000000003</v>
      </c>
      <c r="Y51" s="47">
        <v>97.931640999999999</v>
      </c>
      <c r="Z51" s="47">
        <v>98.216453999999999</v>
      </c>
      <c r="AA51" s="47">
        <v>98.512176999999994</v>
      </c>
      <c r="AB51" s="47">
        <v>98.990181000000007</v>
      </c>
      <c r="AC51" s="47">
        <v>99.420958999999996</v>
      </c>
      <c r="AD51" s="47">
        <v>99.767052000000007</v>
      </c>
      <c r="AE51" s="47">
        <v>100.154045</v>
      </c>
      <c r="AF51" s="47">
        <v>100.873901</v>
      </c>
      <c r="AG51" s="46">
        <v>1.354E-3</v>
      </c>
    </row>
    <row r="52" spans="1:33" ht="15" customHeight="1" x14ac:dyDescent="0.2"/>
    <row r="53" spans="1:33" ht="15" customHeight="1" x14ac:dyDescent="0.2">
      <c r="B53" s="45" t="s">
        <v>504</v>
      </c>
    </row>
    <row r="54" spans="1:33" ht="15" customHeight="1" x14ac:dyDescent="0.25">
      <c r="A54" s="42" t="s">
        <v>505</v>
      </c>
      <c r="B54" s="41" t="s">
        <v>506</v>
      </c>
      <c r="C54" s="44">
        <v>71.587997000000001</v>
      </c>
      <c r="D54" s="44">
        <v>69.665710000000004</v>
      </c>
      <c r="E54" s="44">
        <v>60.115009000000001</v>
      </c>
      <c r="F54" s="44">
        <v>65.487526000000003</v>
      </c>
      <c r="G54" s="44">
        <v>66.944946000000002</v>
      </c>
      <c r="H54" s="44">
        <v>68.336487000000005</v>
      </c>
      <c r="I54" s="44">
        <v>70.188248000000002</v>
      </c>
      <c r="J54" s="44">
        <v>71.247107999999997</v>
      </c>
      <c r="K54" s="44">
        <v>72.276756000000006</v>
      </c>
      <c r="L54" s="44">
        <v>73.089027000000002</v>
      </c>
      <c r="M54" s="44">
        <v>74.201713999999996</v>
      </c>
      <c r="N54" s="44">
        <v>75.693770999999998</v>
      </c>
      <c r="O54" s="44">
        <v>76.516807999999997</v>
      </c>
      <c r="P54" s="44">
        <v>77.011725999999996</v>
      </c>
      <c r="Q54" s="44">
        <v>77.511916999999997</v>
      </c>
      <c r="R54" s="44">
        <v>77.914551000000003</v>
      </c>
      <c r="S54" s="44">
        <v>79.120429999999999</v>
      </c>
      <c r="T54" s="44">
        <v>79.949264999999997</v>
      </c>
      <c r="U54" s="44">
        <v>80.107307000000006</v>
      </c>
      <c r="V54" s="44">
        <v>81.746223000000001</v>
      </c>
      <c r="W54" s="44">
        <v>82.892478999999994</v>
      </c>
      <c r="X54" s="44">
        <v>83.244727999999995</v>
      </c>
      <c r="Y54" s="44">
        <v>84.953598</v>
      </c>
      <c r="Z54" s="44">
        <v>86.823943999999997</v>
      </c>
      <c r="AA54" s="44">
        <v>87.048102999999998</v>
      </c>
      <c r="AB54" s="44">
        <v>88.261673000000002</v>
      </c>
      <c r="AC54" s="44">
        <v>88.154121000000004</v>
      </c>
      <c r="AD54" s="44">
        <v>88.153580000000005</v>
      </c>
      <c r="AE54" s="44">
        <v>88.626503</v>
      </c>
      <c r="AF54" s="44">
        <v>88.049567999999994</v>
      </c>
      <c r="AG54" s="39">
        <v>7.1630000000000001E-3</v>
      </c>
    </row>
    <row r="55" spans="1:33" ht="15" customHeight="1" x14ac:dyDescent="0.25">
      <c r="A55" s="42" t="s">
        <v>507</v>
      </c>
      <c r="B55" s="41" t="s">
        <v>508</v>
      </c>
      <c r="C55" s="44">
        <v>69.023003000000003</v>
      </c>
      <c r="D55" s="44">
        <v>66.150893999999994</v>
      </c>
      <c r="E55" s="44">
        <v>58.565804</v>
      </c>
      <c r="F55" s="44">
        <v>63.481312000000003</v>
      </c>
      <c r="G55" s="44">
        <v>64.713440000000006</v>
      </c>
      <c r="H55" s="44">
        <v>65.889472999999995</v>
      </c>
      <c r="I55" s="44">
        <v>67.339889999999997</v>
      </c>
      <c r="J55" s="44">
        <v>68.794830000000005</v>
      </c>
      <c r="K55" s="44">
        <v>69.806861999999995</v>
      </c>
      <c r="L55" s="44">
        <v>70.716560000000001</v>
      </c>
      <c r="M55" s="44">
        <v>71.664321999999999</v>
      </c>
      <c r="N55" s="44">
        <v>73.149719000000005</v>
      </c>
      <c r="O55" s="44">
        <v>74.028023000000005</v>
      </c>
      <c r="P55" s="44">
        <v>74.299271000000005</v>
      </c>
      <c r="Q55" s="44">
        <v>74.585869000000002</v>
      </c>
      <c r="R55" s="44">
        <v>74.74485</v>
      </c>
      <c r="S55" s="44">
        <v>75.858504999999994</v>
      </c>
      <c r="T55" s="44">
        <v>76.686295000000001</v>
      </c>
      <c r="U55" s="44">
        <v>76.795463999999996</v>
      </c>
      <c r="V55" s="44">
        <v>78.571479999999994</v>
      </c>
      <c r="W55" s="44">
        <v>79.729445999999996</v>
      </c>
      <c r="X55" s="44">
        <v>80.188102999999998</v>
      </c>
      <c r="Y55" s="44">
        <v>81.850860999999995</v>
      </c>
      <c r="Z55" s="44">
        <v>83.591797</v>
      </c>
      <c r="AA55" s="44">
        <v>84.018883000000002</v>
      </c>
      <c r="AB55" s="44">
        <v>85.136870999999999</v>
      </c>
      <c r="AC55" s="44">
        <v>85.346710000000002</v>
      </c>
      <c r="AD55" s="44">
        <v>85.364227</v>
      </c>
      <c r="AE55" s="44">
        <v>85.855141000000003</v>
      </c>
      <c r="AF55" s="44">
        <v>85.234679999999997</v>
      </c>
      <c r="AG55" s="39">
        <v>7.3010000000000002E-3</v>
      </c>
    </row>
    <row r="56" spans="1:33" ht="15" customHeight="1" x14ac:dyDescent="0.25">
      <c r="A56" s="42" t="s">
        <v>509</v>
      </c>
      <c r="B56" s="41" t="s">
        <v>510</v>
      </c>
      <c r="C56" s="43">
        <v>4.115437</v>
      </c>
      <c r="D56" s="43">
        <v>3.8375569999999999</v>
      </c>
      <c r="E56" s="43">
        <v>3.4711470000000002</v>
      </c>
      <c r="F56" s="43">
        <v>3.1265849999999999</v>
      </c>
      <c r="G56" s="43">
        <v>2.9537409999999999</v>
      </c>
      <c r="H56" s="43">
        <v>2.9069660000000002</v>
      </c>
      <c r="I56" s="43">
        <v>2.9545490000000001</v>
      </c>
      <c r="J56" s="43">
        <v>3.1361569999999999</v>
      </c>
      <c r="K56" s="43">
        <v>3.2922310000000001</v>
      </c>
      <c r="L56" s="43">
        <v>3.3889710000000002</v>
      </c>
      <c r="M56" s="43">
        <v>3.4544480000000002</v>
      </c>
      <c r="N56" s="43">
        <v>3.4918580000000001</v>
      </c>
      <c r="O56" s="43">
        <v>3.5932900000000001</v>
      </c>
      <c r="P56" s="43">
        <v>3.5941529999999999</v>
      </c>
      <c r="Q56" s="43">
        <v>3.5243639999999998</v>
      </c>
      <c r="R56" s="43">
        <v>3.4853049999999999</v>
      </c>
      <c r="S56" s="43">
        <v>3.4869300000000001</v>
      </c>
      <c r="T56" s="43">
        <v>3.5182699999999998</v>
      </c>
      <c r="U56" s="43">
        <v>3.5456129999999999</v>
      </c>
      <c r="V56" s="43">
        <v>3.577658</v>
      </c>
      <c r="W56" s="43">
        <v>3.6346500000000002</v>
      </c>
      <c r="X56" s="43">
        <v>3.6520290000000002</v>
      </c>
      <c r="Y56" s="43">
        <v>3.5895619999999999</v>
      </c>
      <c r="Z56" s="43">
        <v>3.5611259999999998</v>
      </c>
      <c r="AA56" s="43">
        <v>3.4696760000000002</v>
      </c>
      <c r="AB56" s="43">
        <v>3.4253659999999999</v>
      </c>
      <c r="AC56" s="43">
        <v>3.400315</v>
      </c>
      <c r="AD56" s="43">
        <v>3.3924319999999999</v>
      </c>
      <c r="AE56" s="43">
        <v>3.4035679999999999</v>
      </c>
      <c r="AF56" s="43">
        <v>3.4095119999999999</v>
      </c>
      <c r="AG56" s="39">
        <v>-6.4679999999999998E-3</v>
      </c>
    </row>
    <row r="57" spans="1:33" ht="15" customHeight="1" x14ac:dyDescent="0.25">
      <c r="A57" s="42" t="s">
        <v>511</v>
      </c>
      <c r="B57" s="41" t="s">
        <v>512</v>
      </c>
      <c r="C57" s="40">
        <v>36.126964999999998</v>
      </c>
      <c r="D57" s="40">
        <v>33.048690999999998</v>
      </c>
      <c r="E57" s="40">
        <v>33.697308</v>
      </c>
      <c r="F57" s="40">
        <v>34.915207000000002</v>
      </c>
      <c r="G57" s="40">
        <v>33.191757000000003</v>
      </c>
      <c r="H57" s="40">
        <v>31.716324</v>
      </c>
      <c r="I57" s="40">
        <v>31.066441000000001</v>
      </c>
      <c r="J57" s="40">
        <v>30.505334999999999</v>
      </c>
      <c r="K57" s="40">
        <v>30.725069000000001</v>
      </c>
      <c r="L57" s="40">
        <v>30.714941</v>
      </c>
      <c r="M57" s="40">
        <v>30.711940999999999</v>
      </c>
      <c r="N57" s="40">
        <v>30.82056</v>
      </c>
      <c r="O57" s="40">
        <v>31.028635000000001</v>
      </c>
      <c r="P57" s="40">
        <v>31.325903</v>
      </c>
      <c r="Q57" s="40">
        <v>31.308147000000002</v>
      </c>
      <c r="R57" s="40">
        <v>31.61187</v>
      </c>
      <c r="S57" s="40">
        <v>32.129680999999998</v>
      </c>
      <c r="T57" s="40">
        <v>32.227969999999999</v>
      </c>
      <c r="U57" s="40">
        <v>32.280780999999998</v>
      </c>
      <c r="V57" s="40">
        <v>32.69191</v>
      </c>
      <c r="W57" s="40">
        <v>32.910851000000001</v>
      </c>
      <c r="X57" s="40">
        <v>32.751488000000002</v>
      </c>
      <c r="Y57" s="40">
        <v>33.197136</v>
      </c>
      <c r="Z57" s="40">
        <v>33.294753999999998</v>
      </c>
      <c r="AA57" s="40">
        <v>33.901966000000002</v>
      </c>
      <c r="AB57" s="40">
        <v>34.154437999999999</v>
      </c>
      <c r="AC57" s="40">
        <v>34.402785999999999</v>
      </c>
      <c r="AD57" s="40">
        <v>34.352524000000003</v>
      </c>
      <c r="AE57" s="40">
        <v>34.457165000000003</v>
      </c>
      <c r="AF57" s="40">
        <v>34.526252999999997</v>
      </c>
      <c r="AG57" s="39">
        <v>-1.562E-3</v>
      </c>
    </row>
    <row r="58" spans="1:33" ht="15" customHeight="1" x14ac:dyDescent="0.25">
      <c r="A58" s="42" t="s">
        <v>513</v>
      </c>
      <c r="B58" s="41" t="s">
        <v>514</v>
      </c>
      <c r="C58" s="43">
        <v>1.753047</v>
      </c>
      <c r="D58" s="43">
        <v>1.605396</v>
      </c>
      <c r="E58" s="43">
        <v>1.612716</v>
      </c>
      <c r="F58" s="43">
        <v>1.644811</v>
      </c>
      <c r="G58" s="43">
        <v>1.5786800000000001</v>
      </c>
      <c r="H58" s="43">
        <v>1.524597</v>
      </c>
      <c r="I58" s="43">
        <v>1.4982040000000001</v>
      </c>
      <c r="J58" s="43">
        <v>1.483403</v>
      </c>
      <c r="K58" s="43">
        <v>1.4923</v>
      </c>
      <c r="L58" s="43">
        <v>1.492875</v>
      </c>
      <c r="M58" s="43">
        <v>1.493347</v>
      </c>
      <c r="N58" s="43">
        <v>1.4936529999999999</v>
      </c>
      <c r="O58" s="43">
        <v>1.4965390000000001</v>
      </c>
      <c r="P58" s="43">
        <v>1.510248</v>
      </c>
      <c r="Q58" s="43">
        <v>1.5111859999999999</v>
      </c>
      <c r="R58" s="43">
        <v>1.522797</v>
      </c>
      <c r="S58" s="43">
        <v>1.5360039999999999</v>
      </c>
      <c r="T58" s="43">
        <v>1.543051</v>
      </c>
      <c r="U58" s="43">
        <v>1.5474950000000001</v>
      </c>
      <c r="V58" s="43">
        <v>1.5640559999999999</v>
      </c>
      <c r="W58" s="43">
        <v>1.574198</v>
      </c>
      <c r="X58" s="43">
        <v>1.5691949999999999</v>
      </c>
      <c r="Y58" s="43">
        <v>1.5863130000000001</v>
      </c>
      <c r="Z58" s="43">
        <v>1.5902780000000001</v>
      </c>
      <c r="AA58" s="43">
        <v>1.607756</v>
      </c>
      <c r="AB58" s="43">
        <v>1.618476</v>
      </c>
      <c r="AC58" s="43">
        <v>1.6294310000000001</v>
      </c>
      <c r="AD58" s="43">
        <v>1.6292679999999999</v>
      </c>
      <c r="AE58" s="43">
        <v>1.6348339999999999</v>
      </c>
      <c r="AF58" s="43">
        <v>1.639391</v>
      </c>
      <c r="AG58" s="39">
        <v>-2.3089999999999999E-3</v>
      </c>
    </row>
    <row r="59" spans="1:33" ht="15" customHeight="1" x14ac:dyDescent="0.25">
      <c r="A59" s="42" t="s">
        <v>515</v>
      </c>
      <c r="B59" s="41" t="s">
        <v>516</v>
      </c>
      <c r="C59" s="43">
        <v>2.2292390000000002</v>
      </c>
      <c r="D59" s="43">
        <v>2.1085590000000001</v>
      </c>
      <c r="E59" s="43">
        <v>2.1093130000000002</v>
      </c>
      <c r="F59" s="43">
        <v>2.1188609999999999</v>
      </c>
      <c r="G59" s="43">
        <v>2.0726010000000001</v>
      </c>
      <c r="H59" s="43">
        <v>2.0520100000000001</v>
      </c>
      <c r="I59" s="43">
        <v>2.0395110000000001</v>
      </c>
      <c r="J59" s="43">
        <v>2.0317379999999998</v>
      </c>
      <c r="K59" s="43">
        <v>2.0420389999999999</v>
      </c>
      <c r="L59" s="43">
        <v>2.041963</v>
      </c>
      <c r="M59" s="43">
        <v>2.0381300000000002</v>
      </c>
      <c r="N59" s="43">
        <v>2.033941</v>
      </c>
      <c r="O59" s="43">
        <v>2.0277940000000001</v>
      </c>
      <c r="P59" s="43">
        <v>2.0314239999999999</v>
      </c>
      <c r="Q59" s="43">
        <v>2.0170699999999999</v>
      </c>
      <c r="R59" s="43">
        <v>2.0104799999999998</v>
      </c>
      <c r="S59" s="43">
        <v>2.012397</v>
      </c>
      <c r="T59" s="43">
        <v>2.0086400000000002</v>
      </c>
      <c r="U59" s="43">
        <v>2.0080589999999998</v>
      </c>
      <c r="V59" s="43">
        <v>2.0107750000000002</v>
      </c>
      <c r="W59" s="43">
        <v>2.0145870000000001</v>
      </c>
      <c r="X59" s="43">
        <v>2.0022630000000001</v>
      </c>
      <c r="Y59" s="43">
        <v>2.0030899999999998</v>
      </c>
      <c r="Z59" s="43">
        <v>2.0003690000000001</v>
      </c>
      <c r="AA59" s="43">
        <v>2.0006309999999998</v>
      </c>
      <c r="AB59" s="43">
        <v>2.0018259999999999</v>
      </c>
      <c r="AC59" s="43">
        <v>1.9972270000000001</v>
      </c>
      <c r="AD59" s="43">
        <v>1.9858020000000001</v>
      </c>
      <c r="AE59" s="43">
        <v>1.98377</v>
      </c>
      <c r="AF59" s="43">
        <v>1.9814369999999999</v>
      </c>
      <c r="AG59" s="39">
        <v>-4.0549999999999996E-3</v>
      </c>
    </row>
    <row r="60" spans="1:33" ht="15" customHeight="1" x14ac:dyDescent="0.25">
      <c r="A60" s="42" t="s">
        <v>517</v>
      </c>
      <c r="B60" s="41" t="s">
        <v>518</v>
      </c>
      <c r="C60" s="40">
        <v>11.09206</v>
      </c>
      <c r="D60" s="40">
        <v>10.975097</v>
      </c>
      <c r="E60" s="40">
        <v>10.752556999999999</v>
      </c>
      <c r="F60" s="40">
        <v>10.540874000000001</v>
      </c>
      <c r="G60" s="40">
        <v>10.475073</v>
      </c>
      <c r="H60" s="40">
        <v>10.501467999999999</v>
      </c>
      <c r="I60" s="40">
        <v>10.507842</v>
      </c>
      <c r="J60" s="40">
        <v>10.523569999999999</v>
      </c>
      <c r="K60" s="40">
        <v>10.553371</v>
      </c>
      <c r="L60" s="40">
        <v>10.551202999999999</v>
      </c>
      <c r="M60" s="40">
        <v>10.580885</v>
      </c>
      <c r="N60" s="40">
        <v>10.611276999999999</v>
      </c>
      <c r="O60" s="40">
        <v>10.653981</v>
      </c>
      <c r="P60" s="40">
        <v>10.673109999999999</v>
      </c>
      <c r="Q60" s="40">
        <v>10.574654000000001</v>
      </c>
      <c r="R60" s="40">
        <v>10.500532</v>
      </c>
      <c r="S60" s="40">
        <v>10.454601</v>
      </c>
      <c r="T60" s="40">
        <v>10.40737</v>
      </c>
      <c r="U60" s="40">
        <v>10.364239</v>
      </c>
      <c r="V60" s="40">
        <v>10.379671</v>
      </c>
      <c r="W60" s="40">
        <v>10.349372000000001</v>
      </c>
      <c r="X60" s="40">
        <v>10.349371</v>
      </c>
      <c r="Y60" s="40">
        <v>10.292790999999999</v>
      </c>
      <c r="Z60" s="40">
        <v>10.252166000000001</v>
      </c>
      <c r="AA60" s="40">
        <v>10.25128</v>
      </c>
      <c r="AB60" s="40">
        <v>10.175208</v>
      </c>
      <c r="AC60" s="40">
        <v>10.157688</v>
      </c>
      <c r="AD60" s="40">
        <v>10.123593</v>
      </c>
      <c r="AE60" s="40">
        <v>10.092719000000001</v>
      </c>
      <c r="AF60" s="40">
        <v>10.021296</v>
      </c>
      <c r="AG60" s="39">
        <v>-3.4940000000000001E-3</v>
      </c>
    </row>
    <row r="61" spans="1:33" ht="15" customHeight="1" x14ac:dyDescent="0.2"/>
    <row r="62" spans="1:33" ht="15" customHeight="1" x14ac:dyDescent="0.2"/>
    <row r="63" spans="1:33" ht="15" customHeight="1" x14ac:dyDescent="0.2">
      <c r="B63" s="45" t="s">
        <v>519</v>
      </c>
    </row>
    <row r="64" spans="1:33" ht="15" customHeight="1" x14ac:dyDescent="0.25">
      <c r="A64" s="42" t="s">
        <v>520</v>
      </c>
      <c r="B64" s="41" t="s">
        <v>506</v>
      </c>
      <c r="C64" s="44">
        <v>71.587997000000001</v>
      </c>
      <c r="D64" s="44">
        <v>71.908996999999999</v>
      </c>
      <c r="E64" s="44">
        <v>63.619979999999998</v>
      </c>
      <c r="F64" s="44">
        <v>71.373054999999994</v>
      </c>
      <c r="G64" s="44">
        <v>75.273742999999996</v>
      </c>
      <c r="H64" s="44">
        <v>79.457572999999996</v>
      </c>
      <c r="I64" s="44">
        <v>84.495559999999998</v>
      </c>
      <c r="J64" s="44">
        <v>88.816947999999996</v>
      </c>
      <c r="K64" s="44">
        <v>93.240852000000004</v>
      </c>
      <c r="L64" s="44">
        <v>97.461692999999997</v>
      </c>
      <c r="M64" s="44">
        <v>102.242752</v>
      </c>
      <c r="N64" s="44">
        <v>107.677361</v>
      </c>
      <c r="O64" s="44">
        <v>112.40005499999999</v>
      </c>
      <c r="P64" s="44">
        <v>116.90786</v>
      </c>
      <c r="Q64" s="44">
        <v>121.683891</v>
      </c>
      <c r="R64" s="44">
        <v>126.524063</v>
      </c>
      <c r="S64" s="44">
        <v>132.93751499999999</v>
      </c>
      <c r="T64" s="44">
        <v>138.98382599999999</v>
      </c>
      <c r="U64" s="44">
        <v>144.00289900000001</v>
      </c>
      <c r="V64" s="44">
        <v>152.015152</v>
      </c>
      <c r="W64" s="44">
        <v>159.442139</v>
      </c>
      <c r="X64" s="44">
        <v>165.62905900000001</v>
      </c>
      <c r="Y64" s="44">
        <v>174.78681900000001</v>
      </c>
      <c r="Z64" s="44">
        <v>184.651535</v>
      </c>
      <c r="AA64" s="44">
        <v>191.32926900000001</v>
      </c>
      <c r="AB64" s="44">
        <v>200.49499499999999</v>
      </c>
      <c r="AC64" s="44">
        <v>206.955399</v>
      </c>
      <c r="AD64" s="44">
        <v>213.823441</v>
      </c>
      <c r="AE64" s="44">
        <v>221.992188</v>
      </c>
      <c r="AF64" s="44">
        <v>227.62056000000001</v>
      </c>
      <c r="AG64" s="39">
        <v>4.0694000000000001E-2</v>
      </c>
    </row>
    <row r="65" spans="1:33" ht="15" customHeight="1" x14ac:dyDescent="0.25">
      <c r="A65" s="42" t="s">
        <v>521</v>
      </c>
      <c r="B65" s="41" t="s">
        <v>508</v>
      </c>
      <c r="C65" s="44">
        <v>69.023003000000003</v>
      </c>
      <c r="D65" s="44">
        <v>68.280997999999997</v>
      </c>
      <c r="E65" s="44">
        <v>61.980446000000001</v>
      </c>
      <c r="F65" s="44">
        <v>69.186538999999996</v>
      </c>
      <c r="G65" s="44">
        <v>72.764610000000005</v>
      </c>
      <c r="H65" s="44">
        <v>76.612328000000005</v>
      </c>
      <c r="I65" s="44">
        <v>81.066588999999993</v>
      </c>
      <c r="J65" s="44">
        <v>85.759925999999993</v>
      </c>
      <c r="K65" s="44">
        <v>90.054550000000006</v>
      </c>
      <c r="L65" s="44">
        <v>94.298096000000001</v>
      </c>
      <c r="M65" s="44">
        <v>98.746475000000004</v>
      </c>
      <c r="N65" s="44">
        <v>104.058342</v>
      </c>
      <c r="O65" s="44">
        <v>108.744141</v>
      </c>
      <c r="P65" s="44">
        <v>112.790207</v>
      </c>
      <c r="Q65" s="44">
        <v>117.090363</v>
      </c>
      <c r="R65" s="44">
        <v>121.376839</v>
      </c>
      <c r="S65" s="44">
        <v>127.456856</v>
      </c>
      <c r="T65" s="44">
        <v>133.31147799999999</v>
      </c>
      <c r="U65" s="44">
        <v>138.049454</v>
      </c>
      <c r="V65" s="44">
        <v>146.111389</v>
      </c>
      <c r="W65" s="44">
        <v>153.358124</v>
      </c>
      <c r="X65" s="44">
        <v>159.54740899999999</v>
      </c>
      <c r="Y65" s="44">
        <v>168.40313699999999</v>
      </c>
      <c r="Z65" s="44">
        <v>177.777603</v>
      </c>
      <c r="AA65" s="44">
        <v>184.67111199999999</v>
      </c>
      <c r="AB65" s="44">
        <v>193.39669799999999</v>
      </c>
      <c r="AC65" s="44">
        <v>200.364563</v>
      </c>
      <c r="AD65" s="44">
        <v>207.057648</v>
      </c>
      <c r="AE65" s="44">
        <v>215.05046100000001</v>
      </c>
      <c r="AF65" s="44">
        <v>220.34367399999999</v>
      </c>
      <c r="AG65" s="39">
        <v>4.0837999999999999E-2</v>
      </c>
    </row>
    <row r="66" spans="1:33" ht="14.65" customHeight="1" x14ac:dyDescent="0.25">
      <c r="A66" s="42" t="s">
        <v>522</v>
      </c>
      <c r="B66" s="41" t="s">
        <v>510</v>
      </c>
      <c r="C66" s="43">
        <v>4.115437</v>
      </c>
      <c r="D66" s="43">
        <v>3.9611290000000001</v>
      </c>
      <c r="E66" s="43">
        <v>3.67353</v>
      </c>
      <c r="F66" s="43">
        <v>3.4075790000000001</v>
      </c>
      <c r="G66" s="43">
        <v>3.3212229999999998</v>
      </c>
      <c r="H66" s="43">
        <v>3.3800460000000001</v>
      </c>
      <c r="I66" s="43">
        <v>3.55681</v>
      </c>
      <c r="J66" s="43">
        <v>3.9095469999999999</v>
      </c>
      <c r="K66" s="43">
        <v>4.247153</v>
      </c>
      <c r="L66" s="43">
        <v>4.519075</v>
      </c>
      <c r="M66" s="43">
        <v>4.7598940000000001</v>
      </c>
      <c r="N66" s="43">
        <v>4.9673059999999998</v>
      </c>
      <c r="O66" s="43">
        <v>5.2783959999999999</v>
      </c>
      <c r="P66" s="43">
        <v>5.4561140000000004</v>
      </c>
      <c r="Q66" s="43">
        <v>5.5328049999999998</v>
      </c>
      <c r="R66" s="43">
        <v>5.6597249999999999</v>
      </c>
      <c r="S66" s="43">
        <v>5.8587119999999997</v>
      </c>
      <c r="T66" s="43">
        <v>6.1161620000000001</v>
      </c>
      <c r="U66" s="43">
        <v>6.3736819999999996</v>
      </c>
      <c r="V66" s="43">
        <v>6.6530069999999997</v>
      </c>
      <c r="W66" s="43">
        <v>6.9911810000000001</v>
      </c>
      <c r="X66" s="43">
        <v>7.266311</v>
      </c>
      <c r="Y66" s="43">
        <v>7.3853030000000004</v>
      </c>
      <c r="Z66" s="43">
        <v>7.5735729999999997</v>
      </c>
      <c r="AA66" s="43">
        <v>7.6262499999999998</v>
      </c>
      <c r="AB66" s="43">
        <v>7.7810519999999999</v>
      </c>
      <c r="AC66" s="43">
        <v>7.9827640000000004</v>
      </c>
      <c r="AD66" s="43">
        <v>8.2286110000000008</v>
      </c>
      <c r="AE66" s="43">
        <v>8.5252770000000009</v>
      </c>
      <c r="AF66" s="43">
        <v>8.8140680000000007</v>
      </c>
      <c r="AG66" s="39">
        <v>2.6610000000000002E-2</v>
      </c>
    </row>
    <row r="67" spans="1:33" ht="15" customHeight="1" x14ac:dyDescent="0.25">
      <c r="A67" s="42" t="s">
        <v>523</v>
      </c>
      <c r="B67" s="41" t="s">
        <v>512</v>
      </c>
      <c r="C67" s="40">
        <v>36.126964999999998</v>
      </c>
      <c r="D67" s="40">
        <v>34.112881000000002</v>
      </c>
      <c r="E67" s="40">
        <v>35.662010000000002</v>
      </c>
      <c r="F67" s="40">
        <v>38.053122999999999</v>
      </c>
      <c r="G67" s="40">
        <v>37.321235999999999</v>
      </c>
      <c r="H67" s="40">
        <v>36.877842000000001</v>
      </c>
      <c r="I67" s="40">
        <v>37.399085999999997</v>
      </c>
      <c r="J67" s="40">
        <v>38.028080000000003</v>
      </c>
      <c r="K67" s="40">
        <v>39.636966999999999</v>
      </c>
      <c r="L67" s="40">
        <v>40.957313999999997</v>
      </c>
      <c r="M67" s="40">
        <v>42.318069000000001</v>
      </c>
      <c r="N67" s="40">
        <v>43.843456000000003</v>
      </c>
      <c r="O67" s="40">
        <v>45.579796000000002</v>
      </c>
      <c r="P67" s="40">
        <v>47.554371000000003</v>
      </c>
      <c r="Q67" s="40">
        <v>49.149825999999997</v>
      </c>
      <c r="R67" s="40">
        <v>51.333953999999999</v>
      </c>
      <c r="S67" s="40">
        <v>53.984034999999999</v>
      </c>
      <c r="T67" s="40">
        <v>56.025112</v>
      </c>
      <c r="U67" s="40">
        <v>58.028739999999999</v>
      </c>
      <c r="V67" s="40">
        <v>60.793827</v>
      </c>
      <c r="W67" s="40">
        <v>63.30341</v>
      </c>
      <c r="X67" s="40">
        <v>65.164467000000002</v>
      </c>
      <c r="Y67" s="40">
        <v>68.301070999999993</v>
      </c>
      <c r="Z67" s="40">
        <v>70.809119999999993</v>
      </c>
      <c r="AA67" s="40">
        <v>74.515556000000004</v>
      </c>
      <c r="AB67" s="40">
        <v>77.585136000000006</v>
      </c>
      <c r="AC67" s="40">
        <v>80.765845999999996</v>
      </c>
      <c r="AD67" s="40">
        <v>83.324744999999993</v>
      </c>
      <c r="AE67" s="40">
        <v>86.308509999999998</v>
      </c>
      <c r="AF67" s="40">
        <v>89.255225999999993</v>
      </c>
      <c r="AG67" s="39">
        <v>3.168E-2</v>
      </c>
    </row>
    <row r="68" spans="1:33" ht="15" customHeight="1" x14ac:dyDescent="0.25">
      <c r="A68" s="42" t="s">
        <v>524</v>
      </c>
      <c r="B68" s="41" t="s">
        <v>514</v>
      </c>
      <c r="C68" s="43">
        <v>1.753047</v>
      </c>
      <c r="D68" s="43">
        <v>1.65709</v>
      </c>
      <c r="E68" s="43">
        <v>1.706745</v>
      </c>
      <c r="F68" s="43">
        <v>1.792635</v>
      </c>
      <c r="G68" s="43">
        <v>1.775088</v>
      </c>
      <c r="H68" s="43">
        <v>1.77271</v>
      </c>
      <c r="I68" s="43">
        <v>1.803601</v>
      </c>
      <c r="J68" s="43">
        <v>1.8492170000000001</v>
      </c>
      <c r="K68" s="43">
        <v>1.925146</v>
      </c>
      <c r="L68" s="43">
        <v>1.9906969999999999</v>
      </c>
      <c r="M68" s="43">
        <v>2.057687</v>
      </c>
      <c r="N68" s="43">
        <v>2.1247790000000002</v>
      </c>
      <c r="O68" s="43">
        <v>2.1983540000000001</v>
      </c>
      <c r="P68" s="43">
        <v>2.2926359999999999</v>
      </c>
      <c r="Q68" s="43">
        <v>2.3723700000000001</v>
      </c>
      <c r="R68" s="43">
        <v>2.4728430000000001</v>
      </c>
      <c r="S68" s="43">
        <v>2.580781</v>
      </c>
      <c r="T68" s="43">
        <v>2.6824400000000002</v>
      </c>
      <c r="U68" s="43">
        <v>2.7818160000000001</v>
      </c>
      <c r="V68" s="43">
        <v>2.9085169999999998</v>
      </c>
      <c r="W68" s="43">
        <v>3.0279400000000001</v>
      </c>
      <c r="X68" s="43">
        <v>3.1221709999999998</v>
      </c>
      <c r="Y68" s="43">
        <v>3.263741</v>
      </c>
      <c r="Z68" s="43">
        <v>3.3820999999999999</v>
      </c>
      <c r="AA68" s="43">
        <v>3.5338020000000001</v>
      </c>
      <c r="AB68" s="43">
        <v>3.676526</v>
      </c>
      <c r="AC68" s="43">
        <v>3.8253409999999999</v>
      </c>
      <c r="AD68" s="43">
        <v>3.951918</v>
      </c>
      <c r="AE68" s="43">
        <v>4.0949419999999996</v>
      </c>
      <c r="AF68" s="43">
        <v>4.2380579999999997</v>
      </c>
      <c r="AG68" s="39">
        <v>3.0908000000000001E-2</v>
      </c>
    </row>
    <row r="69" spans="1:33" ht="15" customHeight="1" x14ac:dyDescent="0.25">
      <c r="A69" s="42" t="s">
        <v>525</v>
      </c>
      <c r="B69" s="41" t="s">
        <v>516</v>
      </c>
      <c r="C69" s="43">
        <v>2.2292390000000002</v>
      </c>
      <c r="D69" s="43">
        <v>2.1764559999999999</v>
      </c>
      <c r="E69" s="43">
        <v>2.2322959999999998</v>
      </c>
      <c r="F69" s="43">
        <v>2.309288</v>
      </c>
      <c r="G69" s="43">
        <v>2.3304589999999998</v>
      </c>
      <c r="H69" s="43">
        <v>2.3859539999999999</v>
      </c>
      <c r="I69" s="43">
        <v>2.4552489999999998</v>
      </c>
      <c r="J69" s="43">
        <v>2.5327730000000002</v>
      </c>
      <c r="K69" s="43">
        <v>2.6343390000000002</v>
      </c>
      <c r="L69" s="43">
        <v>2.7228870000000001</v>
      </c>
      <c r="M69" s="43">
        <v>2.808344</v>
      </c>
      <c r="N69" s="43">
        <v>2.8933599999999999</v>
      </c>
      <c r="O69" s="43">
        <v>2.9787469999999998</v>
      </c>
      <c r="P69" s="43">
        <v>3.0838079999999999</v>
      </c>
      <c r="Q69" s="43">
        <v>3.166544</v>
      </c>
      <c r="R69" s="43">
        <v>3.264783</v>
      </c>
      <c r="S69" s="43">
        <v>3.3812139999999999</v>
      </c>
      <c r="T69" s="43">
        <v>3.4918209999999998</v>
      </c>
      <c r="U69" s="43">
        <v>3.609737</v>
      </c>
      <c r="V69" s="43">
        <v>3.7392340000000002</v>
      </c>
      <c r="W69" s="43">
        <v>3.8750209999999998</v>
      </c>
      <c r="X69" s="43">
        <v>3.9838300000000002</v>
      </c>
      <c r="Y69" s="43">
        <v>4.1212350000000004</v>
      </c>
      <c r="Z69" s="43">
        <v>4.2542540000000004</v>
      </c>
      <c r="AA69" s="43">
        <v>4.3973310000000003</v>
      </c>
      <c r="AB69" s="43">
        <v>4.5473439999999998</v>
      </c>
      <c r="AC69" s="43">
        <v>4.6887990000000004</v>
      </c>
      <c r="AD69" s="43">
        <v>4.8167200000000001</v>
      </c>
      <c r="AE69" s="43">
        <v>4.9689589999999999</v>
      </c>
      <c r="AF69" s="43">
        <v>5.1222940000000001</v>
      </c>
      <c r="AG69" s="39">
        <v>2.9103E-2</v>
      </c>
    </row>
    <row r="70" spans="1:33" ht="15" customHeight="1" x14ac:dyDescent="0.25">
      <c r="A70" s="42" t="s">
        <v>526</v>
      </c>
      <c r="B70" s="41" t="s">
        <v>518</v>
      </c>
      <c r="C70" s="40">
        <v>11.09206</v>
      </c>
      <c r="D70" s="40">
        <v>11.328503</v>
      </c>
      <c r="E70" s="40">
        <v>11.379478000000001</v>
      </c>
      <c r="F70" s="40">
        <v>11.48821</v>
      </c>
      <c r="G70" s="40">
        <v>11.778304</v>
      </c>
      <c r="H70" s="40">
        <v>12.210476999999999</v>
      </c>
      <c r="I70" s="40">
        <v>12.649781000000001</v>
      </c>
      <c r="J70" s="40">
        <v>13.118728000000001</v>
      </c>
      <c r="K70" s="40">
        <v>13.614407999999999</v>
      </c>
      <c r="L70" s="40">
        <v>14.069665000000001</v>
      </c>
      <c r="M70" s="40">
        <v>14.579432000000001</v>
      </c>
      <c r="N70" s="40">
        <v>15.094956</v>
      </c>
      <c r="O70" s="40">
        <v>15.650263000000001</v>
      </c>
      <c r="P70" s="40">
        <v>16.202342999999999</v>
      </c>
      <c r="Q70" s="40">
        <v>16.600866</v>
      </c>
      <c r="R70" s="40">
        <v>17.051628000000001</v>
      </c>
      <c r="S70" s="40">
        <v>17.565736999999999</v>
      </c>
      <c r="T70" s="40">
        <v>18.092175000000001</v>
      </c>
      <c r="U70" s="40">
        <v>18.631014</v>
      </c>
      <c r="V70" s="40">
        <v>19.302019000000001</v>
      </c>
      <c r="W70" s="40">
        <v>19.906824</v>
      </c>
      <c r="X70" s="40">
        <v>20.591771999999999</v>
      </c>
      <c r="Y70" s="40">
        <v>21.176786</v>
      </c>
      <c r="Z70" s="40">
        <v>21.803642</v>
      </c>
      <c r="AA70" s="40">
        <v>22.532022000000001</v>
      </c>
      <c r="AB70" s="40">
        <v>23.113976999999998</v>
      </c>
      <c r="AC70" s="40">
        <v>23.846741000000002</v>
      </c>
      <c r="AD70" s="40">
        <v>24.555572999999999</v>
      </c>
      <c r="AE70" s="40">
        <v>25.280301999999999</v>
      </c>
      <c r="AF70" s="40">
        <v>25.906462000000001</v>
      </c>
      <c r="AG70" s="39">
        <v>2.9682E-2</v>
      </c>
    </row>
    <row r="71" spans="1:33" ht="15" customHeight="1" thickBot="1" x14ac:dyDescent="0.25"/>
    <row r="72" spans="1:33" ht="15" customHeight="1" x14ac:dyDescent="0.2">
      <c r="B72" s="38" t="s">
        <v>527</v>
      </c>
    </row>
    <row r="73" spans="1:33" x14ac:dyDescent="0.2">
      <c r="B73" s="37" t="s">
        <v>528</v>
      </c>
    </row>
    <row r="74" spans="1:33" ht="15" customHeight="1" x14ac:dyDescent="0.2">
      <c r="B74" s="37" t="s">
        <v>529</v>
      </c>
    </row>
    <row r="75" spans="1:33" ht="15" customHeight="1" x14ac:dyDescent="0.2">
      <c r="B75" s="37" t="s">
        <v>530</v>
      </c>
    </row>
    <row r="76" spans="1:33" ht="15" customHeight="1" x14ac:dyDescent="0.2">
      <c r="B76" s="37" t="s">
        <v>531</v>
      </c>
    </row>
    <row r="77" spans="1:33" ht="15" customHeight="1" x14ac:dyDescent="0.2">
      <c r="B77" s="37" t="s">
        <v>532</v>
      </c>
    </row>
    <row r="78" spans="1:33" ht="15" customHeight="1" x14ac:dyDescent="0.2">
      <c r="B78" s="37" t="s">
        <v>533</v>
      </c>
    </row>
    <row r="79" spans="1:33" x14ac:dyDescent="0.2">
      <c r="B79" s="37" t="s">
        <v>534</v>
      </c>
    </row>
    <row r="80" spans="1:33" ht="15" customHeight="1" x14ac:dyDescent="0.2">
      <c r="B80" s="37" t="s">
        <v>535</v>
      </c>
    </row>
    <row r="81" spans="2:2" x14ac:dyDescent="0.2">
      <c r="B81" s="37" t="s">
        <v>536</v>
      </c>
    </row>
    <row r="82" spans="2:2" ht="15" customHeight="1" x14ac:dyDescent="0.2">
      <c r="B82" s="37" t="s">
        <v>537</v>
      </c>
    </row>
    <row r="83" spans="2:2" ht="15" customHeight="1" x14ac:dyDescent="0.2">
      <c r="B83" s="37" t="s">
        <v>538</v>
      </c>
    </row>
    <row r="84" spans="2:2" ht="15" customHeight="1" x14ac:dyDescent="0.2">
      <c r="B84" s="37" t="s">
        <v>539</v>
      </c>
    </row>
    <row r="85" spans="2:2" ht="15" customHeight="1" x14ac:dyDescent="0.2">
      <c r="B85" s="37" t="s">
        <v>540</v>
      </c>
    </row>
    <row r="86" spans="2:2" ht="15" customHeight="1" x14ac:dyDescent="0.2">
      <c r="B86" s="37" t="s">
        <v>541</v>
      </c>
    </row>
    <row r="87" spans="2:2" ht="15" customHeight="1" x14ac:dyDescent="0.2">
      <c r="B87" s="37" t="s">
        <v>542</v>
      </c>
    </row>
    <row r="88" spans="2:2" ht="15" customHeight="1" x14ac:dyDescent="0.2">
      <c r="B88" s="37" t="s">
        <v>543</v>
      </c>
    </row>
    <row r="89" spans="2:2" ht="15" customHeight="1" x14ac:dyDescent="0.2">
      <c r="B89" s="37" t="s">
        <v>544</v>
      </c>
    </row>
    <row r="90" spans="2:2" ht="15" customHeight="1" x14ac:dyDescent="0.2">
      <c r="B90" s="37" t="s">
        <v>545</v>
      </c>
    </row>
    <row r="91" spans="2:2" ht="15" customHeight="1" x14ac:dyDescent="0.2">
      <c r="B91" s="37" t="s">
        <v>546</v>
      </c>
    </row>
    <row r="92" spans="2:2" x14ac:dyDescent="0.2">
      <c r="B92" s="37" t="s">
        <v>547</v>
      </c>
    </row>
    <row r="93" spans="2:2" ht="15" customHeight="1" x14ac:dyDescent="0.2">
      <c r="B93" s="37" t="s">
        <v>548</v>
      </c>
    </row>
    <row r="94" spans="2:2" ht="15" customHeight="1" x14ac:dyDescent="0.2">
      <c r="B94" s="37" t="s">
        <v>549</v>
      </c>
    </row>
    <row r="95" spans="2:2" ht="15" customHeight="1" x14ac:dyDescent="0.2">
      <c r="B95" s="37" t="s">
        <v>550</v>
      </c>
    </row>
    <row r="96" spans="2:2" ht="15" customHeight="1" x14ac:dyDescent="0.2">
      <c r="B96" s="37" t="s">
        <v>551</v>
      </c>
    </row>
    <row r="97" spans="2:33" ht="15" customHeight="1" x14ac:dyDescent="0.2">
      <c r="B97" s="37" t="s">
        <v>552</v>
      </c>
    </row>
    <row r="98" spans="2:33" ht="15" customHeight="1" x14ac:dyDescent="0.2">
      <c r="B98" s="37" t="s">
        <v>553</v>
      </c>
    </row>
    <row r="99" spans="2:33" ht="15" customHeight="1" x14ac:dyDescent="0.2">
      <c r="B99" s="37" t="s">
        <v>554</v>
      </c>
    </row>
    <row r="100" spans="2:33" ht="15" customHeight="1" x14ac:dyDescent="0.2">
      <c r="B100" s="37" t="s">
        <v>555</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57"/>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c r="AA112" s="457"/>
      <c r="AB112" s="457"/>
      <c r="AC112" s="457"/>
      <c r="AD112" s="457"/>
      <c r="AE112" s="457"/>
      <c r="AF112" s="457"/>
      <c r="AG112" s="457"/>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c r="AA308" s="457"/>
      <c r="AB308" s="457"/>
      <c r="AC308" s="457"/>
      <c r="AD308" s="457"/>
      <c r="AE308" s="457"/>
      <c r="AF308" s="457"/>
      <c r="AG308" s="457"/>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c r="AA511" s="457"/>
      <c r="AB511" s="457"/>
      <c r="AC511" s="457"/>
      <c r="AD511" s="457"/>
      <c r="AE511" s="457"/>
      <c r="AF511" s="457"/>
      <c r="AG511" s="457"/>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c r="AA712" s="457"/>
      <c r="AB712" s="457"/>
      <c r="AC712" s="457"/>
      <c r="AD712" s="457"/>
      <c r="AE712" s="457"/>
      <c r="AF712" s="457"/>
      <c r="AG712" s="457"/>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c r="AA887" s="457"/>
      <c r="AB887" s="457"/>
      <c r="AC887" s="457"/>
      <c r="AD887" s="457"/>
      <c r="AE887" s="457"/>
      <c r="AF887" s="457"/>
      <c r="AG887" s="457"/>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57"/>
      <c r="C1100" s="457"/>
      <c r="D1100" s="457"/>
      <c r="E1100" s="457"/>
      <c r="F1100" s="457"/>
      <c r="G1100" s="457"/>
      <c r="H1100" s="457"/>
      <c r="I1100" s="457"/>
      <c r="J1100" s="457"/>
      <c r="K1100" s="457"/>
      <c r="L1100" s="457"/>
      <c r="M1100" s="457"/>
      <c r="N1100" s="457"/>
      <c r="O1100" s="457"/>
      <c r="P1100" s="457"/>
      <c r="Q1100" s="457"/>
      <c r="R1100" s="457"/>
      <c r="S1100" s="457"/>
      <c r="T1100" s="457"/>
      <c r="U1100" s="457"/>
      <c r="V1100" s="457"/>
      <c r="W1100" s="457"/>
      <c r="X1100" s="457"/>
      <c r="Y1100" s="457"/>
      <c r="Z1100" s="457"/>
      <c r="AA1100" s="457"/>
      <c r="AB1100" s="457"/>
      <c r="AC1100" s="457"/>
      <c r="AD1100" s="457"/>
      <c r="AE1100" s="457"/>
      <c r="AF1100" s="457"/>
      <c r="AG1100" s="457"/>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57"/>
      <c r="C1227" s="457"/>
      <c r="D1227" s="457"/>
      <c r="E1227" s="457"/>
      <c r="F1227" s="457"/>
      <c r="G1227" s="457"/>
      <c r="H1227" s="457"/>
      <c r="I1227" s="457"/>
      <c r="J1227" s="457"/>
      <c r="K1227" s="457"/>
      <c r="L1227" s="457"/>
      <c r="M1227" s="457"/>
      <c r="N1227" s="457"/>
      <c r="O1227" s="457"/>
      <c r="P1227" s="457"/>
      <c r="Q1227" s="457"/>
      <c r="R1227" s="457"/>
      <c r="S1227" s="457"/>
      <c r="T1227" s="457"/>
      <c r="U1227" s="457"/>
      <c r="V1227" s="457"/>
      <c r="W1227" s="457"/>
      <c r="X1227" s="457"/>
      <c r="Y1227" s="457"/>
      <c r="Z1227" s="457"/>
      <c r="AA1227" s="457"/>
      <c r="AB1227" s="457"/>
      <c r="AC1227" s="457"/>
      <c r="AD1227" s="457"/>
      <c r="AE1227" s="457"/>
      <c r="AF1227" s="457"/>
      <c r="AG1227" s="457"/>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57"/>
      <c r="C1390" s="457"/>
      <c r="D1390" s="457"/>
      <c r="E1390" s="457"/>
      <c r="F1390" s="457"/>
      <c r="G1390" s="457"/>
      <c r="H1390" s="457"/>
      <c r="I1390" s="457"/>
      <c r="J1390" s="457"/>
      <c r="K1390" s="457"/>
      <c r="L1390" s="457"/>
      <c r="M1390" s="457"/>
      <c r="N1390" s="457"/>
      <c r="O1390" s="457"/>
      <c r="P1390" s="457"/>
      <c r="Q1390" s="457"/>
      <c r="R1390" s="457"/>
      <c r="S1390" s="457"/>
      <c r="T1390" s="457"/>
      <c r="U1390" s="457"/>
      <c r="V1390" s="457"/>
      <c r="W1390" s="457"/>
      <c r="X1390" s="457"/>
      <c r="Y1390" s="457"/>
      <c r="Z1390" s="457"/>
      <c r="AA1390" s="457"/>
      <c r="AB1390" s="457"/>
      <c r="AC1390" s="457"/>
      <c r="AD1390" s="457"/>
      <c r="AE1390" s="457"/>
      <c r="AF1390" s="457"/>
      <c r="AG1390" s="457"/>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57"/>
      <c r="C1502" s="457"/>
      <c r="D1502" s="457"/>
      <c r="E1502" s="457"/>
      <c r="F1502" s="457"/>
      <c r="G1502" s="457"/>
      <c r="H1502" s="457"/>
      <c r="I1502" s="457"/>
      <c r="J1502" s="457"/>
      <c r="K1502" s="457"/>
      <c r="L1502" s="457"/>
      <c r="M1502" s="457"/>
      <c r="N1502" s="457"/>
      <c r="O1502" s="457"/>
      <c r="P1502" s="457"/>
      <c r="Q1502" s="457"/>
      <c r="R1502" s="457"/>
      <c r="S1502" s="457"/>
      <c r="T1502" s="457"/>
      <c r="U1502" s="457"/>
      <c r="V1502" s="457"/>
      <c r="W1502" s="457"/>
      <c r="X1502" s="457"/>
      <c r="Y1502" s="457"/>
      <c r="Z1502" s="457"/>
      <c r="AA1502" s="457"/>
      <c r="AB1502" s="457"/>
      <c r="AC1502" s="457"/>
      <c r="AD1502" s="457"/>
      <c r="AE1502" s="457"/>
      <c r="AF1502" s="457"/>
      <c r="AG1502" s="457"/>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57"/>
      <c r="C1604" s="457"/>
      <c r="D1604" s="457"/>
      <c r="E1604" s="457"/>
      <c r="F1604" s="457"/>
      <c r="G1604" s="457"/>
      <c r="H1604" s="457"/>
      <c r="I1604" s="457"/>
      <c r="J1604" s="457"/>
      <c r="K1604" s="457"/>
      <c r="L1604" s="457"/>
      <c r="M1604" s="457"/>
      <c r="N1604" s="457"/>
      <c r="O1604" s="457"/>
      <c r="P1604" s="457"/>
      <c r="Q1604" s="457"/>
      <c r="R1604" s="457"/>
      <c r="S1604" s="457"/>
      <c r="T1604" s="457"/>
      <c r="U1604" s="457"/>
      <c r="V1604" s="457"/>
      <c r="W1604" s="457"/>
      <c r="X1604" s="457"/>
      <c r="Y1604" s="457"/>
      <c r="Z1604" s="457"/>
      <c r="AA1604" s="457"/>
      <c r="AB1604" s="457"/>
      <c r="AC1604" s="457"/>
      <c r="AD1604" s="457"/>
      <c r="AE1604" s="457"/>
      <c r="AF1604" s="457"/>
      <c r="AG1604" s="457"/>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57"/>
      <c r="C1698" s="457"/>
      <c r="D1698" s="457"/>
      <c r="E1698" s="457"/>
      <c r="F1698" s="457"/>
      <c r="G1698" s="457"/>
      <c r="H1698" s="457"/>
      <c r="I1698" s="457"/>
      <c r="J1698" s="457"/>
      <c r="K1698" s="457"/>
      <c r="L1698" s="457"/>
      <c r="M1698" s="457"/>
      <c r="N1698" s="457"/>
      <c r="O1698" s="457"/>
      <c r="P1698" s="457"/>
      <c r="Q1698" s="457"/>
      <c r="R1698" s="457"/>
      <c r="S1698" s="457"/>
      <c r="T1698" s="457"/>
      <c r="U1698" s="457"/>
      <c r="V1698" s="457"/>
      <c r="W1698" s="457"/>
      <c r="X1698" s="457"/>
      <c r="Y1698" s="457"/>
      <c r="Z1698" s="457"/>
      <c r="AA1698" s="457"/>
      <c r="AB1698" s="457"/>
      <c r="AC1698" s="457"/>
      <c r="AD1698" s="457"/>
      <c r="AE1698" s="457"/>
      <c r="AF1698" s="457"/>
      <c r="AG1698" s="457"/>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57"/>
      <c r="C1945" s="457"/>
      <c r="D1945" s="457"/>
      <c r="E1945" s="457"/>
      <c r="F1945" s="457"/>
      <c r="G1945" s="457"/>
      <c r="H1945" s="457"/>
      <c r="I1945" s="457"/>
      <c r="J1945" s="457"/>
      <c r="K1945" s="457"/>
      <c r="L1945" s="457"/>
      <c r="M1945" s="457"/>
      <c r="N1945" s="457"/>
      <c r="O1945" s="457"/>
      <c r="P1945" s="457"/>
      <c r="Q1945" s="457"/>
      <c r="R1945" s="457"/>
      <c r="S1945" s="457"/>
      <c r="T1945" s="457"/>
      <c r="U1945" s="457"/>
      <c r="V1945" s="457"/>
      <c r="W1945" s="457"/>
      <c r="X1945" s="457"/>
      <c r="Y1945" s="457"/>
      <c r="Z1945" s="457"/>
      <c r="AA1945" s="457"/>
      <c r="AB1945" s="457"/>
      <c r="AC1945" s="457"/>
      <c r="AD1945" s="457"/>
      <c r="AE1945" s="457"/>
      <c r="AF1945" s="457"/>
      <c r="AG1945" s="457"/>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57"/>
      <c r="C2031" s="457"/>
      <c r="D2031" s="457"/>
      <c r="E2031" s="457"/>
      <c r="F2031" s="457"/>
      <c r="G2031" s="457"/>
      <c r="H2031" s="457"/>
      <c r="I2031" s="457"/>
      <c r="J2031" s="457"/>
      <c r="K2031" s="457"/>
      <c r="L2031" s="457"/>
      <c r="M2031" s="457"/>
      <c r="N2031" s="457"/>
      <c r="O2031" s="457"/>
      <c r="P2031" s="457"/>
      <c r="Q2031" s="457"/>
      <c r="R2031" s="457"/>
      <c r="S2031" s="457"/>
      <c r="T2031" s="457"/>
      <c r="U2031" s="457"/>
      <c r="V2031" s="457"/>
      <c r="W2031" s="457"/>
      <c r="X2031" s="457"/>
      <c r="Y2031" s="457"/>
      <c r="Z2031" s="457"/>
      <c r="AA2031" s="457"/>
      <c r="AB2031" s="457"/>
      <c r="AC2031" s="457"/>
      <c r="AD2031" s="457"/>
      <c r="AE2031" s="457"/>
      <c r="AF2031" s="457"/>
      <c r="AG2031" s="457"/>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57"/>
      <c r="C2153" s="457"/>
      <c r="D2153" s="457"/>
      <c r="E2153" s="457"/>
      <c r="F2153" s="457"/>
      <c r="G2153" s="457"/>
      <c r="H2153" s="457"/>
      <c r="I2153" s="457"/>
      <c r="J2153" s="457"/>
      <c r="K2153" s="457"/>
      <c r="L2153" s="457"/>
      <c r="M2153" s="457"/>
      <c r="N2153" s="457"/>
      <c r="O2153" s="457"/>
      <c r="P2153" s="457"/>
      <c r="Q2153" s="457"/>
      <c r="R2153" s="457"/>
      <c r="S2153" s="457"/>
      <c r="T2153" s="457"/>
      <c r="U2153" s="457"/>
      <c r="V2153" s="457"/>
      <c r="W2153" s="457"/>
      <c r="X2153" s="457"/>
      <c r="Y2153" s="457"/>
      <c r="Z2153" s="457"/>
      <c r="AA2153" s="457"/>
      <c r="AB2153" s="457"/>
      <c r="AC2153" s="457"/>
      <c r="AD2153" s="457"/>
      <c r="AE2153" s="457"/>
      <c r="AF2153" s="457"/>
      <c r="AG2153" s="457"/>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57"/>
      <c r="C2317" s="457"/>
      <c r="D2317" s="457"/>
      <c r="E2317" s="457"/>
      <c r="F2317" s="457"/>
      <c r="G2317" s="457"/>
      <c r="H2317" s="457"/>
      <c r="I2317" s="457"/>
      <c r="J2317" s="457"/>
      <c r="K2317" s="457"/>
      <c r="L2317" s="457"/>
      <c r="M2317" s="457"/>
      <c r="N2317" s="457"/>
      <c r="O2317" s="457"/>
      <c r="P2317" s="457"/>
      <c r="Q2317" s="457"/>
      <c r="R2317" s="457"/>
      <c r="S2317" s="457"/>
      <c r="T2317" s="457"/>
      <c r="U2317" s="457"/>
      <c r="V2317" s="457"/>
      <c r="W2317" s="457"/>
      <c r="X2317" s="457"/>
      <c r="Y2317" s="457"/>
      <c r="Z2317" s="457"/>
      <c r="AA2317" s="457"/>
      <c r="AB2317" s="457"/>
      <c r="AC2317" s="457"/>
      <c r="AD2317" s="457"/>
      <c r="AE2317" s="457"/>
      <c r="AF2317" s="457"/>
      <c r="AG2317" s="457"/>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57"/>
      <c r="C2419" s="457"/>
      <c r="D2419" s="457"/>
      <c r="E2419" s="457"/>
      <c r="F2419" s="457"/>
      <c r="G2419" s="457"/>
      <c r="H2419" s="457"/>
      <c r="I2419" s="457"/>
      <c r="J2419" s="457"/>
      <c r="K2419" s="457"/>
      <c r="L2419" s="457"/>
      <c r="M2419" s="457"/>
      <c r="N2419" s="457"/>
      <c r="O2419" s="457"/>
      <c r="P2419" s="457"/>
      <c r="Q2419" s="457"/>
      <c r="R2419" s="457"/>
      <c r="S2419" s="457"/>
      <c r="T2419" s="457"/>
      <c r="U2419" s="457"/>
      <c r="V2419" s="457"/>
      <c r="W2419" s="457"/>
      <c r="X2419" s="457"/>
      <c r="Y2419" s="457"/>
      <c r="Z2419" s="457"/>
      <c r="AA2419" s="457"/>
      <c r="AB2419" s="457"/>
      <c r="AC2419" s="457"/>
      <c r="AD2419" s="457"/>
      <c r="AE2419" s="457"/>
      <c r="AF2419" s="457"/>
      <c r="AG2419" s="457"/>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57"/>
      <c r="C2509" s="457"/>
      <c r="D2509" s="457"/>
      <c r="E2509" s="457"/>
      <c r="F2509" s="457"/>
      <c r="G2509" s="457"/>
      <c r="H2509" s="457"/>
      <c r="I2509" s="457"/>
      <c r="J2509" s="457"/>
      <c r="K2509" s="457"/>
      <c r="L2509" s="457"/>
      <c r="M2509" s="457"/>
      <c r="N2509" s="457"/>
      <c r="O2509" s="457"/>
      <c r="P2509" s="457"/>
      <c r="Q2509" s="457"/>
      <c r="R2509" s="457"/>
      <c r="S2509" s="457"/>
      <c r="T2509" s="457"/>
      <c r="U2509" s="457"/>
      <c r="V2509" s="457"/>
      <c r="W2509" s="457"/>
      <c r="X2509" s="457"/>
      <c r="Y2509" s="457"/>
      <c r="Z2509" s="457"/>
      <c r="AA2509" s="457"/>
      <c r="AB2509" s="457"/>
      <c r="AC2509" s="457"/>
      <c r="AD2509" s="457"/>
      <c r="AE2509" s="457"/>
      <c r="AF2509" s="457"/>
      <c r="AG2509" s="457"/>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57"/>
      <c r="C2598" s="457"/>
      <c r="D2598" s="457"/>
      <c r="E2598" s="457"/>
      <c r="F2598" s="457"/>
      <c r="G2598" s="457"/>
      <c r="H2598" s="457"/>
      <c r="I2598" s="457"/>
      <c r="J2598" s="457"/>
      <c r="K2598" s="457"/>
      <c r="L2598" s="457"/>
      <c r="M2598" s="457"/>
      <c r="N2598" s="457"/>
      <c r="O2598" s="457"/>
      <c r="P2598" s="457"/>
      <c r="Q2598" s="457"/>
      <c r="R2598" s="457"/>
      <c r="S2598" s="457"/>
      <c r="T2598" s="457"/>
      <c r="U2598" s="457"/>
      <c r="V2598" s="457"/>
      <c r="W2598" s="457"/>
      <c r="X2598" s="457"/>
      <c r="Y2598" s="457"/>
      <c r="Z2598" s="457"/>
      <c r="AA2598" s="457"/>
      <c r="AB2598" s="457"/>
      <c r="AC2598" s="457"/>
      <c r="AD2598" s="457"/>
      <c r="AE2598" s="457"/>
      <c r="AF2598" s="457"/>
      <c r="AG2598" s="457"/>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57"/>
      <c r="C2719" s="457"/>
      <c r="D2719" s="457"/>
      <c r="E2719" s="457"/>
      <c r="F2719" s="457"/>
      <c r="G2719" s="457"/>
      <c r="H2719" s="457"/>
      <c r="I2719" s="457"/>
      <c r="J2719" s="457"/>
      <c r="K2719" s="457"/>
      <c r="L2719" s="457"/>
      <c r="M2719" s="457"/>
      <c r="N2719" s="457"/>
      <c r="O2719" s="457"/>
      <c r="P2719" s="457"/>
      <c r="Q2719" s="457"/>
      <c r="R2719" s="457"/>
      <c r="S2719" s="457"/>
      <c r="T2719" s="457"/>
      <c r="U2719" s="457"/>
      <c r="V2719" s="457"/>
      <c r="W2719" s="457"/>
      <c r="X2719" s="457"/>
      <c r="Y2719" s="457"/>
      <c r="Z2719" s="457"/>
      <c r="AA2719" s="457"/>
      <c r="AB2719" s="457"/>
      <c r="AC2719" s="457"/>
      <c r="AD2719" s="457"/>
      <c r="AE2719" s="457"/>
      <c r="AF2719" s="457"/>
      <c r="AG2719" s="457"/>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57"/>
      <c r="C2837" s="457"/>
      <c r="D2837" s="457"/>
      <c r="E2837" s="457"/>
      <c r="F2837" s="457"/>
      <c r="G2837" s="457"/>
      <c r="H2837" s="457"/>
      <c r="I2837" s="457"/>
      <c r="J2837" s="457"/>
      <c r="K2837" s="457"/>
      <c r="L2837" s="457"/>
      <c r="M2837" s="457"/>
      <c r="N2837" s="457"/>
      <c r="O2837" s="457"/>
      <c r="P2837" s="457"/>
      <c r="Q2837" s="457"/>
      <c r="R2837" s="457"/>
      <c r="S2837" s="457"/>
      <c r="T2837" s="457"/>
      <c r="U2837" s="457"/>
      <c r="V2837" s="457"/>
      <c r="W2837" s="457"/>
      <c r="X2837" s="457"/>
      <c r="Y2837" s="457"/>
      <c r="Z2837" s="457"/>
      <c r="AA2837" s="457"/>
      <c r="AB2837" s="457"/>
      <c r="AC2837" s="457"/>
      <c r="AD2837" s="457"/>
      <c r="AE2837" s="457"/>
      <c r="AF2837" s="457"/>
      <c r="AG2837" s="457"/>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887:AG887"/>
    <mergeCell ref="B1502:AG1502"/>
    <mergeCell ref="B2837:AG2837"/>
    <mergeCell ref="B1604:AG1604"/>
    <mergeCell ref="B2719:AG2719"/>
    <mergeCell ref="B1100:AG1100"/>
    <mergeCell ref="B2509:AG2509"/>
    <mergeCell ref="B2598:AG2598"/>
    <mergeCell ref="B112:AG112"/>
    <mergeCell ref="B1227:AG1227"/>
    <mergeCell ref="B308:AG308"/>
    <mergeCell ref="B712:AG712"/>
    <mergeCell ref="B2317:AG2317"/>
    <mergeCell ref="B1698:AG1698"/>
    <mergeCell ref="B511:AG511"/>
    <mergeCell ref="B1390:AG1390"/>
    <mergeCell ref="B1945:AG1945"/>
    <mergeCell ref="B2153:AG2153"/>
    <mergeCell ref="B2031:AG203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6" bestFit="1" customWidth="1"/>
    <col min="2" max="2" width="46.7109375" style="36" customWidth="1"/>
    <col min="3" max="3" width="8.7109375" style="36" customWidth="1"/>
    <col min="4" max="16384" width="8.7109375" style="36"/>
  </cols>
  <sheetData>
    <row r="1" spans="1:33" ht="15" customHeight="1" thickBot="1" x14ac:dyDescent="0.25">
      <c r="B1" s="52" t="s">
        <v>556</v>
      </c>
      <c r="C1" s="49">
        <v>2022</v>
      </c>
      <c r="D1" s="49">
        <v>2023</v>
      </c>
      <c r="E1" s="49">
        <v>2024</v>
      </c>
      <c r="F1" s="49">
        <v>2025</v>
      </c>
      <c r="G1" s="49">
        <v>2026</v>
      </c>
      <c r="H1" s="49">
        <v>2027</v>
      </c>
      <c r="I1" s="49">
        <v>2028</v>
      </c>
      <c r="J1" s="49">
        <v>2029</v>
      </c>
      <c r="K1" s="49">
        <v>2030</v>
      </c>
      <c r="L1" s="49">
        <v>2031</v>
      </c>
      <c r="M1" s="49">
        <v>2032</v>
      </c>
      <c r="N1" s="49">
        <v>2033</v>
      </c>
      <c r="O1" s="49">
        <v>2034</v>
      </c>
      <c r="P1" s="49">
        <v>2035</v>
      </c>
      <c r="Q1" s="49">
        <v>2036</v>
      </c>
      <c r="R1" s="49">
        <v>2037</v>
      </c>
      <c r="S1" s="49">
        <v>2038</v>
      </c>
      <c r="T1" s="49">
        <v>2039</v>
      </c>
      <c r="U1" s="49">
        <v>2040</v>
      </c>
      <c r="V1" s="49">
        <v>2041</v>
      </c>
      <c r="W1" s="49">
        <v>2042</v>
      </c>
      <c r="X1" s="49">
        <v>2043</v>
      </c>
      <c r="Y1" s="49">
        <v>2044</v>
      </c>
      <c r="Z1" s="49">
        <v>2045</v>
      </c>
      <c r="AA1" s="49">
        <v>2046</v>
      </c>
      <c r="AB1" s="49">
        <v>2047</v>
      </c>
      <c r="AC1" s="49">
        <v>2048</v>
      </c>
      <c r="AD1" s="49">
        <v>2049</v>
      </c>
      <c r="AE1" s="49">
        <v>2050</v>
      </c>
    </row>
    <row r="2" spans="1:33" ht="15" customHeight="1" thickTop="1" x14ac:dyDescent="0.2"/>
    <row r="3" spans="1:33" ht="15" customHeight="1" x14ac:dyDescent="0.2">
      <c r="C3" s="72" t="s">
        <v>431</v>
      </c>
      <c r="D3" s="72" t="s">
        <v>557</v>
      </c>
      <c r="E3" s="54"/>
      <c r="F3" s="54"/>
      <c r="G3" s="54"/>
    </row>
    <row r="4" spans="1:33" ht="15" customHeight="1" x14ac:dyDescent="0.2">
      <c r="C4" s="72" t="s">
        <v>433</v>
      </c>
      <c r="D4" s="72" t="s">
        <v>558</v>
      </c>
      <c r="E4" s="54"/>
      <c r="F4" s="54"/>
      <c r="G4" s="72" t="s">
        <v>435</v>
      </c>
    </row>
    <row r="5" spans="1:33" ht="15" customHeight="1" x14ac:dyDescent="0.2">
      <c r="C5" s="72" t="s">
        <v>436</v>
      </c>
      <c r="D5" s="72" t="s">
        <v>559</v>
      </c>
      <c r="E5" s="54"/>
      <c r="F5" s="54"/>
      <c r="G5" s="54"/>
    </row>
    <row r="6" spans="1:33" ht="15" customHeight="1" x14ac:dyDescent="0.2">
      <c r="C6" s="72" t="s">
        <v>438</v>
      </c>
      <c r="D6" s="54"/>
      <c r="E6" s="72" t="s">
        <v>560</v>
      </c>
      <c r="F6" s="54"/>
      <c r="G6" s="54"/>
    </row>
    <row r="7" spans="1:33" ht="12" customHeight="1" x14ac:dyDescent="0.2"/>
    <row r="8" spans="1:33" ht="12" customHeight="1" x14ac:dyDescent="0.2"/>
    <row r="9" spans="1:33" ht="12" customHeight="1" x14ac:dyDescent="0.2">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row>
    <row r="10" spans="1:33" ht="15" customHeight="1" x14ac:dyDescent="0.25">
      <c r="A10" s="42" t="s">
        <v>440</v>
      </c>
      <c r="B10" s="59" t="s">
        <v>441</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50" t="s">
        <v>442</v>
      </c>
      <c r="AG10" s="37"/>
    </row>
    <row r="11" spans="1:33" ht="15" customHeight="1" x14ac:dyDescent="0.2">
      <c r="B11" s="60" t="s">
        <v>443</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50" t="s">
        <v>444</v>
      </c>
      <c r="AG11" s="37"/>
    </row>
    <row r="12" spans="1:33" ht="15" customHeight="1" x14ac:dyDescent="0.2">
      <c r="B12" s="60"/>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50" t="s">
        <v>445</v>
      </c>
      <c r="AG12" s="37"/>
    </row>
    <row r="13" spans="1:33" ht="15" customHeight="1" thickBot="1" x14ac:dyDescent="0.25">
      <c r="B13" s="62" t="s">
        <v>446</v>
      </c>
      <c r="C13" s="62">
        <v>2022</v>
      </c>
      <c r="D13" s="62">
        <v>2023</v>
      </c>
      <c r="E13" s="62">
        <v>2024</v>
      </c>
      <c r="F13" s="62">
        <v>2025</v>
      </c>
      <c r="G13" s="62">
        <v>2026</v>
      </c>
      <c r="H13" s="62">
        <v>2027</v>
      </c>
      <c r="I13" s="62">
        <v>2028</v>
      </c>
      <c r="J13" s="62">
        <v>2029</v>
      </c>
      <c r="K13" s="62">
        <v>2030</v>
      </c>
      <c r="L13" s="62">
        <v>2031</v>
      </c>
      <c r="M13" s="62">
        <v>2032</v>
      </c>
      <c r="N13" s="62">
        <v>2033</v>
      </c>
      <c r="O13" s="62">
        <v>2034</v>
      </c>
      <c r="P13" s="62">
        <v>2035</v>
      </c>
      <c r="Q13" s="62">
        <v>2036</v>
      </c>
      <c r="R13" s="62">
        <v>2037</v>
      </c>
      <c r="S13" s="62">
        <v>2038</v>
      </c>
      <c r="T13" s="62">
        <v>2039</v>
      </c>
      <c r="U13" s="62">
        <v>2040</v>
      </c>
      <c r="V13" s="62">
        <v>2041</v>
      </c>
      <c r="W13" s="62">
        <v>2042</v>
      </c>
      <c r="X13" s="62">
        <v>2043</v>
      </c>
      <c r="Y13" s="62">
        <v>2044</v>
      </c>
      <c r="Z13" s="62">
        <v>2045</v>
      </c>
      <c r="AA13" s="62">
        <v>2046</v>
      </c>
      <c r="AB13" s="62">
        <v>2047</v>
      </c>
      <c r="AC13" s="62">
        <v>2048</v>
      </c>
      <c r="AD13" s="62">
        <v>2049</v>
      </c>
      <c r="AE13" s="62">
        <v>2050</v>
      </c>
      <c r="AF13" s="63" t="s">
        <v>561</v>
      </c>
      <c r="AG13" s="37"/>
    </row>
    <row r="14" spans="1:33" ht="15" customHeight="1" thickTop="1" x14ac:dyDescent="0.2">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row>
    <row r="15" spans="1:33" ht="15" customHeight="1" x14ac:dyDescent="0.2">
      <c r="B15" s="64" t="s">
        <v>448</v>
      </c>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row>
    <row r="16" spans="1:33" ht="15" customHeight="1" x14ac:dyDescent="0.2">
      <c r="A16" s="42" t="s">
        <v>449</v>
      </c>
      <c r="B16" s="65" t="s">
        <v>450</v>
      </c>
      <c r="C16" s="66">
        <v>24.586991999999999</v>
      </c>
      <c r="D16" s="66">
        <v>25.571161</v>
      </c>
      <c r="E16" s="66">
        <v>26.285039999999999</v>
      </c>
      <c r="F16" s="66">
        <v>26.689157000000002</v>
      </c>
      <c r="G16" s="66">
        <v>27.061613000000001</v>
      </c>
      <c r="H16" s="66">
        <v>27.276854</v>
      </c>
      <c r="I16" s="66">
        <v>27.645002000000002</v>
      </c>
      <c r="J16" s="66">
        <v>27.607613000000001</v>
      </c>
      <c r="K16" s="66">
        <v>27.657637000000001</v>
      </c>
      <c r="L16" s="66">
        <v>27.504726000000002</v>
      </c>
      <c r="M16" s="66">
        <v>27.566185000000001</v>
      </c>
      <c r="N16" s="66">
        <v>27.626515999999999</v>
      </c>
      <c r="O16" s="66">
        <v>27.525274</v>
      </c>
      <c r="P16" s="66">
        <v>27.454478999999999</v>
      </c>
      <c r="Q16" s="66">
        <v>27.324805999999999</v>
      </c>
      <c r="R16" s="66">
        <v>27.286284999999999</v>
      </c>
      <c r="S16" s="66">
        <v>27.180133999999999</v>
      </c>
      <c r="T16" s="66">
        <v>27.06955</v>
      </c>
      <c r="U16" s="66">
        <v>26.857201</v>
      </c>
      <c r="V16" s="66">
        <v>26.565493</v>
      </c>
      <c r="W16" s="66">
        <v>26.618496</v>
      </c>
      <c r="X16" s="66">
        <v>26.762219999999999</v>
      </c>
      <c r="Y16" s="66">
        <v>27.042204000000002</v>
      </c>
      <c r="Z16" s="66">
        <v>27.108968999999998</v>
      </c>
      <c r="AA16" s="66">
        <v>27.167717</v>
      </c>
      <c r="AB16" s="66">
        <v>26.948446000000001</v>
      </c>
      <c r="AC16" s="66">
        <v>27.031092000000001</v>
      </c>
      <c r="AD16" s="66">
        <v>27.320032000000001</v>
      </c>
      <c r="AE16" s="66">
        <v>27.390823000000001</v>
      </c>
      <c r="AF16" s="67">
        <v>3.8639999999999998E-3</v>
      </c>
      <c r="AG16" s="37"/>
    </row>
    <row r="17" spans="1:33" ht="15" customHeight="1" x14ac:dyDescent="0.2">
      <c r="A17" s="42" t="s">
        <v>451</v>
      </c>
      <c r="B17" s="65" t="s">
        <v>452</v>
      </c>
      <c r="C17" s="66">
        <v>7.7684930000000003</v>
      </c>
      <c r="D17" s="66">
        <v>8.1696559999999998</v>
      </c>
      <c r="E17" s="66">
        <v>8.3321199999999997</v>
      </c>
      <c r="F17" s="66">
        <v>8.3111510000000006</v>
      </c>
      <c r="G17" s="66">
        <v>8.4723849999999992</v>
      </c>
      <c r="H17" s="66">
        <v>8.3399160000000006</v>
      </c>
      <c r="I17" s="66">
        <v>8.2286289999999997</v>
      </c>
      <c r="J17" s="66">
        <v>8.1261060000000001</v>
      </c>
      <c r="K17" s="66">
        <v>8.0590299999999999</v>
      </c>
      <c r="L17" s="66">
        <v>8.0406610000000001</v>
      </c>
      <c r="M17" s="66">
        <v>8.1131670000000007</v>
      </c>
      <c r="N17" s="66">
        <v>8.1678940000000004</v>
      </c>
      <c r="O17" s="66">
        <v>8.2807069999999996</v>
      </c>
      <c r="P17" s="66">
        <v>8.3397360000000003</v>
      </c>
      <c r="Q17" s="66">
        <v>8.4637619999999991</v>
      </c>
      <c r="R17" s="66">
        <v>8.5171729999999997</v>
      </c>
      <c r="S17" s="66">
        <v>8.5180530000000001</v>
      </c>
      <c r="T17" s="66">
        <v>8.6456610000000005</v>
      </c>
      <c r="U17" s="66">
        <v>8.6326029999999996</v>
      </c>
      <c r="V17" s="66">
        <v>8.6911459999999998</v>
      </c>
      <c r="W17" s="66">
        <v>8.8430959999999992</v>
      </c>
      <c r="X17" s="66">
        <v>8.9670079999999999</v>
      </c>
      <c r="Y17" s="66">
        <v>9.0321160000000003</v>
      </c>
      <c r="Z17" s="66">
        <v>9.0799719999999997</v>
      </c>
      <c r="AA17" s="66">
        <v>9.1438089999999992</v>
      </c>
      <c r="AB17" s="66">
        <v>9.1952099999999994</v>
      </c>
      <c r="AC17" s="66">
        <v>9.2360419999999994</v>
      </c>
      <c r="AD17" s="66">
        <v>9.2827359999999999</v>
      </c>
      <c r="AE17" s="66">
        <v>9.3104460000000007</v>
      </c>
      <c r="AF17" s="67">
        <v>6.4869999999999997E-3</v>
      </c>
      <c r="AG17" s="37"/>
    </row>
    <row r="18" spans="1:33" ht="15" customHeight="1" x14ac:dyDescent="0.2">
      <c r="A18" s="42" t="s">
        <v>453</v>
      </c>
      <c r="B18" s="65" t="s">
        <v>454</v>
      </c>
      <c r="C18" s="66">
        <v>37.814273999999997</v>
      </c>
      <c r="D18" s="66">
        <v>37.835822999999998</v>
      </c>
      <c r="E18" s="66">
        <v>36.882995999999999</v>
      </c>
      <c r="F18" s="66">
        <v>37.047317999999997</v>
      </c>
      <c r="G18" s="66">
        <v>37.522250999999997</v>
      </c>
      <c r="H18" s="66">
        <v>37.473185999999998</v>
      </c>
      <c r="I18" s="66">
        <v>37.786017999999999</v>
      </c>
      <c r="J18" s="66">
        <v>38.036835000000004</v>
      </c>
      <c r="K18" s="66">
        <v>38.406055000000002</v>
      </c>
      <c r="L18" s="66">
        <v>38.853167999999997</v>
      </c>
      <c r="M18" s="66">
        <v>39.378104999999998</v>
      </c>
      <c r="N18" s="66">
        <v>39.977421</v>
      </c>
      <c r="O18" s="66">
        <v>40.490608000000002</v>
      </c>
      <c r="P18" s="66">
        <v>40.958793999999997</v>
      </c>
      <c r="Q18" s="66">
        <v>41.332081000000002</v>
      </c>
      <c r="R18" s="66">
        <v>41.707431999999997</v>
      </c>
      <c r="S18" s="66">
        <v>41.989215999999999</v>
      </c>
      <c r="T18" s="66">
        <v>42.240600999999998</v>
      </c>
      <c r="U18" s="66">
        <v>42.383110000000002</v>
      </c>
      <c r="V18" s="66">
        <v>42.506450999999998</v>
      </c>
      <c r="W18" s="66">
        <v>42.687958000000002</v>
      </c>
      <c r="X18" s="66">
        <v>42.804451</v>
      </c>
      <c r="Y18" s="66">
        <v>42.884608999999998</v>
      </c>
      <c r="Z18" s="66">
        <v>43.041491999999998</v>
      </c>
      <c r="AA18" s="66">
        <v>42.870251000000003</v>
      </c>
      <c r="AB18" s="66">
        <v>43.082157000000002</v>
      </c>
      <c r="AC18" s="66">
        <v>43.152934999999999</v>
      </c>
      <c r="AD18" s="66">
        <v>43.235588</v>
      </c>
      <c r="AE18" s="66">
        <v>43.621796000000003</v>
      </c>
      <c r="AF18" s="67">
        <v>5.1159999999999999E-3</v>
      </c>
      <c r="AG18" s="37"/>
    </row>
    <row r="19" spans="1:33" ht="15" customHeight="1" x14ac:dyDescent="0.2">
      <c r="A19" s="42" t="s">
        <v>455</v>
      </c>
      <c r="B19" s="65" t="s">
        <v>456</v>
      </c>
      <c r="C19" s="66">
        <v>11.789562999999999</v>
      </c>
      <c r="D19" s="66">
        <v>11.071955000000001</v>
      </c>
      <c r="E19" s="66">
        <v>12.067057</v>
      </c>
      <c r="F19" s="66">
        <v>11.332017</v>
      </c>
      <c r="G19" s="66">
        <v>10.370732</v>
      </c>
      <c r="H19" s="66">
        <v>9.3035239999999995</v>
      </c>
      <c r="I19" s="66">
        <v>8.3554209999999998</v>
      </c>
      <c r="J19" s="66">
        <v>7.4639850000000001</v>
      </c>
      <c r="K19" s="66">
        <v>7.0948640000000003</v>
      </c>
      <c r="L19" s="66">
        <v>7.0633650000000001</v>
      </c>
      <c r="M19" s="66">
        <v>7.1134110000000002</v>
      </c>
      <c r="N19" s="66">
        <v>7.082268</v>
      </c>
      <c r="O19" s="66">
        <v>7.0169699999999997</v>
      </c>
      <c r="P19" s="66">
        <v>7.0687850000000001</v>
      </c>
      <c r="Q19" s="66">
        <v>6.9859330000000002</v>
      </c>
      <c r="R19" s="66">
        <v>6.8019679999999996</v>
      </c>
      <c r="S19" s="66">
        <v>6.6920120000000001</v>
      </c>
      <c r="T19" s="66">
        <v>6.5331130000000002</v>
      </c>
      <c r="U19" s="66">
        <v>6.4377589999999998</v>
      </c>
      <c r="V19" s="66">
        <v>6.4426389999999998</v>
      </c>
      <c r="W19" s="66">
        <v>6.4541219999999999</v>
      </c>
      <c r="X19" s="66">
        <v>6.3639700000000001</v>
      </c>
      <c r="Y19" s="66">
        <v>6.2625320000000002</v>
      </c>
      <c r="Z19" s="66">
        <v>6.1887549999999996</v>
      </c>
      <c r="AA19" s="66">
        <v>6.1198709999999998</v>
      </c>
      <c r="AB19" s="66">
        <v>6.0876130000000002</v>
      </c>
      <c r="AC19" s="66">
        <v>6.0698829999999999</v>
      </c>
      <c r="AD19" s="66">
        <v>6.0320450000000001</v>
      </c>
      <c r="AE19" s="66">
        <v>5.9455960000000001</v>
      </c>
      <c r="AF19" s="67">
        <v>-2.4152E-2</v>
      </c>
      <c r="AG19" s="37"/>
    </row>
    <row r="20" spans="1:33" ht="15" customHeight="1" x14ac:dyDescent="0.2">
      <c r="A20" s="42" t="s">
        <v>457</v>
      </c>
      <c r="B20" s="65" t="s">
        <v>458</v>
      </c>
      <c r="C20" s="66">
        <v>8.0646540000000009</v>
      </c>
      <c r="D20" s="66">
        <v>8.1872109999999996</v>
      </c>
      <c r="E20" s="66">
        <v>8.2466290000000004</v>
      </c>
      <c r="F20" s="66">
        <v>8.1719659999999994</v>
      </c>
      <c r="G20" s="66">
        <v>8.0928570000000004</v>
      </c>
      <c r="H20" s="66">
        <v>8.0927190000000007</v>
      </c>
      <c r="I20" s="66">
        <v>7.9974689999999997</v>
      </c>
      <c r="J20" s="66">
        <v>7.9973400000000003</v>
      </c>
      <c r="K20" s="66">
        <v>7.9187440000000002</v>
      </c>
      <c r="L20" s="66">
        <v>7.9187969999999996</v>
      </c>
      <c r="M20" s="66">
        <v>7.9188850000000004</v>
      </c>
      <c r="N20" s="66">
        <v>7.47281</v>
      </c>
      <c r="O20" s="66">
        <v>7.4032179999999999</v>
      </c>
      <c r="P20" s="66">
        <v>7.3139329999999996</v>
      </c>
      <c r="Q20" s="66">
        <v>7.1458170000000001</v>
      </c>
      <c r="R20" s="66">
        <v>7.0316359999999998</v>
      </c>
      <c r="S20" s="66">
        <v>6.8371979999999999</v>
      </c>
      <c r="T20" s="66">
        <v>6.734248</v>
      </c>
      <c r="U20" s="66">
        <v>6.5336410000000003</v>
      </c>
      <c r="V20" s="66">
        <v>6.5354080000000003</v>
      </c>
      <c r="W20" s="66">
        <v>6.5385289999999996</v>
      </c>
      <c r="X20" s="66">
        <v>6.5412020000000002</v>
      </c>
      <c r="Y20" s="66">
        <v>6.5441659999999997</v>
      </c>
      <c r="Z20" s="66">
        <v>6.5441919999999998</v>
      </c>
      <c r="AA20" s="66">
        <v>6.5416629999999998</v>
      </c>
      <c r="AB20" s="66">
        <v>6.5396289999999997</v>
      </c>
      <c r="AC20" s="66">
        <v>6.5306360000000003</v>
      </c>
      <c r="AD20" s="66">
        <v>6.5318709999999998</v>
      </c>
      <c r="AE20" s="66">
        <v>6.5277070000000004</v>
      </c>
      <c r="AF20" s="67">
        <v>-7.5230000000000002E-3</v>
      </c>
      <c r="AG20" s="37"/>
    </row>
    <row r="21" spans="1:33" ht="15" customHeight="1" x14ac:dyDescent="0.2">
      <c r="A21" s="42" t="s">
        <v>459</v>
      </c>
      <c r="B21" s="65" t="s">
        <v>460</v>
      </c>
      <c r="C21" s="66">
        <v>2.4534539999999998</v>
      </c>
      <c r="D21" s="66">
        <v>2.4584619999999999</v>
      </c>
      <c r="E21" s="66">
        <v>2.5025629999999999</v>
      </c>
      <c r="F21" s="66">
        <v>2.5886840000000002</v>
      </c>
      <c r="G21" s="66">
        <v>2.579723</v>
      </c>
      <c r="H21" s="66">
        <v>2.556826</v>
      </c>
      <c r="I21" s="66">
        <v>2.5153810000000001</v>
      </c>
      <c r="J21" s="66">
        <v>2.4861960000000001</v>
      </c>
      <c r="K21" s="66">
        <v>2.4574240000000001</v>
      </c>
      <c r="L21" s="66">
        <v>2.4364599999999998</v>
      </c>
      <c r="M21" s="66">
        <v>2.4196759999999999</v>
      </c>
      <c r="N21" s="66">
        <v>2.4223810000000001</v>
      </c>
      <c r="O21" s="66">
        <v>2.4264060000000001</v>
      </c>
      <c r="P21" s="66">
        <v>2.4299979999999999</v>
      </c>
      <c r="Q21" s="66">
        <v>2.4353150000000001</v>
      </c>
      <c r="R21" s="66">
        <v>2.4235120000000001</v>
      </c>
      <c r="S21" s="66">
        <v>2.4101499999999998</v>
      </c>
      <c r="T21" s="66">
        <v>2.3862079999999999</v>
      </c>
      <c r="U21" s="66">
        <v>2.381421</v>
      </c>
      <c r="V21" s="66">
        <v>2.3661409999999998</v>
      </c>
      <c r="W21" s="66">
        <v>2.3694090000000001</v>
      </c>
      <c r="X21" s="66">
        <v>2.3626369999999999</v>
      </c>
      <c r="Y21" s="66">
        <v>2.357599</v>
      </c>
      <c r="Z21" s="66">
        <v>2.3544640000000001</v>
      </c>
      <c r="AA21" s="66">
        <v>2.343242</v>
      </c>
      <c r="AB21" s="66">
        <v>2.336414</v>
      </c>
      <c r="AC21" s="66">
        <v>2.3340749999999999</v>
      </c>
      <c r="AD21" s="66">
        <v>2.3209420000000001</v>
      </c>
      <c r="AE21" s="66">
        <v>2.309024</v>
      </c>
      <c r="AF21" s="67">
        <v>-2.1640000000000001E-3</v>
      </c>
      <c r="AG21" s="37"/>
    </row>
    <row r="22" spans="1:33" ht="15" customHeight="1" x14ac:dyDescent="0.2">
      <c r="A22" s="42" t="s">
        <v>461</v>
      </c>
      <c r="B22" s="65" t="s">
        <v>462</v>
      </c>
      <c r="C22" s="66">
        <v>4.8388049999999998</v>
      </c>
      <c r="D22" s="66">
        <v>5.0327409999999997</v>
      </c>
      <c r="E22" s="66">
        <v>4.9642150000000003</v>
      </c>
      <c r="F22" s="66">
        <v>4.9121420000000002</v>
      </c>
      <c r="G22" s="66">
        <v>4.8860520000000003</v>
      </c>
      <c r="H22" s="66">
        <v>4.8757210000000004</v>
      </c>
      <c r="I22" s="66">
        <v>4.7697370000000001</v>
      </c>
      <c r="J22" s="66">
        <v>4.7670009999999996</v>
      </c>
      <c r="K22" s="66">
        <v>4.7650350000000001</v>
      </c>
      <c r="L22" s="66">
        <v>4.7679150000000003</v>
      </c>
      <c r="M22" s="66">
        <v>4.7730139999999999</v>
      </c>
      <c r="N22" s="66">
        <v>4.7829480000000002</v>
      </c>
      <c r="O22" s="66">
        <v>4.7930339999999996</v>
      </c>
      <c r="P22" s="66">
        <v>4.8174720000000004</v>
      </c>
      <c r="Q22" s="66">
        <v>4.8185589999999996</v>
      </c>
      <c r="R22" s="66">
        <v>4.8266150000000003</v>
      </c>
      <c r="S22" s="66">
        <v>4.8344180000000003</v>
      </c>
      <c r="T22" s="66">
        <v>4.8440789999999998</v>
      </c>
      <c r="U22" s="66">
        <v>4.8579749999999997</v>
      </c>
      <c r="V22" s="66">
        <v>4.8927779999999998</v>
      </c>
      <c r="W22" s="66">
        <v>4.909179</v>
      </c>
      <c r="X22" s="66">
        <v>4.9259300000000001</v>
      </c>
      <c r="Y22" s="66">
        <v>4.9240259999999996</v>
      </c>
      <c r="Z22" s="66">
        <v>4.9320199999999996</v>
      </c>
      <c r="AA22" s="66">
        <v>4.970815</v>
      </c>
      <c r="AB22" s="66">
        <v>5.0192649999999999</v>
      </c>
      <c r="AC22" s="66">
        <v>5.1055200000000003</v>
      </c>
      <c r="AD22" s="66">
        <v>5.1544549999999996</v>
      </c>
      <c r="AE22" s="66">
        <v>5.1889159999999999</v>
      </c>
      <c r="AF22" s="67">
        <v>2.4979999999999998E-3</v>
      </c>
      <c r="AG22" s="37"/>
    </row>
    <row r="23" spans="1:33" ht="15" customHeight="1" x14ac:dyDescent="0.2">
      <c r="A23" s="42" t="s">
        <v>463</v>
      </c>
      <c r="B23" s="65" t="s">
        <v>464</v>
      </c>
      <c r="C23" s="66">
        <v>5.6228480000000003</v>
      </c>
      <c r="D23" s="66">
        <v>6.1255499999999996</v>
      </c>
      <c r="E23" s="66">
        <v>6.742159</v>
      </c>
      <c r="F23" s="66">
        <v>8.1732440000000004</v>
      </c>
      <c r="G23" s="66">
        <v>9.9076740000000001</v>
      </c>
      <c r="H23" s="66">
        <v>11.653165</v>
      </c>
      <c r="I23" s="66">
        <v>13.154488000000001</v>
      </c>
      <c r="J23" s="66">
        <v>14.209771999999999</v>
      </c>
      <c r="K23" s="66">
        <v>15.128234000000001</v>
      </c>
      <c r="L23" s="66">
        <v>15.78889</v>
      </c>
      <c r="M23" s="66">
        <v>16.442295000000001</v>
      </c>
      <c r="N23" s="66">
        <v>17.189572999999999</v>
      </c>
      <c r="O23" s="66">
        <v>17.791294000000001</v>
      </c>
      <c r="P23" s="66">
        <v>18.262888</v>
      </c>
      <c r="Q23" s="66">
        <v>18.746867999999999</v>
      </c>
      <c r="R23" s="66">
        <v>19.110621999999999</v>
      </c>
      <c r="S23" s="66">
        <v>19.414563999999999</v>
      </c>
      <c r="T23" s="66">
        <v>19.609310000000001</v>
      </c>
      <c r="U23" s="66">
        <v>19.90523</v>
      </c>
      <c r="V23" s="66">
        <v>20.063116000000001</v>
      </c>
      <c r="W23" s="66">
        <v>20.302187</v>
      </c>
      <c r="X23" s="66">
        <v>20.584305000000001</v>
      </c>
      <c r="Y23" s="66">
        <v>20.993839000000001</v>
      </c>
      <c r="Z23" s="66">
        <v>21.370591999999998</v>
      </c>
      <c r="AA23" s="66">
        <v>21.805226999999999</v>
      </c>
      <c r="AB23" s="66">
        <v>22.17202</v>
      </c>
      <c r="AC23" s="66">
        <v>22.539532000000001</v>
      </c>
      <c r="AD23" s="66">
        <v>22.840260000000001</v>
      </c>
      <c r="AE23" s="66">
        <v>23.283978999999999</v>
      </c>
      <c r="AF23" s="67">
        <v>5.2056999999999999E-2</v>
      </c>
      <c r="AG23" s="37"/>
    </row>
    <row r="24" spans="1:33" ht="15" customHeight="1" x14ac:dyDescent="0.2">
      <c r="A24" s="42" t="s">
        <v>465</v>
      </c>
      <c r="B24" s="65" t="s">
        <v>466</v>
      </c>
      <c r="C24" s="66">
        <v>1.8251299999999999</v>
      </c>
      <c r="D24" s="66">
        <v>1.2340370000000001</v>
      </c>
      <c r="E24" s="66">
        <v>0.92866899999999997</v>
      </c>
      <c r="F24" s="66">
        <v>0.80385700000000004</v>
      </c>
      <c r="G24" s="66">
        <v>0.90989799999999998</v>
      </c>
      <c r="H24" s="66">
        <v>0.90237000000000001</v>
      </c>
      <c r="I24" s="66">
        <v>0.84100299999999995</v>
      </c>
      <c r="J24" s="66">
        <v>0.82840100000000005</v>
      </c>
      <c r="K24" s="66">
        <v>0.83663500000000002</v>
      </c>
      <c r="L24" s="66">
        <v>0.83752599999999999</v>
      </c>
      <c r="M24" s="66">
        <v>0.71289000000000002</v>
      </c>
      <c r="N24" s="66">
        <v>0.708538</v>
      </c>
      <c r="O24" s="66">
        <v>0.71509</v>
      </c>
      <c r="P24" s="66">
        <v>0.70965400000000001</v>
      </c>
      <c r="Q24" s="66">
        <v>0.706237</v>
      </c>
      <c r="R24" s="66">
        <v>0.70395200000000002</v>
      </c>
      <c r="S24" s="66">
        <v>0.70483799999999996</v>
      </c>
      <c r="T24" s="66">
        <v>0.704036</v>
      </c>
      <c r="U24" s="66">
        <v>0.700627</v>
      </c>
      <c r="V24" s="66">
        <v>0.70272699999999999</v>
      </c>
      <c r="W24" s="66">
        <v>0.70044499999999998</v>
      </c>
      <c r="X24" s="66">
        <v>0.69992600000000005</v>
      </c>
      <c r="Y24" s="66">
        <v>0.70078099999999999</v>
      </c>
      <c r="Z24" s="66">
        <v>0.70064499999999996</v>
      </c>
      <c r="AA24" s="66">
        <v>0.67757400000000001</v>
      </c>
      <c r="AB24" s="66">
        <v>0.67462100000000003</v>
      </c>
      <c r="AC24" s="66">
        <v>0.67769199999999996</v>
      </c>
      <c r="AD24" s="66">
        <v>0.67827199999999999</v>
      </c>
      <c r="AE24" s="66">
        <v>0.67577299999999996</v>
      </c>
      <c r="AF24" s="67">
        <v>-3.4861999999999997E-2</v>
      </c>
      <c r="AG24" s="37"/>
    </row>
    <row r="25" spans="1:33" ht="15" customHeight="1" x14ac:dyDescent="0.2">
      <c r="A25" s="42" t="s">
        <v>467</v>
      </c>
      <c r="B25" s="64" t="s">
        <v>468</v>
      </c>
      <c r="C25" s="68">
        <v>104.764206</v>
      </c>
      <c r="D25" s="68">
        <v>105.6866</v>
      </c>
      <c r="E25" s="68">
        <v>106.951447</v>
      </c>
      <c r="F25" s="68">
        <v>108.029526</v>
      </c>
      <c r="G25" s="68">
        <v>109.803185</v>
      </c>
      <c r="H25" s="68">
        <v>110.474281</v>
      </c>
      <c r="I25" s="68">
        <v>111.29315200000001</v>
      </c>
      <c r="J25" s="68">
        <v>111.523239</v>
      </c>
      <c r="K25" s="68">
        <v>112.323662</v>
      </c>
      <c r="L25" s="68">
        <v>113.21151</v>
      </c>
      <c r="M25" s="68">
        <v>114.437622</v>
      </c>
      <c r="N25" s="68">
        <v>115.430359</v>
      </c>
      <c r="O25" s="68">
        <v>116.44259599999999</v>
      </c>
      <c r="P25" s="68">
        <v>117.35573599999999</v>
      </c>
      <c r="Q25" s="68">
        <v>117.95938099999999</v>
      </c>
      <c r="R25" s="68">
        <v>118.40920300000001</v>
      </c>
      <c r="S25" s="68">
        <v>118.580589</v>
      </c>
      <c r="T25" s="68">
        <v>118.766792</v>
      </c>
      <c r="U25" s="68">
        <v>118.68956</v>
      </c>
      <c r="V25" s="68">
        <v>118.765907</v>
      </c>
      <c r="W25" s="68">
        <v>119.423424</v>
      </c>
      <c r="X25" s="68">
        <v>120.01164199999999</v>
      </c>
      <c r="Y25" s="68">
        <v>120.741867</v>
      </c>
      <c r="Z25" s="68">
        <v>121.32109800000001</v>
      </c>
      <c r="AA25" s="68">
        <v>121.640175</v>
      </c>
      <c r="AB25" s="68">
        <v>122.05538199999999</v>
      </c>
      <c r="AC25" s="68">
        <v>122.67742200000001</v>
      </c>
      <c r="AD25" s="68">
        <v>123.396187</v>
      </c>
      <c r="AE25" s="68">
        <v>124.25406599999999</v>
      </c>
      <c r="AF25" s="69">
        <v>6.1120000000000002E-3</v>
      </c>
      <c r="AG25" s="37"/>
    </row>
    <row r="26" spans="1:33" ht="15" customHeight="1" x14ac:dyDescent="0.2">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row>
    <row r="27" spans="1:33" ht="15" customHeight="1" x14ac:dyDescent="0.2">
      <c r="B27" s="64" t="s">
        <v>469</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row>
    <row r="28" spans="1:33" ht="15" customHeight="1" x14ac:dyDescent="0.2">
      <c r="A28" s="42" t="s">
        <v>470</v>
      </c>
      <c r="B28" s="65" t="s">
        <v>471</v>
      </c>
      <c r="C28" s="66">
        <v>13.824968</v>
      </c>
      <c r="D28" s="66">
        <v>14.777424999999999</v>
      </c>
      <c r="E28" s="66">
        <v>15.446031</v>
      </c>
      <c r="F28" s="66">
        <v>15.30518</v>
      </c>
      <c r="G28" s="66">
        <v>15.0045</v>
      </c>
      <c r="H28" s="66">
        <v>15.261106</v>
      </c>
      <c r="I28" s="66">
        <v>15.230433</v>
      </c>
      <c r="J28" s="66">
        <v>15.491680000000001</v>
      </c>
      <c r="K28" s="66">
        <v>15.589062999999999</v>
      </c>
      <c r="L28" s="66">
        <v>15.686406</v>
      </c>
      <c r="M28" s="66">
        <v>15.720078000000001</v>
      </c>
      <c r="N28" s="66">
        <v>15.538974</v>
      </c>
      <c r="O28" s="66">
        <v>15.709466000000001</v>
      </c>
      <c r="P28" s="66">
        <v>15.851457</v>
      </c>
      <c r="Q28" s="66">
        <v>15.843707</v>
      </c>
      <c r="R28" s="66">
        <v>15.807153</v>
      </c>
      <c r="S28" s="66">
        <v>15.874155999999999</v>
      </c>
      <c r="T28" s="66">
        <v>15.984639</v>
      </c>
      <c r="U28" s="66">
        <v>16.045517</v>
      </c>
      <c r="V28" s="66">
        <v>16.390509000000002</v>
      </c>
      <c r="W28" s="66">
        <v>16.327881000000001</v>
      </c>
      <c r="X28" s="66">
        <v>16.155360999999999</v>
      </c>
      <c r="Y28" s="66">
        <v>15.890744</v>
      </c>
      <c r="Z28" s="66">
        <v>15.766374000000001</v>
      </c>
      <c r="AA28" s="66">
        <v>15.490686</v>
      </c>
      <c r="AB28" s="66">
        <v>15.523277999999999</v>
      </c>
      <c r="AC28" s="66">
        <v>15.392778</v>
      </c>
      <c r="AD28" s="66">
        <v>15.059613000000001</v>
      </c>
      <c r="AE28" s="66">
        <v>14.806977</v>
      </c>
      <c r="AF28" s="67">
        <v>2.454E-3</v>
      </c>
      <c r="AG28" s="37"/>
    </row>
    <row r="29" spans="1:33" ht="15" customHeight="1" x14ac:dyDescent="0.2">
      <c r="A29" s="42" t="s">
        <v>472</v>
      </c>
      <c r="B29" s="65" t="s">
        <v>473</v>
      </c>
      <c r="C29" s="66">
        <v>4.758858</v>
      </c>
      <c r="D29" s="66">
        <v>4.8393420000000003</v>
      </c>
      <c r="E29" s="66">
        <v>4.0300890000000003</v>
      </c>
      <c r="F29" s="66">
        <v>4.0340949999999998</v>
      </c>
      <c r="G29" s="66">
        <v>4.0358739999999997</v>
      </c>
      <c r="H29" s="66">
        <v>3.9928560000000002</v>
      </c>
      <c r="I29" s="66">
        <v>3.9138630000000001</v>
      </c>
      <c r="J29" s="66">
        <v>3.8377659999999998</v>
      </c>
      <c r="K29" s="66">
        <v>3.8044229999999999</v>
      </c>
      <c r="L29" s="66">
        <v>3.8062960000000001</v>
      </c>
      <c r="M29" s="66">
        <v>3.7409319999999999</v>
      </c>
      <c r="N29" s="66">
        <v>3.7181160000000002</v>
      </c>
      <c r="O29" s="66">
        <v>3.6847699999999999</v>
      </c>
      <c r="P29" s="66">
        <v>3.6818710000000001</v>
      </c>
      <c r="Q29" s="66">
        <v>3.6705369999999999</v>
      </c>
      <c r="R29" s="66">
        <v>3.6813039999999999</v>
      </c>
      <c r="S29" s="66">
        <v>3.6850719999999999</v>
      </c>
      <c r="T29" s="66">
        <v>3.6928719999999999</v>
      </c>
      <c r="U29" s="66">
        <v>3.7024089999999998</v>
      </c>
      <c r="V29" s="66">
        <v>3.7233679999999998</v>
      </c>
      <c r="W29" s="66">
        <v>3.7186750000000002</v>
      </c>
      <c r="X29" s="66">
        <v>3.7253620000000001</v>
      </c>
      <c r="Y29" s="66">
        <v>3.7171259999999999</v>
      </c>
      <c r="Z29" s="66">
        <v>3.7475429999999998</v>
      </c>
      <c r="AA29" s="66">
        <v>3.7224379999999999</v>
      </c>
      <c r="AB29" s="66">
        <v>3.7441249999999999</v>
      </c>
      <c r="AC29" s="66">
        <v>3.8167680000000002</v>
      </c>
      <c r="AD29" s="66">
        <v>3.836668</v>
      </c>
      <c r="AE29" s="66">
        <v>3.7676440000000002</v>
      </c>
      <c r="AF29" s="67">
        <v>-8.3070000000000001E-3</v>
      </c>
      <c r="AG29" s="37"/>
    </row>
    <row r="30" spans="1:33" ht="15" customHeight="1" x14ac:dyDescent="0.2">
      <c r="A30" s="42" t="s">
        <v>474</v>
      </c>
      <c r="B30" s="65" t="s">
        <v>475</v>
      </c>
      <c r="C30" s="66">
        <v>2.981649</v>
      </c>
      <c r="D30" s="66">
        <v>2.8084820000000001</v>
      </c>
      <c r="E30" s="66">
        <v>2.4610690000000002</v>
      </c>
      <c r="F30" s="66">
        <v>2.35087</v>
      </c>
      <c r="G30" s="66">
        <v>2.2521100000000001</v>
      </c>
      <c r="H30" s="66">
        <v>2.1840480000000002</v>
      </c>
      <c r="I30" s="66">
        <v>2.0737390000000002</v>
      </c>
      <c r="J30" s="66">
        <v>2.0405530000000001</v>
      </c>
      <c r="K30" s="66">
        <v>2.0728650000000002</v>
      </c>
      <c r="L30" s="66">
        <v>2.0679400000000001</v>
      </c>
      <c r="M30" s="66">
        <v>2.1186799999999999</v>
      </c>
      <c r="N30" s="66">
        <v>2.137902</v>
      </c>
      <c r="O30" s="66">
        <v>2.141702</v>
      </c>
      <c r="P30" s="66">
        <v>2.125696</v>
      </c>
      <c r="Q30" s="66">
        <v>2.080384</v>
      </c>
      <c r="R30" s="66">
        <v>2.0793509999999999</v>
      </c>
      <c r="S30" s="66">
        <v>2.1369690000000001</v>
      </c>
      <c r="T30" s="66">
        <v>2.1100599999999998</v>
      </c>
      <c r="U30" s="66">
        <v>2.231398</v>
      </c>
      <c r="V30" s="66">
        <v>2.2567810000000001</v>
      </c>
      <c r="W30" s="66">
        <v>2.2697090000000002</v>
      </c>
      <c r="X30" s="66">
        <v>2.3180019999999999</v>
      </c>
      <c r="Y30" s="66">
        <v>2.4019599999999999</v>
      </c>
      <c r="Z30" s="66">
        <v>2.477401</v>
      </c>
      <c r="AA30" s="66">
        <v>2.5080589999999998</v>
      </c>
      <c r="AB30" s="66">
        <v>2.53545</v>
      </c>
      <c r="AC30" s="66">
        <v>2.5825819999999999</v>
      </c>
      <c r="AD30" s="66">
        <v>2.5992690000000001</v>
      </c>
      <c r="AE30" s="66">
        <v>2.6272039999999999</v>
      </c>
      <c r="AF30" s="67">
        <v>-4.5100000000000001E-3</v>
      </c>
      <c r="AG30" s="37"/>
    </row>
    <row r="31" spans="1:33" ht="12" customHeight="1" x14ac:dyDescent="0.2">
      <c r="A31" s="42" t="s">
        <v>476</v>
      </c>
      <c r="B31" s="65" t="s">
        <v>477</v>
      </c>
      <c r="C31" s="66">
        <v>0.25367000000000001</v>
      </c>
      <c r="D31" s="66">
        <v>0.337121</v>
      </c>
      <c r="E31" s="66">
        <v>0.14549000000000001</v>
      </c>
      <c r="F31" s="66">
        <v>0.13084100000000001</v>
      </c>
      <c r="G31" s="66">
        <v>0.141319</v>
      </c>
      <c r="H31" s="66">
        <v>0.155275</v>
      </c>
      <c r="I31" s="66">
        <v>0.17730299999999999</v>
      </c>
      <c r="J31" s="66">
        <v>0.16914799999999999</v>
      </c>
      <c r="K31" s="66">
        <v>0.176284</v>
      </c>
      <c r="L31" s="66">
        <v>0.166932</v>
      </c>
      <c r="M31" s="66">
        <v>0.17031399999999999</v>
      </c>
      <c r="N31" s="66">
        <v>0.16933599999999999</v>
      </c>
      <c r="O31" s="66">
        <v>0.17039799999999999</v>
      </c>
      <c r="P31" s="66">
        <v>0.16594200000000001</v>
      </c>
      <c r="Q31" s="66">
        <v>0.16400500000000001</v>
      </c>
      <c r="R31" s="66">
        <v>0.163859</v>
      </c>
      <c r="S31" s="66">
        <v>0.167017</v>
      </c>
      <c r="T31" s="66">
        <v>0.16908000000000001</v>
      </c>
      <c r="U31" s="66">
        <v>0.17061399999999999</v>
      </c>
      <c r="V31" s="66">
        <v>0.166044</v>
      </c>
      <c r="W31" s="66">
        <v>0.16572100000000001</v>
      </c>
      <c r="X31" s="66">
        <v>0.16325200000000001</v>
      </c>
      <c r="Y31" s="66">
        <v>0.161465</v>
      </c>
      <c r="Z31" s="66">
        <v>0.15851699999999999</v>
      </c>
      <c r="AA31" s="66">
        <v>0.155057</v>
      </c>
      <c r="AB31" s="66">
        <v>0.154695</v>
      </c>
      <c r="AC31" s="66">
        <v>0.15764900000000001</v>
      </c>
      <c r="AD31" s="66">
        <v>0.15917999999999999</v>
      </c>
      <c r="AE31" s="66">
        <v>0.15726100000000001</v>
      </c>
      <c r="AF31" s="67">
        <v>-1.6931000000000002E-2</v>
      </c>
      <c r="AG31" s="37"/>
    </row>
    <row r="32" spans="1:33" ht="12" customHeight="1" x14ac:dyDescent="0.2">
      <c r="A32" s="42" t="s">
        <v>478</v>
      </c>
      <c r="B32" s="64" t="s">
        <v>468</v>
      </c>
      <c r="C32" s="68">
        <v>21.819144999999999</v>
      </c>
      <c r="D32" s="68">
        <v>22.762371000000002</v>
      </c>
      <c r="E32" s="68">
        <v>22.08268</v>
      </c>
      <c r="F32" s="68">
        <v>21.820986000000001</v>
      </c>
      <c r="G32" s="68">
        <v>21.433803999999999</v>
      </c>
      <c r="H32" s="68">
        <v>21.593285000000002</v>
      </c>
      <c r="I32" s="68">
        <v>21.395336</v>
      </c>
      <c r="J32" s="68">
        <v>21.539145999999999</v>
      </c>
      <c r="K32" s="68">
        <v>21.642633</v>
      </c>
      <c r="L32" s="68">
        <v>21.727573</v>
      </c>
      <c r="M32" s="68">
        <v>21.750001999999999</v>
      </c>
      <c r="N32" s="68">
        <v>21.564329000000001</v>
      </c>
      <c r="O32" s="68">
        <v>21.706337000000001</v>
      </c>
      <c r="P32" s="68">
        <v>21.824964999999999</v>
      </c>
      <c r="Q32" s="68">
        <v>21.758633</v>
      </c>
      <c r="R32" s="68">
        <v>21.731667000000002</v>
      </c>
      <c r="S32" s="68">
        <v>21.863212999999998</v>
      </c>
      <c r="T32" s="68">
        <v>21.956651999999998</v>
      </c>
      <c r="U32" s="68">
        <v>22.149939</v>
      </c>
      <c r="V32" s="68">
        <v>22.536701000000001</v>
      </c>
      <c r="W32" s="68">
        <v>22.481985000000002</v>
      </c>
      <c r="X32" s="68">
        <v>22.361977</v>
      </c>
      <c r="Y32" s="68">
        <v>22.171295000000001</v>
      </c>
      <c r="Z32" s="68">
        <v>22.149836000000001</v>
      </c>
      <c r="AA32" s="68">
        <v>21.876242000000001</v>
      </c>
      <c r="AB32" s="68">
        <v>21.957547999999999</v>
      </c>
      <c r="AC32" s="68">
        <v>21.949777999999998</v>
      </c>
      <c r="AD32" s="68">
        <v>21.654731999999999</v>
      </c>
      <c r="AE32" s="68">
        <v>21.359085</v>
      </c>
      <c r="AF32" s="69">
        <v>-7.6099999999999996E-4</v>
      </c>
      <c r="AG32" s="37"/>
    </row>
    <row r="33" spans="1:33" ht="12" customHeight="1" x14ac:dyDescent="0.2">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row>
    <row r="34" spans="1:33" ht="12" customHeight="1" x14ac:dyDescent="0.2">
      <c r="B34" s="64" t="s">
        <v>479</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row>
    <row r="35" spans="1:33" ht="12" customHeight="1" x14ac:dyDescent="0.2">
      <c r="A35" s="42" t="s">
        <v>480</v>
      </c>
      <c r="B35" s="65" t="s">
        <v>481</v>
      </c>
      <c r="C35" s="66">
        <v>18.536159999999999</v>
      </c>
      <c r="D35" s="66">
        <v>19.040469999999999</v>
      </c>
      <c r="E35" s="66">
        <v>20.328047000000002</v>
      </c>
      <c r="F35" s="66">
        <v>20.579879999999999</v>
      </c>
      <c r="G35" s="66">
        <v>21.071783</v>
      </c>
      <c r="H35" s="66">
        <v>21.489708</v>
      </c>
      <c r="I35" s="66">
        <v>21.636562000000001</v>
      </c>
      <c r="J35" s="66">
        <v>21.880472000000001</v>
      </c>
      <c r="K35" s="66">
        <v>22.202881000000001</v>
      </c>
      <c r="L35" s="66">
        <v>22.327625000000001</v>
      </c>
      <c r="M35" s="66">
        <v>22.464676000000001</v>
      </c>
      <c r="N35" s="66">
        <v>22.515352</v>
      </c>
      <c r="O35" s="66">
        <v>22.756022999999999</v>
      </c>
      <c r="P35" s="66">
        <v>22.978777000000001</v>
      </c>
      <c r="Q35" s="66">
        <v>23.076605000000001</v>
      </c>
      <c r="R35" s="66">
        <v>23.112068000000001</v>
      </c>
      <c r="S35" s="66">
        <v>23.121672</v>
      </c>
      <c r="T35" s="66">
        <v>23.267797000000002</v>
      </c>
      <c r="U35" s="66">
        <v>23.053844000000002</v>
      </c>
      <c r="V35" s="66">
        <v>23.139195999999998</v>
      </c>
      <c r="W35" s="66">
        <v>23.210156999999999</v>
      </c>
      <c r="X35" s="66">
        <v>23.236941999999999</v>
      </c>
      <c r="Y35" s="66">
        <v>23.218385999999999</v>
      </c>
      <c r="Z35" s="66">
        <v>23.136253</v>
      </c>
      <c r="AA35" s="66">
        <v>22.799206000000002</v>
      </c>
      <c r="AB35" s="66">
        <v>22.530909999999999</v>
      </c>
      <c r="AC35" s="66">
        <v>22.513947999999999</v>
      </c>
      <c r="AD35" s="66">
        <v>22.402639000000001</v>
      </c>
      <c r="AE35" s="66">
        <v>21.931286</v>
      </c>
      <c r="AF35" s="67">
        <v>6.025E-3</v>
      </c>
      <c r="AG35" s="37"/>
    </row>
    <row r="36" spans="1:33" ht="12" customHeight="1" x14ac:dyDescent="0.2">
      <c r="A36" s="42" t="s">
        <v>482</v>
      </c>
      <c r="B36" s="65" t="s">
        <v>475</v>
      </c>
      <c r="C36" s="66">
        <v>7.1570140000000002</v>
      </c>
      <c r="D36" s="66">
        <v>7.945881</v>
      </c>
      <c r="E36" s="66">
        <v>7.9438149999999998</v>
      </c>
      <c r="F36" s="66">
        <v>8.3370300000000004</v>
      </c>
      <c r="G36" s="66">
        <v>8.8427430000000005</v>
      </c>
      <c r="H36" s="66">
        <v>9.2638459999999991</v>
      </c>
      <c r="I36" s="66">
        <v>9.6647580000000008</v>
      </c>
      <c r="J36" s="66">
        <v>10.022475999999999</v>
      </c>
      <c r="K36" s="66">
        <v>10.671082</v>
      </c>
      <c r="L36" s="66">
        <v>11.372363</v>
      </c>
      <c r="M36" s="66">
        <v>12.069704</v>
      </c>
      <c r="N36" s="66">
        <v>12.747916999999999</v>
      </c>
      <c r="O36" s="66">
        <v>13.325286999999999</v>
      </c>
      <c r="P36" s="66">
        <v>13.720262999999999</v>
      </c>
      <c r="Q36" s="66">
        <v>13.973807000000001</v>
      </c>
      <c r="R36" s="66">
        <v>14.186524</v>
      </c>
      <c r="S36" s="66">
        <v>14.301539</v>
      </c>
      <c r="T36" s="66">
        <v>14.335634000000001</v>
      </c>
      <c r="U36" s="66">
        <v>14.360343</v>
      </c>
      <c r="V36" s="66">
        <v>14.349729</v>
      </c>
      <c r="W36" s="66">
        <v>14.358644</v>
      </c>
      <c r="X36" s="66">
        <v>14.365799000000001</v>
      </c>
      <c r="Y36" s="66">
        <v>14.408306</v>
      </c>
      <c r="Z36" s="66">
        <v>14.392715000000001</v>
      </c>
      <c r="AA36" s="66">
        <v>14.375298000000001</v>
      </c>
      <c r="AB36" s="66">
        <v>14.355017999999999</v>
      </c>
      <c r="AC36" s="66">
        <v>14.358720999999999</v>
      </c>
      <c r="AD36" s="66">
        <v>14.323404</v>
      </c>
      <c r="AE36" s="66">
        <v>14.304577</v>
      </c>
      <c r="AF36" s="67">
        <v>2.504E-2</v>
      </c>
      <c r="AG36" s="37"/>
    </row>
    <row r="37" spans="1:33" ht="12" customHeight="1" x14ac:dyDescent="0.2">
      <c r="A37" s="42" t="s">
        <v>483</v>
      </c>
      <c r="B37" s="65" t="s">
        <v>484</v>
      </c>
      <c r="C37" s="66">
        <v>2.1545730000000001</v>
      </c>
      <c r="D37" s="66">
        <v>2.1435559999999998</v>
      </c>
      <c r="E37" s="66">
        <v>2.7799659999999999</v>
      </c>
      <c r="F37" s="66">
        <v>2.7159759999999999</v>
      </c>
      <c r="G37" s="66">
        <v>2.8481350000000001</v>
      </c>
      <c r="H37" s="66">
        <v>2.8107069999999998</v>
      </c>
      <c r="I37" s="66">
        <v>2.8227359999999999</v>
      </c>
      <c r="J37" s="66">
        <v>2.8087870000000001</v>
      </c>
      <c r="K37" s="66">
        <v>2.8101069999999999</v>
      </c>
      <c r="L37" s="66">
        <v>2.838428</v>
      </c>
      <c r="M37" s="66">
        <v>2.8912900000000001</v>
      </c>
      <c r="N37" s="66">
        <v>2.8190089999999999</v>
      </c>
      <c r="O37" s="66">
        <v>2.7945600000000002</v>
      </c>
      <c r="P37" s="66">
        <v>2.8213910000000002</v>
      </c>
      <c r="Q37" s="66">
        <v>2.7845870000000001</v>
      </c>
      <c r="R37" s="66">
        <v>2.726998</v>
      </c>
      <c r="S37" s="66">
        <v>2.7707769999999998</v>
      </c>
      <c r="T37" s="66">
        <v>2.712615</v>
      </c>
      <c r="U37" s="66">
        <v>2.7229890000000001</v>
      </c>
      <c r="V37" s="66">
        <v>2.7082160000000002</v>
      </c>
      <c r="W37" s="66">
        <v>2.723382</v>
      </c>
      <c r="X37" s="66">
        <v>2.6906240000000001</v>
      </c>
      <c r="Y37" s="66">
        <v>2.6948310000000002</v>
      </c>
      <c r="Z37" s="66">
        <v>2.703859</v>
      </c>
      <c r="AA37" s="66">
        <v>2.6886749999999999</v>
      </c>
      <c r="AB37" s="66">
        <v>2.682404</v>
      </c>
      <c r="AC37" s="66">
        <v>2.7056499999999999</v>
      </c>
      <c r="AD37" s="66">
        <v>2.707865</v>
      </c>
      <c r="AE37" s="66">
        <v>2.7239949999999999</v>
      </c>
      <c r="AF37" s="67">
        <v>8.4100000000000008E-3</v>
      </c>
      <c r="AG37" s="37"/>
    </row>
    <row r="38" spans="1:33" ht="12" customHeight="1" x14ac:dyDescent="0.2">
      <c r="A38" s="42" t="s">
        <v>485</v>
      </c>
      <c r="B38" s="64" t="s">
        <v>468</v>
      </c>
      <c r="C38" s="68">
        <v>27.847746000000001</v>
      </c>
      <c r="D38" s="68">
        <v>29.129908</v>
      </c>
      <c r="E38" s="68">
        <v>31.051828</v>
      </c>
      <c r="F38" s="68">
        <v>31.632887</v>
      </c>
      <c r="G38" s="68">
        <v>32.762661000000001</v>
      </c>
      <c r="H38" s="68">
        <v>33.564261999999999</v>
      </c>
      <c r="I38" s="68">
        <v>34.124054000000001</v>
      </c>
      <c r="J38" s="68">
        <v>34.711734999999997</v>
      </c>
      <c r="K38" s="68">
        <v>35.684071000000003</v>
      </c>
      <c r="L38" s="68">
        <v>36.538418</v>
      </c>
      <c r="M38" s="68">
        <v>37.425666999999997</v>
      </c>
      <c r="N38" s="68">
        <v>38.082275000000003</v>
      </c>
      <c r="O38" s="68">
        <v>38.875869999999999</v>
      </c>
      <c r="P38" s="68">
        <v>39.520432</v>
      </c>
      <c r="Q38" s="68">
        <v>39.834999000000003</v>
      </c>
      <c r="R38" s="68">
        <v>40.025588999999997</v>
      </c>
      <c r="S38" s="68">
        <v>40.193984999999998</v>
      </c>
      <c r="T38" s="68">
        <v>40.316048000000002</v>
      </c>
      <c r="U38" s="68">
        <v>40.137177000000001</v>
      </c>
      <c r="V38" s="68">
        <v>40.197144000000002</v>
      </c>
      <c r="W38" s="68">
        <v>40.292183000000001</v>
      </c>
      <c r="X38" s="68">
        <v>40.293365000000001</v>
      </c>
      <c r="Y38" s="68">
        <v>40.321525999999999</v>
      </c>
      <c r="Z38" s="68">
        <v>40.232826000000003</v>
      </c>
      <c r="AA38" s="68">
        <v>39.863177999999998</v>
      </c>
      <c r="AB38" s="68">
        <v>39.568333000000003</v>
      </c>
      <c r="AC38" s="68">
        <v>39.578319999999998</v>
      </c>
      <c r="AD38" s="68">
        <v>39.433909999999997</v>
      </c>
      <c r="AE38" s="68">
        <v>38.959857999999997</v>
      </c>
      <c r="AF38" s="69">
        <v>1.2064E-2</v>
      </c>
      <c r="AG38" s="37"/>
    </row>
    <row r="39" spans="1:33" ht="12" customHeight="1" x14ac:dyDescent="0.2">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row>
    <row r="40" spans="1:33" ht="12" customHeight="1" x14ac:dyDescent="0.2">
      <c r="A40" s="42" t="s">
        <v>486</v>
      </c>
      <c r="B40" s="64" t="s">
        <v>487</v>
      </c>
      <c r="C40" s="68">
        <v>-0.45786100000000002</v>
      </c>
      <c r="D40" s="68">
        <v>0.97528999999999999</v>
      </c>
      <c r="E40" s="68">
        <v>0.42364299999999999</v>
      </c>
      <c r="F40" s="68">
        <v>0.46440300000000001</v>
      </c>
      <c r="G40" s="68">
        <v>0.459312</v>
      </c>
      <c r="H40" s="68">
        <v>0.42448399999999997</v>
      </c>
      <c r="I40" s="68">
        <v>0.43044700000000002</v>
      </c>
      <c r="J40" s="68">
        <v>0.29497099999999998</v>
      </c>
      <c r="K40" s="68">
        <v>0.32553500000000002</v>
      </c>
      <c r="L40" s="68">
        <v>0.40085599999999999</v>
      </c>
      <c r="M40" s="68">
        <v>0.44950899999999999</v>
      </c>
      <c r="N40" s="68">
        <v>0.44732699999999997</v>
      </c>
      <c r="O40" s="68">
        <v>0.45370500000000002</v>
      </c>
      <c r="P40" s="68">
        <v>0.53214300000000003</v>
      </c>
      <c r="Q40" s="68">
        <v>0.48624000000000001</v>
      </c>
      <c r="R40" s="68">
        <v>0.46405000000000002</v>
      </c>
      <c r="S40" s="68">
        <v>0.455482</v>
      </c>
      <c r="T40" s="68">
        <v>0.45082899999999998</v>
      </c>
      <c r="U40" s="68">
        <v>0.45003500000000002</v>
      </c>
      <c r="V40" s="68">
        <v>0.45556999999999997</v>
      </c>
      <c r="W40" s="68">
        <v>0.44808999999999999</v>
      </c>
      <c r="X40" s="68">
        <v>0.43851499999999999</v>
      </c>
      <c r="Y40" s="68">
        <v>0.440971</v>
      </c>
      <c r="Z40" s="68">
        <v>0.54706600000000005</v>
      </c>
      <c r="AA40" s="68">
        <v>0.47692499999999999</v>
      </c>
      <c r="AB40" s="68">
        <v>0.61267499999999997</v>
      </c>
      <c r="AC40" s="68">
        <v>0.56340400000000002</v>
      </c>
      <c r="AD40" s="68">
        <v>0.51369900000000002</v>
      </c>
      <c r="AE40" s="68">
        <v>0.713924</v>
      </c>
      <c r="AF40" s="69" t="s">
        <v>488</v>
      </c>
      <c r="AG40" s="37"/>
    </row>
    <row r="41" spans="1:33" ht="12" customHeight="1" x14ac:dyDescent="0.2">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row>
    <row r="42" spans="1:33" ht="12" customHeight="1" x14ac:dyDescent="0.2">
      <c r="B42" s="64" t="s">
        <v>489</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row>
    <row r="43" spans="1:33" ht="12" customHeight="1" x14ac:dyDescent="0.2">
      <c r="A43" s="42" t="s">
        <v>490</v>
      </c>
      <c r="B43" s="65" t="s">
        <v>491</v>
      </c>
      <c r="C43" s="66">
        <v>36.816775999999997</v>
      </c>
      <c r="D43" s="66">
        <v>36.981636000000002</v>
      </c>
      <c r="E43" s="66">
        <v>36.540515999999997</v>
      </c>
      <c r="F43" s="66">
        <v>36.382579999999997</v>
      </c>
      <c r="G43" s="66">
        <v>36.236435</v>
      </c>
      <c r="H43" s="66">
        <v>36.093871999999998</v>
      </c>
      <c r="I43" s="66">
        <v>35.925086999999998</v>
      </c>
      <c r="J43" s="66">
        <v>35.71246</v>
      </c>
      <c r="K43" s="66">
        <v>35.460438000000003</v>
      </c>
      <c r="L43" s="66">
        <v>35.244152</v>
      </c>
      <c r="M43" s="66">
        <v>35.085304000000001</v>
      </c>
      <c r="N43" s="66">
        <v>34.948363999999998</v>
      </c>
      <c r="O43" s="66">
        <v>34.868290000000002</v>
      </c>
      <c r="P43" s="66">
        <v>34.774864000000001</v>
      </c>
      <c r="Q43" s="66">
        <v>34.660747999999998</v>
      </c>
      <c r="R43" s="66">
        <v>34.614303999999997</v>
      </c>
      <c r="S43" s="66">
        <v>34.581386999999999</v>
      </c>
      <c r="T43" s="66">
        <v>34.574551</v>
      </c>
      <c r="U43" s="66">
        <v>34.635840999999999</v>
      </c>
      <c r="V43" s="66">
        <v>34.700854999999997</v>
      </c>
      <c r="W43" s="66">
        <v>34.772815999999999</v>
      </c>
      <c r="X43" s="66">
        <v>34.843960000000003</v>
      </c>
      <c r="Y43" s="66">
        <v>34.938003999999999</v>
      </c>
      <c r="Z43" s="66">
        <v>35.050570999999998</v>
      </c>
      <c r="AA43" s="66">
        <v>35.202903999999997</v>
      </c>
      <c r="AB43" s="66">
        <v>35.394215000000003</v>
      </c>
      <c r="AC43" s="66">
        <v>35.548606999999997</v>
      </c>
      <c r="AD43" s="66">
        <v>35.727843999999997</v>
      </c>
      <c r="AE43" s="66">
        <v>35.995078999999997</v>
      </c>
      <c r="AF43" s="67">
        <v>-8.0599999999999997E-4</v>
      </c>
      <c r="AG43" s="37"/>
    </row>
    <row r="44" spans="1:33" ht="12" customHeight="1" x14ac:dyDescent="0.2">
      <c r="A44" s="42" t="s">
        <v>492</v>
      </c>
      <c r="B44" s="65" t="s">
        <v>475</v>
      </c>
      <c r="C44" s="66">
        <v>33.183849000000002</v>
      </c>
      <c r="D44" s="66">
        <v>31.975372</v>
      </c>
      <c r="E44" s="66">
        <v>30.744192000000002</v>
      </c>
      <c r="F44" s="66">
        <v>30.454858999999999</v>
      </c>
      <c r="G44" s="66">
        <v>30.362862</v>
      </c>
      <c r="H44" s="66">
        <v>29.860353</v>
      </c>
      <c r="I44" s="66">
        <v>29.690902999999999</v>
      </c>
      <c r="J44" s="66">
        <v>29.540801999999999</v>
      </c>
      <c r="K44" s="66">
        <v>29.285072</v>
      </c>
      <c r="L44" s="66">
        <v>29.002974999999999</v>
      </c>
      <c r="M44" s="66">
        <v>28.867509999999999</v>
      </c>
      <c r="N44" s="66">
        <v>28.778568</v>
      </c>
      <c r="O44" s="66">
        <v>28.707445</v>
      </c>
      <c r="P44" s="66">
        <v>28.712893000000001</v>
      </c>
      <c r="Q44" s="66">
        <v>28.819685</v>
      </c>
      <c r="R44" s="66">
        <v>28.978542000000001</v>
      </c>
      <c r="S44" s="66">
        <v>29.210225999999999</v>
      </c>
      <c r="T44" s="66">
        <v>29.397072000000001</v>
      </c>
      <c r="U44" s="66">
        <v>29.632147</v>
      </c>
      <c r="V44" s="66">
        <v>29.788446</v>
      </c>
      <c r="W44" s="66">
        <v>29.983868000000001</v>
      </c>
      <c r="X44" s="66">
        <v>30.153929000000002</v>
      </c>
      <c r="Y44" s="66">
        <v>30.279633</v>
      </c>
      <c r="Z44" s="66">
        <v>30.429348000000001</v>
      </c>
      <c r="AA44" s="66">
        <v>30.410451999999999</v>
      </c>
      <c r="AB44" s="66">
        <v>30.539183000000001</v>
      </c>
      <c r="AC44" s="66">
        <v>30.747510999999999</v>
      </c>
      <c r="AD44" s="66">
        <v>30.902692999999999</v>
      </c>
      <c r="AE44" s="66">
        <v>31.130542999999999</v>
      </c>
      <c r="AF44" s="67">
        <v>-2.2790000000000002E-3</v>
      </c>
      <c r="AG44" s="37"/>
    </row>
    <row r="45" spans="1:33" ht="12" customHeight="1" x14ac:dyDescent="0.2">
      <c r="A45" s="42" t="s">
        <v>493</v>
      </c>
      <c r="B45" s="65" t="s">
        <v>494</v>
      </c>
      <c r="C45" s="66">
        <v>9.694483</v>
      </c>
      <c r="D45" s="66">
        <v>9.0405219999999993</v>
      </c>
      <c r="E45" s="66">
        <v>9.4110289999999992</v>
      </c>
      <c r="F45" s="66">
        <v>8.6470579999999995</v>
      </c>
      <c r="G45" s="66">
        <v>7.5168629999999999</v>
      </c>
      <c r="H45" s="66">
        <v>6.5015349999999996</v>
      </c>
      <c r="I45" s="66">
        <v>5.5293720000000004</v>
      </c>
      <c r="J45" s="66">
        <v>4.8016839999999998</v>
      </c>
      <c r="K45" s="66">
        <v>4.3969440000000004</v>
      </c>
      <c r="L45" s="66">
        <v>4.3077800000000002</v>
      </c>
      <c r="M45" s="66">
        <v>4.2720849999999997</v>
      </c>
      <c r="N45" s="66">
        <v>4.3385850000000001</v>
      </c>
      <c r="O45" s="66">
        <v>4.2996169999999996</v>
      </c>
      <c r="P45" s="66">
        <v>4.3025219999999997</v>
      </c>
      <c r="Q45" s="66">
        <v>4.2609709999999996</v>
      </c>
      <c r="R45" s="66">
        <v>4.1610040000000001</v>
      </c>
      <c r="S45" s="66">
        <v>4.0027169999999996</v>
      </c>
      <c r="T45" s="66">
        <v>3.909357</v>
      </c>
      <c r="U45" s="66">
        <v>3.8068559999999998</v>
      </c>
      <c r="V45" s="66">
        <v>3.8240850000000002</v>
      </c>
      <c r="W45" s="66">
        <v>3.8151120000000001</v>
      </c>
      <c r="X45" s="66">
        <v>3.7632509999999999</v>
      </c>
      <c r="Y45" s="66">
        <v>3.6459890000000001</v>
      </c>
      <c r="Z45" s="66">
        <v>3.548136</v>
      </c>
      <c r="AA45" s="66">
        <v>3.4636490000000002</v>
      </c>
      <c r="AB45" s="66">
        <v>3.4229319999999999</v>
      </c>
      <c r="AC45" s="66">
        <v>3.3332199999999998</v>
      </c>
      <c r="AD45" s="66">
        <v>3.3112200000000001</v>
      </c>
      <c r="AE45" s="66">
        <v>3.208326</v>
      </c>
      <c r="AF45" s="67">
        <v>-3.8723E-2</v>
      </c>
      <c r="AG45" s="37"/>
    </row>
    <row r="46" spans="1:33" ht="12" customHeight="1" x14ac:dyDescent="0.2">
      <c r="A46" s="42" t="s">
        <v>495</v>
      </c>
      <c r="B46" s="65" t="s">
        <v>458</v>
      </c>
      <c r="C46" s="66">
        <v>8.0646540000000009</v>
      </c>
      <c r="D46" s="66">
        <v>8.1872109999999996</v>
      </c>
      <c r="E46" s="66">
        <v>8.2466290000000004</v>
      </c>
      <c r="F46" s="66">
        <v>8.1719659999999994</v>
      </c>
      <c r="G46" s="66">
        <v>8.0928570000000004</v>
      </c>
      <c r="H46" s="66">
        <v>8.0927190000000007</v>
      </c>
      <c r="I46" s="66">
        <v>7.9974689999999997</v>
      </c>
      <c r="J46" s="66">
        <v>7.9973400000000003</v>
      </c>
      <c r="K46" s="66">
        <v>7.9187440000000002</v>
      </c>
      <c r="L46" s="66">
        <v>7.9187969999999996</v>
      </c>
      <c r="M46" s="66">
        <v>7.9188850000000004</v>
      </c>
      <c r="N46" s="66">
        <v>7.47281</v>
      </c>
      <c r="O46" s="66">
        <v>7.4032179999999999</v>
      </c>
      <c r="P46" s="66">
        <v>7.3139329999999996</v>
      </c>
      <c r="Q46" s="66">
        <v>7.1458170000000001</v>
      </c>
      <c r="R46" s="66">
        <v>7.0316359999999998</v>
      </c>
      <c r="S46" s="66">
        <v>6.8371979999999999</v>
      </c>
      <c r="T46" s="66">
        <v>6.734248</v>
      </c>
      <c r="U46" s="66">
        <v>6.5336410000000003</v>
      </c>
      <c r="V46" s="66">
        <v>6.5354080000000003</v>
      </c>
      <c r="W46" s="66">
        <v>6.5385289999999996</v>
      </c>
      <c r="X46" s="66">
        <v>6.5412020000000002</v>
      </c>
      <c r="Y46" s="66">
        <v>6.5441659999999997</v>
      </c>
      <c r="Z46" s="66">
        <v>6.5441919999999998</v>
      </c>
      <c r="AA46" s="66">
        <v>6.5416629999999998</v>
      </c>
      <c r="AB46" s="66">
        <v>6.5396289999999997</v>
      </c>
      <c r="AC46" s="66">
        <v>6.5306360000000003</v>
      </c>
      <c r="AD46" s="66">
        <v>6.5318709999999998</v>
      </c>
      <c r="AE46" s="66">
        <v>6.5277070000000004</v>
      </c>
      <c r="AF46" s="67">
        <v>-7.5230000000000002E-3</v>
      </c>
      <c r="AG46" s="37"/>
    </row>
    <row r="47" spans="1:33" ht="12" customHeight="1" x14ac:dyDescent="0.2">
      <c r="A47" s="42" t="s">
        <v>496</v>
      </c>
      <c r="B47" s="65" t="s">
        <v>460</v>
      </c>
      <c r="C47" s="66">
        <v>2.4534539999999998</v>
      </c>
      <c r="D47" s="66">
        <v>2.4584619999999999</v>
      </c>
      <c r="E47" s="66">
        <v>2.5025629999999999</v>
      </c>
      <c r="F47" s="66">
        <v>2.5886840000000002</v>
      </c>
      <c r="G47" s="66">
        <v>2.579723</v>
      </c>
      <c r="H47" s="66">
        <v>2.556826</v>
      </c>
      <c r="I47" s="66">
        <v>2.5153810000000001</v>
      </c>
      <c r="J47" s="66">
        <v>2.4861960000000001</v>
      </c>
      <c r="K47" s="66">
        <v>2.4574240000000001</v>
      </c>
      <c r="L47" s="66">
        <v>2.4364599999999998</v>
      </c>
      <c r="M47" s="66">
        <v>2.4196759999999999</v>
      </c>
      <c r="N47" s="66">
        <v>2.4223810000000001</v>
      </c>
      <c r="O47" s="66">
        <v>2.4264060000000001</v>
      </c>
      <c r="P47" s="66">
        <v>2.4299979999999999</v>
      </c>
      <c r="Q47" s="66">
        <v>2.4353150000000001</v>
      </c>
      <c r="R47" s="66">
        <v>2.4235120000000001</v>
      </c>
      <c r="S47" s="66">
        <v>2.4101499999999998</v>
      </c>
      <c r="T47" s="66">
        <v>2.3862079999999999</v>
      </c>
      <c r="U47" s="66">
        <v>2.381421</v>
      </c>
      <c r="V47" s="66">
        <v>2.3661409999999998</v>
      </c>
      <c r="W47" s="66">
        <v>2.3694090000000001</v>
      </c>
      <c r="X47" s="66">
        <v>2.3626369999999999</v>
      </c>
      <c r="Y47" s="66">
        <v>2.357599</v>
      </c>
      <c r="Z47" s="66">
        <v>2.3544640000000001</v>
      </c>
      <c r="AA47" s="66">
        <v>2.343242</v>
      </c>
      <c r="AB47" s="66">
        <v>2.336414</v>
      </c>
      <c r="AC47" s="66">
        <v>2.3340749999999999</v>
      </c>
      <c r="AD47" s="66">
        <v>2.3209420000000001</v>
      </c>
      <c r="AE47" s="66">
        <v>2.309024</v>
      </c>
      <c r="AF47" s="67">
        <v>-2.1640000000000001E-3</v>
      </c>
      <c r="AG47" s="37"/>
    </row>
    <row r="48" spans="1:33" ht="12" customHeight="1" x14ac:dyDescent="0.2">
      <c r="A48" s="42" t="s">
        <v>497</v>
      </c>
      <c r="B48" s="65" t="s">
        <v>498</v>
      </c>
      <c r="C48" s="66">
        <v>3.086376</v>
      </c>
      <c r="D48" s="66">
        <v>3.2750919999999999</v>
      </c>
      <c r="E48" s="66">
        <v>3.0971489999999999</v>
      </c>
      <c r="F48" s="66">
        <v>3.077337</v>
      </c>
      <c r="G48" s="66">
        <v>3.0571389999999998</v>
      </c>
      <c r="H48" s="66">
        <v>3.0452159999999999</v>
      </c>
      <c r="I48" s="66">
        <v>3.037763</v>
      </c>
      <c r="J48" s="66">
        <v>3.0313680000000001</v>
      </c>
      <c r="K48" s="66">
        <v>3.0259330000000002</v>
      </c>
      <c r="L48" s="66">
        <v>3.0254590000000001</v>
      </c>
      <c r="M48" s="66">
        <v>3.0276860000000001</v>
      </c>
      <c r="N48" s="66">
        <v>3.034011</v>
      </c>
      <c r="O48" s="66">
        <v>3.0408620000000002</v>
      </c>
      <c r="P48" s="66">
        <v>3.0527120000000001</v>
      </c>
      <c r="Q48" s="66">
        <v>3.0502639999999999</v>
      </c>
      <c r="R48" s="66">
        <v>3.0545429999999998</v>
      </c>
      <c r="S48" s="66">
        <v>3.0583879999999999</v>
      </c>
      <c r="T48" s="66">
        <v>3.063898</v>
      </c>
      <c r="U48" s="66">
        <v>3.0734149999999998</v>
      </c>
      <c r="V48" s="66">
        <v>3.0928680000000002</v>
      </c>
      <c r="W48" s="66">
        <v>3.1042909999999999</v>
      </c>
      <c r="X48" s="66">
        <v>3.1158239999999999</v>
      </c>
      <c r="Y48" s="66">
        <v>3.11755</v>
      </c>
      <c r="Z48" s="66">
        <v>3.1225860000000001</v>
      </c>
      <c r="AA48" s="66">
        <v>3.1411410000000002</v>
      </c>
      <c r="AB48" s="66">
        <v>3.1599710000000001</v>
      </c>
      <c r="AC48" s="66">
        <v>3.1829179999999999</v>
      </c>
      <c r="AD48" s="66">
        <v>3.2009940000000001</v>
      </c>
      <c r="AE48" s="66">
        <v>3.21923</v>
      </c>
      <c r="AF48" s="67">
        <v>1.506E-3</v>
      </c>
      <c r="AG48" s="37"/>
    </row>
    <row r="49" spans="1:33" ht="12" customHeight="1" x14ac:dyDescent="0.2">
      <c r="A49" s="42" t="s">
        <v>499</v>
      </c>
      <c r="B49" s="65" t="s">
        <v>464</v>
      </c>
      <c r="C49" s="66">
        <v>5.6228480000000003</v>
      </c>
      <c r="D49" s="66">
        <v>6.1255499999999996</v>
      </c>
      <c r="E49" s="66">
        <v>6.742159</v>
      </c>
      <c r="F49" s="66">
        <v>8.1732440000000004</v>
      </c>
      <c r="G49" s="66">
        <v>9.9076740000000001</v>
      </c>
      <c r="H49" s="66">
        <v>11.653165</v>
      </c>
      <c r="I49" s="66">
        <v>13.154488000000001</v>
      </c>
      <c r="J49" s="66">
        <v>14.209771999999999</v>
      </c>
      <c r="K49" s="66">
        <v>15.128234000000001</v>
      </c>
      <c r="L49" s="66">
        <v>15.78889</v>
      </c>
      <c r="M49" s="66">
        <v>16.442295000000001</v>
      </c>
      <c r="N49" s="66">
        <v>17.189572999999999</v>
      </c>
      <c r="O49" s="66">
        <v>17.791294000000001</v>
      </c>
      <c r="P49" s="66">
        <v>18.262888</v>
      </c>
      <c r="Q49" s="66">
        <v>18.746867999999999</v>
      </c>
      <c r="R49" s="66">
        <v>19.110621999999999</v>
      </c>
      <c r="S49" s="66">
        <v>19.414563999999999</v>
      </c>
      <c r="T49" s="66">
        <v>19.609310000000001</v>
      </c>
      <c r="U49" s="66">
        <v>19.90523</v>
      </c>
      <c r="V49" s="66">
        <v>20.063116000000001</v>
      </c>
      <c r="W49" s="66">
        <v>20.302187</v>
      </c>
      <c r="X49" s="66">
        <v>20.584305000000001</v>
      </c>
      <c r="Y49" s="66">
        <v>20.993839000000001</v>
      </c>
      <c r="Z49" s="66">
        <v>21.370591999999998</v>
      </c>
      <c r="AA49" s="66">
        <v>21.805226999999999</v>
      </c>
      <c r="AB49" s="66">
        <v>22.17202</v>
      </c>
      <c r="AC49" s="66">
        <v>22.539532000000001</v>
      </c>
      <c r="AD49" s="66">
        <v>22.840260000000001</v>
      </c>
      <c r="AE49" s="66">
        <v>23.283978999999999</v>
      </c>
      <c r="AF49" s="67">
        <v>5.2056999999999999E-2</v>
      </c>
      <c r="AG49" s="37"/>
    </row>
    <row r="50" spans="1:33" ht="15" customHeight="1" x14ac:dyDescent="0.2">
      <c r="A50" s="42" t="s">
        <v>500</v>
      </c>
      <c r="B50" s="65" t="s">
        <v>501</v>
      </c>
      <c r="C50" s="66">
        <v>0.271036</v>
      </c>
      <c r="D50" s="66">
        <v>0.29992400000000002</v>
      </c>
      <c r="E50" s="66">
        <v>0.27443299999999998</v>
      </c>
      <c r="F50" s="66">
        <v>0.257492</v>
      </c>
      <c r="G50" s="66">
        <v>0.26146999999999998</v>
      </c>
      <c r="H50" s="66">
        <v>0.27512900000000001</v>
      </c>
      <c r="I50" s="66">
        <v>0.283526</v>
      </c>
      <c r="J50" s="66">
        <v>0.27605499999999999</v>
      </c>
      <c r="K50" s="66">
        <v>0.28388999999999998</v>
      </c>
      <c r="L50" s="66">
        <v>0.27529100000000001</v>
      </c>
      <c r="M50" s="66">
        <v>0.27900999999999998</v>
      </c>
      <c r="N50" s="66">
        <v>0.28079199999999999</v>
      </c>
      <c r="O50" s="66">
        <v>0.28222199999999997</v>
      </c>
      <c r="P50" s="66">
        <v>0.27832400000000002</v>
      </c>
      <c r="Q50" s="66">
        <v>0.27709899999999998</v>
      </c>
      <c r="R50" s="66">
        <v>0.277055</v>
      </c>
      <c r="S50" s="66">
        <v>0.27971200000000002</v>
      </c>
      <c r="T50" s="66">
        <v>0.28193299999999999</v>
      </c>
      <c r="U50" s="66">
        <v>0.28373700000000002</v>
      </c>
      <c r="V50" s="66">
        <v>0.278974</v>
      </c>
      <c r="W50" s="66">
        <v>0.27892800000000001</v>
      </c>
      <c r="X50" s="66">
        <v>0.27663399999999999</v>
      </c>
      <c r="Y50" s="66">
        <v>0.27388499999999999</v>
      </c>
      <c r="Z50" s="66">
        <v>0.27115800000000001</v>
      </c>
      <c r="AA50" s="66">
        <v>0.268038</v>
      </c>
      <c r="AB50" s="66">
        <v>0.26756000000000002</v>
      </c>
      <c r="AC50" s="66">
        <v>0.26897199999999999</v>
      </c>
      <c r="AD50" s="66">
        <v>0.26747799999999999</v>
      </c>
      <c r="AE50" s="66">
        <v>0.26547100000000001</v>
      </c>
      <c r="AF50" s="67">
        <v>-7.4100000000000001E-4</v>
      </c>
      <c r="AG50" s="37"/>
    </row>
    <row r="51" spans="1:33" ht="15" customHeight="1" x14ac:dyDescent="0.2">
      <c r="A51" s="42" t="s">
        <v>502</v>
      </c>
      <c r="B51" s="64" t="s">
        <v>503</v>
      </c>
      <c r="C51" s="68">
        <v>99.193466000000001</v>
      </c>
      <c r="D51" s="68">
        <v>98.343772999999999</v>
      </c>
      <c r="E51" s="68">
        <v>97.558655000000002</v>
      </c>
      <c r="F51" s="68">
        <v>97.753219999999999</v>
      </c>
      <c r="G51" s="68">
        <v>98.015015000000005</v>
      </c>
      <c r="H51" s="68">
        <v>98.078818999999996</v>
      </c>
      <c r="I51" s="68">
        <v>98.133987000000005</v>
      </c>
      <c r="J51" s="68">
        <v>98.055678999999998</v>
      </c>
      <c r="K51" s="68">
        <v>97.956688</v>
      </c>
      <c r="L51" s="68">
        <v>97.999808999999999</v>
      </c>
      <c r="M51" s="68">
        <v>98.312447000000006</v>
      </c>
      <c r="N51" s="68">
        <v>98.465087999999994</v>
      </c>
      <c r="O51" s="68">
        <v>98.819359000000006</v>
      </c>
      <c r="P51" s="68">
        <v>99.128128000000004</v>
      </c>
      <c r="Q51" s="68">
        <v>99.396773999999994</v>
      </c>
      <c r="R51" s="68">
        <v>99.651229999999998</v>
      </c>
      <c r="S51" s="68">
        <v>99.794334000000006</v>
      </c>
      <c r="T51" s="68">
        <v>99.956565999999995</v>
      </c>
      <c r="U51" s="68">
        <v>100.252289</v>
      </c>
      <c r="V51" s="68">
        <v>100.649895</v>
      </c>
      <c r="W51" s="68">
        <v>101.165138</v>
      </c>
      <c r="X51" s="68">
        <v>101.641739</v>
      </c>
      <c r="Y51" s="68">
        <v>102.150665</v>
      </c>
      <c r="Z51" s="68">
        <v>102.69104</v>
      </c>
      <c r="AA51" s="68">
        <v>103.176315</v>
      </c>
      <c r="AB51" s="68">
        <v>103.831924</v>
      </c>
      <c r="AC51" s="68">
        <v>104.485474</v>
      </c>
      <c r="AD51" s="68">
        <v>105.10330999999999</v>
      </c>
      <c r="AE51" s="68">
        <v>105.939369</v>
      </c>
      <c r="AF51" s="69">
        <v>2.3530000000000001E-3</v>
      </c>
      <c r="AG51" s="37"/>
    </row>
    <row r="52" spans="1:33" ht="15" customHeight="1" x14ac:dyDescent="0.2">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row>
    <row r="53" spans="1:33" ht="15" customHeight="1" x14ac:dyDescent="0.2">
      <c r="B53" s="64" t="s">
        <v>562</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row>
    <row r="54" spans="1:33" ht="15" customHeight="1" x14ac:dyDescent="0.2">
      <c r="A54" s="42" t="s">
        <v>505</v>
      </c>
      <c r="B54" s="65" t="s">
        <v>506</v>
      </c>
      <c r="C54" s="70">
        <v>102.129997</v>
      </c>
      <c r="D54" s="70">
        <v>91.544692999999995</v>
      </c>
      <c r="E54" s="70">
        <v>92.531395000000003</v>
      </c>
      <c r="F54" s="70">
        <v>87.048607000000004</v>
      </c>
      <c r="G54" s="70">
        <v>87.882819999999995</v>
      </c>
      <c r="H54" s="70">
        <v>88.306426999999999</v>
      </c>
      <c r="I54" s="70">
        <v>88.879097000000002</v>
      </c>
      <c r="J54" s="70">
        <v>89.470894000000001</v>
      </c>
      <c r="K54" s="70">
        <v>90.163071000000002</v>
      </c>
      <c r="L54" s="70">
        <v>90.724143999999995</v>
      </c>
      <c r="M54" s="70">
        <v>91.546386999999996</v>
      </c>
      <c r="N54" s="70">
        <v>92.007187000000002</v>
      </c>
      <c r="O54" s="70">
        <v>92.694916000000006</v>
      </c>
      <c r="P54" s="70">
        <v>93.552750000000003</v>
      </c>
      <c r="Q54" s="70">
        <v>94.142882999999998</v>
      </c>
      <c r="R54" s="70">
        <v>94.796172999999996</v>
      </c>
      <c r="S54" s="70">
        <v>95.331740999999994</v>
      </c>
      <c r="T54" s="70">
        <v>95.867317</v>
      </c>
      <c r="U54" s="70">
        <v>96.392180999999994</v>
      </c>
      <c r="V54" s="70">
        <v>96.938461000000004</v>
      </c>
      <c r="W54" s="70">
        <v>97.381507999999997</v>
      </c>
      <c r="X54" s="70">
        <v>97.758681999999993</v>
      </c>
      <c r="Y54" s="70">
        <v>98.241776000000002</v>
      </c>
      <c r="Z54" s="70">
        <v>98.596687000000003</v>
      </c>
      <c r="AA54" s="70">
        <v>99.377373000000006</v>
      </c>
      <c r="AB54" s="70">
        <v>99.794150999999999</v>
      </c>
      <c r="AC54" s="70">
        <v>100.384407</v>
      </c>
      <c r="AD54" s="70">
        <v>101.06875599999999</v>
      </c>
      <c r="AE54" s="70">
        <v>101.34071400000001</v>
      </c>
      <c r="AF54" s="67">
        <v>-2.7700000000000001E-4</v>
      </c>
      <c r="AG54" s="37"/>
    </row>
    <row r="55" spans="1:33" ht="15" customHeight="1" x14ac:dyDescent="0.2">
      <c r="A55" s="42" t="s">
        <v>507</v>
      </c>
      <c r="B55" s="65" t="s">
        <v>563</v>
      </c>
      <c r="C55" s="70">
        <v>95.875998999999993</v>
      </c>
      <c r="D55" s="70">
        <v>85.782882999999998</v>
      </c>
      <c r="E55" s="70">
        <v>91.164046999999997</v>
      </c>
      <c r="F55" s="70">
        <v>85.233161999999993</v>
      </c>
      <c r="G55" s="70">
        <v>85.255095999999995</v>
      </c>
      <c r="H55" s="70">
        <v>85.532898000000003</v>
      </c>
      <c r="I55" s="70">
        <v>86.264731999999995</v>
      </c>
      <c r="J55" s="70">
        <v>86.738144000000005</v>
      </c>
      <c r="K55" s="70">
        <v>87.188271</v>
      </c>
      <c r="L55" s="70">
        <v>87.748749000000004</v>
      </c>
      <c r="M55" s="70">
        <v>88.512123000000003</v>
      </c>
      <c r="N55" s="70">
        <v>88.937447000000006</v>
      </c>
      <c r="O55" s="70">
        <v>89.608727000000002</v>
      </c>
      <c r="P55" s="70">
        <v>90.032150000000001</v>
      </c>
      <c r="Q55" s="70">
        <v>90.825806</v>
      </c>
      <c r="R55" s="70">
        <v>91.434028999999995</v>
      </c>
      <c r="S55" s="70">
        <v>91.807198</v>
      </c>
      <c r="T55" s="70">
        <v>92.341896000000006</v>
      </c>
      <c r="U55" s="70">
        <v>92.759917999999999</v>
      </c>
      <c r="V55" s="70">
        <v>93.263626000000002</v>
      </c>
      <c r="W55" s="70">
        <v>93.719948000000002</v>
      </c>
      <c r="X55" s="70">
        <v>94.111892999999995</v>
      </c>
      <c r="Y55" s="70">
        <v>94.517478999999994</v>
      </c>
      <c r="Z55" s="70">
        <v>94.856955999999997</v>
      </c>
      <c r="AA55" s="70">
        <v>95.591453999999999</v>
      </c>
      <c r="AB55" s="70">
        <v>96.024887000000007</v>
      </c>
      <c r="AC55" s="70">
        <v>96.717949000000004</v>
      </c>
      <c r="AD55" s="70">
        <v>97.444785999999993</v>
      </c>
      <c r="AE55" s="70">
        <v>97.681374000000005</v>
      </c>
      <c r="AF55" s="67">
        <v>6.6600000000000003E-4</v>
      </c>
      <c r="AG55" s="37"/>
    </row>
    <row r="56" spans="1:33" ht="15" customHeight="1" x14ac:dyDescent="0.2">
      <c r="A56" s="42" t="s">
        <v>509</v>
      </c>
      <c r="B56" s="65" t="s">
        <v>510</v>
      </c>
      <c r="C56" s="66">
        <v>6.5239969999999996</v>
      </c>
      <c r="D56" s="66">
        <v>5.2663760000000002</v>
      </c>
      <c r="E56" s="66">
        <v>4.072381</v>
      </c>
      <c r="F56" s="66">
        <v>3.4895139999999998</v>
      </c>
      <c r="G56" s="66">
        <v>3.0655079999999999</v>
      </c>
      <c r="H56" s="66">
        <v>2.8530009999999999</v>
      </c>
      <c r="I56" s="66">
        <v>2.7999040000000002</v>
      </c>
      <c r="J56" s="66">
        <v>2.825097</v>
      </c>
      <c r="K56" s="66">
        <v>2.91248</v>
      </c>
      <c r="L56" s="66">
        <v>3.043758</v>
      </c>
      <c r="M56" s="66">
        <v>3.2080039999999999</v>
      </c>
      <c r="N56" s="66">
        <v>3.4169179999999999</v>
      </c>
      <c r="O56" s="66">
        <v>3.5694300000000001</v>
      </c>
      <c r="P56" s="66">
        <v>3.6818240000000002</v>
      </c>
      <c r="Q56" s="66">
        <v>3.6941549999999999</v>
      </c>
      <c r="R56" s="66">
        <v>3.7375959999999999</v>
      </c>
      <c r="S56" s="66">
        <v>3.8665609999999999</v>
      </c>
      <c r="T56" s="66">
        <v>3.78878</v>
      </c>
      <c r="U56" s="66">
        <v>3.9380649999999999</v>
      </c>
      <c r="V56" s="66">
        <v>4.0221549999999997</v>
      </c>
      <c r="W56" s="66">
        <v>4.0147370000000002</v>
      </c>
      <c r="X56" s="66">
        <v>3.9506160000000001</v>
      </c>
      <c r="Y56" s="66">
        <v>3.9137680000000001</v>
      </c>
      <c r="Z56" s="66">
        <v>3.9107059999999998</v>
      </c>
      <c r="AA56" s="66">
        <v>3.9070830000000001</v>
      </c>
      <c r="AB56" s="66">
        <v>3.8707060000000002</v>
      </c>
      <c r="AC56" s="66">
        <v>3.849094</v>
      </c>
      <c r="AD56" s="66">
        <v>3.7838949999999998</v>
      </c>
      <c r="AE56" s="66">
        <v>3.7710149999999998</v>
      </c>
      <c r="AF56" s="67">
        <v>-1.9386E-2</v>
      </c>
      <c r="AG56" s="37"/>
    </row>
    <row r="57" spans="1:33" ht="15" customHeight="1" x14ac:dyDescent="0.2">
      <c r="A57" s="42" t="s">
        <v>511</v>
      </c>
      <c r="B57" s="65" t="s">
        <v>512</v>
      </c>
      <c r="C57" s="71">
        <v>37.847487999999998</v>
      </c>
      <c r="D57" s="71">
        <v>37.282367999999998</v>
      </c>
      <c r="E57" s="71">
        <v>40.075564999999997</v>
      </c>
      <c r="F57" s="71">
        <v>40.780799999999999</v>
      </c>
      <c r="G57" s="71">
        <v>43.636291999999997</v>
      </c>
      <c r="H57" s="71">
        <v>47.361679000000002</v>
      </c>
      <c r="I57" s="71">
        <v>49.855021999999998</v>
      </c>
      <c r="J57" s="71">
        <v>50.434627999999996</v>
      </c>
      <c r="K57" s="71">
        <v>52.797508000000001</v>
      </c>
      <c r="L57" s="71">
        <v>55.776046999999998</v>
      </c>
      <c r="M57" s="71">
        <v>53.310043</v>
      </c>
      <c r="N57" s="71">
        <v>53.457973000000003</v>
      </c>
      <c r="O57" s="71">
        <v>53.443798000000001</v>
      </c>
      <c r="P57" s="71">
        <v>53.327933999999999</v>
      </c>
      <c r="Q57" s="71">
        <v>54.118721000000001</v>
      </c>
      <c r="R57" s="71">
        <v>55.130642000000002</v>
      </c>
      <c r="S57" s="71">
        <v>57.305939000000002</v>
      </c>
      <c r="T57" s="71">
        <v>57.809910000000002</v>
      </c>
      <c r="U57" s="71">
        <v>59.124003999999999</v>
      </c>
      <c r="V57" s="71">
        <v>58.977061999999997</v>
      </c>
      <c r="W57" s="71">
        <v>59.082129999999999</v>
      </c>
      <c r="X57" s="71">
        <v>60.307980000000001</v>
      </c>
      <c r="Y57" s="71">
        <v>61.433601000000003</v>
      </c>
      <c r="Z57" s="71">
        <v>62.543072000000002</v>
      </c>
      <c r="AA57" s="71">
        <v>63.485416000000001</v>
      </c>
      <c r="AB57" s="71">
        <v>63.976109000000001</v>
      </c>
      <c r="AC57" s="71">
        <v>64.145095999999995</v>
      </c>
      <c r="AD57" s="71">
        <v>64.784263999999993</v>
      </c>
      <c r="AE57" s="71">
        <v>65.411857999999995</v>
      </c>
      <c r="AF57" s="67">
        <v>1.9733000000000001E-2</v>
      </c>
      <c r="AG57" s="37"/>
    </row>
    <row r="58" spans="1:33" ht="15" customHeight="1" x14ac:dyDescent="0.2">
      <c r="A58" s="42" t="s">
        <v>513</v>
      </c>
      <c r="B58" s="65" t="s">
        <v>514</v>
      </c>
      <c r="C58" s="66">
        <v>1.8539890000000001</v>
      </c>
      <c r="D58" s="66">
        <v>1.8359920000000001</v>
      </c>
      <c r="E58" s="66">
        <v>1.9490689999999999</v>
      </c>
      <c r="F58" s="66">
        <v>1.9717739999999999</v>
      </c>
      <c r="G58" s="66">
        <v>2.0752959999999998</v>
      </c>
      <c r="H58" s="66">
        <v>2.2083719999999998</v>
      </c>
      <c r="I58" s="66">
        <v>2.3061219999999998</v>
      </c>
      <c r="J58" s="66">
        <v>2.357656</v>
      </c>
      <c r="K58" s="66">
        <v>2.4579559999999998</v>
      </c>
      <c r="L58" s="66">
        <v>2.5936340000000002</v>
      </c>
      <c r="M58" s="66">
        <v>2.4775179999999999</v>
      </c>
      <c r="N58" s="66">
        <v>2.4766789999999999</v>
      </c>
      <c r="O58" s="66">
        <v>2.4868980000000001</v>
      </c>
      <c r="P58" s="66">
        <v>2.4888340000000002</v>
      </c>
      <c r="Q58" s="66">
        <v>2.523628</v>
      </c>
      <c r="R58" s="66">
        <v>2.5752160000000002</v>
      </c>
      <c r="S58" s="66">
        <v>2.63626</v>
      </c>
      <c r="T58" s="66">
        <v>2.6563850000000002</v>
      </c>
      <c r="U58" s="66">
        <v>2.7089910000000001</v>
      </c>
      <c r="V58" s="66">
        <v>2.7087599999999998</v>
      </c>
      <c r="W58" s="66">
        <v>2.7161059999999999</v>
      </c>
      <c r="X58" s="66">
        <v>2.7612809999999999</v>
      </c>
      <c r="Y58" s="66">
        <v>2.8047680000000001</v>
      </c>
      <c r="Z58" s="66">
        <v>2.8470110000000002</v>
      </c>
      <c r="AA58" s="66">
        <v>2.8845800000000001</v>
      </c>
      <c r="AB58" s="66">
        <v>2.9054470000000001</v>
      </c>
      <c r="AC58" s="66">
        <v>2.9184459999999999</v>
      </c>
      <c r="AD58" s="66">
        <v>2.9436810000000002</v>
      </c>
      <c r="AE58" s="66">
        <v>2.9761790000000001</v>
      </c>
      <c r="AF58" s="67">
        <v>1.7047E-2</v>
      </c>
      <c r="AG58" s="37"/>
    </row>
    <row r="59" spans="1:33" ht="15" customHeight="1" x14ac:dyDescent="0.2">
      <c r="A59" s="42" t="s">
        <v>515</v>
      </c>
      <c r="B59" s="65" t="s">
        <v>516</v>
      </c>
      <c r="C59" s="66">
        <v>2.326422</v>
      </c>
      <c r="D59" s="66">
        <v>2.2674699999999999</v>
      </c>
      <c r="E59" s="66">
        <v>2.266108</v>
      </c>
      <c r="F59" s="66">
        <v>2.2712279999999998</v>
      </c>
      <c r="G59" s="66">
        <v>2.2835740000000002</v>
      </c>
      <c r="H59" s="66">
        <v>2.312538</v>
      </c>
      <c r="I59" s="66">
        <v>2.3492929999999999</v>
      </c>
      <c r="J59" s="66">
        <v>2.399381</v>
      </c>
      <c r="K59" s="66">
        <v>2.4461050000000002</v>
      </c>
      <c r="L59" s="66">
        <v>2.4511440000000002</v>
      </c>
      <c r="M59" s="66">
        <v>2.4411139999999998</v>
      </c>
      <c r="N59" s="66">
        <v>2.4258280000000001</v>
      </c>
      <c r="O59" s="66">
        <v>2.4312170000000002</v>
      </c>
      <c r="P59" s="66">
        <v>2.4290120000000002</v>
      </c>
      <c r="Q59" s="66">
        <v>2.432617</v>
      </c>
      <c r="R59" s="66">
        <v>2.450752</v>
      </c>
      <c r="S59" s="66">
        <v>2.4936690000000001</v>
      </c>
      <c r="T59" s="66">
        <v>2.5012650000000001</v>
      </c>
      <c r="U59" s="66">
        <v>2.5190320000000002</v>
      </c>
      <c r="V59" s="66">
        <v>2.5169809999999999</v>
      </c>
      <c r="W59" s="66">
        <v>2.5201069999999999</v>
      </c>
      <c r="X59" s="66">
        <v>2.5293510000000001</v>
      </c>
      <c r="Y59" s="66">
        <v>2.5445700000000002</v>
      </c>
      <c r="Z59" s="66">
        <v>2.5584180000000001</v>
      </c>
      <c r="AA59" s="66">
        <v>2.5769570000000002</v>
      </c>
      <c r="AB59" s="66">
        <v>2.584111</v>
      </c>
      <c r="AC59" s="66">
        <v>2.597035</v>
      </c>
      <c r="AD59" s="66">
        <v>2.6051700000000002</v>
      </c>
      <c r="AE59" s="66">
        <v>2.6310929999999999</v>
      </c>
      <c r="AF59" s="67">
        <v>4.4050000000000001E-3</v>
      </c>
      <c r="AG59" s="37"/>
    </row>
    <row r="60" spans="1:33" ht="15" customHeight="1" x14ac:dyDescent="0.2">
      <c r="A60" s="42" t="s">
        <v>517</v>
      </c>
      <c r="B60" s="65" t="s">
        <v>518</v>
      </c>
      <c r="C60" s="71">
        <v>12.224997999999999</v>
      </c>
      <c r="D60" s="71">
        <v>11.913273</v>
      </c>
      <c r="E60" s="71">
        <v>11.471824</v>
      </c>
      <c r="F60" s="71">
        <v>11.030275</v>
      </c>
      <c r="G60" s="71">
        <v>10.768831</v>
      </c>
      <c r="H60" s="71">
        <v>10.582514</v>
      </c>
      <c r="I60" s="71">
        <v>10.45016</v>
      </c>
      <c r="J60" s="71">
        <v>10.399552</v>
      </c>
      <c r="K60" s="71">
        <v>10.413741999999999</v>
      </c>
      <c r="L60" s="71">
        <v>10.447018999999999</v>
      </c>
      <c r="M60" s="71">
        <v>10.475133</v>
      </c>
      <c r="N60" s="71">
        <v>10.629588999999999</v>
      </c>
      <c r="O60" s="71">
        <v>10.729555</v>
      </c>
      <c r="P60" s="71">
        <v>10.730740000000001</v>
      </c>
      <c r="Q60" s="71">
        <v>10.793545</v>
      </c>
      <c r="R60" s="71">
        <v>10.871433</v>
      </c>
      <c r="S60" s="71">
        <v>10.987963000000001</v>
      </c>
      <c r="T60" s="71">
        <v>11.078531</v>
      </c>
      <c r="U60" s="71">
        <v>11.155383</v>
      </c>
      <c r="V60" s="71">
        <v>11.217563</v>
      </c>
      <c r="W60" s="71">
        <v>11.243109</v>
      </c>
      <c r="X60" s="71">
        <v>11.258493</v>
      </c>
      <c r="Y60" s="71">
        <v>11.271253</v>
      </c>
      <c r="Z60" s="71">
        <v>11.281693000000001</v>
      </c>
      <c r="AA60" s="71">
        <v>11.247436</v>
      </c>
      <c r="AB60" s="71">
        <v>11.196383000000001</v>
      </c>
      <c r="AC60" s="71">
        <v>11.178801</v>
      </c>
      <c r="AD60" s="71">
        <v>11.117008</v>
      </c>
      <c r="AE60" s="71">
        <v>11.024077999999999</v>
      </c>
      <c r="AF60" s="67">
        <v>-3.686E-3</v>
      </c>
      <c r="AG60" s="37"/>
    </row>
    <row r="61" spans="1:33" ht="15" customHeight="1" x14ac:dyDescent="0.2">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row>
    <row r="62" spans="1:33" ht="15" customHeight="1" x14ac:dyDescent="0.2">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row>
    <row r="63" spans="1:33" ht="15" customHeight="1" x14ac:dyDescent="0.2">
      <c r="B63" s="64" t="s">
        <v>519</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row>
    <row r="64" spans="1:33" ht="15" customHeight="1" x14ac:dyDescent="0.2">
      <c r="A64" s="42" t="s">
        <v>520</v>
      </c>
      <c r="B64" s="65" t="s">
        <v>506</v>
      </c>
      <c r="C64" s="70">
        <v>102.129997</v>
      </c>
      <c r="D64" s="70">
        <v>95.329002000000003</v>
      </c>
      <c r="E64" s="70">
        <v>98.708404999999999</v>
      </c>
      <c r="F64" s="70">
        <v>94.878890999999996</v>
      </c>
      <c r="G64" s="70">
        <v>97.830475000000007</v>
      </c>
      <c r="H64" s="70">
        <v>100.425552</v>
      </c>
      <c r="I64" s="70">
        <v>103.260544</v>
      </c>
      <c r="J64" s="70">
        <v>106.227829</v>
      </c>
      <c r="K64" s="70">
        <v>109.43918600000001</v>
      </c>
      <c r="L64" s="70">
        <v>112.639786</v>
      </c>
      <c r="M64" s="70">
        <v>116.265869</v>
      </c>
      <c r="N64" s="70">
        <v>119.61837800000001</v>
      </c>
      <c r="O64" s="70">
        <v>123.399551</v>
      </c>
      <c r="P64" s="70">
        <v>127.457848</v>
      </c>
      <c r="Q64" s="70">
        <v>131.21597299999999</v>
      </c>
      <c r="R64" s="70">
        <v>135.083923</v>
      </c>
      <c r="S64" s="70">
        <v>138.85072299999999</v>
      </c>
      <c r="T64" s="70">
        <v>142.69729599999999</v>
      </c>
      <c r="U64" s="70">
        <v>146.67823799999999</v>
      </c>
      <c r="V64" s="70">
        <v>150.81691000000001</v>
      </c>
      <c r="W64" s="70">
        <v>154.928268</v>
      </c>
      <c r="X64" s="70">
        <v>159.09347500000001</v>
      </c>
      <c r="Y64" s="70">
        <v>163.57148699999999</v>
      </c>
      <c r="Z64" s="70">
        <v>167.987595</v>
      </c>
      <c r="AA64" s="70">
        <v>173.312363</v>
      </c>
      <c r="AB64" s="70">
        <v>178.174057</v>
      </c>
      <c r="AC64" s="70">
        <v>183.52430699999999</v>
      </c>
      <c r="AD64" s="70">
        <v>189.210342</v>
      </c>
      <c r="AE64" s="70">
        <v>194.299271</v>
      </c>
      <c r="AF64" s="67">
        <v>2.3236E-2</v>
      </c>
      <c r="AG64" s="37"/>
    </row>
    <row r="65" spans="1:34" ht="15" customHeight="1" x14ac:dyDescent="0.2">
      <c r="A65" s="42" t="s">
        <v>521</v>
      </c>
      <c r="B65" s="65" t="s">
        <v>563</v>
      </c>
      <c r="C65" s="70">
        <v>95.875998999999993</v>
      </c>
      <c r="D65" s="70">
        <v>89.329002000000003</v>
      </c>
      <c r="E65" s="70">
        <v>97.249779000000004</v>
      </c>
      <c r="F65" s="70">
        <v>92.900146000000007</v>
      </c>
      <c r="G65" s="70">
        <v>94.905304000000001</v>
      </c>
      <c r="H65" s="70">
        <v>97.271384999999995</v>
      </c>
      <c r="I65" s="70">
        <v>100.22315999999999</v>
      </c>
      <c r="J65" s="70">
        <v>102.98326900000001</v>
      </c>
      <c r="K65" s="70">
        <v>105.828407</v>
      </c>
      <c r="L65" s="70">
        <v>108.94564099999999</v>
      </c>
      <c r="M65" s="70">
        <v>112.41229199999999</v>
      </c>
      <c r="N65" s="70">
        <v>115.627411</v>
      </c>
      <c r="O65" s="70">
        <v>119.291077</v>
      </c>
      <c r="P65" s="70">
        <v>122.66132399999999</v>
      </c>
      <c r="Q65" s="70">
        <v>126.59264400000001</v>
      </c>
      <c r="R65" s="70">
        <v>130.29289199999999</v>
      </c>
      <c r="S65" s="70">
        <v>133.71722399999999</v>
      </c>
      <c r="T65" s="70">
        <v>137.44975299999999</v>
      </c>
      <c r="U65" s="70">
        <v>141.151093</v>
      </c>
      <c r="V65" s="70">
        <v>145.09960899999999</v>
      </c>
      <c r="W65" s="70">
        <v>149.102936</v>
      </c>
      <c r="X65" s="70">
        <v>153.158661</v>
      </c>
      <c r="Y65" s="70">
        <v>157.370575</v>
      </c>
      <c r="Z65" s="70">
        <v>161.615891</v>
      </c>
      <c r="AA65" s="70">
        <v>166.70979299999999</v>
      </c>
      <c r="AB65" s="70">
        <v>171.44435100000001</v>
      </c>
      <c r="AC65" s="70">
        <v>176.82122799999999</v>
      </c>
      <c r="AD65" s="70">
        <v>182.42593400000001</v>
      </c>
      <c r="AE65" s="70">
        <v>187.283264</v>
      </c>
      <c r="AF65" s="67">
        <v>2.4201E-2</v>
      </c>
      <c r="AG65" s="37"/>
    </row>
    <row r="66" spans="1:34" ht="12" customHeight="1" x14ac:dyDescent="0.2">
      <c r="A66" s="42" t="s">
        <v>522</v>
      </c>
      <c r="B66" s="65" t="s">
        <v>510</v>
      </c>
      <c r="C66" s="66">
        <v>6.5239969999999996</v>
      </c>
      <c r="D66" s="66">
        <v>5.4840799999999996</v>
      </c>
      <c r="E66" s="66">
        <v>4.3442369999999997</v>
      </c>
      <c r="F66" s="66">
        <v>3.8034059999999998</v>
      </c>
      <c r="G66" s="66">
        <v>3.4125000000000001</v>
      </c>
      <c r="H66" s="66">
        <v>3.244545</v>
      </c>
      <c r="I66" s="66">
        <v>3.252955</v>
      </c>
      <c r="J66" s="66">
        <v>3.3542079999999999</v>
      </c>
      <c r="K66" s="66">
        <v>3.5351439999999998</v>
      </c>
      <c r="L66" s="66">
        <v>3.7790189999999999</v>
      </c>
      <c r="M66" s="66">
        <v>4.0742339999999997</v>
      </c>
      <c r="N66" s="66">
        <v>4.442329</v>
      </c>
      <c r="O66" s="66">
        <v>4.7517820000000004</v>
      </c>
      <c r="P66" s="66">
        <v>5.0161790000000002</v>
      </c>
      <c r="Q66" s="66">
        <v>5.148898</v>
      </c>
      <c r="R66" s="66">
        <v>5.3260490000000003</v>
      </c>
      <c r="S66" s="66">
        <v>5.6316480000000002</v>
      </c>
      <c r="T66" s="66">
        <v>5.6395520000000001</v>
      </c>
      <c r="U66" s="66">
        <v>5.992483</v>
      </c>
      <c r="V66" s="66">
        <v>6.2576710000000002</v>
      </c>
      <c r="W66" s="66">
        <v>6.3872109999999997</v>
      </c>
      <c r="X66" s="66">
        <v>6.4292730000000002</v>
      </c>
      <c r="Y66" s="66">
        <v>6.516381</v>
      </c>
      <c r="Z66" s="66">
        <v>6.6630039999999999</v>
      </c>
      <c r="AA66" s="66">
        <v>6.8138820000000004</v>
      </c>
      <c r="AB66" s="66">
        <v>6.910819</v>
      </c>
      <c r="AC66" s="66">
        <v>7.0369719999999996</v>
      </c>
      <c r="AD66" s="66">
        <v>7.083812</v>
      </c>
      <c r="AE66" s="66">
        <v>7.230118</v>
      </c>
      <c r="AF66" s="67">
        <v>3.6770000000000001E-3</v>
      </c>
      <c r="AG66" s="37"/>
    </row>
    <row r="67" spans="1:34" ht="15" customHeight="1" x14ac:dyDescent="0.2">
      <c r="A67" s="42" t="s">
        <v>523</v>
      </c>
      <c r="B67" s="65" t="s">
        <v>512</v>
      </c>
      <c r="C67" s="71">
        <v>37.847487999999998</v>
      </c>
      <c r="D67" s="71">
        <v>38.823559000000003</v>
      </c>
      <c r="E67" s="71">
        <v>42.750843000000003</v>
      </c>
      <c r="F67" s="71">
        <v>44.449157999999997</v>
      </c>
      <c r="G67" s="71">
        <v>48.575581</v>
      </c>
      <c r="H67" s="71">
        <v>53.861572000000002</v>
      </c>
      <c r="I67" s="71">
        <v>57.922020000000003</v>
      </c>
      <c r="J67" s="71">
        <v>59.880493000000001</v>
      </c>
      <c r="K67" s="71">
        <v>64.085182000000003</v>
      </c>
      <c r="L67" s="71">
        <v>69.249504000000002</v>
      </c>
      <c r="M67" s="71">
        <v>67.704903000000002</v>
      </c>
      <c r="N67" s="71">
        <v>69.500609999999995</v>
      </c>
      <c r="O67" s="71">
        <v>71.146736000000004</v>
      </c>
      <c r="P67" s="71">
        <v>72.654883999999996</v>
      </c>
      <c r="Q67" s="71">
        <v>75.430458000000002</v>
      </c>
      <c r="R67" s="71">
        <v>78.560805999999999</v>
      </c>
      <c r="S67" s="71">
        <v>83.466125000000005</v>
      </c>
      <c r="T67" s="71">
        <v>86.049323999999999</v>
      </c>
      <c r="U67" s="71">
        <v>89.967934</v>
      </c>
      <c r="V67" s="71">
        <v>91.756546</v>
      </c>
      <c r="W67" s="71">
        <v>93.996200999999999</v>
      </c>
      <c r="X67" s="71">
        <v>98.145827999999995</v>
      </c>
      <c r="Y67" s="71">
        <v>102.286278</v>
      </c>
      <c r="Z67" s="71">
        <v>106.55997499999999</v>
      </c>
      <c r="AA67" s="71">
        <v>110.71742999999999</v>
      </c>
      <c r="AB67" s="71">
        <v>114.22395299999999</v>
      </c>
      <c r="AC67" s="71">
        <v>117.27104199999999</v>
      </c>
      <c r="AD67" s="71">
        <v>121.28231</v>
      </c>
      <c r="AE67" s="71">
        <v>125.41332199999999</v>
      </c>
      <c r="AF67" s="67">
        <v>4.3715999999999998E-2</v>
      </c>
      <c r="AG67" s="37"/>
    </row>
    <row r="68" spans="1:34" ht="15" customHeight="1" x14ac:dyDescent="0.2">
      <c r="A68" s="42" t="s">
        <v>524</v>
      </c>
      <c r="B68" s="65" t="s">
        <v>514</v>
      </c>
      <c r="C68" s="66">
        <v>1.8539890000000001</v>
      </c>
      <c r="D68" s="66">
        <v>1.9118889999999999</v>
      </c>
      <c r="E68" s="66">
        <v>2.0791810000000002</v>
      </c>
      <c r="F68" s="66">
        <v>2.1491419999999999</v>
      </c>
      <c r="G68" s="66">
        <v>2.3102040000000001</v>
      </c>
      <c r="H68" s="66">
        <v>2.5114480000000001</v>
      </c>
      <c r="I68" s="66">
        <v>2.6792729999999998</v>
      </c>
      <c r="J68" s="66">
        <v>2.7992189999999999</v>
      </c>
      <c r="K68" s="66">
        <v>2.9834459999999998</v>
      </c>
      <c r="L68" s="66">
        <v>3.2201610000000001</v>
      </c>
      <c r="M68" s="66">
        <v>3.1465010000000002</v>
      </c>
      <c r="N68" s="66">
        <v>3.2199260000000001</v>
      </c>
      <c r="O68" s="66">
        <v>3.3106680000000002</v>
      </c>
      <c r="P68" s="66">
        <v>3.3908299999999998</v>
      </c>
      <c r="Q68" s="66">
        <v>3.517423</v>
      </c>
      <c r="R68" s="66">
        <v>3.6696659999999999</v>
      </c>
      <c r="S68" s="66">
        <v>3.839715</v>
      </c>
      <c r="T68" s="66">
        <v>3.9539949999999999</v>
      </c>
      <c r="U68" s="66">
        <v>4.1222219999999998</v>
      </c>
      <c r="V68" s="66">
        <v>4.2142900000000001</v>
      </c>
      <c r="W68" s="66">
        <v>4.3211649999999997</v>
      </c>
      <c r="X68" s="66">
        <v>4.4937379999999996</v>
      </c>
      <c r="Y68" s="66">
        <v>4.6699089999999996</v>
      </c>
      <c r="Z68" s="66">
        <v>4.8506960000000001</v>
      </c>
      <c r="AA68" s="66">
        <v>5.0306550000000003</v>
      </c>
      <c r="AB68" s="66">
        <v>5.1874320000000003</v>
      </c>
      <c r="AC68" s="66">
        <v>5.335547</v>
      </c>
      <c r="AD68" s="66">
        <v>5.5108499999999996</v>
      </c>
      <c r="AE68" s="66">
        <v>5.7061900000000003</v>
      </c>
      <c r="AF68" s="67">
        <v>4.0967000000000003E-2</v>
      </c>
      <c r="AG68" s="37"/>
    </row>
    <row r="69" spans="1:34" ht="15" customHeight="1" x14ac:dyDescent="0.2">
      <c r="A69" s="42" t="s">
        <v>525</v>
      </c>
      <c r="B69" s="65" t="s">
        <v>516</v>
      </c>
      <c r="C69" s="66">
        <v>2.326422</v>
      </c>
      <c r="D69" s="66">
        <v>2.3612030000000002</v>
      </c>
      <c r="E69" s="66">
        <v>2.4173830000000001</v>
      </c>
      <c r="F69" s="66">
        <v>2.4755319999999998</v>
      </c>
      <c r="G69" s="66">
        <v>2.5420569999999998</v>
      </c>
      <c r="H69" s="66">
        <v>2.6299100000000002</v>
      </c>
      <c r="I69" s="66">
        <v>2.7294299999999998</v>
      </c>
      <c r="J69" s="66">
        <v>2.8487589999999998</v>
      </c>
      <c r="K69" s="66">
        <v>2.9690620000000001</v>
      </c>
      <c r="L69" s="66">
        <v>3.0432510000000002</v>
      </c>
      <c r="M69" s="66">
        <v>3.1002670000000001</v>
      </c>
      <c r="N69" s="66">
        <v>3.1538149999999998</v>
      </c>
      <c r="O69" s="66">
        <v>3.2365430000000002</v>
      </c>
      <c r="P69" s="66">
        <v>3.3093279999999998</v>
      </c>
      <c r="Q69" s="66">
        <v>3.3905720000000001</v>
      </c>
      <c r="R69" s="66">
        <v>3.4923060000000001</v>
      </c>
      <c r="S69" s="66">
        <v>3.6320299999999999</v>
      </c>
      <c r="T69" s="66">
        <v>3.7231019999999999</v>
      </c>
      <c r="U69" s="66">
        <v>3.8331659999999999</v>
      </c>
      <c r="V69" s="66">
        <v>3.915921</v>
      </c>
      <c r="W69" s="66">
        <v>4.0093420000000002</v>
      </c>
      <c r="X69" s="66">
        <v>4.1162910000000004</v>
      </c>
      <c r="Y69" s="66">
        <v>4.2366820000000001</v>
      </c>
      <c r="Z69" s="66">
        <v>4.3589950000000002</v>
      </c>
      <c r="AA69" s="66">
        <v>4.4941659999999999</v>
      </c>
      <c r="AB69" s="66">
        <v>4.6137129999999997</v>
      </c>
      <c r="AC69" s="66">
        <v>4.7479399999999998</v>
      </c>
      <c r="AD69" s="66">
        <v>4.8771259999999996</v>
      </c>
      <c r="AE69" s="66">
        <v>5.044562</v>
      </c>
      <c r="AF69" s="67">
        <v>2.8028000000000001E-2</v>
      </c>
      <c r="AG69" s="37"/>
    </row>
    <row r="70" spans="1:34" ht="15" customHeight="1" x14ac:dyDescent="0.2">
      <c r="A70" s="42" t="s">
        <v>526</v>
      </c>
      <c r="B70" s="65" t="s">
        <v>518</v>
      </c>
      <c r="C70" s="71">
        <v>12.224997999999999</v>
      </c>
      <c r="D70" s="71">
        <v>12.405747</v>
      </c>
      <c r="E70" s="71">
        <v>12.237636</v>
      </c>
      <c r="F70" s="71">
        <v>12.022482999999999</v>
      </c>
      <c r="G70" s="71">
        <v>11.987779</v>
      </c>
      <c r="H70" s="71">
        <v>12.034852000000001</v>
      </c>
      <c r="I70" s="71">
        <v>12.141092</v>
      </c>
      <c r="J70" s="71">
        <v>12.347277</v>
      </c>
      <c r="K70" s="71">
        <v>12.640115</v>
      </c>
      <c r="L70" s="71">
        <v>12.970637</v>
      </c>
      <c r="M70" s="71">
        <v>13.303642999999999</v>
      </c>
      <c r="N70" s="71">
        <v>13.819509999999999</v>
      </c>
      <c r="O70" s="71">
        <v>14.283655</v>
      </c>
      <c r="P70" s="71">
        <v>14.619742</v>
      </c>
      <c r="Q70" s="71">
        <v>15.044</v>
      </c>
      <c r="R70" s="71">
        <v>15.491720000000001</v>
      </c>
      <c r="S70" s="71">
        <v>16.003972999999998</v>
      </c>
      <c r="T70" s="71">
        <v>16.490255000000001</v>
      </c>
      <c r="U70" s="71">
        <v>16.974945000000002</v>
      </c>
      <c r="V70" s="71">
        <v>17.452290999999999</v>
      </c>
      <c r="W70" s="71">
        <v>17.887127</v>
      </c>
      <c r="X70" s="71">
        <v>18.322187</v>
      </c>
      <c r="Y70" s="71">
        <v>18.766511999999999</v>
      </c>
      <c r="Z70" s="71">
        <v>19.221584</v>
      </c>
      <c r="AA70" s="71">
        <v>19.615328000000002</v>
      </c>
      <c r="AB70" s="71">
        <v>19.990197999999999</v>
      </c>
      <c r="AC70" s="71">
        <v>20.437253999999999</v>
      </c>
      <c r="AD70" s="71">
        <v>20.812099</v>
      </c>
      <c r="AE70" s="71">
        <v>21.136326</v>
      </c>
      <c r="AF70" s="67">
        <v>1.9746E-2</v>
      </c>
      <c r="AG70" s="37"/>
    </row>
    <row r="71" spans="1:34" ht="15" customHeight="1" thickBot="1" x14ac:dyDescent="0.25">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row>
    <row r="72" spans="1:34" ht="15" customHeight="1" x14ac:dyDescent="0.2">
      <c r="B72" s="58" t="s">
        <v>527</v>
      </c>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row>
    <row r="73" spans="1:34" ht="12" customHeight="1" x14ac:dyDescent="0.2">
      <c r="B73" s="37" t="s">
        <v>564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row>
    <row r="74" spans="1:34" ht="15" customHeight="1" x14ac:dyDescent="0.2">
      <c r="B74" s="37" t="s">
        <v>529</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row>
    <row r="75" spans="1:34" ht="15" customHeight="1" x14ac:dyDescent="0.2">
      <c r="B75" s="37" t="s">
        <v>565</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row>
    <row r="76" spans="1:34" ht="15" customHeight="1" x14ac:dyDescent="0.2">
      <c r="B76" s="37" t="s">
        <v>566</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row>
    <row r="77" spans="1:34" ht="15" customHeight="1" x14ac:dyDescent="0.2">
      <c r="B77" s="37" t="s">
        <v>532</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row>
    <row r="78" spans="1:34" ht="15" customHeight="1" x14ac:dyDescent="0.2">
      <c r="B78" s="37" t="s">
        <v>567</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row>
    <row r="79" spans="1:34" ht="12" customHeight="1" x14ac:dyDescent="0.2">
      <c r="B79" s="37" t="s">
        <v>534</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row>
    <row r="80" spans="1:34" ht="15" customHeight="1" x14ac:dyDescent="0.2">
      <c r="B80" s="37" t="s">
        <v>535</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row>
    <row r="81" spans="2:33" ht="12" customHeight="1" x14ac:dyDescent="0.2">
      <c r="B81" s="37" t="s">
        <v>536</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row>
    <row r="82" spans="2:33" ht="15" customHeight="1" x14ac:dyDescent="0.2">
      <c r="B82" s="37" t="s">
        <v>568</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row>
    <row r="83" spans="2:33" ht="15" customHeight="1" x14ac:dyDescent="0.2">
      <c r="B83" s="37" t="s">
        <v>538</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row>
    <row r="84" spans="2:33" ht="15" customHeight="1" x14ac:dyDescent="0.2">
      <c r="B84" s="37" t="s">
        <v>539</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row>
    <row r="85" spans="2:33" ht="15" customHeight="1" x14ac:dyDescent="0.2">
      <c r="B85" s="37" t="s">
        <v>540</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row>
    <row r="86" spans="2:33" ht="15" customHeight="1" x14ac:dyDescent="0.2">
      <c r="B86" s="37" t="s">
        <v>541</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row>
    <row r="87" spans="2:33" ht="15" customHeight="1" x14ac:dyDescent="0.2">
      <c r="B87" s="37" t="s">
        <v>542</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row>
    <row r="88" spans="2:33" ht="15" customHeight="1" x14ac:dyDescent="0.2">
      <c r="B88" s="37" t="s">
        <v>543</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row>
    <row r="89" spans="2:33" ht="15" customHeight="1" x14ac:dyDescent="0.2">
      <c r="B89" s="37" t="s">
        <v>569</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row>
    <row r="90" spans="2:33" ht="15" customHeight="1" x14ac:dyDescent="0.2">
      <c r="B90" s="37" t="s">
        <v>545</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row>
    <row r="91" spans="2:33" ht="15" customHeight="1" x14ac:dyDescent="0.2">
      <c r="B91" s="37" t="s">
        <v>546</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row>
    <row r="92" spans="2:33" ht="12" customHeight="1" x14ac:dyDescent="0.2">
      <c r="B92" s="37" t="s">
        <v>547</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row>
    <row r="93" spans="2:33" ht="15" customHeight="1" x14ac:dyDescent="0.2">
      <c r="B93" s="37" t="s">
        <v>548</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row>
    <row r="94" spans="2:33" ht="15" customHeight="1" x14ac:dyDescent="0.2">
      <c r="B94" s="37" t="s">
        <v>549</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row>
    <row r="95" spans="2:33" ht="15" customHeight="1" x14ac:dyDescent="0.2">
      <c r="B95" s="37" t="s">
        <v>550</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row>
    <row r="96" spans="2:33" ht="15" customHeight="1" x14ac:dyDescent="0.2">
      <c r="B96" s="37" t="s">
        <v>551</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row>
    <row r="97" spans="2:33" ht="15" customHeight="1" x14ac:dyDescent="0.2">
      <c r="B97" s="37" t="s">
        <v>552</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row>
    <row r="98" spans="2:33" ht="15" customHeight="1" x14ac:dyDescent="0.2">
      <c r="B98" s="37" t="s">
        <v>553</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row>
    <row r="99" spans="2:33" ht="15" customHeight="1" x14ac:dyDescent="0.2">
      <c r="B99" s="37" t="s">
        <v>570</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row>
    <row r="100" spans="2:33" ht="15" customHeight="1" x14ac:dyDescent="0.2">
      <c r="B100" s="37" t="s">
        <v>571</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row>
    <row r="101" spans="2:33" ht="12" customHeight="1" x14ac:dyDescent="0.2">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row>
    <row r="102" spans="2:33" ht="12" customHeight="1" x14ac:dyDescent="0.2">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row>
    <row r="103" spans="2:33" ht="15" customHeight="1" x14ac:dyDescent="0.2">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row>
    <row r="104" spans="2:33" ht="15" customHeight="1" x14ac:dyDescent="0.2">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row>
    <row r="105" spans="2:33" ht="15" customHeight="1" x14ac:dyDescent="0.2">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row>
    <row r="106" spans="2:33" ht="15" customHeight="1" x14ac:dyDescent="0.2">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row>
    <row r="107" spans="2:33" ht="15" customHeight="1" x14ac:dyDescent="0.2">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row>
    <row r="108" spans="2:33" ht="15" customHeight="1" x14ac:dyDescent="0.2">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row>
    <row r="109" spans="2:33" ht="15" customHeight="1" x14ac:dyDescent="0.2">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54"/>
  <sheetViews>
    <sheetView zoomScale="90" zoomScaleNormal="90" workbookViewId="0">
      <selection activeCell="A7" sqref="A7:XFD9"/>
    </sheetView>
  </sheetViews>
  <sheetFormatPr defaultRowHeight="15" x14ac:dyDescent="0.25"/>
  <cols>
    <col min="1" max="1" width="18.7109375" customWidth="1"/>
    <col min="2" max="2" width="54.85546875" customWidth="1"/>
  </cols>
  <sheetData>
    <row r="1" spans="1:33" x14ac:dyDescent="0.25">
      <c r="A1" t="s">
        <v>572</v>
      </c>
    </row>
    <row r="2" spans="1:33" x14ac:dyDescent="0.25">
      <c r="A2" t="s">
        <v>573</v>
      </c>
    </row>
    <row r="3" spans="1:33" x14ac:dyDescent="0.25">
      <c r="A3" t="s">
        <v>574</v>
      </c>
    </row>
    <row r="4" spans="1:33" x14ac:dyDescent="0.25">
      <c r="A4" t="s">
        <v>575</v>
      </c>
    </row>
    <row r="5" spans="1:33" x14ac:dyDescent="0.25">
      <c r="B5" t="s">
        <v>576</v>
      </c>
      <c r="C5" t="s">
        <v>577</v>
      </c>
      <c r="D5" t="s">
        <v>578</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579</v>
      </c>
    </row>
    <row r="6" spans="1:33" x14ac:dyDescent="0.25">
      <c r="A6" t="s">
        <v>448</v>
      </c>
    </row>
    <row r="7" spans="1:33" s="343" customFormat="1" x14ac:dyDescent="0.25">
      <c r="A7" s="343" t="s">
        <v>580</v>
      </c>
      <c r="B7" s="343" t="s">
        <v>581</v>
      </c>
      <c r="C7" s="343" t="s">
        <v>582</v>
      </c>
      <c r="D7" s="343" t="s">
        <v>583</v>
      </c>
      <c r="F7" s="343">
        <v>27.464071000000001</v>
      </c>
      <c r="G7" s="343">
        <v>28.262267999999999</v>
      </c>
      <c r="H7" s="343">
        <v>28.541277000000001</v>
      </c>
      <c r="I7" s="343">
        <v>28.920041999999999</v>
      </c>
      <c r="J7" s="343">
        <v>28.912859000000001</v>
      </c>
      <c r="K7" s="343">
        <v>28.885859</v>
      </c>
      <c r="L7" s="343">
        <v>28.679307999999999</v>
      </c>
      <c r="M7" s="343">
        <v>28.304096000000001</v>
      </c>
      <c r="N7" s="343">
        <v>27.836265999999998</v>
      </c>
      <c r="O7" s="343">
        <v>27.619070000000001</v>
      </c>
      <c r="P7" s="343">
        <v>27.394928</v>
      </c>
      <c r="Q7" s="343">
        <v>26.821155999999998</v>
      </c>
      <c r="R7" s="343">
        <v>26.303025999999999</v>
      </c>
      <c r="S7" s="343">
        <v>25.84412</v>
      </c>
      <c r="T7" s="343">
        <v>25.384385999999999</v>
      </c>
      <c r="U7" s="343">
        <v>25.005167</v>
      </c>
      <c r="V7" s="343">
        <v>24.713476</v>
      </c>
      <c r="W7" s="343">
        <v>24.388079000000001</v>
      </c>
      <c r="X7" s="343">
        <v>24.236376</v>
      </c>
      <c r="Y7" s="343">
        <v>23.936176</v>
      </c>
      <c r="Z7" s="343">
        <v>23.837074000000001</v>
      </c>
      <c r="AA7" s="343">
        <v>23.875831999999999</v>
      </c>
      <c r="AB7" s="343">
        <v>23.736609000000001</v>
      </c>
      <c r="AC7" s="343">
        <v>23.543897999999999</v>
      </c>
      <c r="AD7" s="343">
        <v>23.332934999999999</v>
      </c>
      <c r="AE7" s="343">
        <v>23.274857999999998</v>
      </c>
      <c r="AF7" s="343">
        <v>23.169499999999999</v>
      </c>
      <c r="AG7" s="344">
        <v>-7.0000000000000001E-3</v>
      </c>
    </row>
    <row r="8" spans="1:33" s="343" customFormat="1" x14ac:dyDescent="0.25">
      <c r="A8" s="343" t="s">
        <v>584</v>
      </c>
      <c r="B8" s="343" t="s">
        <v>585</v>
      </c>
      <c r="C8" s="343" t="s">
        <v>586</v>
      </c>
      <c r="D8" s="343" t="s">
        <v>583</v>
      </c>
      <c r="F8" s="343">
        <v>8.9447690000000009</v>
      </c>
      <c r="G8" s="343">
        <v>9.0518099999999997</v>
      </c>
      <c r="H8" s="343">
        <v>9.6017100000000006</v>
      </c>
      <c r="I8" s="343">
        <v>9.8761779999999995</v>
      </c>
      <c r="J8" s="343">
        <v>9.8714150000000007</v>
      </c>
      <c r="K8" s="343">
        <v>9.9262230000000002</v>
      </c>
      <c r="L8" s="343">
        <v>10.00989</v>
      </c>
      <c r="M8" s="343">
        <v>9.8951499999999992</v>
      </c>
      <c r="N8" s="343">
        <v>9.9907350000000008</v>
      </c>
      <c r="O8" s="343">
        <v>10.111236999999999</v>
      </c>
      <c r="P8" s="343">
        <v>10.230657000000001</v>
      </c>
      <c r="Q8" s="343">
        <v>10.516375</v>
      </c>
      <c r="R8" s="343">
        <v>10.493036999999999</v>
      </c>
      <c r="S8" s="343">
        <v>10.495532000000001</v>
      </c>
      <c r="T8" s="343">
        <v>10.641144000000001</v>
      </c>
      <c r="U8" s="343">
        <v>10.687873</v>
      </c>
      <c r="V8" s="343">
        <v>10.727968000000001</v>
      </c>
      <c r="W8" s="343">
        <v>10.720901</v>
      </c>
      <c r="X8" s="343">
        <v>10.776078999999999</v>
      </c>
      <c r="Y8" s="343">
        <v>10.805953000000001</v>
      </c>
      <c r="Z8" s="343">
        <v>10.850080999999999</v>
      </c>
      <c r="AA8" s="343">
        <v>10.89747</v>
      </c>
      <c r="AB8" s="343">
        <v>10.976542</v>
      </c>
      <c r="AC8" s="343">
        <v>11.038014</v>
      </c>
      <c r="AD8" s="343">
        <v>11.041052000000001</v>
      </c>
      <c r="AE8" s="343">
        <v>11.063836</v>
      </c>
      <c r="AF8" s="343">
        <v>11.13463</v>
      </c>
      <c r="AG8" s="344">
        <v>8.0000000000000002E-3</v>
      </c>
    </row>
    <row r="9" spans="1:33" s="343" customFormat="1" x14ac:dyDescent="0.25">
      <c r="A9" s="343" t="s">
        <v>587</v>
      </c>
      <c r="B9" s="343" t="s">
        <v>588</v>
      </c>
      <c r="C9" s="343" t="s">
        <v>589</v>
      </c>
      <c r="D9" s="343" t="s">
        <v>583</v>
      </c>
      <c r="F9" s="343">
        <v>39.777957999999998</v>
      </c>
      <c r="G9" s="343">
        <v>39.964314000000002</v>
      </c>
      <c r="H9" s="343">
        <v>40.376175000000003</v>
      </c>
      <c r="I9" s="343">
        <v>40.612423</v>
      </c>
      <c r="J9" s="343">
        <v>41.816150999999998</v>
      </c>
      <c r="K9" s="343">
        <v>42.651702999999998</v>
      </c>
      <c r="L9" s="343">
        <v>43.563282000000001</v>
      </c>
      <c r="M9" s="343">
        <v>43.656241999999999</v>
      </c>
      <c r="N9" s="343">
        <v>45.521186999999998</v>
      </c>
      <c r="O9" s="343">
        <v>45.501274000000002</v>
      </c>
      <c r="P9" s="343">
        <v>45.491351999999999</v>
      </c>
      <c r="Q9" s="343">
        <v>45.081741000000001</v>
      </c>
      <c r="R9" s="343">
        <v>44.722285999999997</v>
      </c>
      <c r="S9" s="343">
        <v>44.078887999999999</v>
      </c>
      <c r="T9" s="343">
        <v>43.848736000000002</v>
      </c>
      <c r="U9" s="343">
        <v>43.464911999999998</v>
      </c>
      <c r="V9" s="343">
        <v>43.734524</v>
      </c>
      <c r="W9" s="343">
        <v>44.301231000000001</v>
      </c>
      <c r="X9" s="343">
        <v>44.546782999999998</v>
      </c>
      <c r="Y9" s="343">
        <v>44.735222</v>
      </c>
      <c r="Z9" s="343">
        <v>44.901122999999998</v>
      </c>
      <c r="AA9" s="343">
        <v>45.162959999999998</v>
      </c>
      <c r="AB9" s="343">
        <v>45.552684999999997</v>
      </c>
      <c r="AC9" s="343">
        <v>45.824455</v>
      </c>
      <c r="AD9" s="343">
        <v>45.987712999999999</v>
      </c>
      <c r="AE9" s="343">
        <v>46.202480000000001</v>
      </c>
      <c r="AF9" s="343">
        <v>46.360294000000003</v>
      </c>
      <c r="AG9" s="344">
        <v>6.0000000000000001E-3</v>
      </c>
    </row>
    <row r="10" spans="1:33" s="346" customFormat="1" x14ac:dyDescent="0.25">
      <c r="A10" s="346" t="s">
        <v>590</v>
      </c>
      <c r="B10" s="346" t="s">
        <v>591</v>
      </c>
      <c r="C10" s="346" t="s">
        <v>592</v>
      </c>
      <c r="D10" s="346" t="s">
        <v>583</v>
      </c>
      <c r="F10" s="346">
        <v>10.264849999999999</v>
      </c>
      <c r="G10" s="346">
        <v>10.131456</v>
      </c>
      <c r="H10" s="346">
        <v>9.2934970000000003</v>
      </c>
      <c r="I10" s="346">
        <v>8.2769279999999998</v>
      </c>
      <c r="J10" s="346">
        <v>8.2348909999999993</v>
      </c>
      <c r="K10" s="346">
        <v>7.8908149999999999</v>
      </c>
      <c r="L10" s="346">
        <v>7.0840399999999999</v>
      </c>
      <c r="M10" s="346">
        <v>6.7873130000000002</v>
      </c>
      <c r="N10" s="346">
        <v>4.3133929999999996</v>
      </c>
      <c r="O10" s="346">
        <v>4.312983</v>
      </c>
      <c r="P10" s="346">
        <v>4.2677050000000003</v>
      </c>
      <c r="Q10" s="346">
        <v>4.2984210000000003</v>
      </c>
      <c r="R10" s="346">
        <v>4.2260289999999996</v>
      </c>
      <c r="S10" s="346">
        <v>4.2382309999999999</v>
      </c>
      <c r="T10" s="346">
        <v>4.1615320000000002</v>
      </c>
      <c r="U10" s="346">
        <v>3.857612</v>
      </c>
      <c r="V10" s="346">
        <v>3.8928319999999998</v>
      </c>
      <c r="W10" s="346">
        <v>3.8492950000000001</v>
      </c>
      <c r="X10" s="346">
        <v>3.8536760000000001</v>
      </c>
      <c r="Y10" s="346">
        <v>3.865084</v>
      </c>
      <c r="Z10" s="346">
        <v>3.8757769999999998</v>
      </c>
      <c r="AA10" s="346">
        <v>3.9172259999999999</v>
      </c>
      <c r="AB10" s="346">
        <v>3.7810700000000002</v>
      </c>
      <c r="AC10" s="346">
        <v>3.8151899999999999</v>
      </c>
      <c r="AD10" s="346">
        <v>3.8247789999999999</v>
      </c>
      <c r="AE10" s="346">
        <v>3.8427159999999998</v>
      </c>
      <c r="AF10" s="346">
        <v>3.797269</v>
      </c>
      <c r="AG10" s="347">
        <v>-3.7999999999999999E-2</v>
      </c>
    </row>
    <row r="11" spans="1:33" x14ac:dyDescent="0.25">
      <c r="A11" t="s">
        <v>593</v>
      </c>
      <c r="B11" t="s">
        <v>594</v>
      </c>
      <c r="C11" t="s">
        <v>595</v>
      </c>
      <c r="D11" t="s">
        <v>583</v>
      </c>
      <c r="F11">
        <v>8.1225660000000008</v>
      </c>
      <c r="G11">
        <v>8.281053</v>
      </c>
      <c r="H11">
        <v>8.3596509999999995</v>
      </c>
      <c r="I11">
        <v>8.3406389999999995</v>
      </c>
      <c r="J11">
        <v>8.3405020000000007</v>
      </c>
      <c r="K11">
        <v>8.3403890000000001</v>
      </c>
      <c r="L11">
        <v>8.2471390000000007</v>
      </c>
      <c r="M11">
        <v>8.1603460000000005</v>
      </c>
      <c r="N11">
        <v>8.1603019999999997</v>
      </c>
      <c r="O11">
        <v>8.1604609999999997</v>
      </c>
      <c r="P11">
        <v>8.1604609999999997</v>
      </c>
      <c r="Q11">
        <v>8.1391779999999994</v>
      </c>
      <c r="R11">
        <v>8.087199</v>
      </c>
      <c r="S11">
        <v>8.1279859999999999</v>
      </c>
      <c r="T11">
        <v>8.1249500000000001</v>
      </c>
      <c r="U11">
        <v>8.1106999999999996</v>
      </c>
      <c r="V11">
        <v>8.1093729999999997</v>
      </c>
      <c r="W11">
        <v>8.1100390000000004</v>
      </c>
      <c r="X11">
        <v>8.1103830000000006</v>
      </c>
      <c r="Y11">
        <v>8.1107829999999996</v>
      </c>
      <c r="Z11">
        <v>8.1087369999999996</v>
      </c>
      <c r="AA11">
        <v>8.1102089999999993</v>
      </c>
      <c r="AB11">
        <v>8.1065240000000003</v>
      </c>
      <c r="AC11">
        <v>8.1099440000000005</v>
      </c>
      <c r="AD11">
        <v>8.109</v>
      </c>
      <c r="AE11">
        <v>8.1071609999999996</v>
      </c>
      <c r="AF11">
        <v>8.1079439999999998</v>
      </c>
      <c r="AG11" s="345">
        <v>0</v>
      </c>
    </row>
    <row r="12" spans="1:33" x14ac:dyDescent="0.25">
      <c r="A12" t="s">
        <v>596</v>
      </c>
      <c r="B12" t="s">
        <v>597</v>
      </c>
      <c r="C12" t="s">
        <v>598</v>
      </c>
      <c r="D12" t="s">
        <v>583</v>
      </c>
      <c r="F12">
        <v>0.82672800000000002</v>
      </c>
      <c r="G12">
        <v>0.89715199999999995</v>
      </c>
      <c r="H12">
        <v>0.931477</v>
      </c>
      <c r="I12">
        <v>0.96589999999999998</v>
      </c>
      <c r="J12">
        <v>0.96665199999999996</v>
      </c>
      <c r="K12">
        <v>0.96660199999999996</v>
      </c>
      <c r="L12">
        <v>0.96851200000000004</v>
      </c>
      <c r="M12">
        <v>0.96875199999999995</v>
      </c>
      <c r="N12">
        <v>0.96900299999999995</v>
      </c>
      <c r="O12">
        <v>0.96907500000000002</v>
      </c>
      <c r="P12">
        <v>0.969638</v>
      </c>
      <c r="Q12">
        <v>0.96777100000000005</v>
      </c>
      <c r="R12">
        <v>0.96438100000000004</v>
      </c>
      <c r="S12">
        <v>0.96052899999999997</v>
      </c>
      <c r="T12">
        <v>0.95894800000000002</v>
      </c>
      <c r="U12">
        <v>0.95181800000000005</v>
      </c>
      <c r="V12">
        <v>0.95054400000000006</v>
      </c>
      <c r="W12">
        <v>0.95869000000000004</v>
      </c>
      <c r="X12">
        <v>0.94952800000000004</v>
      </c>
      <c r="Y12">
        <v>0.93635599999999997</v>
      </c>
      <c r="Z12">
        <v>0.93470799999999998</v>
      </c>
      <c r="AA12">
        <v>0.93285200000000001</v>
      </c>
      <c r="AB12">
        <v>0.91908800000000002</v>
      </c>
      <c r="AC12">
        <v>0.93434499999999998</v>
      </c>
      <c r="AD12">
        <v>0.92108500000000004</v>
      </c>
      <c r="AE12">
        <v>0.93660399999999999</v>
      </c>
      <c r="AF12">
        <v>0.93507799999999996</v>
      </c>
      <c r="AG12" s="345">
        <v>5.0000000000000001E-3</v>
      </c>
    </row>
    <row r="13" spans="1:33" x14ac:dyDescent="0.25">
      <c r="A13" t="s">
        <v>599</v>
      </c>
      <c r="B13" t="s">
        <v>600</v>
      </c>
      <c r="C13" t="s">
        <v>601</v>
      </c>
      <c r="D13" t="s">
        <v>583</v>
      </c>
      <c r="F13">
        <v>4.7167519999999996</v>
      </c>
      <c r="G13">
        <v>4.8044739999999999</v>
      </c>
      <c r="H13">
        <v>4.8181139999999996</v>
      </c>
      <c r="I13">
        <v>4.7444309999999996</v>
      </c>
      <c r="J13">
        <v>4.5791539999999999</v>
      </c>
      <c r="K13">
        <v>4.5984780000000001</v>
      </c>
      <c r="L13">
        <v>4.6231340000000003</v>
      </c>
      <c r="M13">
        <v>4.6305319999999996</v>
      </c>
      <c r="N13">
        <v>4.6461509999999997</v>
      </c>
      <c r="O13">
        <v>4.6358069999999998</v>
      </c>
      <c r="P13">
        <v>4.6362259999999997</v>
      </c>
      <c r="Q13">
        <v>4.6363399999999997</v>
      </c>
      <c r="R13">
        <v>4.6613579999999999</v>
      </c>
      <c r="S13">
        <v>4.6613420000000003</v>
      </c>
      <c r="T13">
        <v>4.6583230000000002</v>
      </c>
      <c r="U13">
        <v>4.6662299999999997</v>
      </c>
      <c r="V13">
        <v>4.6880579999999998</v>
      </c>
      <c r="W13">
        <v>4.6747009999999998</v>
      </c>
      <c r="X13">
        <v>4.6675269999999998</v>
      </c>
      <c r="Y13">
        <v>4.6558479999999998</v>
      </c>
      <c r="Z13">
        <v>4.6656700000000004</v>
      </c>
      <c r="AA13">
        <v>4.6847110000000001</v>
      </c>
      <c r="AB13">
        <v>4.7001299999999997</v>
      </c>
      <c r="AC13">
        <v>4.7238889999999998</v>
      </c>
      <c r="AD13">
        <v>4.7442520000000004</v>
      </c>
      <c r="AE13">
        <v>4.7727909999999998</v>
      </c>
      <c r="AF13">
        <v>4.8014250000000001</v>
      </c>
      <c r="AG13" s="345">
        <v>1E-3</v>
      </c>
    </row>
    <row r="14" spans="1:33" x14ac:dyDescent="0.25">
      <c r="A14" t="s">
        <v>602</v>
      </c>
      <c r="B14" t="s">
        <v>603</v>
      </c>
      <c r="C14" t="s">
        <v>604</v>
      </c>
      <c r="D14" t="s">
        <v>583</v>
      </c>
      <c r="F14">
        <v>2.5692430000000002</v>
      </c>
      <c r="G14">
        <v>2.8961510000000001</v>
      </c>
      <c r="H14">
        <v>3.4331879999999999</v>
      </c>
      <c r="I14">
        <v>3.7275809999999998</v>
      </c>
      <c r="J14">
        <v>3.8924660000000002</v>
      </c>
      <c r="K14">
        <v>4.1200780000000004</v>
      </c>
      <c r="L14">
        <v>4.4685480000000002</v>
      </c>
      <c r="M14">
        <v>4.8511709999999999</v>
      </c>
      <c r="N14">
        <v>5.2814399999999999</v>
      </c>
      <c r="O14">
        <v>5.7323250000000003</v>
      </c>
      <c r="P14">
        <v>6.2717720000000003</v>
      </c>
      <c r="Q14">
        <v>6.9150450000000001</v>
      </c>
      <c r="R14">
        <v>7.5222619999999996</v>
      </c>
      <c r="S14">
        <v>8.2463040000000003</v>
      </c>
      <c r="T14">
        <v>8.7321410000000004</v>
      </c>
      <c r="U14">
        <v>9.4190819999999995</v>
      </c>
      <c r="V14">
        <v>9.7425840000000008</v>
      </c>
      <c r="W14">
        <v>9.8890349999999998</v>
      </c>
      <c r="X14">
        <v>10.072232</v>
      </c>
      <c r="Y14">
        <v>10.301824999999999</v>
      </c>
      <c r="Z14">
        <v>10.495996999999999</v>
      </c>
      <c r="AA14">
        <v>10.674303999999999</v>
      </c>
      <c r="AB14">
        <v>10.906046999999999</v>
      </c>
      <c r="AC14">
        <v>11.059608000000001</v>
      </c>
      <c r="AD14">
        <v>11.247785</v>
      </c>
      <c r="AE14">
        <v>11.391185999999999</v>
      </c>
      <c r="AF14">
        <v>11.62299</v>
      </c>
      <c r="AG14" s="345">
        <v>0.06</v>
      </c>
    </row>
    <row r="15" spans="1:33" x14ac:dyDescent="0.25">
      <c r="A15" t="s">
        <v>605</v>
      </c>
      <c r="B15" t="s">
        <v>606</v>
      </c>
      <c r="C15" t="s">
        <v>607</v>
      </c>
      <c r="D15" t="s">
        <v>583</v>
      </c>
      <c r="F15">
        <v>1.700421</v>
      </c>
      <c r="G15">
        <v>1.7713209999999999</v>
      </c>
      <c r="H15">
        <v>0.824013</v>
      </c>
      <c r="I15">
        <v>0.82248900000000003</v>
      </c>
      <c r="J15">
        <v>0.74947799999999998</v>
      </c>
      <c r="K15">
        <v>0.72555400000000003</v>
      </c>
      <c r="L15">
        <v>0.72870400000000002</v>
      </c>
      <c r="M15">
        <v>0.72867700000000002</v>
      </c>
      <c r="N15">
        <v>0.60499000000000003</v>
      </c>
      <c r="O15">
        <v>0.60499000000000003</v>
      </c>
      <c r="P15">
        <v>0.60499000000000003</v>
      </c>
      <c r="Q15">
        <v>0.60499000000000003</v>
      </c>
      <c r="R15">
        <v>0.60499000000000003</v>
      </c>
      <c r="S15">
        <v>0.60499000000000003</v>
      </c>
      <c r="T15">
        <v>0.60499000000000003</v>
      </c>
      <c r="U15">
        <v>0.60499000000000003</v>
      </c>
      <c r="V15">
        <v>0.60499000000000003</v>
      </c>
      <c r="W15">
        <v>0.60499000000000003</v>
      </c>
      <c r="X15">
        <v>0.60499000000000003</v>
      </c>
      <c r="Y15">
        <v>0.60499000000000003</v>
      </c>
      <c r="Z15">
        <v>0.60499000000000003</v>
      </c>
      <c r="AA15">
        <v>0.60499000000000003</v>
      </c>
      <c r="AB15">
        <v>0.60499000000000003</v>
      </c>
      <c r="AC15">
        <v>0.60499000000000003</v>
      </c>
      <c r="AD15">
        <v>0.60499000000000003</v>
      </c>
      <c r="AE15">
        <v>0.60499000000000003</v>
      </c>
      <c r="AF15">
        <v>0.60499000000000003</v>
      </c>
      <c r="AG15" s="345">
        <v>-3.9E-2</v>
      </c>
    </row>
    <row r="16" spans="1:33" x14ac:dyDescent="0.25">
      <c r="A16" t="s">
        <v>608</v>
      </c>
      <c r="B16" t="s">
        <v>609</v>
      </c>
      <c r="C16" t="s">
        <v>610</v>
      </c>
      <c r="D16" t="s">
        <v>583</v>
      </c>
      <c r="F16">
        <v>104.38736</v>
      </c>
      <c r="G16">
        <v>106.060005</v>
      </c>
      <c r="H16">
        <v>106.179108</v>
      </c>
      <c r="I16">
        <v>106.28660600000001</v>
      </c>
      <c r="J16">
        <v>107.36357099999999</v>
      </c>
      <c r="K16">
        <v>108.105705</v>
      </c>
      <c r="L16">
        <v>108.372559</v>
      </c>
      <c r="M16">
        <v>107.982277</v>
      </c>
      <c r="N16">
        <v>107.323463</v>
      </c>
      <c r="O16">
        <v>107.647217</v>
      </c>
      <c r="P16">
        <v>108.027725</v>
      </c>
      <c r="Q16">
        <v>107.98101800000001</v>
      </c>
      <c r="R16">
        <v>107.584564</v>
      </c>
      <c r="S16">
        <v>107.257912</v>
      </c>
      <c r="T16">
        <v>107.11515</v>
      </c>
      <c r="U16">
        <v>106.768387</v>
      </c>
      <c r="V16">
        <v>107.164345</v>
      </c>
      <c r="W16">
        <v>107.496956</v>
      </c>
      <c r="X16">
        <v>107.81757399999999</v>
      </c>
      <c r="Y16">
        <v>107.952232</v>
      </c>
      <c r="Z16">
        <v>108.27415499999999</v>
      </c>
      <c r="AA16">
        <v>108.86055</v>
      </c>
      <c r="AB16">
        <v>109.283676</v>
      </c>
      <c r="AC16">
        <v>109.654343</v>
      </c>
      <c r="AD16">
        <v>109.813591</v>
      </c>
      <c r="AE16">
        <v>110.196617</v>
      </c>
      <c r="AF16">
        <v>110.534119</v>
      </c>
      <c r="AG16" s="345">
        <v>2E-3</v>
      </c>
    </row>
    <row r="17" spans="1:33" x14ac:dyDescent="0.25">
      <c r="A17" t="s">
        <v>469</v>
      </c>
    </row>
    <row r="18" spans="1:33" x14ac:dyDescent="0.25">
      <c r="A18" t="s">
        <v>611</v>
      </c>
      <c r="B18" t="s">
        <v>612</v>
      </c>
      <c r="C18" t="s">
        <v>613</v>
      </c>
      <c r="D18" t="s">
        <v>583</v>
      </c>
      <c r="F18">
        <v>14.511203</v>
      </c>
      <c r="G18">
        <v>13.426377</v>
      </c>
      <c r="H18">
        <v>14.170196000000001</v>
      </c>
      <c r="I18">
        <v>13.641159</v>
      </c>
      <c r="J18">
        <v>13.656388</v>
      </c>
      <c r="K18">
        <v>13.334659</v>
      </c>
      <c r="L18">
        <v>13.681565000000001</v>
      </c>
      <c r="M18">
        <v>14.299134</v>
      </c>
      <c r="N18">
        <v>14.391166</v>
      </c>
      <c r="O18">
        <v>14.434647</v>
      </c>
      <c r="P18">
        <v>14.614406000000001</v>
      </c>
      <c r="Q18">
        <v>14.994991000000001</v>
      </c>
      <c r="R18">
        <v>15.286606000000001</v>
      </c>
      <c r="S18">
        <v>15.385403</v>
      </c>
      <c r="T18">
        <v>15.587897999999999</v>
      </c>
      <c r="U18">
        <v>15.946284</v>
      </c>
      <c r="V18">
        <v>16.18852</v>
      </c>
      <c r="W18">
        <v>16.484673999999998</v>
      </c>
      <c r="X18">
        <v>16.656410000000001</v>
      </c>
      <c r="Y18">
        <v>17.139084</v>
      </c>
      <c r="Z18">
        <v>17.287808999999999</v>
      </c>
      <c r="AA18">
        <v>17.219873</v>
      </c>
      <c r="AB18">
        <v>17.294519000000001</v>
      </c>
      <c r="AC18">
        <v>17.580736000000002</v>
      </c>
      <c r="AD18">
        <v>17.539449999999999</v>
      </c>
      <c r="AE18">
        <v>17.701066999999998</v>
      </c>
      <c r="AF18">
        <v>17.778272999999999</v>
      </c>
      <c r="AG18" s="345">
        <v>8.0000000000000002E-3</v>
      </c>
    </row>
    <row r="19" spans="1:33" x14ac:dyDescent="0.25">
      <c r="A19" t="s">
        <v>614</v>
      </c>
      <c r="B19" t="s">
        <v>615</v>
      </c>
      <c r="C19" t="s">
        <v>616</v>
      </c>
      <c r="D19" t="s">
        <v>583</v>
      </c>
      <c r="F19">
        <v>4.0514710000000003</v>
      </c>
      <c r="G19">
        <v>3.9470320000000001</v>
      </c>
      <c r="H19">
        <v>4.1068110000000004</v>
      </c>
      <c r="I19">
        <v>4.0076679999999998</v>
      </c>
      <c r="J19">
        <v>3.9071859999999998</v>
      </c>
      <c r="K19">
        <v>3.7951860000000002</v>
      </c>
      <c r="L19">
        <v>3.7872370000000002</v>
      </c>
      <c r="M19">
        <v>3.7543099999999998</v>
      </c>
      <c r="N19">
        <v>3.6837650000000002</v>
      </c>
      <c r="O19">
        <v>3.660914</v>
      </c>
      <c r="P19">
        <v>3.6217160000000002</v>
      </c>
      <c r="Q19">
        <v>3.5897549999999998</v>
      </c>
      <c r="R19">
        <v>3.5756559999999999</v>
      </c>
      <c r="S19">
        <v>3.5790679999999999</v>
      </c>
      <c r="T19">
        <v>3.5697109999999999</v>
      </c>
      <c r="U19">
        <v>3.5587789999999999</v>
      </c>
      <c r="V19">
        <v>3.5600909999999999</v>
      </c>
      <c r="W19">
        <v>3.5475699999999999</v>
      </c>
      <c r="X19">
        <v>3.5396920000000001</v>
      </c>
      <c r="Y19">
        <v>3.528108</v>
      </c>
      <c r="Z19">
        <v>3.5372129999999999</v>
      </c>
      <c r="AA19">
        <v>3.5798260000000002</v>
      </c>
      <c r="AB19">
        <v>3.5401570000000002</v>
      </c>
      <c r="AC19">
        <v>3.544324</v>
      </c>
      <c r="AD19">
        <v>3.610859</v>
      </c>
      <c r="AE19">
        <v>3.6120130000000001</v>
      </c>
      <c r="AF19">
        <v>3.5618880000000002</v>
      </c>
      <c r="AG19" s="345">
        <v>-5.0000000000000001E-3</v>
      </c>
    </row>
    <row r="20" spans="1:33" x14ac:dyDescent="0.25">
      <c r="A20" t="s">
        <v>617</v>
      </c>
      <c r="B20" t="s">
        <v>618</v>
      </c>
      <c r="C20" t="s">
        <v>619</v>
      </c>
      <c r="D20" t="s">
        <v>583</v>
      </c>
      <c r="F20">
        <v>3.0873529999999998</v>
      </c>
      <c r="G20">
        <v>2.9285160000000001</v>
      </c>
      <c r="H20">
        <v>2.44861</v>
      </c>
      <c r="I20">
        <v>2.6916669999999998</v>
      </c>
      <c r="J20">
        <v>2.635259</v>
      </c>
      <c r="K20">
        <v>2.6858390000000001</v>
      </c>
      <c r="L20">
        <v>2.755344</v>
      </c>
      <c r="M20">
        <v>2.765631</v>
      </c>
      <c r="N20">
        <v>2.761101</v>
      </c>
      <c r="O20">
        <v>2.6260460000000001</v>
      </c>
      <c r="P20">
        <v>2.477881</v>
      </c>
      <c r="Q20">
        <v>2.4764469999999998</v>
      </c>
      <c r="R20">
        <v>2.511924</v>
      </c>
      <c r="S20">
        <v>2.5414840000000001</v>
      </c>
      <c r="T20">
        <v>2.5749149999999998</v>
      </c>
      <c r="U20">
        <v>2.5977969999999999</v>
      </c>
      <c r="V20">
        <v>2.555126</v>
      </c>
      <c r="W20">
        <v>2.4248419999999999</v>
      </c>
      <c r="X20">
        <v>2.4286530000000002</v>
      </c>
      <c r="Y20">
        <v>2.4950610000000002</v>
      </c>
      <c r="Z20">
        <v>2.5616279999999998</v>
      </c>
      <c r="AA20">
        <v>2.5490499999999998</v>
      </c>
      <c r="AB20">
        <v>2.3811930000000001</v>
      </c>
      <c r="AC20">
        <v>2.363839</v>
      </c>
      <c r="AD20">
        <v>2.4276309999999999</v>
      </c>
      <c r="AE20">
        <v>2.517868</v>
      </c>
      <c r="AF20">
        <v>2.6075210000000002</v>
      </c>
      <c r="AG20" s="345">
        <v>-6.0000000000000001E-3</v>
      </c>
    </row>
    <row r="21" spans="1:33" x14ac:dyDescent="0.25">
      <c r="A21" t="s">
        <v>605</v>
      </c>
      <c r="B21" t="s">
        <v>620</v>
      </c>
      <c r="C21" t="s">
        <v>621</v>
      </c>
      <c r="D21" t="s">
        <v>583</v>
      </c>
      <c r="F21">
        <v>9.1885999999999995E-2</v>
      </c>
      <c r="G21">
        <v>0.13381999999999999</v>
      </c>
      <c r="H21">
        <v>0.15946399999999999</v>
      </c>
      <c r="I21">
        <v>0.21490999999999999</v>
      </c>
      <c r="J21">
        <v>0.25619500000000001</v>
      </c>
      <c r="K21">
        <v>0.27482299999999998</v>
      </c>
      <c r="L21">
        <v>0.301232</v>
      </c>
      <c r="M21">
        <v>0.30827199999999999</v>
      </c>
      <c r="N21">
        <v>0.31531300000000001</v>
      </c>
      <c r="O21">
        <v>0.32325599999999999</v>
      </c>
      <c r="P21">
        <v>0.32607000000000003</v>
      </c>
      <c r="Q21">
        <v>0.33033800000000002</v>
      </c>
      <c r="R21">
        <v>0.32258399999999998</v>
      </c>
      <c r="S21">
        <v>0.318855</v>
      </c>
      <c r="T21">
        <v>0.31710500000000003</v>
      </c>
      <c r="U21">
        <v>0.309224</v>
      </c>
      <c r="V21">
        <v>0.31408700000000001</v>
      </c>
      <c r="W21">
        <v>0.31551299999999999</v>
      </c>
      <c r="X21">
        <v>0.31304999999999999</v>
      </c>
      <c r="Y21">
        <v>0.29313699999999998</v>
      </c>
      <c r="Z21">
        <v>0.29169099999999998</v>
      </c>
      <c r="AA21">
        <v>0.28930899999999998</v>
      </c>
      <c r="AB21">
        <v>0.27318100000000001</v>
      </c>
      <c r="AC21">
        <v>0.26225399999999999</v>
      </c>
      <c r="AD21">
        <v>0.25558700000000001</v>
      </c>
      <c r="AE21">
        <v>0.24552599999999999</v>
      </c>
      <c r="AF21">
        <v>0.23644899999999999</v>
      </c>
      <c r="AG21" s="345">
        <v>3.6999999999999998E-2</v>
      </c>
    </row>
    <row r="22" spans="1:33" x14ac:dyDescent="0.25">
      <c r="A22" t="s">
        <v>608</v>
      </c>
      <c r="B22" t="s">
        <v>622</v>
      </c>
      <c r="C22" t="s">
        <v>623</v>
      </c>
      <c r="D22" t="s">
        <v>583</v>
      </c>
      <c r="F22">
        <v>21.741913</v>
      </c>
      <c r="G22">
        <v>20.435745000000001</v>
      </c>
      <c r="H22">
        <v>20.885079999999999</v>
      </c>
      <c r="I22">
        <v>20.555405</v>
      </c>
      <c r="J22">
        <v>20.455029</v>
      </c>
      <c r="K22">
        <v>20.090506000000001</v>
      </c>
      <c r="L22">
        <v>20.525376999999999</v>
      </c>
      <c r="M22">
        <v>21.127345999999999</v>
      </c>
      <c r="N22">
        <v>21.151344000000002</v>
      </c>
      <c r="O22">
        <v>21.044861000000001</v>
      </c>
      <c r="P22">
        <v>21.040073</v>
      </c>
      <c r="Q22">
        <v>21.391531000000001</v>
      </c>
      <c r="R22">
        <v>21.696771999999999</v>
      </c>
      <c r="S22">
        <v>21.824812000000001</v>
      </c>
      <c r="T22">
        <v>22.049628999999999</v>
      </c>
      <c r="U22">
        <v>22.412085999999999</v>
      </c>
      <c r="V22">
        <v>22.617825</v>
      </c>
      <c r="W22">
        <v>22.772601999999999</v>
      </c>
      <c r="X22">
        <v>22.937805000000001</v>
      </c>
      <c r="Y22">
        <v>23.455390999999999</v>
      </c>
      <c r="Z22">
        <v>23.678341</v>
      </c>
      <c r="AA22">
        <v>23.638058000000001</v>
      </c>
      <c r="AB22">
        <v>23.489052000000001</v>
      </c>
      <c r="AC22">
        <v>23.751154</v>
      </c>
      <c r="AD22">
        <v>23.833527</v>
      </c>
      <c r="AE22">
        <v>24.076473</v>
      </c>
      <c r="AF22">
        <v>24.18413</v>
      </c>
      <c r="AG22" s="345">
        <v>4.0000000000000001E-3</v>
      </c>
    </row>
    <row r="23" spans="1:33" x14ac:dyDescent="0.25">
      <c r="A23" t="s">
        <v>479</v>
      </c>
    </row>
    <row r="24" spans="1:33" x14ac:dyDescent="0.25">
      <c r="A24" t="s">
        <v>614</v>
      </c>
      <c r="B24" t="s">
        <v>624</v>
      </c>
      <c r="C24" t="s">
        <v>625</v>
      </c>
      <c r="D24" t="s">
        <v>583</v>
      </c>
      <c r="F24">
        <v>20.660601</v>
      </c>
      <c r="G24">
        <v>20.339431999999999</v>
      </c>
      <c r="H24">
        <v>21.727066000000001</v>
      </c>
      <c r="I24">
        <v>21.978756000000001</v>
      </c>
      <c r="J24">
        <v>21.857641000000001</v>
      </c>
      <c r="K24">
        <v>21.781075000000001</v>
      </c>
      <c r="L24">
        <v>22.423283000000001</v>
      </c>
      <c r="M24">
        <v>22.928905</v>
      </c>
      <c r="N24">
        <v>23.090502000000001</v>
      </c>
      <c r="O24">
        <v>23.653084</v>
      </c>
      <c r="P24">
        <v>24.252089999999999</v>
      </c>
      <c r="Q24">
        <v>24.863869000000001</v>
      </c>
      <c r="R24">
        <v>25.149168</v>
      </c>
      <c r="S24">
        <v>25.315871999999999</v>
      </c>
      <c r="T24">
        <v>25.662656999999999</v>
      </c>
      <c r="U24">
        <v>26.044284999999999</v>
      </c>
      <c r="V24">
        <v>26.331007</v>
      </c>
      <c r="W24">
        <v>26.577487999999999</v>
      </c>
      <c r="X24">
        <v>26.932499</v>
      </c>
      <c r="Y24">
        <v>27.351251999999999</v>
      </c>
      <c r="Z24">
        <v>27.591287999999999</v>
      </c>
      <c r="AA24">
        <v>27.74062</v>
      </c>
      <c r="AB24">
        <v>27.845409</v>
      </c>
      <c r="AC24">
        <v>28.038736</v>
      </c>
      <c r="AD24">
        <v>27.964088</v>
      </c>
      <c r="AE24">
        <v>28.088183999999998</v>
      </c>
      <c r="AF24">
        <v>28.047884</v>
      </c>
      <c r="AG24" s="345">
        <v>1.2E-2</v>
      </c>
    </row>
    <row r="25" spans="1:33" x14ac:dyDescent="0.25">
      <c r="A25" t="s">
        <v>617</v>
      </c>
      <c r="B25" t="s">
        <v>626</v>
      </c>
      <c r="C25" t="s">
        <v>627</v>
      </c>
      <c r="D25" t="s">
        <v>583</v>
      </c>
      <c r="F25">
        <v>7.8187519999999999</v>
      </c>
      <c r="G25">
        <v>8.5917089999999998</v>
      </c>
      <c r="H25">
        <v>9.1088190000000004</v>
      </c>
      <c r="I25">
        <v>9.0095030000000005</v>
      </c>
      <c r="J25">
        <v>10.029778</v>
      </c>
      <c r="K25">
        <v>10.658371000000001</v>
      </c>
      <c r="L25">
        <v>11.299662</v>
      </c>
      <c r="M25">
        <v>11.562331</v>
      </c>
      <c r="N25">
        <v>11.83005</v>
      </c>
      <c r="O25">
        <v>12.097961</v>
      </c>
      <c r="P25">
        <v>12.369316</v>
      </c>
      <c r="Q25">
        <v>12.509456</v>
      </c>
      <c r="R25">
        <v>12.687962000000001</v>
      </c>
      <c r="S25">
        <v>12.821247</v>
      </c>
      <c r="T25">
        <v>12.877399</v>
      </c>
      <c r="U25">
        <v>12.941127</v>
      </c>
      <c r="V25">
        <v>13.047361</v>
      </c>
      <c r="W25">
        <v>13.099333</v>
      </c>
      <c r="X25">
        <v>13.132851</v>
      </c>
      <c r="Y25">
        <v>13.117587</v>
      </c>
      <c r="Z25">
        <v>13.110284</v>
      </c>
      <c r="AA25">
        <v>13.128943</v>
      </c>
      <c r="AB25">
        <v>13.158234</v>
      </c>
      <c r="AC25">
        <v>13.197891</v>
      </c>
      <c r="AD25">
        <v>13.21223</v>
      </c>
      <c r="AE25">
        <v>13.199548</v>
      </c>
      <c r="AF25">
        <v>13.252179</v>
      </c>
      <c r="AG25" s="345">
        <v>2.1000000000000001E-2</v>
      </c>
    </row>
    <row r="26" spans="1:33" x14ac:dyDescent="0.25">
      <c r="A26" t="s">
        <v>590</v>
      </c>
      <c r="B26" t="s">
        <v>628</v>
      </c>
      <c r="C26" t="s">
        <v>629</v>
      </c>
      <c r="D26" t="s">
        <v>583</v>
      </c>
      <c r="F26">
        <v>2.7251750000000001</v>
      </c>
      <c r="G26">
        <v>2.605518</v>
      </c>
      <c r="H26">
        <v>2.7105229999999998</v>
      </c>
      <c r="I26">
        <v>2.8102070000000001</v>
      </c>
      <c r="J26">
        <v>2.943514</v>
      </c>
      <c r="K26">
        <v>2.8813550000000001</v>
      </c>
      <c r="L26">
        <v>2.8204189999999998</v>
      </c>
      <c r="M26">
        <v>2.8038750000000001</v>
      </c>
      <c r="N26">
        <v>2.8259129999999999</v>
      </c>
      <c r="O26">
        <v>2.818362</v>
      </c>
      <c r="P26">
        <v>2.8003670000000001</v>
      </c>
      <c r="Q26">
        <v>2.8808479999999999</v>
      </c>
      <c r="R26">
        <v>2.8514370000000002</v>
      </c>
      <c r="S26">
        <v>2.9190200000000002</v>
      </c>
      <c r="T26">
        <v>2.8963369999999999</v>
      </c>
      <c r="U26">
        <v>2.9719760000000002</v>
      </c>
      <c r="V26">
        <v>3.0150709999999998</v>
      </c>
      <c r="W26">
        <v>2.9796969999999998</v>
      </c>
      <c r="X26">
        <v>2.9950619999999999</v>
      </c>
      <c r="Y26">
        <v>3.01593</v>
      </c>
      <c r="Z26">
        <v>3.0408219999999999</v>
      </c>
      <c r="AA26">
        <v>3.1134409999999999</v>
      </c>
      <c r="AB26">
        <v>3.1327859999999998</v>
      </c>
      <c r="AC26">
        <v>3.1764739999999998</v>
      </c>
      <c r="AD26">
        <v>3.1963849999999998</v>
      </c>
      <c r="AE26">
        <v>3.2279689999999999</v>
      </c>
      <c r="AF26">
        <v>3.194277</v>
      </c>
      <c r="AG26" s="345">
        <v>6.0000000000000001E-3</v>
      </c>
    </row>
    <row r="27" spans="1:33" x14ac:dyDescent="0.25">
      <c r="A27" t="s">
        <v>608</v>
      </c>
      <c r="B27" t="s">
        <v>630</v>
      </c>
      <c r="C27" t="s">
        <v>631</v>
      </c>
      <c r="D27" t="s">
        <v>583</v>
      </c>
      <c r="F27">
        <v>31.204529000000001</v>
      </c>
      <c r="G27">
        <v>31.536659</v>
      </c>
      <c r="H27">
        <v>33.546405999999998</v>
      </c>
      <c r="I27">
        <v>33.798465999999998</v>
      </c>
      <c r="J27">
        <v>34.830933000000002</v>
      </c>
      <c r="K27">
        <v>35.320801000000003</v>
      </c>
      <c r="L27">
        <v>36.543365000000001</v>
      </c>
      <c r="M27">
        <v>37.295113000000001</v>
      </c>
      <c r="N27">
        <v>37.746464000000003</v>
      </c>
      <c r="O27">
        <v>38.569408000000003</v>
      </c>
      <c r="P27">
        <v>39.421771999999997</v>
      </c>
      <c r="Q27">
        <v>40.254173000000002</v>
      </c>
      <c r="R27">
        <v>40.688564</v>
      </c>
      <c r="S27">
        <v>41.056140999999997</v>
      </c>
      <c r="T27">
        <v>41.436390000000003</v>
      </c>
      <c r="U27">
        <v>41.957389999999997</v>
      </c>
      <c r="V27">
        <v>42.393439999999998</v>
      </c>
      <c r="W27">
        <v>42.656517000000001</v>
      </c>
      <c r="X27">
        <v>43.060409999999997</v>
      </c>
      <c r="Y27">
        <v>43.484768000000003</v>
      </c>
      <c r="Z27">
        <v>43.742393</v>
      </c>
      <c r="AA27">
        <v>43.983006000000003</v>
      </c>
      <c r="AB27">
        <v>44.136429</v>
      </c>
      <c r="AC27">
        <v>44.413100999999997</v>
      </c>
      <c r="AD27">
        <v>44.372703999999999</v>
      </c>
      <c r="AE27">
        <v>44.515701</v>
      </c>
      <c r="AF27">
        <v>44.494338999999997</v>
      </c>
      <c r="AG27" s="345">
        <v>1.4E-2</v>
      </c>
    </row>
    <row r="28" spans="1:33" x14ac:dyDescent="0.25">
      <c r="A28" t="s">
        <v>632</v>
      </c>
      <c r="B28" t="s">
        <v>633</v>
      </c>
      <c r="C28" t="s">
        <v>634</v>
      </c>
      <c r="D28" t="s">
        <v>583</v>
      </c>
      <c r="F28">
        <v>1.414474</v>
      </c>
      <c r="G28">
        <v>0.69356499999999999</v>
      </c>
      <c r="H28">
        <v>5.5897000000000002E-2</v>
      </c>
      <c r="I28">
        <v>-1.5651999999999999E-2</v>
      </c>
      <c r="J28">
        <v>6.6836999999999994E-2</v>
      </c>
      <c r="K28">
        <v>0.105583</v>
      </c>
      <c r="L28">
        <v>0.22006200000000001</v>
      </c>
      <c r="M28">
        <v>0.22497900000000001</v>
      </c>
      <c r="N28">
        <v>0.177616</v>
      </c>
      <c r="O28">
        <v>0.19442400000000001</v>
      </c>
      <c r="P28">
        <v>0.20802300000000001</v>
      </c>
      <c r="Q28">
        <v>0.23883799999999999</v>
      </c>
      <c r="R28">
        <v>0.18191099999999999</v>
      </c>
      <c r="S28">
        <v>0.25069799999999998</v>
      </c>
      <c r="T28">
        <v>0.23083899999999999</v>
      </c>
      <c r="U28">
        <v>0.308479</v>
      </c>
      <c r="V28">
        <v>0.36446800000000001</v>
      </c>
      <c r="W28">
        <v>0.36948799999999998</v>
      </c>
      <c r="X28">
        <v>0.241982</v>
      </c>
      <c r="Y28">
        <v>0.26225700000000002</v>
      </c>
      <c r="Z28">
        <v>0.269756</v>
      </c>
      <c r="AA28">
        <v>0.33104699999999998</v>
      </c>
      <c r="AB28">
        <v>0.246117</v>
      </c>
      <c r="AC28">
        <v>0.221275</v>
      </c>
      <c r="AD28">
        <v>0.20118</v>
      </c>
      <c r="AE28">
        <v>0.24735599999999999</v>
      </c>
      <c r="AF28">
        <v>0.382828</v>
      </c>
      <c r="AG28" s="345">
        <v>-4.9000000000000002E-2</v>
      </c>
    </row>
    <row r="29" spans="1:33" x14ac:dyDescent="0.25">
      <c r="A29" t="s">
        <v>489</v>
      </c>
    </row>
    <row r="30" spans="1:33" x14ac:dyDescent="0.25">
      <c r="A30" t="s">
        <v>614</v>
      </c>
      <c r="B30" t="s">
        <v>635</v>
      </c>
      <c r="C30" t="s">
        <v>636</v>
      </c>
      <c r="D30" t="s">
        <v>583</v>
      </c>
      <c r="F30">
        <v>37.196278</v>
      </c>
      <c r="G30">
        <v>37.598106000000001</v>
      </c>
      <c r="H30">
        <v>37.679671999999997</v>
      </c>
      <c r="I30">
        <v>37.519691000000002</v>
      </c>
      <c r="J30">
        <v>37.305045999999997</v>
      </c>
      <c r="K30">
        <v>36.974750999999998</v>
      </c>
      <c r="L30">
        <v>36.565708000000001</v>
      </c>
      <c r="M30">
        <v>36.099148</v>
      </c>
      <c r="N30">
        <v>35.465519</v>
      </c>
      <c r="O30">
        <v>34.827679000000003</v>
      </c>
      <c r="P30">
        <v>34.257472999999997</v>
      </c>
      <c r="Q30">
        <v>33.691135000000003</v>
      </c>
      <c r="R30">
        <v>33.140712999999998</v>
      </c>
      <c r="S30">
        <v>32.601837000000003</v>
      </c>
      <c r="T30">
        <v>32.143185000000003</v>
      </c>
      <c r="U30">
        <v>31.759447000000002</v>
      </c>
      <c r="V30">
        <v>31.460080999999999</v>
      </c>
      <c r="W30">
        <v>31.157518</v>
      </c>
      <c r="X30">
        <v>30.861813000000001</v>
      </c>
      <c r="Y30">
        <v>30.642817000000001</v>
      </c>
      <c r="Z30">
        <v>30.493798999999999</v>
      </c>
      <c r="AA30">
        <v>30.396222999999999</v>
      </c>
      <c r="AB30">
        <v>30.278258999999998</v>
      </c>
      <c r="AC30">
        <v>30.253606999999999</v>
      </c>
      <c r="AD30">
        <v>30.158322999999999</v>
      </c>
      <c r="AE30">
        <v>30.176684999999999</v>
      </c>
      <c r="AF30">
        <v>30.205193999999999</v>
      </c>
      <c r="AG30" s="345">
        <v>-8.0000000000000002E-3</v>
      </c>
    </row>
    <row r="31" spans="1:33" x14ac:dyDescent="0.25">
      <c r="A31" t="s">
        <v>617</v>
      </c>
      <c r="B31" t="s">
        <v>637</v>
      </c>
      <c r="C31" t="s">
        <v>638</v>
      </c>
      <c r="D31" t="s">
        <v>583</v>
      </c>
      <c r="F31">
        <v>34.247382999999999</v>
      </c>
      <c r="G31">
        <v>33.971240999999999</v>
      </c>
      <c r="H31">
        <v>33.337524000000002</v>
      </c>
      <c r="I31">
        <v>33.851016999999999</v>
      </c>
      <c r="J31">
        <v>33.922362999999997</v>
      </c>
      <c r="K31">
        <v>34.094195999999997</v>
      </c>
      <c r="L31">
        <v>34.339489</v>
      </c>
      <c r="M31">
        <v>34.235748000000001</v>
      </c>
      <c r="N31">
        <v>35.867370999999999</v>
      </c>
      <c r="O31">
        <v>35.444721000000001</v>
      </c>
      <c r="P31">
        <v>35.016047999999998</v>
      </c>
      <c r="Q31">
        <v>34.454062999999998</v>
      </c>
      <c r="R31">
        <v>34.016272999999998</v>
      </c>
      <c r="S31">
        <v>33.218055999999997</v>
      </c>
      <c r="T31">
        <v>32.987907</v>
      </c>
      <c r="U31">
        <v>32.505820999999997</v>
      </c>
      <c r="V31">
        <v>32.587851999999998</v>
      </c>
      <c r="W31">
        <v>32.979075999999999</v>
      </c>
      <c r="X31">
        <v>33.333419999999997</v>
      </c>
      <c r="Y31">
        <v>33.587589000000001</v>
      </c>
      <c r="Z31">
        <v>33.842002999999998</v>
      </c>
      <c r="AA31">
        <v>34.028979999999997</v>
      </c>
      <c r="AB31">
        <v>34.300522000000001</v>
      </c>
      <c r="AC31">
        <v>34.535992</v>
      </c>
      <c r="AD31">
        <v>34.761581</v>
      </c>
      <c r="AE31">
        <v>35.023502000000001</v>
      </c>
      <c r="AF31">
        <v>35.093432999999997</v>
      </c>
      <c r="AG31" s="345">
        <v>1E-3</v>
      </c>
    </row>
    <row r="32" spans="1:33" x14ac:dyDescent="0.25">
      <c r="A32" t="s">
        <v>590</v>
      </c>
      <c r="B32" t="s">
        <v>639</v>
      </c>
      <c r="C32" t="s">
        <v>640</v>
      </c>
      <c r="D32" t="s">
        <v>583</v>
      </c>
      <c r="F32">
        <v>7.531142</v>
      </c>
      <c r="G32">
        <v>7.5409810000000004</v>
      </c>
      <c r="H32">
        <v>6.612533</v>
      </c>
      <c r="I32">
        <v>5.4973710000000002</v>
      </c>
      <c r="J32">
        <v>5.3065509999999998</v>
      </c>
      <c r="K32">
        <v>5.0559940000000001</v>
      </c>
      <c r="L32">
        <v>4.287706</v>
      </c>
      <c r="M32">
        <v>4.0048570000000003</v>
      </c>
      <c r="N32">
        <v>1.5263519999999999</v>
      </c>
      <c r="O32">
        <v>1.5197290000000001</v>
      </c>
      <c r="P32">
        <v>1.4901489999999999</v>
      </c>
      <c r="Q32">
        <v>1.4376089999999999</v>
      </c>
      <c r="R32">
        <v>1.3988370000000001</v>
      </c>
      <c r="S32">
        <v>1.3447880000000001</v>
      </c>
      <c r="T32">
        <v>1.280926</v>
      </c>
      <c r="U32">
        <v>0.90058199999999999</v>
      </c>
      <c r="V32">
        <v>0.89345600000000003</v>
      </c>
      <c r="W32">
        <v>0.88438300000000003</v>
      </c>
      <c r="X32">
        <v>0.87403900000000001</v>
      </c>
      <c r="Y32">
        <v>0.86547600000000002</v>
      </c>
      <c r="Z32">
        <v>0.85112500000000002</v>
      </c>
      <c r="AA32">
        <v>0.82171400000000006</v>
      </c>
      <c r="AB32">
        <v>0.66514899999999999</v>
      </c>
      <c r="AC32">
        <v>0.65548799999999996</v>
      </c>
      <c r="AD32">
        <v>0.64475800000000005</v>
      </c>
      <c r="AE32">
        <v>0.63076500000000002</v>
      </c>
      <c r="AF32">
        <v>0.61913099999999999</v>
      </c>
      <c r="AG32" s="345">
        <v>-9.1999999999999998E-2</v>
      </c>
    </row>
    <row r="33" spans="1:34" x14ac:dyDescent="0.25">
      <c r="A33" t="s">
        <v>593</v>
      </c>
      <c r="B33" t="s">
        <v>641</v>
      </c>
      <c r="C33" t="s">
        <v>642</v>
      </c>
      <c r="D33" t="s">
        <v>583</v>
      </c>
      <c r="F33">
        <v>8.1225660000000008</v>
      </c>
      <c r="G33">
        <v>8.281053</v>
      </c>
      <c r="H33">
        <v>8.3596509999999995</v>
      </c>
      <c r="I33">
        <v>8.3406389999999995</v>
      </c>
      <c r="J33">
        <v>8.3405020000000007</v>
      </c>
      <c r="K33">
        <v>8.3403890000000001</v>
      </c>
      <c r="L33">
        <v>8.2471390000000007</v>
      </c>
      <c r="M33">
        <v>8.1603460000000005</v>
      </c>
      <c r="N33">
        <v>8.1603019999999997</v>
      </c>
      <c r="O33">
        <v>8.1604609999999997</v>
      </c>
      <c r="P33">
        <v>8.1604609999999997</v>
      </c>
      <c r="Q33">
        <v>8.1391779999999994</v>
      </c>
      <c r="R33">
        <v>8.087199</v>
      </c>
      <c r="S33">
        <v>8.1279859999999999</v>
      </c>
      <c r="T33">
        <v>8.1249500000000001</v>
      </c>
      <c r="U33">
        <v>8.1106999999999996</v>
      </c>
      <c r="V33">
        <v>8.1093729999999997</v>
      </c>
      <c r="W33">
        <v>8.1100390000000004</v>
      </c>
      <c r="X33">
        <v>8.1103830000000006</v>
      </c>
      <c r="Y33">
        <v>8.1107829999999996</v>
      </c>
      <c r="Z33">
        <v>8.1087369999999996</v>
      </c>
      <c r="AA33">
        <v>8.1102089999999993</v>
      </c>
      <c r="AB33">
        <v>8.1065240000000003</v>
      </c>
      <c r="AC33">
        <v>8.1099440000000005</v>
      </c>
      <c r="AD33">
        <v>8.109</v>
      </c>
      <c r="AE33">
        <v>8.1071609999999996</v>
      </c>
      <c r="AF33">
        <v>8.1079439999999998</v>
      </c>
      <c r="AG33" s="345">
        <v>0</v>
      </c>
    </row>
    <row r="34" spans="1:34" x14ac:dyDescent="0.25">
      <c r="A34" t="s">
        <v>596</v>
      </c>
      <c r="B34" t="s">
        <v>643</v>
      </c>
      <c r="C34" t="s">
        <v>644</v>
      </c>
      <c r="D34" t="s">
        <v>583</v>
      </c>
      <c r="F34">
        <v>0.82672800000000002</v>
      </c>
      <c r="G34">
        <v>0.89715199999999995</v>
      </c>
      <c r="H34">
        <v>0.931477</v>
      </c>
      <c r="I34">
        <v>0.96589999999999998</v>
      </c>
      <c r="J34">
        <v>0.96665199999999996</v>
      </c>
      <c r="K34">
        <v>0.96660199999999996</v>
      </c>
      <c r="L34">
        <v>0.96851200000000004</v>
      </c>
      <c r="M34">
        <v>0.96875199999999995</v>
      </c>
      <c r="N34">
        <v>0.96900299999999995</v>
      </c>
      <c r="O34">
        <v>0.96907500000000002</v>
      </c>
      <c r="P34">
        <v>0.969638</v>
      </c>
      <c r="Q34">
        <v>0.96777100000000005</v>
      </c>
      <c r="R34">
        <v>0.96438100000000004</v>
      </c>
      <c r="S34">
        <v>0.96052899999999997</v>
      </c>
      <c r="T34">
        <v>0.95894800000000002</v>
      </c>
      <c r="U34">
        <v>0.95181800000000005</v>
      </c>
      <c r="V34">
        <v>0.95054400000000006</v>
      </c>
      <c r="W34">
        <v>0.95869000000000004</v>
      </c>
      <c r="X34">
        <v>0.94952800000000004</v>
      </c>
      <c r="Y34">
        <v>0.93635599999999997</v>
      </c>
      <c r="Z34">
        <v>0.93470799999999998</v>
      </c>
      <c r="AA34">
        <v>0.93285200000000001</v>
      </c>
      <c r="AB34">
        <v>0.91908800000000002</v>
      </c>
      <c r="AC34">
        <v>0.93434499999999998</v>
      </c>
      <c r="AD34">
        <v>0.92108500000000004</v>
      </c>
      <c r="AE34">
        <v>0.93660399999999999</v>
      </c>
      <c r="AF34">
        <v>0.93507799999999996</v>
      </c>
      <c r="AG34" s="345">
        <v>5.0000000000000001E-3</v>
      </c>
    </row>
    <row r="35" spans="1:34" x14ac:dyDescent="0.25">
      <c r="A35" t="s">
        <v>599</v>
      </c>
      <c r="B35" t="s">
        <v>645</v>
      </c>
      <c r="C35" t="s">
        <v>646</v>
      </c>
      <c r="D35" t="s">
        <v>583</v>
      </c>
      <c r="F35">
        <v>2.8276029999999999</v>
      </c>
      <c r="G35">
        <v>2.8733420000000001</v>
      </c>
      <c r="H35">
        <v>2.8761369999999999</v>
      </c>
      <c r="I35">
        <v>2.8647239999999998</v>
      </c>
      <c r="J35">
        <v>2.8543479999999999</v>
      </c>
      <c r="K35">
        <v>2.867029</v>
      </c>
      <c r="L35">
        <v>2.8807489999999998</v>
      </c>
      <c r="M35">
        <v>2.8861520000000001</v>
      </c>
      <c r="N35">
        <v>2.8908100000000001</v>
      </c>
      <c r="O35">
        <v>2.8759109999999999</v>
      </c>
      <c r="P35">
        <v>2.8723079999999999</v>
      </c>
      <c r="Q35">
        <v>2.8701889999999999</v>
      </c>
      <c r="R35">
        <v>2.8841399999999999</v>
      </c>
      <c r="S35">
        <v>2.8827400000000001</v>
      </c>
      <c r="T35">
        <v>2.8773279999999999</v>
      </c>
      <c r="U35">
        <v>2.882768</v>
      </c>
      <c r="V35">
        <v>2.8912529999999999</v>
      </c>
      <c r="W35">
        <v>2.8741729999999999</v>
      </c>
      <c r="X35">
        <v>2.8632499999999999</v>
      </c>
      <c r="Y35">
        <v>2.8473850000000001</v>
      </c>
      <c r="Z35">
        <v>2.8469410000000002</v>
      </c>
      <c r="AA35">
        <v>2.8554520000000001</v>
      </c>
      <c r="AB35">
        <v>2.865723</v>
      </c>
      <c r="AC35">
        <v>2.884223</v>
      </c>
      <c r="AD35">
        <v>2.8992749999999998</v>
      </c>
      <c r="AE35">
        <v>2.9226540000000001</v>
      </c>
      <c r="AF35">
        <v>2.9449510000000001</v>
      </c>
      <c r="AG35" s="345">
        <v>2E-3</v>
      </c>
    </row>
    <row r="36" spans="1:34" x14ac:dyDescent="0.25">
      <c r="A36" t="s">
        <v>602</v>
      </c>
      <c r="B36" t="s">
        <v>647</v>
      </c>
      <c r="C36" t="s">
        <v>648</v>
      </c>
      <c r="D36" t="s">
        <v>583</v>
      </c>
      <c r="F36">
        <v>2.5692430000000002</v>
      </c>
      <c r="G36">
        <v>2.8961510000000001</v>
      </c>
      <c r="H36">
        <v>3.4331879999999999</v>
      </c>
      <c r="I36">
        <v>3.7275809999999998</v>
      </c>
      <c r="J36">
        <v>3.8924660000000002</v>
      </c>
      <c r="K36">
        <v>4.1200780000000004</v>
      </c>
      <c r="L36">
        <v>4.4685480000000002</v>
      </c>
      <c r="M36">
        <v>4.8511709999999999</v>
      </c>
      <c r="N36">
        <v>5.2814399999999999</v>
      </c>
      <c r="O36">
        <v>5.7323250000000003</v>
      </c>
      <c r="P36">
        <v>6.2717720000000003</v>
      </c>
      <c r="Q36">
        <v>6.9150450000000001</v>
      </c>
      <c r="R36">
        <v>7.5222619999999996</v>
      </c>
      <c r="S36">
        <v>8.2463040000000003</v>
      </c>
      <c r="T36">
        <v>8.7321410000000004</v>
      </c>
      <c r="U36">
        <v>9.4190819999999995</v>
      </c>
      <c r="V36">
        <v>9.7425840000000008</v>
      </c>
      <c r="W36">
        <v>9.8890349999999998</v>
      </c>
      <c r="X36">
        <v>10.072232</v>
      </c>
      <c r="Y36">
        <v>10.301824999999999</v>
      </c>
      <c r="Z36">
        <v>10.495996999999999</v>
      </c>
      <c r="AA36">
        <v>10.674303999999999</v>
      </c>
      <c r="AB36">
        <v>10.906046999999999</v>
      </c>
      <c r="AC36">
        <v>11.059608000000001</v>
      </c>
      <c r="AD36">
        <v>11.247785</v>
      </c>
      <c r="AE36">
        <v>11.391185999999999</v>
      </c>
      <c r="AF36">
        <v>11.62299</v>
      </c>
      <c r="AG36" s="345">
        <v>0.06</v>
      </c>
    </row>
    <row r="37" spans="1:34" x14ac:dyDescent="0.25">
      <c r="A37" t="s">
        <v>605</v>
      </c>
      <c r="B37" t="s">
        <v>649</v>
      </c>
      <c r="C37" t="s">
        <v>650</v>
      </c>
      <c r="D37" t="s">
        <v>583</v>
      </c>
      <c r="F37">
        <v>0.18931500000000001</v>
      </c>
      <c r="G37">
        <v>0.20749500000000001</v>
      </c>
      <c r="H37">
        <v>0.23169799999999999</v>
      </c>
      <c r="I37">
        <v>0.29227900000000001</v>
      </c>
      <c r="J37">
        <v>0.33290700000000001</v>
      </c>
      <c r="K37">
        <v>0.35078999999999999</v>
      </c>
      <c r="L37">
        <v>0.37665599999999999</v>
      </c>
      <c r="M37">
        <v>0.38334600000000002</v>
      </c>
      <c r="N37">
        <v>0.389936</v>
      </c>
      <c r="O37">
        <v>0.39834599999999998</v>
      </c>
      <c r="P37">
        <v>0.40015299999999998</v>
      </c>
      <c r="Q37">
        <v>0.40454699999999999</v>
      </c>
      <c r="R37">
        <v>0.39706399999999997</v>
      </c>
      <c r="S37">
        <v>0.39363700000000001</v>
      </c>
      <c r="T37">
        <v>0.39216299999999998</v>
      </c>
      <c r="U37">
        <v>0.384382</v>
      </c>
      <c r="V37">
        <v>0.38911800000000002</v>
      </c>
      <c r="W37">
        <v>0.39063399999999998</v>
      </c>
      <c r="X37">
        <v>0.38831100000000002</v>
      </c>
      <c r="Y37">
        <v>0.368371</v>
      </c>
      <c r="Z37">
        <v>0.36704599999999998</v>
      </c>
      <c r="AA37">
        <v>0.36482500000000001</v>
      </c>
      <c r="AB37">
        <v>0.34887800000000002</v>
      </c>
      <c r="AC37">
        <v>0.33791599999999999</v>
      </c>
      <c r="AD37">
        <v>0.33141599999999999</v>
      </c>
      <c r="AE37">
        <v>0.32147100000000001</v>
      </c>
      <c r="AF37">
        <v>0.31235099999999999</v>
      </c>
      <c r="AG37" s="345">
        <v>1.9E-2</v>
      </c>
    </row>
    <row r="38" spans="1:34" x14ac:dyDescent="0.25">
      <c r="A38" t="s">
        <v>608</v>
      </c>
      <c r="B38" t="s">
        <v>651</v>
      </c>
      <c r="C38" t="s">
        <v>652</v>
      </c>
      <c r="D38" t="s">
        <v>583</v>
      </c>
      <c r="F38">
        <v>93.510268999999994</v>
      </c>
      <c r="G38">
        <v>94.265525999999994</v>
      </c>
      <c r="H38">
        <v>93.461883999999998</v>
      </c>
      <c r="I38">
        <v>93.059196</v>
      </c>
      <c r="J38">
        <v>92.920829999999995</v>
      </c>
      <c r="K38">
        <v>92.769829000000001</v>
      </c>
      <c r="L38">
        <v>92.134506000000002</v>
      </c>
      <c r="M38">
        <v>91.589530999999994</v>
      </c>
      <c r="N38">
        <v>90.550728000000007</v>
      </c>
      <c r="O38">
        <v>89.928246000000001</v>
      </c>
      <c r="P38">
        <v>89.438004000000006</v>
      </c>
      <c r="Q38">
        <v>88.879538999999994</v>
      </c>
      <c r="R38">
        <v>88.410858000000005</v>
      </c>
      <c r="S38">
        <v>87.775886999999997</v>
      </c>
      <c r="T38">
        <v>87.497551000000001</v>
      </c>
      <c r="U38">
        <v>86.914603999999997</v>
      </c>
      <c r="V38">
        <v>87.024260999999996</v>
      </c>
      <c r="W38">
        <v>87.243553000000006</v>
      </c>
      <c r="X38">
        <v>87.452988000000005</v>
      </c>
      <c r="Y38">
        <v>87.660599000000005</v>
      </c>
      <c r="Z38">
        <v>87.940346000000005</v>
      </c>
      <c r="AA38">
        <v>88.184555000000003</v>
      </c>
      <c r="AB38">
        <v>88.390181999999996</v>
      </c>
      <c r="AC38">
        <v>88.771118000000001</v>
      </c>
      <c r="AD38">
        <v>89.073234999999997</v>
      </c>
      <c r="AE38">
        <v>89.510033000000007</v>
      </c>
      <c r="AF38">
        <v>89.841080000000005</v>
      </c>
      <c r="AG38" s="345">
        <v>-2E-3</v>
      </c>
    </row>
    <row r="39" spans="1:34" x14ac:dyDescent="0.25">
      <c r="A39" t="s">
        <v>653</v>
      </c>
    </row>
    <row r="40" spans="1:34" x14ac:dyDescent="0.25">
      <c r="A40" t="s">
        <v>654</v>
      </c>
      <c r="B40" t="s">
        <v>655</v>
      </c>
      <c r="C40" t="s">
        <v>656</v>
      </c>
      <c r="D40" t="s">
        <v>657</v>
      </c>
      <c r="F40">
        <v>80.488997999999995</v>
      </c>
      <c r="G40">
        <v>72.098113999999995</v>
      </c>
      <c r="H40">
        <v>81.882294000000002</v>
      </c>
      <c r="I40">
        <v>80.830214999999995</v>
      </c>
      <c r="J40">
        <v>80.144454999999994</v>
      </c>
      <c r="K40">
        <v>79.671249000000003</v>
      </c>
      <c r="L40">
        <v>80.271332000000001</v>
      </c>
      <c r="M40">
        <v>80.685349000000002</v>
      </c>
      <c r="N40">
        <v>80.152687</v>
      </c>
      <c r="O40">
        <v>81.527366999999998</v>
      </c>
      <c r="P40">
        <v>81.834084000000004</v>
      </c>
      <c r="Q40">
        <v>82.066833000000003</v>
      </c>
      <c r="R40">
        <v>82.899353000000005</v>
      </c>
      <c r="S40">
        <v>83.723358000000005</v>
      </c>
      <c r="T40">
        <v>83.956992999999997</v>
      </c>
      <c r="U40">
        <v>84.545249999999996</v>
      </c>
      <c r="V40">
        <v>84.842322999999993</v>
      </c>
      <c r="W40">
        <v>85.508369000000002</v>
      </c>
      <c r="X40">
        <v>85.588050999999993</v>
      </c>
      <c r="Y40">
        <v>86.591826999999995</v>
      </c>
      <c r="Z40">
        <v>88.318603999999993</v>
      </c>
      <c r="AA40">
        <v>88.201949999999997</v>
      </c>
      <c r="AB40">
        <v>88.563346999999993</v>
      </c>
      <c r="AC40">
        <v>88.361649</v>
      </c>
      <c r="AD40">
        <v>88.484984999999995</v>
      </c>
      <c r="AE40">
        <v>89.236457999999999</v>
      </c>
      <c r="AF40">
        <v>91.593192999999999</v>
      </c>
      <c r="AG40" s="345">
        <v>5.0000000000000001E-3</v>
      </c>
    </row>
    <row r="41" spans="1:34" x14ac:dyDescent="0.25">
      <c r="A41" t="s">
        <v>658</v>
      </c>
      <c r="B41" t="s">
        <v>659</v>
      </c>
      <c r="C41" t="s">
        <v>660</v>
      </c>
      <c r="D41" t="s">
        <v>657</v>
      </c>
      <c r="F41">
        <v>76.508003000000002</v>
      </c>
      <c r="G41">
        <v>67.729598999999993</v>
      </c>
      <c r="H41">
        <v>79.445815999999994</v>
      </c>
      <c r="I41">
        <v>78.608840999999998</v>
      </c>
      <c r="J41">
        <v>78.228531000000004</v>
      </c>
      <c r="K41">
        <v>77.636161999999999</v>
      </c>
      <c r="L41">
        <v>78.437241</v>
      </c>
      <c r="M41">
        <v>78.608031999999994</v>
      </c>
      <c r="N41">
        <v>77.548530999999997</v>
      </c>
      <c r="O41">
        <v>79.480536999999998</v>
      </c>
      <c r="P41">
        <v>79.526381999999998</v>
      </c>
      <c r="Q41">
        <v>79.788345000000007</v>
      </c>
      <c r="R41">
        <v>80.570869000000002</v>
      </c>
      <c r="S41">
        <v>81.721824999999995</v>
      </c>
      <c r="T41">
        <v>81.942206999999996</v>
      </c>
      <c r="U41">
        <v>82.426361</v>
      </c>
      <c r="V41">
        <v>82.814751000000001</v>
      </c>
      <c r="W41">
        <v>83.724670000000003</v>
      </c>
      <c r="X41">
        <v>83.697670000000002</v>
      </c>
      <c r="Y41">
        <v>84.813957000000002</v>
      </c>
      <c r="Z41">
        <v>85.899078000000003</v>
      </c>
      <c r="AA41">
        <v>85.850532999999999</v>
      </c>
      <c r="AB41">
        <v>86.857787999999999</v>
      </c>
      <c r="AC41">
        <v>86.314483999999993</v>
      </c>
      <c r="AD41">
        <v>86.262755999999996</v>
      </c>
      <c r="AE41">
        <v>86.894713999999993</v>
      </c>
      <c r="AF41">
        <v>89.288856999999993</v>
      </c>
      <c r="AG41" s="345">
        <v>6.0000000000000001E-3</v>
      </c>
    </row>
    <row r="42" spans="1:34" x14ac:dyDescent="0.25">
      <c r="A42" t="s">
        <v>661</v>
      </c>
      <c r="B42" t="s">
        <v>662</v>
      </c>
      <c r="C42" t="s">
        <v>663</v>
      </c>
      <c r="D42" t="s">
        <v>664</v>
      </c>
      <c r="F42">
        <v>2.1915819999999999</v>
      </c>
      <c r="G42">
        <v>2.8831120000000001</v>
      </c>
      <c r="H42">
        <v>2.74762</v>
      </c>
      <c r="I42">
        <v>2.6378059999999999</v>
      </c>
      <c r="J42">
        <v>2.7489270000000001</v>
      </c>
      <c r="K42">
        <v>2.9191880000000001</v>
      </c>
      <c r="L42">
        <v>3.1593089999999999</v>
      </c>
      <c r="M42">
        <v>3.3200449999999999</v>
      </c>
      <c r="N42">
        <v>3.7670919999999999</v>
      </c>
      <c r="O42">
        <v>4.1578290000000004</v>
      </c>
      <c r="P42">
        <v>4.4359570000000001</v>
      </c>
      <c r="Q42">
        <v>4.5243409999999997</v>
      </c>
      <c r="R42">
        <v>4.5402199999999997</v>
      </c>
      <c r="S42">
        <v>4.508521</v>
      </c>
      <c r="T42">
        <v>4.4575129999999996</v>
      </c>
      <c r="U42">
        <v>4.4004029999999998</v>
      </c>
      <c r="V42">
        <v>4.4350269999999998</v>
      </c>
      <c r="W42">
        <v>4.5222069999999999</v>
      </c>
      <c r="X42">
        <v>4.6068449999999999</v>
      </c>
      <c r="Y42">
        <v>4.7113440000000004</v>
      </c>
      <c r="Z42">
        <v>4.7967890000000004</v>
      </c>
      <c r="AA42">
        <v>4.8473750000000004</v>
      </c>
      <c r="AB42">
        <v>4.8776999999999999</v>
      </c>
      <c r="AC42">
        <v>4.8873980000000001</v>
      </c>
      <c r="AD42">
        <v>4.9202349999999999</v>
      </c>
      <c r="AE42">
        <v>5.0136570000000003</v>
      </c>
      <c r="AF42">
        <v>5.1268890000000003</v>
      </c>
      <c r="AG42" s="345">
        <v>3.3000000000000002E-2</v>
      </c>
    </row>
    <row r="43" spans="1:34" x14ac:dyDescent="0.25">
      <c r="A43" t="s">
        <v>590</v>
      </c>
      <c r="B43" t="s">
        <v>665</v>
      </c>
      <c r="C43" t="s">
        <v>666</v>
      </c>
      <c r="D43" t="s">
        <v>667</v>
      </c>
      <c r="E43" t="s">
        <v>668</v>
      </c>
      <c r="G43">
        <v>54.323956000000003</v>
      </c>
      <c r="H43">
        <v>51.952637000000003</v>
      </c>
      <c r="I43">
        <v>53.923591999999999</v>
      </c>
      <c r="J43">
        <v>60.110199000000001</v>
      </c>
      <c r="K43">
        <v>60.306820000000002</v>
      </c>
      <c r="L43">
        <v>61.461078999999998</v>
      </c>
      <c r="M43">
        <v>67.126839000000004</v>
      </c>
      <c r="N43">
        <v>67.712311</v>
      </c>
      <c r="O43">
        <v>100.60172300000001</v>
      </c>
      <c r="P43">
        <v>99.572556000000006</v>
      </c>
      <c r="Q43">
        <v>99.422348</v>
      </c>
      <c r="R43">
        <v>101.69921100000001</v>
      </c>
      <c r="S43">
        <v>102.953751</v>
      </c>
      <c r="T43">
        <v>103.512146</v>
      </c>
      <c r="U43">
        <v>102.723366</v>
      </c>
      <c r="V43">
        <v>113.185974</v>
      </c>
      <c r="W43">
        <v>112.638008</v>
      </c>
      <c r="X43">
        <v>115.109818</v>
      </c>
      <c r="Y43">
        <v>114.974304</v>
      </c>
      <c r="Z43">
        <v>114.517639</v>
      </c>
      <c r="AA43">
        <v>114.84880800000001</v>
      </c>
      <c r="AB43">
        <v>115.26274100000001</v>
      </c>
      <c r="AC43">
        <v>119.74282100000001</v>
      </c>
      <c r="AD43">
        <v>119.05368799999999</v>
      </c>
      <c r="AE43">
        <v>118.726974</v>
      </c>
      <c r="AF43">
        <v>118.270782</v>
      </c>
      <c r="AG43">
        <v>118.93337200000001</v>
      </c>
      <c r="AH43" s="345">
        <v>3.1E-2</v>
      </c>
    </row>
    <row r="44" spans="1:34" x14ac:dyDescent="0.25">
      <c r="A44" t="s">
        <v>590</v>
      </c>
      <c r="B44" t="s">
        <v>669</v>
      </c>
      <c r="C44" t="s">
        <v>670</v>
      </c>
      <c r="D44" t="s">
        <v>671</v>
      </c>
      <c r="E44" t="s">
        <v>664</v>
      </c>
      <c r="G44">
        <v>2.5722809999999998</v>
      </c>
      <c r="H44">
        <v>2.4794119999999999</v>
      </c>
      <c r="I44">
        <v>2.552867</v>
      </c>
      <c r="J44">
        <v>2.7856809999999999</v>
      </c>
      <c r="K44">
        <v>2.7779829999999999</v>
      </c>
      <c r="L44">
        <v>2.843467</v>
      </c>
      <c r="M44">
        <v>3.037242</v>
      </c>
      <c r="N44">
        <v>3.064435</v>
      </c>
      <c r="O44">
        <v>4.1578229999999996</v>
      </c>
      <c r="P44">
        <v>4.1331379999999998</v>
      </c>
      <c r="Q44">
        <v>4.1124099999999997</v>
      </c>
      <c r="R44">
        <v>4.1516109999999999</v>
      </c>
      <c r="S44">
        <v>4.1999360000000001</v>
      </c>
      <c r="T44">
        <v>4.2017249999999997</v>
      </c>
      <c r="U44">
        <v>4.2152149999999997</v>
      </c>
      <c r="V44">
        <v>4.4641419999999998</v>
      </c>
      <c r="W44">
        <v>4.4153919999999998</v>
      </c>
      <c r="X44">
        <v>4.4827120000000003</v>
      </c>
      <c r="Y44">
        <v>4.4773120000000004</v>
      </c>
      <c r="Z44">
        <v>4.4657879999999999</v>
      </c>
      <c r="AA44">
        <v>4.4806809999999997</v>
      </c>
      <c r="AB44">
        <v>4.5007799999999998</v>
      </c>
      <c r="AC44">
        <v>4.6248870000000002</v>
      </c>
      <c r="AD44">
        <v>4.6211229999999999</v>
      </c>
      <c r="AE44">
        <v>4.6202730000000001</v>
      </c>
      <c r="AF44">
        <v>4.6121949999999998</v>
      </c>
      <c r="AG44">
        <v>4.6188640000000003</v>
      </c>
      <c r="AH44" s="345">
        <v>2.3E-2</v>
      </c>
    </row>
    <row r="45" spans="1:34" x14ac:dyDescent="0.25">
      <c r="A45" t="s">
        <v>590</v>
      </c>
      <c r="B45" t="s">
        <v>672</v>
      </c>
      <c r="C45" t="s">
        <v>673</v>
      </c>
      <c r="D45" t="s">
        <v>674</v>
      </c>
      <c r="E45" t="s">
        <v>664</v>
      </c>
      <c r="G45">
        <v>2.8481719999999999</v>
      </c>
      <c r="H45">
        <v>2.7869630000000001</v>
      </c>
      <c r="I45">
        <v>2.7918059999999998</v>
      </c>
      <c r="J45">
        <v>2.8220230000000002</v>
      </c>
      <c r="K45">
        <v>2.73556</v>
      </c>
      <c r="L45">
        <v>2.7449080000000001</v>
      </c>
      <c r="M45">
        <v>2.8430309999999999</v>
      </c>
      <c r="N45">
        <v>2.8508909999999998</v>
      </c>
      <c r="O45">
        <v>3.8113440000000001</v>
      </c>
      <c r="P45">
        <v>3.7776010000000002</v>
      </c>
      <c r="Q45">
        <v>3.7610899999999998</v>
      </c>
      <c r="R45">
        <v>3.7774800000000002</v>
      </c>
      <c r="S45">
        <v>3.7872180000000002</v>
      </c>
      <c r="T45">
        <v>3.8424119999999999</v>
      </c>
      <c r="U45">
        <v>3.894377</v>
      </c>
      <c r="V45">
        <v>4.5756209999999999</v>
      </c>
      <c r="W45">
        <v>4.5646719999999998</v>
      </c>
      <c r="X45">
        <v>4.5346880000000001</v>
      </c>
      <c r="Y45">
        <v>4.5108550000000003</v>
      </c>
      <c r="Z45">
        <v>4.4963040000000003</v>
      </c>
      <c r="AA45">
        <v>4.4953329999999996</v>
      </c>
      <c r="AB45">
        <v>4.5308029999999997</v>
      </c>
      <c r="AC45">
        <v>4.983663</v>
      </c>
      <c r="AD45">
        <v>4.9893460000000003</v>
      </c>
      <c r="AE45">
        <v>4.9693529999999999</v>
      </c>
      <c r="AF45">
        <v>4.965509</v>
      </c>
      <c r="AG45">
        <v>4.9458719999999996</v>
      </c>
      <c r="AH45" s="345">
        <v>2.1000000000000001E-2</v>
      </c>
    </row>
    <row r="46" spans="1:34" x14ac:dyDescent="0.25">
      <c r="A46" t="s">
        <v>675</v>
      </c>
      <c r="B46" t="s">
        <v>676</v>
      </c>
      <c r="C46" t="s">
        <v>677</v>
      </c>
      <c r="D46" t="s">
        <v>678</v>
      </c>
      <c r="F46">
        <v>12.999242000000001</v>
      </c>
      <c r="G46">
        <v>12.738352000000001</v>
      </c>
      <c r="H46">
        <v>11.901664999999999</v>
      </c>
      <c r="I46">
        <v>11.27643</v>
      </c>
      <c r="J46">
        <v>11.216611</v>
      </c>
      <c r="K46">
        <v>11.340752</v>
      </c>
      <c r="L46">
        <v>11.49601</v>
      </c>
      <c r="M46">
        <v>11.701988</v>
      </c>
      <c r="N46">
        <v>11.882509000000001</v>
      </c>
      <c r="O46">
        <v>12.143003999999999</v>
      </c>
      <c r="P46">
        <v>12.224126999999999</v>
      </c>
      <c r="Q46">
        <v>12.159363000000001</v>
      </c>
      <c r="R46">
        <v>12.045938</v>
      </c>
      <c r="S46">
        <v>11.952123</v>
      </c>
      <c r="T46">
        <v>12.011766</v>
      </c>
      <c r="U46">
        <v>11.93435</v>
      </c>
      <c r="V46">
        <v>11.897681</v>
      </c>
      <c r="W46">
        <v>11.903074999999999</v>
      </c>
      <c r="X46">
        <v>11.960183000000001</v>
      </c>
      <c r="Y46">
        <v>12.015017</v>
      </c>
      <c r="Z46">
        <v>12.085792</v>
      </c>
      <c r="AA46">
        <v>12.141493000000001</v>
      </c>
      <c r="AB46">
        <v>12.201606</v>
      </c>
      <c r="AC46">
        <v>12.235764</v>
      </c>
      <c r="AD46">
        <v>12.322592</v>
      </c>
      <c r="AE46">
        <v>12.400880000000001</v>
      </c>
      <c r="AF46">
        <v>12.494728</v>
      </c>
      <c r="AG46" s="345">
        <v>-2E-3</v>
      </c>
    </row>
    <row r="47" spans="1:34" x14ac:dyDescent="0.25">
      <c r="A47" t="s">
        <v>519</v>
      </c>
    </row>
    <row r="48" spans="1:34" x14ac:dyDescent="0.25">
      <c r="A48" t="s">
        <v>654</v>
      </c>
      <c r="B48" t="s">
        <v>679</v>
      </c>
      <c r="C48" t="s">
        <v>680</v>
      </c>
      <c r="D48" t="s">
        <v>681</v>
      </c>
      <c r="F48">
        <v>80.488997999999995</v>
      </c>
      <c r="G48">
        <v>73.574996999999996</v>
      </c>
      <c r="H48">
        <v>84.972831999999997</v>
      </c>
      <c r="I48">
        <v>85.284660000000002</v>
      </c>
      <c r="J48">
        <v>86.162032999999994</v>
      </c>
      <c r="K48">
        <v>87.181952999999993</v>
      </c>
      <c r="L48">
        <v>89.489379999999997</v>
      </c>
      <c r="M48">
        <v>91.810851999999997</v>
      </c>
      <c r="N48">
        <v>93.151557999999994</v>
      </c>
      <c r="O48">
        <v>96.828261999999995</v>
      </c>
      <c r="P48">
        <v>99.361305000000002</v>
      </c>
      <c r="Q48">
        <v>101.812477</v>
      </c>
      <c r="R48">
        <v>104.977188</v>
      </c>
      <c r="S48">
        <v>108.227531</v>
      </c>
      <c r="T48">
        <v>110.79067999999999</v>
      </c>
      <c r="U48">
        <v>113.864845</v>
      </c>
      <c r="V48">
        <v>116.660675</v>
      </c>
      <c r="W48">
        <v>120.08522000000001</v>
      </c>
      <c r="X48">
        <v>122.790359</v>
      </c>
      <c r="Y48">
        <v>126.953575</v>
      </c>
      <c r="Z48">
        <v>132.34629799999999</v>
      </c>
      <c r="AA48">
        <v>135.11570699999999</v>
      </c>
      <c r="AB48">
        <v>138.69769299999999</v>
      </c>
      <c r="AC48">
        <v>141.518036</v>
      </c>
      <c r="AD48">
        <v>144.941498</v>
      </c>
      <c r="AE48">
        <v>149.51409899999999</v>
      </c>
      <c r="AF48">
        <v>156.98739599999999</v>
      </c>
      <c r="AG48" s="345">
        <v>2.5999999999999999E-2</v>
      </c>
    </row>
    <row r="49" spans="1:34" x14ac:dyDescent="0.25">
      <c r="A49" t="s">
        <v>658</v>
      </c>
      <c r="B49" t="s">
        <v>682</v>
      </c>
      <c r="C49" t="s">
        <v>683</v>
      </c>
      <c r="D49" t="s">
        <v>681</v>
      </c>
      <c r="F49">
        <v>76.508003000000002</v>
      </c>
      <c r="G49">
        <v>69.116996999999998</v>
      </c>
      <c r="H49">
        <v>82.444389000000001</v>
      </c>
      <c r="I49">
        <v>82.940871999999999</v>
      </c>
      <c r="J49">
        <v>84.102249</v>
      </c>
      <c r="K49">
        <v>84.955016999999998</v>
      </c>
      <c r="L49">
        <v>87.444671999999997</v>
      </c>
      <c r="M49">
        <v>89.447104999999993</v>
      </c>
      <c r="N49">
        <v>90.125068999999996</v>
      </c>
      <c r="O49">
        <v>94.397293000000005</v>
      </c>
      <c r="P49">
        <v>96.559341000000003</v>
      </c>
      <c r="Q49">
        <v>98.985771</v>
      </c>
      <c r="R49">
        <v>102.028572</v>
      </c>
      <c r="S49">
        <v>105.640198</v>
      </c>
      <c r="T49">
        <v>108.131935</v>
      </c>
      <c r="U49">
        <v>111.01114699999999</v>
      </c>
      <c r="V49">
        <v>113.872704</v>
      </c>
      <c r="W49">
        <v>117.580254</v>
      </c>
      <c r="X49">
        <v>120.07828499999999</v>
      </c>
      <c r="Y49">
        <v>124.347008</v>
      </c>
      <c r="Z49">
        <v>128.72062700000001</v>
      </c>
      <c r="AA49">
        <v>131.51359600000001</v>
      </c>
      <c r="AB49">
        <v>136.02664200000001</v>
      </c>
      <c r="AC49">
        <v>138.239349</v>
      </c>
      <c r="AD49">
        <v>141.30140700000001</v>
      </c>
      <c r="AE49">
        <v>145.59056100000001</v>
      </c>
      <c r="AF49">
        <v>153.03784200000001</v>
      </c>
      <c r="AG49" s="345">
        <v>2.7E-2</v>
      </c>
    </row>
    <row r="50" spans="1:34" x14ac:dyDescent="0.25">
      <c r="A50" t="s">
        <v>661</v>
      </c>
      <c r="B50" t="s">
        <v>684</v>
      </c>
      <c r="C50" t="s">
        <v>685</v>
      </c>
      <c r="D50" t="s">
        <v>686</v>
      </c>
      <c r="F50">
        <v>2.1915819999999999</v>
      </c>
      <c r="G50">
        <v>2.9421710000000001</v>
      </c>
      <c r="H50">
        <v>2.8513250000000001</v>
      </c>
      <c r="I50">
        <v>2.7831730000000001</v>
      </c>
      <c r="J50">
        <v>2.9553280000000002</v>
      </c>
      <c r="K50">
        <v>3.1943830000000002</v>
      </c>
      <c r="L50">
        <v>3.5221119999999999</v>
      </c>
      <c r="M50">
        <v>3.777838</v>
      </c>
      <c r="N50">
        <v>4.3780260000000002</v>
      </c>
      <c r="O50">
        <v>4.9381630000000003</v>
      </c>
      <c r="P50">
        <v>5.38605</v>
      </c>
      <c r="Q50">
        <v>5.6129160000000002</v>
      </c>
      <c r="R50">
        <v>5.7493759999999998</v>
      </c>
      <c r="S50">
        <v>5.8280770000000004</v>
      </c>
      <c r="T50">
        <v>5.8821890000000003</v>
      </c>
      <c r="U50">
        <v>5.9264260000000002</v>
      </c>
      <c r="V50">
        <v>6.0982909999999997</v>
      </c>
      <c r="W50">
        <v>6.3508430000000002</v>
      </c>
      <c r="X50">
        <v>6.6092890000000004</v>
      </c>
      <c r="Y50">
        <v>6.9073719999999996</v>
      </c>
      <c r="Z50">
        <v>7.1880350000000002</v>
      </c>
      <c r="AA50">
        <v>7.4256469999999997</v>
      </c>
      <c r="AB50">
        <v>7.6388910000000001</v>
      </c>
      <c r="AC50">
        <v>7.827547</v>
      </c>
      <c r="AD50">
        <v>8.0595169999999996</v>
      </c>
      <c r="AE50">
        <v>8.4002940000000006</v>
      </c>
      <c r="AF50">
        <v>8.7873009999999994</v>
      </c>
      <c r="AG50" s="345">
        <v>5.5E-2</v>
      </c>
    </row>
    <row r="51" spans="1:34" x14ac:dyDescent="0.25">
      <c r="A51" t="s">
        <v>590</v>
      </c>
      <c r="B51" t="s">
        <v>665</v>
      </c>
      <c r="C51" t="s">
        <v>687</v>
      </c>
      <c r="D51" t="s">
        <v>688</v>
      </c>
      <c r="E51" t="s">
        <v>689</v>
      </c>
      <c r="G51">
        <v>54.323956000000003</v>
      </c>
      <c r="H51">
        <v>53.016852999999998</v>
      </c>
      <c r="I51">
        <v>55.958866</v>
      </c>
      <c r="J51">
        <v>63.422798</v>
      </c>
      <c r="K51">
        <v>64.834900000000005</v>
      </c>
      <c r="L51">
        <v>67.255088999999998</v>
      </c>
      <c r="M51">
        <v>74.835425999999998</v>
      </c>
      <c r="N51">
        <v>77.049003999999996</v>
      </c>
      <c r="O51">
        <v>116.916946</v>
      </c>
      <c r="P51">
        <v>118.260139</v>
      </c>
      <c r="Q51">
        <v>120.71661400000001</v>
      </c>
      <c r="R51">
        <v>126.168488</v>
      </c>
      <c r="S51">
        <v>130.37249800000001</v>
      </c>
      <c r="T51">
        <v>133.808121</v>
      </c>
      <c r="U51">
        <v>135.55500799999999</v>
      </c>
      <c r="V51">
        <v>152.43794299999999</v>
      </c>
      <c r="W51">
        <v>154.88055399999999</v>
      </c>
      <c r="X51">
        <v>161.656555</v>
      </c>
      <c r="Y51">
        <v>164.94984400000001</v>
      </c>
      <c r="Z51">
        <v>167.896027</v>
      </c>
      <c r="AA51">
        <v>172.10206600000001</v>
      </c>
      <c r="AB51">
        <v>176.569885</v>
      </c>
      <c r="AC51">
        <v>187.52737400000001</v>
      </c>
      <c r="AD51">
        <v>190.673721</v>
      </c>
      <c r="AE51">
        <v>194.478928</v>
      </c>
      <c r="AF51">
        <v>198.16059899999999</v>
      </c>
      <c r="AG51">
        <v>203.84745799999999</v>
      </c>
      <c r="AH51" s="345">
        <v>5.1999999999999998E-2</v>
      </c>
    </row>
    <row r="52" spans="1:34" x14ac:dyDescent="0.25">
      <c r="A52" t="s">
        <v>590</v>
      </c>
      <c r="B52" t="s">
        <v>669</v>
      </c>
      <c r="C52" t="s">
        <v>690</v>
      </c>
      <c r="D52" t="s">
        <v>691</v>
      </c>
      <c r="E52" t="s">
        <v>686</v>
      </c>
      <c r="G52">
        <v>2.5722809999999998</v>
      </c>
      <c r="H52">
        <v>2.5302009999999999</v>
      </c>
      <c r="I52">
        <v>2.649222</v>
      </c>
      <c r="J52">
        <v>2.9391959999999999</v>
      </c>
      <c r="K52">
        <v>2.9865650000000001</v>
      </c>
      <c r="L52">
        <v>3.1115249999999999</v>
      </c>
      <c r="M52">
        <v>3.3860269999999999</v>
      </c>
      <c r="N52">
        <v>3.4869829999999999</v>
      </c>
      <c r="O52">
        <v>4.8321230000000002</v>
      </c>
      <c r="P52">
        <v>4.9088370000000001</v>
      </c>
      <c r="Q52">
        <v>4.9932049999999997</v>
      </c>
      <c r="R52">
        <v>5.1505070000000002</v>
      </c>
      <c r="S52">
        <v>5.3184670000000001</v>
      </c>
      <c r="T52">
        <v>5.4314869999999997</v>
      </c>
      <c r="U52">
        <v>5.562449</v>
      </c>
      <c r="V52">
        <v>6.0122689999999999</v>
      </c>
      <c r="W52">
        <v>6.071294</v>
      </c>
      <c r="X52">
        <v>6.2953770000000002</v>
      </c>
      <c r="Y52">
        <v>6.423451</v>
      </c>
      <c r="Z52">
        <v>6.5473590000000002</v>
      </c>
      <c r="AA52">
        <v>6.7143449999999998</v>
      </c>
      <c r="AB52">
        <v>6.8947010000000004</v>
      </c>
      <c r="AC52">
        <v>7.2429649999999999</v>
      </c>
      <c r="AD52">
        <v>7.4010879999999997</v>
      </c>
      <c r="AE52">
        <v>7.5681690000000001</v>
      </c>
      <c r="AF52">
        <v>7.7276509999999998</v>
      </c>
      <c r="AG52">
        <v>7.9165640000000002</v>
      </c>
      <c r="AH52" s="345">
        <v>4.3999999999999997E-2</v>
      </c>
    </row>
    <row r="53" spans="1:34" x14ac:dyDescent="0.25">
      <c r="A53" t="s">
        <v>590</v>
      </c>
      <c r="B53" t="s">
        <v>672</v>
      </c>
      <c r="C53" t="s">
        <v>692</v>
      </c>
      <c r="D53" t="s">
        <v>693</v>
      </c>
      <c r="E53" t="s">
        <v>686</v>
      </c>
      <c r="G53">
        <v>2.8481719999999999</v>
      </c>
      <c r="H53">
        <v>2.8440530000000002</v>
      </c>
      <c r="I53">
        <v>2.8971789999999999</v>
      </c>
      <c r="J53">
        <v>2.977541</v>
      </c>
      <c r="K53">
        <v>2.9409580000000002</v>
      </c>
      <c r="L53">
        <v>3.0036740000000002</v>
      </c>
      <c r="M53">
        <v>3.1695129999999998</v>
      </c>
      <c r="N53">
        <v>3.2439930000000001</v>
      </c>
      <c r="O53">
        <v>4.4294539999999998</v>
      </c>
      <c r="P53">
        <v>4.4865740000000001</v>
      </c>
      <c r="Q53">
        <v>4.5666399999999996</v>
      </c>
      <c r="R53">
        <v>4.6863580000000002</v>
      </c>
      <c r="S53">
        <v>4.7958340000000002</v>
      </c>
      <c r="T53">
        <v>4.9670100000000001</v>
      </c>
      <c r="U53">
        <v>5.1390669999999998</v>
      </c>
      <c r="V53">
        <v>6.1624090000000002</v>
      </c>
      <c r="W53">
        <v>6.2765570000000004</v>
      </c>
      <c r="X53">
        <v>6.3683709999999998</v>
      </c>
      <c r="Y53">
        <v>6.4715749999999996</v>
      </c>
      <c r="Z53">
        <v>6.5920990000000002</v>
      </c>
      <c r="AA53">
        <v>6.7363010000000001</v>
      </c>
      <c r="AB53">
        <v>6.9406939999999997</v>
      </c>
      <c r="AC53">
        <v>7.804837</v>
      </c>
      <c r="AD53">
        <v>7.9908250000000001</v>
      </c>
      <c r="AE53">
        <v>8.1399740000000005</v>
      </c>
      <c r="AF53">
        <v>8.319623</v>
      </c>
      <c r="AG53">
        <v>8.4770450000000004</v>
      </c>
      <c r="AH53" s="345">
        <v>4.2999999999999997E-2</v>
      </c>
    </row>
    <row r="54" spans="1:34" x14ac:dyDescent="0.25">
      <c r="A54" t="s">
        <v>675</v>
      </c>
      <c r="B54" t="s">
        <v>694</v>
      </c>
      <c r="C54" t="s">
        <v>695</v>
      </c>
      <c r="D54" t="s">
        <v>696</v>
      </c>
      <c r="F54">
        <v>12.999242000000001</v>
      </c>
      <c r="G54">
        <v>12.999288999999999</v>
      </c>
      <c r="H54">
        <v>12.350878</v>
      </c>
      <c r="I54">
        <v>11.89786</v>
      </c>
      <c r="J54">
        <v>12.0588</v>
      </c>
      <c r="K54">
        <v>12.409858</v>
      </c>
      <c r="L54">
        <v>12.816167</v>
      </c>
      <c r="M54">
        <v>13.315547</v>
      </c>
      <c r="N54">
        <v>13.809571</v>
      </c>
      <c r="O54">
        <v>14.42198</v>
      </c>
      <c r="P54">
        <v>14.84229</v>
      </c>
      <c r="Q54">
        <v>15.084959</v>
      </c>
      <c r="R54">
        <v>15.254025</v>
      </c>
      <c r="S54">
        <v>15.450274</v>
      </c>
      <c r="T54">
        <v>15.850873999999999</v>
      </c>
      <c r="U54">
        <v>16.073086</v>
      </c>
      <c r="V54">
        <v>16.359659000000001</v>
      </c>
      <c r="W54">
        <v>16.716298999999999</v>
      </c>
      <c r="X54">
        <v>17.158881999999998</v>
      </c>
      <c r="Y54">
        <v>17.615394999999999</v>
      </c>
      <c r="Z54">
        <v>18.110678</v>
      </c>
      <c r="AA54">
        <v>18.599436000000001</v>
      </c>
      <c r="AB54">
        <v>19.108746</v>
      </c>
      <c r="AC54">
        <v>19.596525</v>
      </c>
      <c r="AD54">
        <v>20.184835</v>
      </c>
      <c r="AE54">
        <v>20.777453999999999</v>
      </c>
      <c r="AF54">
        <v>21.415507999999999</v>
      </c>
      <c r="AG54" s="345">
        <v>1.9E-2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2837"/>
  <sheetViews>
    <sheetView workbookViewId="0">
      <selection activeCell="G49" sqref="G49"/>
    </sheetView>
  </sheetViews>
  <sheetFormatPr defaultColWidth="8.7109375" defaultRowHeight="12" x14ac:dyDescent="0.2"/>
  <cols>
    <col min="1" max="1" width="19.7109375" style="36" bestFit="1" customWidth="1"/>
    <col min="2" max="2" width="46.7109375" style="36" customWidth="1"/>
    <col min="3" max="3" width="8.7109375" style="36" customWidth="1"/>
    <col min="4" max="16384" width="8.7109375" style="36"/>
  </cols>
  <sheetData>
    <row r="1" spans="1:33" ht="15" customHeight="1" thickBot="1" x14ac:dyDescent="0.25">
      <c r="B1" s="52" t="s">
        <v>430</v>
      </c>
      <c r="C1" s="49">
        <v>2021</v>
      </c>
      <c r="D1" s="49">
        <v>2022</v>
      </c>
      <c r="E1" s="49">
        <v>2023</v>
      </c>
      <c r="F1" s="49">
        <v>2024</v>
      </c>
      <c r="G1" s="49">
        <v>2025</v>
      </c>
      <c r="H1" s="49">
        <v>2026</v>
      </c>
      <c r="I1" s="49">
        <v>2027</v>
      </c>
      <c r="J1" s="49">
        <v>2028</v>
      </c>
      <c r="K1" s="49">
        <v>2029</v>
      </c>
      <c r="L1" s="49">
        <v>2030</v>
      </c>
      <c r="M1" s="49">
        <v>2031</v>
      </c>
      <c r="N1" s="49">
        <v>2032</v>
      </c>
      <c r="O1" s="49">
        <v>2033</v>
      </c>
      <c r="P1" s="49">
        <v>2034</v>
      </c>
      <c r="Q1" s="49">
        <v>2035</v>
      </c>
      <c r="R1" s="49">
        <v>2036</v>
      </c>
      <c r="S1" s="49">
        <v>2037</v>
      </c>
      <c r="T1" s="49">
        <v>2038</v>
      </c>
      <c r="U1" s="49">
        <v>2039</v>
      </c>
      <c r="V1" s="49">
        <v>2040</v>
      </c>
      <c r="W1" s="49">
        <v>2041</v>
      </c>
      <c r="X1" s="49">
        <v>2042</v>
      </c>
      <c r="Y1" s="49">
        <v>2043</v>
      </c>
      <c r="Z1" s="49">
        <v>2044</v>
      </c>
      <c r="AA1" s="49">
        <v>2045</v>
      </c>
      <c r="AB1" s="49">
        <v>2046</v>
      </c>
      <c r="AC1" s="49">
        <v>2047</v>
      </c>
      <c r="AD1" s="49">
        <v>2048</v>
      </c>
      <c r="AE1" s="49">
        <v>2049</v>
      </c>
      <c r="AF1" s="49">
        <v>2050</v>
      </c>
    </row>
    <row r="2" spans="1:33" ht="15" customHeight="1" thickTop="1" x14ac:dyDescent="0.2"/>
    <row r="3" spans="1:33" ht="15" customHeight="1" x14ac:dyDescent="0.2">
      <c r="C3" s="54" t="s">
        <v>431</v>
      </c>
      <c r="D3" s="54" t="s">
        <v>432</v>
      </c>
      <c r="E3" s="54"/>
      <c r="F3" s="54"/>
      <c r="G3" s="54"/>
    </row>
    <row r="4" spans="1:33" ht="15" customHeight="1" x14ac:dyDescent="0.2">
      <c r="C4" s="54" t="s">
        <v>433</v>
      </c>
      <c r="D4" s="54" t="s">
        <v>434</v>
      </c>
      <c r="E4" s="54"/>
      <c r="F4" s="54"/>
      <c r="G4" s="54" t="s">
        <v>435</v>
      </c>
    </row>
    <row r="5" spans="1:33" ht="15" customHeight="1" x14ac:dyDescent="0.2">
      <c r="C5" s="54" t="s">
        <v>436</v>
      </c>
      <c r="D5" s="54" t="s">
        <v>437</v>
      </c>
      <c r="E5" s="54"/>
      <c r="F5" s="54"/>
      <c r="G5" s="54"/>
    </row>
    <row r="6" spans="1:33" ht="15" customHeight="1" x14ac:dyDescent="0.2">
      <c r="C6" s="54" t="s">
        <v>438</v>
      </c>
      <c r="D6" s="54"/>
      <c r="E6" s="54" t="s">
        <v>439</v>
      </c>
      <c r="F6" s="54"/>
      <c r="G6" s="54"/>
    </row>
    <row r="10" spans="1:33" ht="15" customHeight="1" x14ac:dyDescent="0.25">
      <c r="A10" s="42" t="s">
        <v>697</v>
      </c>
      <c r="B10" s="53" t="s">
        <v>698</v>
      </c>
      <c r="AG10" s="50" t="s">
        <v>442</v>
      </c>
    </row>
    <row r="11" spans="1:33" ht="15" customHeight="1" x14ac:dyDescent="0.2">
      <c r="B11" s="52" t="s">
        <v>699</v>
      </c>
      <c r="AG11" s="50" t="s">
        <v>444</v>
      </c>
    </row>
    <row r="12" spans="1:33" ht="15" customHeight="1" x14ac:dyDescent="0.2">
      <c r="B12" s="52"/>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0" t="s">
        <v>445</v>
      </c>
    </row>
    <row r="13" spans="1:33" ht="15" customHeight="1" thickBot="1" x14ac:dyDescent="0.25">
      <c r="B13" s="49" t="s">
        <v>700</v>
      </c>
      <c r="C13" s="49">
        <v>2021</v>
      </c>
      <c r="D13" s="49">
        <v>2022</v>
      </c>
      <c r="E13" s="49">
        <v>2023</v>
      </c>
      <c r="F13" s="49">
        <v>2024</v>
      </c>
      <c r="G13" s="49">
        <v>2025</v>
      </c>
      <c r="H13" s="49">
        <v>2026</v>
      </c>
      <c r="I13" s="49">
        <v>2027</v>
      </c>
      <c r="J13" s="49">
        <v>2028</v>
      </c>
      <c r="K13" s="49">
        <v>2029</v>
      </c>
      <c r="L13" s="49">
        <v>2030</v>
      </c>
      <c r="M13" s="49">
        <v>2031</v>
      </c>
      <c r="N13" s="49">
        <v>2032</v>
      </c>
      <c r="O13" s="49">
        <v>2033</v>
      </c>
      <c r="P13" s="49">
        <v>2034</v>
      </c>
      <c r="Q13" s="49">
        <v>2035</v>
      </c>
      <c r="R13" s="49">
        <v>2036</v>
      </c>
      <c r="S13" s="49">
        <v>2037</v>
      </c>
      <c r="T13" s="49">
        <v>2038</v>
      </c>
      <c r="U13" s="49">
        <v>2039</v>
      </c>
      <c r="V13" s="49">
        <v>2040</v>
      </c>
      <c r="W13" s="49">
        <v>2041</v>
      </c>
      <c r="X13" s="49">
        <v>2042</v>
      </c>
      <c r="Y13" s="49">
        <v>2043</v>
      </c>
      <c r="Z13" s="49">
        <v>2044</v>
      </c>
      <c r="AA13" s="49">
        <v>2045</v>
      </c>
      <c r="AB13" s="49">
        <v>2046</v>
      </c>
      <c r="AC13" s="49">
        <v>2047</v>
      </c>
      <c r="AD13" s="49">
        <v>2048</v>
      </c>
      <c r="AE13" s="49">
        <v>2049</v>
      </c>
      <c r="AF13" s="49">
        <v>2050</v>
      </c>
      <c r="AG13" s="48" t="s">
        <v>447</v>
      </c>
    </row>
    <row r="14" spans="1:33" ht="15" customHeight="1" thickTop="1" x14ac:dyDescent="0.2"/>
    <row r="15" spans="1:33" ht="15" customHeight="1" x14ac:dyDescent="0.2">
      <c r="B15" s="45" t="s">
        <v>701</v>
      </c>
    </row>
    <row r="16" spans="1:33" ht="15" customHeight="1" x14ac:dyDescent="0.2"/>
    <row r="17" spans="1:33" ht="15" customHeight="1" x14ac:dyDescent="0.2">
      <c r="B17" s="45" t="s">
        <v>702</v>
      </c>
    </row>
    <row r="18" spans="1:33" ht="15" customHeight="1" x14ac:dyDescent="0.2">
      <c r="B18" s="45" t="s">
        <v>703</v>
      </c>
    </row>
    <row r="19" spans="1:33" ht="15" customHeight="1" x14ac:dyDescent="0.25">
      <c r="A19" s="42" t="s">
        <v>704</v>
      </c>
      <c r="B19" s="41" t="s">
        <v>705</v>
      </c>
      <c r="C19" s="44">
        <v>937.80651899999998</v>
      </c>
      <c r="D19" s="44">
        <v>902.79296899999997</v>
      </c>
      <c r="E19" s="44">
        <v>855.84497099999999</v>
      </c>
      <c r="F19" s="44">
        <v>729.351135</v>
      </c>
      <c r="G19" s="44">
        <v>694.98992899999996</v>
      </c>
      <c r="H19" s="44">
        <v>676.45062299999995</v>
      </c>
      <c r="I19" s="44">
        <v>654.36309800000004</v>
      </c>
      <c r="J19" s="44">
        <v>651.690247</v>
      </c>
      <c r="K19" s="44">
        <v>648.38378899999998</v>
      </c>
      <c r="L19" s="44">
        <v>634.29834000000005</v>
      </c>
      <c r="M19" s="44">
        <v>628.358521</v>
      </c>
      <c r="N19" s="44">
        <v>614.23730499999999</v>
      </c>
      <c r="O19" s="44">
        <v>619.12335199999995</v>
      </c>
      <c r="P19" s="44">
        <v>591.74993900000004</v>
      </c>
      <c r="Q19" s="44">
        <v>562.14038100000005</v>
      </c>
      <c r="R19" s="44">
        <v>550.95330799999999</v>
      </c>
      <c r="S19" s="44">
        <v>539.45202600000005</v>
      </c>
      <c r="T19" s="44">
        <v>537.27612299999998</v>
      </c>
      <c r="U19" s="44">
        <v>535.66595500000005</v>
      </c>
      <c r="V19" s="44">
        <v>527.23278800000003</v>
      </c>
      <c r="W19" s="44">
        <v>526.12933299999997</v>
      </c>
      <c r="X19" s="44">
        <v>520.81158400000004</v>
      </c>
      <c r="Y19" s="44">
        <v>512.45068400000002</v>
      </c>
      <c r="Z19" s="44">
        <v>506.18017600000002</v>
      </c>
      <c r="AA19" s="44">
        <v>494.879456</v>
      </c>
      <c r="AB19" s="44">
        <v>490.44732699999997</v>
      </c>
      <c r="AC19" s="44">
        <v>481.47122200000001</v>
      </c>
      <c r="AD19" s="44">
        <v>472.30859400000003</v>
      </c>
      <c r="AE19" s="44">
        <v>468.36456299999998</v>
      </c>
      <c r="AF19" s="44">
        <v>473.48391700000002</v>
      </c>
      <c r="AG19" s="39">
        <v>-2.3290999999999999E-2</v>
      </c>
    </row>
    <row r="20" spans="1:33" ht="15" customHeight="1" x14ac:dyDescent="0.25">
      <c r="A20" s="42" t="s">
        <v>706</v>
      </c>
      <c r="B20" s="41" t="s">
        <v>707</v>
      </c>
      <c r="C20" s="44">
        <v>10.325683</v>
      </c>
      <c r="D20" s="44">
        <v>9.9716819999999995</v>
      </c>
      <c r="E20" s="44">
        <v>9.8739460000000001</v>
      </c>
      <c r="F20" s="44">
        <v>9.2415900000000004</v>
      </c>
      <c r="G20" s="44">
        <v>8.9796390000000006</v>
      </c>
      <c r="H20" s="44">
        <v>8.5543180000000003</v>
      </c>
      <c r="I20" s="44">
        <v>8.0035860000000003</v>
      </c>
      <c r="J20" s="44">
        <v>7.7386460000000001</v>
      </c>
      <c r="K20" s="44">
        <v>7.6099759999999996</v>
      </c>
      <c r="L20" s="44">
        <v>7.3755269999999999</v>
      </c>
      <c r="M20" s="44">
        <v>7.0891250000000001</v>
      </c>
      <c r="N20" s="44">
        <v>7.0004819999999999</v>
      </c>
      <c r="O20" s="44">
        <v>6.949179</v>
      </c>
      <c r="P20" s="44">
        <v>6.8016050000000003</v>
      </c>
      <c r="Q20" s="44">
        <v>6.6316959999999998</v>
      </c>
      <c r="R20" s="44">
        <v>6.4897220000000004</v>
      </c>
      <c r="S20" s="44">
        <v>6.3067989999999998</v>
      </c>
      <c r="T20" s="44">
        <v>6.1372920000000004</v>
      </c>
      <c r="U20" s="44">
        <v>6.0496840000000001</v>
      </c>
      <c r="V20" s="44">
        <v>5.9248669999999999</v>
      </c>
      <c r="W20" s="44">
        <v>5.6518930000000003</v>
      </c>
      <c r="X20" s="44">
        <v>5.3545189999999998</v>
      </c>
      <c r="Y20" s="44">
        <v>5.0375579999999998</v>
      </c>
      <c r="Z20" s="44">
        <v>4.7243599999999999</v>
      </c>
      <c r="AA20" s="44">
        <v>4.3967530000000004</v>
      </c>
      <c r="AB20" s="44">
        <v>4.3811</v>
      </c>
      <c r="AC20" s="44">
        <v>4.359108</v>
      </c>
      <c r="AD20" s="44">
        <v>4.3538969999999999</v>
      </c>
      <c r="AE20" s="44">
        <v>4.354527</v>
      </c>
      <c r="AF20" s="44">
        <v>4.384093</v>
      </c>
      <c r="AG20" s="39">
        <v>-2.9107999999999998E-2</v>
      </c>
    </row>
    <row r="21" spans="1:33" ht="15" customHeight="1" x14ac:dyDescent="0.25">
      <c r="A21" s="42" t="s">
        <v>708</v>
      </c>
      <c r="B21" s="41" t="s">
        <v>709</v>
      </c>
      <c r="C21" s="44">
        <v>1324.787476</v>
      </c>
      <c r="D21" s="44">
        <v>1268.3551030000001</v>
      </c>
      <c r="E21" s="44">
        <v>1301.400269</v>
      </c>
      <c r="F21" s="44">
        <v>1306.0239260000001</v>
      </c>
      <c r="G21" s="44">
        <v>1285.2064210000001</v>
      </c>
      <c r="H21" s="44">
        <v>1275.9132079999999</v>
      </c>
      <c r="I21" s="44">
        <v>1253.3908690000001</v>
      </c>
      <c r="J21" s="44">
        <v>1285.943481</v>
      </c>
      <c r="K21" s="44">
        <v>1278.0649410000001</v>
      </c>
      <c r="L21" s="44">
        <v>1252.3782960000001</v>
      </c>
      <c r="M21" s="44">
        <v>1239.450073</v>
      </c>
      <c r="N21" s="44">
        <v>1240.1385499999999</v>
      </c>
      <c r="O21" s="44">
        <v>1269.8836670000001</v>
      </c>
      <c r="P21" s="44">
        <v>1239.0683590000001</v>
      </c>
      <c r="Q21" s="44">
        <v>1206.352539</v>
      </c>
      <c r="R21" s="44">
        <v>1191.448975</v>
      </c>
      <c r="S21" s="44">
        <v>1211.171509</v>
      </c>
      <c r="T21" s="44">
        <v>1232.719971</v>
      </c>
      <c r="U21" s="44">
        <v>1255.490112</v>
      </c>
      <c r="V21" s="44">
        <v>1277.2116699999999</v>
      </c>
      <c r="W21" s="44">
        <v>1291.8709719999999</v>
      </c>
      <c r="X21" s="44">
        <v>1308.7932129999999</v>
      </c>
      <c r="Y21" s="44">
        <v>1332.0986330000001</v>
      </c>
      <c r="Z21" s="44">
        <v>1346.3055420000001</v>
      </c>
      <c r="AA21" s="44">
        <v>1361.4132079999999</v>
      </c>
      <c r="AB21" s="44">
        <v>1385.244751</v>
      </c>
      <c r="AC21" s="44">
        <v>1405.9060059999999</v>
      </c>
      <c r="AD21" s="44">
        <v>1426.9989009999999</v>
      </c>
      <c r="AE21" s="44">
        <v>1445.200439</v>
      </c>
      <c r="AF21" s="44">
        <v>1473.2524410000001</v>
      </c>
      <c r="AG21" s="39">
        <v>3.6700000000000001E-3</v>
      </c>
    </row>
    <row r="22" spans="1:33" ht="15" customHeight="1" x14ac:dyDescent="0.25">
      <c r="A22" s="42" t="s">
        <v>710</v>
      </c>
      <c r="B22" s="41" t="s">
        <v>711</v>
      </c>
      <c r="C22" s="44">
        <v>777.68218999999999</v>
      </c>
      <c r="D22" s="44">
        <v>783.61560099999997</v>
      </c>
      <c r="E22" s="44">
        <v>785.479919</v>
      </c>
      <c r="F22" s="44">
        <v>788.97302200000001</v>
      </c>
      <c r="G22" s="44">
        <v>781.77600099999995</v>
      </c>
      <c r="H22" s="44">
        <v>773.33514400000001</v>
      </c>
      <c r="I22" s="44">
        <v>759.40319799999997</v>
      </c>
      <c r="J22" s="44">
        <v>705.65112299999998</v>
      </c>
      <c r="K22" s="44">
        <v>699.00122099999999</v>
      </c>
      <c r="L22" s="44">
        <v>699.71972700000003</v>
      </c>
      <c r="M22" s="44">
        <v>700.81298800000002</v>
      </c>
      <c r="N22" s="44">
        <v>701.57141100000001</v>
      </c>
      <c r="O22" s="44">
        <v>651.97454800000003</v>
      </c>
      <c r="P22" s="44">
        <v>652.66906700000004</v>
      </c>
      <c r="Q22" s="44">
        <v>646.13622999999995</v>
      </c>
      <c r="R22" s="44">
        <v>647.18078600000001</v>
      </c>
      <c r="S22" s="44">
        <v>647.391479</v>
      </c>
      <c r="T22" s="44">
        <v>647.592896</v>
      </c>
      <c r="U22" s="44">
        <v>647.60253899999998</v>
      </c>
      <c r="V22" s="44">
        <v>647.93890399999998</v>
      </c>
      <c r="W22" s="44">
        <v>649.192139</v>
      </c>
      <c r="X22" s="44">
        <v>650.09667999999999</v>
      </c>
      <c r="Y22" s="44">
        <v>650.97113000000002</v>
      </c>
      <c r="Z22" s="44">
        <v>651.73388699999998</v>
      </c>
      <c r="AA22" s="44">
        <v>652.55200200000002</v>
      </c>
      <c r="AB22" s="44">
        <v>652.97900400000003</v>
      </c>
      <c r="AC22" s="44">
        <v>653.40454099999999</v>
      </c>
      <c r="AD22" s="44">
        <v>653.66992200000004</v>
      </c>
      <c r="AE22" s="44">
        <v>653.99096699999996</v>
      </c>
      <c r="AF22" s="44">
        <v>654.45459000000005</v>
      </c>
      <c r="AG22" s="39">
        <v>-5.9309999999999996E-3</v>
      </c>
    </row>
    <row r="23" spans="1:33" ht="15" customHeight="1" x14ac:dyDescent="0.25">
      <c r="A23" s="42" t="s">
        <v>712</v>
      </c>
      <c r="B23" s="41" t="s">
        <v>713</v>
      </c>
      <c r="C23" s="44">
        <v>1.1057900000000001</v>
      </c>
      <c r="D23" s="44">
        <v>0.82832899999999998</v>
      </c>
      <c r="E23" s="44">
        <v>0.41644399999999998</v>
      </c>
      <c r="F23" s="44">
        <v>0.22955500000000001</v>
      </c>
      <c r="G23" s="44">
        <v>2.4784E-2</v>
      </c>
      <c r="H23" s="44">
        <v>-0.128501</v>
      </c>
      <c r="I23" s="44">
        <v>-0.32017499999999999</v>
      </c>
      <c r="J23" s="44">
        <v>-0.37199700000000002</v>
      </c>
      <c r="K23" s="44">
        <v>-0.63732900000000003</v>
      </c>
      <c r="L23" s="44">
        <v>-0.79818999999999996</v>
      </c>
      <c r="M23" s="44">
        <v>-1.2468600000000001</v>
      </c>
      <c r="N23" s="44">
        <v>-1.445219</v>
      </c>
      <c r="O23" s="44">
        <v>-1.6805270000000001</v>
      </c>
      <c r="P23" s="44">
        <v>-1.7603610000000001</v>
      </c>
      <c r="Q23" s="44">
        <v>-1.677886</v>
      </c>
      <c r="R23" s="44">
        <v>-1.6107610000000001</v>
      </c>
      <c r="S23" s="44">
        <v>-1.567534</v>
      </c>
      <c r="T23" s="44">
        <v>-1.6093440000000001</v>
      </c>
      <c r="U23" s="44">
        <v>-1.6912370000000001</v>
      </c>
      <c r="V23" s="44">
        <v>-1.8047550000000001</v>
      </c>
      <c r="W23" s="44">
        <v>-1.993746</v>
      </c>
      <c r="X23" s="44">
        <v>-2.1602760000000001</v>
      </c>
      <c r="Y23" s="44">
        <v>-2.1953860000000001</v>
      </c>
      <c r="Z23" s="44">
        <v>-2.5947</v>
      </c>
      <c r="AA23" s="44">
        <v>-2.8236819999999998</v>
      </c>
      <c r="AB23" s="44">
        <v>-2.8466830000000001</v>
      </c>
      <c r="AC23" s="44">
        <v>-2.9184220000000001</v>
      </c>
      <c r="AD23" s="44">
        <v>-3.0836359999999998</v>
      </c>
      <c r="AE23" s="44">
        <v>-3.2247159999999999</v>
      </c>
      <c r="AF23" s="44">
        <v>-3.2493159999999999</v>
      </c>
      <c r="AG23" s="39" t="s">
        <v>488</v>
      </c>
    </row>
    <row r="24" spans="1:33" ht="15" customHeight="1" x14ac:dyDescent="0.25">
      <c r="A24" s="42" t="s">
        <v>714</v>
      </c>
      <c r="B24" s="41" t="s">
        <v>715</v>
      </c>
      <c r="C24" s="44">
        <v>783.80328399999996</v>
      </c>
      <c r="D24" s="44">
        <v>872.53186000000005</v>
      </c>
      <c r="E24" s="44">
        <v>950.47485400000005</v>
      </c>
      <c r="F24" s="44">
        <v>1076.493164</v>
      </c>
      <c r="G24" s="44">
        <v>1158.3773189999999</v>
      </c>
      <c r="H24" s="44">
        <v>1200.804443</v>
      </c>
      <c r="I24" s="44">
        <v>1266.6345209999999</v>
      </c>
      <c r="J24" s="44">
        <v>1300.6014399999999</v>
      </c>
      <c r="K24" s="44">
        <v>1329.404053</v>
      </c>
      <c r="L24" s="44">
        <v>1376.9293210000001</v>
      </c>
      <c r="M24" s="44">
        <v>1409.3020019999999</v>
      </c>
      <c r="N24" s="44">
        <v>1441.8084719999999</v>
      </c>
      <c r="O24" s="44">
        <v>1475.258789</v>
      </c>
      <c r="P24" s="44">
        <v>1546.3623050000001</v>
      </c>
      <c r="Q24" s="44">
        <v>1638.091797</v>
      </c>
      <c r="R24" s="44">
        <v>1688.966553</v>
      </c>
      <c r="S24" s="44">
        <v>1709.6907960000001</v>
      </c>
      <c r="T24" s="44">
        <v>1718.6403809999999</v>
      </c>
      <c r="U24" s="44">
        <v>1727.398682</v>
      </c>
      <c r="V24" s="44">
        <v>1738.317749</v>
      </c>
      <c r="W24" s="44">
        <v>1753.3752440000001</v>
      </c>
      <c r="X24" s="44">
        <v>1770.1915280000001</v>
      </c>
      <c r="Y24" s="44">
        <v>1786.8985600000001</v>
      </c>
      <c r="Z24" s="44">
        <v>1810.6259769999999</v>
      </c>
      <c r="AA24" s="44">
        <v>1839.476318</v>
      </c>
      <c r="AB24" s="44">
        <v>1858.6704099999999</v>
      </c>
      <c r="AC24" s="44">
        <v>1883.4830320000001</v>
      </c>
      <c r="AD24" s="44">
        <v>1906.640625</v>
      </c>
      <c r="AE24" s="44">
        <v>1927.0048830000001</v>
      </c>
      <c r="AF24" s="44">
        <v>1938.4849850000001</v>
      </c>
      <c r="AG24" s="39">
        <v>3.1717000000000002E-2</v>
      </c>
    </row>
    <row r="25" spans="1:33" ht="15" customHeight="1" x14ac:dyDescent="0.25">
      <c r="A25" s="42" t="s">
        <v>716</v>
      </c>
      <c r="B25" s="41" t="s">
        <v>717</v>
      </c>
      <c r="C25" s="44">
        <v>0</v>
      </c>
      <c r="D25" s="44">
        <v>0</v>
      </c>
      <c r="E25" s="44">
        <v>0.33903</v>
      </c>
      <c r="F25" s="44">
        <v>0.38707200000000003</v>
      </c>
      <c r="G25" s="44">
        <v>0.43454700000000002</v>
      </c>
      <c r="H25" s="44">
        <v>0.48899700000000001</v>
      </c>
      <c r="I25" s="44">
        <v>0.57694900000000005</v>
      </c>
      <c r="J25" s="44">
        <v>0.67322599999999999</v>
      </c>
      <c r="K25" s="44">
        <v>0.76245300000000005</v>
      </c>
      <c r="L25" s="44">
        <v>0.85936299999999999</v>
      </c>
      <c r="M25" s="44">
        <v>0.97320899999999999</v>
      </c>
      <c r="N25" s="44">
        <v>1.135181</v>
      </c>
      <c r="O25" s="44">
        <v>1.293088</v>
      </c>
      <c r="P25" s="44">
        <v>1.4535340000000001</v>
      </c>
      <c r="Q25" s="44">
        <v>1.6771659999999999</v>
      </c>
      <c r="R25" s="44">
        <v>1.9360310000000001</v>
      </c>
      <c r="S25" s="44">
        <v>2.2131110000000001</v>
      </c>
      <c r="T25" s="44">
        <v>2.488845</v>
      </c>
      <c r="U25" s="44">
        <v>2.7750699999999999</v>
      </c>
      <c r="V25" s="44">
        <v>3.0530870000000001</v>
      </c>
      <c r="W25" s="44">
        <v>3.3305560000000001</v>
      </c>
      <c r="X25" s="44">
        <v>3.6225130000000001</v>
      </c>
      <c r="Y25" s="44">
        <v>3.934113</v>
      </c>
      <c r="Z25" s="44">
        <v>4.2565770000000001</v>
      </c>
      <c r="AA25" s="44">
        <v>4.5881169999999996</v>
      </c>
      <c r="AB25" s="44">
        <v>4.9442789999999999</v>
      </c>
      <c r="AC25" s="44">
        <v>5.3320460000000001</v>
      </c>
      <c r="AD25" s="44">
        <v>5.6972519999999998</v>
      </c>
      <c r="AE25" s="44">
        <v>6.0953569999999999</v>
      </c>
      <c r="AF25" s="44">
        <v>6.5065730000000004</v>
      </c>
      <c r="AG25" s="39" t="s">
        <v>488</v>
      </c>
    </row>
    <row r="26" spans="1:33" ht="15" customHeight="1" x14ac:dyDescent="0.2">
      <c r="A26" s="42" t="s">
        <v>718</v>
      </c>
      <c r="B26" s="45" t="s">
        <v>719</v>
      </c>
      <c r="C26" s="56">
        <v>3835.5107419999999</v>
      </c>
      <c r="D26" s="56">
        <v>3838.095703</v>
      </c>
      <c r="E26" s="56">
        <v>3903.8295899999998</v>
      </c>
      <c r="F26" s="56">
        <v>3910.6994629999999</v>
      </c>
      <c r="G26" s="56">
        <v>3929.7890619999998</v>
      </c>
      <c r="H26" s="56">
        <v>3935.4184570000002</v>
      </c>
      <c r="I26" s="56">
        <v>3942.0520019999999</v>
      </c>
      <c r="J26" s="56">
        <v>3951.9262699999999</v>
      </c>
      <c r="K26" s="56">
        <v>3962.5893550000001</v>
      </c>
      <c r="L26" s="56">
        <v>3970.7626949999999</v>
      </c>
      <c r="M26" s="56">
        <v>3984.7390140000002</v>
      </c>
      <c r="N26" s="56">
        <v>4004.446289</v>
      </c>
      <c r="O26" s="56">
        <v>4022.8020019999999</v>
      </c>
      <c r="P26" s="56">
        <v>4036.3447270000001</v>
      </c>
      <c r="Q26" s="56">
        <v>4059.351807</v>
      </c>
      <c r="R26" s="56">
        <v>4085.3645019999999</v>
      </c>
      <c r="S26" s="56">
        <v>4114.6577150000003</v>
      </c>
      <c r="T26" s="56">
        <v>4143.2456050000001</v>
      </c>
      <c r="U26" s="56">
        <v>4173.2905270000001</v>
      </c>
      <c r="V26" s="56">
        <v>4197.8745120000003</v>
      </c>
      <c r="W26" s="56">
        <v>4227.5561520000001</v>
      </c>
      <c r="X26" s="56">
        <v>4256.7099609999996</v>
      </c>
      <c r="Y26" s="56">
        <v>4289.1953119999998</v>
      </c>
      <c r="Z26" s="56">
        <v>4321.2314450000003</v>
      </c>
      <c r="AA26" s="56">
        <v>4354.4819340000004</v>
      </c>
      <c r="AB26" s="56">
        <v>4393.8203119999998</v>
      </c>
      <c r="AC26" s="56">
        <v>4431.0375979999999</v>
      </c>
      <c r="AD26" s="56">
        <v>4466.5854490000002</v>
      </c>
      <c r="AE26" s="56">
        <v>4501.7861329999996</v>
      </c>
      <c r="AF26" s="56">
        <v>4547.3173829999996</v>
      </c>
      <c r="AG26" s="46">
        <v>5.8869999999999999E-3</v>
      </c>
    </row>
    <row r="27" spans="1:33" ht="15" customHeight="1" x14ac:dyDescent="0.2">
      <c r="B27" s="45" t="s">
        <v>720</v>
      </c>
    </row>
    <row r="28" spans="1:33" ht="15" customHeight="1" x14ac:dyDescent="0.25">
      <c r="A28" s="42" t="s">
        <v>721</v>
      </c>
      <c r="B28" s="41" t="s">
        <v>705</v>
      </c>
      <c r="C28" s="44">
        <v>9.8878730000000008</v>
      </c>
      <c r="D28" s="44">
        <v>9.7372390000000006</v>
      </c>
      <c r="E28" s="44">
        <v>9.7381200000000003</v>
      </c>
      <c r="F28" s="44">
        <v>9.0669160000000009</v>
      </c>
      <c r="G28" s="44">
        <v>8.7158189999999998</v>
      </c>
      <c r="H28" s="44">
        <v>8.6379669999999997</v>
      </c>
      <c r="I28" s="44">
        <v>8.6379660000000005</v>
      </c>
      <c r="J28" s="44">
        <v>8.7142820000000007</v>
      </c>
      <c r="K28" s="44">
        <v>8.7136130000000005</v>
      </c>
      <c r="L28" s="44">
        <v>8.7129829999999995</v>
      </c>
      <c r="M28" s="44">
        <v>8.7124290000000002</v>
      </c>
      <c r="N28" s="44">
        <v>8.7121089999999999</v>
      </c>
      <c r="O28" s="44">
        <v>8.7117090000000008</v>
      </c>
      <c r="P28" s="44">
        <v>8.7112540000000003</v>
      </c>
      <c r="Q28" s="44">
        <v>8.7108349999999994</v>
      </c>
      <c r="R28" s="44">
        <v>8.7103940000000009</v>
      </c>
      <c r="S28" s="44">
        <v>8.7099449999999994</v>
      </c>
      <c r="T28" s="44">
        <v>8.7094749999999994</v>
      </c>
      <c r="U28" s="44">
        <v>8.7090230000000002</v>
      </c>
      <c r="V28" s="44">
        <v>8.7084430000000008</v>
      </c>
      <c r="W28" s="44">
        <v>8.7078509999999998</v>
      </c>
      <c r="X28" s="44">
        <v>8.7072800000000008</v>
      </c>
      <c r="Y28" s="44">
        <v>8.7067119999999996</v>
      </c>
      <c r="Z28" s="44">
        <v>8.7060110000000002</v>
      </c>
      <c r="AA28" s="44">
        <v>8.7053469999999997</v>
      </c>
      <c r="AB28" s="44">
        <v>8.6379669999999997</v>
      </c>
      <c r="AC28" s="44">
        <v>8.6379669999999997</v>
      </c>
      <c r="AD28" s="44">
        <v>8.6379660000000005</v>
      </c>
      <c r="AE28" s="44">
        <v>8.6379660000000005</v>
      </c>
      <c r="AF28" s="44">
        <v>8.6379669999999997</v>
      </c>
      <c r="AG28" s="39">
        <v>-4.6490000000000004E-3</v>
      </c>
    </row>
    <row r="29" spans="1:33" ht="15" customHeight="1" x14ac:dyDescent="0.25">
      <c r="A29" s="42" t="s">
        <v>722</v>
      </c>
      <c r="B29" s="41" t="s">
        <v>707</v>
      </c>
      <c r="C29" s="44">
        <v>0.54574400000000001</v>
      </c>
      <c r="D29" s="44">
        <v>0.54574400000000001</v>
      </c>
      <c r="E29" s="44">
        <v>0.54462900000000003</v>
      </c>
      <c r="F29" s="44">
        <v>0.54190799999999995</v>
      </c>
      <c r="G29" s="44">
        <v>0.54049800000000003</v>
      </c>
      <c r="H29" s="44">
        <v>0.54018500000000003</v>
      </c>
      <c r="I29" s="44">
        <v>0.54018500000000003</v>
      </c>
      <c r="J29" s="44">
        <v>0.54049199999999997</v>
      </c>
      <c r="K29" s="44">
        <v>0.540489</v>
      </c>
      <c r="L29" s="44">
        <v>0.54048600000000002</v>
      </c>
      <c r="M29" s="44">
        <v>0.54048399999999996</v>
      </c>
      <c r="N29" s="44">
        <v>0.54048300000000005</v>
      </c>
      <c r="O29" s="44">
        <v>0.54048099999999999</v>
      </c>
      <c r="P29" s="44">
        <v>0.54047900000000004</v>
      </c>
      <c r="Q29" s="44">
        <v>0.54047800000000001</v>
      </c>
      <c r="R29" s="44">
        <v>0.54047599999999996</v>
      </c>
      <c r="S29" s="44">
        <v>0.54047400000000001</v>
      </c>
      <c r="T29" s="44">
        <v>0.54047199999999995</v>
      </c>
      <c r="U29" s="44">
        <v>0.54047000000000001</v>
      </c>
      <c r="V29" s="44">
        <v>0.54046799999999995</v>
      </c>
      <c r="W29" s="44">
        <v>0.540466</v>
      </c>
      <c r="X29" s="44">
        <v>0.54046300000000003</v>
      </c>
      <c r="Y29" s="44">
        <v>0.54046099999999997</v>
      </c>
      <c r="Z29" s="44">
        <v>0.54048700000000005</v>
      </c>
      <c r="AA29" s="44">
        <v>0.54047500000000004</v>
      </c>
      <c r="AB29" s="44">
        <v>0.54018500000000003</v>
      </c>
      <c r="AC29" s="44">
        <v>0.54018500000000003</v>
      </c>
      <c r="AD29" s="44">
        <v>0.54018500000000003</v>
      </c>
      <c r="AE29" s="44">
        <v>0.54018500000000003</v>
      </c>
      <c r="AF29" s="44">
        <v>0.540215</v>
      </c>
      <c r="AG29" s="39">
        <v>-3.5100000000000002E-4</v>
      </c>
    </row>
    <row r="30" spans="1:33" ht="15" customHeight="1" x14ac:dyDescent="0.25">
      <c r="A30" s="42" t="s">
        <v>723</v>
      </c>
      <c r="B30" s="41" t="s">
        <v>724</v>
      </c>
      <c r="C30" s="44">
        <v>125.155128</v>
      </c>
      <c r="D30" s="44">
        <v>124.11322</v>
      </c>
      <c r="E30" s="44">
        <v>124.797318</v>
      </c>
      <c r="F30" s="44">
        <v>123.608902</v>
      </c>
      <c r="G30" s="44">
        <v>120.591255</v>
      </c>
      <c r="H30" s="44">
        <v>119.676529</v>
      </c>
      <c r="I30" s="44">
        <v>117.799728</v>
      </c>
      <c r="J30" s="44">
        <v>117.323868</v>
      </c>
      <c r="K30" s="44">
        <v>117.428764</v>
      </c>
      <c r="L30" s="44">
        <v>116.909081</v>
      </c>
      <c r="M30" s="44">
        <v>116.910194</v>
      </c>
      <c r="N30" s="44">
        <v>116.82540899999999</v>
      </c>
      <c r="O30" s="44">
        <v>116.824844</v>
      </c>
      <c r="P30" s="44">
        <v>116.824707</v>
      </c>
      <c r="Q30" s="44">
        <v>116.82559999999999</v>
      </c>
      <c r="R30" s="44">
        <v>116.82455400000001</v>
      </c>
      <c r="S30" s="44">
        <v>116.82299</v>
      </c>
      <c r="T30" s="44">
        <v>116.82418800000001</v>
      </c>
      <c r="U30" s="44">
        <v>116.821754</v>
      </c>
      <c r="V30" s="44">
        <v>116.822372</v>
      </c>
      <c r="W30" s="44">
        <v>116.821457</v>
      </c>
      <c r="X30" s="44">
        <v>116.821625</v>
      </c>
      <c r="Y30" s="44">
        <v>116.82223500000001</v>
      </c>
      <c r="Z30" s="44">
        <v>116.825401</v>
      </c>
      <c r="AA30" s="44">
        <v>116.82431</v>
      </c>
      <c r="AB30" s="44">
        <v>116.826836</v>
      </c>
      <c r="AC30" s="44">
        <v>116.82753</v>
      </c>
      <c r="AD30" s="44">
        <v>116.827438</v>
      </c>
      <c r="AE30" s="44">
        <v>116.827538</v>
      </c>
      <c r="AF30" s="44">
        <v>116.82764400000001</v>
      </c>
      <c r="AG30" s="39">
        <v>-2.3709999999999998E-3</v>
      </c>
    </row>
    <row r="31" spans="1:33" ht="14.65" customHeight="1" x14ac:dyDescent="0.25">
      <c r="A31" s="42" t="s">
        <v>725</v>
      </c>
      <c r="B31" s="41" t="s">
        <v>726</v>
      </c>
      <c r="C31" s="44">
        <v>4.4048020000000001</v>
      </c>
      <c r="D31" s="44">
        <v>4.2940440000000004</v>
      </c>
      <c r="E31" s="44">
        <v>4.3353659999999996</v>
      </c>
      <c r="F31" s="44">
        <v>4.3553759999999997</v>
      </c>
      <c r="G31" s="44">
        <v>4.3590020000000003</v>
      </c>
      <c r="H31" s="44">
        <v>4.3620330000000003</v>
      </c>
      <c r="I31" s="44">
        <v>4.3649870000000002</v>
      </c>
      <c r="J31" s="44">
        <v>4.3617699999999999</v>
      </c>
      <c r="K31" s="44">
        <v>4.3623339999999997</v>
      </c>
      <c r="L31" s="44">
        <v>4.371397</v>
      </c>
      <c r="M31" s="44">
        <v>4.3778309999999996</v>
      </c>
      <c r="N31" s="44">
        <v>4.3771639999999996</v>
      </c>
      <c r="O31" s="44">
        <v>4.3812139999999999</v>
      </c>
      <c r="P31" s="44">
        <v>4.3820569999999996</v>
      </c>
      <c r="Q31" s="44">
        <v>4.3849729999999996</v>
      </c>
      <c r="R31" s="44">
        <v>4.3874370000000003</v>
      </c>
      <c r="S31" s="44">
        <v>4.3892309999999997</v>
      </c>
      <c r="T31" s="44">
        <v>4.3907800000000003</v>
      </c>
      <c r="U31" s="44">
        <v>4.3911499999999997</v>
      </c>
      <c r="V31" s="44">
        <v>4.3924880000000002</v>
      </c>
      <c r="W31" s="44">
        <v>4.4034519999999997</v>
      </c>
      <c r="X31" s="44">
        <v>4.4050890000000003</v>
      </c>
      <c r="Y31" s="44">
        <v>4.4061940000000002</v>
      </c>
      <c r="Z31" s="44">
        <v>4.4085219999999996</v>
      </c>
      <c r="AA31" s="44">
        <v>4.4096149999999996</v>
      </c>
      <c r="AB31" s="44">
        <v>4.4098980000000001</v>
      </c>
      <c r="AC31" s="44">
        <v>4.4555309999999997</v>
      </c>
      <c r="AD31" s="44">
        <v>4.4602139999999997</v>
      </c>
      <c r="AE31" s="44">
        <v>4.4876440000000004</v>
      </c>
      <c r="AF31" s="44">
        <v>4.4943600000000004</v>
      </c>
      <c r="AG31" s="39">
        <v>6.9399999999999996E-4</v>
      </c>
    </row>
    <row r="32" spans="1:33" ht="14.65" customHeight="1" x14ac:dyDescent="0.25">
      <c r="A32" s="42" t="s">
        <v>727</v>
      </c>
      <c r="B32" s="41" t="s">
        <v>728</v>
      </c>
      <c r="C32" s="44">
        <v>0.27832000000000001</v>
      </c>
      <c r="D32" s="44">
        <v>0.279312</v>
      </c>
      <c r="E32" s="44">
        <v>0.27149800000000002</v>
      </c>
      <c r="F32" s="44">
        <v>0.26904899999999998</v>
      </c>
      <c r="G32" s="44">
        <v>0.26565</v>
      </c>
      <c r="H32" s="44">
        <v>0.26277800000000001</v>
      </c>
      <c r="I32" s="44">
        <v>0.26032</v>
      </c>
      <c r="J32" s="44">
        <v>0.26112999999999997</v>
      </c>
      <c r="K32" s="44">
        <v>0.258299</v>
      </c>
      <c r="L32" s="44">
        <v>0.256469</v>
      </c>
      <c r="M32" s="44">
        <v>0.25328099999999998</v>
      </c>
      <c r="N32" s="44">
        <v>0.25102799999999997</v>
      </c>
      <c r="O32" s="44">
        <v>0.24720400000000001</v>
      </c>
      <c r="P32" s="44">
        <v>0.24609900000000001</v>
      </c>
      <c r="Q32" s="44">
        <v>0.242835</v>
      </c>
      <c r="R32" s="44">
        <v>0.24036199999999999</v>
      </c>
      <c r="S32" s="44">
        <v>0.23752000000000001</v>
      </c>
      <c r="T32" s="44">
        <v>0.234927</v>
      </c>
      <c r="U32" s="44">
        <v>0.23409199999999999</v>
      </c>
      <c r="V32" s="44">
        <v>0.23255400000000001</v>
      </c>
      <c r="W32" s="44">
        <v>0.234182</v>
      </c>
      <c r="X32" s="44">
        <v>0.23249900000000001</v>
      </c>
      <c r="Y32" s="44">
        <v>0.23087099999999999</v>
      </c>
      <c r="Z32" s="44">
        <v>0.22889399999999999</v>
      </c>
      <c r="AA32" s="44">
        <v>0.227549</v>
      </c>
      <c r="AB32" s="44">
        <v>0.226603</v>
      </c>
      <c r="AC32" s="44">
        <v>0.24007500000000001</v>
      </c>
      <c r="AD32" s="44">
        <v>0.239788</v>
      </c>
      <c r="AE32" s="44">
        <v>0.23930999999999999</v>
      </c>
      <c r="AF32" s="44">
        <v>0.239121</v>
      </c>
      <c r="AG32" s="39">
        <v>-5.2209999999999999E-3</v>
      </c>
    </row>
    <row r="33" spans="1:33" x14ac:dyDescent="0.2">
      <c r="A33" s="42" t="s">
        <v>729</v>
      </c>
      <c r="B33" s="45" t="s">
        <v>719</v>
      </c>
      <c r="C33" s="56">
        <v>140.27186599999999</v>
      </c>
      <c r="D33" s="56">
        <v>138.969559</v>
      </c>
      <c r="E33" s="56">
        <v>139.68693500000001</v>
      </c>
      <c r="F33" s="56">
        <v>137.84214800000001</v>
      </c>
      <c r="G33" s="56">
        <v>134.472229</v>
      </c>
      <c r="H33" s="56">
        <v>133.479477</v>
      </c>
      <c r="I33" s="56">
        <v>131.603195</v>
      </c>
      <c r="J33" s="56">
        <v>131.201538</v>
      </c>
      <c r="K33" s="56">
        <v>131.30349699999999</v>
      </c>
      <c r="L33" s="56">
        <v>130.79042100000001</v>
      </c>
      <c r="M33" s="56">
        <v>130.79422</v>
      </c>
      <c r="N33" s="56">
        <v>130.70619199999999</v>
      </c>
      <c r="O33" s="56">
        <v>130.705444</v>
      </c>
      <c r="P33" s="56">
        <v>130.70459</v>
      </c>
      <c r="Q33" s="56">
        <v>130.70472699999999</v>
      </c>
      <c r="R33" s="56">
        <v>130.70323200000001</v>
      </c>
      <c r="S33" s="56">
        <v>130.700165</v>
      </c>
      <c r="T33" s="56">
        <v>130.69984400000001</v>
      </c>
      <c r="U33" s="56">
        <v>130.69648699999999</v>
      </c>
      <c r="V33" s="56">
        <v>130.69631999999999</v>
      </c>
      <c r="W33" s="56">
        <v>130.707413</v>
      </c>
      <c r="X33" s="56">
        <v>130.70695499999999</v>
      </c>
      <c r="Y33" s="56">
        <v>130.70648199999999</v>
      </c>
      <c r="Z33" s="56">
        <v>130.70931999999999</v>
      </c>
      <c r="AA33" s="56">
        <v>130.707291</v>
      </c>
      <c r="AB33" s="56">
        <v>130.64149499999999</v>
      </c>
      <c r="AC33" s="56">
        <v>130.70129399999999</v>
      </c>
      <c r="AD33" s="56">
        <v>130.70559700000001</v>
      </c>
      <c r="AE33" s="56">
        <v>130.732651</v>
      </c>
      <c r="AF33" s="56">
        <v>130.739304</v>
      </c>
      <c r="AG33" s="46">
        <v>-2.4239999999999999E-3</v>
      </c>
    </row>
    <row r="34" spans="1:33" x14ac:dyDescent="0.2">
      <c r="A34" s="42" t="s">
        <v>730</v>
      </c>
      <c r="B34" s="45" t="s">
        <v>731</v>
      </c>
      <c r="C34" s="56">
        <v>3975.7827149999998</v>
      </c>
      <c r="D34" s="56">
        <v>3977.0651859999998</v>
      </c>
      <c r="E34" s="56">
        <v>4043.5166020000001</v>
      </c>
      <c r="F34" s="56">
        <v>4048.5415039999998</v>
      </c>
      <c r="G34" s="56">
        <v>4064.2612300000001</v>
      </c>
      <c r="H34" s="56">
        <v>4068.8979490000002</v>
      </c>
      <c r="I34" s="56">
        <v>4073.6552729999999</v>
      </c>
      <c r="J34" s="56">
        <v>4083.1279300000001</v>
      </c>
      <c r="K34" s="56">
        <v>4093.8928219999998</v>
      </c>
      <c r="L34" s="56">
        <v>4101.5532229999999</v>
      </c>
      <c r="M34" s="56">
        <v>4115.533203</v>
      </c>
      <c r="N34" s="56">
        <v>4135.1523440000001</v>
      </c>
      <c r="O34" s="56">
        <v>4153.5073240000002</v>
      </c>
      <c r="P34" s="56">
        <v>4167.0493159999996</v>
      </c>
      <c r="Q34" s="56">
        <v>4190.0566410000001</v>
      </c>
      <c r="R34" s="56">
        <v>4216.0678710000002</v>
      </c>
      <c r="S34" s="56">
        <v>4245.3579099999997</v>
      </c>
      <c r="T34" s="56">
        <v>4273.9453119999998</v>
      </c>
      <c r="U34" s="56">
        <v>4303.9868159999996</v>
      </c>
      <c r="V34" s="56">
        <v>4328.5708009999998</v>
      </c>
      <c r="W34" s="56">
        <v>4358.263672</v>
      </c>
      <c r="X34" s="56">
        <v>4387.4169920000004</v>
      </c>
      <c r="Y34" s="56">
        <v>4419.9018550000001</v>
      </c>
      <c r="Z34" s="56">
        <v>4451.9409180000002</v>
      </c>
      <c r="AA34" s="56">
        <v>4485.189453</v>
      </c>
      <c r="AB34" s="56">
        <v>4524.4619140000004</v>
      </c>
      <c r="AC34" s="56">
        <v>4561.7387699999999</v>
      </c>
      <c r="AD34" s="56">
        <v>4597.2910160000001</v>
      </c>
      <c r="AE34" s="56">
        <v>4632.5185549999997</v>
      </c>
      <c r="AF34" s="56">
        <v>4678.0566410000001</v>
      </c>
      <c r="AG34" s="46">
        <v>5.6249999999999998E-3</v>
      </c>
    </row>
    <row r="35" spans="1:33" ht="14.65" customHeight="1" x14ac:dyDescent="0.25">
      <c r="A35" s="42" t="s">
        <v>732</v>
      </c>
      <c r="B35" s="41" t="s">
        <v>733</v>
      </c>
      <c r="C35" s="44">
        <v>14.985505</v>
      </c>
      <c r="D35" s="44">
        <v>14.902564999999999</v>
      </c>
      <c r="E35" s="44">
        <v>14.440251999999999</v>
      </c>
      <c r="F35" s="44">
        <v>14.207789</v>
      </c>
      <c r="G35" s="44">
        <v>14.154839000000001</v>
      </c>
      <c r="H35" s="44">
        <v>14.151954999999999</v>
      </c>
      <c r="I35" s="44">
        <v>14.151954999999999</v>
      </c>
      <c r="J35" s="44">
        <v>14.151928</v>
      </c>
      <c r="K35" s="44">
        <v>14.151928</v>
      </c>
      <c r="L35" s="44">
        <v>14.151908000000001</v>
      </c>
      <c r="M35" s="44">
        <v>14.151908000000001</v>
      </c>
      <c r="N35" s="44">
        <v>14.151908000000001</v>
      </c>
      <c r="O35" s="44">
        <v>14.151562999999999</v>
      </c>
      <c r="P35" s="44">
        <v>14.151562999999999</v>
      </c>
      <c r="Q35" s="44">
        <v>14.151562999999999</v>
      </c>
      <c r="R35" s="44">
        <v>14.151562999999999</v>
      </c>
      <c r="S35" s="44">
        <v>14.150729999999999</v>
      </c>
      <c r="T35" s="44">
        <v>14.150729999999999</v>
      </c>
      <c r="U35" s="44">
        <v>14.150729999999999</v>
      </c>
      <c r="V35" s="44">
        <v>14.150729999999999</v>
      </c>
      <c r="W35" s="44">
        <v>14.150729999999999</v>
      </c>
      <c r="X35" s="44">
        <v>14.150729999999999</v>
      </c>
      <c r="Y35" s="44">
        <v>14.150729999999999</v>
      </c>
      <c r="Z35" s="44">
        <v>14.150729999999999</v>
      </c>
      <c r="AA35" s="44">
        <v>14.060758999999999</v>
      </c>
      <c r="AB35" s="44">
        <v>14.060758999999999</v>
      </c>
      <c r="AC35" s="44">
        <v>14.060758999999999</v>
      </c>
      <c r="AD35" s="44">
        <v>14.060758999999999</v>
      </c>
      <c r="AE35" s="44">
        <v>14.060758999999999</v>
      </c>
      <c r="AF35" s="44">
        <v>14.060758999999999</v>
      </c>
      <c r="AG35" s="39">
        <v>-2.1940000000000002E-3</v>
      </c>
    </row>
    <row r="36" spans="1:33" ht="14.65" customHeight="1" x14ac:dyDescent="0.2"/>
    <row r="37" spans="1:33" x14ac:dyDescent="0.2">
      <c r="A37" s="42" t="s">
        <v>734</v>
      </c>
      <c r="B37" s="45" t="s">
        <v>735</v>
      </c>
      <c r="C37" s="56">
        <v>3960.7971189999998</v>
      </c>
      <c r="D37" s="56">
        <v>3962.1625979999999</v>
      </c>
      <c r="E37" s="56">
        <v>4029.0764159999999</v>
      </c>
      <c r="F37" s="56">
        <v>4034.33374</v>
      </c>
      <c r="G37" s="56">
        <v>4050.1064449999999</v>
      </c>
      <c r="H37" s="56">
        <v>4054.7460940000001</v>
      </c>
      <c r="I37" s="56">
        <v>4059.5034179999998</v>
      </c>
      <c r="J37" s="56">
        <v>4068.9760740000002</v>
      </c>
      <c r="K37" s="56">
        <v>4079.7409670000002</v>
      </c>
      <c r="L37" s="56">
        <v>4087.4013669999999</v>
      </c>
      <c r="M37" s="56">
        <v>4101.3813479999999</v>
      </c>
      <c r="N37" s="56">
        <v>4121.0004879999997</v>
      </c>
      <c r="O37" s="56">
        <v>4139.3559569999998</v>
      </c>
      <c r="P37" s="56">
        <v>4152.8979490000002</v>
      </c>
      <c r="Q37" s="56">
        <v>4175.9052730000003</v>
      </c>
      <c r="R37" s="56">
        <v>4201.9165039999998</v>
      </c>
      <c r="S37" s="56">
        <v>4231.2070309999999</v>
      </c>
      <c r="T37" s="56">
        <v>4259.7944340000004</v>
      </c>
      <c r="U37" s="56">
        <v>4289.8359380000002</v>
      </c>
      <c r="V37" s="56">
        <v>4314.419922</v>
      </c>
      <c r="W37" s="56">
        <v>4344.1127930000002</v>
      </c>
      <c r="X37" s="56">
        <v>4373.2661129999997</v>
      </c>
      <c r="Y37" s="56">
        <v>4405.7509769999997</v>
      </c>
      <c r="Z37" s="56">
        <v>4437.7900390000004</v>
      </c>
      <c r="AA37" s="56">
        <v>4471.1289059999999</v>
      </c>
      <c r="AB37" s="56">
        <v>4510.4013670000004</v>
      </c>
      <c r="AC37" s="56">
        <v>4547.6782229999999</v>
      </c>
      <c r="AD37" s="56">
        <v>4583.2304690000001</v>
      </c>
      <c r="AE37" s="56">
        <v>4618.4580079999996</v>
      </c>
      <c r="AF37" s="56">
        <v>4663.9960940000001</v>
      </c>
      <c r="AG37" s="46">
        <v>5.6509999999999998E-3</v>
      </c>
    </row>
    <row r="38" spans="1:33" ht="14.65" customHeight="1" x14ac:dyDescent="0.2"/>
    <row r="39" spans="1:33" ht="14.65" customHeight="1" x14ac:dyDescent="0.2">
      <c r="B39" s="45" t="s">
        <v>736</v>
      </c>
    </row>
    <row r="40" spans="1:33" ht="14.65" customHeight="1" x14ac:dyDescent="0.25">
      <c r="A40" s="42" t="s">
        <v>737</v>
      </c>
      <c r="B40" s="41" t="s">
        <v>705</v>
      </c>
      <c r="C40" s="44">
        <v>6.3706019999999999</v>
      </c>
      <c r="D40" s="44">
        <v>6.3474909999999998</v>
      </c>
      <c r="E40" s="44">
        <v>6.3051199999999996</v>
      </c>
      <c r="F40" s="44">
        <v>6.2462660000000003</v>
      </c>
      <c r="G40" s="44">
        <v>6.1601569999999999</v>
      </c>
      <c r="H40" s="44">
        <v>6.1040900000000002</v>
      </c>
      <c r="I40" s="44">
        <v>6.0440019999999999</v>
      </c>
      <c r="J40" s="44">
        <v>5.9866859999999997</v>
      </c>
      <c r="K40" s="44">
        <v>5.9279289999999998</v>
      </c>
      <c r="L40" s="44">
        <v>5.8706420000000001</v>
      </c>
      <c r="M40" s="44">
        <v>5.8140590000000003</v>
      </c>
      <c r="N40" s="44">
        <v>5.761279</v>
      </c>
      <c r="O40" s="44">
        <v>5.7088669999999997</v>
      </c>
      <c r="P40" s="44">
        <v>5.657743</v>
      </c>
      <c r="Q40" s="44">
        <v>5.6102889999999999</v>
      </c>
      <c r="R40" s="44">
        <v>5.5643929999999999</v>
      </c>
      <c r="S40" s="44">
        <v>5.5195470000000002</v>
      </c>
      <c r="T40" s="44">
        <v>5.4768520000000001</v>
      </c>
      <c r="U40" s="44">
        <v>5.4358129999999996</v>
      </c>
      <c r="V40" s="44">
        <v>5.3936919999999997</v>
      </c>
      <c r="W40" s="44">
        <v>5.3551609999999998</v>
      </c>
      <c r="X40" s="44">
        <v>5.3199329999999998</v>
      </c>
      <c r="Y40" s="44">
        <v>5.2853940000000001</v>
      </c>
      <c r="Z40" s="44">
        <v>5.2477850000000004</v>
      </c>
      <c r="AA40" s="44">
        <v>5.2130850000000004</v>
      </c>
      <c r="AB40" s="44">
        <v>5.183109</v>
      </c>
      <c r="AC40" s="44">
        <v>5.1531419999999999</v>
      </c>
      <c r="AD40" s="44">
        <v>5.1227999999999998</v>
      </c>
      <c r="AE40" s="44">
        <v>5.0889559999999996</v>
      </c>
      <c r="AF40" s="44">
        <v>5.0610549999999996</v>
      </c>
      <c r="AG40" s="39">
        <v>-7.9039999999999996E-3</v>
      </c>
    </row>
    <row r="41" spans="1:33" ht="14.65" customHeight="1" x14ac:dyDescent="0.25">
      <c r="A41" s="42" t="s">
        <v>738</v>
      </c>
      <c r="B41" s="41" t="s">
        <v>707</v>
      </c>
      <c r="C41" s="44">
        <v>0.88194300000000003</v>
      </c>
      <c r="D41" s="44">
        <v>0.91502499999999998</v>
      </c>
      <c r="E41" s="44">
        <v>0.52388699999999999</v>
      </c>
      <c r="F41" s="44">
        <v>0.52215999999999996</v>
      </c>
      <c r="G41" s="44">
        <v>0.51815</v>
      </c>
      <c r="H41" s="44">
        <v>0.51679200000000003</v>
      </c>
      <c r="I41" s="44">
        <v>0.51479699999999995</v>
      </c>
      <c r="J41" s="44">
        <v>0.51292099999999996</v>
      </c>
      <c r="K41" s="44">
        <v>0.51071599999999995</v>
      </c>
      <c r="L41" s="44">
        <v>0.50859299999999996</v>
      </c>
      <c r="M41" s="44">
        <v>0.50642699999999996</v>
      </c>
      <c r="N41" s="44">
        <v>0.50455899999999998</v>
      </c>
      <c r="O41" s="44">
        <v>0.50259900000000002</v>
      </c>
      <c r="P41" s="44">
        <v>0.50069300000000005</v>
      </c>
      <c r="Q41" s="44">
        <v>0.49906299999999998</v>
      </c>
      <c r="R41" s="44">
        <v>0.49748700000000001</v>
      </c>
      <c r="S41" s="44">
        <v>0.49589499999999997</v>
      </c>
      <c r="T41" s="44">
        <v>0.494446</v>
      </c>
      <c r="U41" s="44">
        <v>0.49304599999999998</v>
      </c>
      <c r="V41" s="44">
        <v>0.49142400000000003</v>
      </c>
      <c r="W41" s="44">
        <v>0.490176</v>
      </c>
      <c r="X41" s="44">
        <v>0.48930699999999999</v>
      </c>
      <c r="Y41" s="44">
        <v>0.48846099999999998</v>
      </c>
      <c r="Z41" s="44">
        <v>0.48703000000000002</v>
      </c>
      <c r="AA41" s="44">
        <v>0.48591099999999998</v>
      </c>
      <c r="AB41" s="44">
        <v>0.48546800000000001</v>
      </c>
      <c r="AC41" s="44">
        <v>0.48494799999999999</v>
      </c>
      <c r="AD41" s="44">
        <v>0.48426900000000001</v>
      </c>
      <c r="AE41" s="44">
        <v>0.482875</v>
      </c>
      <c r="AF41" s="44">
        <v>0.482512</v>
      </c>
      <c r="AG41" s="39">
        <v>-2.0582E-2</v>
      </c>
    </row>
    <row r="42" spans="1:33" ht="14.65" customHeight="1" x14ac:dyDescent="0.25">
      <c r="A42" s="42" t="s">
        <v>739</v>
      </c>
      <c r="B42" s="41" t="s">
        <v>724</v>
      </c>
      <c r="C42" s="44">
        <v>113.991753</v>
      </c>
      <c r="D42" s="44">
        <v>116.326958</v>
      </c>
      <c r="E42" s="44">
        <v>116.859993</v>
      </c>
      <c r="F42" s="44">
        <v>117.486885</v>
      </c>
      <c r="G42" s="44">
        <v>118.50479900000001</v>
      </c>
      <c r="H42" s="44">
        <v>119.47081</v>
      </c>
      <c r="I42" s="44">
        <v>120.356163</v>
      </c>
      <c r="J42" s="44">
        <v>121.230789</v>
      </c>
      <c r="K42" s="44">
        <v>122.058525</v>
      </c>
      <c r="L42" s="44">
        <v>122.886177</v>
      </c>
      <c r="M42" s="44">
        <v>123.72530399999999</v>
      </c>
      <c r="N42" s="44">
        <v>123.40495300000001</v>
      </c>
      <c r="O42" s="44">
        <v>124.329155</v>
      </c>
      <c r="P42" s="44">
        <v>125.17845199999999</v>
      </c>
      <c r="Q42" s="44">
        <v>126.07495900000001</v>
      </c>
      <c r="R42" s="44">
        <v>126.953926</v>
      </c>
      <c r="S42" s="44">
        <v>127.947929</v>
      </c>
      <c r="T42" s="44">
        <v>128.851212</v>
      </c>
      <c r="U42" s="44">
        <v>129.74391199999999</v>
      </c>
      <c r="V42" s="44">
        <v>130.47761499999999</v>
      </c>
      <c r="W42" s="44">
        <v>131.309021</v>
      </c>
      <c r="X42" s="44">
        <v>132.30207799999999</v>
      </c>
      <c r="Y42" s="44">
        <v>133.26026899999999</v>
      </c>
      <c r="Z42" s="44">
        <v>134.261337</v>
      </c>
      <c r="AA42" s="44">
        <v>135.358429</v>
      </c>
      <c r="AB42" s="44">
        <v>136.43081699999999</v>
      </c>
      <c r="AC42" s="44">
        <v>137.56573499999999</v>
      </c>
      <c r="AD42" s="44">
        <v>138.97558599999999</v>
      </c>
      <c r="AE42" s="44">
        <v>140.02387999999999</v>
      </c>
      <c r="AF42" s="44">
        <v>141.53190599999999</v>
      </c>
      <c r="AG42" s="39">
        <v>7.4900000000000001E-3</v>
      </c>
    </row>
    <row r="43" spans="1:33" ht="14.65" customHeight="1" x14ac:dyDescent="0.25">
      <c r="A43" s="42" t="s">
        <v>740</v>
      </c>
      <c r="B43" s="41" t="s">
        <v>741</v>
      </c>
      <c r="C43" s="44">
        <v>10.986158</v>
      </c>
      <c r="D43" s="44">
        <v>11.181588</v>
      </c>
      <c r="E43" s="44">
        <v>12.440619</v>
      </c>
      <c r="F43" s="44">
        <v>12.477579</v>
      </c>
      <c r="G43" s="44">
        <v>12.55683</v>
      </c>
      <c r="H43" s="44">
        <v>12.55683</v>
      </c>
      <c r="I43" s="44">
        <v>12.55683</v>
      </c>
      <c r="J43" s="44">
        <v>12.55683</v>
      </c>
      <c r="K43" s="44">
        <v>12.55683</v>
      </c>
      <c r="L43" s="44">
        <v>12.55683</v>
      </c>
      <c r="M43" s="44">
        <v>12.55683</v>
      </c>
      <c r="N43" s="44">
        <v>12.28331</v>
      </c>
      <c r="O43" s="44">
        <v>12.311802999999999</v>
      </c>
      <c r="P43" s="44">
        <v>12.324854</v>
      </c>
      <c r="Q43" s="44">
        <v>12.348782999999999</v>
      </c>
      <c r="R43" s="44">
        <v>12.364955</v>
      </c>
      <c r="S43" s="44">
        <v>12.399196</v>
      </c>
      <c r="T43" s="44">
        <v>12.41254</v>
      </c>
      <c r="U43" s="44">
        <v>12.418544000000001</v>
      </c>
      <c r="V43" s="44">
        <v>12.379329</v>
      </c>
      <c r="W43" s="44">
        <v>12.363219000000001</v>
      </c>
      <c r="X43" s="44">
        <v>12.361924</v>
      </c>
      <c r="Y43" s="44">
        <v>12.349735000000001</v>
      </c>
      <c r="Z43" s="44">
        <v>12.367461</v>
      </c>
      <c r="AA43" s="44">
        <v>12.390494</v>
      </c>
      <c r="AB43" s="44">
        <v>12.385980999999999</v>
      </c>
      <c r="AC43" s="44">
        <v>12.390193</v>
      </c>
      <c r="AD43" s="44">
        <v>12.460557</v>
      </c>
      <c r="AE43" s="44">
        <v>12.458249</v>
      </c>
      <c r="AF43" s="44">
        <v>12.532655</v>
      </c>
      <c r="AG43" s="39">
        <v>4.5519999999999996E-3</v>
      </c>
    </row>
    <row r="44" spans="1:33" ht="14.65" customHeight="1" x14ac:dyDescent="0.25">
      <c r="A44" s="42" t="s">
        <v>742</v>
      </c>
      <c r="B44" s="41" t="s">
        <v>743</v>
      </c>
      <c r="C44" s="44">
        <v>90.581635000000006</v>
      </c>
      <c r="D44" s="44">
        <v>97.823607999999993</v>
      </c>
      <c r="E44" s="44">
        <v>104.920143</v>
      </c>
      <c r="F44" s="44">
        <v>110.985703</v>
      </c>
      <c r="G44" s="44">
        <v>115.60144</v>
      </c>
      <c r="H44" s="44">
        <v>120.884445</v>
      </c>
      <c r="I44" s="44">
        <v>125.30336800000001</v>
      </c>
      <c r="J44" s="44">
        <v>129.592377</v>
      </c>
      <c r="K44" s="44">
        <v>134.41658000000001</v>
      </c>
      <c r="L44" s="44">
        <v>138.12853999999999</v>
      </c>
      <c r="M44" s="44">
        <v>142.32060200000001</v>
      </c>
      <c r="N44" s="44">
        <v>146.840317</v>
      </c>
      <c r="O44" s="44">
        <v>151.916</v>
      </c>
      <c r="P44" s="44">
        <v>156.680115</v>
      </c>
      <c r="Q44" s="44">
        <v>160.27328499999999</v>
      </c>
      <c r="R44" s="44">
        <v>165.251541</v>
      </c>
      <c r="S44" s="44">
        <v>171.08374000000001</v>
      </c>
      <c r="T44" s="44">
        <v>176.275665</v>
      </c>
      <c r="U44" s="44">
        <v>182.12808200000001</v>
      </c>
      <c r="V44" s="44">
        <v>189.15387000000001</v>
      </c>
      <c r="W44" s="44">
        <v>195.74584999999999</v>
      </c>
      <c r="X44" s="44">
        <v>203.32270800000001</v>
      </c>
      <c r="Y44" s="44">
        <v>210.58717300000001</v>
      </c>
      <c r="Z44" s="44">
        <v>217.58543399999999</v>
      </c>
      <c r="AA44" s="44">
        <v>225.61615</v>
      </c>
      <c r="AB44" s="44">
        <v>234.22015400000001</v>
      </c>
      <c r="AC44" s="44">
        <v>242.47795099999999</v>
      </c>
      <c r="AD44" s="44">
        <v>251.22860700000001</v>
      </c>
      <c r="AE44" s="44">
        <v>260.16613799999999</v>
      </c>
      <c r="AF44" s="44">
        <v>268.75646999999998</v>
      </c>
      <c r="AG44" s="39">
        <v>3.8213999999999998E-2</v>
      </c>
    </row>
    <row r="45" spans="1:33" ht="14.65" customHeight="1" x14ac:dyDescent="0.25">
      <c r="A45" s="42" t="s">
        <v>744</v>
      </c>
      <c r="B45" s="41" t="s">
        <v>745</v>
      </c>
      <c r="C45" s="44">
        <v>3.7604649999999999</v>
      </c>
      <c r="D45" s="44">
        <v>3.7604649999999999</v>
      </c>
      <c r="E45" s="44">
        <v>4.0495450000000002</v>
      </c>
      <c r="F45" s="44">
        <v>4.0495450000000002</v>
      </c>
      <c r="G45" s="44">
        <v>4.0495450000000002</v>
      </c>
      <c r="H45" s="44">
        <v>4.0495450000000002</v>
      </c>
      <c r="I45" s="44">
        <v>4.0495450000000002</v>
      </c>
      <c r="J45" s="44">
        <v>4.0495450000000002</v>
      </c>
      <c r="K45" s="44">
        <v>4.0495450000000002</v>
      </c>
      <c r="L45" s="44">
        <v>4.0495450000000002</v>
      </c>
      <c r="M45" s="44">
        <v>4.0495450000000002</v>
      </c>
      <c r="N45" s="44">
        <v>4.0495450000000002</v>
      </c>
      <c r="O45" s="44">
        <v>4.0495450000000002</v>
      </c>
      <c r="P45" s="44">
        <v>4.0495450000000002</v>
      </c>
      <c r="Q45" s="44">
        <v>4.0495450000000002</v>
      </c>
      <c r="R45" s="44">
        <v>4.0495450000000002</v>
      </c>
      <c r="S45" s="44">
        <v>4.0495450000000002</v>
      </c>
      <c r="T45" s="44">
        <v>4.0495450000000002</v>
      </c>
      <c r="U45" s="44">
        <v>4.0495450000000002</v>
      </c>
      <c r="V45" s="44">
        <v>4.0495450000000002</v>
      </c>
      <c r="W45" s="44">
        <v>4.0495450000000002</v>
      </c>
      <c r="X45" s="44">
        <v>4.0495450000000002</v>
      </c>
      <c r="Y45" s="44">
        <v>4.0495450000000002</v>
      </c>
      <c r="Z45" s="44">
        <v>4.0495450000000002</v>
      </c>
      <c r="AA45" s="44">
        <v>4.0495450000000002</v>
      </c>
      <c r="AB45" s="44">
        <v>4.0495450000000002</v>
      </c>
      <c r="AC45" s="44">
        <v>4.0495450000000002</v>
      </c>
      <c r="AD45" s="44">
        <v>4.0495450000000002</v>
      </c>
      <c r="AE45" s="44">
        <v>4.0495450000000002</v>
      </c>
      <c r="AF45" s="44">
        <v>4.0495450000000002</v>
      </c>
      <c r="AG45" s="39">
        <v>2.5569999999999998E-3</v>
      </c>
    </row>
    <row r="46" spans="1:33" x14ac:dyDescent="0.2">
      <c r="A46" s="42" t="s">
        <v>746</v>
      </c>
      <c r="B46" s="45" t="s">
        <v>747</v>
      </c>
      <c r="C46" s="56">
        <v>226.57254</v>
      </c>
      <c r="D46" s="56">
        <v>236.355133</v>
      </c>
      <c r="E46" s="56">
        <v>245.09930399999999</v>
      </c>
      <c r="F46" s="56">
        <v>251.768158</v>
      </c>
      <c r="G46" s="56">
        <v>257.39093000000003</v>
      </c>
      <c r="H46" s="56">
        <v>263.58251999999999</v>
      </c>
      <c r="I46" s="56">
        <v>268.82470699999999</v>
      </c>
      <c r="J46" s="56">
        <v>273.92913800000002</v>
      </c>
      <c r="K46" s="56">
        <v>279.52011099999999</v>
      </c>
      <c r="L46" s="56">
        <v>284.00030500000003</v>
      </c>
      <c r="M46" s="56">
        <v>288.97277800000001</v>
      </c>
      <c r="N46" s="56">
        <v>292.84396400000003</v>
      </c>
      <c r="O46" s="56">
        <v>298.81796300000002</v>
      </c>
      <c r="P46" s="56">
        <v>304.39141799999999</v>
      </c>
      <c r="Q46" s="56">
        <v>308.85592700000001</v>
      </c>
      <c r="R46" s="56">
        <v>314.68185399999999</v>
      </c>
      <c r="S46" s="56">
        <v>321.49585000000002</v>
      </c>
      <c r="T46" s="56">
        <v>327.56024200000002</v>
      </c>
      <c r="U46" s="56">
        <v>334.26895100000002</v>
      </c>
      <c r="V46" s="56">
        <v>341.94549599999999</v>
      </c>
      <c r="W46" s="56">
        <v>349.31298800000002</v>
      </c>
      <c r="X46" s="56">
        <v>357.84548999999998</v>
      </c>
      <c r="Y46" s="56">
        <v>366.02056900000002</v>
      </c>
      <c r="Z46" s="56">
        <v>373.99859600000002</v>
      </c>
      <c r="AA46" s="56">
        <v>383.113586</v>
      </c>
      <c r="AB46" s="56">
        <v>392.755066</v>
      </c>
      <c r="AC46" s="56">
        <v>402.12152099999997</v>
      </c>
      <c r="AD46" s="56">
        <v>412.32135</v>
      </c>
      <c r="AE46" s="56">
        <v>422.26965300000001</v>
      </c>
      <c r="AF46" s="56">
        <v>432.41412400000002</v>
      </c>
      <c r="AG46" s="46">
        <v>2.2537000000000001E-2</v>
      </c>
    </row>
    <row r="47" spans="1:33" ht="14.65" customHeight="1" x14ac:dyDescent="0.25">
      <c r="A47" s="42" t="s">
        <v>748</v>
      </c>
      <c r="B47" s="41" t="s">
        <v>749</v>
      </c>
      <c r="C47" s="44">
        <v>170.39570599999999</v>
      </c>
      <c r="D47" s="44">
        <v>177.85823099999999</v>
      </c>
      <c r="E47" s="44">
        <v>196.008453</v>
      </c>
      <c r="F47" s="44">
        <v>201.82835399999999</v>
      </c>
      <c r="G47" s="44">
        <v>206.68052700000001</v>
      </c>
      <c r="H47" s="44">
        <v>212.05929599999999</v>
      </c>
      <c r="I47" s="44">
        <v>216.48114000000001</v>
      </c>
      <c r="J47" s="44">
        <v>220.74911499999999</v>
      </c>
      <c r="K47" s="44">
        <v>225.48005699999999</v>
      </c>
      <c r="L47" s="44">
        <v>229.10368299999999</v>
      </c>
      <c r="M47" s="44">
        <v>233.175522</v>
      </c>
      <c r="N47" s="44">
        <v>236.14524800000001</v>
      </c>
      <c r="O47" s="44">
        <v>241.14201399999999</v>
      </c>
      <c r="P47" s="44">
        <v>245.69000199999999</v>
      </c>
      <c r="Q47" s="44">
        <v>249.12437399999999</v>
      </c>
      <c r="R47" s="44">
        <v>253.93104600000001</v>
      </c>
      <c r="S47" s="44">
        <v>259.64355499999999</v>
      </c>
      <c r="T47" s="44">
        <v>264.62664799999999</v>
      </c>
      <c r="U47" s="44">
        <v>270.19869999999997</v>
      </c>
      <c r="V47" s="44">
        <v>276.65850799999998</v>
      </c>
      <c r="W47" s="44">
        <v>282.79482999999999</v>
      </c>
      <c r="X47" s="44">
        <v>289.97128300000003</v>
      </c>
      <c r="Y47" s="44">
        <v>296.734711</v>
      </c>
      <c r="Z47" s="44">
        <v>303.31253099999998</v>
      </c>
      <c r="AA47" s="44">
        <v>310.91629</v>
      </c>
      <c r="AB47" s="44">
        <v>318.997772</v>
      </c>
      <c r="AC47" s="44">
        <v>326.71469100000002</v>
      </c>
      <c r="AD47" s="44">
        <v>335.21029700000003</v>
      </c>
      <c r="AE47" s="44">
        <v>343.41708399999999</v>
      </c>
      <c r="AF47" s="44">
        <v>351.75021400000003</v>
      </c>
      <c r="AG47" s="39">
        <v>2.5308000000000001E-2</v>
      </c>
    </row>
    <row r="48" spans="1:33" x14ac:dyDescent="0.2">
      <c r="A48" s="42" t="s">
        <v>750</v>
      </c>
      <c r="B48" s="45" t="s">
        <v>751</v>
      </c>
      <c r="C48" s="56">
        <v>56.176876</v>
      </c>
      <c r="D48" s="56">
        <v>58.49691</v>
      </c>
      <c r="E48" s="56">
        <v>49.090857999999997</v>
      </c>
      <c r="F48" s="56">
        <v>49.939796000000001</v>
      </c>
      <c r="G48" s="56">
        <v>50.710391999999999</v>
      </c>
      <c r="H48" s="56">
        <v>51.523209000000001</v>
      </c>
      <c r="I48" s="56">
        <v>52.343533000000001</v>
      </c>
      <c r="J48" s="56">
        <v>53.180008000000001</v>
      </c>
      <c r="K48" s="56">
        <v>54.040066000000003</v>
      </c>
      <c r="L48" s="56">
        <v>54.896628999999997</v>
      </c>
      <c r="M48" s="56">
        <v>55.797252999999998</v>
      </c>
      <c r="N48" s="56">
        <v>56.698703999999999</v>
      </c>
      <c r="O48" s="56">
        <v>57.675949000000003</v>
      </c>
      <c r="P48" s="56">
        <v>58.701408000000001</v>
      </c>
      <c r="Q48" s="56">
        <v>59.731532999999999</v>
      </c>
      <c r="R48" s="56">
        <v>60.750790000000002</v>
      </c>
      <c r="S48" s="56">
        <v>61.852276000000003</v>
      </c>
      <c r="T48" s="56">
        <v>62.933590000000002</v>
      </c>
      <c r="U48" s="56">
        <v>64.070189999999997</v>
      </c>
      <c r="V48" s="56">
        <v>65.286957000000001</v>
      </c>
      <c r="W48" s="56">
        <v>66.518173000000004</v>
      </c>
      <c r="X48" s="56">
        <v>67.874229</v>
      </c>
      <c r="Y48" s="56">
        <v>69.285843</v>
      </c>
      <c r="Z48" s="56">
        <v>70.686042999999998</v>
      </c>
      <c r="AA48" s="56">
        <v>72.197333999999998</v>
      </c>
      <c r="AB48" s="56">
        <v>73.757300999999998</v>
      </c>
      <c r="AC48" s="56">
        <v>75.406784000000002</v>
      </c>
      <c r="AD48" s="56">
        <v>77.111052999999998</v>
      </c>
      <c r="AE48" s="56">
        <v>78.852553999999998</v>
      </c>
      <c r="AF48" s="56">
        <v>80.663978999999998</v>
      </c>
      <c r="AG48" s="46">
        <v>1.2553999999999999E-2</v>
      </c>
    </row>
    <row r="49" spans="1:33" ht="14.65" customHeight="1" x14ac:dyDescent="0.2"/>
    <row r="50" spans="1:33" ht="15" customHeight="1" x14ac:dyDescent="0.2">
      <c r="B50" s="45" t="s">
        <v>752</v>
      </c>
    </row>
    <row r="51" spans="1:33" ht="15" customHeight="1" x14ac:dyDescent="0.25">
      <c r="A51" s="42" t="s">
        <v>753</v>
      </c>
      <c r="B51" s="41" t="s">
        <v>705</v>
      </c>
      <c r="C51" s="44">
        <v>954.06500200000005</v>
      </c>
      <c r="D51" s="44">
        <v>918.87768600000004</v>
      </c>
      <c r="E51" s="44">
        <v>871.88818400000002</v>
      </c>
      <c r="F51" s="44">
        <v>744.66430700000001</v>
      </c>
      <c r="G51" s="44">
        <v>709.865906</v>
      </c>
      <c r="H51" s="44">
        <v>691.19262700000002</v>
      </c>
      <c r="I51" s="44">
        <v>669.04504399999996</v>
      </c>
      <c r="J51" s="44">
        <v>666.39123500000005</v>
      </c>
      <c r="K51" s="44">
        <v>663.02533000000005</v>
      </c>
      <c r="L51" s="44">
        <v>648.88201900000001</v>
      </c>
      <c r="M51" s="44">
        <v>642.88500999999997</v>
      </c>
      <c r="N51" s="44">
        <v>628.71069299999999</v>
      </c>
      <c r="O51" s="44">
        <v>633.54394500000001</v>
      </c>
      <c r="P51" s="44">
        <v>606.11889599999995</v>
      </c>
      <c r="Q51" s="44">
        <v>576.46148700000003</v>
      </c>
      <c r="R51" s="44">
        <v>565.22808799999996</v>
      </c>
      <c r="S51" s="44">
        <v>553.68151899999998</v>
      </c>
      <c r="T51" s="44">
        <v>551.46246299999996</v>
      </c>
      <c r="U51" s="44">
        <v>549.81079099999999</v>
      </c>
      <c r="V51" s="44">
        <v>541.33489999999995</v>
      </c>
      <c r="W51" s="44">
        <v>540.19232199999999</v>
      </c>
      <c r="X51" s="44">
        <v>534.83880599999998</v>
      </c>
      <c r="Y51" s="44">
        <v>526.44281000000001</v>
      </c>
      <c r="Z51" s="44">
        <v>520.13397199999997</v>
      </c>
      <c r="AA51" s="44">
        <v>508.79788200000002</v>
      </c>
      <c r="AB51" s="44">
        <v>504.26840199999998</v>
      </c>
      <c r="AC51" s="44">
        <v>495.26232900000002</v>
      </c>
      <c r="AD51" s="44">
        <v>486.069366</v>
      </c>
      <c r="AE51" s="44">
        <v>482.09149200000002</v>
      </c>
      <c r="AF51" s="44">
        <v>487.182953</v>
      </c>
      <c r="AG51" s="39">
        <v>-2.2908999999999999E-2</v>
      </c>
    </row>
    <row r="52" spans="1:33" ht="15" customHeight="1" x14ac:dyDescent="0.25">
      <c r="A52" s="42" t="s">
        <v>754</v>
      </c>
      <c r="B52" s="41" t="s">
        <v>707</v>
      </c>
      <c r="C52" s="44">
        <v>11.75337</v>
      </c>
      <c r="D52" s="44">
        <v>11.432449999999999</v>
      </c>
      <c r="E52" s="44">
        <v>10.942463</v>
      </c>
      <c r="F52" s="44">
        <v>10.305657999999999</v>
      </c>
      <c r="G52" s="44">
        <v>10.038285999999999</v>
      </c>
      <c r="H52" s="44">
        <v>9.6112959999999994</v>
      </c>
      <c r="I52" s="44">
        <v>9.0585679999999993</v>
      </c>
      <c r="J52" s="44">
        <v>8.7920569999999998</v>
      </c>
      <c r="K52" s="44">
        <v>8.6611799999999999</v>
      </c>
      <c r="L52" s="44">
        <v>8.4246060000000007</v>
      </c>
      <c r="M52" s="44">
        <v>8.1360360000000007</v>
      </c>
      <c r="N52" s="44">
        <v>8.0455240000000003</v>
      </c>
      <c r="O52" s="44">
        <v>7.9922589999999998</v>
      </c>
      <c r="P52" s="44">
        <v>7.842778</v>
      </c>
      <c r="Q52" s="44">
        <v>7.6712369999999996</v>
      </c>
      <c r="R52" s="44">
        <v>7.527685</v>
      </c>
      <c r="S52" s="44">
        <v>7.3431680000000004</v>
      </c>
      <c r="T52" s="44">
        <v>7.1722109999999999</v>
      </c>
      <c r="U52" s="44">
        <v>7.0831999999999997</v>
      </c>
      <c r="V52" s="44">
        <v>6.9567579999999998</v>
      </c>
      <c r="W52" s="44">
        <v>6.6825340000000004</v>
      </c>
      <c r="X52" s="44">
        <v>6.3842889999999999</v>
      </c>
      <c r="Y52" s="44">
        <v>6.0664790000000002</v>
      </c>
      <c r="Z52" s="44">
        <v>5.7518770000000004</v>
      </c>
      <c r="AA52" s="44">
        <v>5.4231389999999999</v>
      </c>
      <c r="AB52" s="44">
        <v>5.406752</v>
      </c>
      <c r="AC52" s="44">
        <v>5.3842410000000003</v>
      </c>
      <c r="AD52" s="44">
        <v>5.3783519999999996</v>
      </c>
      <c r="AE52" s="44">
        <v>5.3775870000000001</v>
      </c>
      <c r="AF52" s="44">
        <v>5.4068199999999997</v>
      </c>
      <c r="AG52" s="39">
        <v>-2.6419999999999999E-2</v>
      </c>
    </row>
    <row r="53" spans="1:33" ht="15" customHeight="1" x14ac:dyDescent="0.25">
      <c r="A53" s="42" t="s">
        <v>755</v>
      </c>
      <c r="B53" s="41" t="s">
        <v>724</v>
      </c>
      <c r="C53" s="44">
        <v>1563.9343260000001</v>
      </c>
      <c r="D53" s="44">
        <v>1508.7951660000001</v>
      </c>
      <c r="E53" s="44">
        <v>1543.396606</v>
      </c>
      <c r="F53" s="44">
        <v>1547.506836</v>
      </c>
      <c r="G53" s="44">
        <v>1524.737061</v>
      </c>
      <c r="H53" s="44">
        <v>1515.549561</v>
      </c>
      <c r="I53" s="44">
        <v>1492.1236570000001</v>
      </c>
      <c r="J53" s="44">
        <v>1525.1713870000001</v>
      </c>
      <c r="K53" s="44">
        <v>1518.3145750000001</v>
      </c>
      <c r="L53" s="44">
        <v>1493.0329589999999</v>
      </c>
      <c r="M53" s="44">
        <v>1481.0588379999999</v>
      </c>
      <c r="N53" s="44">
        <v>1481.5040280000001</v>
      </c>
      <c r="O53" s="44">
        <v>1512.330688</v>
      </c>
      <c r="P53" s="44">
        <v>1482.525024</v>
      </c>
      <c r="Q53" s="44">
        <v>1450.9301760000001</v>
      </c>
      <c r="R53" s="44">
        <v>1437.1635739999999</v>
      </c>
      <c r="S53" s="44">
        <v>1458.155518</v>
      </c>
      <c r="T53" s="44">
        <v>1480.8842770000001</v>
      </c>
      <c r="U53" s="44">
        <v>1504.830811</v>
      </c>
      <c r="V53" s="44">
        <v>1527.5648189999999</v>
      </c>
      <c r="W53" s="44">
        <v>1543.3320309999999</v>
      </c>
      <c r="X53" s="44">
        <v>1561.5395510000001</v>
      </c>
      <c r="Y53" s="44">
        <v>1586.1152340000001</v>
      </c>
      <c r="Z53" s="44">
        <v>1601.6489260000001</v>
      </c>
      <c r="AA53" s="44">
        <v>1618.184082</v>
      </c>
      <c r="AB53" s="44">
        <v>1643.446655</v>
      </c>
      <c r="AC53" s="44">
        <v>1665.6313479999999</v>
      </c>
      <c r="AD53" s="44">
        <v>1688.4991460000001</v>
      </c>
      <c r="AE53" s="44">
        <v>1708.147217</v>
      </c>
      <c r="AF53" s="44">
        <v>1738.11853</v>
      </c>
      <c r="AG53" s="39">
        <v>3.6480000000000002E-3</v>
      </c>
    </row>
    <row r="54" spans="1:33" ht="15" customHeight="1" x14ac:dyDescent="0.25">
      <c r="A54" s="42" t="s">
        <v>756</v>
      </c>
      <c r="B54" s="41" t="s">
        <v>711</v>
      </c>
      <c r="C54" s="44">
        <v>777.68218999999999</v>
      </c>
      <c r="D54" s="44">
        <v>783.61560099999997</v>
      </c>
      <c r="E54" s="44">
        <v>785.479919</v>
      </c>
      <c r="F54" s="44">
        <v>788.97302200000001</v>
      </c>
      <c r="G54" s="44">
        <v>781.77600099999995</v>
      </c>
      <c r="H54" s="44">
        <v>773.33514400000001</v>
      </c>
      <c r="I54" s="44">
        <v>759.40319799999997</v>
      </c>
      <c r="J54" s="44">
        <v>705.65112299999998</v>
      </c>
      <c r="K54" s="44">
        <v>699.00122099999999</v>
      </c>
      <c r="L54" s="44">
        <v>699.71972700000003</v>
      </c>
      <c r="M54" s="44">
        <v>700.81298800000002</v>
      </c>
      <c r="N54" s="44">
        <v>701.57141100000001</v>
      </c>
      <c r="O54" s="44">
        <v>651.97454800000003</v>
      </c>
      <c r="P54" s="44">
        <v>652.66906700000004</v>
      </c>
      <c r="Q54" s="44">
        <v>646.13622999999995</v>
      </c>
      <c r="R54" s="44">
        <v>647.18078600000001</v>
      </c>
      <c r="S54" s="44">
        <v>647.391479</v>
      </c>
      <c r="T54" s="44">
        <v>647.592896</v>
      </c>
      <c r="U54" s="44">
        <v>647.60253899999998</v>
      </c>
      <c r="V54" s="44">
        <v>647.93890399999998</v>
      </c>
      <c r="W54" s="44">
        <v>649.192139</v>
      </c>
      <c r="X54" s="44">
        <v>650.09667999999999</v>
      </c>
      <c r="Y54" s="44">
        <v>650.97113000000002</v>
      </c>
      <c r="Z54" s="44">
        <v>651.73388699999998</v>
      </c>
      <c r="AA54" s="44">
        <v>652.55200200000002</v>
      </c>
      <c r="AB54" s="44">
        <v>652.97900400000003</v>
      </c>
      <c r="AC54" s="44">
        <v>653.40454099999999</v>
      </c>
      <c r="AD54" s="44">
        <v>653.66992200000004</v>
      </c>
      <c r="AE54" s="44">
        <v>653.99096699999996</v>
      </c>
      <c r="AF54" s="44">
        <v>654.45459000000005</v>
      </c>
      <c r="AG54" s="39">
        <v>-5.9309999999999996E-3</v>
      </c>
    </row>
    <row r="55" spans="1:33" ht="15" customHeight="1" x14ac:dyDescent="0.25">
      <c r="A55" s="42" t="s">
        <v>757</v>
      </c>
      <c r="B55" s="41" t="s">
        <v>758</v>
      </c>
      <c r="C55" s="44">
        <v>878.78967299999999</v>
      </c>
      <c r="D55" s="44">
        <v>974.64953600000001</v>
      </c>
      <c r="E55" s="44">
        <v>1059.7303469999999</v>
      </c>
      <c r="F55" s="44">
        <v>1191.8342290000001</v>
      </c>
      <c r="G55" s="44">
        <v>1278.337769</v>
      </c>
      <c r="H55" s="44">
        <v>1326.0509030000001</v>
      </c>
      <c r="I55" s="44">
        <v>1396.302856</v>
      </c>
      <c r="J55" s="44">
        <v>1434.555664</v>
      </c>
      <c r="K55" s="44">
        <v>1468.1829829999999</v>
      </c>
      <c r="L55" s="44">
        <v>1519.4291989999999</v>
      </c>
      <c r="M55" s="44">
        <v>1556.000366</v>
      </c>
      <c r="N55" s="44">
        <v>1593.026001</v>
      </c>
      <c r="O55" s="44">
        <v>1631.55603</v>
      </c>
      <c r="P55" s="44">
        <v>1707.424561</v>
      </c>
      <c r="Q55" s="44">
        <v>1802.7501219999999</v>
      </c>
      <c r="R55" s="44">
        <v>1858.605591</v>
      </c>
      <c r="S55" s="44">
        <v>1885.163818</v>
      </c>
      <c r="T55" s="44">
        <v>1899.306763</v>
      </c>
      <c r="U55" s="44">
        <v>1913.9178469999999</v>
      </c>
      <c r="V55" s="44">
        <v>1931.864014</v>
      </c>
      <c r="W55" s="44">
        <v>1953.5245359999999</v>
      </c>
      <c r="X55" s="44">
        <v>1977.919312</v>
      </c>
      <c r="Y55" s="44">
        <v>2001.8919679999999</v>
      </c>
      <c r="Z55" s="44">
        <v>2032.619995</v>
      </c>
      <c r="AA55" s="44">
        <v>2069.5021969999998</v>
      </c>
      <c r="AB55" s="44">
        <v>2097.3005370000001</v>
      </c>
      <c r="AC55" s="44">
        <v>2130.4165039999998</v>
      </c>
      <c r="AD55" s="44">
        <v>2162.329346</v>
      </c>
      <c r="AE55" s="44">
        <v>2191.6586910000001</v>
      </c>
      <c r="AF55" s="44">
        <v>2211.7358399999998</v>
      </c>
      <c r="AG55" s="39">
        <v>3.2339E-2</v>
      </c>
    </row>
    <row r="56" spans="1:33" ht="15" customHeight="1" x14ac:dyDescent="0.25">
      <c r="A56" s="42" t="s">
        <v>759</v>
      </c>
      <c r="B56" s="41" t="s">
        <v>760</v>
      </c>
      <c r="C56" s="44">
        <v>16.130732999999999</v>
      </c>
      <c r="D56" s="44">
        <v>16.049693999999999</v>
      </c>
      <c r="E56" s="44">
        <v>17.178106</v>
      </c>
      <c r="F56" s="44">
        <v>17.025729999999999</v>
      </c>
      <c r="G56" s="44">
        <v>16.896809000000001</v>
      </c>
      <c r="H56" s="44">
        <v>16.740653999999999</v>
      </c>
      <c r="I56" s="44">
        <v>16.546520000000001</v>
      </c>
      <c r="J56" s="44">
        <v>16.495508000000001</v>
      </c>
      <c r="K56" s="44">
        <v>16.227345</v>
      </c>
      <c r="L56" s="44">
        <v>16.064654999999998</v>
      </c>
      <c r="M56" s="44">
        <v>15.612797</v>
      </c>
      <c r="N56" s="44">
        <v>15.138664</v>
      </c>
      <c r="O56" s="44">
        <v>14.928025</v>
      </c>
      <c r="P56" s="44">
        <v>14.860137999999999</v>
      </c>
      <c r="Q56" s="44">
        <v>14.963277</v>
      </c>
      <c r="R56" s="44">
        <v>15.044102000000001</v>
      </c>
      <c r="S56" s="44">
        <v>15.118727</v>
      </c>
      <c r="T56" s="44">
        <v>15.087669</v>
      </c>
      <c r="U56" s="44">
        <v>15.010944</v>
      </c>
      <c r="V56" s="44">
        <v>14.856674</v>
      </c>
      <c r="W56" s="44">
        <v>14.6532</v>
      </c>
      <c r="X56" s="44">
        <v>14.483692</v>
      </c>
      <c r="Y56" s="44">
        <v>14.434765000000001</v>
      </c>
      <c r="Z56" s="44">
        <v>14.051201000000001</v>
      </c>
      <c r="AA56" s="44">
        <v>13.843907</v>
      </c>
      <c r="AB56" s="44">
        <v>13.815447000000001</v>
      </c>
      <c r="AC56" s="44">
        <v>13.761391</v>
      </c>
      <c r="AD56" s="44">
        <v>13.666254</v>
      </c>
      <c r="AE56" s="44">
        <v>13.522387999999999</v>
      </c>
      <c r="AF56" s="44">
        <v>13.572005000000001</v>
      </c>
      <c r="AG56" s="39">
        <v>-5.9379999999999997E-3</v>
      </c>
    </row>
    <row r="57" spans="1:33" ht="15" customHeight="1" x14ac:dyDescent="0.2">
      <c r="A57" s="42" t="s">
        <v>761</v>
      </c>
      <c r="B57" s="45" t="s">
        <v>762</v>
      </c>
      <c r="C57" s="56">
        <v>4202.3554690000001</v>
      </c>
      <c r="D57" s="56">
        <v>4213.4204099999997</v>
      </c>
      <c r="E57" s="56">
        <v>4288.6157229999999</v>
      </c>
      <c r="F57" s="56">
        <v>4300.3095700000003</v>
      </c>
      <c r="G57" s="56">
        <v>4321.6523440000001</v>
      </c>
      <c r="H57" s="56">
        <v>4332.4804690000001</v>
      </c>
      <c r="I57" s="56">
        <v>4342.4799800000001</v>
      </c>
      <c r="J57" s="56">
        <v>4357.0571289999998</v>
      </c>
      <c r="K57" s="56">
        <v>4373.4130859999996</v>
      </c>
      <c r="L57" s="56">
        <v>4385.5537109999996</v>
      </c>
      <c r="M57" s="56">
        <v>4404.5058589999999</v>
      </c>
      <c r="N57" s="56">
        <v>4427.9960940000001</v>
      </c>
      <c r="O57" s="56">
        <v>4452.3251950000003</v>
      </c>
      <c r="P57" s="56">
        <v>4471.4409180000002</v>
      </c>
      <c r="Q57" s="56">
        <v>4498.9125979999999</v>
      </c>
      <c r="R57" s="56">
        <v>4530.7495120000003</v>
      </c>
      <c r="S57" s="56">
        <v>4566.8535160000001</v>
      </c>
      <c r="T57" s="56">
        <v>4601.5053710000002</v>
      </c>
      <c r="U57" s="56">
        <v>4638.2558589999999</v>
      </c>
      <c r="V57" s="56">
        <v>4670.5161129999997</v>
      </c>
      <c r="W57" s="56">
        <v>4707.5766599999997</v>
      </c>
      <c r="X57" s="56">
        <v>4745.2626950000003</v>
      </c>
      <c r="Y57" s="56">
        <v>4785.9223629999997</v>
      </c>
      <c r="Z57" s="56">
        <v>4825.939453</v>
      </c>
      <c r="AA57" s="56">
        <v>4868.3032229999999</v>
      </c>
      <c r="AB57" s="56">
        <v>4917.216797</v>
      </c>
      <c r="AC57" s="56">
        <v>4963.8603519999997</v>
      </c>
      <c r="AD57" s="56">
        <v>5009.6123049999997</v>
      </c>
      <c r="AE57" s="56">
        <v>5054.7880859999996</v>
      </c>
      <c r="AF57" s="56">
        <v>5110.470703</v>
      </c>
      <c r="AG57" s="46">
        <v>6.7689999999999998E-3</v>
      </c>
    </row>
    <row r="58" spans="1:33" ht="15" customHeight="1" x14ac:dyDescent="0.2">
      <c r="A58" s="42" t="s">
        <v>763</v>
      </c>
      <c r="B58" s="45" t="s">
        <v>764</v>
      </c>
      <c r="C58" s="56">
        <v>4016.9738769999999</v>
      </c>
      <c r="D58" s="56">
        <v>4020.6594239999999</v>
      </c>
      <c r="E58" s="56">
        <v>4078.1672359999998</v>
      </c>
      <c r="F58" s="56">
        <v>4084.2734380000002</v>
      </c>
      <c r="G58" s="56">
        <v>4100.8168949999999</v>
      </c>
      <c r="H58" s="56">
        <v>4106.2695309999999</v>
      </c>
      <c r="I58" s="56">
        <v>4111.8471680000002</v>
      </c>
      <c r="J58" s="56">
        <v>4122.15625</v>
      </c>
      <c r="K58" s="56">
        <v>4133.78125</v>
      </c>
      <c r="L58" s="56">
        <v>4142.2978519999997</v>
      </c>
      <c r="M58" s="56">
        <v>4157.1787109999996</v>
      </c>
      <c r="N58" s="56">
        <v>4177.6992190000001</v>
      </c>
      <c r="O58" s="56">
        <v>4197.0317379999997</v>
      </c>
      <c r="P58" s="56">
        <v>4211.5991210000002</v>
      </c>
      <c r="Q58" s="56">
        <v>4235.6367190000001</v>
      </c>
      <c r="R58" s="56">
        <v>4262.6674800000001</v>
      </c>
      <c r="S58" s="56">
        <v>4293.0590819999998</v>
      </c>
      <c r="T58" s="56">
        <v>4322.7280270000001</v>
      </c>
      <c r="U58" s="56">
        <v>4353.90625</v>
      </c>
      <c r="V58" s="56">
        <v>4379.7070309999999</v>
      </c>
      <c r="W58" s="56">
        <v>4410.6308589999999</v>
      </c>
      <c r="X58" s="56">
        <v>4441.1401370000003</v>
      </c>
      <c r="Y58" s="56">
        <v>4475.0366210000002</v>
      </c>
      <c r="Z58" s="56">
        <v>4508.4760740000002</v>
      </c>
      <c r="AA58" s="56">
        <v>4543.326172</v>
      </c>
      <c r="AB58" s="56">
        <v>4584.1586909999996</v>
      </c>
      <c r="AC58" s="56">
        <v>4623.0849609999996</v>
      </c>
      <c r="AD58" s="56">
        <v>4660.3413090000004</v>
      </c>
      <c r="AE58" s="56">
        <v>4697.310547</v>
      </c>
      <c r="AF58" s="56">
        <v>4744.6601559999999</v>
      </c>
      <c r="AG58" s="46">
        <v>5.7580000000000001E-3</v>
      </c>
    </row>
    <row r="59" spans="1:33" ht="15" customHeight="1" x14ac:dyDescent="0.2"/>
    <row r="60" spans="1:33" ht="15" customHeight="1" x14ac:dyDescent="0.2">
      <c r="A60" s="42" t="s">
        <v>765</v>
      </c>
      <c r="B60" s="45" t="s">
        <v>766</v>
      </c>
      <c r="C60" s="56">
        <v>62.456802000000003</v>
      </c>
      <c r="D60" s="56">
        <v>45.025973999999998</v>
      </c>
      <c r="E60" s="56">
        <v>40.626316000000003</v>
      </c>
      <c r="F60" s="56">
        <v>41.499699</v>
      </c>
      <c r="G60" s="56">
        <v>38.604469000000002</v>
      </c>
      <c r="H60" s="56">
        <v>40.012314000000003</v>
      </c>
      <c r="I60" s="56">
        <v>43.897198000000003</v>
      </c>
      <c r="J60" s="56">
        <v>46.430565000000001</v>
      </c>
      <c r="K60" s="56">
        <v>46.852276000000003</v>
      </c>
      <c r="L60" s="56">
        <v>49.056282000000003</v>
      </c>
      <c r="M60" s="56">
        <v>46.626621</v>
      </c>
      <c r="N60" s="56">
        <v>47.968834000000001</v>
      </c>
      <c r="O60" s="56">
        <v>45.971916</v>
      </c>
      <c r="P60" s="56">
        <v>47.457188000000002</v>
      </c>
      <c r="Q60" s="56">
        <v>46.581150000000001</v>
      </c>
      <c r="R60" s="56">
        <v>46.463828999999997</v>
      </c>
      <c r="S60" s="56">
        <v>44.940337999999997</v>
      </c>
      <c r="T60" s="56">
        <v>45.559165999999998</v>
      </c>
      <c r="U60" s="56">
        <v>45.793644</v>
      </c>
      <c r="V60" s="56">
        <v>46.317135</v>
      </c>
      <c r="W60" s="56">
        <v>44.831501000000003</v>
      </c>
      <c r="X60" s="56">
        <v>44.776535000000003</v>
      </c>
      <c r="Y60" s="56">
        <v>44.987907</v>
      </c>
      <c r="Z60" s="56">
        <v>44.886119999999998</v>
      </c>
      <c r="AA60" s="56">
        <v>43.680900999999999</v>
      </c>
      <c r="AB60" s="56">
        <v>43.634720000000002</v>
      </c>
      <c r="AC60" s="56">
        <v>43.55341</v>
      </c>
      <c r="AD60" s="56">
        <v>43.713057999999997</v>
      </c>
      <c r="AE60" s="56">
        <v>43.800109999999997</v>
      </c>
      <c r="AF60" s="56">
        <v>43.910690000000002</v>
      </c>
      <c r="AG60" s="46">
        <v>-1.2075000000000001E-2</v>
      </c>
    </row>
    <row r="61" spans="1:33" ht="15" customHeight="1" x14ac:dyDescent="0.2"/>
    <row r="62" spans="1:33" ht="15" customHeight="1" x14ac:dyDescent="0.2">
      <c r="B62" s="45" t="s">
        <v>767</v>
      </c>
    </row>
    <row r="63" spans="1:33" ht="15" customHeight="1" x14ac:dyDescent="0.25">
      <c r="A63" s="42" t="s">
        <v>768</v>
      </c>
      <c r="B63" s="41" t="s">
        <v>769</v>
      </c>
      <c r="C63" s="44">
        <v>1490.3608400000001</v>
      </c>
      <c r="D63" s="44">
        <v>1462.067505</v>
      </c>
      <c r="E63" s="44">
        <v>1495.2705080000001</v>
      </c>
      <c r="F63" s="44">
        <v>1505.297607</v>
      </c>
      <c r="G63" s="44">
        <v>1514.625732</v>
      </c>
      <c r="H63" s="44">
        <v>1521.283081</v>
      </c>
      <c r="I63" s="44">
        <v>1526.0954589999999</v>
      </c>
      <c r="J63" s="44">
        <v>1532.265625</v>
      </c>
      <c r="K63" s="44">
        <v>1538.5627440000001</v>
      </c>
      <c r="L63" s="44">
        <v>1544.6724850000001</v>
      </c>
      <c r="M63" s="44">
        <v>1550.956543</v>
      </c>
      <c r="N63" s="44">
        <v>1558.3354489999999</v>
      </c>
      <c r="O63" s="44">
        <v>1566.2463379999999</v>
      </c>
      <c r="P63" s="44">
        <v>1574.1134030000001</v>
      </c>
      <c r="Q63" s="44">
        <v>1584.5478519999999</v>
      </c>
      <c r="R63" s="44">
        <v>1596.8917240000001</v>
      </c>
      <c r="S63" s="44">
        <v>1610.2833250000001</v>
      </c>
      <c r="T63" s="44">
        <v>1623.7601320000001</v>
      </c>
      <c r="U63" s="44">
        <v>1637.4399410000001</v>
      </c>
      <c r="V63" s="44">
        <v>1649.3828120000001</v>
      </c>
      <c r="W63" s="44">
        <v>1661.362061</v>
      </c>
      <c r="X63" s="44">
        <v>1673.6403809999999</v>
      </c>
      <c r="Y63" s="44">
        <v>1686.8726810000001</v>
      </c>
      <c r="Z63" s="44">
        <v>1700.893433</v>
      </c>
      <c r="AA63" s="44">
        <v>1714.7910159999999</v>
      </c>
      <c r="AB63" s="44">
        <v>1730.2542719999999</v>
      </c>
      <c r="AC63" s="44">
        <v>1745.5336910000001</v>
      </c>
      <c r="AD63" s="44">
        <v>1761.169922</v>
      </c>
      <c r="AE63" s="44">
        <v>1777.200073</v>
      </c>
      <c r="AF63" s="44">
        <v>1795.0970460000001</v>
      </c>
      <c r="AG63" s="39">
        <v>6.4359999999999999E-3</v>
      </c>
    </row>
    <row r="64" spans="1:33" ht="15" customHeight="1" x14ac:dyDescent="0.25">
      <c r="A64" s="42" t="s">
        <v>770</v>
      </c>
      <c r="B64" s="41" t="s">
        <v>771</v>
      </c>
      <c r="C64" s="44">
        <v>1318.7407229999999</v>
      </c>
      <c r="D64" s="44">
        <v>1330.58374</v>
      </c>
      <c r="E64" s="44">
        <v>1340.052124</v>
      </c>
      <c r="F64" s="44">
        <v>1336.611206</v>
      </c>
      <c r="G64" s="44">
        <v>1334.7357179999999</v>
      </c>
      <c r="H64" s="44">
        <v>1328.930298</v>
      </c>
      <c r="I64" s="44">
        <v>1330.0395510000001</v>
      </c>
      <c r="J64" s="44">
        <v>1330.9406739999999</v>
      </c>
      <c r="K64" s="44">
        <v>1332.1773679999999</v>
      </c>
      <c r="L64" s="44">
        <v>1332.4298100000001</v>
      </c>
      <c r="M64" s="44">
        <v>1334.1748050000001</v>
      </c>
      <c r="N64" s="44">
        <v>1336.9094239999999</v>
      </c>
      <c r="O64" s="44">
        <v>1339.8889160000001</v>
      </c>
      <c r="P64" s="44">
        <v>1344.0642089999999</v>
      </c>
      <c r="Q64" s="44">
        <v>1351.2700199999999</v>
      </c>
      <c r="R64" s="44">
        <v>1358.5310059999999</v>
      </c>
      <c r="S64" s="44">
        <v>1365.211548</v>
      </c>
      <c r="T64" s="44">
        <v>1373.2829589999999</v>
      </c>
      <c r="U64" s="44">
        <v>1381.2604980000001</v>
      </c>
      <c r="V64" s="44">
        <v>1387.1762699999999</v>
      </c>
      <c r="W64" s="44">
        <v>1395.005981</v>
      </c>
      <c r="X64" s="44">
        <v>1402.5648189999999</v>
      </c>
      <c r="Y64" s="44">
        <v>1411.8061520000001</v>
      </c>
      <c r="Z64" s="44">
        <v>1421.9232179999999</v>
      </c>
      <c r="AA64" s="44">
        <v>1431.8735349999999</v>
      </c>
      <c r="AB64" s="44">
        <v>1442.728638</v>
      </c>
      <c r="AC64" s="44">
        <v>1454.3929439999999</v>
      </c>
      <c r="AD64" s="44">
        <v>1466.568237</v>
      </c>
      <c r="AE64" s="44">
        <v>1478.8614500000001</v>
      </c>
      <c r="AF64" s="44">
        <v>1492.7246090000001</v>
      </c>
      <c r="AG64" s="39">
        <v>4.2820000000000002E-3</v>
      </c>
    </row>
    <row r="65" spans="1:33" ht="15" customHeight="1" x14ac:dyDescent="0.25">
      <c r="A65" s="42" t="s">
        <v>772</v>
      </c>
      <c r="B65" s="41" t="s">
        <v>773</v>
      </c>
      <c r="C65" s="44">
        <v>981.15417500000001</v>
      </c>
      <c r="D65" s="44">
        <v>983.71160899999995</v>
      </c>
      <c r="E65" s="44">
        <v>989.40930200000003</v>
      </c>
      <c r="F65" s="44">
        <v>988.22454800000003</v>
      </c>
      <c r="G65" s="44">
        <v>991.59710700000005</v>
      </c>
      <c r="H65" s="44">
        <v>993.01550299999997</v>
      </c>
      <c r="I65" s="44">
        <v>991.86096199999997</v>
      </c>
      <c r="J65" s="44">
        <v>993.64068599999996</v>
      </c>
      <c r="K65" s="44">
        <v>993.17266800000004</v>
      </c>
      <c r="L65" s="44">
        <v>993.49408000000005</v>
      </c>
      <c r="M65" s="44">
        <v>993.60314900000003</v>
      </c>
      <c r="N65" s="44">
        <v>998.85809300000005</v>
      </c>
      <c r="O65" s="44">
        <v>1000.649902</v>
      </c>
      <c r="P65" s="44">
        <v>999.41113299999995</v>
      </c>
      <c r="Q65" s="44">
        <v>999.71801800000003</v>
      </c>
      <c r="R65" s="44">
        <v>1001.55426</v>
      </c>
      <c r="S65" s="44">
        <v>1004.340271</v>
      </c>
      <c r="T65" s="44">
        <v>1007.234314</v>
      </c>
      <c r="U65" s="44">
        <v>1010.760132</v>
      </c>
      <c r="V65" s="44">
        <v>1012.423767</v>
      </c>
      <c r="W65" s="44">
        <v>1015.44458</v>
      </c>
      <c r="X65" s="44">
        <v>1019.907593</v>
      </c>
      <c r="Y65" s="44">
        <v>1025.5462649999999</v>
      </c>
      <c r="Z65" s="44">
        <v>1027.422607</v>
      </c>
      <c r="AA65" s="44">
        <v>1029.4799800000001</v>
      </c>
      <c r="AB65" s="44">
        <v>1036.431274</v>
      </c>
      <c r="AC65" s="44">
        <v>1041.147461</v>
      </c>
      <c r="AD65" s="44">
        <v>1042.253784</v>
      </c>
      <c r="AE65" s="44">
        <v>1044.6705320000001</v>
      </c>
      <c r="AF65" s="44">
        <v>1052.263062</v>
      </c>
      <c r="AG65" s="39">
        <v>2.4160000000000002E-3</v>
      </c>
    </row>
    <row r="66" spans="1:33" ht="14.65" customHeight="1" x14ac:dyDescent="0.25">
      <c r="A66" s="42" t="s">
        <v>774</v>
      </c>
      <c r="B66" s="41" t="s">
        <v>775</v>
      </c>
      <c r="C66" s="44">
        <v>12.764037999999999</v>
      </c>
      <c r="D66" s="44">
        <v>15.787019000000001</v>
      </c>
      <c r="E66" s="44">
        <v>19.106504000000001</v>
      </c>
      <c r="F66" s="44">
        <v>22.505772</v>
      </c>
      <c r="G66" s="44">
        <v>25.969729999999998</v>
      </c>
      <c r="H66" s="44">
        <v>29.470078000000001</v>
      </c>
      <c r="I66" s="44">
        <v>32.938113999999999</v>
      </c>
      <c r="J66" s="44">
        <v>36.391773000000001</v>
      </c>
      <c r="K66" s="44">
        <v>39.845272000000001</v>
      </c>
      <c r="L66" s="44">
        <v>43.359875000000002</v>
      </c>
      <c r="M66" s="44">
        <v>46.878436999999998</v>
      </c>
      <c r="N66" s="44">
        <v>50.470027999999999</v>
      </c>
      <c r="O66" s="44">
        <v>54.061408999999998</v>
      </c>
      <c r="P66" s="44">
        <v>57.595795000000003</v>
      </c>
      <c r="Q66" s="44">
        <v>61.083602999999997</v>
      </c>
      <c r="R66" s="44">
        <v>64.563614000000001</v>
      </c>
      <c r="S66" s="44">
        <v>68.087418</v>
      </c>
      <c r="T66" s="44">
        <v>71.669867999999994</v>
      </c>
      <c r="U66" s="44">
        <v>75.342811999999995</v>
      </c>
      <c r="V66" s="44">
        <v>79.113968</v>
      </c>
      <c r="W66" s="44">
        <v>82.883255000000005</v>
      </c>
      <c r="X66" s="44">
        <v>86.698623999999995</v>
      </c>
      <c r="Y66" s="44">
        <v>90.629035999999999</v>
      </c>
      <c r="Z66" s="44">
        <v>94.702727999999993</v>
      </c>
      <c r="AA66" s="44">
        <v>98.832260000000005</v>
      </c>
      <c r="AB66" s="44">
        <v>102.965858</v>
      </c>
      <c r="AC66" s="44">
        <v>107.24762</v>
      </c>
      <c r="AD66" s="44">
        <v>111.619011</v>
      </c>
      <c r="AE66" s="44">
        <v>116.185509</v>
      </c>
      <c r="AF66" s="44">
        <v>121.056854</v>
      </c>
      <c r="AG66" s="39">
        <v>8.0661999999999998E-2</v>
      </c>
    </row>
    <row r="67" spans="1:33" ht="15" customHeight="1" x14ac:dyDescent="0.2">
      <c r="A67" s="42" t="s">
        <v>776</v>
      </c>
      <c r="B67" s="45" t="s">
        <v>777</v>
      </c>
      <c r="C67" s="56">
        <v>3803.0195309999999</v>
      </c>
      <c r="D67" s="56">
        <v>3792.1501459999999</v>
      </c>
      <c r="E67" s="56">
        <v>3843.838135</v>
      </c>
      <c r="F67" s="56">
        <v>3852.639404</v>
      </c>
      <c r="G67" s="56">
        <v>3866.9279790000001</v>
      </c>
      <c r="H67" s="56">
        <v>3872.6987300000001</v>
      </c>
      <c r="I67" s="56">
        <v>3880.9340820000002</v>
      </c>
      <c r="J67" s="56">
        <v>3893.2387699999999</v>
      </c>
      <c r="K67" s="56">
        <v>3903.7583009999998</v>
      </c>
      <c r="L67" s="56">
        <v>3913.9562989999999</v>
      </c>
      <c r="M67" s="56">
        <v>3925.6125489999999</v>
      </c>
      <c r="N67" s="56">
        <v>3944.5729980000001</v>
      </c>
      <c r="O67" s="56">
        <v>3960.8469239999999</v>
      </c>
      <c r="P67" s="56">
        <v>3975.1843260000001</v>
      </c>
      <c r="Q67" s="56">
        <v>3996.619385</v>
      </c>
      <c r="R67" s="56">
        <v>4021.5407709999999</v>
      </c>
      <c r="S67" s="56">
        <v>4047.9223630000001</v>
      </c>
      <c r="T67" s="56">
        <v>4075.9470209999999</v>
      </c>
      <c r="U67" s="56">
        <v>4104.8032229999999</v>
      </c>
      <c r="V67" s="56">
        <v>4128.0966799999997</v>
      </c>
      <c r="W67" s="56">
        <v>4154.6962890000004</v>
      </c>
      <c r="X67" s="56">
        <v>4182.8110349999997</v>
      </c>
      <c r="Y67" s="56">
        <v>4214.8540039999998</v>
      </c>
      <c r="Z67" s="56">
        <v>4244.9418949999999</v>
      </c>
      <c r="AA67" s="56">
        <v>4274.9770509999998</v>
      </c>
      <c r="AB67" s="56">
        <v>4312.3798829999996</v>
      </c>
      <c r="AC67" s="56">
        <v>4348.3217770000001</v>
      </c>
      <c r="AD67" s="56">
        <v>4381.6108400000003</v>
      </c>
      <c r="AE67" s="56">
        <v>4416.9174800000001</v>
      </c>
      <c r="AF67" s="56">
        <v>4461.1416019999997</v>
      </c>
      <c r="AG67" s="46">
        <v>5.5189999999999996E-3</v>
      </c>
    </row>
    <row r="68" spans="1:33" ht="15" customHeight="1" x14ac:dyDescent="0.25">
      <c r="A68" s="42" t="s">
        <v>778</v>
      </c>
      <c r="B68" s="41" t="s">
        <v>779</v>
      </c>
      <c r="C68" s="44">
        <v>185.38121000000001</v>
      </c>
      <c r="D68" s="44">
        <v>192.76080300000001</v>
      </c>
      <c r="E68" s="44">
        <v>210.4487</v>
      </c>
      <c r="F68" s="44">
        <v>216.036148</v>
      </c>
      <c r="G68" s="44">
        <v>220.83535800000001</v>
      </c>
      <c r="H68" s="44">
        <v>226.211243</v>
      </c>
      <c r="I68" s="44">
        <v>230.63308699999999</v>
      </c>
      <c r="J68" s="44">
        <v>234.90104700000001</v>
      </c>
      <c r="K68" s="44">
        <v>239.631989</v>
      </c>
      <c r="L68" s="44">
        <v>243.255585</v>
      </c>
      <c r="M68" s="44">
        <v>247.32742300000001</v>
      </c>
      <c r="N68" s="44">
        <v>250.29714999999999</v>
      </c>
      <c r="O68" s="44">
        <v>255.29357899999999</v>
      </c>
      <c r="P68" s="44">
        <v>259.84155299999998</v>
      </c>
      <c r="Q68" s="44">
        <v>263.27593999999999</v>
      </c>
      <c r="R68" s="44">
        <v>268.08261099999999</v>
      </c>
      <c r="S68" s="44">
        <v>273.79428100000001</v>
      </c>
      <c r="T68" s="44">
        <v>278.77737400000001</v>
      </c>
      <c r="U68" s="44">
        <v>284.34942599999999</v>
      </c>
      <c r="V68" s="44">
        <v>290.809235</v>
      </c>
      <c r="W68" s="44">
        <v>296.94555700000001</v>
      </c>
      <c r="X68" s="44">
        <v>304.12200899999999</v>
      </c>
      <c r="Y68" s="44">
        <v>310.88543700000002</v>
      </c>
      <c r="Z68" s="44">
        <v>317.463257</v>
      </c>
      <c r="AA68" s="44">
        <v>324.97705100000002</v>
      </c>
      <c r="AB68" s="44">
        <v>333.05853300000001</v>
      </c>
      <c r="AC68" s="44">
        <v>340.77545199999997</v>
      </c>
      <c r="AD68" s="44">
        <v>349.27105699999998</v>
      </c>
      <c r="AE68" s="44">
        <v>357.477844</v>
      </c>
      <c r="AF68" s="44">
        <v>365.81097399999999</v>
      </c>
      <c r="AG68" s="39">
        <v>2.3715E-2</v>
      </c>
    </row>
    <row r="69" spans="1:33" ht="15" customHeight="1" x14ac:dyDescent="0.2">
      <c r="A69" s="42" t="s">
        <v>780</v>
      </c>
      <c r="B69" s="45" t="s">
        <v>781</v>
      </c>
      <c r="C69" s="56">
        <v>3988.400635</v>
      </c>
      <c r="D69" s="56">
        <v>3984.9108890000002</v>
      </c>
      <c r="E69" s="56">
        <v>4054.286865</v>
      </c>
      <c r="F69" s="56">
        <v>4068.6755370000001</v>
      </c>
      <c r="G69" s="56">
        <v>4087.7634280000002</v>
      </c>
      <c r="H69" s="56">
        <v>4098.9101559999999</v>
      </c>
      <c r="I69" s="56">
        <v>4111.5673829999996</v>
      </c>
      <c r="J69" s="56">
        <v>4128.1396480000003</v>
      </c>
      <c r="K69" s="56">
        <v>4143.3901370000003</v>
      </c>
      <c r="L69" s="56">
        <v>4157.2119140000004</v>
      </c>
      <c r="M69" s="56">
        <v>4172.9399409999996</v>
      </c>
      <c r="N69" s="56">
        <v>4194.8701170000004</v>
      </c>
      <c r="O69" s="56">
        <v>4216.140625</v>
      </c>
      <c r="P69" s="56">
        <v>4235.0258789999998</v>
      </c>
      <c r="Q69" s="56">
        <v>4259.8955079999996</v>
      </c>
      <c r="R69" s="56">
        <v>4289.6235349999997</v>
      </c>
      <c r="S69" s="56">
        <v>4321.716797</v>
      </c>
      <c r="T69" s="56">
        <v>4354.7246089999999</v>
      </c>
      <c r="U69" s="56">
        <v>4389.1528319999998</v>
      </c>
      <c r="V69" s="56">
        <v>4418.9057620000003</v>
      </c>
      <c r="W69" s="56">
        <v>4451.6416019999997</v>
      </c>
      <c r="X69" s="56">
        <v>4486.9331050000001</v>
      </c>
      <c r="Y69" s="56">
        <v>4525.7392579999996</v>
      </c>
      <c r="Z69" s="56">
        <v>4562.4052730000003</v>
      </c>
      <c r="AA69" s="56">
        <v>4599.9541019999997</v>
      </c>
      <c r="AB69" s="56">
        <v>4645.4384769999997</v>
      </c>
      <c r="AC69" s="56">
        <v>4689.0971680000002</v>
      </c>
      <c r="AD69" s="56">
        <v>4730.8818359999996</v>
      </c>
      <c r="AE69" s="56">
        <v>4774.3955079999996</v>
      </c>
      <c r="AF69" s="56">
        <v>4826.9526370000003</v>
      </c>
      <c r="AG69" s="46">
        <v>6.6020000000000002E-3</v>
      </c>
    </row>
    <row r="70" spans="1:33" ht="15" customHeight="1" x14ac:dyDescent="0.2"/>
    <row r="71" spans="1:33" ht="15" customHeight="1" x14ac:dyDescent="0.2">
      <c r="B71" s="45" t="s">
        <v>782</v>
      </c>
    </row>
    <row r="72" spans="1:33" ht="15" customHeight="1" x14ac:dyDescent="0.2">
      <c r="B72" s="45" t="s">
        <v>783</v>
      </c>
    </row>
    <row r="73" spans="1:33" ht="14.65" customHeight="1" x14ac:dyDescent="0.25">
      <c r="A73" s="42" t="s">
        <v>784</v>
      </c>
      <c r="B73" s="41" t="s">
        <v>769</v>
      </c>
      <c r="C73" s="40">
        <v>13.225726999999999</v>
      </c>
      <c r="D73" s="40">
        <v>13.143032</v>
      </c>
      <c r="E73" s="40">
        <v>13.038375</v>
      </c>
      <c r="F73" s="40">
        <v>12.81936</v>
      </c>
      <c r="G73" s="40">
        <v>12.757313</v>
      </c>
      <c r="H73" s="40">
        <v>12.810119</v>
      </c>
      <c r="I73" s="40">
        <v>12.832084999999999</v>
      </c>
      <c r="J73" s="40">
        <v>12.855433</v>
      </c>
      <c r="K73" s="40">
        <v>12.897567</v>
      </c>
      <c r="L73" s="40">
        <v>12.906396000000001</v>
      </c>
      <c r="M73" s="40">
        <v>12.950918</v>
      </c>
      <c r="N73" s="40">
        <v>13.006791</v>
      </c>
      <c r="O73" s="40">
        <v>13.061377</v>
      </c>
      <c r="P73" s="40">
        <v>13.089026</v>
      </c>
      <c r="Q73" s="40">
        <v>12.983415000000001</v>
      </c>
      <c r="R73" s="40">
        <v>12.900862</v>
      </c>
      <c r="S73" s="40">
        <v>12.84929</v>
      </c>
      <c r="T73" s="40">
        <v>12.797986</v>
      </c>
      <c r="U73" s="40">
        <v>12.748436999999999</v>
      </c>
      <c r="V73" s="40">
        <v>12.767300000000001</v>
      </c>
      <c r="W73" s="40">
        <v>12.735910000000001</v>
      </c>
      <c r="X73" s="40">
        <v>12.740284000000001</v>
      </c>
      <c r="Y73" s="40">
        <v>12.682658</v>
      </c>
      <c r="Z73" s="40">
        <v>12.638915000000001</v>
      </c>
      <c r="AA73" s="40">
        <v>12.644584999999999</v>
      </c>
      <c r="AB73" s="40">
        <v>12.562238000000001</v>
      </c>
      <c r="AC73" s="40">
        <v>12.548475</v>
      </c>
      <c r="AD73" s="40">
        <v>12.507258999999999</v>
      </c>
      <c r="AE73" s="40">
        <v>12.466938000000001</v>
      </c>
      <c r="AF73" s="40">
        <v>12.382303</v>
      </c>
      <c r="AG73" s="39">
        <v>-2.2699999999999999E-3</v>
      </c>
    </row>
    <row r="74" spans="1:33" ht="15" customHeight="1" x14ac:dyDescent="0.25">
      <c r="A74" s="42" t="s">
        <v>785</v>
      </c>
      <c r="B74" s="41" t="s">
        <v>771</v>
      </c>
      <c r="C74" s="40">
        <v>11.338257</v>
      </c>
      <c r="D74" s="40">
        <v>11.231797</v>
      </c>
      <c r="E74" s="40">
        <v>10.921236</v>
      </c>
      <c r="F74" s="40">
        <v>10.689496</v>
      </c>
      <c r="G74" s="40">
        <v>10.614269999999999</v>
      </c>
      <c r="H74" s="40">
        <v>10.654633</v>
      </c>
      <c r="I74" s="40">
        <v>10.642910000000001</v>
      </c>
      <c r="J74" s="40">
        <v>10.647299</v>
      </c>
      <c r="K74" s="40">
        <v>10.659086</v>
      </c>
      <c r="L74" s="40">
        <v>10.633224</v>
      </c>
      <c r="M74" s="40">
        <v>10.647943</v>
      </c>
      <c r="N74" s="40">
        <v>10.663297</v>
      </c>
      <c r="O74" s="40">
        <v>10.708252999999999</v>
      </c>
      <c r="P74" s="40">
        <v>10.711262</v>
      </c>
      <c r="Q74" s="40">
        <v>10.578194999999999</v>
      </c>
      <c r="R74" s="40">
        <v>10.475671999999999</v>
      </c>
      <c r="S74" s="40">
        <v>10.424225</v>
      </c>
      <c r="T74" s="40">
        <v>10.352954</v>
      </c>
      <c r="U74" s="40">
        <v>10.296061999999999</v>
      </c>
      <c r="V74" s="40">
        <v>10.305923</v>
      </c>
      <c r="W74" s="40">
        <v>10.255318000000001</v>
      </c>
      <c r="X74" s="40">
        <v>10.255629000000001</v>
      </c>
      <c r="Y74" s="40">
        <v>10.192849000000001</v>
      </c>
      <c r="Z74" s="40">
        <v>10.130901</v>
      </c>
      <c r="AA74" s="40">
        <v>10.118553</v>
      </c>
      <c r="AB74" s="40">
        <v>10.028328</v>
      </c>
      <c r="AC74" s="40">
        <v>9.9988189999999992</v>
      </c>
      <c r="AD74" s="40">
        <v>9.9486760000000007</v>
      </c>
      <c r="AE74" s="40">
        <v>9.9074019999999994</v>
      </c>
      <c r="AF74" s="40">
        <v>9.8158860000000008</v>
      </c>
      <c r="AG74" s="39">
        <v>-4.9589999999999999E-3</v>
      </c>
    </row>
    <row r="75" spans="1:33" ht="15" customHeight="1" x14ac:dyDescent="0.25">
      <c r="A75" s="42" t="s">
        <v>786</v>
      </c>
      <c r="B75" s="41" t="s">
        <v>773</v>
      </c>
      <c r="C75" s="40">
        <v>7.4908159999999997</v>
      </c>
      <c r="D75" s="40">
        <v>7.3649329999999997</v>
      </c>
      <c r="E75" s="40">
        <v>7.026097</v>
      </c>
      <c r="F75" s="40">
        <v>6.8210189999999997</v>
      </c>
      <c r="G75" s="40">
        <v>6.7446120000000001</v>
      </c>
      <c r="H75" s="40">
        <v>6.6911820000000004</v>
      </c>
      <c r="I75" s="40">
        <v>6.6739810000000004</v>
      </c>
      <c r="J75" s="40">
        <v>6.6779849999999996</v>
      </c>
      <c r="K75" s="40">
        <v>6.6900310000000003</v>
      </c>
      <c r="L75" s="40">
        <v>6.6843890000000004</v>
      </c>
      <c r="M75" s="40">
        <v>6.6900490000000001</v>
      </c>
      <c r="N75" s="40">
        <v>6.6969570000000003</v>
      </c>
      <c r="O75" s="40">
        <v>6.6982200000000001</v>
      </c>
      <c r="P75" s="40">
        <v>6.6975499999999997</v>
      </c>
      <c r="Q75" s="40">
        <v>6.6292400000000002</v>
      </c>
      <c r="R75" s="40">
        <v>6.5819419999999997</v>
      </c>
      <c r="S75" s="40">
        <v>6.5277789999999998</v>
      </c>
      <c r="T75" s="40">
        <v>6.4964760000000004</v>
      </c>
      <c r="U75" s="40">
        <v>6.4611130000000001</v>
      </c>
      <c r="V75" s="40">
        <v>6.456537</v>
      </c>
      <c r="W75" s="40">
        <v>6.4361430000000004</v>
      </c>
      <c r="X75" s="40">
        <v>6.41716</v>
      </c>
      <c r="Y75" s="40">
        <v>6.3605390000000002</v>
      </c>
      <c r="Z75" s="40">
        <v>6.3264630000000004</v>
      </c>
      <c r="AA75" s="40">
        <v>6.3039899999999998</v>
      </c>
      <c r="AB75" s="40">
        <v>6.2448540000000001</v>
      </c>
      <c r="AC75" s="40">
        <v>6.2219259999999998</v>
      </c>
      <c r="AD75" s="40">
        <v>6.190175</v>
      </c>
      <c r="AE75" s="40">
        <v>6.1629300000000002</v>
      </c>
      <c r="AF75" s="40">
        <v>6.1268820000000002</v>
      </c>
      <c r="AG75" s="39">
        <v>-6.9069999999999999E-3</v>
      </c>
    </row>
    <row r="76" spans="1:33" ht="15" customHeight="1" x14ac:dyDescent="0.25">
      <c r="A76" s="42" t="s">
        <v>787</v>
      </c>
      <c r="B76" s="41" t="s">
        <v>775</v>
      </c>
      <c r="C76" s="40">
        <v>13.346285999999999</v>
      </c>
      <c r="D76" s="40">
        <v>13.516989000000001</v>
      </c>
      <c r="E76" s="40">
        <v>13.005039999999999</v>
      </c>
      <c r="F76" s="40">
        <v>12.656193999999999</v>
      </c>
      <c r="G76" s="40">
        <v>12.653912999999999</v>
      </c>
      <c r="H76" s="40">
        <v>12.809369999999999</v>
      </c>
      <c r="I76" s="40">
        <v>12.815106</v>
      </c>
      <c r="J76" s="40">
        <v>12.815804</v>
      </c>
      <c r="K76" s="40">
        <v>12.798275</v>
      </c>
      <c r="L76" s="40">
        <v>12.727634</v>
      </c>
      <c r="M76" s="40">
        <v>12.728104</v>
      </c>
      <c r="N76" s="40">
        <v>12.737024999999999</v>
      </c>
      <c r="O76" s="40">
        <v>12.781964</v>
      </c>
      <c r="P76" s="40">
        <v>12.739376</v>
      </c>
      <c r="Q76" s="40">
        <v>12.583816000000001</v>
      </c>
      <c r="R76" s="40">
        <v>12.442626000000001</v>
      </c>
      <c r="S76" s="40">
        <v>12.352268</v>
      </c>
      <c r="T76" s="40">
        <v>12.250923</v>
      </c>
      <c r="U76" s="40">
        <v>12.160197999999999</v>
      </c>
      <c r="V76" s="40">
        <v>12.099422000000001</v>
      </c>
      <c r="W76" s="40">
        <v>12.038126</v>
      </c>
      <c r="X76" s="40">
        <v>11.969213999999999</v>
      </c>
      <c r="Y76" s="40">
        <v>11.864025</v>
      </c>
      <c r="Z76" s="40">
        <v>11.795681</v>
      </c>
      <c r="AA76" s="40">
        <v>11.765817999999999</v>
      </c>
      <c r="AB76" s="40">
        <v>11.683329000000001</v>
      </c>
      <c r="AC76" s="40">
        <v>11.608226999999999</v>
      </c>
      <c r="AD76" s="40">
        <v>11.540056</v>
      </c>
      <c r="AE76" s="40">
        <v>11.469234</v>
      </c>
      <c r="AF76" s="40">
        <v>11.395308</v>
      </c>
      <c r="AG76" s="39">
        <v>-5.4349999999999997E-3</v>
      </c>
    </row>
    <row r="77" spans="1:33" ht="15" customHeight="1" x14ac:dyDescent="0.2">
      <c r="A77" s="42" t="s">
        <v>788</v>
      </c>
      <c r="B77" s="45" t="s">
        <v>789</v>
      </c>
      <c r="C77" s="55">
        <v>11.09206</v>
      </c>
      <c r="D77" s="55">
        <v>10.975097</v>
      </c>
      <c r="E77" s="55">
        <v>10.752556999999999</v>
      </c>
      <c r="F77" s="55">
        <v>10.540874000000001</v>
      </c>
      <c r="G77" s="55">
        <v>10.475073</v>
      </c>
      <c r="H77" s="55">
        <v>10.501467999999999</v>
      </c>
      <c r="I77" s="55">
        <v>10.507842</v>
      </c>
      <c r="J77" s="55">
        <v>10.523569999999999</v>
      </c>
      <c r="K77" s="55">
        <v>10.553371</v>
      </c>
      <c r="L77" s="55">
        <v>10.551202999999999</v>
      </c>
      <c r="M77" s="55">
        <v>10.580885</v>
      </c>
      <c r="N77" s="55">
        <v>10.611276999999999</v>
      </c>
      <c r="O77" s="55">
        <v>10.653981</v>
      </c>
      <c r="P77" s="55">
        <v>10.673109999999999</v>
      </c>
      <c r="Q77" s="55">
        <v>10.574654000000001</v>
      </c>
      <c r="R77" s="55">
        <v>10.500532</v>
      </c>
      <c r="S77" s="55">
        <v>10.454601</v>
      </c>
      <c r="T77" s="55">
        <v>10.40737</v>
      </c>
      <c r="U77" s="55">
        <v>10.364239</v>
      </c>
      <c r="V77" s="55">
        <v>10.379671</v>
      </c>
      <c r="W77" s="55">
        <v>10.349372000000001</v>
      </c>
      <c r="X77" s="55">
        <v>10.349371</v>
      </c>
      <c r="Y77" s="55">
        <v>10.292790999999999</v>
      </c>
      <c r="Z77" s="55">
        <v>10.252166000000001</v>
      </c>
      <c r="AA77" s="55">
        <v>10.25128</v>
      </c>
      <c r="AB77" s="55">
        <v>10.175208</v>
      </c>
      <c r="AC77" s="55">
        <v>10.157688</v>
      </c>
      <c r="AD77" s="55">
        <v>10.123593</v>
      </c>
      <c r="AE77" s="55">
        <v>10.092719000000001</v>
      </c>
      <c r="AF77" s="55">
        <v>10.021296</v>
      </c>
      <c r="AG77" s="46">
        <v>-3.4940000000000001E-3</v>
      </c>
    </row>
    <row r="78" spans="1:33" ht="15" customHeight="1" x14ac:dyDescent="0.2">
      <c r="B78" s="45" t="s">
        <v>790</v>
      </c>
    </row>
    <row r="79" spans="1:33" ht="14.65" customHeight="1" x14ac:dyDescent="0.25">
      <c r="A79" s="42" t="s">
        <v>791</v>
      </c>
      <c r="B79" s="41" t="s">
        <v>769</v>
      </c>
      <c r="C79" s="40">
        <v>13.225726999999999</v>
      </c>
      <c r="D79" s="40">
        <v>13.566247000000001</v>
      </c>
      <c r="E79" s="40">
        <v>13.79857</v>
      </c>
      <c r="F79" s="40">
        <v>13.971469000000001</v>
      </c>
      <c r="G79" s="40">
        <v>14.344484</v>
      </c>
      <c r="H79" s="40">
        <v>14.894838</v>
      </c>
      <c r="I79" s="40">
        <v>15.447803</v>
      </c>
      <c r="J79" s="40">
        <v>16.025639000000002</v>
      </c>
      <c r="K79" s="40">
        <v>16.638546000000002</v>
      </c>
      <c r="L79" s="40">
        <v>17.210234</v>
      </c>
      <c r="M79" s="40">
        <v>17.845106000000001</v>
      </c>
      <c r="N79" s="40">
        <v>18.502668</v>
      </c>
      <c r="O79" s="40">
        <v>19.186627999999999</v>
      </c>
      <c r="P79" s="40">
        <v>19.869833</v>
      </c>
      <c r="Q79" s="40">
        <v>20.382317</v>
      </c>
      <c r="R79" s="40">
        <v>20.949480000000001</v>
      </c>
      <c r="S79" s="40">
        <v>21.589275000000001</v>
      </c>
      <c r="T79" s="40">
        <v>22.248021999999999</v>
      </c>
      <c r="U79" s="40">
        <v>22.916907999999999</v>
      </c>
      <c r="V79" s="40">
        <v>23.742049999999999</v>
      </c>
      <c r="W79" s="40">
        <v>24.497288000000001</v>
      </c>
      <c r="X79" s="40">
        <v>25.348887999999999</v>
      </c>
      <c r="Y79" s="40">
        <v>26.093792000000001</v>
      </c>
      <c r="Z79" s="40">
        <v>26.879625000000001</v>
      </c>
      <c r="AA79" s="40">
        <v>27.792439000000002</v>
      </c>
      <c r="AB79" s="40">
        <v>28.536348</v>
      </c>
      <c r="AC79" s="40">
        <v>29.459482000000001</v>
      </c>
      <c r="AD79" s="40">
        <v>30.337343000000001</v>
      </c>
      <c r="AE79" s="40">
        <v>31.227259</v>
      </c>
      <c r="AF79" s="40">
        <v>32.010002</v>
      </c>
      <c r="AG79" s="39">
        <v>3.0948E-2</v>
      </c>
    </row>
    <row r="80" spans="1:33" ht="15" customHeight="1" x14ac:dyDescent="0.25">
      <c r="A80" s="42" t="s">
        <v>792</v>
      </c>
      <c r="B80" s="41" t="s">
        <v>771</v>
      </c>
      <c r="C80" s="40">
        <v>11.338257</v>
      </c>
      <c r="D80" s="40">
        <v>11.593469000000001</v>
      </c>
      <c r="E80" s="40">
        <v>11.557992</v>
      </c>
      <c r="F80" s="40">
        <v>11.650188</v>
      </c>
      <c r="G80" s="40">
        <v>11.93482</v>
      </c>
      <c r="H80" s="40">
        <v>12.388569</v>
      </c>
      <c r="I80" s="40">
        <v>12.812381999999999</v>
      </c>
      <c r="J80" s="40">
        <v>13.272968000000001</v>
      </c>
      <c r="K80" s="40">
        <v>13.750787000000001</v>
      </c>
      <c r="L80" s="40">
        <v>14.179036999999999</v>
      </c>
      <c r="M80" s="40">
        <v>14.671830999999999</v>
      </c>
      <c r="N80" s="40">
        <v>15.168958</v>
      </c>
      <c r="O80" s="40">
        <v>15.729984999999999</v>
      </c>
      <c r="P80" s="40">
        <v>16.260259999999999</v>
      </c>
      <c r="Q80" s="40">
        <v>16.606424000000001</v>
      </c>
      <c r="R80" s="40">
        <v>17.011257000000001</v>
      </c>
      <c r="S80" s="40">
        <v>17.514700000000001</v>
      </c>
      <c r="T80" s="40">
        <v>17.997578000000001</v>
      </c>
      <c r="U80" s="40">
        <v>18.508461</v>
      </c>
      <c r="V80" s="40">
        <v>19.164878999999999</v>
      </c>
      <c r="W80" s="40">
        <v>19.725914</v>
      </c>
      <c r="X80" s="40">
        <v>20.405258</v>
      </c>
      <c r="Y80" s="40">
        <v>20.971163000000001</v>
      </c>
      <c r="Z80" s="40">
        <v>21.545743999999999</v>
      </c>
      <c r="AA80" s="40">
        <v>22.240292</v>
      </c>
      <c r="AB80" s="40">
        <v>22.780325000000001</v>
      </c>
      <c r="AC80" s="40">
        <v>23.473769999999998</v>
      </c>
      <c r="AD80" s="40">
        <v>24.131295999999999</v>
      </c>
      <c r="AE80" s="40">
        <v>24.816117999999999</v>
      </c>
      <c r="AF80" s="40">
        <v>25.375446</v>
      </c>
      <c r="AG80" s="39">
        <v>2.8169E-2</v>
      </c>
    </row>
    <row r="81" spans="1:33" ht="14.65" customHeight="1" x14ac:dyDescent="0.25">
      <c r="A81" s="42" t="s">
        <v>793</v>
      </c>
      <c r="B81" s="41" t="s">
        <v>773</v>
      </c>
      <c r="C81" s="40">
        <v>7.4908159999999997</v>
      </c>
      <c r="D81" s="40">
        <v>7.6020880000000002</v>
      </c>
      <c r="E81" s="40">
        <v>7.4357490000000004</v>
      </c>
      <c r="F81" s="40">
        <v>7.4340409999999997</v>
      </c>
      <c r="G81" s="40">
        <v>7.5837269999999997</v>
      </c>
      <c r="H81" s="40">
        <v>7.7801049999999998</v>
      </c>
      <c r="I81" s="40">
        <v>8.0344180000000005</v>
      </c>
      <c r="J81" s="40">
        <v>8.3248040000000003</v>
      </c>
      <c r="K81" s="40">
        <v>8.6304940000000006</v>
      </c>
      <c r="L81" s="40">
        <v>8.9134019999999996</v>
      </c>
      <c r="M81" s="40">
        <v>9.2182370000000002</v>
      </c>
      <c r="N81" s="40">
        <v>9.5266839999999995</v>
      </c>
      <c r="O81" s="40">
        <v>9.8394110000000001</v>
      </c>
      <c r="P81" s="40">
        <v>10.167233</v>
      </c>
      <c r="Q81" s="40">
        <v>10.407064999999999</v>
      </c>
      <c r="R81" s="40">
        <v>10.688299000000001</v>
      </c>
      <c r="S81" s="40">
        <v>10.967923000000001</v>
      </c>
      <c r="T81" s="40">
        <v>11.293475000000001</v>
      </c>
      <c r="U81" s="40">
        <v>11.614658</v>
      </c>
      <c r="V81" s="40">
        <v>12.006565999999999</v>
      </c>
      <c r="W81" s="40">
        <v>12.379802</v>
      </c>
      <c r="X81" s="40">
        <v>12.767994</v>
      </c>
      <c r="Y81" s="40">
        <v>13.086418999999999</v>
      </c>
      <c r="Z81" s="40">
        <v>13.454712000000001</v>
      </c>
      <c r="AA81" s="40">
        <v>13.855992000000001</v>
      </c>
      <c r="AB81" s="40">
        <v>14.185796</v>
      </c>
      <c r="AC81" s="40">
        <v>14.60693</v>
      </c>
      <c r="AD81" s="40">
        <v>15.014756</v>
      </c>
      <c r="AE81" s="40">
        <v>15.436944</v>
      </c>
      <c r="AF81" s="40">
        <v>15.838853</v>
      </c>
      <c r="AG81" s="39">
        <v>2.6157E-2</v>
      </c>
    </row>
    <row r="82" spans="1:33" ht="15" customHeight="1" x14ac:dyDescent="0.25">
      <c r="A82" s="42" t="s">
        <v>794</v>
      </c>
      <c r="B82" s="41" t="s">
        <v>775</v>
      </c>
      <c r="C82" s="40">
        <v>13.346285999999999</v>
      </c>
      <c r="D82" s="40">
        <v>13.952246000000001</v>
      </c>
      <c r="E82" s="40">
        <v>13.763291000000001</v>
      </c>
      <c r="F82" s="40">
        <v>13.793638</v>
      </c>
      <c r="G82" s="40">
        <v>14.228218999999999</v>
      </c>
      <c r="H82" s="40">
        <v>14.893967999999999</v>
      </c>
      <c r="I82" s="40">
        <v>15.427363</v>
      </c>
      <c r="J82" s="40">
        <v>15.976236</v>
      </c>
      <c r="K82" s="40">
        <v>16.510452000000001</v>
      </c>
      <c r="L82" s="40">
        <v>16.971861000000001</v>
      </c>
      <c r="M82" s="40">
        <v>17.538087999999998</v>
      </c>
      <c r="N82" s="40">
        <v>18.118917</v>
      </c>
      <c r="O82" s="40">
        <v>18.776181999999999</v>
      </c>
      <c r="P82" s="40">
        <v>19.339044999999999</v>
      </c>
      <c r="Q82" s="40">
        <v>19.754995000000001</v>
      </c>
      <c r="R82" s="40">
        <v>20.205359000000001</v>
      </c>
      <c r="S82" s="40">
        <v>20.754183000000001</v>
      </c>
      <c r="T82" s="40">
        <v>21.297008999999999</v>
      </c>
      <c r="U82" s="40">
        <v>21.859476000000001</v>
      </c>
      <c r="V82" s="40">
        <v>22.500067000000001</v>
      </c>
      <c r="W82" s="40">
        <v>23.155113</v>
      </c>
      <c r="X82" s="40">
        <v>23.814717999999999</v>
      </c>
      <c r="Y82" s="40">
        <v>24.409503999999998</v>
      </c>
      <c r="Z82" s="40">
        <v>25.086288</v>
      </c>
      <c r="AA82" s="40">
        <v>25.860932999999999</v>
      </c>
      <c r="AB82" s="40">
        <v>26.539822000000001</v>
      </c>
      <c r="AC82" s="40">
        <v>27.252103999999999</v>
      </c>
      <c r="AD82" s="40">
        <v>27.991316000000001</v>
      </c>
      <c r="AE82" s="40">
        <v>28.728207000000001</v>
      </c>
      <c r="AF82" s="40">
        <v>29.458476999999998</v>
      </c>
      <c r="AG82" s="39">
        <v>2.7678000000000001E-2</v>
      </c>
    </row>
    <row r="83" spans="1:33" ht="15" customHeight="1" x14ac:dyDescent="0.2">
      <c r="A83" s="42" t="s">
        <v>795</v>
      </c>
      <c r="B83" s="45" t="s">
        <v>789</v>
      </c>
      <c r="C83" s="55">
        <v>11.09206</v>
      </c>
      <c r="D83" s="55">
        <v>11.328503</v>
      </c>
      <c r="E83" s="55">
        <v>11.379478000000001</v>
      </c>
      <c r="F83" s="55">
        <v>11.48821</v>
      </c>
      <c r="G83" s="55">
        <v>11.778304</v>
      </c>
      <c r="H83" s="55">
        <v>12.210476999999999</v>
      </c>
      <c r="I83" s="55">
        <v>12.649781000000001</v>
      </c>
      <c r="J83" s="55">
        <v>13.118728000000001</v>
      </c>
      <c r="K83" s="55">
        <v>13.614407999999999</v>
      </c>
      <c r="L83" s="55">
        <v>14.069665000000001</v>
      </c>
      <c r="M83" s="55">
        <v>14.579432000000001</v>
      </c>
      <c r="N83" s="55">
        <v>15.094956</v>
      </c>
      <c r="O83" s="55">
        <v>15.650263000000001</v>
      </c>
      <c r="P83" s="55">
        <v>16.202342999999999</v>
      </c>
      <c r="Q83" s="55">
        <v>16.600866</v>
      </c>
      <c r="R83" s="55">
        <v>17.051628000000001</v>
      </c>
      <c r="S83" s="55">
        <v>17.565736999999999</v>
      </c>
      <c r="T83" s="55">
        <v>18.092175000000001</v>
      </c>
      <c r="U83" s="55">
        <v>18.631014</v>
      </c>
      <c r="V83" s="55">
        <v>19.302019000000001</v>
      </c>
      <c r="W83" s="55">
        <v>19.906824</v>
      </c>
      <c r="X83" s="55">
        <v>20.591771999999999</v>
      </c>
      <c r="Y83" s="55">
        <v>21.176786</v>
      </c>
      <c r="Z83" s="55">
        <v>21.803642</v>
      </c>
      <c r="AA83" s="55">
        <v>22.532022000000001</v>
      </c>
      <c r="AB83" s="55">
        <v>23.113976999999998</v>
      </c>
      <c r="AC83" s="55">
        <v>23.846741000000002</v>
      </c>
      <c r="AD83" s="55">
        <v>24.555572999999999</v>
      </c>
      <c r="AE83" s="55">
        <v>25.280301999999999</v>
      </c>
      <c r="AF83" s="55">
        <v>25.906462000000001</v>
      </c>
      <c r="AG83" s="46">
        <v>2.9682E-2</v>
      </c>
    </row>
    <row r="84" spans="1:33" ht="15" customHeight="1" x14ac:dyDescent="0.2"/>
    <row r="85" spans="1:33" ht="15" customHeight="1" x14ac:dyDescent="0.2">
      <c r="B85" s="45" t="s">
        <v>796</v>
      </c>
    </row>
    <row r="86" spans="1:33" ht="15" customHeight="1" x14ac:dyDescent="0.2">
      <c r="B86" s="45" t="s">
        <v>783</v>
      </c>
    </row>
    <row r="87" spans="1:33" ht="15" customHeight="1" x14ac:dyDescent="0.25">
      <c r="A87" s="42" t="s">
        <v>797</v>
      </c>
      <c r="B87" s="41" t="s">
        <v>798</v>
      </c>
      <c r="C87" s="40">
        <v>7.1669109999999998</v>
      </c>
      <c r="D87" s="40">
        <v>6.3787799999999999</v>
      </c>
      <c r="E87" s="40">
        <v>6.1286389999999997</v>
      </c>
      <c r="F87" s="40">
        <v>5.8522939999999997</v>
      </c>
      <c r="G87" s="40">
        <v>5.6466820000000002</v>
      </c>
      <c r="H87" s="40">
        <v>5.5355749999999997</v>
      </c>
      <c r="I87" s="40">
        <v>5.4754820000000004</v>
      </c>
      <c r="J87" s="40">
        <v>5.4381110000000001</v>
      </c>
      <c r="K87" s="40">
        <v>5.4352510000000001</v>
      </c>
      <c r="L87" s="40">
        <v>5.3768209999999996</v>
      </c>
      <c r="M87" s="40">
        <v>5.3552600000000004</v>
      </c>
      <c r="N87" s="40">
        <v>5.3451740000000001</v>
      </c>
      <c r="O87" s="40">
        <v>5.3452029999999997</v>
      </c>
      <c r="P87" s="40">
        <v>5.3242859999999999</v>
      </c>
      <c r="Q87" s="40">
        <v>5.2002920000000001</v>
      </c>
      <c r="R87" s="40">
        <v>5.1143489999999998</v>
      </c>
      <c r="S87" s="40">
        <v>5.0639859999999999</v>
      </c>
      <c r="T87" s="40">
        <v>5.0130059999999999</v>
      </c>
      <c r="U87" s="40">
        <v>4.9678779999999998</v>
      </c>
      <c r="V87" s="40">
        <v>4.974882</v>
      </c>
      <c r="W87" s="40">
        <v>4.930396</v>
      </c>
      <c r="X87" s="40">
        <v>4.9239269999999999</v>
      </c>
      <c r="Y87" s="40">
        <v>4.8617530000000002</v>
      </c>
      <c r="Z87" s="40">
        <v>4.812125</v>
      </c>
      <c r="AA87" s="40">
        <v>4.8006450000000003</v>
      </c>
      <c r="AB87" s="40">
        <v>4.7237419999999997</v>
      </c>
      <c r="AC87" s="40">
        <v>4.7113659999999999</v>
      </c>
      <c r="AD87" s="40">
        <v>4.6829130000000001</v>
      </c>
      <c r="AE87" s="40">
        <v>4.6666350000000003</v>
      </c>
      <c r="AF87" s="40">
        <v>4.6157339999999998</v>
      </c>
      <c r="AG87" s="39">
        <v>-1.5058E-2</v>
      </c>
    </row>
    <row r="88" spans="1:33" ht="15" customHeight="1" x14ac:dyDescent="0.25">
      <c r="A88" s="42" t="s">
        <v>799</v>
      </c>
      <c r="B88" s="41" t="s">
        <v>800</v>
      </c>
      <c r="C88" s="40">
        <v>1.404639</v>
      </c>
      <c r="D88" s="40">
        <v>1.417913</v>
      </c>
      <c r="E88" s="40">
        <v>1.4401900000000001</v>
      </c>
      <c r="F88" s="40">
        <v>1.4741899999999999</v>
      </c>
      <c r="G88" s="40">
        <v>1.5058279999999999</v>
      </c>
      <c r="H88" s="40">
        <v>1.540997</v>
      </c>
      <c r="I88" s="40">
        <v>1.5653429999999999</v>
      </c>
      <c r="J88" s="40">
        <v>1.584357</v>
      </c>
      <c r="K88" s="40">
        <v>1.5962719999999999</v>
      </c>
      <c r="L88" s="40">
        <v>1.6080099999999999</v>
      </c>
      <c r="M88" s="40">
        <v>1.618843</v>
      </c>
      <c r="N88" s="40">
        <v>1.6277839999999999</v>
      </c>
      <c r="O88" s="40">
        <v>1.6405430000000001</v>
      </c>
      <c r="P88" s="40">
        <v>1.656614</v>
      </c>
      <c r="Q88" s="40">
        <v>1.6727259999999999</v>
      </c>
      <c r="R88" s="40">
        <v>1.6819059999999999</v>
      </c>
      <c r="S88" s="40">
        <v>1.6861679999999999</v>
      </c>
      <c r="T88" s="40">
        <v>1.689371</v>
      </c>
      <c r="U88" s="40">
        <v>1.692248</v>
      </c>
      <c r="V88" s="40">
        <v>1.697319</v>
      </c>
      <c r="W88" s="40">
        <v>1.705057</v>
      </c>
      <c r="X88" s="40">
        <v>1.705775</v>
      </c>
      <c r="Y88" s="40">
        <v>1.703883</v>
      </c>
      <c r="Z88" s="40">
        <v>1.7046190000000001</v>
      </c>
      <c r="AA88" s="40">
        <v>1.706307</v>
      </c>
      <c r="AB88" s="40">
        <v>1.706426</v>
      </c>
      <c r="AC88" s="40">
        <v>1.706707</v>
      </c>
      <c r="AD88" s="40">
        <v>1.707017</v>
      </c>
      <c r="AE88" s="40">
        <v>1.707039</v>
      </c>
      <c r="AF88" s="40">
        <v>1.7056119999999999</v>
      </c>
      <c r="AG88" s="39">
        <v>6.7169999999999999E-3</v>
      </c>
    </row>
    <row r="89" spans="1:33" ht="15" customHeight="1" x14ac:dyDescent="0.25">
      <c r="A89" s="42" t="s">
        <v>801</v>
      </c>
      <c r="B89" s="41" t="s">
        <v>802</v>
      </c>
      <c r="C89" s="40">
        <v>2.4737429999999998</v>
      </c>
      <c r="D89" s="40">
        <v>3.164752</v>
      </c>
      <c r="E89" s="40">
        <v>3.1695980000000001</v>
      </c>
      <c r="F89" s="40">
        <v>3.202566</v>
      </c>
      <c r="G89" s="40">
        <v>3.3104640000000001</v>
      </c>
      <c r="H89" s="40">
        <v>3.4127930000000002</v>
      </c>
      <c r="I89" s="40">
        <v>3.4539010000000001</v>
      </c>
      <c r="J89" s="40">
        <v>3.4879289999999998</v>
      </c>
      <c r="K89" s="40">
        <v>3.50902</v>
      </c>
      <c r="L89" s="40">
        <v>3.5529869999999999</v>
      </c>
      <c r="M89" s="40">
        <v>3.5925500000000001</v>
      </c>
      <c r="N89" s="40">
        <v>3.623777</v>
      </c>
      <c r="O89" s="40">
        <v>3.6538369999999998</v>
      </c>
      <c r="P89" s="40">
        <v>3.6778879999999998</v>
      </c>
      <c r="Q89" s="40">
        <v>3.6888040000000002</v>
      </c>
      <c r="R89" s="40">
        <v>3.6907320000000001</v>
      </c>
      <c r="S89" s="40">
        <v>3.6906560000000002</v>
      </c>
      <c r="T89" s="40">
        <v>3.6913960000000001</v>
      </c>
      <c r="U89" s="40">
        <v>3.6906949999999998</v>
      </c>
      <c r="V89" s="40">
        <v>3.6940759999999999</v>
      </c>
      <c r="W89" s="40">
        <v>3.7003010000000001</v>
      </c>
      <c r="X89" s="40">
        <v>3.706512</v>
      </c>
      <c r="Y89" s="40">
        <v>3.7133219999999998</v>
      </c>
      <c r="Z89" s="40">
        <v>3.7216279999999999</v>
      </c>
      <c r="AA89" s="40">
        <v>3.7307429999999999</v>
      </c>
      <c r="AB89" s="40">
        <v>3.7303950000000001</v>
      </c>
      <c r="AC89" s="40">
        <v>3.7251940000000001</v>
      </c>
      <c r="AD89" s="40">
        <v>3.7192400000000001</v>
      </c>
      <c r="AE89" s="40">
        <v>3.70499</v>
      </c>
      <c r="AF89" s="40">
        <v>3.6854049999999998</v>
      </c>
      <c r="AG89" s="39">
        <v>1.3840999999999999E-2</v>
      </c>
    </row>
    <row r="90" spans="1:33" ht="15" customHeight="1" x14ac:dyDescent="0.2">
      <c r="B90" s="45" t="s">
        <v>790</v>
      </c>
    </row>
    <row r="91" spans="1:33" ht="15" customHeight="1" x14ac:dyDescent="0.25">
      <c r="A91" s="42" t="s">
        <v>803</v>
      </c>
      <c r="B91" s="41" t="s">
        <v>798</v>
      </c>
      <c r="C91" s="40">
        <v>7.1669109999999998</v>
      </c>
      <c r="D91" s="40">
        <v>6.5841810000000001</v>
      </c>
      <c r="E91" s="40">
        <v>6.4859650000000002</v>
      </c>
      <c r="F91" s="40">
        <v>6.3782540000000001</v>
      </c>
      <c r="G91" s="40">
        <v>6.3492009999999999</v>
      </c>
      <c r="H91" s="40">
        <v>6.4364350000000004</v>
      </c>
      <c r="I91" s="40">
        <v>6.5916160000000001</v>
      </c>
      <c r="J91" s="40">
        <v>6.779172</v>
      </c>
      <c r="K91" s="40">
        <v>7.0117620000000001</v>
      </c>
      <c r="L91" s="40">
        <v>7.1698040000000001</v>
      </c>
      <c r="M91" s="40">
        <v>7.3790269999999998</v>
      </c>
      <c r="N91" s="40">
        <v>7.60372</v>
      </c>
      <c r="O91" s="40">
        <v>7.8518850000000002</v>
      </c>
      <c r="P91" s="40">
        <v>8.0825469999999999</v>
      </c>
      <c r="Q91" s="40">
        <v>8.1637989999999991</v>
      </c>
      <c r="R91" s="40">
        <v>8.3050999999999995</v>
      </c>
      <c r="S91" s="40">
        <v>8.5084700000000009</v>
      </c>
      <c r="T91" s="40">
        <v>8.7146109999999997</v>
      </c>
      <c r="U91" s="40">
        <v>8.9303830000000008</v>
      </c>
      <c r="V91" s="40">
        <v>9.2512830000000008</v>
      </c>
      <c r="W91" s="40">
        <v>9.4835259999999995</v>
      </c>
      <c r="X91" s="40">
        <v>9.7969620000000006</v>
      </c>
      <c r="Y91" s="40">
        <v>10.002758</v>
      </c>
      <c r="Z91" s="40">
        <v>10.234114999999999</v>
      </c>
      <c r="AA91" s="40">
        <v>10.551682</v>
      </c>
      <c r="AB91" s="40">
        <v>10.73044</v>
      </c>
      <c r="AC91" s="40">
        <v>11.060658999999999</v>
      </c>
      <c r="AD91" s="40">
        <v>11.358774</v>
      </c>
      <c r="AE91" s="40">
        <v>11.689014</v>
      </c>
      <c r="AF91" s="40">
        <v>11.932323</v>
      </c>
      <c r="AG91" s="39">
        <v>1.7734E-2</v>
      </c>
    </row>
    <row r="92" spans="1:33" ht="14.65" customHeight="1" x14ac:dyDescent="0.25">
      <c r="A92" s="42" t="s">
        <v>804</v>
      </c>
      <c r="B92" s="41" t="s">
        <v>800</v>
      </c>
      <c r="C92" s="40">
        <v>1.404639</v>
      </c>
      <c r="D92" s="40">
        <v>1.46357</v>
      </c>
      <c r="E92" s="40">
        <v>1.524159</v>
      </c>
      <c r="F92" s="40">
        <v>1.606679</v>
      </c>
      <c r="G92" s="40">
        <v>1.6931719999999999</v>
      </c>
      <c r="H92" s="40">
        <v>1.791779</v>
      </c>
      <c r="I92" s="40">
        <v>1.8844259999999999</v>
      </c>
      <c r="J92" s="40">
        <v>1.975066</v>
      </c>
      <c r="K92" s="40">
        <v>2.0592760000000001</v>
      </c>
      <c r="L92" s="40">
        <v>2.1442260000000002</v>
      </c>
      <c r="M92" s="40">
        <v>2.2306080000000001</v>
      </c>
      <c r="N92" s="40">
        <v>2.3155860000000001</v>
      </c>
      <c r="O92" s="40">
        <v>2.409891</v>
      </c>
      <c r="P92" s="40">
        <v>2.5148269999999999</v>
      </c>
      <c r="Q92" s="40">
        <v>2.6259670000000002</v>
      </c>
      <c r="R92" s="40">
        <v>2.731217</v>
      </c>
      <c r="S92" s="40">
        <v>2.8330860000000002</v>
      </c>
      <c r="T92" s="40">
        <v>2.936804</v>
      </c>
      <c r="U92" s="40">
        <v>3.0420280000000002</v>
      </c>
      <c r="V92" s="40">
        <v>3.1563310000000002</v>
      </c>
      <c r="W92" s="40">
        <v>3.2796460000000001</v>
      </c>
      <c r="X92" s="40">
        <v>3.39392</v>
      </c>
      <c r="Y92" s="40">
        <v>3.5056349999999998</v>
      </c>
      <c r="Z92" s="40">
        <v>3.625273</v>
      </c>
      <c r="AA92" s="40">
        <v>3.7504140000000001</v>
      </c>
      <c r="AB92" s="40">
        <v>3.8763139999999998</v>
      </c>
      <c r="AC92" s="40">
        <v>4.0067579999999996</v>
      </c>
      <c r="AD92" s="40">
        <v>4.140504</v>
      </c>
      <c r="AE92" s="40">
        <v>4.2758010000000004</v>
      </c>
      <c r="AF92" s="40">
        <v>4.409249</v>
      </c>
      <c r="AG92" s="39">
        <v>4.0233999999999999E-2</v>
      </c>
    </row>
    <row r="93" spans="1:33" ht="15" customHeight="1" x14ac:dyDescent="0.25">
      <c r="A93" s="42" t="s">
        <v>805</v>
      </c>
      <c r="B93" s="41" t="s">
        <v>802</v>
      </c>
      <c r="C93" s="40">
        <v>2.4737429999999998</v>
      </c>
      <c r="D93" s="40">
        <v>3.2666590000000002</v>
      </c>
      <c r="E93" s="40">
        <v>3.3544</v>
      </c>
      <c r="F93" s="40">
        <v>3.490389</v>
      </c>
      <c r="G93" s="40">
        <v>3.7223269999999999</v>
      </c>
      <c r="H93" s="40">
        <v>3.9681920000000002</v>
      </c>
      <c r="I93" s="40">
        <v>4.1579509999999997</v>
      </c>
      <c r="J93" s="40">
        <v>4.3480670000000003</v>
      </c>
      <c r="K93" s="40">
        <v>4.526821</v>
      </c>
      <c r="L93" s="40">
        <v>4.7377849999999997</v>
      </c>
      <c r="M93" s="40">
        <v>4.9501850000000003</v>
      </c>
      <c r="N93" s="40">
        <v>5.1549649999999998</v>
      </c>
      <c r="O93" s="40">
        <v>5.367337</v>
      </c>
      <c r="P93" s="40">
        <v>5.5832280000000001</v>
      </c>
      <c r="Q93" s="40">
        <v>5.7909560000000004</v>
      </c>
      <c r="R93" s="40">
        <v>5.9933139999999998</v>
      </c>
      <c r="S93" s="40">
        <v>6.2010110000000003</v>
      </c>
      <c r="T93" s="40">
        <v>6.4171240000000003</v>
      </c>
      <c r="U93" s="40">
        <v>6.6344859999999999</v>
      </c>
      <c r="V93" s="40">
        <v>6.8694990000000002</v>
      </c>
      <c r="W93" s="40">
        <v>7.1174609999999996</v>
      </c>
      <c r="X93" s="40">
        <v>7.3747150000000001</v>
      </c>
      <c r="Y93" s="40">
        <v>7.6399330000000001</v>
      </c>
      <c r="Z93" s="40">
        <v>7.914917</v>
      </c>
      <c r="AA93" s="40">
        <v>8.2000679999999999</v>
      </c>
      <c r="AB93" s="40">
        <v>8.4739559999999994</v>
      </c>
      <c r="AC93" s="40">
        <v>8.7454669999999997</v>
      </c>
      <c r="AD93" s="40">
        <v>9.0213099999999997</v>
      </c>
      <c r="AE93" s="40">
        <v>9.2802810000000004</v>
      </c>
      <c r="AF93" s="40">
        <v>9.5272930000000002</v>
      </c>
      <c r="AG93" s="39">
        <v>4.7595999999999999E-2</v>
      </c>
    </row>
    <row r="94" spans="1:33" ht="15" customHeight="1" x14ac:dyDescent="0.2"/>
    <row r="95" spans="1:33" ht="15" customHeight="1" x14ac:dyDescent="0.2">
      <c r="B95" s="45" t="s">
        <v>806</v>
      </c>
    </row>
    <row r="96" spans="1:33" ht="15" customHeight="1" x14ac:dyDescent="0.25">
      <c r="A96" s="42" t="s">
        <v>807</v>
      </c>
      <c r="B96" s="41" t="s">
        <v>808</v>
      </c>
      <c r="C96" s="43">
        <v>0.70017499999999999</v>
      </c>
      <c r="D96" s="43">
        <v>0.70024900000000001</v>
      </c>
      <c r="E96" s="43">
        <v>0.68962299999999999</v>
      </c>
      <c r="F96" s="43">
        <v>0.64183000000000001</v>
      </c>
      <c r="G96" s="43">
        <v>0.59029299999999996</v>
      </c>
      <c r="H96" s="43">
        <v>0.56093000000000004</v>
      </c>
      <c r="I96" s="43">
        <v>0.52999399999999997</v>
      </c>
      <c r="J96" s="43">
        <v>0.51710599999999995</v>
      </c>
      <c r="K96" s="43">
        <v>0.53494299999999995</v>
      </c>
      <c r="L96" s="43">
        <v>0.50051500000000004</v>
      </c>
      <c r="M96" s="43">
        <v>0.47426400000000002</v>
      </c>
      <c r="N96" s="43">
        <v>0.469389</v>
      </c>
      <c r="O96" s="43">
        <v>0.48615199999999997</v>
      </c>
      <c r="P96" s="43">
        <v>0.46358199999999999</v>
      </c>
      <c r="Q96" s="43">
        <v>0.44315100000000002</v>
      </c>
      <c r="R96" s="43">
        <v>0.44501099999999999</v>
      </c>
      <c r="S96" s="43">
        <v>0.44201600000000002</v>
      </c>
      <c r="T96" s="43">
        <v>0.44122899999999998</v>
      </c>
      <c r="U96" s="43">
        <v>0.43544699999999997</v>
      </c>
      <c r="V96" s="43">
        <v>0.43642700000000001</v>
      </c>
      <c r="W96" s="43">
        <v>0.43817499999999998</v>
      </c>
      <c r="X96" s="43">
        <v>0.43823800000000002</v>
      </c>
      <c r="Y96" s="43">
        <v>0.43383899999999997</v>
      </c>
      <c r="Z96" s="43">
        <v>0.42609599999999997</v>
      </c>
      <c r="AA96" s="43">
        <v>0.411275</v>
      </c>
      <c r="AB96" s="43">
        <v>0.40696100000000002</v>
      </c>
      <c r="AC96" s="43">
        <v>0.40727999999999998</v>
      </c>
      <c r="AD96" s="43">
        <v>0.39754800000000001</v>
      </c>
      <c r="AE96" s="43">
        <v>0.39441999999999999</v>
      </c>
      <c r="AF96" s="43">
        <v>0.39698699999999998</v>
      </c>
      <c r="AG96" s="39">
        <v>-1.9376000000000001E-2</v>
      </c>
    </row>
    <row r="97" spans="1:33" ht="15" customHeight="1" x14ac:dyDescent="0.25">
      <c r="A97" s="42" t="s">
        <v>809</v>
      </c>
      <c r="B97" s="41" t="s">
        <v>810</v>
      </c>
      <c r="C97" s="43">
        <v>0.85524999999999995</v>
      </c>
      <c r="D97" s="43">
        <v>0.76265700000000003</v>
      </c>
      <c r="E97" s="43">
        <v>0.71442399999999995</v>
      </c>
      <c r="F97" s="43">
        <v>0.62537900000000002</v>
      </c>
      <c r="G97" s="43">
        <v>0.60273299999999996</v>
      </c>
      <c r="H97" s="43">
        <v>0.55403899999999995</v>
      </c>
      <c r="I97" s="43">
        <v>0.55132499999999995</v>
      </c>
      <c r="J97" s="43">
        <v>0.568268</v>
      </c>
      <c r="K97" s="43">
        <v>0.57225199999999998</v>
      </c>
      <c r="L97" s="43">
        <v>0.52605500000000005</v>
      </c>
      <c r="M97" s="43">
        <v>0.52673300000000001</v>
      </c>
      <c r="N97" s="43">
        <v>0.51613200000000004</v>
      </c>
      <c r="O97" s="43">
        <v>0.499921</v>
      </c>
      <c r="P97" s="43">
        <v>0.47861399999999998</v>
      </c>
      <c r="Q97" s="43">
        <v>0.45366400000000001</v>
      </c>
      <c r="R97" s="43">
        <v>0.44913799999999998</v>
      </c>
      <c r="S97" s="43">
        <v>0.43971900000000003</v>
      </c>
      <c r="T97" s="43">
        <v>0.431224</v>
      </c>
      <c r="U97" s="43">
        <v>0.434861</v>
      </c>
      <c r="V97" s="43">
        <v>0.42362100000000003</v>
      </c>
      <c r="W97" s="43">
        <v>0.43176900000000001</v>
      </c>
      <c r="X97" s="43">
        <v>0.42827999999999999</v>
      </c>
      <c r="Y97" s="43">
        <v>0.421709</v>
      </c>
      <c r="Z97" s="43">
        <v>0.41892600000000002</v>
      </c>
      <c r="AA97" s="43">
        <v>0.41342800000000002</v>
      </c>
      <c r="AB97" s="43">
        <v>0.408022</v>
      </c>
      <c r="AC97" s="43">
        <v>0.409995</v>
      </c>
      <c r="AD97" s="43">
        <v>0.40916400000000003</v>
      </c>
      <c r="AE97" s="43">
        <v>0.41225499999999998</v>
      </c>
      <c r="AF97" s="43">
        <v>0.41592299999999999</v>
      </c>
      <c r="AG97" s="39">
        <v>-2.4552000000000001E-2</v>
      </c>
    </row>
    <row r="98" spans="1:33" ht="15" customHeight="1" x14ac:dyDescent="0.25">
      <c r="A98" s="42" t="s">
        <v>811</v>
      </c>
      <c r="B98" s="41" t="s">
        <v>812</v>
      </c>
      <c r="C98" s="43">
        <v>4.3662780000000003</v>
      </c>
      <c r="D98" s="43">
        <v>4.2399490000000002</v>
      </c>
      <c r="E98" s="43">
        <v>3.998224</v>
      </c>
      <c r="F98" s="43">
        <v>3.4541949999999999</v>
      </c>
      <c r="G98" s="43">
        <v>3.3924609999999999</v>
      </c>
      <c r="H98" s="43">
        <v>3.375864</v>
      </c>
      <c r="I98" s="43">
        <v>3.3323930000000002</v>
      </c>
      <c r="J98" s="43">
        <v>3.2801849999999999</v>
      </c>
      <c r="K98" s="43">
        <v>3.2939319999999999</v>
      </c>
      <c r="L98" s="43">
        <v>3.1991299999999998</v>
      </c>
      <c r="M98" s="43">
        <v>3.1959270000000002</v>
      </c>
      <c r="N98" s="43">
        <v>3.190928</v>
      </c>
      <c r="O98" s="43">
        <v>3.2466879999999998</v>
      </c>
      <c r="P98" s="43">
        <v>3.110894</v>
      </c>
      <c r="Q98" s="43">
        <v>2.9841540000000002</v>
      </c>
      <c r="R98" s="43">
        <v>2.9687749999999999</v>
      </c>
      <c r="S98" s="43">
        <v>2.920566</v>
      </c>
      <c r="T98" s="43">
        <v>2.8906390000000002</v>
      </c>
      <c r="U98" s="43">
        <v>2.9046340000000002</v>
      </c>
      <c r="V98" s="43">
        <v>2.8541820000000002</v>
      </c>
      <c r="W98" s="43">
        <v>2.867559</v>
      </c>
      <c r="X98" s="43">
        <v>2.8470409999999999</v>
      </c>
      <c r="Y98" s="43">
        <v>2.8288090000000001</v>
      </c>
      <c r="Z98" s="43">
        <v>2.778985</v>
      </c>
      <c r="AA98" s="43">
        <v>2.7016070000000001</v>
      </c>
      <c r="AB98" s="43">
        <v>2.692628</v>
      </c>
      <c r="AC98" s="43">
        <v>2.747757</v>
      </c>
      <c r="AD98" s="43">
        <v>2.703411</v>
      </c>
      <c r="AE98" s="43">
        <v>2.6897180000000001</v>
      </c>
      <c r="AF98" s="43">
        <v>2.6551819999999999</v>
      </c>
      <c r="AG98" s="39">
        <v>-1.7004999999999999E-2</v>
      </c>
    </row>
    <row r="99" spans="1:33" ht="15" customHeight="1" thickBot="1" x14ac:dyDescent="0.25"/>
    <row r="100" spans="1:33" ht="15" customHeight="1" x14ac:dyDescent="0.2">
      <c r="B100" s="38" t="s">
        <v>813</v>
      </c>
    </row>
    <row r="101" spans="1:33" x14ac:dyDescent="0.2">
      <c r="B101" s="37" t="s">
        <v>814</v>
      </c>
    </row>
    <row r="102" spans="1:33" x14ac:dyDescent="0.2">
      <c r="B102" s="37" t="s">
        <v>815</v>
      </c>
    </row>
    <row r="103" spans="1:33" ht="15" customHeight="1" x14ac:dyDescent="0.2">
      <c r="B103" s="37" t="s">
        <v>816</v>
      </c>
    </row>
    <row r="104" spans="1:33" ht="15" customHeight="1" x14ac:dyDescent="0.2">
      <c r="B104" s="37" t="s">
        <v>817</v>
      </c>
    </row>
    <row r="105" spans="1:33" ht="15" customHeight="1" x14ac:dyDescent="0.2">
      <c r="B105" s="37" t="s">
        <v>818</v>
      </c>
    </row>
    <row r="106" spans="1:33" ht="15" customHeight="1" x14ac:dyDescent="0.2">
      <c r="B106" s="37" t="s">
        <v>819</v>
      </c>
    </row>
    <row r="107" spans="1:33" ht="15" customHeight="1" x14ac:dyDescent="0.2">
      <c r="B107" s="37" t="s">
        <v>820</v>
      </c>
    </row>
    <row r="108" spans="1:33" ht="15" customHeight="1" x14ac:dyDescent="0.2">
      <c r="B108" s="37" t="s">
        <v>821</v>
      </c>
    </row>
    <row r="109" spans="1:33" ht="15" customHeight="1" x14ac:dyDescent="0.2">
      <c r="B109" s="37" t="s">
        <v>822</v>
      </c>
    </row>
    <row r="110" spans="1:33" ht="15" customHeight="1" x14ac:dyDescent="0.2">
      <c r="B110" s="37" t="s">
        <v>823</v>
      </c>
    </row>
    <row r="111" spans="1:33" ht="15" customHeight="1" x14ac:dyDescent="0.2">
      <c r="B111" s="37" t="s">
        <v>824</v>
      </c>
    </row>
    <row r="112" spans="1:33" ht="15" customHeight="1" x14ac:dyDescent="0.2">
      <c r="B112" s="458" t="s">
        <v>825</v>
      </c>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c r="AA112" s="457"/>
      <c r="AB112" s="457"/>
      <c r="AC112" s="457"/>
      <c r="AD112" s="457"/>
      <c r="AE112" s="457"/>
      <c r="AF112" s="457"/>
      <c r="AG112" s="457"/>
    </row>
    <row r="113" spans="2:2" ht="15" customHeight="1" x14ac:dyDescent="0.2">
      <c r="B113" s="37" t="s">
        <v>826</v>
      </c>
    </row>
    <row r="114" spans="2:2" ht="15" customHeight="1" x14ac:dyDescent="0.2">
      <c r="B114" s="37" t="s">
        <v>827</v>
      </c>
    </row>
    <row r="115" spans="2:2" ht="15" customHeight="1" x14ac:dyDescent="0.2">
      <c r="B115" s="37" t="s">
        <v>828</v>
      </c>
    </row>
    <row r="116" spans="2:2" ht="15" customHeight="1" x14ac:dyDescent="0.2">
      <c r="B116" s="37" t="s">
        <v>829</v>
      </c>
    </row>
    <row r="117" spans="2:2" ht="15" customHeight="1" x14ac:dyDescent="0.2">
      <c r="B117" s="37" t="s">
        <v>552</v>
      </c>
    </row>
    <row r="118" spans="2:2" ht="15" customHeight="1" x14ac:dyDescent="0.2">
      <c r="B118" s="37" t="s">
        <v>553</v>
      </c>
    </row>
    <row r="119" spans="2:2" ht="15" customHeight="1" x14ac:dyDescent="0.2">
      <c r="B119" s="37" t="s">
        <v>830</v>
      </c>
    </row>
    <row r="120" spans="2:2" ht="15" customHeight="1" x14ac:dyDescent="0.2">
      <c r="B120" s="37" t="s">
        <v>831</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c r="AA308" s="457"/>
      <c r="AB308" s="457"/>
      <c r="AC308" s="457"/>
      <c r="AD308" s="457"/>
      <c r="AE308" s="457"/>
      <c r="AF308" s="457"/>
      <c r="AG308" s="457"/>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c r="AA511" s="457"/>
      <c r="AB511" s="457"/>
      <c r="AC511" s="457"/>
      <c r="AD511" s="457"/>
      <c r="AE511" s="457"/>
      <c r="AF511" s="457"/>
      <c r="AG511" s="457"/>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c r="AA712" s="457"/>
      <c r="AB712" s="457"/>
      <c r="AC712" s="457"/>
      <c r="AD712" s="457"/>
      <c r="AE712" s="457"/>
      <c r="AF712" s="457"/>
      <c r="AG712" s="457"/>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c r="AA887" s="457"/>
      <c r="AB887" s="457"/>
      <c r="AC887" s="457"/>
      <c r="AD887" s="457"/>
      <c r="AE887" s="457"/>
      <c r="AF887" s="457"/>
      <c r="AG887" s="457"/>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57"/>
      <c r="C1100" s="457"/>
      <c r="D1100" s="457"/>
      <c r="E1100" s="457"/>
      <c r="F1100" s="457"/>
      <c r="G1100" s="457"/>
      <c r="H1100" s="457"/>
      <c r="I1100" s="457"/>
      <c r="J1100" s="457"/>
      <c r="K1100" s="457"/>
      <c r="L1100" s="457"/>
      <c r="M1100" s="457"/>
      <c r="N1100" s="457"/>
      <c r="O1100" s="457"/>
      <c r="P1100" s="457"/>
      <c r="Q1100" s="457"/>
      <c r="R1100" s="457"/>
      <c r="S1100" s="457"/>
      <c r="T1100" s="457"/>
      <c r="U1100" s="457"/>
      <c r="V1100" s="457"/>
      <c r="W1100" s="457"/>
      <c r="X1100" s="457"/>
      <c r="Y1100" s="457"/>
      <c r="Z1100" s="457"/>
      <c r="AA1100" s="457"/>
      <c r="AB1100" s="457"/>
      <c r="AC1100" s="457"/>
      <c r="AD1100" s="457"/>
      <c r="AE1100" s="457"/>
      <c r="AF1100" s="457"/>
      <c r="AG1100" s="457"/>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57"/>
      <c r="C1227" s="457"/>
      <c r="D1227" s="457"/>
      <c r="E1227" s="457"/>
      <c r="F1227" s="457"/>
      <c r="G1227" s="457"/>
      <c r="H1227" s="457"/>
      <c r="I1227" s="457"/>
      <c r="J1227" s="457"/>
      <c r="K1227" s="457"/>
      <c r="L1227" s="457"/>
      <c r="M1227" s="457"/>
      <c r="N1227" s="457"/>
      <c r="O1227" s="457"/>
      <c r="P1227" s="457"/>
      <c r="Q1227" s="457"/>
      <c r="R1227" s="457"/>
      <c r="S1227" s="457"/>
      <c r="T1227" s="457"/>
      <c r="U1227" s="457"/>
      <c r="V1227" s="457"/>
      <c r="W1227" s="457"/>
      <c r="X1227" s="457"/>
      <c r="Y1227" s="457"/>
      <c r="Z1227" s="457"/>
      <c r="AA1227" s="457"/>
      <c r="AB1227" s="457"/>
      <c r="AC1227" s="457"/>
      <c r="AD1227" s="457"/>
      <c r="AE1227" s="457"/>
      <c r="AF1227" s="457"/>
      <c r="AG1227" s="457"/>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57"/>
      <c r="C1390" s="457"/>
      <c r="D1390" s="457"/>
      <c r="E1390" s="457"/>
      <c r="F1390" s="457"/>
      <c r="G1390" s="457"/>
      <c r="H1390" s="457"/>
      <c r="I1390" s="457"/>
      <c r="J1390" s="457"/>
      <c r="K1390" s="457"/>
      <c r="L1390" s="457"/>
      <c r="M1390" s="457"/>
      <c r="N1390" s="457"/>
      <c r="O1390" s="457"/>
      <c r="P1390" s="457"/>
      <c r="Q1390" s="457"/>
      <c r="R1390" s="457"/>
      <c r="S1390" s="457"/>
      <c r="T1390" s="457"/>
      <c r="U1390" s="457"/>
      <c r="V1390" s="457"/>
      <c r="W1390" s="457"/>
      <c r="X1390" s="457"/>
      <c r="Y1390" s="457"/>
      <c r="Z1390" s="457"/>
      <c r="AA1390" s="457"/>
      <c r="AB1390" s="457"/>
      <c r="AC1390" s="457"/>
      <c r="AD1390" s="457"/>
      <c r="AE1390" s="457"/>
      <c r="AF1390" s="457"/>
      <c r="AG1390" s="457"/>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57"/>
      <c r="C1502" s="457"/>
      <c r="D1502" s="457"/>
      <c r="E1502" s="457"/>
      <c r="F1502" s="457"/>
      <c r="G1502" s="457"/>
      <c r="H1502" s="457"/>
      <c r="I1502" s="457"/>
      <c r="J1502" s="457"/>
      <c r="K1502" s="457"/>
      <c r="L1502" s="457"/>
      <c r="M1502" s="457"/>
      <c r="N1502" s="457"/>
      <c r="O1502" s="457"/>
      <c r="P1502" s="457"/>
      <c r="Q1502" s="457"/>
      <c r="R1502" s="457"/>
      <c r="S1502" s="457"/>
      <c r="T1502" s="457"/>
      <c r="U1502" s="457"/>
      <c r="V1502" s="457"/>
      <c r="W1502" s="457"/>
      <c r="X1502" s="457"/>
      <c r="Y1502" s="457"/>
      <c r="Z1502" s="457"/>
      <c r="AA1502" s="457"/>
      <c r="AB1502" s="457"/>
      <c r="AC1502" s="457"/>
      <c r="AD1502" s="457"/>
      <c r="AE1502" s="457"/>
      <c r="AF1502" s="457"/>
      <c r="AG1502" s="457"/>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57"/>
      <c r="C1604" s="457"/>
      <c r="D1604" s="457"/>
      <c r="E1604" s="457"/>
      <c r="F1604" s="457"/>
      <c r="G1604" s="457"/>
      <c r="H1604" s="457"/>
      <c r="I1604" s="457"/>
      <c r="J1604" s="457"/>
      <c r="K1604" s="457"/>
      <c r="L1604" s="457"/>
      <c r="M1604" s="457"/>
      <c r="N1604" s="457"/>
      <c r="O1604" s="457"/>
      <c r="P1604" s="457"/>
      <c r="Q1604" s="457"/>
      <c r="R1604" s="457"/>
      <c r="S1604" s="457"/>
      <c r="T1604" s="457"/>
      <c r="U1604" s="457"/>
      <c r="V1604" s="457"/>
      <c r="W1604" s="457"/>
      <c r="X1604" s="457"/>
      <c r="Y1604" s="457"/>
      <c r="Z1604" s="457"/>
      <c r="AA1604" s="457"/>
      <c r="AB1604" s="457"/>
      <c r="AC1604" s="457"/>
      <c r="AD1604" s="457"/>
      <c r="AE1604" s="457"/>
      <c r="AF1604" s="457"/>
      <c r="AG1604" s="457"/>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57"/>
      <c r="C1698" s="457"/>
      <c r="D1698" s="457"/>
      <c r="E1698" s="457"/>
      <c r="F1698" s="457"/>
      <c r="G1698" s="457"/>
      <c r="H1698" s="457"/>
      <c r="I1698" s="457"/>
      <c r="J1698" s="457"/>
      <c r="K1698" s="457"/>
      <c r="L1698" s="457"/>
      <c r="M1698" s="457"/>
      <c r="N1698" s="457"/>
      <c r="O1698" s="457"/>
      <c r="P1698" s="457"/>
      <c r="Q1698" s="457"/>
      <c r="R1698" s="457"/>
      <c r="S1698" s="457"/>
      <c r="T1698" s="457"/>
      <c r="U1698" s="457"/>
      <c r="V1698" s="457"/>
      <c r="W1698" s="457"/>
      <c r="X1698" s="457"/>
      <c r="Y1698" s="457"/>
      <c r="Z1698" s="457"/>
      <c r="AA1698" s="457"/>
      <c r="AB1698" s="457"/>
      <c r="AC1698" s="457"/>
      <c r="AD1698" s="457"/>
      <c r="AE1698" s="457"/>
      <c r="AF1698" s="457"/>
      <c r="AG1698" s="457"/>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57"/>
      <c r="C1945" s="457"/>
      <c r="D1945" s="457"/>
      <c r="E1945" s="457"/>
      <c r="F1945" s="457"/>
      <c r="G1945" s="457"/>
      <c r="H1945" s="457"/>
      <c r="I1945" s="457"/>
      <c r="J1945" s="457"/>
      <c r="K1945" s="457"/>
      <c r="L1945" s="457"/>
      <c r="M1945" s="457"/>
      <c r="N1945" s="457"/>
      <c r="O1945" s="457"/>
      <c r="P1945" s="457"/>
      <c r="Q1945" s="457"/>
      <c r="R1945" s="457"/>
      <c r="S1945" s="457"/>
      <c r="T1945" s="457"/>
      <c r="U1945" s="457"/>
      <c r="V1945" s="457"/>
      <c r="W1945" s="457"/>
      <c r="X1945" s="457"/>
      <c r="Y1945" s="457"/>
      <c r="Z1945" s="457"/>
      <c r="AA1945" s="457"/>
      <c r="AB1945" s="457"/>
      <c r="AC1945" s="457"/>
      <c r="AD1945" s="457"/>
      <c r="AE1945" s="457"/>
      <c r="AF1945" s="457"/>
      <c r="AG1945" s="457"/>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57"/>
      <c r="C2031" s="457"/>
      <c r="D2031" s="457"/>
      <c r="E2031" s="457"/>
      <c r="F2031" s="457"/>
      <c r="G2031" s="457"/>
      <c r="H2031" s="457"/>
      <c r="I2031" s="457"/>
      <c r="J2031" s="457"/>
      <c r="K2031" s="457"/>
      <c r="L2031" s="457"/>
      <c r="M2031" s="457"/>
      <c r="N2031" s="457"/>
      <c r="O2031" s="457"/>
      <c r="P2031" s="457"/>
      <c r="Q2031" s="457"/>
      <c r="R2031" s="457"/>
      <c r="S2031" s="457"/>
      <c r="T2031" s="457"/>
      <c r="U2031" s="457"/>
      <c r="V2031" s="457"/>
      <c r="W2031" s="457"/>
      <c r="X2031" s="457"/>
      <c r="Y2031" s="457"/>
      <c r="Z2031" s="457"/>
      <c r="AA2031" s="457"/>
      <c r="AB2031" s="457"/>
      <c r="AC2031" s="457"/>
      <c r="AD2031" s="457"/>
      <c r="AE2031" s="457"/>
      <c r="AF2031" s="457"/>
      <c r="AG2031" s="457"/>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57"/>
      <c r="C2153" s="457"/>
      <c r="D2153" s="457"/>
      <c r="E2153" s="457"/>
      <c r="F2153" s="457"/>
      <c r="G2153" s="457"/>
      <c r="H2153" s="457"/>
      <c r="I2153" s="457"/>
      <c r="J2153" s="457"/>
      <c r="K2153" s="457"/>
      <c r="L2153" s="457"/>
      <c r="M2153" s="457"/>
      <c r="N2153" s="457"/>
      <c r="O2153" s="457"/>
      <c r="P2153" s="457"/>
      <c r="Q2153" s="457"/>
      <c r="R2153" s="457"/>
      <c r="S2153" s="457"/>
      <c r="T2153" s="457"/>
      <c r="U2153" s="457"/>
      <c r="V2153" s="457"/>
      <c r="W2153" s="457"/>
      <c r="X2153" s="457"/>
      <c r="Y2153" s="457"/>
      <c r="Z2153" s="457"/>
      <c r="AA2153" s="457"/>
      <c r="AB2153" s="457"/>
      <c r="AC2153" s="457"/>
      <c r="AD2153" s="457"/>
      <c r="AE2153" s="457"/>
      <c r="AF2153" s="457"/>
      <c r="AG2153" s="457"/>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57"/>
      <c r="C2317" s="457"/>
      <c r="D2317" s="457"/>
      <c r="E2317" s="457"/>
      <c r="F2317" s="457"/>
      <c r="G2317" s="457"/>
      <c r="H2317" s="457"/>
      <c r="I2317" s="457"/>
      <c r="J2317" s="457"/>
      <c r="K2317" s="457"/>
      <c r="L2317" s="457"/>
      <c r="M2317" s="457"/>
      <c r="N2317" s="457"/>
      <c r="O2317" s="457"/>
      <c r="P2317" s="457"/>
      <c r="Q2317" s="457"/>
      <c r="R2317" s="457"/>
      <c r="S2317" s="457"/>
      <c r="T2317" s="457"/>
      <c r="U2317" s="457"/>
      <c r="V2317" s="457"/>
      <c r="W2317" s="457"/>
      <c r="X2317" s="457"/>
      <c r="Y2317" s="457"/>
      <c r="Z2317" s="457"/>
      <c r="AA2317" s="457"/>
      <c r="AB2317" s="457"/>
      <c r="AC2317" s="457"/>
      <c r="AD2317" s="457"/>
      <c r="AE2317" s="457"/>
      <c r="AF2317" s="457"/>
      <c r="AG2317" s="457"/>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57"/>
      <c r="C2419" s="457"/>
      <c r="D2419" s="457"/>
      <c r="E2419" s="457"/>
      <c r="F2419" s="457"/>
      <c r="G2419" s="457"/>
      <c r="H2419" s="457"/>
      <c r="I2419" s="457"/>
      <c r="J2419" s="457"/>
      <c r="K2419" s="457"/>
      <c r="L2419" s="457"/>
      <c r="M2419" s="457"/>
      <c r="N2419" s="457"/>
      <c r="O2419" s="457"/>
      <c r="P2419" s="457"/>
      <c r="Q2419" s="457"/>
      <c r="R2419" s="457"/>
      <c r="S2419" s="457"/>
      <c r="T2419" s="457"/>
      <c r="U2419" s="457"/>
      <c r="V2419" s="457"/>
      <c r="W2419" s="457"/>
      <c r="X2419" s="457"/>
      <c r="Y2419" s="457"/>
      <c r="Z2419" s="457"/>
      <c r="AA2419" s="457"/>
      <c r="AB2419" s="457"/>
      <c r="AC2419" s="457"/>
      <c r="AD2419" s="457"/>
      <c r="AE2419" s="457"/>
      <c r="AF2419" s="457"/>
      <c r="AG2419" s="457"/>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57"/>
      <c r="C2509" s="457"/>
      <c r="D2509" s="457"/>
      <c r="E2509" s="457"/>
      <c r="F2509" s="457"/>
      <c r="G2509" s="457"/>
      <c r="H2509" s="457"/>
      <c r="I2509" s="457"/>
      <c r="J2509" s="457"/>
      <c r="K2509" s="457"/>
      <c r="L2509" s="457"/>
      <c r="M2509" s="457"/>
      <c r="N2509" s="457"/>
      <c r="O2509" s="457"/>
      <c r="P2509" s="457"/>
      <c r="Q2509" s="457"/>
      <c r="R2509" s="457"/>
      <c r="S2509" s="457"/>
      <c r="T2509" s="457"/>
      <c r="U2509" s="457"/>
      <c r="V2509" s="457"/>
      <c r="W2509" s="457"/>
      <c r="X2509" s="457"/>
      <c r="Y2509" s="457"/>
      <c r="Z2509" s="457"/>
      <c r="AA2509" s="457"/>
      <c r="AB2509" s="457"/>
      <c r="AC2509" s="457"/>
      <c r="AD2509" s="457"/>
      <c r="AE2509" s="457"/>
      <c r="AF2509" s="457"/>
      <c r="AG2509" s="457"/>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57"/>
      <c r="C2598" s="457"/>
      <c r="D2598" s="457"/>
      <c r="E2598" s="457"/>
      <c r="F2598" s="457"/>
      <c r="G2598" s="457"/>
      <c r="H2598" s="457"/>
      <c r="I2598" s="457"/>
      <c r="J2598" s="457"/>
      <c r="K2598" s="457"/>
      <c r="L2598" s="457"/>
      <c r="M2598" s="457"/>
      <c r="N2598" s="457"/>
      <c r="O2598" s="457"/>
      <c r="P2598" s="457"/>
      <c r="Q2598" s="457"/>
      <c r="R2598" s="457"/>
      <c r="S2598" s="457"/>
      <c r="T2598" s="457"/>
      <c r="U2598" s="457"/>
      <c r="V2598" s="457"/>
      <c r="W2598" s="457"/>
      <c r="X2598" s="457"/>
      <c r="Y2598" s="457"/>
      <c r="Z2598" s="457"/>
      <c r="AA2598" s="457"/>
      <c r="AB2598" s="457"/>
      <c r="AC2598" s="457"/>
      <c r="AD2598" s="457"/>
      <c r="AE2598" s="457"/>
      <c r="AF2598" s="457"/>
      <c r="AG2598" s="457"/>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57"/>
      <c r="C2719" s="457"/>
      <c r="D2719" s="457"/>
      <c r="E2719" s="457"/>
      <c r="F2719" s="457"/>
      <c r="G2719" s="457"/>
      <c r="H2719" s="457"/>
      <c r="I2719" s="457"/>
      <c r="J2719" s="457"/>
      <c r="K2719" s="457"/>
      <c r="L2719" s="457"/>
      <c r="M2719" s="457"/>
      <c r="N2719" s="457"/>
      <c r="O2719" s="457"/>
      <c r="P2719" s="457"/>
      <c r="Q2719" s="457"/>
      <c r="R2719" s="457"/>
      <c r="S2719" s="457"/>
      <c r="T2719" s="457"/>
      <c r="U2719" s="457"/>
      <c r="V2719" s="457"/>
      <c r="W2719" s="457"/>
      <c r="X2719" s="457"/>
      <c r="Y2719" s="457"/>
      <c r="Z2719" s="457"/>
      <c r="AA2719" s="457"/>
      <c r="AB2719" s="457"/>
      <c r="AC2719" s="457"/>
      <c r="AD2719" s="457"/>
      <c r="AE2719" s="457"/>
      <c r="AF2719" s="457"/>
      <c r="AG2719" s="457"/>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57"/>
      <c r="C2837" s="457"/>
      <c r="D2837" s="457"/>
      <c r="E2837" s="457"/>
      <c r="F2837" s="457"/>
      <c r="G2837" s="457"/>
      <c r="H2837" s="457"/>
      <c r="I2837" s="457"/>
      <c r="J2837" s="457"/>
      <c r="K2837" s="457"/>
      <c r="L2837" s="457"/>
      <c r="M2837" s="457"/>
      <c r="N2837" s="457"/>
      <c r="O2837" s="457"/>
      <c r="P2837" s="457"/>
      <c r="Q2837" s="457"/>
      <c r="R2837" s="457"/>
      <c r="S2837" s="457"/>
      <c r="T2837" s="457"/>
      <c r="U2837" s="457"/>
      <c r="V2837" s="457"/>
      <c r="W2837" s="457"/>
      <c r="X2837" s="457"/>
      <c r="Y2837" s="457"/>
      <c r="Z2837" s="457"/>
      <c r="AA2837" s="457"/>
      <c r="AB2837" s="457"/>
      <c r="AC2837" s="457"/>
      <c r="AD2837" s="457"/>
      <c r="AE2837" s="457"/>
      <c r="AF2837" s="457"/>
      <c r="AG2837" s="457"/>
    </row>
  </sheetData>
  <mergeCells count="20">
    <mergeCell ref="B2419:AG2419"/>
    <mergeCell ref="B887:AG887"/>
    <mergeCell ref="B1502:AG1502"/>
    <mergeCell ref="B2837:AG2837"/>
    <mergeCell ref="B1604:AG1604"/>
    <mergeCell ref="B2719:AG2719"/>
    <mergeCell ref="B1100:AG1100"/>
    <mergeCell ref="B2509:AG2509"/>
    <mergeCell ref="B2598:AG2598"/>
    <mergeCell ref="B112:AG112"/>
    <mergeCell ref="B1227:AG1227"/>
    <mergeCell ref="B308:AG308"/>
    <mergeCell ref="B712:AG712"/>
    <mergeCell ref="B2317:AG2317"/>
    <mergeCell ref="B1698:AG1698"/>
    <mergeCell ref="B511:AG511"/>
    <mergeCell ref="B1390:AG1390"/>
    <mergeCell ref="B1945:AG1945"/>
    <mergeCell ref="B2153:AG2153"/>
    <mergeCell ref="B2031:AG20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7109375" style="36" bestFit="1" customWidth="1"/>
    <col min="2" max="2" width="46.7109375" style="36" customWidth="1"/>
    <col min="3" max="3" width="8.7109375" style="36" customWidth="1"/>
    <col min="4" max="16384" width="8.7109375" style="36"/>
  </cols>
  <sheetData>
    <row r="1" spans="1:33" ht="15" customHeight="1" thickBot="1" x14ac:dyDescent="0.25">
      <c r="B1" s="52" t="s">
        <v>556</v>
      </c>
      <c r="C1" s="49">
        <v>2022</v>
      </c>
      <c r="D1" s="49">
        <v>2023</v>
      </c>
      <c r="E1" s="49">
        <v>2024</v>
      </c>
      <c r="F1" s="49">
        <v>2025</v>
      </c>
      <c r="G1" s="49">
        <v>2026</v>
      </c>
      <c r="H1" s="49">
        <v>2027</v>
      </c>
      <c r="I1" s="49">
        <v>2028</v>
      </c>
      <c r="J1" s="49">
        <v>2029</v>
      </c>
      <c r="K1" s="49">
        <v>2030</v>
      </c>
      <c r="L1" s="49">
        <v>2031</v>
      </c>
      <c r="M1" s="49">
        <v>2032</v>
      </c>
      <c r="N1" s="49">
        <v>2033</v>
      </c>
      <c r="O1" s="49">
        <v>2034</v>
      </c>
      <c r="P1" s="49">
        <v>2035</v>
      </c>
      <c r="Q1" s="49">
        <v>2036</v>
      </c>
      <c r="R1" s="49">
        <v>2037</v>
      </c>
      <c r="S1" s="49">
        <v>2038</v>
      </c>
      <c r="T1" s="49">
        <v>2039</v>
      </c>
      <c r="U1" s="49">
        <v>2040</v>
      </c>
      <c r="V1" s="49">
        <v>2041</v>
      </c>
      <c r="W1" s="49">
        <v>2042</v>
      </c>
      <c r="X1" s="49">
        <v>2043</v>
      </c>
      <c r="Y1" s="49">
        <v>2044</v>
      </c>
      <c r="Z1" s="49">
        <v>2045</v>
      </c>
      <c r="AA1" s="49">
        <v>2046</v>
      </c>
      <c r="AB1" s="49">
        <v>2047</v>
      </c>
      <c r="AC1" s="49">
        <v>2048</v>
      </c>
      <c r="AD1" s="49">
        <v>2049</v>
      </c>
      <c r="AE1" s="49">
        <v>2050</v>
      </c>
    </row>
    <row r="2" spans="1:33" ht="15" customHeight="1" thickTop="1" x14ac:dyDescent="0.2"/>
    <row r="3" spans="1:33" ht="15" customHeight="1" x14ac:dyDescent="0.2">
      <c r="C3" s="72" t="s">
        <v>431</v>
      </c>
      <c r="D3" s="72" t="s">
        <v>557</v>
      </c>
      <c r="E3" s="54"/>
      <c r="F3" s="54"/>
      <c r="G3" s="54"/>
    </row>
    <row r="4" spans="1:33" ht="15" customHeight="1" x14ac:dyDescent="0.2">
      <c r="C4" s="72" t="s">
        <v>433</v>
      </c>
      <c r="D4" s="72" t="s">
        <v>558</v>
      </c>
      <c r="E4" s="54"/>
      <c r="F4" s="54"/>
      <c r="G4" s="72" t="s">
        <v>435</v>
      </c>
    </row>
    <row r="5" spans="1:33" ht="15" customHeight="1" x14ac:dyDescent="0.2">
      <c r="C5" s="72" t="s">
        <v>436</v>
      </c>
      <c r="D5" s="72" t="s">
        <v>559</v>
      </c>
      <c r="E5" s="54"/>
      <c r="F5" s="54"/>
      <c r="G5" s="54"/>
    </row>
    <row r="6" spans="1:33" ht="15" customHeight="1" x14ac:dyDescent="0.2">
      <c r="C6" s="72" t="s">
        <v>438</v>
      </c>
      <c r="D6" s="54"/>
      <c r="E6" s="72" t="s">
        <v>560</v>
      </c>
      <c r="F6" s="54"/>
      <c r="G6" s="54"/>
    </row>
    <row r="7" spans="1:33" ht="12" customHeight="1" x14ac:dyDescent="0.2"/>
    <row r="8" spans="1:33" ht="12" customHeight="1" x14ac:dyDescent="0.2"/>
    <row r="9" spans="1:33" ht="12" customHeight="1" x14ac:dyDescent="0.2">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row>
    <row r="10" spans="1:33" ht="15" customHeight="1" x14ac:dyDescent="0.25">
      <c r="A10" s="42" t="s">
        <v>697</v>
      </c>
      <c r="B10" s="59" t="s">
        <v>698</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50" t="s">
        <v>442</v>
      </c>
      <c r="AG10" s="37"/>
    </row>
    <row r="11" spans="1:33" ht="15" customHeight="1" x14ac:dyDescent="0.2">
      <c r="B11" s="60" t="s">
        <v>699</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50" t="s">
        <v>444</v>
      </c>
      <c r="AG11" s="37"/>
    </row>
    <row r="12" spans="1:33" ht="15" customHeight="1" x14ac:dyDescent="0.2">
      <c r="B12" s="60"/>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50" t="s">
        <v>445</v>
      </c>
      <c r="AG12" s="37"/>
    </row>
    <row r="13" spans="1:33" ht="15" customHeight="1" thickBot="1" x14ac:dyDescent="0.25">
      <c r="B13" s="62" t="s">
        <v>700</v>
      </c>
      <c r="C13" s="62">
        <v>2022</v>
      </c>
      <c r="D13" s="62">
        <v>2023</v>
      </c>
      <c r="E13" s="62">
        <v>2024</v>
      </c>
      <c r="F13" s="62">
        <v>2025</v>
      </c>
      <c r="G13" s="62">
        <v>2026</v>
      </c>
      <c r="H13" s="62">
        <v>2027</v>
      </c>
      <c r="I13" s="62">
        <v>2028</v>
      </c>
      <c r="J13" s="62">
        <v>2029</v>
      </c>
      <c r="K13" s="62">
        <v>2030</v>
      </c>
      <c r="L13" s="62">
        <v>2031</v>
      </c>
      <c r="M13" s="62">
        <v>2032</v>
      </c>
      <c r="N13" s="62">
        <v>2033</v>
      </c>
      <c r="O13" s="62">
        <v>2034</v>
      </c>
      <c r="P13" s="62">
        <v>2035</v>
      </c>
      <c r="Q13" s="62">
        <v>2036</v>
      </c>
      <c r="R13" s="62">
        <v>2037</v>
      </c>
      <c r="S13" s="62">
        <v>2038</v>
      </c>
      <c r="T13" s="62">
        <v>2039</v>
      </c>
      <c r="U13" s="62">
        <v>2040</v>
      </c>
      <c r="V13" s="62">
        <v>2041</v>
      </c>
      <c r="W13" s="62">
        <v>2042</v>
      </c>
      <c r="X13" s="62">
        <v>2043</v>
      </c>
      <c r="Y13" s="62">
        <v>2044</v>
      </c>
      <c r="Z13" s="62">
        <v>2045</v>
      </c>
      <c r="AA13" s="62">
        <v>2046</v>
      </c>
      <c r="AB13" s="62">
        <v>2047</v>
      </c>
      <c r="AC13" s="62">
        <v>2048</v>
      </c>
      <c r="AD13" s="62">
        <v>2049</v>
      </c>
      <c r="AE13" s="62">
        <v>2050</v>
      </c>
      <c r="AF13" s="63" t="s">
        <v>561</v>
      </c>
      <c r="AG13" s="37"/>
    </row>
    <row r="14" spans="1:33" ht="15" customHeight="1" thickTop="1" x14ac:dyDescent="0.2">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row>
    <row r="15" spans="1:33" ht="15" customHeight="1" x14ac:dyDescent="0.2">
      <c r="B15" s="64" t="s">
        <v>701</v>
      </c>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row>
    <row r="16" spans="1:33" ht="15" customHeight="1" x14ac:dyDescent="0.2">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row>
    <row r="17" spans="1:33" ht="15" customHeight="1" x14ac:dyDescent="0.2">
      <c r="B17" s="64" t="s">
        <v>702</v>
      </c>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row>
    <row r="18" spans="1:33" ht="15" customHeight="1" x14ac:dyDescent="0.2">
      <c r="B18" s="64" t="s">
        <v>703</v>
      </c>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row>
    <row r="19" spans="1:33" ht="15" customHeight="1" x14ac:dyDescent="0.2">
      <c r="A19" s="42" t="s">
        <v>704</v>
      </c>
      <c r="B19" s="65" t="s">
        <v>705</v>
      </c>
      <c r="C19" s="70">
        <v>832.22631799999999</v>
      </c>
      <c r="D19" s="70">
        <v>783.51873799999998</v>
      </c>
      <c r="E19" s="70">
        <v>824.05676300000005</v>
      </c>
      <c r="F19" s="70">
        <v>754.55761700000005</v>
      </c>
      <c r="G19" s="70">
        <v>646.98290999999995</v>
      </c>
      <c r="H19" s="70">
        <v>548.90808100000004</v>
      </c>
      <c r="I19" s="70">
        <v>453.32052599999997</v>
      </c>
      <c r="J19" s="70">
        <v>383.88156099999998</v>
      </c>
      <c r="K19" s="70">
        <v>344.67388899999997</v>
      </c>
      <c r="L19" s="70">
        <v>336.42291299999999</v>
      </c>
      <c r="M19" s="70">
        <v>332.679596</v>
      </c>
      <c r="N19" s="70">
        <v>341.92962599999998</v>
      </c>
      <c r="O19" s="70">
        <v>339.71804800000001</v>
      </c>
      <c r="P19" s="70">
        <v>340.08657799999997</v>
      </c>
      <c r="Q19" s="70">
        <v>336.70202599999999</v>
      </c>
      <c r="R19" s="70">
        <v>328.44534299999998</v>
      </c>
      <c r="S19" s="70">
        <v>316.24642899999998</v>
      </c>
      <c r="T19" s="70">
        <v>308.52734400000003</v>
      </c>
      <c r="U19" s="70">
        <v>300.465149</v>
      </c>
      <c r="V19" s="70">
        <v>302.17205799999999</v>
      </c>
      <c r="W19" s="70">
        <v>301.89288299999998</v>
      </c>
      <c r="X19" s="70">
        <v>298.36657700000001</v>
      </c>
      <c r="Y19" s="70">
        <v>286.82672100000002</v>
      </c>
      <c r="Z19" s="70">
        <v>278.50741599999998</v>
      </c>
      <c r="AA19" s="70">
        <v>268.90802000000002</v>
      </c>
      <c r="AB19" s="70">
        <v>264.177795</v>
      </c>
      <c r="AC19" s="70">
        <v>254.06308000000001</v>
      </c>
      <c r="AD19" s="70">
        <v>252.43649300000001</v>
      </c>
      <c r="AE19" s="70">
        <v>242.82354699999999</v>
      </c>
      <c r="AF19" s="67">
        <v>-4.3038E-2</v>
      </c>
      <c r="AG19" s="37"/>
    </row>
    <row r="20" spans="1:33" ht="15" customHeight="1" x14ac:dyDescent="0.2">
      <c r="A20" s="42" t="s">
        <v>706</v>
      </c>
      <c r="B20" s="65" t="s">
        <v>707</v>
      </c>
      <c r="C20" s="70">
        <v>10.012233999999999</v>
      </c>
      <c r="D20" s="70">
        <v>9.5081570000000006</v>
      </c>
      <c r="E20" s="70">
        <v>9.5879399999999997</v>
      </c>
      <c r="F20" s="70">
        <v>9.2670560000000002</v>
      </c>
      <c r="G20" s="70">
        <v>8.5621480000000005</v>
      </c>
      <c r="H20" s="70">
        <v>7.868519</v>
      </c>
      <c r="I20" s="70">
        <v>7.1793659999999999</v>
      </c>
      <c r="J20" s="70">
        <v>6.7758539999999998</v>
      </c>
      <c r="K20" s="70">
        <v>6.4861849999999999</v>
      </c>
      <c r="L20" s="70">
        <v>6.2037129999999996</v>
      </c>
      <c r="M20" s="70">
        <v>6.1673489999999997</v>
      </c>
      <c r="N20" s="70">
        <v>6.1629240000000003</v>
      </c>
      <c r="O20" s="70">
        <v>6.1347639999999997</v>
      </c>
      <c r="P20" s="70">
        <v>6.1178660000000002</v>
      </c>
      <c r="Q20" s="70">
        <v>6.030214</v>
      </c>
      <c r="R20" s="70">
        <v>5.846374</v>
      </c>
      <c r="S20" s="70">
        <v>5.5758270000000003</v>
      </c>
      <c r="T20" s="70">
        <v>5.4650049999999997</v>
      </c>
      <c r="U20" s="70">
        <v>5.3707089999999997</v>
      </c>
      <c r="V20" s="70">
        <v>5.097988</v>
      </c>
      <c r="W20" s="70">
        <v>4.7791790000000001</v>
      </c>
      <c r="X20" s="70">
        <v>4.4546349999999997</v>
      </c>
      <c r="Y20" s="70">
        <v>4.106789</v>
      </c>
      <c r="Z20" s="70">
        <v>3.7438880000000001</v>
      </c>
      <c r="AA20" s="70">
        <v>3.7051370000000001</v>
      </c>
      <c r="AB20" s="70">
        <v>3.7114029999999998</v>
      </c>
      <c r="AC20" s="70">
        <v>3.688313</v>
      </c>
      <c r="AD20" s="70">
        <v>3.7027950000000001</v>
      </c>
      <c r="AE20" s="70">
        <v>3.687182</v>
      </c>
      <c r="AF20" s="67">
        <v>-3.5048000000000003E-2</v>
      </c>
      <c r="AG20" s="37"/>
    </row>
    <row r="21" spans="1:33" ht="15" customHeight="1" x14ac:dyDescent="0.2">
      <c r="A21" s="42" t="s">
        <v>708</v>
      </c>
      <c r="B21" s="65" t="s">
        <v>709</v>
      </c>
      <c r="C21" s="70">
        <v>1451.6611330000001</v>
      </c>
      <c r="D21" s="70">
        <v>1354.2910159999999</v>
      </c>
      <c r="E21" s="70">
        <v>1260.048096</v>
      </c>
      <c r="F21" s="70">
        <v>1195.330933</v>
      </c>
      <c r="G21" s="70">
        <v>1141.2430420000001</v>
      </c>
      <c r="H21" s="70">
        <v>1055.9729</v>
      </c>
      <c r="I21" s="70">
        <v>1012.561707</v>
      </c>
      <c r="J21" s="70">
        <v>976.55212400000005</v>
      </c>
      <c r="K21" s="70">
        <v>931.62261999999998</v>
      </c>
      <c r="L21" s="70">
        <v>886.70178199999998</v>
      </c>
      <c r="M21" s="70">
        <v>853.36431900000002</v>
      </c>
      <c r="N21" s="70">
        <v>828.168091</v>
      </c>
      <c r="O21" s="70">
        <v>803.13696300000004</v>
      </c>
      <c r="P21" s="70">
        <v>793.34411599999999</v>
      </c>
      <c r="Q21" s="70">
        <v>794.537598</v>
      </c>
      <c r="R21" s="70">
        <v>805.12658699999997</v>
      </c>
      <c r="S21" s="70">
        <v>827.58831799999996</v>
      </c>
      <c r="T21" s="70">
        <v>839.38970900000004</v>
      </c>
      <c r="U21" s="70">
        <v>861.87487799999997</v>
      </c>
      <c r="V21" s="70">
        <v>870.91137700000002</v>
      </c>
      <c r="W21" s="70">
        <v>884.54205300000001</v>
      </c>
      <c r="X21" s="70">
        <v>893.38915999999995</v>
      </c>
      <c r="Y21" s="70">
        <v>894.65850799999998</v>
      </c>
      <c r="Z21" s="70">
        <v>903.08007799999996</v>
      </c>
      <c r="AA21" s="70">
        <v>900.81451400000003</v>
      </c>
      <c r="AB21" s="70">
        <v>903.86340299999995</v>
      </c>
      <c r="AC21" s="70">
        <v>914.66229199999998</v>
      </c>
      <c r="AD21" s="70">
        <v>918.518372</v>
      </c>
      <c r="AE21" s="70">
        <v>930.68591300000003</v>
      </c>
      <c r="AF21" s="67">
        <v>-1.5751000000000001E-2</v>
      </c>
      <c r="AG21" s="37"/>
    </row>
    <row r="22" spans="1:33" ht="15" customHeight="1" x14ac:dyDescent="0.2">
      <c r="A22" s="42" t="s">
        <v>710</v>
      </c>
      <c r="B22" s="65" t="s">
        <v>711</v>
      </c>
      <c r="C22" s="70">
        <v>771.984375</v>
      </c>
      <c r="D22" s="70">
        <v>783.71594200000004</v>
      </c>
      <c r="E22" s="70">
        <v>789.40368699999999</v>
      </c>
      <c r="F22" s="70">
        <v>782.25647000000004</v>
      </c>
      <c r="G22" s="70">
        <v>774.68408199999999</v>
      </c>
      <c r="H22" s="70">
        <v>774.67089799999997</v>
      </c>
      <c r="I22" s="70">
        <v>765.55304000000001</v>
      </c>
      <c r="J22" s="70">
        <v>765.54077099999995</v>
      </c>
      <c r="K22" s="70">
        <v>758.01715100000001</v>
      </c>
      <c r="L22" s="70">
        <v>758.02221699999996</v>
      </c>
      <c r="M22" s="70">
        <v>758.03063999999995</v>
      </c>
      <c r="N22" s="70">
        <v>715.33032200000002</v>
      </c>
      <c r="O22" s="70">
        <v>708.66870100000006</v>
      </c>
      <c r="P22" s="70">
        <v>700.12188700000002</v>
      </c>
      <c r="Q22" s="70">
        <v>684.02917500000001</v>
      </c>
      <c r="R22" s="70">
        <v>673.099243</v>
      </c>
      <c r="S22" s="70">
        <v>654.48669400000006</v>
      </c>
      <c r="T22" s="70">
        <v>644.63195800000005</v>
      </c>
      <c r="U22" s="70">
        <v>625.42901600000005</v>
      </c>
      <c r="V22" s="70">
        <v>625.59808299999997</v>
      </c>
      <c r="W22" s="70">
        <v>625.89691200000004</v>
      </c>
      <c r="X22" s="70">
        <v>626.152649</v>
      </c>
      <c r="Y22" s="70">
        <v>626.43640100000005</v>
      </c>
      <c r="Z22" s="70">
        <v>626.43884300000002</v>
      </c>
      <c r="AA22" s="70">
        <v>626.196777</v>
      </c>
      <c r="AB22" s="70">
        <v>626.00213599999995</v>
      </c>
      <c r="AC22" s="70">
        <v>625.14129600000001</v>
      </c>
      <c r="AD22" s="70">
        <v>625.25939900000003</v>
      </c>
      <c r="AE22" s="70">
        <v>624.86090100000001</v>
      </c>
      <c r="AF22" s="67">
        <v>-7.5230000000000002E-3</v>
      </c>
      <c r="AG22" s="37"/>
    </row>
    <row r="23" spans="1:33" ht="15" customHeight="1" x14ac:dyDescent="0.2">
      <c r="A23" s="42" t="s">
        <v>712</v>
      </c>
      <c r="B23" s="65" t="s">
        <v>713</v>
      </c>
      <c r="C23" s="70">
        <v>0.55476400000000003</v>
      </c>
      <c r="D23" s="70">
        <v>-8.1639000000000003E-2</v>
      </c>
      <c r="E23" s="70">
        <v>-1.123405</v>
      </c>
      <c r="F23" s="70">
        <v>-1.9092709999999999</v>
      </c>
      <c r="G23" s="70">
        <v>-2.4858929999999999</v>
      </c>
      <c r="H23" s="70">
        <v>-2.9139560000000002</v>
      </c>
      <c r="I23" s="70">
        <v>-4.2850299999999999</v>
      </c>
      <c r="J23" s="70">
        <v>-4.9817809999999998</v>
      </c>
      <c r="K23" s="70">
        <v>-5.6707020000000004</v>
      </c>
      <c r="L23" s="70">
        <v>-6.5043220000000002</v>
      </c>
      <c r="M23" s="70">
        <v>-7.7092239999999999</v>
      </c>
      <c r="N23" s="70">
        <v>-9.1685890000000008</v>
      </c>
      <c r="O23" s="70">
        <v>-10.592758999999999</v>
      </c>
      <c r="P23" s="70">
        <v>-11.908464</v>
      </c>
      <c r="Q23" s="70">
        <v>-13.402108</v>
      </c>
      <c r="R23" s="70">
        <v>-15.528079999999999</v>
      </c>
      <c r="S23" s="70">
        <v>-17.882428999999998</v>
      </c>
      <c r="T23" s="70">
        <v>-20.471281000000001</v>
      </c>
      <c r="U23" s="70">
        <v>-22.979378000000001</v>
      </c>
      <c r="V23" s="70">
        <v>-25.068142000000002</v>
      </c>
      <c r="W23" s="70">
        <v>-26.707905</v>
      </c>
      <c r="X23" s="70">
        <v>-28.283214999999998</v>
      </c>
      <c r="Y23" s="70">
        <v>-30.580137000000001</v>
      </c>
      <c r="Z23" s="70">
        <v>-32.549838999999999</v>
      </c>
      <c r="AA23" s="70">
        <v>-33.796047000000002</v>
      </c>
      <c r="AB23" s="70">
        <v>-35.146495999999999</v>
      </c>
      <c r="AC23" s="70">
        <v>-36.587879000000001</v>
      </c>
      <c r="AD23" s="70">
        <v>-38.203732000000002</v>
      </c>
      <c r="AE23" s="70">
        <v>-39.922955000000002</v>
      </c>
      <c r="AF23" s="67" t="s">
        <v>488</v>
      </c>
      <c r="AG23" s="37"/>
    </row>
    <row r="24" spans="1:33" ht="15" customHeight="1" x14ac:dyDescent="0.2">
      <c r="A24" s="42" t="s">
        <v>714</v>
      </c>
      <c r="B24" s="65" t="s">
        <v>715</v>
      </c>
      <c r="C24" s="70">
        <v>884.92919900000004</v>
      </c>
      <c r="D24" s="70">
        <v>961.45910600000002</v>
      </c>
      <c r="E24" s="70">
        <v>1051.532837</v>
      </c>
      <c r="F24" s="70">
        <v>1219.0980219999999</v>
      </c>
      <c r="G24" s="70">
        <v>1425.474121</v>
      </c>
      <c r="H24" s="70">
        <v>1638.205811</v>
      </c>
      <c r="I24" s="70">
        <v>1823.229736</v>
      </c>
      <c r="J24" s="70">
        <v>1963.2510990000001</v>
      </c>
      <c r="K24" s="70">
        <v>2082.2614749999998</v>
      </c>
      <c r="L24" s="70">
        <v>2166.423828</v>
      </c>
      <c r="M24" s="70">
        <v>2239.3549800000001</v>
      </c>
      <c r="N24" s="70">
        <v>2324.4648440000001</v>
      </c>
      <c r="O24" s="70">
        <v>2389.7634280000002</v>
      </c>
      <c r="P24" s="70">
        <v>2442.6357419999999</v>
      </c>
      <c r="Q24" s="70">
        <v>2496.030518</v>
      </c>
      <c r="R24" s="70">
        <v>2538.811279</v>
      </c>
      <c r="S24" s="70">
        <v>2579.8964839999999</v>
      </c>
      <c r="T24" s="70">
        <v>2615.169922</v>
      </c>
      <c r="U24" s="70">
        <v>2652.873047</v>
      </c>
      <c r="V24" s="70">
        <v>2680.0114749999998</v>
      </c>
      <c r="W24" s="70">
        <v>2705.7783199999999</v>
      </c>
      <c r="X24" s="70">
        <v>2740.4643550000001</v>
      </c>
      <c r="Y24" s="70">
        <v>2791.2124020000001</v>
      </c>
      <c r="Z24" s="70">
        <v>2836.367432</v>
      </c>
      <c r="AA24" s="70">
        <v>2890.9724120000001</v>
      </c>
      <c r="AB24" s="70">
        <v>2939.0747070000002</v>
      </c>
      <c r="AC24" s="70">
        <v>2983.045654</v>
      </c>
      <c r="AD24" s="70">
        <v>3026.3388669999999</v>
      </c>
      <c r="AE24" s="70">
        <v>3076.7624510000001</v>
      </c>
      <c r="AF24" s="67">
        <v>4.5510000000000002E-2</v>
      </c>
      <c r="AG24" s="37"/>
    </row>
    <row r="25" spans="1:33" ht="15" customHeight="1" x14ac:dyDescent="0.2">
      <c r="A25" s="42" t="s">
        <v>716</v>
      </c>
      <c r="B25" s="65" t="s">
        <v>717</v>
      </c>
      <c r="C25" s="70">
        <v>0</v>
      </c>
      <c r="D25" s="70">
        <v>0</v>
      </c>
      <c r="E25" s="70">
        <v>0.20539499999999999</v>
      </c>
      <c r="F25" s="70">
        <v>0.260878</v>
      </c>
      <c r="G25" s="70">
        <v>0.31893700000000003</v>
      </c>
      <c r="H25" s="70">
        <v>0.40227400000000002</v>
      </c>
      <c r="I25" s="70">
        <v>0.561052</v>
      </c>
      <c r="J25" s="70">
        <v>0.73606099999999997</v>
      </c>
      <c r="K25" s="70">
        <v>0.94242199999999998</v>
      </c>
      <c r="L25" s="70">
        <v>1.174811</v>
      </c>
      <c r="M25" s="70">
        <v>1.4213480000000001</v>
      </c>
      <c r="N25" s="70">
        <v>1.6911620000000001</v>
      </c>
      <c r="O25" s="70">
        <v>1.984645</v>
      </c>
      <c r="P25" s="70">
        <v>2.3304360000000002</v>
      </c>
      <c r="Q25" s="70">
        <v>2.672148</v>
      </c>
      <c r="R25" s="70">
        <v>3.1055229999999998</v>
      </c>
      <c r="S25" s="70">
        <v>3.5882010000000002</v>
      </c>
      <c r="T25" s="70">
        <v>3.9917400000000001</v>
      </c>
      <c r="U25" s="70">
        <v>4.4289949999999996</v>
      </c>
      <c r="V25" s="70">
        <v>4.9772210000000001</v>
      </c>
      <c r="W25" s="70">
        <v>5.5124120000000003</v>
      </c>
      <c r="X25" s="70">
        <v>6.1170020000000003</v>
      </c>
      <c r="Y25" s="70">
        <v>6.7812950000000001</v>
      </c>
      <c r="Z25" s="70">
        <v>7.5515840000000001</v>
      </c>
      <c r="AA25" s="70">
        <v>8.3358419999999995</v>
      </c>
      <c r="AB25" s="70">
        <v>9.1501999999999999</v>
      </c>
      <c r="AC25" s="70">
        <v>9.9523679999999999</v>
      </c>
      <c r="AD25" s="70">
        <v>10.818008000000001</v>
      </c>
      <c r="AE25" s="70">
        <v>11.722452000000001</v>
      </c>
      <c r="AF25" s="67" t="s">
        <v>488</v>
      </c>
      <c r="AG25" s="37"/>
    </row>
    <row r="26" spans="1:33" ht="15" customHeight="1" x14ac:dyDescent="0.2">
      <c r="A26" s="42" t="s">
        <v>718</v>
      </c>
      <c r="B26" s="64" t="s">
        <v>719</v>
      </c>
      <c r="C26" s="73">
        <v>3951.3679200000001</v>
      </c>
      <c r="D26" s="73">
        <v>3892.4111330000001</v>
      </c>
      <c r="E26" s="73">
        <v>3933.7116700000001</v>
      </c>
      <c r="F26" s="73">
        <v>3958.8620609999998</v>
      </c>
      <c r="G26" s="73">
        <v>3994.779297</v>
      </c>
      <c r="H26" s="73">
        <v>4023.1145019999999</v>
      </c>
      <c r="I26" s="73">
        <v>4058.1203609999998</v>
      </c>
      <c r="J26" s="73">
        <v>4091.755615</v>
      </c>
      <c r="K26" s="73">
        <v>4118.3330079999996</v>
      </c>
      <c r="L26" s="73">
        <v>4148.4448240000002</v>
      </c>
      <c r="M26" s="73">
        <v>4183.3090819999998</v>
      </c>
      <c r="N26" s="73">
        <v>4208.5786129999997</v>
      </c>
      <c r="O26" s="73">
        <v>4238.8139650000003</v>
      </c>
      <c r="P26" s="73">
        <v>4272.7280270000001</v>
      </c>
      <c r="Q26" s="73">
        <v>4306.5996089999999</v>
      </c>
      <c r="R26" s="73">
        <v>4338.90625</v>
      </c>
      <c r="S26" s="73">
        <v>4369.4995120000003</v>
      </c>
      <c r="T26" s="73">
        <v>4396.7045900000003</v>
      </c>
      <c r="U26" s="73">
        <v>4427.4624020000001</v>
      </c>
      <c r="V26" s="73">
        <v>4463.6997069999998</v>
      </c>
      <c r="W26" s="73">
        <v>4501.6938479999999</v>
      </c>
      <c r="X26" s="73">
        <v>4540.6611329999996</v>
      </c>
      <c r="Y26" s="73">
        <v>4579.4418949999999</v>
      </c>
      <c r="Z26" s="73">
        <v>4623.1396480000003</v>
      </c>
      <c r="AA26" s="73">
        <v>4665.1367190000001</v>
      </c>
      <c r="AB26" s="73">
        <v>4710.8330079999996</v>
      </c>
      <c r="AC26" s="73">
        <v>4753.9648440000001</v>
      </c>
      <c r="AD26" s="73">
        <v>4798.8701170000004</v>
      </c>
      <c r="AE26" s="73">
        <v>4850.6196289999998</v>
      </c>
      <c r="AF26" s="69">
        <v>7.3499999999999998E-3</v>
      </c>
      <c r="AG26" s="37"/>
    </row>
    <row r="27" spans="1:33" ht="15" customHeight="1" x14ac:dyDescent="0.2">
      <c r="B27" s="64" t="s">
        <v>720</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row>
    <row r="28" spans="1:33" ht="15" customHeight="1" x14ac:dyDescent="0.2">
      <c r="A28" s="42" t="s">
        <v>721</v>
      </c>
      <c r="B28" s="65" t="s">
        <v>705</v>
      </c>
      <c r="C28" s="70">
        <v>9.9263359999999992</v>
      </c>
      <c r="D28" s="70">
        <v>9.9495050000000003</v>
      </c>
      <c r="E28" s="70">
        <v>9.2386569999999999</v>
      </c>
      <c r="F28" s="70">
        <v>8.7888889999999993</v>
      </c>
      <c r="G28" s="70">
        <v>8.3916649999999997</v>
      </c>
      <c r="H28" s="70">
        <v>8.4107690000000002</v>
      </c>
      <c r="I28" s="70">
        <v>8.3975989999999996</v>
      </c>
      <c r="J28" s="70">
        <v>8.3829440000000002</v>
      </c>
      <c r="K28" s="70">
        <v>8.3943770000000004</v>
      </c>
      <c r="L28" s="70">
        <v>8.3716299999999997</v>
      </c>
      <c r="M28" s="70">
        <v>8.4007120000000004</v>
      </c>
      <c r="N28" s="70">
        <v>8.3601899999999993</v>
      </c>
      <c r="O28" s="70">
        <v>8.3820259999999998</v>
      </c>
      <c r="P28" s="70">
        <v>8.3820379999999997</v>
      </c>
      <c r="Q28" s="70">
        <v>8.3820329999999998</v>
      </c>
      <c r="R28" s="70">
        <v>8.3820370000000004</v>
      </c>
      <c r="S28" s="70">
        <v>8.3820139999999999</v>
      </c>
      <c r="T28" s="70">
        <v>8.3820359999999994</v>
      </c>
      <c r="U28" s="70">
        <v>8.3820370000000004</v>
      </c>
      <c r="V28" s="70">
        <v>8.3820350000000001</v>
      </c>
      <c r="W28" s="70">
        <v>8.3820350000000001</v>
      </c>
      <c r="X28" s="70">
        <v>8.3820340000000009</v>
      </c>
      <c r="Y28" s="70">
        <v>8.3820329999999998</v>
      </c>
      <c r="Z28" s="70">
        <v>8.3820320000000006</v>
      </c>
      <c r="AA28" s="70">
        <v>8.3820320000000006</v>
      </c>
      <c r="AB28" s="70">
        <v>8.3820320000000006</v>
      </c>
      <c r="AC28" s="70">
        <v>8.3820309999999996</v>
      </c>
      <c r="AD28" s="70">
        <v>8.3820300000000003</v>
      </c>
      <c r="AE28" s="70">
        <v>8.3820300000000003</v>
      </c>
      <c r="AF28" s="67">
        <v>-6.0210000000000003E-3</v>
      </c>
      <c r="AG28" s="37"/>
    </row>
    <row r="29" spans="1:33" ht="15" customHeight="1" x14ac:dyDescent="0.2">
      <c r="A29" s="42" t="s">
        <v>722</v>
      </c>
      <c r="B29" s="65" t="s">
        <v>707</v>
      </c>
      <c r="C29" s="70">
        <v>0.54831399999999997</v>
      </c>
      <c r="D29" s="70">
        <v>0.54840699999999998</v>
      </c>
      <c r="E29" s="70">
        <v>0.54556800000000005</v>
      </c>
      <c r="F29" s="70">
        <v>0.54376500000000005</v>
      </c>
      <c r="G29" s="70">
        <v>0.54217300000000002</v>
      </c>
      <c r="H29" s="70">
        <v>0.54217300000000002</v>
      </c>
      <c r="I29" s="70">
        <v>0.54217300000000002</v>
      </c>
      <c r="J29" s="70">
        <v>0.54217300000000002</v>
      </c>
      <c r="K29" s="70">
        <v>0.54217300000000002</v>
      </c>
      <c r="L29" s="70">
        <v>0.54217300000000002</v>
      </c>
      <c r="M29" s="70">
        <v>0.54217300000000002</v>
      </c>
      <c r="N29" s="70">
        <v>0.54217300000000002</v>
      </c>
      <c r="O29" s="70">
        <v>0.54217300000000002</v>
      </c>
      <c r="P29" s="70">
        <v>0.54217300000000002</v>
      </c>
      <c r="Q29" s="70">
        <v>0.54217300000000002</v>
      </c>
      <c r="R29" s="70">
        <v>0.54217300000000002</v>
      </c>
      <c r="S29" s="70">
        <v>0.54217300000000002</v>
      </c>
      <c r="T29" s="70">
        <v>0.54217300000000002</v>
      </c>
      <c r="U29" s="70">
        <v>0.54217300000000002</v>
      </c>
      <c r="V29" s="70">
        <v>0.54217300000000002</v>
      </c>
      <c r="W29" s="70">
        <v>0.54217300000000002</v>
      </c>
      <c r="X29" s="70">
        <v>0.54217300000000002</v>
      </c>
      <c r="Y29" s="70">
        <v>0.54217300000000002</v>
      </c>
      <c r="Z29" s="70">
        <v>0.54217300000000002</v>
      </c>
      <c r="AA29" s="70">
        <v>0.54217300000000002</v>
      </c>
      <c r="AB29" s="70">
        <v>0.54217300000000002</v>
      </c>
      <c r="AC29" s="70">
        <v>0.54217300000000002</v>
      </c>
      <c r="AD29" s="70">
        <v>0.54217300000000002</v>
      </c>
      <c r="AE29" s="70">
        <v>0.54217300000000002</v>
      </c>
      <c r="AF29" s="67">
        <v>-4.0200000000000001E-4</v>
      </c>
      <c r="AG29" s="37"/>
    </row>
    <row r="30" spans="1:33" ht="15" customHeight="1" x14ac:dyDescent="0.2">
      <c r="A30" s="42" t="s">
        <v>723</v>
      </c>
      <c r="B30" s="65" t="s">
        <v>724</v>
      </c>
      <c r="C30" s="70">
        <v>122.817505</v>
      </c>
      <c r="D30" s="70">
        <v>119.97487599999999</v>
      </c>
      <c r="E30" s="70">
        <v>119.169571</v>
      </c>
      <c r="F30" s="70">
        <v>119.244591</v>
      </c>
      <c r="G30" s="70">
        <v>116.667732</v>
      </c>
      <c r="H30" s="70">
        <v>116.666534</v>
      </c>
      <c r="I30" s="70">
        <v>116.66600800000001</v>
      </c>
      <c r="J30" s="70">
        <v>116.66727400000001</v>
      </c>
      <c r="K30" s="70">
        <v>115.235268</v>
      </c>
      <c r="L30" s="70">
        <v>114.117638</v>
      </c>
      <c r="M30" s="70">
        <v>113.766518</v>
      </c>
      <c r="N30" s="70">
        <v>113.76393899999999</v>
      </c>
      <c r="O30" s="70">
        <v>113.763908</v>
      </c>
      <c r="P30" s="70">
        <v>113.764061</v>
      </c>
      <c r="Q30" s="70">
        <v>113.777458</v>
      </c>
      <c r="R30" s="70">
        <v>113.791382</v>
      </c>
      <c r="S30" s="70">
        <v>113.763481</v>
      </c>
      <c r="T30" s="70">
        <v>113.76383199999999</v>
      </c>
      <c r="U30" s="70">
        <v>113.90773799999999</v>
      </c>
      <c r="V30" s="70">
        <v>114.16223100000001</v>
      </c>
      <c r="W30" s="70">
        <v>114.162437</v>
      </c>
      <c r="X30" s="70">
        <v>114.16490899999999</v>
      </c>
      <c r="Y30" s="70">
        <v>114.176376</v>
      </c>
      <c r="Z30" s="70">
        <v>114.17585800000001</v>
      </c>
      <c r="AA30" s="70">
        <v>114.100418</v>
      </c>
      <c r="AB30" s="70">
        <v>113.934082</v>
      </c>
      <c r="AC30" s="70">
        <v>113.884727</v>
      </c>
      <c r="AD30" s="70">
        <v>113.884094</v>
      </c>
      <c r="AE30" s="70">
        <v>113.87455</v>
      </c>
      <c r="AF30" s="67">
        <v>-2.696E-3</v>
      </c>
      <c r="AG30" s="37"/>
    </row>
    <row r="31" spans="1:33" ht="12" customHeight="1" x14ac:dyDescent="0.2">
      <c r="A31" s="42" t="s">
        <v>725</v>
      </c>
      <c r="B31" s="65" t="s">
        <v>726</v>
      </c>
      <c r="C31" s="70">
        <v>3.520349</v>
      </c>
      <c r="D31" s="70">
        <v>3.5696690000000002</v>
      </c>
      <c r="E31" s="70">
        <v>3.5653320000000002</v>
      </c>
      <c r="F31" s="70">
        <v>3.570071</v>
      </c>
      <c r="G31" s="70">
        <v>3.5873740000000001</v>
      </c>
      <c r="H31" s="70">
        <v>3.5683349999999998</v>
      </c>
      <c r="I31" s="70">
        <v>3.5806580000000001</v>
      </c>
      <c r="J31" s="70">
        <v>3.597604</v>
      </c>
      <c r="K31" s="70">
        <v>3.5883250000000002</v>
      </c>
      <c r="L31" s="70">
        <v>3.6024829999999999</v>
      </c>
      <c r="M31" s="70">
        <v>3.573909</v>
      </c>
      <c r="N31" s="70">
        <v>3.6210580000000001</v>
      </c>
      <c r="O31" s="70">
        <v>3.5961280000000002</v>
      </c>
      <c r="P31" s="70">
        <v>3.6014539999999999</v>
      </c>
      <c r="Q31" s="70">
        <v>3.6070359999999999</v>
      </c>
      <c r="R31" s="70">
        <v>3.612136</v>
      </c>
      <c r="S31" s="70">
        <v>3.615227</v>
      </c>
      <c r="T31" s="70">
        <v>3.6245660000000002</v>
      </c>
      <c r="U31" s="70">
        <v>3.6231900000000001</v>
      </c>
      <c r="V31" s="70">
        <v>3.6251310000000001</v>
      </c>
      <c r="W31" s="70">
        <v>3.6261570000000001</v>
      </c>
      <c r="X31" s="70">
        <v>3.6262150000000002</v>
      </c>
      <c r="Y31" s="70">
        <v>3.626903</v>
      </c>
      <c r="Z31" s="70">
        <v>3.6273900000000001</v>
      </c>
      <c r="AA31" s="70">
        <v>3.6272820000000001</v>
      </c>
      <c r="AB31" s="70">
        <v>3.628072</v>
      </c>
      <c r="AC31" s="70">
        <v>3.6289579999999999</v>
      </c>
      <c r="AD31" s="70">
        <v>3.629664</v>
      </c>
      <c r="AE31" s="70">
        <v>3.630665</v>
      </c>
      <c r="AF31" s="67">
        <v>1.103E-3</v>
      </c>
      <c r="AG31" s="37"/>
    </row>
    <row r="32" spans="1:33" ht="12" customHeight="1" x14ac:dyDescent="0.2">
      <c r="A32" s="42" t="s">
        <v>727</v>
      </c>
      <c r="B32" s="65" t="s">
        <v>728</v>
      </c>
      <c r="C32" s="70">
        <v>0.48208800000000002</v>
      </c>
      <c r="D32" s="70">
        <v>0.47476699999999999</v>
      </c>
      <c r="E32" s="70">
        <v>0.47235300000000002</v>
      </c>
      <c r="F32" s="70">
        <v>0.47203899999999999</v>
      </c>
      <c r="G32" s="70">
        <v>0.47102699999999997</v>
      </c>
      <c r="H32" s="70">
        <v>0.46887200000000001</v>
      </c>
      <c r="I32" s="70">
        <v>0.46775699999999998</v>
      </c>
      <c r="J32" s="70">
        <v>0.46497899999999998</v>
      </c>
      <c r="K32" s="70">
        <v>0.46259699999999998</v>
      </c>
      <c r="L32" s="70">
        <v>0.45934199999999997</v>
      </c>
      <c r="M32" s="70">
        <v>0.45719100000000001</v>
      </c>
      <c r="N32" s="70">
        <v>0.45389400000000002</v>
      </c>
      <c r="O32" s="70">
        <v>0.45230599999999999</v>
      </c>
      <c r="P32" s="70">
        <v>0.450021</v>
      </c>
      <c r="Q32" s="70">
        <v>0.447519</v>
      </c>
      <c r="R32" s="70">
        <v>0.44519399999999998</v>
      </c>
      <c r="S32" s="70">
        <v>0.44183899999999998</v>
      </c>
      <c r="T32" s="70">
        <v>0.43955</v>
      </c>
      <c r="U32" s="70">
        <v>0.43778099999999998</v>
      </c>
      <c r="V32" s="70">
        <v>0.43600899999999998</v>
      </c>
      <c r="W32" s="70">
        <v>0.43419099999999999</v>
      </c>
      <c r="X32" s="70">
        <v>0.43235000000000001</v>
      </c>
      <c r="Y32" s="70">
        <v>0.43063200000000001</v>
      </c>
      <c r="Z32" s="70">
        <v>0.428811</v>
      </c>
      <c r="AA32" s="70">
        <v>0.427589</v>
      </c>
      <c r="AB32" s="70">
        <v>0.42643199999999998</v>
      </c>
      <c r="AC32" s="70">
        <v>0.42527599999999999</v>
      </c>
      <c r="AD32" s="70">
        <v>0.42455900000000002</v>
      </c>
      <c r="AE32" s="70">
        <v>0.42339100000000002</v>
      </c>
      <c r="AF32" s="67">
        <v>-4.6259999999999999E-3</v>
      </c>
      <c r="AG32" s="37"/>
    </row>
    <row r="33" spans="1:33" ht="12" customHeight="1" x14ac:dyDescent="0.2">
      <c r="A33" s="42" t="s">
        <v>729</v>
      </c>
      <c r="B33" s="64" t="s">
        <v>719</v>
      </c>
      <c r="C33" s="73">
        <v>137.294601</v>
      </c>
      <c r="D33" s="73">
        <v>134.51722699999999</v>
      </c>
      <c r="E33" s="73">
        <v>132.99148600000001</v>
      </c>
      <c r="F33" s="73">
        <v>132.61935399999999</v>
      </c>
      <c r="G33" s="73">
        <v>129.65997300000001</v>
      </c>
      <c r="H33" s="73">
        <v>129.656677</v>
      </c>
      <c r="I33" s="73">
        <v>129.65420499999999</v>
      </c>
      <c r="J33" s="73">
        <v>129.65498400000001</v>
      </c>
      <c r="K33" s="73">
        <v>128.22273300000001</v>
      </c>
      <c r="L33" s="73">
        <v>127.09326900000001</v>
      </c>
      <c r="M33" s="73">
        <v>126.74050099999999</v>
      </c>
      <c r="N33" s="73">
        <v>126.741257</v>
      </c>
      <c r="O33" s="73">
        <v>126.736549</v>
      </c>
      <c r="P33" s="73">
        <v>126.739746</v>
      </c>
      <c r="Q33" s="73">
        <v>126.756218</v>
      </c>
      <c r="R33" s="73">
        <v>126.772919</v>
      </c>
      <c r="S33" s="73">
        <v>126.744736</v>
      </c>
      <c r="T33" s="73">
        <v>126.75215900000001</v>
      </c>
      <c r="U33" s="73">
        <v>126.892921</v>
      </c>
      <c r="V33" s="73">
        <v>127.147583</v>
      </c>
      <c r="W33" s="73">
        <v>127.146996</v>
      </c>
      <c r="X33" s="73">
        <v>127.147682</v>
      </c>
      <c r="Y33" s="73">
        <v>127.158119</v>
      </c>
      <c r="Z33" s="73">
        <v>127.156265</v>
      </c>
      <c r="AA33" s="73">
        <v>127.079498</v>
      </c>
      <c r="AB33" s="73">
        <v>126.912796</v>
      </c>
      <c r="AC33" s="73">
        <v>126.863167</v>
      </c>
      <c r="AD33" s="73">
        <v>126.86251799999999</v>
      </c>
      <c r="AE33" s="73">
        <v>126.852806</v>
      </c>
      <c r="AF33" s="69">
        <v>-2.8210000000000002E-3</v>
      </c>
      <c r="AG33" s="37"/>
    </row>
    <row r="34" spans="1:33" ht="12" customHeight="1" x14ac:dyDescent="0.2">
      <c r="A34" s="42" t="s">
        <v>730</v>
      </c>
      <c r="B34" s="64" t="s">
        <v>731</v>
      </c>
      <c r="C34" s="73">
        <v>4088.6625979999999</v>
      </c>
      <c r="D34" s="73">
        <v>4026.9284670000002</v>
      </c>
      <c r="E34" s="73">
        <v>4066.703125</v>
      </c>
      <c r="F34" s="73">
        <v>4091.4814449999999</v>
      </c>
      <c r="G34" s="73">
        <v>4124.439453</v>
      </c>
      <c r="H34" s="73">
        <v>4152.7709960000002</v>
      </c>
      <c r="I34" s="73">
        <v>4187.7744140000004</v>
      </c>
      <c r="J34" s="73">
        <v>4221.4106449999999</v>
      </c>
      <c r="K34" s="73">
        <v>4246.5556640000004</v>
      </c>
      <c r="L34" s="73">
        <v>4275.5380859999996</v>
      </c>
      <c r="M34" s="73">
        <v>4310.0498049999997</v>
      </c>
      <c r="N34" s="73">
        <v>4335.3198240000002</v>
      </c>
      <c r="O34" s="73">
        <v>4365.5502930000002</v>
      </c>
      <c r="P34" s="73">
        <v>4399.4677730000003</v>
      </c>
      <c r="Q34" s="73">
        <v>4433.3559569999998</v>
      </c>
      <c r="R34" s="73">
        <v>4465.6791990000002</v>
      </c>
      <c r="S34" s="73">
        <v>4496.2441410000001</v>
      </c>
      <c r="T34" s="73">
        <v>4523.4565430000002</v>
      </c>
      <c r="U34" s="73">
        <v>4554.3554690000001</v>
      </c>
      <c r="V34" s="73">
        <v>4590.8471680000002</v>
      </c>
      <c r="W34" s="73">
        <v>4628.8408200000003</v>
      </c>
      <c r="X34" s="73">
        <v>4667.8085940000001</v>
      </c>
      <c r="Y34" s="73">
        <v>4706.6000979999999</v>
      </c>
      <c r="Z34" s="73">
        <v>4750.2958980000003</v>
      </c>
      <c r="AA34" s="73">
        <v>4792.2163090000004</v>
      </c>
      <c r="AB34" s="73">
        <v>4837.7456050000001</v>
      </c>
      <c r="AC34" s="73">
        <v>4880.828125</v>
      </c>
      <c r="AD34" s="73">
        <v>4925.732422</v>
      </c>
      <c r="AE34" s="73">
        <v>4977.4726559999999</v>
      </c>
      <c r="AF34" s="69">
        <v>7.0499999999999998E-3</v>
      </c>
      <c r="AG34" s="37"/>
    </row>
    <row r="35" spans="1:33" ht="12" customHeight="1" x14ac:dyDescent="0.2">
      <c r="A35" s="42" t="s">
        <v>732</v>
      </c>
      <c r="B35" s="65" t="s">
        <v>733</v>
      </c>
      <c r="C35" s="70">
        <v>17.237857999999999</v>
      </c>
      <c r="D35" s="70">
        <v>16.757368</v>
      </c>
      <c r="E35" s="70">
        <v>16.663492000000002</v>
      </c>
      <c r="F35" s="70">
        <v>16.595973999999998</v>
      </c>
      <c r="G35" s="70">
        <v>16.577276000000001</v>
      </c>
      <c r="H35" s="70">
        <v>16.577276000000001</v>
      </c>
      <c r="I35" s="70">
        <v>16.576129999999999</v>
      </c>
      <c r="J35" s="70">
        <v>16.576129999999999</v>
      </c>
      <c r="K35" s="70">
        <v>16.576129999999999</v>
      </c>
      <c r="L35" s="70">
        <v>16.554311999999999</v>
      </c>
      <c r="M35" s="70">
        <v>16.554311999999999</v>
      </c>
      <c r="N35" s="70">
        <v>16.553688000000001</v>
      </c>
      <c r="O35" s="70">
        <v>16.553688000000001</v>
      </c>
      <c r="P35" s="70">
        <v>16.553608000000001</v>
      </c>
      <c r="Q35" s="70">
        <v>16.553608000000001</v>
      </c>
      <c r="R35" s="70">
        <v>16.551003000000001</v>
      </c>
      <c r="S35" s="70">
        <v>16.551003000000001</v>
      </c>
      <c r="T35" s="70">
        <v>16.551003000000001</v>
      </c>
      <c r="U35" s="70">
        <v>16.551003000000001</v>
      </c>
      <c r="V35" s="70">
        <v>16.551003000000001</v>
      </c>
      <c r="W35" s="70">
        <v>16.551003000000001</v>
      </c>
      <c r="X35" s="70">
        <v>16.550709000000001</v>
      </c>
      <c r="Y35" s="70">
        <v>16.550709000000001</v>
      </c>
      <c r="Z35" s="70">
        <v>16.550709000000001</v>
      </c>
      <c r="AA35" s="70">
        <v>16.550709000000001</v>
      </c>
      <c r="AB35" s="70">
        <v>16.550709000000001</v>
      </c>
      <c r="AC35" s="70">
        <v>16.550709000000001</v>
      </c>
      <c r="AD35" s="70">
        <v>16.550709000000001</v>
      </c>
      <c r="AE35" s="70">
        <v>16.550709000000001</v>
      </c>
      <c r="AF35" s="67">
        <v>-1.4519999999999999E-3</v>
      </c>
      <c r="AG35" s="37"/>
    </row>
    <row r="36" spans="1:33" ht="12" customHeight="1" x14ac:dyDescent="0.2">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row>
    <row r="37" spans="1:33" ht="12" customHeight="1" x14ac:dyDescent="0.2">
      <c r="A37" s="42" t="s">
        <v>734</v>
      </c>
      <c r="B37" s="64" t="s">
        <v>735</v>
      </c>
      <c r="C37" s="73">
        <v>4071.4248050000001</v>
      </c>
      <c r="D37" s="73">
        <v>4010.171143</v>
      </c>
      <c r="E37" s="73">
        <v>4050.0395509999998</v>
      </c>
      <c r="F37" s="73">
        <v>4074.8854980000001</v>
      </c>
      <c r="G37" s="73">
        <v>4107.8623049999997</v>
      </c>
      <c r="H37" s="73">
        <v>4136.1938479999999</v>
      </c>
      <c r="I37" s="73">
        <v>4171.1982420000004</v>
      </c>
      <c r="J37" s="73">
        <v>4204.8344729999999</v>
      </c>
      <c r="K37" s="73">
        <v>4229.9794920000004</v>
      </c>
      <c r="L37" s="73">
        <v>4258.9838870000003</v>
      </c>
      <c r="M37" s="73">
        <v>4293.4956050000001</v>
      </c>
      <c r="N37" s="73">
        <v>4318.7661129999997</v>
      </c>
      <c r="O37" s="73">
        <v>4348.9965819999998</v>
      </c>
      <c r="P37" s="73">
        <v>4382.9140619999998</v>
      </c>
      <c r="Q37" s="73">
        <v>4416.8022460000002</v>
      </c>
      <c r="R37" s="73">
        <v>4449.1284180000002</v>
      </c>
      <c r="S37" s="73">
        <v>4479.6933589999999</v>
      </c>
      <c r="T37" s="73">
        <v>4506.9057620000003</v>
      </c>
      <c r="U37" s="73">
        <v>4537.8046880000002</v>
      </c>
      <c r="V37" s="73">
        <v>4574.2963870000003</v>
      </c>
      <c r="W37" s="73">
        <v>4612.2900390000004</v>
      </c>
      <c r="X37" s="73">
        <v>4651.2578119999998</v>
      </c>
      <c r="Y37" s="73">
        <v>4690.0493159999996</v>
      </c>
      <c r="Z37" s="73">
        <v>4733.7451170000004</v>
      </c>
      <c r="AA37" s="73">
        <v>4775.6655270000001</v>
      </c>
      <c r="AB37" s="73">
        <v>4821.1948240000002</v>
      </c>
      <c r="AC37" s="73">
        <v>4864.2773440000001</v>
      </c>
      <c r="AD37" s="73">
        <v>4909.1816410000001</v>
      </c>
      <c r="AE37" s="73">
        <v>4960.921875</v>
      </c>
      <c r="AF37" s="69">
        <v>7.0819999999999998E-3</v>
      </c>
      <c r="AG37" s="37"/>
    </row>
    <row r="38" spans="1:33" ht="12" customHeight="1" x14ac:dyDescent="0.2">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row>
    <row r="39" spans="1:33" ht="12" customHeight="1" x14ac:dyDescent="0.2">
      <c r="B39" s="64" t="s">
        <v>736</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row>
    <row r="40" spans="1:33" ht="12" customHeight="1" x14ac:dyDescent="0.2">
      <c r="A40" s="42" t="s">
        <v>737</v>
      </c>
      <c r="B40" s="65" t="s">
        <v>705</v>
      </c>
      <c r="C40" s="70">
        <v>6.4199299999999999</v>
      </c>
      <c r="D40" s="70">
        <v>6.3415350000000004</v>
      </c>
      <c r="E40" s="70">
        <v>6.2558259999999999</v>
      </c>
      <c r="F40" s="70">
        <v>6.1831019999999999</v>
      </c>
      <c r="G40" s="70">
        <v>6.1453990000000003</v>
      </c>
      <c r="H40" s="70">
        <v>6.1072110000000004</v>
      </c>
      <c r="I40" s="70">
        <v>6.0673329999999996</v>
      </c>
      <c r="J40" s="70">
        <v>6.0266739999999999</v>
      </c>
      <c r="K40" s="70">
        <v>5.9840739999999997</v>
      </c>
      <c r="L40" s="70">
        <v>5.9450159999999999</v>
      </c>
      <c r="M40" s="70">
        <v>5.90862</v>
      </c>
      <c r="N40" s="70">
        <v>5.8692849999999996</v>
      </c>
      <c r="O40" s="70">
        <v>5.8313790000000001</v>
      </c>
      <c r="P40" s="70">
        <v>5.7949539999999997</v>
      </c>
      <c r="Q40" s="70">
        <v>5.7562119999999997</v>
      </c>
      <c r="R40" s="70">
        <v>5.7192259999999999</v>
      </c>
      <c r="S40" s="70">
        <v>5.6811210000000001</v>
      </c>
      <c r="T40" s="70">
        <v>5.6422610000000004</v>
      </c>
      <c r="U40" s="70">
        <v>5.6061909999999999</v>
      </c>
      <c r="V40" s="70">
        <v>5.5704989999999999</v>
      </c>
      <c r="W40" s="70">
        <v>5.535927</v>
      </c>
      <c r="X40" s="70">
        <v>5.5001179999999996</v>
      </c>
      <c r="Y40" s="70">
        <v>5.4632569999999996</v>
      </c>
      <c r="Z40" s="70">
        <v>5.4260780000000004</v>
      </c>
      <c r="AA40" s="70">
        <v>5.3908550000000002</v>
      </c>
      <c r="AB40" s="70">
        <v>5.3577320000000004</v>
      </c>
      <c r="AC40" s="70">
        <v>5.3216219999999996</v>
      </c>
      <c r="AD40" s="70">
        <v>5.2868769999999996</v>
      </c>
      <c r="AE40" s="70">
        <v>5.2554069999999999</v>
      </c>
      <c r="AF40" s="67">
        <v>-7.123E-3</v>
      </c>
      <c r="AG40" s="37"/>
    </row>
    <row r="41" spans="1:33" ht="12" customHeight="1" x14ac:dyDescent="0.2">
      <c r="A41" s="42" t="s">
        <v>738</v>
      </c>
      <c r="B41" s="65" t="s">
        <v>707</v>
      </c>
      <c r="C41" s="70">
        <v>0.75842299999999996</v>
      </c>
      <c r="D41" s="70">
        <v>0.75539400000000001</v>
      </c>
      <c r="E41" s="70">
        <v>0.46853299999999998</v>
      </c>
      <c r="F41" s="70">
        <v>0.46553499999999998</v>
      </c>
      <c r="G41" s="70">
        <v>0.465584</v>
      </c>
      <c r="H41" s="70">
        <v>0.46553299999999997</v>
      </c>
      <c r="I41" s="70">
        <v>0.46529300000000001</v>
      </c>
      <c r="J41" s="70">
        <v>0.46496599999999999</v>
      </c>
      <c r="K41" s="70">
        <v>0.464391</v>
      </c>
      <c r="L41" s="70">
        <v>0.46412999999999999</v>
      </c>
      <c r="M41" s="70">
        <v>0.464169</v>
      </c>
      <c r="N41" s="70">
        <v>0.46385100000000001</v>
      </c>
      <c r="O41" s="70">
        <v>0.463673</v>
      </c>
      <c r="P41" s="70">
        <v>0.46365200000000001</v>
      </c>
      <c r="Q41" s="70">
        <v>0.46337600000000001</v>
      </c>
      <c r="R41" s="70">
        <v>0.46329199999999998</v>
      </c>
      <c r="S41" s="70">
        <v>0.46302500000000002</v>
      </c>
      <c r="T41" s="70">
        <v>0.46263100000000001</v>
      </c>
      <c r="U41" s="70">
        <v>0.46257599999999999</v>
      </c>
      <c r="V41" s="70">
        <v>0.46258899999999997</v>
      </c>
      <c r="W41" s="70">
        <v>0.46275899999999998</v>
      </c>
      <c r="X41" s="70">
        <v>0.46274799999999999</v>
      </c>
      <c r="Y41" s="70">
        <v>0.46256599999999998</v>
      </c>
      <c r="Z41" s="70">
        <v>0.462308</v>
      </c>
      <c r="AA41" s="70">
        <v>0.462343</v>
      </c>
      <c r="AB41" s="70">
        <v>0.46273500000000001</v>
      </c>
      <c r="AC41" s="70">
        <v>0.462621</v>
      </c>
      <c r="AD41" s="70">
        <v>0.46275300000000003</v>
      </c>
      <c r="AE41" s="70">
        <v>0.46354800000000002</v>
      </c>
      <c r="AF41" s="67">
        <v>-1.7430000000000001E-2</v>
      </c>
      <c r="AG41" s="37"/>
    </row>
    <row r="42" spans="1:33" ht="12" customHeight="1" x14ac:dyDescent="0.2">
      <c r="A42" s="42" t="s">
        <v>739</v>
      </c>
      <c r="B42" s="65" t="s">
        <v>724</v>
      </c>
      <c r="C42" s="70">
        <v>110.904663</v>
      </c>
      <c r="D42" s="70">
        <v>112.063866</v>
      </c>
      <c r="E42" s="70">
        <v>115.074921</v>
      </c>
      <c r="F42" s="70">
        <v>115.737877</v>
      </c>
      <c r="G42" s="70">
        <v>117.073486</v>
      </c>
      <c r="H42" s="70">
        <v>118.032089</v>
      </c>
      <c r="I42" s="70">
        <v>118.99503300000001</v>
      </c>
      <c r="J42" s="70">
        <v>119.97281599999999</v>
      </c>
      <c r="K42" s="70">
        <v>120.97473100000001</v>
      </c>
      <c r="L42" s="70">
        <v>122.04821800000001</v>
      </c>
      <c r="M42" s="70">
        <v>123.209785</v>
      </c>
      <c r="N42" s="70">
        <v>124.393883</v>
      </c>
      <c r="O42" s="70">
        <v>125.66469600000001</v>
      </c>
      <c r="P42" s="70">
        <v>127.00679</v>
      </c>
      <c r="Q42" s="70">
        <v>128.37536600000001</v>
      </c>
      <c r="R42" s="70">
        <v>129.82170099999999</v>
      </c>
      <c r="S42" s="70">
        <v>131.33123800000001</v>
      </c>
      <c r="T42" s="70">
        <v>132.914017</v>
      </c>
      <c r="U42" s="70">
        <v>134.58850100000001</v>
      </c>
      <c r="V42" s="70">
        <v>136.34385700000001</v>
      </c>
      <c r="W42" s="70">
        <v>138.18336500000001</v>
      </c>
      <c r="X42" s="70">
        <v>140.07849100000001</v>
      </c>
      <c r="Y42" s="70">
        <v>142.009872</v>
      </c>
      <c r="Z42" s="70">
        <v>143.96772799999999</v>
      </c>
      <c r="AA42" s="70">
        <v>144.80242899999999</v>
      </c>
      <c r="AB42" s="70">
        <v>146.65562399999999</v>
      </c>
      <c r="AC42" s="70">
        <v>148.86570699999999</v>
      </c>
      <c r="AD42" s="70">
        <v>150.869202</v>
      </c>
      <c r="AE42" s="70">
        <v>152.87919600000001</v>
      </c>
      <c r="AF42" s="67">
        <v>1.1528999999999999E-2</v>
      </c>
      <c r="AG42" s="37"/>
    </row>
    <row r="43" spans="1:33" ht="12" customHeight="1" x14ac:dyDescent="0.2">
      <c r="A43" s="42" t="s">
        <v>740</v>
      </c>
      <c r="B43" s="65" t="s">
        <v>741</v>
      </c>
      <c r="C43" s="70">
        <v>10.509938</v>
      </c>
      <c r="D43" s="70">
        <v>10.645227</v>
      </c>
      <c r="E43" s="70">
        <v>12.165609999999999</v>
      </c>
      <c r="F43" s="70">
        <v>12.281819</v>
      </c>
      <c r="G43" s="70">
        <v>12.281819</v>
      </c>
      <c r="H43" s="70">
        <v>12.281819</v>
      </c>
      <c r="I43" s="70">
        <v>12.281819</v>
      </c>
      <c r="J43" s="70">
        <v>12.281819</v>
      </c>
      <c r="K43" s="70">
        <v>12.281819</v>
      </c>
      <c r="L43" s="70">
        <v>12.281819</v>
      </c>
      <c r="M43" s="70">
        <v>12.281819</v>
      </c>
      <c r="N43" s="70">
        <v>12.281819</v>
      </c>
      <c r="O43" s="70">
        <v>12.281819</v>
      </c>
      <c r="P43" s="70">
        <v>12.281819</v>
      </c>
      <c r="Q43" s="70">
        <v>12.281819</v>
      </c>
      <c r="R43" s="70">
        <v>12.281819</v>
      </c>
      <c r="S43" s="70">
        <v>12.281819</v>
      </c>
      <c r="T43" s="70">
        <v>12.281819</v>
      </c>
      <c r="U43" s="70">
        <v>12.281819</v>
      </c>
      <c r="V43" s="70">
        <v>12.281819</v>
      </c>
      <c r="W43" s="70">
        <v>12.281819</v>
      </c>
      <c r="X43" s="70">
        <v>12.281819</v>
      </c>
      <c r="Y43" s="70">
        <v>12.281819</v>
      </c>
      <c r="Z43" s="70">
        <v>12.281819</v>
      </c>
      <c r="AA43" s="70">
        <v>12.029291000000001</v>
      </c>
      <c r="AB43" s="70">
        <v>12.004455999999999</v>
      </c>
      <c r="AC43" s="70">
        <v>12.066053</v>
      </c>
      <c r="AD43" s="70">
        <v>12.053805000000001</v>
      </c>
      <c r="AE43" s="70">
        <v>11.999513</v>
      </c>
      <c r="AF43" s="67">
        <v>4.7450000000000001E-3</v>
      </c>
      <c r="AG43" s="37"/>
    </row>
    <row r="44" spans="1:33" ht="12" customHeight="1" x14ac:dyDescent="0.2">
      <c r="A44" s="42" t="s">
        <v>742</v>
      </c>
      <c r="B44" s="65" t="s">
        <v>743</v>
      </c>
      <c r="C44" s="70">
        <v>101.924057</v>
      </c>
      <c r="D44" s="70">
        <v>111.49603999999999</v>
      </c>
      <c r="E44" s="70">
        <v>120.813164</v>
      </c>
      <c r="F44" s="70">
        <v>129.69979900000001</v>
      </c>
      <c r="G44" s="70">
        <v>136.93699599999999</v>
      </c>
      <c r="H44" s="70">
        <v>144.681747</v>
      </c>
      <c r="I44" s="70">
        <v>152.19091800000001</v>
      </c>
      <c r="J44" s="70">
        <v>161.057739</v>
      </c>
      <c r="K44" s="70">
        <v>169.08909600000001</v>
      </c>
      <c r="L44" s="70">
        <v>177.42253099999999</v>
      </c>
      <c r="M44" s="70">
        <v>185.85311899999999</v>
      </c>
      <c r="N44" s="70">
        <v>195.30084199999999</v>
      </c>
      <c r="O44" s="70">
        <v>205.071777</v>
      </c>
      <c r="P44" s="70">
        <v>212.727417</v>
      </c>
      <c r="Q44" s="70">
        <v>222.24558999999999</v>
      </c>
      <c r="R44" s="70">
        <v>230.54827900000001</v>
      </c>
      <c r="S44" s="70">
        <v>240.08265700000001</v>
      </c>
      <c r="T44" s="70">
        <v>249.91828899999999</v>
      </c>
      <c r="U44" s="70">
        <v>259.80996699999997</v>
      </c>
      <c r="V44" s="70">
        <v>269.79595899999998</v>
      </c>
      <c r="W44" s="70">
        <v>279.88192700000002</v>
      </c>
      <c r="X44" s="70">
        <v>290.217468</v>
      </c>
      <c r="Y44" s="70">
        <v>300.67962599999998</v>
      </c>
      <c r="Z44" s="70">
        <v>311.51861600000001</v>
      </c>
      <c r="AA44" s="70">
        <v>323.80166600000001</v>
      </c>
      <c r="AB44" s="70">
        <v>334.81521600000002</v>
      </c>
      <c r="AC44" s="70">
        <v>346.80365</v>
      </c>
      <c r="AD44" s="70">
        <v>358.34973100000002</v>
      </c>
      <c r="AE44" s="70">
        <v>370.104218</v>
      </c>
      <c r="AF44" s="67">
        <v>4.7133000000000001E-2</v>
      </c>
      <c r="AG44" s="37"/>
    </row>
    <row r="45" spans="1:33" ht="12" customHeight="1" x14ac:dyDescent="0.2">
      <c r="A45" s="42" t="s">
        <v>744</v>
      </c>
      <c r="B45" s="65" t="s">
        <v>745</v>
      </c>
      <c r="C45" s="70">
        <v>1.62704</v>
      </c>
      <c r="D45" s="70">
        <v>1.62704</v>
      </c>
      <c r="E45" s="70">
        <v>1.62704</v>
      </c>
      <c r="F45" s="70">
        <v>1.62704</v>
      </c>
      <c r="G45" s="70">
        <v>1.91612</v>
      </c>
      <c r="H45" s="70">
        <v>1.91612</v>
      </c>
      <c r="I45" s="70">
        <v>1.91612</v>
      </c>
      <c r="J45" s="70">
        <v>1.91612</v>
      </c>
      <c r="K45" s="70">
        <v>1.91612</v>
      </c>
      <c r="L45" s="70">
        <v>1.91612</v>
      </c>
      <c r="M45" s="70">
        <v>1.91612</v>
      </c>
      <c r="N45" s="70">
        <v>1.91612</v>
      </c>
      <c r="O45" s="70">
        <v>1.91612</v>
      </c>
      <c r="P45" s="70">
        <v>1.91612</v>
      </c>
      <c r="Q45" s="70">
        <v>1.91612</v>
      </c>
      <c r="R45" s="70">
        <v>1.91612</v>
      </c>
      <c r="S45" s="70">
        <v>1.91612</v>
      </c>
      <c r="T45" s="70">
        <v>1.91612</v>
      </c>
      <c r="U45" s="70">
        <v>1.91612</v>
      </c>
      <c r="V45" s="70">
        <v>1.91612</v>
      </c>
      <c r="W45" s="70">
        <v>1.91612</v>
      </c>
      <c r="X45" s="70">
        <v>1.91612</v>
      </c>
      <c r="Y45" s="70">
        <v>1.91612</v>
      </c>
      <c r="Z45" s="70">
        <v>1.91612</v>
      </c>
      <c r="AA45" s="70">
        <v>1.91612</v>
      </c>
      <c r="AB45" s="70">
        <v>1.91612</v>
      </c>
      <c r="AC45" s="70">
        <v>1.91612</v>
      </c>
      <c r="AD45" s="70">
        <v>1.91612</v>
      </c>
      <c r="AE45" s="70">
        <v>1.91612</v>
      </c>
      <c r="AF45" s="67">
        <v>5.8580000000000004E-3</v>
      </c>
      <c r="AG45" s="37"/>
    </row>
    <row r="46" spans="1:33" ht="12" customHeight="1" x14ac:dyDescent="0.2">
      <c r="A46" s="42" t="s">
        <v>746</v>
      </c>
      <c r="B46" s="64" t="s">
        <v>747</v>
      </c>
      <c r="C46" s="73">
        <v>232.144058</v>
      </c>
      <c r="D46" s="73">
        <v>242.92910800000001</v>
      </c>
      <c r="E46" s="73">
        <v>256.40508999999997</v>
      </c>
      <c r="F46" s="73">
        <v>265.99517800000001</v>
      </c>
      <c r="G46" s="73">
        <v>274.81942700000002</v>
      </c>
      <c r="H46" s="73">
        <v>283.48452800000001</v>
      </c>
      <c r="I46" s="73">
        <v>291.91653400000001</v>
      </c>
      <c r="J46" s="73">
        <v>301.720123</v>
      </c>
      <c r="K46" s="73">
        <v>310.71023600000001</v>
      </c>
      <c r="L46" s="73">
        <v>320.07781999999997</v>
      </c>
      <c r="M46" s="73">
        <v>329.63363600000002</v>
      </c>
      <c r="N46" s="73">
        <v>340.22579999999999</v>
      </c>
      <c r="O46" s="73">
        <v>351.22946200000001</v>
      </c>
      <c r="P46" s="73">
        <v>360.19073500000002</v>
      </c>
      <c r="Q46" s="73">
        <v>371.03848299999999</v>
      </c>
      <c r="R46" s="73">
        <v>380.750427</v>
      </c>
      <c r="S46" s="73">
        <v>391.75598100000002</v>
      </c>
      <c r="T46" s="73">
        <v>403.135132</v>
      </c>
      <c r="U46" s="73">
        <v>414.66516100000001</v>
      </c>
      <c r="V46" s="73">
        <v>426.37081899999998</v>
      </c>
      <c r="W46" s="73">
        <v>438.26190200000002</v>
      </c>
      <c r="X46" s="73">
        <v>450.45675699999998</v>
      </c>
      <c r="Y46" s="73">
        <v>462.81329299999999</v>
      </c>
      <c r="Z46" s="73">
        <v>475.57269300000002</v>
      </c>
      <c r="AA46" s="73">
        <v>488.40271000000001</v>
      </c>
      <c r="AB46" s="73">
        <v>501.21185300000002</v>
      </c>
      <c r="AC46" s="73">
        <v>515.43579099999999</v>
      </c>
      <c r="AD46" s="73">
        <v>528.93847700000003</v>
      </c>
      <c r="AE46" s="73">
        <v>542.61798099999999</v>
      </c>
      <c r="AF46" s="69">
        <v>3.0787999999999999E-2</v>
      </c>
      <c r="AG46" s="37"/>
    </row>
    <row r="47" spans="1:33" ht="12" customHeight="1" x14ac:dyDescent="0.2">
      <c r="A47" s="42" t="s">
        <v>748</v>
      </c>
      <c r="B47" s="65" t="s">
        <v>749</v>
      </c>
      <c r="C47" s="70">
        <v>181.11088599999999</v>
      </c>
      <c r="D47" s="70">
        <v>190.62063599999999</v>
      </c>
      <c r="E47" s="70">
        <v>210.67314099999999</v>
      </c>
      <c r="F47" s="70">
        <v>219.02018699999999</v>
      </c>
      <c r="G47" s="70">
        <v>226.43895000000001</v>
      </c>
      <c r="H47" s="70">
        <v>233.806702</v>
      </c>
      <c r="I47" s="70">
        <v>240.91570999999999</v>
      </c>
      <c r="J47" s="70">
        <v>249.31706199999999</v>
      </c>
      <c r="K47" s="70">
        <v>256.861786</v>
      </c>
      <c r="L47" s="70">
        <v>264.67620799999997</v>
      </c>
      <c r="M47" s="70">
        <v>272.551422</v>
      </c>
      <c r="N47" s="70">
        <v>281.454498</v>
      </c>
      <c r="O47" s="70">
        <v>290.69879200000003</v>
      </c>
      <c r="P47" s="70">
        <v>298.08367900000002</v>
      </c>
      <c r="Q47" s="70">
        <v>307.26489299999997</v>
      </c>
      <c r="R47" s="70">
        <v>315.26034499999997</v>
      </c>
      <c r="S47" s="70">
        <v>324.42819200000002</v>
      </c>
      <c r="T47" s="70">
        <v>333.85717799999998</v>
      </c>
      <c r="U47" s="70">
        <v>343.297729</v>
      </c>
      <c r="V47" s="70">
        <v>352.80676299999999</v>
      </c>
      <c r="W47" s="70">
        <v>362.39596599999999</v>
      </c>
      <c r="X47" s="70">
        <v>372.13952599999999</v>
      </c>
      <c r="Y47" s="70">
        <v>381.96148699999998</v>
      </c>
      <c r="Z47" s="70">
        <v>392.09750400000001</v>
      </c>
      <c r="AA47" s="70">
        <v>401.80764799999997</v>
      </c>
      <c r="AB47" s="70">
        <v>411.96237200000002</v>
      </c>
      <c r="AC47" s="70">
        <v>423.423248</v>
      </c>
      <c r="AD47" s="70">
        <v>434.12606799999998</v>
      </c>
      <c r="AE47" s="70">
        <v>444.91101099999997</v>
      </c>
      <c r="AF47" s="67">
        <v>3.2619000000000002E-2</v>
      </c>
      <c r="AG47" s="37"/>
    </row>
    <row r="48" spans="1:33" ht="12" customHeight="1" x14ac:dyDescent="0.2">
      <c r="A48" s="42" t="s">
        <v>750</v>
      </c>
      <c r="B48" s="64" t="s">
        <v>751</v>
      </c>
      <c r="C48" s="73">
        <v>51.033164999999997</v>
      </c>
      <c r="D48" s="73">
        <v>52.308464000000001</v>
      </c>
      <c r="E48" s="73">
        <v>45.731968000000002</v>
      </c>
      <c r="F48" s="73">
        <v>46.974986999999999</v>
      </c>
      <c r="G48" s="73">
        <v>48.380462999999999</v>
      </c>
      <c r="H48" s="73">
        <v>49.677826000000003</v>
      </c>
      <c r="I48" s="73">
        <v>51.000835000000002</v>
      </c>
      <c r="J48" s="73">
        <v>52.403038000000002</v>
      </c>
      <c r="K48" s="73">
        <v>53.848433999999997</v>
      </c>
      <c r="L48" s="73">
        <v>55.401608000000003</v>
      </c>
      <c r="M48" s="73">
        <v>57.082248999999997</v>
      </c>
      <c r="N48" s="73">
        <v>58.771317000000003</v>
      </c>
      <c r="O48" s="73">
        <v>60.530642999999998</v>
      </c>
      <c r="P48" s="73">
        <v>62.107093999999996</v>
      </c>
      <c r="Q48" s="73">
        <v>63.773631999999999</v>
      </c>
      <c r="R48" s="73">
        <v>65.490105</v>
      </c>
      <c r="S48" s="73">
        <v>67.327751000000006</v>
      </c>
      <c r="T48" s="73">
        <v>69.277962000000002</v>
      </c>
      <c r="U48" s="73">
        <v>71.367439000000005</v>
      </c>
      <c r="V48" s="73">
        <v>73.564071999999996</v>
      </c>
      <c r="W48" s="73">
        <v>75.865936000000005</v>
      </c>
      <c r="X48" s="73">
        <v>78.317215000000004</v>
      </c>
      <c r="Y48" s="73">
        <v>80.851723000000007</v>
      </c>
      <c r="Z48" s="73">
        <v>83.475066999999996</v>
      </c>
      <c r="AA48" s="73">
        <v>86.595009000000005</v>
      </c>
      <c r="AB48" s="73">
        <v>89.249435000000005</v>
      </c>
      <c r="AC48" s="73">
        <v>92.012512000000001</v>
      </c>
      <c r="AD48" s="73">
        <v>94.812340000000006</v>
      </c>
      <c r="AE48" s="73">
        <v>97.706871000000007</v>
      </c>
      <c r="AF48" s="69">
        <v>2.3466999999999998E-2</v>
      </c>
      <c r="AG48" s="37"/>
    </row>
    <row r="49" spans="1:33" ht="12" customHeight="1" x14ac:dyDescent="0.2">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row>
    <row r="50" spans="1:33" ht="15" customHeight="1" x14ac:dyDescent="0.2">
      <c r="B50" s="64" t="s">
        <v>752</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row>
    <row r="51" spans="1:33" ht="15" customHeight="1" x14ac:dyDescent="0.2">
      <c r="A51" s="42" t="s">
        <v>753</v>
      </c>
      <c r="B51" s="65" t="s">
        <v>705</v>
      </c>
      <c r="C51" s="70">
        <v>848.57257100000004</v>
      </c>
      <c r="D51" s="70">
        <v>799.80981399999996</v>
      </c>
      <c r="E51" s="70">
        <v>839.55120799999997</v>
      </c>
      <c r="F51" s="70">
        <v>769.52960199999995</v>
      </c>
      <c r="G51" s="70">
        <v>661.51995799999997</v>
      </c>
      <c r="H51" s="70">
        <v>563.42608600000005</v>
      </c>
      <c r="I51" s="70">
        <v>467.785461</v>
      </c>
      <c r="J51" s="70">
        <v>398.29116800000003</v>
      </c>
      <c r="K51" s="70">
        <v>359.05233800000002</v>
      </c>
      <c r="L51" s="70">
        <v>350.73956299999998</v>
      </c>
      <c r="M51" s="70">
        <v>346.98895299999998</v>
      </c>
      <c r="N51" s="70">
        <v>356.15911899999998</v>
      </c>
      <c r="O51" s="70">
        <v>353.93145800000002</v>
      </c>
      <c r="P51" s="70">
        <v>354.26357999999999</v>
      </c>
      <c r="Q51" s="70">
        <v>350.84027099999997</v>
      </c>
      <c r="R51" s="70">
        <v>342.54663099999999</v>
      </c>
      <c r="S51" s="70">
        <v>330.30957000000001</v>
      </c>
      <c r="T51" s="70">
        <v>322.55166600000001</v>
      </c>
      <c r="U51" s="70">
        <v>314.45339999999999</v>
      </c>
      <c r="V51" s="70">
        <v>316.12460299999998</v>
      </c>
      <c r="W51" s="70">
        <v>315.81085200000001</v>
      </c>
      <c r="X51" s="70">
        <v>312.248718</v>
      </c>
      <c r="Y51" s="70">
        <v>300.67199699999998</v>
      </c>
      <c r="Z51" s="70">
        <v>292.31552099999999</v>
      </c>
      <c r="AA51" s="70">
        <v>282.68090799999999</v>
      </c>
      <c r="AB51" s="70">
        <v>277.91754200000003</v>
      </c>
      <c r="AC51" s="70">
        <v>267.76672400000001</v>
      </c>
      <c r="AD51" s="70">
        <v>266.10537699999998</v>
      </c>
      <c r="AE51" s="70">
        <v>256.46099900000002</v>
      </c>
      <c r="AF51" s="67">
        <v>-4.1834999999999997E-2</v>
      </c>
      <c r="AG51" s="37"/>
    </row>
    <row r="52" spans="1:33" ht="15" customHeight="1" x14ac:dyDescent="0.2">
      <c r="A52" s="42" t="s">
        <v>754</v>
      </c>
      <c r="B52" s="65" t="s">
        <v>707</v>
      </c>
      <c r="C52" s="70">
        <v>11.318970999999999</v>
      </c>
      <c r="D52" s="70">
        <v>10.811957</v>
      </c>
      <c r="E52" s="70">
        <v>10.602041</v>
      </c>
      <c r="F52" s="70">
        <v>10.276357000000001</v>
      </c>
      <c r="G52" s="70">
        <v>9.5699050000000003</v>
      </c>
      <c r="H52" s="70">
        <v>8.8762249999999998</v>
      </c>
      <c r="I52" s="70">
        <v>8.1868309999999997</v>
      </c>
      <c r="J52" s="70">
        <v>7.7829940000000004</v>
      </c>
      <c r="K52" s="70">
        <v>7.49275</v>
      </c>
      <c r="L52" s="70">
        <v>7.2100169999999997</v>
      </c>
      <c r="M52" s="70">
        <v>7.1736909999999998</v>
      </c>
      <c r="N52" s="70">
        <v>7.1689489999999996</v>
      </c>
      <c r="O52" s="70">
        <v>7.1406099999999997</v>
      </c>
      <c r="P52" s="70">
        <v>7.1236920000000001</v>
      </c>
      <c r="Q52" s="70">
        <v>7.0357640000000004</v>
      </c>
      <c r="R52" s="70">
        <v>6.851839</v>
      </c>
      <c r="S52" s="70">
        <v>6.5810259999999996</v>
      </c>
      <c r="T52" s="70">
        <v>6.4698099999999998</v>
      </c>
      <c r="U52" s="70">
        <v>6.3754590000000002</v>
      </c>
      <c r="V52" s="70">
        <v>6.1027500000000003</v>
      </c>
      <c r="W52" s="70">
        <v>5.7841110000000002</v>
      </c>
      <c r="X52" s="70">
        <v>5.4595560000000001</v>
      </c>
      <c r="Y52" s="70">
        <v>5.1115279999999998</v>
      </c>
      <c r="Z52" s="70">
        <v>4.7483690000000003</v>
      </c>
      <c r="AA52" s="70">
        <v>4.7096530000000003</v>
      </c>
      <c r="AB52" s="70">
        <v>4.7163110000000001</v>
      </c>
      <c r="AC52" s="70">
        <v>4.6931079999999996</v>
      </c>
      <c r="AD52" s="70">
        <v>4.7077210000000003</v>
      </c>
      <c r="AE52" s="70">
        <v>4.6929040000000004</v>
      </c>
      <c r="AF52" s="67">
        <v>-3.0955E-2</v>
      </c>
      <c r="AG52" s="37"/>
    </row>
    <row r="53" spans="1:33" ht="15" customHeight="1" x14ac:dyDescent="0.2">
      <c r="A53" s="42" t="s">
        <v>755</v>
      </c>
      <c r="B53" s="65" t="s">
        <v>724</v>
      </c>
      <c r="C53" s="70">
        <v>1685.3833010000001</v>
      </c>
      <c r="D53" s="70">
        <v>1586.329712</v>
      </c>
      <c r="E53" s="70">
        <v>1494.498047</v>
      </c>
      <c r="F53" s="70">
        <v>1430.574341</v>
      </c>
      <c r="G53" s="70">
        <v>1375.3032229999999</v>
      </c>
      <c r="H53" s="70">
        <v>1291.0737300000001</v>
      </c>
      <c r="I53" s="70">
        <v>1248.7836910000001</v>
      </c>
      <c r="J53" s="70">
        <v>1213.9282229999999</v>
      </c>
      <c r="K53" s="70">
        <v>1168.775024</v>
      </c>
      <c r="L53" s="70">
        <v>1124.0424800000001</v>
      </c>
      <c r="M53" s="70">
        <v>1091.7619629999999</v>
      </c>
      <c r="N53" s="70">
        <v>1068.0170900000001</v>
      </c>
      <c r="O53" s="70">
        <v>1044.5501710000001</v>
      </c>
      <c r="P53" s="70">
        <v>1036.4454350000001</v>
      </c>
      <c r="Q53" s="70">
        <v>1039.3625489999999</v>
      </c>
      <c r="R53" s="70">
        <v>1051.8452150000001</v>
      </c>
      <c r="S53" s="70">
        <v>1076.27124</v>
      </c>
      <c r="T53" s="70">
        <v>1090.0593260000001</v>
      </c>
      <c r="U53" s="70">
        <v>1114.8000489999999</v>
      </c>
      <c r="V53" s="70">
        <v>1126.3946530000001</v>
      </c>
      <c r="W53" s="70">
        <v>1142.400269</v>
      </c>
      <c r="X53" s="70">
        <v>1153.7495120000001</v>
      </c>
      <c r="Y53" s="70">
        <v>1157.6260990000001</v>
      </c>
      <c r="Z53" s="70">
        <v>1168.775269</v>
      </c>
      <c r="AA53" s="70">
        <v>1168.0532229999999</v>
      </c>
      <c r="AB53" s="70">
        <v>1173.603394</v>
      </c>
      <c r="AC53" s="70">
        <v>1187.365112</v>
      </c>
      <c r="AD53" s="70">
        <v>1194.0896</v>
      </c>
      <c r="AE53" s="70">
        <v>1209.1621090000001</v>
      </c>
      <c r="AF53" s="67">
        <v>-1.1789000000000001E-2</v>
      </c>
      <c r="AG53" s="37"/>
    </row>
    <row r="54" spans="1:33" ht="15" customHeight="1" x14ac:dyDescent="0.2">
      <c r="A54" s="42" t="s">
        <v>756</v>
      </c>
      <c r="B54" s="65" t="s">
        <v>711</v>
      </c>
      <c r="C54" s="70">
        <v>771.984375</v>
      </c>
      <c r="D54" s="70">
        <v>783.71594200000004</v>
      </c>
      <c r="E54" s="70">
        <v>789.40368699999999</v>
      </c>
      <c r="F54" s="70">
        <v>782.25647000000004</v>
      </c>
      <c r="G54" s="70">
        <v>774.68408199999999</v>
      </c>
      <c r="H54" s="70">
        <v>774.67089799999997</v>
      </c>
      <c r="I54" s="70">
        <v>765.55304000000001</v>
      </c>
      <c r="J54" s="70">
        <v>765.54077099999995</v>
      </c>
      <c r="K54" s="70">
        <v>758.01715100000001</v>
      </c>
      <c r="L54" s="70">
        <v>758.02221699999996</v>
      </c>
      <c r="M54" s="70">
        <v>758.03063999999995</v>
      </c>
      <c r="N54" s="70">
        <v>715.33032200000002</v>
      </c>
      <c r="O54" s="70">
        <v>708.66870100000006</v>
      </c>
      <c r="P54" s="70">
        <v>700.12188700000002</v>
      </c>
      <c r="Q54" s="70">
        <v>684.02917500000001</v>
      </c>
      <c r="R54" s="70">
        <v>673.099243</v>
      </c>
      <c r="S54" s="70">
        <v>654.48669400000006</v>
      </c>
      <c r="T54" s="70">
        <v>644.63195800000005</v>
      </c>
      <c r="U54" s="70">
        <v>625.42901600000005</v>
      </c>
      <c r="V54" s="70">
        <v>625.59808299999997</v>
      </c>
      <c r="W54" s="70">
        <v>625.89691200000004</v>
      </c>
      <c r="X54" s="70">
        <v>626.152649</v>
      </c>
      <c r="Y54" s="70">
        <v>626.43640100000005</v>
      </c>
      <c r="Z54" s="70">
        <v>626.43884300000002</v>
      </c>
      <c r="AA54" s="70">
        <v>626.196777</v>
      </c>
      <c r="AB54" s="70">
        <v>626.00213599999995</v>
      </c>
      <c r="AC54" s="70">
        <v>625.14129600000001</v>
      </c>
      <c r="AD54" s="70">
        <v>625.25939900000003</v>
      </c>
      <c r="AE54" s="70">
        <v>624.86090100000001</v>
      </c>
      <c r="AF54" s="67">
        <v>-7.5230000000000002E-3</v>
      </c>
      <c r="AG54" s="37"/>
    </row>
    <row r="55" spans="1:33" ht="15" customHeight="1" x14ac:dyDescent="0.2">
      <c r="A55" s="42" t="s">
        <v>757</v>
      </c>
      <c r="B55" s="65" t="s">
        <v>758</v>
      </c>
      <c r="C55" s="70">
        <v>990.37359600000002</v>
      </c>
      <c r="D55" s="70">
        <v>1076.52478</v>
      </c>
      <c r="E55" s="70">
        <v>1175.911255</v>
      </c>
      <c r="F55" s="70">
        <v>1352.3679199999999</v>
      </c>
      <c r="G55" s="70">
        <v>1565.9985349999999</v>
      </c>
      <c r="H55" s="70">
        <v>1786.455933</v>
      </c>
      <c r="I55" s="70">
        <v>1979.0013429999999</v>
      </c>
      <c r="J55" s="70">
        <v>2127.9064939999998</v>
      </c>
      <c r="K55" s="70">
        <v>2254.9389649999998</v>
      </c>
      <c r="L55" s="70">
        <v>2347.4489749999998</v>
      </c>
      <c r="M55" s="70">
        <v>2428.781982</v>
      </c>
      <c r="N55" s="70">
        <v>2523.3867190000001</v>
      </c>
      <c r="O55" s="70">
        <v>2598.4313959999999</v>
      </c>
      <c r="P55" s="70">
        <v>2658.9648440000001</v>
      </c>
      <c r="Q55" s="70">
        <v>2721.883057</v>
      </c>
      <c r="R55" s="70">
        <v>2772.9716800000001</v>
      </c>
      <c r="S55" s="70">
        <v>2823.594482</v>
      </c>
      <c r="T55" s="70">
        <v>2868.7126459999999</v>
      </c>
      <c r="U55" s="70">
        <v>2916.3063959999999</v>
      </c>
      <c r="V55" s="70">
        <v>2953.4326169999999</v>
      </c>
      <c r="W55" s="70">
        <v>2989.2863769999999</v>
      </c>
      <c r="X55" s="70">
        <v>3034.3081050000001</v>
      </c>
      <c r="Y55" s="70">
        <v>3095.5190429999998</v>
      </c>
      <c r="Z55" s="70">
        <v>3151.5134280000002</v>
      </c>
      <c r="AA55" s="70">
        <v>3218.4013669999999</v>
      </c>
      <c r="AB55" s="70">
        <v>3277.5180660000001</v>
      </c>
      <c r="AC55" s="70">
        <v>3333.4782709999999</v>
      </c>
      <c r="AD55" s="70">
        <v>3388.3183589999999</v>
      </c>
      <c r="AE55" s="70">
        <v>3450.4973140000002</v>
      </c>
      <c r="AF55" s="67">
        <v>4.5587000000000003E-2</v>
      </c>
      <c r="AG55" s="37"/>
    </row>
    <row r="56" spans="1:33" ht="15" customHeight="1" x14ac:dyDescent="0.2">
      <c r="A56" s="42" t="s">
        <v>759</v>
      </c>
      <c r="B56" s="65" t="s">
        <v>760</v>
      </c>
      <c r="C56" s="70">
        <v>13.173830000000001</v>
      </c>
      <c r="D56" s="70">
        <v>12.665395999999999</v>
      </c>
      <c r="E56" s="70">
        <v>13.1416</v>
      </c>
      <c r="F56" s="70">
        <v>12.471628000000001</v>
      </c>
      <c r="G56" s="70">
        <v>12.183074</v>
      </c>
      <c r="H56" s="70">
        <v>11.752855</v>
      </c>
      <c r="I56" s="70">
        <v>10.380667000000001</v>
      </c>
      <c r="J56" s="70">
        <v>9.6811369999999997</v>
      </c>
      <c r="K56" s="70">
        <v>8.9898349999999994</v>
      </c>
      <c r="L56" s="70">
        <v>8.1529600000000002</v>
      </c>
      <c r="M56" s="70">
        <v>6.9459070000000001</v>
      </c>
      <c r="N56" s="70">
        <v>5.4832450000000001</v>
      </c>
      <c r="O56" s="70">
        <v>4.0574870000000001</v>
      </c>
      <c r="P56" s="70">
        <v>2.7394959999999999</v>
      </c>
      <c r="Q56" s="70">
        <v>1.24335</v>
      </c>
      <c r="R56" s="70">
        <v>-0.88494600000000001</v>
      </c>
      <c r="S56" s="70">
        <v>-3.2426499999999998</v>
      </c>
      <c r="T56" s="70">
        <v>-5.8337909999999997</v>
      </c>
      <c r="U56" s="70">
        <v>-8.3436570000000003</v>
      </c>
      <c r="V56" s="70">
        <v>-10.434194</v>
      </c>
      <c r="W56" s="70">
        <v>-12.075773999999999</v>
      </c>
      <c r="X56" s="70">
        <v>-13.652925</v>
      </c>
      <c r="Y56" s="70">
        <v>-15.951567000000001</v>
      </c>
      <c r="Z56" s="70">
        <v>-17.923089999999998</v>
      </c>
      <c r="AA56" s="70">
        <v>-19.423045999999999</v>
      </c>
      <c r="AB56" s="70">
        <v>-20.799486000000002</v>
      </c>
      <c r="AC56" s="70">
        <v>-22.180427999999999</v>
      </c>
      <c r="AD56" s="70">
        <v>-23.809244</v>
      </c>
      <c r="AE56" s="70">
        <v>-25.583932999999998</v>
      </c>
      <c r="AF56" s="67" t="s">
        <v>488</v>
      </c>
      <c r="AG56" s="37"/>
    </row>
    <row r="57" spans="1:33" ht="15" customHeight="1" x14ac:dyDescent="0.2">
      <c r="A57" s="42" t="s">
        <v>761</v>
      </c>
      <c r="B57" s="64" t="s">
        <v>762</v>
      </c>
      <c r="C57" s="73">
        <v>4320.8066410000001</v>
      </c>
      <c r="D57" s="73">
        <v>4269.857422</v>
      </c>
      <c r="E57" s="73">
        <v>4323.1083980000003</v>
      </c>
      <c r="F57" s="73">
        <v>4357.4765619999998</v>
      </c>
      <c r="G57" s="73">
        <v>4399.2587890000004</v>
      </c>
      <c r="H57" s="73">
        <v>4436.2553710000002</v>
      </c>
      <c r="I57" s="73">
        <v>4479.6909180000002</v>
      </c>
      <c r="J57" s="73">
        <v>4523.1308589999999</v>
      </c>
      <c r="K57" s="73">
        <v>4557.2661129999997</v>
      </c>
      <c r="L57" s="73">
        <v>4595.6157229999999</v>
      </c>
      <c r="M57" s="73">
        <v>4639.6835940000001</v>
      </c>
      <c r="N57" s="73">
        <v>4675.5454099999997</v>
      </c>
      <c r="O57" s="73">
        <v>4716.7797849999997</v>
      </c>
      <c r="P57" s="73">
        <v>4759.6586909999996</v>
      </c>
      <c r="Q57" s="73">
        <v>4804.3945309999999</v>
      </c>
      <c r="R57" s="73">
        <v>4846.4296880000002</v>
      </c>
      <c r="S57" s="73">
        <v>4888</v>
      </c>
      <c r="T57" s="73">
        <v>4926.591797</v>
      </c>
      <c r="U57" s="73">
        <v>4969.0205079999996</v>
      </c>
      <c r="V57" s="73">
        <v>5017.2177730000003</v>
      </c>
      <c r="W57" s="73">
        <v>5067.1025390000004</v>
      </c>
      <c r="X57" s="73">
        <v>5118.2651370000003</v>
      </c>
      <c r="Y57" s="73">
        <v>5169.4135740000002</v>
      </c>
      <c r="Z57" s="73">
        <v>5225.8686520000001</v>
      </c>
      <c r="AA57" s="73">
        <v>5280.6191410000001</v>
      </c>
      <c r="AB57" s="73">
        <v>5338.9575199999999</v>
      </c>
      <c r="AC57" s="73">
        <v>5396.263672</v>
      </c>
      <c r="AD57" s="73">
        <v>5454.6708980000003</v>
      </c>
      <c r="AE57" s="73">
        <v>5520.0908200000003</v>
      </c>
      <c r="AF57" s="69">
        <v>8.7869999999999997E-3</v>
      </c>
      <c r="AG57" s="37"/>
    </row>
    <row r="58" spans="1:33" ht="15" customHeight="1" x14ac:dyDescent="0.2">
      <c r="A58" s="42" t="s">
        <v>763</v>
      </c>
      <c r="B58" s="64" t="s">
        <v>764</v>
      </c>
      <c r="C58" s="73">
        <v>4122.4580079999996</v>
      </c>
      <c r="D58" s="73">
        <v>4062.4794919999999</v>
      </c>
      <c r="E58" s="73">
        <v>4095.7714839999999</v>
      </c>
      <c r="F58" s="73">
        <v>4121.8603519999997</v>
      </c>
      <c r="G58" s="73">
        <v>4156.2426759999998</v>
      </c>
      <c r="H58" s="73">
        <v>4185.8715819999998</v>
      </c>
      <c r="I58" s="73">
        <v>4222.1992190000001</v>
      </c>
      <c r="J58" s="73">
        <v>4257.2373049999997</v>
      </c>
      <c r="K58" s="73">
        <v>4283.828125</v>
      </c>
      <c r="L58" s="73">
        <v>4314.3852539999998</v>
      </c>
      <c r="M58" s="73">
        <v>4350.5776370000003</v>
      </c>
      <c r="N58" s="73">
        <v>4377.5375979999999</v>
      </c>
      <c r="O58" s="73">
        <v>4409.5273440000001</v>
      </c>
      <c r="P58" s="73">
        <v>4445.0209960000002</v>
      </c>
      <c r="Q58" s="73">
        <v>4480.5756840000004</v>
      </c>
      <c r="R58" s="73">
        <v>4514.6186520000001</v>
      </c>
      <c r="S58" s="73">
        <v>4547.0209960000002</v>
      </c>
      <c r="T58" s="73">
        <v>4576.1835940000001</v>
      </c>
      <c r="U58" s="73">
        <v>4609.1723629999997</v>
      </c>
      <c r="V58" s="73">
        <v>4647.8603519999997</v>
      </c>
      <c r="W58" s="73">
        <v>4688.1557620000003</v>
      </c>
      <c r="X58" s="73">
        <v>4729.5751950000003</v>
      </c>
      <c r="Y58" s="73">
        <v>4770.9008789999998</v>
      </c>
      <c r="Z58" s="73">
        <v>4817.2202150000003</v>
      </c>
      <c r="AA58" s="73">
        <v>4862.2607420000004</v>
      </c>
      <c r="AB58" s="73">
        <v>4910.4443359999996</v>
      </c>
      <c r="AC58" s="73">
        <v>4956.2900390000004</v>
      </c>
      <c r="AD58" s="73">
        <v>5003.9941410000001</v>
      </c>
      <c r="AE58" s="73">
        <v>5058.6289059999999</v>
      </c>
      <c r="AF58" s="69">
        <v>7.3359999999999996E-3</v>
      </c>
      <c r="AG58" s="37"/>
    </row>
    <row r="59" spans="1:33" ht="15" customHeight="1" x14ac:dyDescent="0.2">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row>
    <row r="60" spans="1:33" ht="15" customHeight="1" x14ac:dyDescent="0.2">
      <c r="A60" s="42" t="s">
        <v>765</v>
      </c>
      <c r="B60" s="64" t="s">
        <v>766</v>
      </c>
      <c r="C60" s="73">
        <v>42.686298000000001</v>
      </c>
      <c r="D60" s="73">
        <v>51.119979999999998</v>
      </c>
      <c r="E60" s="73">
        <v>43.615738</v>
      </c>
      <c r="F60" s="73">
        <v>38.624619000000003</v>
      </c>
      <c r="G60" s="73">
        <v>39.763869999999997</v>
      </c>
      <c r="H60" s="73">
        <v>43.742573</v>
      </c>
      <c r="I60" s="73">
        <v>46.178566000000004</v>
      </c>
      <c r="J60" s="73">
        <v>43.965916</v>
      </c>
      <c r="K60" s="73">
        <v>46.238979</v>
      </c>
      <c r="L60" s="73">
        <v>43.695438000000003</v>
      </c>
      <c r="M60" s="73">
        <v>44.762752999999996</v>
      </c>
      <c r="N60" s="73">
        <v>45.263348000000001</v>
      </c>
      <c r="O60" s="73">
        <v>45.660316000000002</v>
      </c>
      <c r="P60" s="73">
        <v>44.496665999999998</v>
      </c>
      <c r="Q60" s="73">
        <v>44.117919999999998</v>
      </c>
      <c r="R60" s="73">
        <v>44.085835000000003</v>
      </c>
      <c r="S60" s="73">
        <v>44.846587999999997</v>
      </c>
      <c r="T60" s="73">
        <v>45.481293000000001</v>
      </c>
      <c r="U60" s="73">
        <v>45.996226999999998</v>
      </c>
      <c r="V60" s="73">
        <v>44.588566</v>
      </c>
      <c r="W60" s="73">
        <v>44.562922999999998</v>
      </c>
      <c r="X60" s="73">
        <v>43.881526999999998</v>
      </c>
      <c r="Y60" s="73">
        <v>43.068035000000002</v>
      </c>
      <c r="Z60" s="73">
        <v>42.262462999999997</v>
      </c>
      <c r="AA60" s="73">
        <v>41.340632999999997</v>
      </c>
      <c r="AB60" s="73">
        <v>41.192641999999999</v>
      </c>
      <c r="AC60" s="73">
        <v>41.599384000000001</v>
      </c>
      <c r="AD60" s="73">
        <v>41.154651999999999</v>
      </c>
      <c r="AE60" s="73">
        <v>40.559696000000002</v>
      </c>
      <c r="AF60" s="69">
        <v>-1.823E-3</v>
      </c>
      <c r="AG60" s="37"/>
    </row>
    <row r="61" spans="1:33" ht="15" customHeight="1" x14ac:dyDescent="0.2">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row>
    <row r="62" spans="1:33" ht="15" customHeight="1" x14ac:dyDescent="0.2">
      <c r="B62" s="64" t="s">
        <v>767</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row>
    <row r="63" spans="1:33" ht="15" customHeight="1" x14ac:dyDescent="0.2">
      <c r="A63" s="42" t="s">
        <v>768</v>
      </c>
      <c r="B63" s="65" t="s">
        <v>769</v>
      </c>
      <c r="C63" s="70">
        <v>1508.6479489999999</v>
      </c>
      <c r="D63" s="70">
        <v>1479.0584719999999</v>
      </c>
      <c r="E63" s="70">
        <v>1498.761841</v>
      </c>
      <c r="F63" s="70">
        <v>1511.532837</v>
      </c>
      <c r="G63" s="70">
        <v>1523.877686</v>
      </c>
      <c r="H63" s="70">
        <v>1537.3596190000001</v>
      </c>
      <c r="I63" s="70">
        <v>1548.5345460000001</v>
      </c>
      <c r="J63" s="70">
        <v>1557.1938479999999</v>
      </c>
      <c r="K63" s="70">
        <v>1563.3201899999999</v>
      </c>
      <c r="L63" s="70">
        <v>1568.4975589999999</v>
      </c>
      <c r="M63" s="70">
        <v>1574.0804439999999</v>
      </c>
      <c r="N63" s="70">
        <v>1580.035034</v>
      </c>
      <c r="O63" s="70">
        <v>1585.5839840000001</v>
      </c>
      <c r="P63" s="70">
        <v>1595.0478519999999</v>
      </c>
      <c r="Q63" s="70">
        <v>1606.128784</v>
      </c>
      <c r="R63" s="70">
        <v>1618.1392820000001</v>
      </c>
      <c r="S63" s="70">
        <v>1629.1613769999999</v>
      </c>
      <c r="T63" s="70">
        <v>1640.3579099999999</v>
      </c>
      <c r="U63" s="70">
        <v>1651.3817140000001</v>
      </c>
      <c r="V63" s="70">
        <v>1662.9941409999999</v>
      </c>
      <c r="W63" s="70">
        <v>1675.880737</v>
      </c>
      <c r="X63" s="70">
        <v>1689.648193</v>
      </c>
      <c r="Y63" s="70">
        <v>1704.3085940000001</v>
      </c>
      <c r="Z63" s="70">
        <v>1719.7033690000001</v>
      </c>
      <c r="AA63" s="70">
        <v>1736.4311520000001</v>
      </c>
      <c r="AB63" s="70">
        <v>1754.3100589999999</v>
      </c>
      <c r="AC63" s="70">
        <v>1772.478149</v>
      </c>
      <c r="AD63" s="70">
        <v>1791.2467039999999</v>
      </c>
      <c r="AE63" s="70">
        <v>1811.7939449999999</v>
      </c>
      <c r="AF63" s="67">
        <v>6.561E-3</v>
      </c>
      <c r="AG63" s="37"/>
    </row>
    <row r="64" spans="1:33" ht="15" customHeight="1" x14ac:dyDescent="0.2">
      <c r="A64" s="42" t="s">
        <v>770</v>
      </c>
      <c r="B64" s="65" t="s">
        <v>771</v>
      </c>
      <c r="C64" s="70">
        <v>1346.5756839999999</v>
      </c>
      <c r="D64" s="70">
        <v>1324.414673</v>
      </c>
      <c r="E64" s="70">
        <v>1332.190552</v>
      </c>
      <c r="F64" s="70">
        <v>1329.360107</v>
      </c>
      <c r="G64" s="70">
        <v>1330.9746090000001</v>
      </c>
      <c r="H64" s="70">
        <v>1330.901611</v>
      </c>
      <c r="I64" s="70">
        <v>1338.4526370000001</v>
      </c>
      <c r="J64" s="70">
        <v>1345.4063719999999</v>
      </c>
      <c r="K64" s="70">
        <v>1351.6407469999999</v>
      </c>
      <c r="L64" s="70">
        <v>1358.888428</v>
      </c>
      <c r="M64" s="70">
        <v>1366.605591</v>
      </c>
      <c r="N64" s="70">
        <v>1371.6313479999999</v>
      </c>
      <c r="O64" s="70">
        <v>1375.619629</v>
      </c>
      <c r="P64" s="70">
        <v>1381.3101810000001</v>
      </c>
      <c r="Q64" s="70">
        <v>1385.496948</v>
      </c>
      <c r="R64" s="70">
        <v>1390.2330320000001</v>
      </c>
      <c r="S64" s="70">
        <v>1393.473999</v>
      </c>
      <c r="T64" s="70">
        <v>1396.2742920000001</v>
      </c>
      <c r="U64" s="70">
        <v>1400.4307859999999</v>
      </c>
      <c r="V64" s="70">
        <v>1405.8426509999999</v>
      </c>
      <c r="W64" s="70">
        <v>1412.1163329999999</v>
      </c>
      <c r="X64" s="70">
        <v>1419.3504640000001</v>
      </c>
      <c r="Y64" s="70">
        <v>1427.110962</v>
      </c>
      <c r="Z64" s="70">
        <v>1435.6904300000001</v>
      </c>
      <c r="AA64" s="70">
        <v>1444.2977289999999</v>
      </c>
      <c r="AB64" s="70">
        <v>1455.439453</v>
      </c>
      <c r="AC64" s="70">
        <v>1466.544312</v>
      </c>
      <c r="AD64" s="70">
        <v>1478.826904</v>
      </c>
      <c r="AE64" s="70">
        <v>1492.142822</v>
      </c>
      <c r="AF64" s="67">
        <v>3.673E-3</v>
      </c>
      <c r="AG64" s="37"/>
    </row>
    <row r="65" spans="1:33" ht="15" customHeight="1" x14ac:dyDescent="0.2">
      <c r="A65" s="42" t="s">
        <v>772</v>
      </c>
      <c r="B65" s="65" t="s">
        <v>773</v>
      </c>
      <c r="C65" s="70">
        <v>1013.826233</v>
      </c>
      <c r="D65" s="70">
        <v>1017.035034</v>
      </c>
      <c r="E65" s="70">
        <v>1010.613342</v>
      </c>
      <c r="F65" s="70">
        <v>1017.345337</v>
      </c>
      <c r="G65" s="70">
        <v>1029.3660890000001</v>
      </c>
      <c r="H65" s="70">
        <v>1038.971802</v>
      </c>
      <c r="I65" s="70">
        <v>1046.74353</v>
      </c>
      <c r="J65" s="70">
        <v>1051.9785159999999</v>
      </c>
      <c r="K65" s="70">
        <v>1054.5239260000001</v>
      </c>
      <c r="L65" s="70">
        <v>1056.740845</v>
      </c>
      <c r="M65" s="70">
        <v>1062.9748540000001</v>
      </c>
      <c r="N65" s="70">
        <v>1066.2261960000001</v>
      </c>
      <c r="O65" s="70">
        <v>1072.4453120000001</v>
      </c>
      <c r="P65" s="70">
        <v>1079.723755</v>
      </c>
      <c r="Q65" s="70">
        <v>1084.6324460000001</v>
      </c>
      <c r="R65" s="70">
        <v>1090.831543</v>
      </c>
      <c r="S65" s="70">
        <v>1097.142212</v>
      </c>
      <c r="T65" s="70">
        <v>1102.1000979999999</v>
      </c>
      <c r="U65" s="70">
        <v>1108.7885739999999</v>
      </c>
      <c r="V65" s="70">
        <v>1116.909058</v>
      </c>
      <c r="W65" s="70">
        <v>1124.6568600000001</v>
      </c>
      <c r="X65" s="70">
        <v>1131.1889650000001</v>
      </c>
      <c r="Y65" s="70">
        <v>1136.258789</v>
      </c>
      <c r="Z65" s="70">
        <v>1141.7172849999999</v>
      </c>
      <c r="AA65" s="70">
        <v>1152.8532709999999</v>
      </c>
      <c r="AB65" s="70">
        <v>1160.8237300000001</v>
      </c>
      <c r="AC65" s="70">
        <v>1166.3402100000001</v>
      </c>
      <c r="AD65" s="70">
        <v>1172.239624</v>
      </c>
      <c r="AE65" s="70">
        <v>1183.400269</v>
      </c>
      <c r="AF65" s="67">
        <v>5.5389999999999997E-3</v>
      </c>
      <c r="AG65" s="37"/>
    </row>
    <row r="66" spans="1:33" ht="12" customHeight="1" x14ac:dyDescent="0.2">
      <c r="A66" s="42" t="s">
        <v>774</v>
      </c>
      <c r="B66" s="65" t="s">
        <v>775</v>
      </c>
      <c r="C66" s="70">
        <v>17.104813</v>
      </c>
      <c r="D66" s="70">
        <v>20.818840000000002</v>
      </c>
      <c r="E66" s="70">
        <v>25.291713999999999</v>
      </c>
      <c r="F66" s="70">
        <v>30.471529</v>
      </c>
      <c r="G66" s="70">
        <v>36.671711000000002</v>
      </c>
      <c r="H66" s="70">
        <v>44.034016000000001</v>
      </c>
      <c r="I66" s="70">
        <v>52.443638</v>
      </c>
      <c r="J66" s="70">
        <v>62.011752999999999</v>
      </c>
      <c r="K66" s="70">
        <v>72.547957999999994</v>
      </c>
      <c r="L66" s="70">
        <v>82.243622000000002</v>
      </c>
      <c r="M66" s="70">
        <v>92.229598999999993</v>
      </c>
      <c r="N66" s="70">
        <v>102.246773</v>
      </c>
      <c r="O66" s="70">
        <v>112.604744</v>
      </c>
      <c r="P66" s="70">
        <v>122.83654799999999</v>
      </c>
      <c r="Q66" s="70">
        <v>132.71783400000001</v>
      </c>
      <c r="R66" s="70">
        <v>142.34561199999999</v>
      </c>
      <c r="S66" s="70">
        <v>151.66184999999999</v>
      </c>
      <c r="T66" s="70">
        <v>160.5009</v>
      </c>
      <c r="U66" s="70">
        <v>168.79473899999999</v>
      </c>
      <c r="V66" s="70">
        <v>176.638443</v>
      </c>
      <c r="W66" s="70">
        <v>183.959</v>
      </c>
      <c r="X66" s="70">
        <v>190.64669799999999</v>
      </c>
      <c r="Y66" s="70">
        <v>196.906891</v>
      </c>
      <c r="Z66" s="70">
        <v>202.55365</v>
      </c>
      <c r="AA66" s="70">
        <v>208.316788</v>
      </c>
      <c r="AB66" s="70">
        <v>213.76280199999999</v>
      </c>
      <c r="AC66" s="70">
        <v>219.04420500000001</v>
      </c>
      <c r="AD66" s="70">
        <v>224.230515</v>
      </c>
      <c r="AE66" s="70">
        <v>229.211716</v>
      </c>
      <c r="AF66" s="67">
        <v>9.7119999999999998E-2</v>
      </c>
      <c r="AG66" s="37"/>
    </row>
    <row r="67" spans="1:33" ht="15" customHeight="1" x14ac:dyDescent="0.2">
      <c r="A67" s="42" t="s">
        <v>776</v>
      </c>
      <c r="B67" s="64" t="s">
        <v>777</v>
      </c>
      <c r="C67" s="73">
        <v>3886.1547850000002</v>
      </c>
      <c r="D67" s="73">
        <v>3841.326904</v>
      </c>
      <c r="E67" s="73">
        <v>3866.8576659999999</v>
      </c>
      <c r="F67" s="73">
        <v>3888.7097170000002</v>
      </c>
      <c r="G67" s="73">
        <v>3920.8901369999999</v>
      </c>
      <c r="H67" s="73">
        <v>3951.2670899999998</v>
      </c>
      <c r="I67" s="73">
        <v>3986.1743160000001</v>
      </c>
      <c r="J67" s="73">
        <v>4016.5903320000002</v>
      </c>
      <c r="K67" s="73">
        <v>4042.032471</v>
      </c>
      <c r="L67" s="73">
        <v>4066.3703609999998</v>
      </c>
      <c r="M67" s="73">
        <v>4095.8903810000002</v>
      </c>
      <c r="N67" s="73">
        <v>4120.1391599999997</v>
      </c>
      <c r="O67" s="73">
        <v>4146.2539059999999</v>
      </c>
      <c r="P67" s="73">
        <v>4178.9184569999998</v>
      </c>
      <c r="Q67" s="73">
        <v>4208.9760740000002</v>
      </c>
      <c r="R67" s="73">
        <v>4241.5493159999996</v>
      </c>
      <c r="S67" s="73">
        <v>4271.4399409999996</v>
      </c>
      <c r="T67" s="73">
        <v>4299.2333980000003</v>
      </c>
      <c r="U67" s="73">
        <v>4329.3959960000002</v>
      </c>
      <c r="V67" s="73">
        <v>4362.3837890000004</v>
      </c>
      <c r="W67" s="73">
        <v>4396.6127930000002</v>
      </c>
      <c r="X67" s="73">
        <v>4430.8344729999999</v>
      </c>
      <c r="Y67" s="73">
        <v>4464.5854490000002</v>
      </c>
      <c r="Z67" s="73">
        <v>4499.6645509999998</v>
      </c>
      <c r="AA67" s="73">
        <v>4541.8984380000002</v>
      </c>
      <c r="AB67" s="73">
        <v>4584.3359380000002</v>
      </c>
      <c r="AC67" s="73">
        <v>4624.40625</v>
      </c>
      <c r="AD67" s="73">
        <v>4666.5439450000003</v>
      </c>
      <c r="AE67" s="73">
        <v>4716.5493159999996</v>
      </c>
      <c r="AF67" s="69">
        <v>6.94E-3</v>
      </c>
      <c r="AG67" s="37"/>
    </row>
    <row r="68" spans="1:33" ht="15" customHeight="1" x14ac:dyDescent="0.2">
      <c r="A68" s="42" t="s">
        <v>778</v>
      </c>
      <c r="B68" s="65" t="s">
        <v>779</v>
      </c>
      <c r="C68" s="70">
        <v>198.34873999999999</v>
      </c>
      <c r="D68" s="70">
        <v>207.378006</v>
      </c>
      <c r="E68" s="70">
        <v>227.33663899999999</v>
      </c>
      <c r="F68" s="70">
        <v>235.616165</v>
      </c>
      <c r="G68" s="70">
        <v>243.01622</v>
      </c>
      <c r="H68" s="70">
        <v>250.383972</v>
      </c>
      <c r="I68" s="70">
        <v>257.49185199999999</v>
      </c>
      <c r="J68" s="70">
        <v>265.89318800000001</v>
      </c>
      <c r="K68" s="70">
        <v>273.437927</v>
      </c>
      <c r="L68" s="70">
        <v>281.23052999999999</v>
      </c>
      <c r="M68" s="70">
        <v>289.10574300000002</v>
      </c>
      <c r="N68" s="70">
        <v>298.00817899999998</v>
      </c>
      <c r="O68" s="70">
        <v>307.25247200000001</v>
      </c>
      <c r="P68" s="70">
        <v>314.63729899999998</v>
      </c>
      <c r="Q68" s="70">
        <v>323.818512</v>
      </c>
      <c r="R68" s="70">
        <v>331.81133999999997</v>
      </c>
      <c r="S68" s="70">
        <v>340.97918700000002</v>
      </c>
      <c r="T68" s="70">
        <v>350.40817299999998</v>
      </c>
      <c r="U68" s="70">
        <v>359.848724</v>
      </c>
      <c r="V68" s="70">
        <v>369.35775799999999</v>
      </c>
      <c r="W68" s="70">
        <v>378.94695999999999</v>
      </c>
      <c r="X68" s="70">
        <v>388.690247</v>
      </c>
      <c r="Y68" s="70">
        <v>398.51220699999999</v>
      </c>
      <c r="Z68" s="70">
        <v>408.64822400000003</v>
      </c>
      <c r="AA68" s="70">
        <v>418.35836799999998</v>
      </c>
      <c r="AB68" s="70">
        <v>428.51309199999997</v>
      </c>
      <c r="AC68" s="70">
        <v>439.97396900000001</v>
      </c>
      <c r="AD68" s="70">
        <v>450.67678799999999</v>
      </c>
      <c r="AE68" s="70">
        <v>461.46173099999999</v>
      </c>
      <c r="AF68" s="67">
        <v>3.0615E-2</v>
      </c>
      <c r="AG68" s="37"/>
    </row>
    <row r="69" spans="1:33" ht="15" customHeight="1" x14ac:dyDescent="0.2">
      <c r="A69" s="42" t="s">
        <v>780</v>
      </c>
      <c r="B69" s="64" t="s">
        <v>781</v>
      </c>
      <c r="C69" s="73">
        <v>4084.5034179999998</v>
      </c>
      <c r="D69" s="73">
        <v>4048.7048340000001</v>
      </c>
      <c r="E69" s="73">
        <v>4094.194336</v>
      </c>
      <c r="F69" s="73">
        <v>4124.3256840000004</v>
      </c>
      <c r="G69" s="73">
        <v>4163.90625</v>
      </c>
      <c r="H69" s="73">
        <v>4201.6508789999998</v>
      </c>
      <c r="I69" s="73">
        <v>4243.6660160000001</v>
      </c>
      <c r="J69" s="73">
        <v>4282.4833980000003</v>
      </c>
      <c r="K69" s="73">
        <v>4315.4702150000003</v>
      </c>
      <c r="L69" s="73">
        <v>4347.6010740000002</v>
      </c>
      <c r="M69" s="73">
        <v>4384.9960940000001</v>
      </c>
      <c r="N69" s="73">
        <v>4418.1474609999996</v>
      </c>
      <c r="O69" s="73">
        <v>4453.5063479999999</v>
      </c>
      <c r="P69" s="73">
        <v>4493.5556640000004</v>
      </c>
      <c r="Q69" s="73">
        <v>4532.7944340000004</v>
      </c>
      <c r="R69" s="73">
        <v>4573.3608400000003</v>
      </c>
      <c r="S69" s="73">
        <v>4612.4189450000003</v>
      </c>
      <c r="T69" s="73">
        <v>4649.6416019999997</v>
      </c>
      <c r="U69" s="73">
        <v>4689.2446289999998</v>
      </c>
      <c r="V69" s="73">
        <v>4731.7416990000002</v>
      </c>
      <c r="W69" s="73">
        <v>4775.5595700000003</v>
      </c>
      <c r="X69" s="73">
        <v>4819.5249020000001</v>
      </c>
      <c r="Y69" s="73">
        <v>4863.0976559999999</v>
      </c>
      <c r="Z69" s="73">
        <v>4908.3129879999997</v>
      </c>
      <c r="AA69" s="73">
        <v>4960.2568359999996</v>
      </c>
      <c r="AB69" s="73">
        <v>5012.8491210000002</v>
      </c>
      <c r="AC69" s="73">
        <v>5064.3803710000002</v>
      </c>
      <c r="AD69" s="73">
        <v>5117.220703</v>
      </c>
      <c r="AE69" s="73">
        <v>5178.0112300000001</v>
      </c>
      <c r="AF69" s="69">
        <v>8.5079999999999999E-3</v>
      </c>
      <c r="AG69" s="37"/>
    </row>
    <row r="70" spans="1:33" ht="15" customHeight="1" x14ac:dyDescent="0.2">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row>
    <row r="71" spans="1:33" ht="15" customHeight="1" x14ac:dyDescent="0.2">
      <c r="B71" s="64" t="s">
        <v>782</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row>
    <row r="72" spans="1:33" ht="15" customHeight="1" x14ac:dyDescent="0.2">
      <c r="B72" s="64" t="s">
        <v>832</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row>
    <row r="73" spans="1:33" ht="12" customHeight="1" x14ac:dyDescent="0.2">
      <c r="A73" s="42" t="s">
        <v>784</v>
      </c>
      <c r="B73" s="65" t="s">
        <v>769</v>
      </c>
      <c r="C73" s="71">
        <v>14.558745999999999</v>
      </c>
      <c r="D73" s="71">
        <v>14.137022</v>
      </c>
      <c r="E73" s="71">
        <v>13.836985</v>
      </c>
      <c r="F73" s="71">
        <v>13.423342999999999</v>
      </c>
      <c r="G73" s="71">
        <v>13.182622</v>
      </c>
      <c r="H73" s="71">
        <v>12.999249000000001</v>
      </c>
      <c r="I73" s="71">
        <v>12.875704000000001</v>
      </c>
      <c r="J73" s="71">
        <v>12.842129</v>
      </c>
      <c r="K73" s="71">
        <v>12.876039</v>
      </c>
      <c r="L73" s="71">
        <v>12.943087</v>
      </c>
      <c r="M73" s="71">
        <v>13.004488</v>
      </c>
      <c r="N73" s="71">
        <v>13.199555</v>
      </c>
      <c r="O73" s="71">
        <v>13.349550000000001</v>
      </c>
      <c r="P73" s="71">
        <v>13.363859</v>
      </c>
      <c r="Q73" s="71">
        <v>13.446160000000001</v>
      </c>
      <c r="R73" s="71">
        <v>13.548438000000001</v>
      </c>
      <c r="S73" s="71">
        <v>13.691177</v>
      </c>
      <c r="T73" s="71">
        <v>13.791919999999999</v>
      </c>
      <c r="U73" s="71">
        <v>13.892632000000001</v>
      </c>
      <c r="V73" s="71">
        <v>13.972958</v>
      </c>
      <c r="W73" s="71">
        <v>14.018152000000001</v>
      </c>
      <c r="X73" s="71">
        <v>14.048780000000001</v>
      </c>
      <c r="Y73" s="71">
        <v>14.074063000000001</v>
      </c>
      <c r="Z73" s="71">
        <v>14.104900000000001</v>
      </c>
      <c r="AA73" s="71">
        <v>14.081588</v>
      </c>
      <c r="AB73" s="71">
        <v>14.041449</v>
      </c>
      <c r="AC73" s="71">
        <v>14.020605</v>
      </c>
      <c r="AD73" s="71">
        <v>13.956806</v>
      </c>
      <c r="AE73" s="71">
        <v>13.852473</v>
      </c>
      <c r="AF73" s="67">
        <v>-1.774E-3</v>
      </c>
      <c r="AG73" s="37"/>
    </row>
    <row r="74" spans="1:33" ht="15" customHeight="1" x14ac:dyDescent="0.2">
      <c r="A74" s="42" t="s">
        <v>785</v>
      </c>
      <c r="B74" s="65" t="s">
        <v>771</v>
      </c>
      <c r="C74" s="71">
        <v>12.512105</v>
      </c>
      <c r="D74" s="71">
        <v>12.249195</v>
      </c>
      <c r="E74" s="71">
        <v>11.71762</v>
      </c>
      <c r="F74" s="71">
        <v>11.21616</v>
      </c>
      <c r="G74" s="71">
        <v>10.936932000000001</v>
      </c>
      <c r="H74" s="71">
        <v>10.734302</v>
      </c>
      <c r="I74" s="71">
        <v>10.563871000000001</v>
      </c>
      <c r="J74" s="71">
        <v>10.480594999999999</v>
      </c>
      <c r="K74" s="71">
        <v>10.468112</v>
      </c>
      <c r="L74" s="71">
        <v>10.462433000000001</v>
      </c>
      <c r="M74" s="71">
        <v>10.451896</v>
      </c>
      <c r="N74" s="71">
        <v>10.570556</v>
      </c>
      <c r="O74" s="71">
        <v>10.648975</v>
      </c>
      <c r="P74" s="71">
        <v>10.623759</v>
      </c>
      <c r="Q74" s="71">
        <v>10.65635</v>
      </c>
      <c r="R74" s="71">
        <v>10.693994</v>
      </c>
      <c r="S74" s="71">
        <v>10.778915</v>
      </c>
      <c r="T74" s="71">
        <v>10.834794</v>
      </c>
      <c r="U74" s="71">
        <v>10.88077</v>
      </c>
      <c r="V74" s="71">
        <v>10.91621</v>
      </c>
      <c r="W74" s="71">
        <v>10.921968</v>
      </c>
      <c r="X74" s="71">
        <v>10.924382</v>
      </c>
      <c r="Y74" s="71">
        <v>10.911804</v>
      </c>
      <c r="Z74" s="71">
        <v>10.894216</v>
      </c>
      <c r="AA74" s="71">
        <v>10.833881999999999</v>
      </c>
      <c r="AB74" s="71">
        <v>10.744009</v>
      </c>
      <c r="AC74" s="71">
        <v>10.705812</v>
      </c>
      <c r="AD74" s="71">
        <v>10.620430000000001</v>
      </c>
      <c r="AE74" s="71">
        <v>10.509831</v>
      </c>
      <c r="AF74" s="67">
        <v>-6.2090000000000001E-3</v>
      </c>
      <c r="AG74" s="37"/>
    </row>
    <row r="75" spans="1:33" ht="15" customHeight="1" x14ac:dyDescent="0.2">
      <c r="A75" s="42" t="s">
        <v>786</v>
      </c>
      <c r="B75" s="65" t="s">
        <v>773</v>
      </c>
      <c r="C75" s="71">
        <v>8.3324549999999995</v>
      </c>
      <c r="D75" s="71">
        <v>8.1783110000000008</v>
      </c>
      <c r="E75" s="71">
        <v>7.5627209999999998</v>
      </c>
      <c r="F75" s="71">
        <v>7.1506829999999999</v>
      </c>
      <c r="G75" s="71">
        <v>6.8767699999999996</v>
      </c>
      <c r="H75" s="71">
        <v>6.6846040000000002</v>
      </c>
      <c r="I75" s="71">
        <v>6.5606540000000004</v>
      </c>
      <c r="J75" s="71">
        <v>6.4943369999999998</v>
      </c>
      <c r="K75" s="71">
        <v>6.4774989999999999</v>
      </c>
      <c r="L75" s="71">
        <v>6.4750870000000003</v>
      </c>
      <c r="M75" s="71">
        <v>6.4792339999999999</v>
      </c>
      <c r="N75" s="71">
        <v>6.5891409999999997</v>
      </c>
      <c r="O75" s="71">
        <v>6.6222760000000003</v>
      </c>
      <c r="P75" s="71">
        <v>6.60487</v>
      </c>
      <c r="Q75" s="71">
        <v>6.6469009999999997</v>
      </c>
      <c r="R75" s="71">
        <v>6.7022019999999998</v>
      </c>
      <c r="S75" s="71">
        <v>6.7931980000000003</v>
      </c>
      <c r="T75" s="71">
        <v>6.8714449999999996</v>
      </c>
      <c r="U75" s="71">
        <v>6.9273300000000004</v>
      </c>
      <c r="V75" s="71">
        <v>6.9735250000000004</v>
      </c>
      <c r="W75" s="71">
        <v>6.9766310000000002</v>
      </c>
      <c r="X75" s="71">
        <v>6.9635569999999998</v>
      </c>
      <c r="Y75" s="71">
        <v>6.9610820000000002</v>
      </c>
      <c r="Z75" s="71">
        <v>6.9443729999999997</v>
      </c>
      <c r="AA75" s="71">
        <v>6.9011990000000001</v>
      </c>
      <c r="AB75" s="71">
        <v>6.8564980000000002</v>
      </c>
      <c r="AC75" s="71">
        <v>6.8319080000000003</v>
      </c>
      <c r="AD75" s="71">
        <v>6.7879420000000001</v>
      </c>
      <c r="AE75" s="71">
        <v>6.7243789999999999</v>
      </c>
      <c r="AF75" s="67">
        <v>-7.6290000000000004E-3</v>
      </c>
      <c r="AG75" s="37"/>
    </row>
    <row r="76" spans="1:33" ht="15" customHeight="1" x14ac:dyDescent="0.2">
      <c r="A76" s="42" t="s">
        <v>787</v>
      </c>
      <c r="B76" s="65" t="s">
        <v>775</v>
      </c>
      <c r="C76" s="71">
        <v>14.502357</v>
      </c>
      <c r="D76" s="71">
        <v>15.017732000000001</v>
      </c>
      <c r="E76" s="71">
        <v>14.568986000000001</v>
      </c>
      <c r="F76" s="71">
        <v>13.740180000000001</v>
      </c>
      <c r="G76" s="71">
        <v>13.61303</v>
      </c>
      <c r="H76" s="71">
        <v>13.589596999999999</v>
      </c>
      <c r="I76" s="71">
        <v>13.559766</v>
      </c>
      <c r="J76" s="71">
        <v>13.553876000000001</v>
      </c>
      <c r="K76" s="71">
        <v>13.556692</v>
      </c>
      <c r="L76" s="71">
        <v>13.623919000000001</v>
      </c>
      <c r="M76" s="71">
        <v>13.704961000000001</v>
      </c>
      <c r="N76" s="71">
        <v>13.841100000000001</v>
      </c>
      <c r="O76" s="71">
        <v>13.939563</v>
      </c>
      <c r="P76" s="71">
        <v>14.008406000000001</v>
      </c>
      <c r="Q76" s="71">
        <v>14.012616</v>
      </c>
      <c r="R76" s="71">
        <v>14.122978</v>
      </c>
      <c r="S76" s="71">
        <v>14.216115</v>
      </c>
      <c r="T76" s="71">
        <v>14.355930000000001</v>
      </c>
      <c r="U76" s="71">
        <v>14.427718</v>
      </c>
      <c r="V76" s="71">
        <v>14.510460999999999</v>
      </c>
      <c r="W76" s="71">
        <v>14.511039</v>
      </c>
      <c r="X76" s="71">
        <v>14.500132000000001</v>
      </c>
      <c r="Y76" s="71">
        <v>14.488925</v>
      </c>
      <c r="Z76" s="71">
        <v>14.506548</v>
      </c>
      <c r="AA76" s="71">
        <v>14.54316</v>
      </c>
      <c r="AB76" s="71">
        <v>14.494947</v>
      </c>
      <c r="AC76" s="71">
        <v>14.495820999999999</v>
      </c>
      <c r="AD76" s="71">
        <v>14.338176000000001</v>
      </c>
      <c r="AE76" s="71">
        <v>14.21382</v>
      </c>
      <c r="AF76" s="67">
        <v>-7.1699999999999997E-4</v>
      </c>
      <c r="AG76" s="37"/>
    </row>
    <row r="77" spans="1:33" ht="15" customHeight="1" x14ac:dyDescent="0.2">
      <c r="A77" s="42" t="s">
        <v>788</v>
      </c>
      <c r="B77" s="64" t="s">
        <v>789</v>
      </c>
      <c r="C77" s="74">
        <v>12.224997999999999</v>
      </c>
      <c r="D77" s="74">
        <v>11.913273</v>
      </c>
      <c r="E77" s="74">
        <v>11.471824</v>
      </c>
      <c r="F77" s="74">
        <v>11.030275</v>
      </c>
      <c r="G77" s="74">
        <v>10.768831</v>
      </c>
      <c r="H77" s="74">
        <v>10.582514</v>
      </c>
      <c r="I77" s="74">
        <v>10.45016</v>
      </c>
      <c r="J77" s="74">
        <v>10.399552</v>
      </c>
      <c r="K77" s="74">
        <v>10.413741999999999</v>
      </c>
      <c r="L77" s="74">
        <v>10.447018999999999</v>
      </c>
      <c r="M77" s="74">
        <v>10.475133</v>
      </c>
      <c r="N77" s="74">
        <v>10.629588999999999</v>
      </c>
      <c r="O77" s="74">
        <v>10.729555</v>
      </c>
      <c r="P77" s="74">
        <v>10.730740000000001</v>
      </c>
      <c r="Q77" s="74">
        <v>10.793545</v>
      </c>
      <c r="R77" s="74">
        <v>10.871433</v>
      </c>
      <c r="S77" s="74">
        <v>10.987963000000001</v>
      </c>
      <c r="T77" s="74">
        <v>11.078531</v>
      </c>
      <c r="U77" s="74">
        <v>11.155383</v>
      </c>
      <c r="V77" s="74">
        <v>11.217563</v>
      </c>
      <c r="W77" s="74">
        <v>11.243109</v>
      </c>
      <c r="X77" s="74">
        <v>11.258493</v>
      </c>
      <c r="Y77" s="74">
        <v>11.271253</v>
      </c>
      <c r="Z77" s="74">
        <v>11.281693000000001</v>
      </c>
      <c r="AA77" s="74">
        <v>11.247436</v>
      </c>
      <c r="AB77" s="74">
        <v>11.196383000000001</v>
      </c>
      <c r="AC77" s="74">
        <v>11.178801</v>
      </c>
      <c r="AD77" s="74">
        <v>11.117008</v>
      </c>
      <c r="AE77" s="74">
        <v>11.024077999999999</v>
      </c>
      <c r="AF77" s="69">
        <v>-3.686E-3</v>
      </c>
      <c r="AG77" s="37"/>
    </row>
    <row r="78" spans="1:33" ht="15" customHeight="1" x14ac:dyDescent="0.2">
      <c r="B78" s="64" t="s">
        <v>790</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row>
    <row r="79" spans="1:33" ht="12" customHeight="1" x14ac:dyDescent="0.2">
      <c r="A79" s="42" t="s">
        <v>791</v>
      </c>
      <c r="B79" s="65" t="s">
        <v>769</v>
      </c>
      <c r="C79" s="71">
        <v>14.558745999999999</v>
      </c>
      <c r="D79" s="71">
        <v>14.721423</v>
      </c>
      <c r="E79" s="71">
        <v>14.760685</v>
      </c>
      <c r="F79" s="71">
        <v>14.630814000000001</v>
      </c>
      <c r="G79" s="71">
        <v>14.674791000000001</v>
      </c>
      <c r="H79" s="71">
        <v>14.783257000000001</v>
      </c>
      <c r="I79" s="71">
        <v>14.959111</v>
      </c>
      <c r="J79" s="71">
        <v>15.247320999999999</v>
      </c>
      <c r="K79" s="71">
        <v>15.628829</v>
      </c>
      <c r="L79" s="71">
        <v>16.069664</v>
      </c>
      <c r="M79" s="71">
        <v>16.515978</v>
      </c>
      <c r="N79" s="71">
        <v>17.160717000000002</v>
      </c>
      <c r="O79" s="71">
        <v>17.771509000000002</v>
      </c>
      <c r="P79" s="71">
        <v>18.207148</v>
      </c>
      <c r="Q79" s="71">
        <v>18.741202999999999</v>
      </c>
      <c r="R79" s="71">
        <v>19.306435</v>
      </c>
      <c r="S79" s="71">
        <v>19.941206000000001</v>
      </c>
      <c r="T79" s="71">
        <v>20.5291</v>
      </c>
      <c r="U79" s="71">
        <v>21.140167000000002</v>
      </c>
      <c r="V79" s="71">
        <v>21.739135999999998</v>
      </c>
      <c r="W79" s="71">
        <v>22.302057000000001</v>
      </c>
      <c r="X79" s="71">
        <v>22.863129000000001</v>
      </c>
      <c r="Y79" s="71">
        <v>23.433163</v>
      </c>
      <c r="Z79" s="71">
        <v>24.031725000000002</v>
      </c>
      <c r="AA79" s="71">
        <v>24.558036999999999</v>
      </c>
      <c r="AB79" s="71">
        <v>25.069824000000001</v>
      </c>
      <c r="AC79" s="71">
        <v>25.632684999999999</v>
      </c>
      <c r="AD79" s="71">
        <v>26.128471000000001</v>
      </c>
      <c r="AE79" s="71">
        <v>26.559172</v>
      </c>
      <c r="AF79" s="67">
        <v>2.1703E-2</v>
      </c>
      <c r="AG79" s="37"/>
    </row>
    <row r="80" spans="1:33" ht="15" customHeight="1" x14ac:dyDescent="0.2">
      <c r="A80" s="42" t="s">
        <v>792</v>
      </c>
      <c r="B80" s="65" t="s">
        <v>771</v>
      </c>
      <c r="C80" s="71">
        <v>12.512105</v>
      </c>
      <c r="D80" s="71">
        <v>12.755557</v>
      </c>
      <c r="E80" s="71">
        <v>12.499840000000001</v>
      </c>
      <c r="F80" s="71">
        <v>12.225088</v>
      </c>
      <c r="G80" s="71">
        <v>12.174906999999999</v>
      </c>
      <c r="H80" s="71">
        <v>12.207471999999999</v>
      </c>
      <c r="I80" s="71">
        <v>12.273202</v>
      </c>
      <c r="J80" s="71">
        <v>12.443498</v>
      </c>
      <c r="K80" s="71">
        <v>12.706108</v>
      </c>
      <c r="L80" s="71">
        <v>12.989776000000001</v>
      </c>
      <c r="M80" s="71">
        <v>13.274132</v>
      </c>
      <c r="N80" s="71">
        <v>13.742760000000001</v>
      </c>
      <c r="O80" s="71">
        <v>14.176384000000001</v>
      </c>
      <c r="P80" s="71">
        <v>14.473990000000001</v>
      </c>
      <c r="Q80" s="71">
        <v>14.852778000000001</v>
      </c>
      <c r="R80" s="71">
        <v>15.23887</v>
      </c>
      <c r="S80" s="71">
        <v>15.699496</v>
      </c>
      <c r="T80" s="71">
        <v>16.127457</v>
      </c>
      <c r="U80" s="71">
        <v>16.557072000000002</v>
      </c>
      <c r="V80" s="71">
        <v>16.983446000000001</v>
      </c>
      <c r="W80" s="71">
        <v>17.376208999999999</v>
      </c>
      <c r="X80" s="71">
        <v>17.778452000000001</v>
      </c>
      <c r="Y80" s="71">
        <v>18.168036000000001</v>
      </c>
      <c r="Z80" s="71">
        <v>18.561406999999999</v>
      </c>
      <c r="AA80" s="71">
        <v>18.894096000000001</v>
      </c>
      <c r="AB80" s="71">
        <v>19.182524000000001</v>
      </c>
      <c r="AC80" s="71">
        <v>19.572531000000001</v>
      </c>
      <c r="AD80" s="71">
        <v>19.882456000000001</v>
      </c>
      <c r="AE80" s="71">
        <v>20.150366000000002</v>
      </c>
      <c r="AF80" s="67">
        <v>1.7163999999999999E-2</v>
      </c>
      <c r="AG80" s="37"/>
    </row>
    <row r="81" spans="1:33" ht="12" customHeight="1" x14ac:dyDescent="0.2">
      <c r="A81" s="42" t="s">
        <v>793</v>
      </c>
      <c r="B81" s="65" t="s">
        <v>773</v>
      </c>
      <c r="C81" s="71">
        <v>8.3324549999999995</v>
      </c>
      <c r="D81" s="71">
        <v>8.5163890000000002</v>
      </c>
      <c r="E81" s="71">
        <v>8.0675760000000007</v>
      </c>
      <c r="F81" s="71">
        <v>7.7939100000000003</v>
      </c>
      <c r="G81" s="71">
        <v>7.6551679999999998</v>
      </c>
      <c r="H81" s="71">
        <v>7.6019949999999996</v>
      </c>
      <c r="I81" s="71">
        <v>7.6222279999999998</v>
      </c>
      <c r="J81" s="71">
        <v>7.7106570000000003</v>
      </c>
      <c r="K81" s="71">
        <v>7.8623339999999997</v>
      </c>
      <c r="L81" s="71">
        <v>8.0392309999999991</v>
      </c>
      <c r="M81" s="71">
        <v>8.2287660000000002</v>
      </c>
      <c r="N81" s="71">
        <v>8.5665300000000002</v>
      </c>
      <c r="O81" s="71">
        <v>8.8158650000000005</v>
      </c>
      <c r="P81" s="71">
        <v>8.9985870000000006</v>
      </c>
      <c r="Q81" s="71">
        <v>9.2644230000000007</v>
      </c>
      <c r="R81" s="71">
        <v>9.5505929999999992</v>
      </c>
      <c r="S81" s="71">
        <v>9.8942960000000006</v>
      </c>
      <c r="T81" s="71">
        <v>10.228059</v>
      </c>
      <c r="U81" s="71">
        <v>10.541193</v>
      </c>
      <c r="V81" s="71">
        <v>10.849413999999999</v>
      </c>
      <c r="W81" s="71">
        <v>11.099410000000001</v>
      </c>
      <c r="X81" s="71">
        <v>11.332565000000001</v>
      </c>
      <c r="Y81" s="71">
        <v>11.590127000000001</v>
      </c>
      <c r="Z81" s="71">
        <v>11.831720000000001</v>
      </c>
      <c r="AA81" s="71">
        <v>12.035568</v>
      </c>
      <c r="AB81" s="71">
        <v>12.2417</v>
      </c>
      <c r="AC81" s="71">
        <v>12.490197999999999</v>
      </c>
      <c r="AD81" s="71">
        <v>12.707675</v>
      </c>
      <c r="AE81" s="71">
        <v>12.892566</v>
      </c>
      <c r="AF81" s="67">
        <v>1.5710999999999999E-2</v>
      </c>
      <c r="AG81" s="37"/>
    </row>
    <row r="82" spans="1:33" ht="15" customHeight="1" x14ac:dyDescent="0.2">
      <c r="A82" s="42" t="s">
        <v>794</v>
      </c>
      <c r="B82" s="65" t="s">
        <v>775</v>
      </c>
      <c r="C82" s="71">
        <v>14.502357</v>
      </c>
      <c r="D82" s="71">
        <v>15.638540000000001</v>
      </c>
      <c r="E82" s="71">
        <v>15.541551</v>
      </c>
      <c r="F82" s="71">
        <v>14.976151</v>
      </c>
      <c r="G82" s="71">
        <v>15.153918000000001</v>
      </c>
      <c r="H82" s="71">
        <v>15.454625</v>
      </c>
      <c r="I82" s="71">
        <v>15.75386</v>
      </c>
      <c r="J82" s="71">
        <v>16.092371</v>
      </c>
      <c r="K82" s="71">
        <v>16.454999999999998</v>
      </c>
      <c r="L82" s="71">
        <v>16.914961000000002</v>
      </c>
      <c r="M82" s="71">
        <v>17.405594000000001</v>
      </c>
      <c r="N82" s="71">
        <v>17.994786999999999</v>
      </c>
      <c r="O82" s="71">
        <v>18.556958999999999</v>
      </c>
      <c r="P82" s="71">
        <v>19.085289</v>
      </c>
      <c r="Q82" s="71">
        <v>19.530726999999999</v>
      </c>
      <c r="R82" s="71">
        <v>20.125150999999999</v>
      </c>
      <c r="S82" s="71">
        <v>20.705777999999999</v>
      </c>
      <c r="T82" s="71">
        <v>21.368621999999998</v>
      </c>
      <c r="U82" s="71">
        <v>21.954397</v>
      </c>
      <c r="V82" s="71">
        <v>22.575384</v>
      </c>
      <c r="W82" s="71">
        <v>23.086210000000001</v>
      </c>
      <c r="X82" s="71">
        <v>23.597664000000002</v>
      </c>
      <c r="Y82" s="71">
        <v>24.123901</v>
      </c>
      <c r="Z82" s="71">
        <v>24.716045000000001</v>
      </c>
      <c r="AA82" s="71">
        <v>25.363009999999999</v>
      </c>
      <c r="AB82" s="71">
        <v>25.879507</v>
      </c>
      <c r="AC82" s="71">
        <v>26.501481999999999</v>
      </c>
      <c r="AD82" s="71">
        <v>26.84243</v>
      </c>
      <c r="AE82" s="71">
        <v>27.251978000000001</v>
      </c>
      <c r="AF82" s="67">
        <v>2.2785E-2</v>
      </c>
      <c r="AG82" s="37"/>
    </row>
    <row r="83" spans="1:33" ht="15" customHeight="1" x14ac:dyDescent="0.2">
      <c r="A83" s="42" t="s">
        <v>795</v>
      </c>
      <c r="B83" s="64" t="s">
        <v>789</v>
      </c>
      <c r="C83" s="74">
        <v>12.224997999999999</v>
      </c>
      <c r="D83" s="74">
        <v>12.405747</v>
      </c>
      <c r="E83" s="74">
        <v>12.237636</v>
      </c>
      <c r="F83" s="74">
        <v>12.022482999999999</v>
      </c>
      <c r="G83" s="74">
        <v>11.987779</v>
      </c>
      <c r="H83" s="74">
        <v>12.034852000000001</v>
      </c>
      <c r="I83" s="74">
        <v>12.141092</v>
      </c>
      <c r="J83" s="74">
        <v>12.347277</v>
      </c>
      <c r="K83" s="74">
        <v>12.640115</v>
      </c>
      <c r="L83" s="74">
        <v>12.970637</v>
      </c>
      <c r="M83" s="74">
        <v>13.303642999999999</v>
      </c>
      <c r="N83" s="74">
        <v>13.819509999999999</v>
      </c>
      <c r="O83" s="74">
        <v>14.283655</v>
      </c>
      <c r="P83" s="74">
        <v>14.619742</v>
      </c>
      <c r="Q83" s="74">
        <v>15.044</v>
      </c>
      <c r="R83" s="74">
        <v>15.491720000000001</v>
      </c>
      <c r="S83" s="74">
        <v>16.003972999999998</v>
      </c>
      <c r="T83" s="74">
        <v>16.490255000000001</v>
      </c>
      <c r="U83" s="74">
        <v>16.974945000000002</v>
      </c>
      <c r="V83" s="74">
        <v>17.452290999999999</v>
      </c>
      <c r="W83" s="74">
        <v>17.887127</v>
      </c>
      <c r="X83" s="74">
        <v>18.322187</v>
      </c>
      <c r="Y83" s="74">
        <v>18.766511999999999</v>
      </c>
      <c r="Z83" s="74">
        <v>19.221584</v>
      </c>
      <c r="AA83" s="74">
        <v>19.615328000000002</v>
      </c>
      <c r="AB83" s="74">
        <v>19.990197999999999</v>
      </c>
      <c r="AC83" s="74">
        <v>20.437253999999999</v>
      </c>
      <c r="AD83" s="74">
        <v>20.812099</v>
      </c>
      <c r="AE83" s="74">
        <v>21.136326</v>
      </c>
      <c r="AF83" s="69">
        <v>1.9746E-2</v>
      </c>
      <c r="AG83" s="37"/>
    </row>
    <row r="84" spans="1:33" ht="15" customHeight="1" x14ac:dyDescent="0.2">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row>
    <row r="85" spans="1:33" ht="15" customHeight="1" x14ac:dyDescent="0.2">
      <c r="B85" s="64" t="s">
        <v>796</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row>
    <row r="86" spans="1:33" ht="15" customHeight="1" x14ac:dyDescent="0.2">
      <c r="B86" s="64" t="s">
        <v>832</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row>
    <row r="87" spans="1:33" ht="15" customHeight="1" x14ac:dyDescent="0.2">
      <c r="A87" s="42" t="s">
        <v>797</v>
      </c>
      <c r="B87" s="65" t="s">
        <v>798</v>
      </c>
      <c r="C87" s="71">
        <v>7.490151</v>
      </c>
      <c r="D87" s="71">
        <v>7.1217509999999997</v>
      </c>
      <c r="E87" s="71">
        <v>6.6237709999999996</v>
      </c>
      <c r="F87" s="71">
        <v>6.0795459999999997</v>
      </c>
      <c r="G87" s="71">
        <v>5.7195609999999997</v>
      </c>
      <c r="H87" s="71">
        <v>5.4453969999999998</v>
      </c>
      <c r="I87" s="71">
        <v>5.2318230000000003</v>
      </c>
      <c r="J87" s="71">
        <v>5.1054500000000003</v>
      </c>
      <c r="K87" s="71">
        <v>5.031301</v>
      </c>
      <c r="L87" s="71">
        <v>4.987285</v>
      </c>
      <c r="M87" s="71">
        <v>4.950399</v>
      </c>
      <c r="N87" s="71">
        <v>5.0374600000000003</v>
      </c>
      <c r="O87" s="71">
        <v>5.0800809999999998</v>
      </c>
      <c r="P87" s="71">
        <v>5.0371709999999998</v>
      </c>
      <c r="Q87" s="71">
        <v>5.065124</v>
      </c>
      <c r="R87" s="71">
        <v>5.1057360000000003</v>
      </c>
      <c r="S87" s="71">
        <v>5.1828440000000002</v>
      </c>
      <c r="T87" s="71">
        <v>5.2374910000000003</v>
      </c>
      <c r="U87" s="71">
        <v>5.279604</v>
      </c>
      <c r="V87" s="71">
        <v>5.3068010000000001</v>
      </c>
      <c r="W87" s="71">
        <v>5.3077310000000004</v>
      </c>
      <c r="X87" s="71">
        <v>5.3018929999999997</v>
      </c>
      <c r="Y87" s="71">
        <v>5.2897550000000004</v>
      </c>
      <c r="Z87" s="71">
        <v>5.2716000000000003</v>
      </c>
      <c r="AA87" s="71">
        <v>5.2285089999999999</v>
      </c>
      <c r="AB87" s="71">
        <v>5.1739329999999999</v>
      </c>
      <c r="AC87" s="71">
        <v>5.1594519999999999</v>
      </c>
      <c r="AD87" s="71">
        <v>5.1117509999999999</v>
      </c>
      <c r="AE87" s="71">
        <v>5.0462470000000001</v>
      </c>
      <c r="AF87" s="67">
        <v>-1.4005999999999999E-2</v>
      </c>
      <c r="AG87" s="37"/>
    </row>
    <row r="88" spans="1:33" ht="15" customHeight="1" x14ac:dyDescent="0.2">
      <c r="A88" s="42" t="s">
        <v>799</v>
      </c>
      <c r="B88" s="65" t="s">
        <v>800</v>
      </c>
      <c r="C88" s="71">
        <v>1.5122469999999999</v>
      </c>
      <c r="D88" s="71">
        <v>1.5237149999999999</v>
      </c>
      <c r="E88" s="71">
        <v>1.5509329999999999</v>
      </c>
      <c r="F88" s="71">
        <v>1.5992839999999999</v>
      </c>
      <c r="G88" s="71">
        <v>1.643408</v>
      </c>
      <c r="H88" s="71">
        <v>1.685827</v>
      </c>
      <c r="I88" s="71">
        <v>1.7226619999999999</v>
      </c>
      <c r="J88" s="71">
        <v>1.750883</v>
      </c>
      <c r="K88" s="71">
        <v>1.7757419999999999</v>
      </c>
      <c r="L88" s="71">
        <v>1.795445</v>
      </c>
      <c r="M88" s="71">
        <v>1.814422</v>
      </c>
      <c r="N88" s="71">
        <v>1.836012</v>
      </c>
      <c r="O88" s="71">
        <v>1.855661</v>
      </c>
      <c r="P88" s="71">
        <v>1.8730869999999999</v>
      </c>
      <c r="Q88" s="71">
        <v>1.8880269999999999</v>
      </c>
      <c r="R88" s="71">
        <v>1.904115</v>
      </c>
      <c r="S88" s="71">
        <v>1.9209229999999999</v>
      </c>
      <c r="T88" s="71">
        <v>1.935961</v>
      </c>
      <c r="U88" s="71">
        <v>1.950267</v>
      </c>
      <c r="V88" s="71">
        <v>1.964521</v>
      </c>
      <c r="W88" s="71">
        <v>1.968928</v>
      </c>
      <c r="X88" s="71">
        <v>1.9702649999999999</v>
      </c>
      <c r="Y88" s="71">
        <v>1.9745619999999999</v>
      </c>
      <c r="Z88" s="71">
        <v>1.9796750000000001</v>
      </c>
      <c r="AA88" s="71">
        <v>1.982947</v>
      </c>
      <c r="AB88" s="71">
        <v>1.983171</v>
      </c>
      <c r="AC88" s="71">
        <v>1.981943</v>
      </c>
      <c r="AD88" s="71">
        <v>1.9809159999999999</v>
      </c>
      <c r="AE88" s="71">
        <v>1.9766300000000001</v>
      </c>
      <c r="AF88" s="67">
        <v>9.6100000000000005E-3</v>
      </c>
      <c r="AG88" s="37"/>
    </row>
    <row r="89" spans="1:33" ht="15" customHeight="1" x14ac:dyDescent="0.2">
      <c r="A89" s="42" t="s">
        <v>801</v>
      </c>
      <c r="B89" s="65" t="s">
        <v>802</v>
      </c>
      <c r="C89" s="71">
        <v>3.199084</v>
      </c>
      <c r="D89" s="71">
        <v>3.250197</v>
      </c>
      <c r="E89" s="71">
        <v>3.2819440000000002</v>
      </c>
      <c r="F89" s="71">
        <v>3.3432189999999999</v>
      </c>
      <c r="G89" s="71">
        <v>3.3968910000000001</v>
      </c>
      <c r="H89" s="71">
        <v>3.4421580000000001</v>
      </c>
      <c r="I89" s="71">
        <v>3.4860069999999999</v>
      </c>
      <c r="J89" s="71">
        <v>3.5301019999999999</v>
      </c>
      <c r="K89" s="71">
        <v>3.592832</v>
      </c>
      <c r="L89" s="71">
        <v>3.6520389999999998</v>
      </c>
      <c r="M89" s="71">
        <v>3.6986690000000002</v>
      </c>
      <c r="N89" s="71">
        <v>3.7433900000000002</v>
      </c>
      <c r="O89" s="71">
        <v>3.7815989999999999</v>
      </c>
      <c r="P89" s="71">
        <v>3.8082210000000001</v>
      </c>
      <c r="Q89" s="71">
        <v>3.8281529999999999</v>
      </c>
      <c r="R89" s="71">
        <v>3.8491569999999999</v>
      </c>
      <c r="S89" s="71">
        <v>3.8713649999999999</v>
      </c>
      <c r="T89" s="71">
        <v>3.8920689999999998</v>
      </c>
      <c r="U89" s="71">
        <v>3.9122240000000001</v>
      </c>
      <c r="V89" s="71">
        <v>3.9328690000000002</v>
      </c>
      <c r="W89" s="71">
        <v>3.9520499999999998</v>
      </c>
      <c r="X89" s="71">
        <v>3.9705379999999999</v>
      </c>
      <c r="Y89" s="71">
        <v>3.9900180000000001</v>
      </c>
      <c r="Z89" s="71">
        <v>4.0082709999999997</v>
      </c>
      <c r="AA89" s="71">
        <v>4.0183809999999998</v>
      </c>
      <c r="AB89" s="71">
        <v>4.0209000000000001</v>
      </c>
      <c r="AC89" s="71">
        <v>4.0190720000000004</v>
      </c>
      <c r="AD89" s="71">
        <v>4.0056570000000002</v>
      </c>
      <c r="AE89" s="71">
        <v>3.9821240000000002</v>
      </c>
      <c r="AF89" s="67">
        <v>7.8499999999999993E-3</v>
      </c>
      <c r="AG89" s="37"/>
    </row>
    <row r="90" spans="1:33" ht="15" customHeight="1" x14ac:dyDescent="0.2">
      <c r="B90" s="64" t="s">
        <v>790</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row>
    <row r="91" spans="1:33" ht="15" customHeight="1" x14ac:dyDescent="0.2">
      <c r="A91" s="42" t="s">
        <v>803</v>
      </c>
      <c r="B91" s="65" t="s">
        <v>798</v>
      </c>
      <c r="C91" s="71">
        <v>7.490151</v>
      </c>
      <c r="D91" s="71">
        <v>7.4161520000000003</v>
      </c>
      <c r="E91" s="71">
        <v>7.0659470000000004</v>
      </c>
      <c r="F91" s="71">
        <v>6.6264200000000004</v>
      </c>
      <c r="G91" s="71">
        <v>6.3669700000000002</v>
      </c>
      <c r="H91" s="71">
        <v>6.1927209999999997</v>
      </c>
      <c r="I91" s="71">
        <v>6.0783800000000001</v>
      </c>
      <c r="J91" s="71">
        <v>6.0616459999999996</v>
      </c>
      <c r="K91" s="71">
        <v>6.1069509999999996</v>
      </c>
      <c r="L91" s="71">
        <v>6.1920310000000001</v>
      </c>
      <c r="M91" s="71">
        <v>6.2871129999999997</v>
      </c>
      <c r="N91" s="71">
        <v>6.5491919999999997</v>
      </c>
      <c r="O91" s="71">
        <v>6.7628279999999998</v>
      </c>
      <c r="P91" s="71">
        <v>6.8627279999999997</v>
      </c>
      <c r="Q91" s="71">
        <v>7.0597500000000002</v>
      </c>
      <c r="R91" s="71">
        <v>7.2756400000000001</v>
      </c>
      <c r="S91" s="71">
        <v>7.5488150000000003</v>
      </c>
      <c r="T91" s="71">
        <v>7.7959389999999997</v>
      </c>
      <c r="U91" s="71">
        <v>8.0338779999999996</v>
      </c>
      <c r="V91" s="71">
        <v>8.2563250000000004</v>
      </c>
      <c r="W91" s="71">
        <v>8.4442880000000002</v>
      </c>
      <c r="X91" s="71">
        <v>8.6283550000000009</v>
      </c>
      <c r="Y91" s="71">
        <v>8.8073840000000008</v>
      </c>
      <c r="Z91" s="71">
        <v>8.9816760000000002</v>
      </c>
      <c r="AA91" s="71">
        <v>9.1184250000000002</v>
      </c>
      <c r="AB91" s="71">
        <v>9.2376199999999997</v>
      </c>
      <c r="AC91" s="71">
        <v>9.4325899999999994</v>
      </c>
      <c r="AD91" s="71">
        <v>9.5696849999999998</v>
      </c>
      <c r="AE91" s="71">
        <v>9.6751059999999995</v>
      </c>
      <c r="AF91" s="67">
        <v>9.1839999999999995E-3</v>
      </c>
      <c r="AG91" s="37"/>
    </row>
    <row r="92" spans="1:33" ht="12" customHeight="1" x14ac:dyDescent="0.2">
      <c r="A92" s="42" t="s">
        <v>804</v>
      </c>
      <c r="B92" s="65" t="s">
        <v>800</v>
      </c>
      <c r="C92" s="71">
        <v>1.5122469999999999</v>
      </c>
      <c r="D92" s="71">
        <v>1.586703</v>
      </c>
      <c r="E92" s="71">
        <v>1.6544669999999999</v>
      </c>
      <c r="F92" s="71">
        <v>1.743144</v>
      </c>
      <c r="G92" s="71">
        <v>1.829429</v>
      </c>
      <c r="H92" s="71">
        <v>1.917189</v>
      </c>
      <c r="I92" s="71">
        <v>2.0014050000000001</v>
      </c>
      <c r="J92" s="71">
        <v>2.078805</v>
      </c>
      <c r="K92" s="71">
        <v>2.1553810000000002</v>
      </c>
      <c r="L92" s="71">
        <v>2.2291590000000001</v>
      </c>
      <c r="M92" s="71">
        <v>2.3043550000000002</v>
      </c>
      <c r="N92" s="71">
        <v>2.3869950000000002</v>
      </c>
      <c r="O92" s="71">
        <v>2.4703369999999998</v>
      </c>
      <c r="P92" s="71">
        <v>2.5519259999999999</v>
      </c>
      <c r="Q92" s="71">
        <v>2.6315240000000002</v>
      </c>
      <c r="R92" s="71">
        <v>2.7133509999999998</v>
      </c>
      <c r="S92" s="71">
        <v>2.797825</v>
      </c>
      <c r="T92" s="71">
        <v>2.8816540000000002</v>
      </c>
      <c r="U92" s="71">
        <v>2.967686</v>
      </c>
      <c r="V92" s="71">
        <v>3.0564040000000001</v>
      </c>
      <c r="W92" s="71">
        <v>3.1324489999999998</v>
      </c>
      <c r="X92" s="71">
        <v>3.2064300000000001</v>
      </c>
      <c r="Y92" s="71">
        <v>3.2876249999999998</v>
      </c>
      <c r="Z92" s="71">
        <v>3.3729420000000001</v>
      </c>
      <c r="AA92" s="71">
        <v>3.4582250000000001</v>
      </c>
      <c r="AB92" s="71">
        <v>3.5407839999999999</v>
      </c>
      <c r="AC92" s="71">
        <v>3.623418</v>
      </c>
      <c r="AD92" s="71">
        <v>3.7084630000000001</v>
      </c>
      <c r="AE92" s="71">
        <v>3.789768</v>
      </c>
      <c r="AF92" s="67">
        <v>3.3355000000000003E-2</v>
      </c>
      <c r="AG92" s="37"/>
    </row>
    <row r="93" spans="1:33" ht="15" customHeight="1" x14ac:dyDescent="0.2">
      <c r="A93" s="42" t="s">
        <v>805</v>
      </c>
      <c r="B93" s="65" t="s">
        <v>802</v>
      </c>
      <c r="C93" s="71">
        <v>3.199084</v>
      </c>
      <c r="D93" s="71">
        <v>3.3845550000000002</v>
      </c>
      <c r="E93" s="71">
        <v>3.5010330000000001</v>
      </c>
      <c r="F93" s="71">
        <v>3.6439509999999999</v>
      </c>
      <c r="G93" s="71">
        <v>3.781393</v>
      </c>
      <c r="H93" s="71">
        <v>3.9145569999999998</v>
      </c>
      <c r="I93" s="71">
        <v>4.0500749999999996</v>
      </c>
      <c r="J93" s="71">
        <v>4.1912529999999997</v>
      </c>
      <c r="K93" s="71">
        <v>4.3609499999999999</v>
      </c>
      <c r="L93" s="71">
        <v>4.5342390000000004</v>
      </c>
      <c r="M93" s="71">
        <v>4.6973880000000001</v>
      </c>
      <c r="N93" s="71">
        <v>4.8667749999999996</v>
      </c>
      <c r="O93" s="71">
        <v>5.0342310000000001</v>
      </c>
      <c r="P93" s="71">
        <v>5.1883850000000002</v>
      </c>
      <c r="Q93" s="71">
        <v>5.3356640000000004</v>
      </c>
      <c r="R93" s="71">
        <v>5.485023</v>
      </c>
      <c r="S93" s="71">
        <v>5.6386450000000004</v>
      </c>
      <c r="T93" s="71">
        <v>5.7932959999999998</v>
      </c>
      <c r="U93" s="71">
        <v>5.9531609999999997</v>
      </c>
      <c r="V93" s="71">
        <v>6.11876</v>
      </c>
      <c r="W93" s="71">
        <v>6.2874800000000004</v>
      </c>
      <c r="X93" s="71">
        <v>6.4616939999999996</v>
      </c>
      <c r="Y93" s="71">
        <v>6.6433359999999997</v>
      </c>
      <c r="Z93" s="71">
        <v>6.8292339999999996</v>
      </c>
      <c r="AA93" s="71">
        <v>7.0079849999999997</v>
      </c>
      <c r="AB93" s="71">
        <v>7.178979</v>
      </c>
      <c r="AC93" s="71">
        <v>7.3477290000000002</v>
      </c>
      <c r="AD93" s="71">
        <v>7.4989710000000001</v>
      </c>
      <c r="AE93" s="71">
        <v>7.6348750000000001</v>
      </c>
      <c r="AF93" s="67">
        <v>3.1553999999999999E-2</v>
      </c>
      <c r="AG93" s="37"/>
    </row>
    <row r="94" spans="1:33" ht="15" customHeight="1" x14ac:dyDescent="0.2">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row>
    <row r="95" spans="1:33" ht="15" customHeight="1" x14ac:dyDescent="0.2">
      <c r="B95" s="64" t="s">
        <v>806</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row>
    <row r="96" spans="1:33" ht="15" customHeight="1" x14ac:dyDescent="0.2">
      <c r="A96" s="42" t="s">
        <v>807</v>
      </c>
      <c r="B96" s="65" t="s">
        <v>808</v>
      </c>
      <c r="C96" s="66">
        <v>0.61597900000000005</v>
      </c>
      <c r="D96" s="66">
        <v>0.56548100000000001</v>
      </c>
      <c r="E96" s="66">
        <v>0.584982</v>
      </c>
      <c r="F96" s="66">
        <v>0.57908899999999996</v>
      </c>
      <c r="G96" s="66">
        <v>0.53188199999999997</v>
      </c>
      <c r="H96" s="66">
        <v>0.47616999999999998</v>
      </c>
      <c r="I96" s="66">
        <v>0.39708599999999999</v>
      </c>
      <c r="J96" s="66">
        <v>0.256523</v>
      </c>
      <c r="K96" s="66">
        <v>0.23081599999999999</v>
      </c>
      <c r="L96" s="66">
        <v>0.230573</v>
      </c>
      <c r="M96" s="66">
        <v>0.23397899999999999</v>
      </c>
      <c r="N96" s="66">
        <v>0.237536</v>
      </c>
      <c r="O96" s="66">
        <v>0.228662</v>
      </c>
      <c r="P96" s="66">
        <v>0.231098</v>
      </c>
      <c r="Q96" s="66">
        <v>0.227378</v>
      </c>
      <c r="R96" s="66">
        <v>0.219642</v>
      </c>
      <c r="S96" s="66">
        <v>0.21731</v>
      </c>
      <c r="T96" s="66">
        <v>0.216026</v>
      </c>
      <c r="U96" s="66">
        <v>0.210899</v>
      </c>
      <c r="V96" s="66">
        <v>0.209505</v>
      </c>
      <c r="W96" s="66">
        <v>0.21051500000000001</v>
      </c>
      <c r="X96" s="66">
        <v>0.21016399999999999</v>
      </c>
      <c r="Y96" s="66">
        <v>0.205342</v>
      </c>
      <c r="Z96" s="66">
        <v>0.204598</v>
      </c>
      <c r="AA96" s="66">
        <v>0.20261000000000001</v>
      </c>
      <c r="AB96" s="66">
        <v>0.20086499999999999</v>
      </c>
      <c r="AC96" s="66">
        <v>0.19707</v>
      </c>
      <c r="AD96" s="66">
        <v>0.19859199999999999</v>
      </c>
      <c r="AE96" s="66">
        <v>0.18834899999999999</v>
      </c>
      <c r="AF96" s="67">
        <v>-4.1435E-2</v>
      </c>
      <c r="AG96" s="37"/>
    </row>
    <row r="97" spans="1:34" ht="15" customHeight="1" x14ac:dyDescent="0.2">
      <c r="A97" s="42" t="s">
        <v>809</v>
      </c>
      <c r="B97" s="65" t="s">
        <v>810</v>
      </c>
      <c r="C97" s="66">
        <v>0.83835899999999997</v>
      </c>
      <c r="D97" s="66">
        <v>0.75834299999999999</v>
      </c>
      <c r="E97" s="66">
        <v>0.74342600000000003</v>
      </c>
      <c r="F97" s="66">
        <v>0.65097099999999997</v>
      </c>
      <c r="G97" s="66">
        <v>0.54790799999999995</v>
      </c>
      <c r="H97" s="66">
        <v>0.45306400000000002</v>
      </c>
      <c r="I97" s="66">
        <v>0.40640999999999999</v>
      </c>
      <c r="J97" s="66">
        <v>0.37621100000000002</v>
      </c>
      <c r="K97" s="66">
        <v>0.34792600000000001</v>
      </c>
      <c r="L97" s="66">
        <v>0.31550800000000001</v>
      </c>
      <c r="M97" s="66">
        <v>0.309701</v>
      </c>
      <c r="N97" s="66">
        <v>0.32134200000000002</v>
      </c>
      <c r="O97" s="66">
        <v>0.32014100000000001</v>
      </c>
      <c r="P97" s="66">
        <v>0.31675599999999998</v>
      </c>
      <c r="Q97" s="66">
        <v>0.31518600000000002</v>
      </c>
      <c r="R97" s="66">
        <v>0.30467</v>
      </c>
      <c r="S97" s="66">
        <v>0.28098299999999998</v>
      </c>
      <c r="T97" s="66">
        <v>0.26944200000000001</v>
      </c>
      <c r="U97" s="66">
        <v>0.27182400000000001</v>
      </c>
      <c r="V97" s="66">
        <v>0.27671400000000002</v>
      </c>
      <c r="W97" s="66">
        <v>0.27645599999999998</v>
      </c>
      <c r="X97" s="66">
        <v>0.27567999999999998</v>
      </c>
      <c r="Y97" s="66">
        <v>0.27428799999999998</v>
      </c>
      <c r="Z97" s="66">
        <v>0.271096</v>
      </c>
      <c r="AA97" s="66">
        <v>0.26914900000000003</v>
      </c>
      <c r="AB97" s="66">
        <v>0.26687699999999998</v>
      </c>
      <c r="AC97" s="66">
        <v>0.26465300000000003</v>
      </c>
      <c r="AD97" s="66">
        <v>0.26547999999999999</v>
      </c>
      <c r="AE97" s="66">
        <v>0.267461</v>
      </c>
      <c r="AF97" s="67">
        <v>-3.9981000000000003E-2</v>
      </c>
      <c r="AG97" s="37"/>
    </row>
    <row r="98" spans="1:34" ht="15" customHeight="1" x14ac:dyDescent="0.2">
      <c r="A98" s="42" t="s">
        <v>811</v>
      </c>
      <c r="B98" s="65" t="s">
        <v>812</v>
      </c>
      <c r="C98" s="66">
        <v>3.6862599999999999</v>
      </c>
      <c r="D98" s="66">
        <v>3.4044910000000002</v>
      </c>
      <c r="E98" s="66">
        <v>3.4990749999999999</v>
      </c>
      <c r="F98" s="66">
        <v>3.273323</v>
      </c>
      <c r="G98" s="66">
        <v>2.8589099999999998</v>
      </c>
      <c r="H98" s="66">
        <v>2.4950800000000002</v>
      </c>
      <c r="I98" s="66">
        <v>2.1364839999999998</v>
      </c>
      <c r="J98" s="66">
        <v>1.7361139999999999</v>
      </c>
      <c r="K98" s="66">
        <v>1.575008</v>
      </c>
      <c r="L98" s="66">
        <v>1.5581830000000001</v>
      </c>
      <c r="M98" s="66">
        <v>1.5348310000000001</v>
      </c>
      <c r="N98" s="66">
        <v>1.5033030000000001</v>
      </c>
      <c r="O98" s="66">
        <v>1.467937</v>
      </c>
      <c r="P98" s="66">
        <v>1.4793240000000001</v>
      </c>
      <c r="Q98" s="66">
        <v>1.465252</v>
      </c>
      <c r="R98" s="66">
        <v>1.3946670000000001</v>
      </c>
      <c r="S98" s="66">
        <v>1.359971</v>
      </c>
      <c r="T98" s="66">
        <v>1.32958</v>
      </c>
      <c r="U98" s="66">
        <v>1.3077319999999999</v>
      </c>
      <c r="V98" s="66">
        <v>1.315598</v>
      </c>
      <c r="W98" s="66">
        <v>1.3166739999999999</v>
      </c>
      <c r="X98" s="66">
        <v>1.3005770000000001</v>
      </c>
      <c r="Y98" s="66">
        <v>1.2646470000000001</v>
      </c>
      <c r="Z98" s="66">
        <v>1.23315</v>
      </c>
      <c r="AA98" s="66">
        <v>1.215068</v>
      </c>
      <c r="AB98" s="66">
        <v>1.2070639999999999</v>
      </c>
      <c r="AC98" s="66">
        <v>1.1852739999999999</v>
      </c>
      <c r="AD98" s="66">
        <v>1.1756850000000001</v>
      </c>
      <c r="AE98" s="66">
        <v>1.117597</v>
      </c>
      <c r="AF98" s="67">
        <v>-4.1727E-2</v>
      </c>
      <c r="AG98" s="37"/>
    </row>
    <row r="99" spans="1:34" ht="15" customHeight="1" thickBot="1" x14ac:dyDescent="0.25">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row>
    <row r="100" spans="1:34" ht="15" customHeight="1" x14ac:dyDescent="0.25">
      <c r="B100" s="459" t="s">
        <v>833</v>
      </c>
      <c r="C100" s="460"/>
      <c r="D100" s="460"/>
      <c r="E100" s="460"/>
      <c r="F100" s="460"/>
      <c r="G100" s="460"/>
      <c r="H100" s="460"/>
      <c r="I100" s="460"/>
      <c r="J100" s="460"/>
      <c r="K100" s="460"/>
      <c r="L100" s="460"/>
      <c r="M100" s="460"/>
      <c r="N100" s="460"/>
      <c r="O100" s="460"/>
      <c r="P100" s="460"/>
      <c r="Q100" s="460"/>
      <c r="R100" s="460"/>
      <c r="S100" s="460"/>
      <c r="T100" s="460"/>
      <c r="U100" s="460"/>
      <c r="V100" s="460"/>
      <c r="W100" s="460"/>
      <c r="X100" s="460"/>
      <c r="Y100" s="460"/>
      <c r="Z100" s="460"/>
      <c r="AA100" s="460"/>
      <c r="AB100" s="460"/>
      <c r="AC100" s="460"/>
      <c r="AD100" s="460"/>
      <c r="AE100" s="460"/>
      <c r="AF100" s="460"/>
      <c r="AG100" s="460"/>
      <c r="AH100" s="57"/>
    </row>
    <row r="101" spans="1:34" ht="12" customHeight="1" x14ac:dyDescent="0.2">
      <c r="B101" s="37" t="s">
        <v>814</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row>
    <row r="102" spans="1:34" ht="12" customHeight="1" x14ac:dyDescent="0.2">
      <c r="B102" s="37" t="s">
        <v>815</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row>
    <row r="103" spans="1:34" ht="15" customHeight="1" x14ac:dyDescent="0.2">
      <c r="B103" s="37" t="s">
        <v>816</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row>
    <row r="104" spans="1:34" ht="15" customHeight="1" x14ac:dyDescent="0.2">
      <c r="B104" s="37" t="s">
        <v>817</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row>
    <row r="105" spans="1:34" ht="15" customHeight="1" x14ac:dyDescent="0.2">
      <c r="B105" s="37" t="s">
        <v>818</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row>
    <row r="106" spans="1:34" ht="15" customHeight="1" x14ac:dyDescent="0.2">
      <c r="B106" s="37" t="s">
        <v>834</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row>
    <row r="107" spans="1:34" ht="15" customHeight="1" x14ac:dyDescent="0.2">
      <c r="B107" s="37" t="s">
        <v>835</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row>
    <row r="108" spans="1:34" ht="15" customHeight="1" x14ac:dyDescent="0.2">
      <c r="B108" s="37" t="s">
        <v>836</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row>
    <row r="109" spans="1:34" ht="15" customHeight="1" x14ac:dyDescent="0.2">
      <c r="B109" s="37" t="s">
        <v>837</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row>
    <row r="110" spans="1:34" ht="15" customHeight="1" x14ac:dyDescent="0.2">
      <c r="B110" s="37" t="s">
        <v>823</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row>
    <row r="111" spans="1:34" ht="15" customHeight="1" x14ac:dyDescent="0.2">
      <c r="B111" s="37" t="s">
        <v>824</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row>
    <row r="112" spans="1:34" ht="15" customHeight="1" x14ac:dyDescent="0.2">
      <c r="B112" s="458" t="s">
        <v>825</v>
      </c>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c r="AA112" s="457"/>
      <c r="AB112" s="457"/>
      <c r="AC112" s="457"/>
      <c r="AD112" s="457"/>
      <c r="AE112" s="457"/>
      <c r="AF112" s="457"/>
      <c r="AG112" s="37"/>
    </row>
    <row r="113" spans="2:33" ht="15" customHeight="1" x14ac:dyDescent="0.2">
      <c r="B113" s="37" t="s">
        <v>838</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row>
    <row r="114" spans="2:33" ht="15" customHeight="1" x14ac:dyDescent="0.2">
      <c r="B114" s="37" t="s">
        <v>827</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row>
    <row r="115" spans="2:33" ht="15" customHeight="1" x14ac:dyDescent="0.2">
      <c r="B115" s="37" t="s">
        <v>828</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row>
    <row r="116" spans="2:33" ht="15" customHeight="1" x14ac:dyDescent="0.2">
      <c r="B116" s="37" t="s">
        <v>829</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row>
    <row r="117" spans="2:33" ht="15" customHeight="1" x14ac:dyDescent="0.2">
      <c r="B117" s="37" t="s">
        <v>552</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row>
    <row r="118" spans="2:33" ht="15" customHeight="1" x14ac:dyDescent="0.2">
      <c r="B118" s="37" t="s">
        <v>553</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row>
    <row r="119" spans="2:33" ht="15" customHeight="1" x14ac:dyDescent="0.2">
      <c r="B119" s="37" t="s">
        <v>839</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row>
    <row r="120" spans="2:33" ht="15" customHeight="1" x14ac:dyDescent="0.2">
      <c r="B120" s="37" t="s">
        <v>840</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row>
    <row r="121" spans="2:33" ht="15" customHeight="1" x14ac:dyDescent="0.2">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row>
    <row r="122" spans="2:33" ht="15" customHeight="1" x14ac:dyDescent="0.2">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row>
    <row r="123" spans="2:33" ht="15" customHeight="1" x14ac:dyDescent="0.2">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row>
    <row r="124" spans="2:33" ht="15" customHeight="1" x14ac:dyDescent="0.2">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row>
    <row r="125" spans="2:33" ht="15" customHeight="1" x14ac:dyDescent="0.2">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row>
    <row r="126" spans="2:33" ht="15" customHeight="1" x14ac:dyDescent="0.2">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row>
    <row r="127" spans="2:33" ht="15" customHeight="1" x14ac:dyDescent="0.2">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row>
    <row r="128" spans="2:33" ht="15" customHeight="1" x14ac:dyDescent="0.2">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row>
    <row r="129" spans="2:33" ht="15" customHeight="1" x14ac:dyDescent="0.2">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row>
    <row r="130" spans="2:33" ht="15" customHeight="1" x14ac:dyDescent="0.2">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row>
    <row r="131" spans="2:33" ht="15" customHeight="1" x14ac:dyDescent="0.2">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row>
    <row r="132" spans="2:33" ht="15" customHeight="1" x14ac:dyDescent="0.2">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row>
    <row r="133" spans="2:33" ht="15" customHeight="1" x14ac:dyDescent="0.2">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row>
    <row r="134" spans="2:33" ht="15" customHeight="1" x14ac:dyDescent="0.2">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row>
    <row r="308" spans="2:32" ht="15" customHeight="1" x14ac:dyDescent="0.2">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c r="AA308" s="457"/>
      <c r="AB308" s="457"/>
      <c r="AC308" s="457"/>
      <c r="AD308" s="457"/>
      <c r="AE308" s="457"/>
      <c r="AF308" s="457"/>
    </row>
    <row r="511" spans="2:32" ht="15" customHeight="1" x14ac:dyDescent="0.2">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c r="AA511" s="457"/>
      <c r="AB511" s="457"/>
      <c r="AC511" s="457"/>
      <c r="AD511" s="457"/>
      <c r="AE511" s="457"/>
      <c r="AF511" s="457"/>
    </row>
    <row r="712" spans="2:32" ht="15" customHeight="1" x14ac:dyDescent="0.2">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c r="AA712" s="457"/>
      <c r="AB712" s="457"/>
      <c r="AC712" s="457"/>
      <c r="AD712" s="457"/>
      <c r="AE712" s="457"/>
      <c r="AF712" s="457"/>
    </row>
    <row r="887" spans="2:32" ht="15" customHeight="1" x14ac:dyDescent="0.2">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c r="AA887" s="457"/>
      <c r="AB887" s="457"/>
      <c r="AC887" s="457"/>
      <c r="AD887" s="457"/>
      <c r="AE887" s="457"/>
      <c r="AF887" s="457"/>
    </row>
    <row r="1101" spans="2:32" ht="15" customHeight="1" x14ac:dyDescent="0.2">
      <c r="B1101" s="457"/>
      <c r="C1101" s="457"/>
      <c r="D1101" s="457"/>
      <c r="E1101" s="457"/>
      <c r="F1101" s="457"/>
      <c r="G1101" s="457"/>
      <c r="H1101" s="457"/>
      <c r="I1101" s="457"/>
      <c r="J1101" s="457"/>
      <c r="K1101" s="457"/>
      <c r="L1101" s="457"/>
      <c r="M1101" s="457"/>
      <c r="N1101" s="457"/>
      <c r="O1101" s="457"/>
      <c r="P1101" s="457"/>
      <c r="Q1101" s="457"/>
      <c r="R1101" s="457"/>
      <c r="S1101" s="457"/>
      <c r="T1101" s="457"/>
      <c r="U1101" s="457"/>
      <c r="V1101" s="457"/>
      <c r="W1101" s="457"/>
      <c r="X1101" s="457"/>
      <c r="Y1101" s="457"/>
      <c r="Z1101" s="457"/>
      <c r="AA1101" s="457"/>
      <c r="AB1101" s="457"/>
      <c r="AC1101" s="457"/>
      <c r="AD1101" s="457"/>
      <c r="AE1101" s="457"/>
      <c r="AF1101" s="457"/>
    </row>
    <row r="1229" spans="2:32" ht="15" customHeight="1" x14ac:dyDescent="0.2">
      <c r="B1229" s="457"/>
      <c r="C1229" s="457"/>
      <c r="D1229" s="457"/>
      <c r="E1229" s="457"/>
      <c r="F1229" s="457"/>
      <c r="G1229" s="457"/>
      <c r="H1229" s="457"/>
      <c r="I1229" s="457"/>
      <c r="J1229" s="457"/>
      <c r="K1229" s="457"/>
      <c r="L1229" s="457"/>
      <c r="M1229" s="457"/>
      <c r="N1229" s="457"/>
      <c r="O1229" s="457"/>
      <c r="P1229" s="457"/>
      <c r="Q1229" s="457"/>
      <c r="R1229" s="457"/>
      <c r="S1229" s="457"/>
      <c r="T1229" s="457"/>
      <c r="U1229" s="457"/>
      <c r="V1229" s="457"/>
      <c r="W1229" s="457"/>
      <c r="X1229" s="457"/>
      <c r="Y1229" s="457"/>
      <c r="Z1229" s="457"/>
      <c r="AA1229" s="457"/>
      <c r="AB1229" s="457"/>
      <c r="AC1229" s="457"/>
      <c r="AD1229" s="457"/>
      <c r="AE1229" s="457"/>
      <c r="AF1229" s="457"/>
    </row>
    <row r="1390" spans="2:32" ht="15" customHeight="1" x14ac:dyDescent="0.2">
      <c r="B1390" s="457"/>
      <c r="C1390" s="457"/>
      <c r="D1390" s="457"/>
      <c r="E1390" s="457"/>
      <c r="F1390" s="457"/>
      <c r="G1390" s="457"/>
      <c r="H1390" s="457"/>
      <c r="I1390" s="457"/>
      <c r="J1390" s="457"/>
      <c r="K1390" s="457"/>
      <c r="L1390" s="457"/>
      <c r="M1390" s="457"/>
      <c r="N1390" s="457"/>
      <c r="O1390" s="457"/>
      <c r="P1390" s="457"/>
      <c r="Q1390" s="457"/>
      <c r="R1390" s="457"/>
      <c r="S1390" s="457"/>
      <c r="T1390" s="457"/>
      <c r="U1390" s="457"/>
      <c r="V1390" s="457"/>
      <c r="W1390" s="457"/>
      <c r="X1390" s="457"/>
      <c r="Y1390" s="457"/>
      <c r="Z1390" s="457"/>
      <c r="AA1390" s="457"/>
      <c r="AB1390" s="457"/>
      <c r="AC1390" s="457"/>
      <c r="AD1390" s="457"/>
      <c r="AE1390" s="457"/>
      <c r="AF1390" s="457"/>
    </row>
    <row r="1502" spans="2:32" ht="15" customHeight="1" x14ac:dyDescent="0.2">
      <c r="B1502" s="457"/>
      <c r="C1502" s="457"/>
      <c r="D1502" s="457"/>
      <c r="E1502" s="457"/>
      <c r="F1502" s="457"/>
      <c r="G1502" s="457"/>
      <c r="H1502" s="457"/>
      <c r="I1502" s="457"/>
      <c r="J1502" s="457"/>
      <c r="K1502" s="457"/>
      <c r="L1502" s="457"/>
      <c r="M1502" s="457"/>
      <c r="N1502" s="457"/>
      <c r="O1502" s="457"/>
      <c r="P1502" s="457"/>
      <c r="Q1502" s="457"/>
      <c r="R1502" s="457"/>
      <c r="S1502" s="457"/>
      <c r="T1502" s="457"/>
      <c r="U1502" s="457"/>
      <c r="V1502" s="457"/>
      <c r="W1502" s="457"/>
      <c r="X1502" s="457"/>
      <c r="Y1502" s="457"/>
      <c r="Z1502" s="457"/>
      <c r="AA1502" s="457"/>
      <c r="AB1502" s="457"/>
      <c r="AC1502" s="457"/>
      <c r="AD1502" s="457"/>
      <c r="AE1502" s="457"/>
      <c r="AF1502" s="457"/>
    </row>
    <row r="1604" spans="2:32" ht="15" customHeight="1" x14ac:dyDescent="0.2">
      <c r="B1604" s="457"/>
      <c r="C1604" s="457"/>
      <c r="D1604" s="457"/>
      <c r="E1604" s="457"/>
      <c r="F1604" s="457"/>
      <c r="G1604" s="457"/>
      <c r="H1604" s="457"/>
      <c r="I1604" s="457"/>
      <c r="J1604" s="457"/>
      <c r="K1604" s="457"/>
      <c r="L1604" s="457"/>
      <c r="M1604" s="457"/>
      <c r="N1604" s="457"/>
      <c r="O1604" s="457"/>
      <c r="P1604" s="457"/>
      <c r="Q1604" s="457"/>
      <c r="R1604" s="457"/>
      <c r="S1604" s="457"/>
      <c r="T1604" s="457"/>
      <c r="U1604" s="457"/>
      <c r="V1604" s="457"/>
      <c r="W1604" s="457"/>
      <c r="X1604" s="457"/>
      <c r="Y1604" s="457"/>
      <c r="Z1604" s="457"/>
      <c r="AA1604" s="457"/>
      <c r="AB1604" s="457"/>
      <c r="AC1604" s="457"/>
      <c r="AD1604" s="457"/>
      <c r="AE1604" s="457"/>
      <c r="AF1604" s="457"/>
    </row>
    <row r="1699" spans="2:32" ht="15" customHeight="1" x14ac:dyDescent="0.2">
      <c r="B1699" s="457"/>
      <c r="C1699" s="457"/>
      <c r="D1699" s="457"/>
      <c r="E1699" s="457"/>
      <c r="F1699" s="457"/>
      <c r="G1699" s="457"/>
      <c r="H1699" s="457"/>
      <c r="I1699" s="457"/>
      <c r="J1699" s="457"/>
      <c r="K1699" s="457"/>
      <c r="L1699" s="457"/>
      <c r="M1699" s="457"/>
      <c r="N1699" s="457"/>
      <c r="O1699" s="457"/>
      <c r="P1699" s="457"/>
      <c r="Q1699" s="457"/>
      <c r="R1699" s="457"/>
      <c r="S1699" s="457"/>
      <c r="T1699" s="457"/>
      <c r="U1699" s="457"/>
      <c r="V1699" s="457"/>
      <c r="W1699" s="457"/>
      <c r="X1699" s="457"/>
      <c r="Y1699" s="457"/>
      <c r="Z1699" s="457"/>
      <c r="AA1699" s="457"/>
      <c r="AB1699" s="457"/>
      <c r="AC1699" s="457"/>
      <c r="AD1699" s="457"/>
      <c r="AE1699" s="457"/>
      <c r="AF1699" s="457"/>
    </row>
    <row r="1945" spans="2:32" ht="15" customHeight="1" x14ac:dyDescent="0.2">
      <c r="B1945" s="457"/>
      <c r="C1945" s="457"/>
      <c r="D1945" s="457"/>
      <c r="E1945" s="457"/>
      <c r="F1945" s="457"/>
      <c r="G1945" s="457"/>
      <c r="H1945" s="457"/>
      <c r="I1945" s="457"/>
      <c r="J1945" s="457"/>
      <c r="K1945" s="457"/>
      <c r="L1945" s="457"/>
      <c r="M1945" s="457"/>
      <c r="N1945" s="457"/>
      <c r="O1945" s="457"/>
      <c r="P1945" s="457"/>
      <c r="Q1945" s="457"/>
      <c r="R1945" s="457"/>
      <c r="S1945" s="457"/>
      <c r="T1945" s="457"/>
      <c r="U1945" s="457"/>
      <c r="V1945" s="457"/>
      <c r="W1945" s="457"/>
      <c r="X1945" s="457"/>
      <c r="Y1945" s="457"/>
      <c r="Z1945" s="457"/>
      <c r="AA1945" s="457"/>
      <c r="AB1945" s="457"/>
      <c r="AC1945" s="457"/>
      <c r="AD1945" s="457"/>
      <c r="AE1945" s="457"/>
      <c r="AF1945" s="457"/>
    </row>
    <row r="2031" spans="2:32" ht="15" customHeight="1" x14ac:dyDescent="0.2">
      <c r="B2031" s="457"/>
      <c r="C2031" s="457"/>
      <c r="D2031" s="457"/>
      <c r="E2031" s="457"/>
      <c r="F2031" s="457"/>
      <c r="G2031" s="457"/>
      <c r="H2031" s="457"/>
      <c r="I2031" s="457"/>
      <c r="J2031" s="457"/>
      <c r="K2031" s="457"/>
      <c r="L2031" s="457"/>
      <c r="M2031" s="457"/>
      <c r="N2031" s="457"/>
      <c r="O2031" s="457"/>
      <c r="P2031" s="457"/>
      <c r="Q2031" s="457"/>
      <c r="R2031" s="457"/>
      <c r="S2031" s="457"/>
      <c r="T2031" s="457"/>
      <c r="U2031" s="457"/>
      <c r="V2031" s="457"/>
      <c r="W2031" s="457"/>
      <c r="X2031" s="457"/>
      <c r="Y2031" s="457"/>
      <c r="Z2031" s="457"/>
      <c r="AA2031" s="457"/>
      <c r="AB2031" s="457"/>
      <c r="AC2031" s="457"/>
      <c r="AD2031" s="457"/>
      <c r="AE2031" s="457"/>
      <c r="AF2031" s="457"/>
    </row>
    <row r="2153" spans="2:32" ht="15" customHeight="1" x14ac:dyDescent="0.2">
      <c r="B2153" s="457"/>
      <c r="C2153" s="457"/>
      <c r="D2153" s="457"/>
      <c r="E2153" s="457"/>
      <c r="F2153" s="457"/>
      <c r="G2153" s="457"/>
      <c r="H2153" s="457"/>
      <c r="I2153" s="457"/>
      <c r="J2153" s="457"/>
      <c r="K2153" s="457"/>
      <c r="L2153" s="457"/>
      <c r="M2153" s="457"/>
      <c r="N2153" s="457"/>
      <c r="O2153" s="457"/>
      <c r="P2153" s="457"/>
      <c r="Q2153" s="457"/>
      <c r="R2153" s="457"/>
      <c r="S2153" s="457"/>
      <c r="T2153" s="457"/>
      <c r="U2153" s="457"/>
      <c r="V2153" s="457"/>
      <c r="W2153" s="457"/>
      <c r="X2153" s="457"/>
      <c r="Y2153" s="457"/>
      <c r="Z2153" s="457"/>
      <c r="AA2153" s="457"/>
      <c r="AB2153" s="457"/>
      <c r="AC2153" s="457"/>
      <c r="AD2153" s="457"/>
      <c r="AE2153" s="457"/>
      <c r="AF2153" s="457"/>
    </row>
    <row r="2317" spans="2:32" ht="15" customHeight="1" x14ac:dyDescent="0.2">
      <c r="B2317" s="457"/>
      <c r="C2317" s="457"/>
      <c r="D2317" s="457"/>
      <c r="E2317" s="457"/>
      <c r="F2317" s="457"/>
      <c r="G2317" s="457"/>
      <c r="H2317" s="457"/>
      <c r="I2317" s="457"/>
      <c r="J2317" s="457"/>
      <c r="K2317" s="457"/>
      <c r="L2317" s="457"/>
      <c r="M2317" s="457"/>
      <c r="N2317" s="457"/>
      <c r="O2317" s="457"/>
      <c r="P2317" s="457"/>
      <c r="Q2317" s="457"/>
      <c r="R2317" s="457"/>
      <c r="S2317" s="457"/>
      <c r="T2317" s="457"/>
      <c r="U2317" s="457"/>
      <c r="V2317" s="457"/>
      <c r="W2317" s="457"/>
      <c r="X2317" s="457"/>
      <c r="Y2317" s="457"/>
      <c r="Z2317" s="457"/>
      <c r="AA2317" s="457"/>
      <c r="AB2317" s="457"/>
      <c r="AC2317" s="457"/>
      <c r="AD2317" s="457"/>
      <c r="AE2317" s="457"/>
      <c r="AF2317" s="457"/>
    </row>
    <row r="2419" spans="2:32" ht="15" customHeight="1" x14ac:dyDescent="0.2">
      <c r="B2419" s="457"/>
      <c r="C2419" s="457"/>
      <c r="D2419" s="457"/>
      <c r="E2419" s="457"/>
      <c r="F2419" s="457"/>
      <c r="G2419" s="457"/>
      <c r="H2419" s="457"/>
      <c r="I2419" s="457"/>
      <c r="J2419" s="457"/>
      <c r="K2419" s="457"/>
      <c r="L2419" s="457"/>
      <c r="M2419" s="457"/>
      <c r="N2419" s="457"/>
      <c r="O2419" s="457"/>
      <c r="P2419" s="457"/>
      <c r="Q2419" s="457"/>
      <c r="R2419" s="457"/>
      <c r="S2419" s="457"/>
      <c r="T2419" s="457"/>
      <c r="U2419" s="457"/>
      <c r="V2419" s="457"/>
      <c r="W2419" s="457"/>
      <c r="X2419" s="457"/>
      <c r="Y2419" s="457"/>
      <c r="Z2419" s="457"/>
      <c r="AA2419" s="457"/>
      <c r="AB2419" s="457"/>
      <c r="AC2419" s="457"/>
      <c r="AD2419" s="457"/>
      <c r="AE2419" s="457"/>
      <c r="AF2419" s="457"/>
    </row>
    <row r="2509" spans="2:32" ht="15" customHeight="1" x14ac:dyDescent="0.2">
      <c r="B2509" s="457"/>
      <c r="C2509" s="457"/>
      <c r="D2509" s="457"/>
      <c r="E2509" s="457"/>
      <c r="F2509" s="457"/>
      <c r="G2509" s="457"/>
      <c r="H2509" s="457"/>
      <c r="I2509" s="457"/>
      <c r="J2509" s="457"/>
      <c r="K2509" s="457"/>
      <c r="L2509" s="457"/>
      <c r="M2509" s="457"/>
      <c r="N2509" s="457"/>
      <c r="O2509" s="457"/>
      <c r="P2509" s="457"/>
      <c r="Q2509" s="457"/>
      <c r="R2509" s="457"/>
      <c r="S2509" s="457"/>
      <c r="T2509" s="457"/>
      <c r="U2509" s="457"/>
      <c r="V2509" s="457"/>
      <c r="W2509" s="457"/>
      <c r="X2509" s="457"/>
      <c r="Y2509" s="457"/>
      <c r="Z2509" s="457"/>
      <c r="AA2509" s="457"/>
      <c r="AB2509" s="457"/>
      <c r="AC2509" s="457"/>
      <c r="AD2509" s="457"/>
      <c r="AE2509" s="457"/>
      <c r="AF2509" s="457"/>
    </row>
    <row r="2598" spans="2:32" ht="15" customHeight="1" x14ac:dyDescent="0.2">
      <c r="B2598" s="457"/>
      <c r="C2598" s="457"/>
      <c r="D2598" s="457"/>
      <c r="E2598" s="457"/>
      <c r="F2598" s="457"/>
      <c r="G2598" s="457"/>
      <c r="H2598" s="457"/>
      <c r="I2598" s="457"/>
      <c r="J2598" s="457"/>
      <c r="K2598" s="457"/>
      <c r="L2598" s="457"/>
      <c r="M2598" s="457"/>
      <c r="N2598" s="457"/>
      <c r="O2598" s="457"/>
      <c r="P2598" s="457"/>
      <c r="Q2598" s="457"/>
      <c r="R2598" s="457"/>
      <c r="S2598" s="457"/>
      <c r="T2598" s="457"/>
      <c r="U2598" s="457"/>
      <c r="V2598" s="457"/>
      <c r="W2598" s="457"/>
      <c r="X2598" s="457"/>
      <c r="Y2598" s="457"/>
      <c r="Z2598" s="457"/>
      <c r="AA2598" s="457"/>
      <c r="AB2598" s="457"/>
      <c r="AC2598" s="457"/>
      <c r="AD2598" s="457"/>
      <c r="AE2598" s="457"/>
      <c r="AF2598" s="457"/>
    </row>
    <row r="2719" spans="2:32" ht="15" customHeight="1" x14ac:dyDescent="0.2">
      <c r="B2719" s="457"/>
      <c r="C2719" s="457"/>
      <c r="D2719" s="457"/>
      <c r="E2719" s="457"/>
      <c r="F2719" s="457"/>
      <c r="G2719" s="457"/>
      <c r="H2719" s="457"/>
      <c r="I2719" s="457"/>
      <c r="J2719" s="457"/>
      <c r="K2719" s="457"/>
      <c r="L2719" s="457"/>
      <c r="M2719" s="457"/>
      <c r="N2719" s="457"/>
      <c r="O2719" s="457"/>
      <c r="P2719" s="457"/>
      <c r="Q2719" s="457"/>
      <c r="R2719" s="457"/>
      <c r="S2719" s="457"/>
      <c r="T2719" s="457"/>
      <c r="U2719" s="457"/>
      <c r="V2719" s="457"/>
      <c r="W2719" s="457"/>
      <c r="X2719" s="457"/>
      <c r="Y2719" s="457"/>
      <c r="Z2719" s="457"/>
      <c r="AA2719" s="457"/>
      <c r="AB2719" s="457"/>
      <c r="AC2719" s="457"/>
      <c r="AD2719" s="457"/>
      <c r="AE2719" s="457"/>
      <c r="AF2719" s="457"/>
    </row>
    <row r="2837" spans="2:32" ht="15" customHeight="1" x14ac:dyDescent="0.2">
      <c r="B2837" s="457"/>
      <c r="C2837" s="457"/>
      <c r="D2837" s="457"/>
      <c r="E2837" s="457"/>
      <c r="F2837" s="457"/>
      <c r="G2837" s="457"/>
      <c r="H2837" s="457"/>
      <c r="I2837" s="457"/>
      <c r="J2837" s="457"/>
      <c r="K2837" s="457"/>
      <c r="L2837" s="457"/>
      <c r="M2837" s="457"/>
      <c r="N2837" s="457"/>
      <c r="O2837" s="457"/>
      <c r="P2837" s="457"/>
      <c r="Q2837" s="457"/>
      <c r="R2837" s="457"/>
      <c r="S2837" s="457"/>
      <c r="T2837" s="457"/>
      <c r="U2837" s="457"/>
      <c r="V2837" s="457"/>
      <c r="W2837" s="457"/>
      <c r="X2837" s="457"/>
      <c r="Y2837" s="457"/>
      <c r="Z2837" s="457"/>
      <c r="AA2837" s="457"/>
      <c r="AB2837" s="457"/>
      <c r="AC2837" s="457"/>
      <c r="AD2837" s="457"/>
      <c r="AE2837" s="457"/>
      <c r="AF2837" s="457"/>
    </row>
  </sheetData>
  <mergeCells count="21">
    <mergeCell ref="B112:AF112"/>
    <mergeCell ref="B308:AF308"/>
    <mergeCell ref="B2719:AF2719"/>
    <mergeCell ref="B712:AF712"/>
    <mergeCell ref="B2598:AF2598"/>
    <mergeCell ref="B2837:AF2837"/>
    <mergeCell ref="B100:AG100"/>
    <mergeCell ref="B1699:AF1699"/>
    <mergeCell ref="B2317:AF2317"/>
    <mergeCell ref="B1390:AF1390"/>
    <mergeCell ref="B2509:AF2509"/>
    <mergeCell ref="B511:AF511"/>
    <mergeCell ref="B1229:AF1229"/>
    <mergeCell ref="B1945:AF1945"/>
    <mergeCell ref="B2031:AF2031"/>
    <mergeCell ref="B2153:AF2153"/>
    <mergeCell ref="B1101:AF1101"/>
    <mergeCell ref="B2419:AF2419"/>
    <mergeCell ref="B887:AF887"/>
    <mergeCell ref="B1502:AF1502"/>
    <mergeCell ref="B1604:AF1604"/>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82"/>
  <sheetViews>
    <sheetView topLeftCell="B1" workbookViewId="0">
      <selection activeCell="C7" sqref="C7"/>
    </sheetView>
  </sheetViews>
  <sheetFormatPr defaultRowHeight="15" x14ac:dyDescent="0.25"/>
  <cols>
    <col min="1" max="1" width="13.5703125" customWidth="1"/>
    <col min="2" max="2" width="47.85546875" customWidth="1"/>
  </cols>
  <sheetData>
    <row r="1" spans="1:33" x14ac:dyDescent="0.25">
      <c r="A1" t="s">
        <v>841</v>
      </c>
    </row>
    <row r="2" spans="1:33" x14ac:dyDescent="0.25">
      <c r="A2" t="s">
        <v>842</v>
      </c>
    </row>
    <row r="3" spans="1:33" x14ac:dyDescent="0.25">
      <c r="A3" t="s">
        <v>843</v>
      </c>
    </row>
    <row r="4" spans="1:33" x14ac:dyDescent="0.25">
      <c r="A4" t="s">
        <v>575</v>
      </c>
    </row>
    <row r="5" spans="1:33" x14ac:dyDescent="0.25">
      <c r="B5" t="s">
        <v>576</v>
      </c>
      <c r="C5" t="s">
        <v>577</v>
      </c>
      <c r="D5" t="s">
        <v>578</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579</v>
      </c>
    </row>
    <row r="6" spans="1:33" x14ac:dyDescent="0.25">
      <c r="A6" t="s">
        <v>701</v>
      </c>
    </row>
    <row r="7" spans="1:33" x14ac:dyDescent="0.25">
      <c r="A7" t="s">
        <v>844</v>
      </c>
    </row>
    <row r="8" spans="1:33" x14ac:dyDescent="0.25">
      <c r="A8" t="s">
        <v>845</v>
      </c>
    </row>
    <row r="9" spans="1:33" s="346" customFormat="1" x14ac:dyDescent="0.25">
      <c r="A9" s="346" t="s">
        <v>590</v>
      </c>
      <c r="B9" s="346" t="s">
        <v>846</v>
      </c>
      <c r="C9" s="346" t="s">
        <v>847</v>
      </c>
      <c r="D9" s="346" t="s">
        <v>848</v>
      </c>
      <c r="F9" s="346">
        <v>648.30139199999996</v>
      </c>
      <c r="G9" s="346">
        <v>656.17211899999995</v>
      </c>
      <c r="H9" s="346">
        <v>565.657104</v>
      </c>
      <c r="I9" s="346">
        <v>450.2276</v>
      </c>
      <c r="J9" s="346">
        <v>433.82659899999999</v>
      </c>
      <c r="K9" s="346">
        <v>411.406586</v>
      </c>
      <c r="L9" s="346">
        <v>335.806915</v>
      </c>
      <c r="M9" s="346">
        <v>309.12512199999998</v>
      </c>
      <c r="N9" s="346">
        <v>67.686012000000005</v>
      </c>
      <c r="O9" s="346">
        <v>67.736923000000004</v>
      </c>
      <c r="P9" s="346">
        <v>65.641425999999996</v>
      </c>
      <c r="Q9" s="346">
        <v>61.754604</v>
      </c>
      <c r="R9" s="346">
        <v>59.323138999999998</v>
      </c>
      <c r="S9" s="346">
        <v>55.271309000000002</v>
      </c>
      <c r="T9" s="346">
        <v>50.305824000000001</v>
      </c>
      <c r="U9" s="346">
        <v>15.246185000000001</v>
      </c>
      <c r="V9" s="346">
        <v>15.276624999999999</v>
      </c>
      <c r="W9" s="346">
        <v>15.310402</v>
      </c>
      <c r="X9" s="346">
        <v>15.327474</v>
      </c>
      <c r="Y9" s="346">
        <v>15.363913999999999</v>
      </c>
      <c r="Z9" s="346">
        <v>15.06954</v>
      </c>
      <c r="AA9" s="346">
        <v>13.754477</v>
      </c>
      <c r="AB9" s="346">
        <v>3.278562</v>
      </c>
      <c r="AC9" s="346">
        <v>3.2768519999999999</v>
      </c>
      <c r="AD9" s="346">
        <v>3.2742870000000002</v>
      </c>
      <c r="AE9" s="346">
        <v>3.0372849999999998</v>
      </c>
      <c r="AF9" s="346">
        <v>3.04643</v>
      </c>
      <c r="AG9" s="347">
        <v>-0.186</v>
      </c>
    </row>
    <row r="10" spans="1:33" x14ac:dyDescent="0.25">
      <c r="A10" t="s">
        <v>849</v>
      </c>
      <c r="B10" t="s">
        <v>850</v>
      </c>
      <c r="C10" t="s">
        <v>851</v>
      </c>
      <c r="D10" t="s">
        <v>848</v>
      </c>
      <c r="F10">
        <v>9.9417600000000004</v>
      </c>
      <c r="G10">
        <v>9.7435569999999991</v>
      </c>
      <c r="H10">
        <v>9.1847499999999993</v>
      </c>
      <c r="I10">
        <v>8.3979470000000003</v>
      </c>
      <c r="J10">
        <v>7.8969449999999997</v>
      </c>
      <c r="K10">
        <v>7.6657529999999996</v>
      </c>
      <c r="L10">
        <v>7.2545349999999997</v>
      </c>
      <c r="M10">
        <v>6.9435089999999997</v>
      </c>
      <c r="N10">
        <v>6.0098200000000004</v>
      </c>
      <c r="O10">
        <v>5.9894410000000002</v>
      </c>
      <c r="P10">
        <v>6.0328540000000004</v>
      </c>
      <c r="Q10">
        <v>6.00251</v>
      </c>
      <c r="R10">
        <v>5.9622820000000001</v>
      </c>
      <c r="S10">
        <v>5.8730529999999996</v>
      </c>
      <c r="T10">
        <v>5.7572239999999999</v>
      </c>
      <c r="U10">
        <v>5.6911199999999997</v>
      </c>
      <c r="V10">
        <v>5.6119389999999996</v>
      </c>
      <c r="W10">
        <v>5.2279260000000001</v>
      </c>
      <c r="X10">
        <v>4.7777690000000002</v>
      </c>
      <c r="Y10">
        <v>4.3450990000000003</v>
      </c>
      <c r="Z10">
        <v>3.8400690000000002</v>
      </c>
      <c r="AA10">
        <v>3.3538709999999998</v>
      </c>
      <c r="AB10">
        <v>3.3533379999999999</v>
      </c>
      <c r="AC10">
        <v>3.3624740000000002</v>
      </c>
      <c r="AD10">
        <v>3.4031289999999998</v>
      </c>
      <c r="AE10">
        <v>3.4476930000000001</v>
      </c>
      <c r="AF10">
        <v>3.494853</v>
      </c>
      <c r="AG10" s="345">
        <v>-3.9E-2</v>
      </c>
    </row>
    <row r="11" spans="1:33" x14ac:dyDescent="0.25">
      <c r="A11" t="s">
        <v>617</v>
      </c>
      <c r="B11" t="s">
        <v>852</v>
      </c>
      <c r="C11" t="s">
        <v>853</v>
      </c>
      <c r="D11" t="s">
        <v>848</v>
      </c>
      <c r="F11">
        <v>1653.509399</v>
      </c>
      <c r="G11">
        <v>1538.7576899999999</v>
      </c>
      <c r="H11">
        <v>1481.841064</v>
      </c>
      <c r="I11">
        <v>1544.1602780000001</v>
      </c>
      <c r="J11">
        <v>1550.6816409999999</v>
      </c>
      <c r="K11">
        <v>1558.380981</v>
      </c>
      <c r="L11">
        <v>1590.68335</v>
      </c>
      <c r="M11">
        <v>1572.4975589999999</v>
      </c>
      <c r="N11">
        <v>1762.326294</v>
      </c>
      <c r="O11">
        <v>1713.1270750000001</v>
      </c>
      <c r="P11">
        <v>1655.9702150000001</v>
      </c>
      <c r="Q11">
        <v>1580.7491460000001</v>
      </c>
      <c r="R11">
        <v>1522.4436040000001</v>
      </c>
      <c r="S11">
        <v>1418.9967039999999</v>
      </c>
      <c r="T11">
        <v>1382.17688</v>
      </c>
      <c r="U11">
        <v>1316.402466</v>
      </c>
      <c r="V11">
        <v>1315.9132079999999</v>
      </c>
      <c r="W11">
        <v>1359.8312989999999</v>
      </c>
      <c r="X11">
        <v>1397.9107670000001</v>
      </c>
      <c r="Y11">
        <v>1422.7248540000001</v>
      </c>
      <c r="Z11">
        <v>1447.1517329999999</v>
      </c>
      <c r="AA11">
        <v>1463.017212</v>
      </c>
      <c r="AB11">
        <v>1490.4487300000001</v>
      </c>
      <c r="AC11">
        <v>1513.2348629999999</v>
      </c>
      <c r="AD11">
        <v>1535.199341</v>
      </c>
      <c r="AE11">
        <v>1561.777466</v>
      </c>
      <c r="AF11">
        <v>1564.7242429999999</v>
      </c>
      <c r="AG11" s="345">
        <v>-2E-3</v>
      </c>
    </row>
    <row r="12" spans="1:33" s="346" customFormat="1" x14ac:dyDescent="0.25">
      <c r="A12" s="346" t="s">
        <v>854</v>
      </c>
      <c r="B12" s="346" t="s">
        <v>855</v>
      </c>
      <c r="C12" s="346" t="s">
        <v>856</v>
      </c>
      <c r="D12" s="346" t="s">
        <v>848</v>
      </c>
      <c r="F12" s="346">
        <v>777.12817399999994</v>
      </c>
      <c r="G12" s="346">
        <v>792.29125999999997</v>
      </c>
      <c r="H12" s="346">
        <v>799.81115699999998</v>
      </c>
      <c r="I12" s="346">
        <v>797.99230999999997</v>
      </c>
      <c r="J12" s="346">
        <v>797.97906499999999</v>
      </c>
      <c r="K12" s="346">
        <v>797.96838400000001</v>
      </c>
      <c r="L12" s="346">
        <v>789.04656999999997</v>
      </c>
      <c r="M12" s="346">
        <v>780.742615</v>
      </c>
      <c r="N12" s="346">
        <v>780.73840299999995</v>
      </c>
      <c r="O12" s="346">
        <v>780.753601</v>
      </c>
      <c r="P12" s="346">
        <v>780.753601</v>
      </c>
      <c r="Q12" s="346">
        <v>778.71734600000002</v>
      </c>
      <c r="R12" s="346">
        <v>773.74438499999997</v>
      </c>
      <c r="S12" s="346">
        <v>777.64660600000002</v>
      </c>
      <c r="T12" s="346">
        <v>777.35607900000002</v>
      </c>
      <c r="U12" s="346">
        <v>775.99267599999996</v>
      </c>
      <c r="V12" s="346">
        <v>775.86566200000004</v>
      </c>
      <c r="W12" s="346">
        <v>775.92944299999999</v>
      </c>
      <c r="X12" s="346">
        <v>775.96227999999996</v>
      </c>
      <c r="Y12" s="346">
        <v>776.00067100000001</v>
      </c>
      <c r="Z12" s="346">
        <v>775.80487100000005</v>
      </c>
      <c r="AA12" s="346">
        <v>775.94567900000004</v>
      </c>
      <c r="AB12" s="346">
        <v>775.59307899999999</v>
      </c>
      <c r="AC12" s="346">
        <v>775.92034899999999</v>
      </c>
      <c r="AD12" s="346">
        <v>775.83007799999996</v>
      </c>
      <c r="AE12" s="346">
        <v>775.65405299999998</v>
      </c>
      <c r="AF12" s="346">
        <v>775.728882</v>
      </c>
      <c r="AG12" s="347">
        <v>0</v>
      </c>
    </row>
    <row r="13" spans="1:33" x14ac:dyDescent="0.25">
      <c r="A13" t="s">
        <v>857</v>
      </c>
      <c r="B13" t="s">
        <v>858</v>
      </c>
      <c r="C13" t="s">
        <v>859</v>
      </c>
      <c r="D13" t="s">
        <v>848</v>
      </c>
      <c r="F13">
        <v>-2.1615679999999999</v>
      </c>
      <c r="G13">
        <v>-4.2541380000000002</v>
      </c>
      <c r="H13">
        <v>-5.7933789999999998</v>
      </c>
      <c r="I13">
        <v>-6.6931469999999997</v>
      </c>
      <c r="J13">
        <v>-7.0596839999999998</v>
      </c>
      <c r="K13">
        <v>-7.4068420000000001</v>
      </c>
      <c r="L13">
        <v>-7.9898709999999999</v>
      </c>
      <c r="M13">
        <v>-7.7018779999999998</v>
      </c>
      <c r="N13">
        <v>-7.3160660000000002</v>
      </c>
      <c r="O13">
        <v>-7.7228560000000002</v>
      </c>
      <c r="P13">
        <v>-7.6201980000000002</v>
      </c>
      <c r="Q13">
        <v>-8.0154189999999996</v>
      </c>
      <c r="R13">
        <v>-8.2627489999999995</v>
      </c>
      <c r="S13">
        <v>-8.2933649999999997</v>
      </c>
      <c r="T13">
        <v>-8.88523</v>
      </c>
      <c r="U13">
        <v>-9.8486379999999993</v>
      </c>
      <c r="V13">
        <v>-9.9297240000000002</v>
      </c>
      <c r="W13">
        <v>-10.305631999999999</v>
      </c>
      <c r="X13">
        <v>-10.589572</v>
      </c>
      <c r="Y13">
        <v>-11.001797</v>
      </c>
      <c r="Z13">
        <v>-11.000961</v>
      </c>
      <c r="AA13">
        <v>-11.33492</v>
      </c>
      <c r="AB13">
        <v>-11.375285999999999</v>
      </c>
      <c r="AC13">
        <v>-11.526237999999999</v>
      </c>
      <c r="AD13">
        <v>-12.021995</v>
      </c>
      <c r="AE13">
        <v>-11.855549</v>
      </c>
      <c r="AF13">
        <v>-12.316532</v>
      </c>
      <c r="AG13" s="345">
        <v>6.9000000000000006E-2</v>
      </c>
    </row>
    <row r="14" spans="1:33" x14ac:dyDescent="0.25">
      <c r="A14" t="s">
        <v>860</v>
      </c>
      <c r="B14" t="s">
        <v>861</v>
      </c>
      <c r="C14" t="s">
        <v>862</v>
      </c>
      <c r="D14" t="s">
        <v>848</v>
      </c>
      <c r="F14">
        <v>0</v>
      </c>
      <c r="G14">
        <v>0</v>
      </c>
      <c r="H14">
        <v>0</v>
      </c>
      <c r="I14">
        <v>0</v>
      </c>
      <c r="J14">
        <v>0</v>
      </c>
      <c r="K14">
        <v>0</v>
      </c>
      <c r="L14">
        <v>0</v>
      </c>
      <c r="M14">
        <v>0</v>
      </c>
      <c r="N14">
        <v>1.1018E-2</v>
      </c>
      <c r="O14">
        <v>1.2725E-2</v>
      </c>
      <c r="P14">
        <v>1.4222E-2</v>
      </c>
      <c r="Q14">
        <v>0</v>
      </c>
      <c r="R14">
        <v>0</v>
      </c>
      <c r="S14">
        <v>0</v>
      </c>
      <c r="T14">
        <v>0</v>
      </c>
      <c r="U14">
        <v>0</v>
      </c>
      <c r="V14">
        <v>0</v>
      </c>
      <c r="W14">
        <v>0</v>
      </c>
      <c r="X14">
        <v>0</v>
      </c>
      <c r="Y14">
        <v>0</v>
      </c>
      <c r="Z14">
        <v>0</v>
      </c>
      <c r="AA14">
        <v>0</v>
      </c>
      <c r="AB14">
        <v>0</v>
      </c>
      <c r="AC14">
        <v>0</v>
      </c>
      <c r="AD14">
        <v>0</v>
      </c>
      <c r="AE14">
        <v>0</v>
      </c>
      <c r="AF14">
        <v>0</v>
      </c>
      <c r="AG14" t="s">
        <v>863</v>
      </c>
    </row>
    <row r="15" spans="1:33" x14ac:dyDescent="0.25">
      <c r="A15" t="s">
        <v>864</v>
      </c>
      <c r="B15" t="s">
        <v>865</v>
      </c>
      <c r="C15" t="s">
        <v>866</v>
      </c>
      <c r="D15" t="s">
        <v>848</v>
      </c>
      <c r="F15">
        <v>925.96130400000004</v>
      </c>
      <c r="G15">
        <v>1039.5566409999999</v>
      </c>
      <c r="H15">
        <v>1204.0166019999999</v>
      </c>
      <c r="I15">
        <v>1297.6182859999999</v>
      </c>
      <c r="J15">
        <v>1343.927856</v>
      </c>
      <c r="K15">
        <v>1408.190186</v>
      </c>
      <c r="L15">
        <v>1509.417725</v>
      </c>
      <c r="M15">
        <v>1619.286621</v>
      </c>
      <c r="N15">
        <v>1743.2020259999999</v>
      </c>
      <c r="O15">
        <v>1873.1669919999999</v>
      </c>
      <c r="P15">
        <v>2029.494385</v>
      </c>
      <c r="Q15">
        <v>2215.6982419999999</v>
      </c>
      <c r="R15">
        <v>2390.8220209999999</v>
      </c>
      <c r="S15">
        <v>2599.7934570000002</v>
      </c>
      <c r="T15">
        <v>2739.6042480000001</v>
      </c>
      <c r="U15">
        <v>2937.4272460000002</v>
      </c>
      <c r="V15">
        <v>3030.469971</v>
      </c>
      <c r="W15">
        <v>3074.1491700000001</v>
      </c>
      <c r="X15">
        <v>3123.439453</v>
      </c>
      <c r="Y15">
        <v>3185.1906739999999</v>
      </c>
      <c r="Z15">
        <v>3240.4079590000001</v>
      </c>
      <c r="AA15">
        <v>3290.9235840000001</v>
      </c>
      <c r="AB15">
        <v>3353.7734380000002</v>
      </c>
      <c r="AC15">
        <v>3402.256836</v>
      </c>
      <c r="AD15">
        <v>3452.4890140000002</v>
      </c>
      <c r="AE15">
        <v>3498.8232419999999</v>
      </c>
      <c r="AF15">
        <v>3565.9719239999999</v>
      </c>
      <c r="AG15" s="345">
        <v>5.2999999999999999E-2</v>
      </c>
    </row>
    <row r="16" spans="1:33" x14ac:dyDescent="0.25">
      <c r="A16" t="s">
        <v>867</v>
      </c>
      <c r="B16" t="s">
        <v>868</v>
      </c>
      <c r="C16" t="s">
        <v>869</v>
      </c>
      <c r="D16" t="s">
        <v>848</v>
      </c>
      <c r="F16">
        <v>0</v>
      </c>
      <c r="G16">
        <v>0</v>
      </c>
      <c r="H16">
        <v>5.3312999999999999E-2</v>
      </c>
      <c r="I16">
        <v>0.137627</v>
      </c>
      <c r="J16">
        <v>0.24854799999999999</v>
      </c>
      <c r="K16">
        <v>0.38517000000000001</v>
      </c>
      <c r="L16">
        <v>0.61926199999999998</v>
      </c>
      <c r="M16">
        <v>0.88450200000000001</v>
      </c>
      <c r="N16">
        <v>2.2531599999999998</v>
      </c>
      <c r="O16">
        <v>2.645473</v>
      </c>
      <c r="P16">
        <v>3.1630820000000002</v>
      </c>
      <c r="Q16">
        <v>3.7429329999999998</v>
      </c>
      <c r="R16">
        <v>4.2880079999999996</v>
      </c>
      <c r="S16">
        <v>4.876627</v>
      </c>
      <c r="T16">
        <v>5.4840070000000001</v>
      </c>
      <c r="U16">
        <v>7.2402449999999998</v>
      </c>
      <c r="V16">
        <v>7.8913630000000001</v>
      </c>
      <c r="W16">
        <v>8.5336230000000004</v>
      </c>
      <c r="X16">
        <v>9.1708370000000006</v>
      </c>
      <c r="Y16">
        <v>9.7789429999999999</v>
      </c>
      <c r="Z16">
        <v>10.362246000000001</v>
      </c>
      <c r="AA16">
        <v>10.92432</v>
      </c>
      <c r="AB16">
        <v>11.500024</v>
      </c>
      <c r="AC16">
        <v>12.103592000000001</v>
      </c>
      <c r="AD16">
        <v>12.689511</v>
      </c>
      <c r="AE16">
        <v>13.300528999999999</v>
      </c>
      <c r="AF16">
        <v>13.947601000000001</v>
      </c>
      <c r="AG16" t="s">
        <v>863</v>
      </c>
    </row>
    <row r="17" spans="1:33" x14ac:dyDescent="0.25">
      <c r="A17" t="s">
        <v>608</v>
      </c>
      <c r="B17" t="s">
        <v>870</v>
      </c>
      <c r="C17" t="s">
        <v>871</v>
      </c>
      <c r="D17" t="s">
        <v>848</v>
      </c>
      <c r="F17">
        <v>4012.6801759999998</v>
      </c>
      <c r="G17">
        <v>4032.2670899999998</v>
      </c>
      <c r="H17">
        <v>4054.7705080000001</v>
      </c>
      <c r="I17">
        <v>4091.8413089999999</v>
      </c>
      <c r="J17">
        <v>4127.5009769999997</v>
      </c>
      <c r="K17">
        <v>4176.5903319999998</v>
      </c>
      <c r="L17">
        <v>4224.8383789999998</v>
      </c>
      <c r="M17">
        <v>4281.7778319999998</v>
      </c>
      <c r="N17">
        <v>4354.9106449999999</v>
      </c>
      <c r="O17">
        <v>4435.7089839999999</v>
      </c>
      <c r="P17">
        <v>4533.4497069999998</v>
      </c>
      <c r="Q17">
        <v>4638.6494140000004</v>
      </c>
      <c r="R17">
        <v>4748.3208009999998</v>
      </c>
      <c r="S17">
        <v>4854.1640619999998</v>
      </c>
      <c r="T17">
        <v>4951.7993159999996</v>
      </c>
      <c r="U17">
        <v>5048.1513670000004</v>
      </c>
      <c r="V17">
        <v>5141.0996089999999</v>
      </c>
      <c r="W17">
        <v>5228.6762699999999</v>
      </c>
      <c r="X17">
        <v>5315.9990230000003</v>
      </c>
      <c r="Y17">
        <v>5402.4023440000001</v>
      </c>
      <c r="Z17">
        <v>5481.6357420000004</v>
      </c>
      <c r="AA17">
        <v>5546.5844729999999</v>
      </c>
      <c r="AB17">
        <v>5626.5722660000001</v>
      </c>
      <c r="AC17">
        <v>5698.6289059999999</v>
      </c>
      <c r="AD17">
        <v>5770.8632809999999</v>
      </c>
      <c r="AE17">
        <v>5844.1845700000003</v>
      </c>
      <c r="AF17">
        <v>5914.5971680000002</v>
      </c>
      <c r="AG17" s="345">
        <v>1.4999999999999999E-2</v>
      </c>
    </row>
    <row r="18" spans="1:33" x14ac:dyDescent="0.25">
      <c r="A18" t="s">
        <v>872</v>
      </c>
    </row>
    <row r="19" spans="1:33" x14ac:dyDescent="0.25">
      <c r="A19" t="s">
        <v>590</v>
      </c>
      <c r="B19" t="s">
        <v>873</v>
      </c>
      <c r="C19" t="s">
        <v>874</v>
      </c>
      <c r="D19" t="s">
        <v>848</v>
      </c>
      <c r="F19">
        <v>6.1275919999999999</v>
      </c>
      <c r="G19">
        <v>5.7162329999999999</v>
      </c>
      <c r="H19">
        <v>5.655373</v>
      </c>
      <c r="I19">
        <v>5.6556119999999996</v>
      </c>
      <c r="J19">
        <v>5.7003069999999996</v>
      </c>
      <c r="K19">
        <v>5.7253249999999998</v>
      </c>
      <c r="L19">
        <v>6.0471120000000003</v>
      </c>
      <c r="M19">
        <v>6.0471120000000003</v>
      </c>
      <c r="N19">
        <v>0</v>
      </c>
      <c r="O19">
        <v>0</v>
      </c>
      <c r="P19">
        <v>0</v>
      </c>
      <c r="Q19">
        <v>0</v>
      </c>
      <c r="R19">
        <v>0</v>
      </c>
      <c r="S19">
        <v>0</v>
      </c>
      <c r="T19">
        <v>0</v>
      </c>
      <c r="U19">
        <v>0</v>
      </c>
      <c r="V19">
        <v>0</v>
      </c>
      <c r="W19">
        <v>0</v>
      </c>
      <c r="X19">
        <v>0</v>
      </c>
      <c r="Y19">
        <v>0</v>
      </c>
      <c r="Z19">
        <v>0</v>
      </c>
      <c r="AA19">
        <v>0</v>
      </c>
      <c r="AB19">
        <v>0</v>
      </c>
      <c r="AC19">
        <v>0</v>
      </c>
      <c r="AD19">
        <v>0</v>
      </c>
      <c r="AE19">
        <v>0</v>
      </c>
      <c r="AF19">
        <v>0</v>
      </c>
      <c r="AG19" s="345">
        <v>-1</v>
      </c>
    </row>
    <row r="20" spans="1:33" x14ac:dyDescent="0.25">
      <c r="A20" t="s">
        <v>849</v>
      </c>
      <c r="B20" t="s">
        <v>875</v>
      </c>
      <c r="C20" t="s">
        <v>876</v>
      </c>
      <c r="D20" t="s">
        <v>848</v>
      </c>
      <c r="F20">
        <v>0.54163399999999995</v>
      </c>
      <c r="G20">
        <v>0.541717</v>
      </c>
      <c r="H20">
        <v>0.54157599999999995</v>
      </c>
      <c r="I20">
        <v>0.54157599999999995</v>
      </c>
      <c r="J20">
        <v>0.54162699999999997</v>
      </c>
      <c r="K20">
        <v>0.54172799999999999</v>
      </c>
      <c r="L20">
        <v>0.54301999999999995</v>
      </c>
      <c r="M20">
        <v>0.54301999999999995</v>
      </c>
      <c r="N20">
        <v>0.51873400000000003</v>
      </c>
      <c r="O20">
        <v>0.51870400000000005</v>
      </c>
      <c r="P20">
        <v>0.51870400000000005</v>
      </c>
      <c r="Q20">
        <v>0.51870000000000005</v>
      </c>
      <c r="R20">
        <v>0.51870000000000005</v>
      </c>
      <c r="S20">
        <v>0.51870000000000005</v>
      </c>
      <c r="T20">
        <v>0.51870000000000005</v>
      </c>
      <c r="U20">
        <v>0.51870000000000005</v>
      </c>
      <c r="V20">
        <v>0.51870000000000005</v>
      </c>
      <c r="W20">
        <v>0.51870000000000005</v>
      </c>
      <c r="X20">
        <v>0.51870000000000005</v>
      </c>
      <c r="Y20">
        <v>0.51870000000000005</v>
      </c>
      <c r="Z20">
        <v>0.51870000000000005</v>
      </c>
      <c r="AA20">
        <v>0.51870000000000005</v>
      </c>
      <c r="AB20">
        <v>0.51870000000000005</v>
      </c>
      <c r="AC20">
        <v>0.51870000000000005</v>
      </c>
      <c r="AD20">
        <v>0.51870000000000005</v>
      </c>
      <c r="AE20">
        <v>0.51870000000000005</v>
      </c>
      <c r="AF20">
        <v>0.51870000000000005</v>
      </c>
      <c r="AG20" s="345">
        <v>-2E-3</v>
      </c>
    </row>
    <row r="21" spans="1:33" x14ac:dyDescent="0.25">
      <c r="A21" t="s">
        <v>617</v>
      </c>
      <c r="B21" t="s">
        <v>877</v>
      </c>
      <c r="C21" t="s">
        <v>878</v>
      </c>
      <c r="D21" t="s">
        <v>848</v>
      </c>
      <c r="F21">
        <v>134.455963</v>
      </c>
      <c r="G21">
        <v>129.471329</v>
      </c>
      <c r="H21">
        <v>125.629395</v>
      </c>
      <c r="I21">
        <v>126.57605700000001</v>
      </c>
      <c r="J21">
        <v>127.37454200000001</v>
      </c>
      <c r="K21">
        <v>127.337425</v>
      </c>
      <c r="L21">
        <v>125.69622</v>
      </c>
      <c r="M21">
        <v>125.45414</v>
      </c>
      <c r="N21">
        <v>127.05841100000001</v>
      </c>
      <c r="O21">
        <v>124.92675</v>
      </c>
      <c r="P21">
        <v>122.59626799999999</v>
      </c>
      <c r="Q21">
        <v>121.803772</v>
      </c>
      <c r="R21">
        <v>120.755112</v>
      </c>
      <c r="S21">
        <v>119.960617</v>
      </c>
      <c r="T21">
        <v>118.021378</v>
      </c>
      <c r="U21">
        <v>117.904518</v>
      </c>
      <c r="V21">
        <v>117.903854</v>
      </c>
      <c r="W21">
        <v>117.89415</v>
      </c>
      <c r="X21">
        <v>117.898338</v>
      </c>
      <c r="Y21">
        <v>117.903053</v>
      </c>
      <c r="Z21">
        <v>117.905113</v>
      </c>
      <c r="AA21">
        <v>117.901657</v>
      </c>
      <c r="AB21">
        <v>118.02259100000001</v>
      </c>
      <c r="AC21">
        <v>118.01578499999999</v>
      </c>
      <c r="AD21">
        <v>118.01460299999999</v>
      </c>
      <c r="AE21">
        <v>118.017357</v>
      </c>
      <c r="AF21">
        <v>118.02034</v>
      </c>
      <c r="AG21" s="345">
        <v>-5.0000000000000001E-3</v>
      </c>
    </row>
    <row r="22" spans="1:33" x14ac:dyDescent="0.25">
      <c r="A22" t="s">
        <v>864</v>
      </c>
      <c r="B22" t="s">
        <v>879</v>
      </c>
      <c r="C22" t="s">
        <v>880</v>
      </c>
      <c r="D22" t="s">
        <v>848</v>
      </c>
      <c r="F22">
        <v>2.431994</v>
      </c>
      <c r="G22">
        <v>2.370215</v>
      </c>
      <c r="H22">
        <v>2.4033609999999999</v>
      </c>
      <c r="I22">
        <v>2.4073699999999998</v>
      </c>
      <c r="J22">
        <v>2.38809</v>
      </c>
      <c r="K22">
        <v>2.3885390000000002</v>
      </c>
      <c r="L22">
        <v>2.3971040000000001</v>
      </c>
      <c r="M22">
        <v>2.3983300000000001</v>
      </c>
      <c r="N22">
        <v>2.411079</v>
      </c>
      <c r="O22">
        <v>2.4164279999999998</v>
      </c>
      <c r="P22">
        <v>2.4093800000000001</v>
      </c>
      <c r="Q22">
        <v>2.4125019999999999</v>
      </c>
      <c r="R22">
        <v>2.4153150000000001</v>
      </c>
      <c r="S22">
        <v>2.4164680000000001</v>
      </c>
      <c r="T22">
        <v>2.4196909999999998</v>
      </c>
      <c r="U22">
        <v>2.4154399999999998</v>
      </c>
      <c r="V22">
        <v>2.423635</v>
      </c>
      <c r="W22">
        <v>2.4197820000000001</v>
      </c>
      <c r="X22">
        <v>2.4238620000000002</v>
      </c>
      <c r="Y22">
        <v>2.419403</v>
      </c>
      <c r="Z22">
        <v>2.4326400000000001</v>
      </c>
      <c r="AA22">
        <v>2.4336280000000001</v>
      </c>
      <c r="AB22">
        <v>2.4246099999999999</v>
      </c>
      <c r="AC22">
        <v>2.4365079999999999</v>
      </c>
      <c r="AD22">
        <v>2.426024</v>
      </c>
      <c r="AE22">
        <v>2.4255149999999999</v>
      </c>
      <c r="AF22">
        <v>2.4260869999999999</v>
      </c>
      <c r="AG22" s="345">
        <v>0</v>
      </c>
    </row>
    <row r="23" spans="1:33" x14ac:dyDescent="0.25">
      <c r="A23" t="s">
        <v>605</v>
      </c>
      <c r="B23" t="s">
        <v>881</v>
      </c>
      <c r="C23" t="s">
        <v>882</v>
      </c>
      <c r="D23" t="s">
        <v>848</v>
      </c>
      <c r="F23">
        <v>0.59920200000000001</v>
      </c>
      <c r="G23">
        <v>0.57050000000000001</v>
      </c>
      <c r="H23">
        <v>0.56499500000000002</v>
      </c>
      <c r="I23">
        <v>0.562635</v>
      </c>
      <c r="J23">
        <v>0.56148900000000002</v>
      </c>
      <c r="K23">
        <v>0.55513800000000002</v>
      </c>
      <c r="L23">
        <v>0.55345800000000001</v>
      </c>
      <c r="M23">
        <v>0.54838900000000002</v>
      </c>
      <c r="N23">
        <v>0.545408</v>
      </c>
      <c r="O23">
        <v>0.54119499999999998</v>
      </c>
      <c r="P23">
        <v>0.53829000000000005</v>
      </c>
      <c r="Q23">
        <v>0.536076</v>
      </c>
      <c r="R23">
        <v>0.53324199999999999</v>
      </c>
      <c r="S23">
        <v>0.53089699999999995</v>
      </c>
      <c r="T23">
        <v>0.52791900000000003</v>
      </c>
      <c r="U23">
        <v>0.52592000000000005</v>
      </c>
      <c r="V23">
        <v>0.52388100000000004</v>
      </c>
      <c r="W23">
        <v>0.52203500000000003</v>
      </c>
      <c r="X23">
        <v>0.51997099999999996</v>
      </c>
      <c r="Y23">
        <v>0.51793500000000003</v>
      </c>
      <c r="Z23">
        <v>0.51688599999999996</v>
      </c>
      <c r="AA23">
        <v>0.51584399999999997</v>
      </c>
      <c r="AB23">
        <v>0.51480300000000001</v>
      </c>
      <c r="AC23">
        <v>0.51376999999999995</v>
      </c>
      <c r="AD23">
        <v>0.51272399999999996</v>
      </c>
      <c r="AE23">
        <v>0.51270400000000005</v>
      </c>
      <c r="AF23">
        <v>0.51268599999999998</v>
      </c>
      <c r="AG23" s="345">
        <v>-6.0000000000000001E-3</v>
      </c>
    </row>
    <row r="24" spans="1:33" x14ac:dyDescent="0.25">
      <c r="A24" t="s">
        <v>608</v>
      </c>
      <c r="B24" t="s">
        <v>883</v>
      </c>
      <c r="C24" t="s">
        <v>884</v>
      </c>
      <c r="D24" t="s">
        <v>848</v>
      </c>
      <c r="F24">
        <v>144.156372</v>
      </c>
      <c r="G24">
        <v>138.669983</v>
      </c>
      <c r="H24">
        <v>134.79470800000001</v>
      </c>
      <c r="I24">
        <v>135.74323999999999</v>
      </c>
      <c r="J24">
        <v>136.56605500000001</v>
      </c>
      <c r="K24">
        <v>136.548157</v>
      </c>
      <c r="L24">
        <v>135.236908</v>
      </c>
      <c r="M24">
        <v>134.990982</v>
      </c>
      <c r="N24">
        <v>130.53362999999999</v>
      </c>
      <c r="O24">
        <v>128.40309099999999</v>
      </c>
      <c r="P24">
        <v>126.062645</v>
      </c>
      <c r="Q24">
        <v>125.271049</v>
      </c>
      <c r="R24">
        <v>124.22236599999999</v>
      </c>
      <c r="S24">
        <v>123.426682</v>
      </c>
      <c r="T24">
        <v>121.487686</v>
      </c>
      <c r="U24">
        <v>121.36457799999999</v>
      </c>
      <c r="V24">
        <v>121.370071</v>
      </c>
      <c r="W24">
        <v>121.354668</v>
      </c>
      <c r="X24">
        <v>121.36087000000001</v>
      </c>
      <c r="Y24">
        <v>121.359093</v>
      </c>
      <c r="Z24">
        <v>121.37333700000001</v>
      </c>
      <c r="AA24">
        <v>121.36983499999999</v>
      </c>
      <c r="AB24">
        <v>121.480705</v>
      </c>
      <c r="AC24">
        <v>121.484764</v>
      </c>
      <c r="AD24">
        <v>121.472054</v>
      </c>
      <c r="AE24">
        <v>121.47427399999999</v>
      </c>
      <c r="AF24">
        <v>121.477814</v>
      </c>
      <c r="AG24" s="345">
        <v>-7.0000000000000001E-3</v>
      </c>
    </row>
    <row r="25" spans="1:33" x14ac:dyDescent="0.25">
      <c r="A25" t="s">
        <v>885</v>
      </c>
      <c r="B25" t="s">
        <v>886</v>
      </c>
      <c r="C25" t="s">
        <v>887</v>
      </c>
      <c r="D25" t="s">
        <v>848</v>
      </c>
      <c r="F25">
        <v>4156.8364259999998</v>
      </c>
      <c r="G25">
        <v>4170.9370120000003</v>
      </c>
      <c r="H25">
        <v>4189.5654299999997</v>
      </c>
      <c r="I25">
        <v>4227.5844729999999</v>
      </c>
      <c r="J25">
        <v>4264.0668949999999</v>
      </c>
      <c r="K25">
        <v>4313.138672</v>
      </c>
      <c r="L25">
        <v>4360.0751950000003</v>
      </c>
      <c r="M25">
        <v>4416.7690430000002</v>
      </c>
      <c r="N25">
        <v>4485.4443359999996</v>
      </c>
      <c r="O25">
        <v>4564.1123049999997</v>
      </c>
      <c r="P25">
        <v>4659.5122069999998</v>
      </c>
      <c r="Q25">
        <v>4763.9204099999997</v>
      </c>
      <c r="R25">
        <v>4872.5429690000001</v>
      </c>
      <c r="S25">
        <v>4977.5908200000003</v>
      </c>
      <c r="T25">
        <v>5073.2871089999999</v>
      </c>
      <c r="U25">
        <v>5169.5161129999997</v>
      </c>
      <c r="V25">
        <v>5262.4697269999997</v>
      </c>
      <c r="W25">
        <v>5350.0307620000003</v>
      </c>
      <c r="X25">
        <v>5437.3598629999997</v>
      </c>
      <c r="Y25">
        <v>5523.7612300000001</v>
      </c>
      <c r="Z25">
        <v>5603.0092770000001</v>
      </c>
      <c r="AA25">
        <v>5667.9541019999997</v>
      </c>
      <c r="AB25">
        <v>5748.0527339999999</v>
      </c>
      <c r="AC25">
        <v>5820.1137699999999</v>
      </c>
      <c r="AD25">
        <v>5892.3354490000002</v>
      </c>
      <c r="AE25">
        <v>5965.6586909999996</v>
      </c>
      <c r="AF25">
        <v>6036.0751950000003</v>
      </c>
      <c r="AG25" s="345">
        <v>1.4E-2</v>
      </c>
    </row>
    <row r="26" spans="1:33" x14ac:dyDescent="0.25">
      <c r="A26" t="s">
        <v>888</v>
      </c>
      <c r="B26" t="s">
        <v>889</v>
      </c>
      <c r="C26" t="s">
        <v>890</v>
      </c>
      <c r="D26" t="s">
        <v>848</v>
      </c>
      <c r="F26">
        <v>18.232959999999999</v>
      </c>
      <c r="G26">
        <v>18.232959999999999</v>
      </c>
      <c r="H26">
        <v>18.232959999999999</v>
      </c>
      <c r="I26">
        <v>18.232959999999999</v>
      </c>
      <c r="J26">
        <v>18.232959999999999</v>
      </c>
      <c r="K26">
        <v>18.232225</v>
      </c>
      <c r="L26">
        <v>18.232225</v>
      </c>
      <c r="M26">
        <v>18.229289999999999</v>
      </c>
      <c r="N26">
        <v>13.163169999999999</v>
      </c>
      <c r="O26">
        <v>13.163169999999999</v>
      </c>
      <c r="P26">
        <v>13.163169999999999</v>
      </c>
      <c r="Q26">
        <v>13.163169999999999</v>
      </c>
      <c r="R26">
        <v>13.163169999999999</v>
      </c>
      <c r="S26">
        <v>13.163169999999999</v>
      </c>
      <c r="T26">
        <v>13.163169999999999</v>
      </c>
      <c r="U26">
        <v>13.163169999999999</v>
      </c>
      <c r="V26">
        <v>13.163169999999999</v>
      </c>
      <c r="W26">
        <v>13.163169999999999</v>
      </c>
      <c r="X26">
        <v>13.163169999999999</v>
      </c>
      <c r="Y26">
        <v>13.163169999999999</v>
      </c>
      <c r="Z26">
        <v>13.163169999999999</v>
      </c>
      <c r="AA26">
        <v>13.163169999999999</v>
      </c>
      <c r="AB26">
        <v>13.163169999999999</v>
      </c>
      <c r="AC26">
        <v>13.163169999999999</v>
      </c>
      <c r="AD26">
        <v>13.163169999999999</v>
      </c>
      <c r="AE26">
        <v>13.163169999999999</v>
      </c>
      <c r="AF26">
        <v>13.163169999999999</v>
      </c>
      <c r="AG26" s="345">
        <v>-1.2E-2</v>
      </c>
    </row>
    <row r="27" spans="1:33" x14ac:dyDescent="0.25">
      <c r="A27" t="s">
        <v>891</v>
      </c>
      <c r="B27" t="s">
        <v>892</v>
      </c>
      <c r="C27" t="s">
        <v>893</v>
      </c>
      <c r="D27" t="s">
        <v>848</v>
      </c>
      <c r="F27">
        <v>4138.6035160000001</v>
      </c>
      <c r="G27">
        <v>4152.7041019999997</v>
      </c>
      <c r="H27">
        <v>4171.3325199999999</v>
      </c>
      <c r="I27">
        <v>4209.3515619999998</v>
      </c>
      <c r="J27">
        <v>4245.8339839999999</v>
      </c>
      <c r="K27">
        <v>4294.90625</v>
      </c>
      <c r="L27">
        <v>4341.8427730000003</v>
      </c>
      <c r="M27">
        <v>4398.5395509999998</v>
      </c>
      <c r="N27">
        <v>4472.28125</v>
      </c>
      <c r="O27">
        <v>4550.9492190000001</v>
      </c>
      <c r="P27">
        <v>4646.3491210000002</v>
      </c>
      <c r="Q27">
        <v>4750.7573240000002</v>
      </c>
      <c r="R27">
        <v>4859.3798829999996</v>
      </c>
      <c r="S27">
        <v>4964.4277339999999</v>
      </c>
      <c r="T27">
        <v>5060.1240230000003</v>
      </c>
      <c r="U27">
        <v>5156.3530270000001</v>
      </c>
      <c r="V27">
        <v>5249.3066410000001</v>
      </c>
      <c r="W27">
        <v>5336.8676759999998</v>
      </c>
      <c r="X27">
        <v>5424.1967770000001</v>
      </c>
      <c r="Y27">
        <v>5510.5981449999999</v>
      </c>
      <c r="Z27">
        <v>5589.8461909999996</v>
      </c>
      <c r="AA27">
        <v>5654.7910160000001</v>
      </c>
      <c r="AB27">
        <v>5734.8896480000003</v>
      </c>
      <c r="AC27">
        <v>5806.9506840000004</v>
      </c>
      <c r="AD27">
        <v>5879.1723629999997</v>
      </c>
      <c r="AE27">
        <v>5952.4956050000001</v>
      </c>
      <c r="AF27">
        <v>6022.9121089999999</v>
      </c>
      <c r="AG27" s="345">
        <v>1.4999999999999999E-2</v>
      </c>
    </row>
    <row r="28" spans="1:33" x14ac:dyDescent="0.25">
      <c r="A28" t="s">
        <v>894</v>
      </c>
    </row>
    <row r="29" spans="1:33" x14ac:dyDescent="0.25">
      <c r="A29" t="s">
        <v>590</v>
      </c>
      <c r="B29" t="s">
        <v>895</v>
      </c>
      <c r="C29" t="s">
        <v>896</v>
      </c>
      <c r="D29" t="s">
        <v>848</v>
      </c>
      <c r="F29">
        <v>5.4551299999999996</v>
      </c>
      <c r="G29">
        <v>5.4352999999999998</v>
      </c>
      <c r="H29">
        <v>5.4172209999999996</v>
      </c>
      <c r="I29">
        <v>5.3707010000000004</v>
      </c>
      <c r="J29">
        <v>5.3295159999999999</v>
      </c>
      <c r="K29">
        <v>5.2970160000000002</v>
      </c>
      <c r="L29">
        <v>5.2701919999999998</v>
      </c>
      <c r="M29">
        <v>5.2511419999999998</v>
      </c>
      <c r="N29">
        <v>5.2294049999999999</v>
      </c>
      <c r="O29">
        <v>5.2030209999999997</v>
      </c>
      <c r="P29">
        <v>5.1842680000000003</v>
      </c>
      <c r="Q29">
        <v>5.1651220000000002</v>
      </c>
      <c r="R29">
        <v>5.1465709999999998</v>
      </c>
      <c r="S29">
        <v>5.1272599999999997</v>
      </c>
      <c r="T29">
        <v>5.1087509999999998</v>
      </c>
      <c r="U29">
        <v>5.0933380000000001</v>
      </c>
      <c r="V29">
        <v>5.0786259999999999</v>
      </c>
      <c r="W29">
        <v>5.0604800000000001</v>
      </c>
      <c r="X29">
        <v>5.0423530000000003</v>
      </c>
      <c r="Y29">
        <v>5.0231719999999997</v>
      </c>
      <c r="Z29">
        <v>5.006583</v>
      </c>
      <c r="AA29">
        <v>4.9867179999999998</v>
      </c>
      <c r="AB29">
        <v>4.9677100000000003</v>
      </c>
      <c r="AC29">
        <v>4.9485419999999998</v>
      </c>
      <c r="AD29">
        <v>4.9281199999999998</v>
      </c>
      <c r="AE29">
        <v>4.9064120000000004</v>
      </c>
      <c r="AF29">
        <v>4.8844709999999996</v>
      </c>
      <c r="AG29" s="345">
        <v>-4.0000000000000001E-3</v>
      </c>
    </row>
    <row r="30" spans="1:33" x14ac:dyDescent="0.25">
      <c r="A30" t="s">
        <v>849</v>
      </c>
      <c r="B30" t="s">
        <v>897</v>
      </c>
      <c r="C30" t="s">
        <v>898</v>
      </c>
      <c r="D30" t="s">
        <v>848</v>
      </c>
      <c r="F30">
        <v>0.78274500000000002</v>
      </c>
      <c r="G30">
        <v>0.78071900000000005</v>
      </c>
      <c r="H30">
        <v>0.52682300000000004</v>
      </c>
      <c r="I30">
        <v>0.52112099999999995</v>
      </c>
      <c r="J30">
        <v>0.51613600000000004</v>
      </c>
      <c r="K30">
        <v>0.51235399999999998</v>
      </c>
      <c r="L30">
        <v>0.50939100000000004</v>
      </c>
      <c r="M30">
        <v>0.50753800000000004</v>
      </c>
      <c r="N30">
        <v>0.50532500000000002</v>
      </c>
      <c r="O30">
        <v>0.50240099999999999</v>
      </c>
      <c r="P30">
        <v>0.50059399999999998</v>
      </c>
      <c r="Q30">
        <v>0.49873600000000001</v>
      </c>
      <c r="R30">
        <v>0.49696099999999999</v>
      </c>
      <c r="S30">
        <v>0.49514200000000003</v>
      </c>
      <c r="T30">
        <v>0.49342399999999997</v>
      </c>
      <c r="U30">
        <v>0.49214999999999998</v>
      </c>
      <c r="V30">
        <v>0.49105100000000002</v>
      </c>
      <c r="W30">
        <v>0.48942999999999998</v>
      </c>
      <c r="X30">
        <v>0.48779600000000001</v>
      </c>
      <c r="Y30">
        <v>0.48608099999999999</v>
      </c>
      <c r="Z30">
        <v>0.48471599999999998</v>
      </c>
      <c r="AA30">
        <v>0.48284700000000003</v>
      </c>
      <c r="AB30">
        <v>0.48108200000000001</v>
      </c>
      <c r="AC30">
        <v>0.47935699999999998</v>
      </c>
      <c r="AD30">
        <v>0.47739799999999999</v>
      </c>
      <c r="AE30">
        <v>0.47522500000000001</v>
      </c>
      <c r="AF30">
        <v>0.47302</v>
      </c>
      <c r="AG30" s="345">
        <v>-1.9E-2</v>
      </c>
    </row>
    <row r="31" spans="1:33" x14ac:dyDescent="0.25">
      <c r="A31" t="s">
        <v>617</v>
      </c>
      <c r="B31" t="s">
        <v>899</v>
      </c>
      <c r="C31" t="s">
        <v>900</v>
      </c>
      <c r="D31" t="s">
        <v>848</v>
      </c>
      <c r="F31">
        <v>112.32363100000001</v>
      </c>
      <c r="G31">
        <v>113.076553</v>
      </c>
      <c r="H31">
        <v>112.567116</v>
      </c>
      <c r="I31">
        <v>112.783501</v>
      </c>
      <c r="J31">
        <v>113.312828</v>
      </c>
      <c r="K31">
        <v>113.76561</v>
      </c>
      <c r="L31">
        <v>114.697739</v>
      </c>
      <c r="M31">
        <v>115.36248000000001</v>
      </c>
      <c r="N31">
        <v>115.97274</v>
      </c>
      <c r="O31">
        <v>116.53877300000001</v>
      </c>
      <c r="P31">
        <v>117.160713</v>
      </c>
      <c r="Q31">
        <v>117.78626300000001</v>
      </c>
      <c r="R31">
        <v>118.610077</v>
      </c>
      <c r="S31">
        <v>119.32466100000001</v>
      </c>
      <c r="T31">
        <v>120.078339</v>
      </c>
      <c r="U31">
        <v>120.87350499999999</v>
      </c>
      <c r="V31">
        <v>121.703957</v>
      </c>
      <c r="W31">
        <v>122.52005800000001</v>
      </c>
      <c r="X31">
        <v>123.35778000000001</v>
      </c>
      <c r="Y31">
        <v>124.20871</v>
      </c>
      <c r="Z31">
        <v>125.113876</v>
      </c>
      <c r="AA31">
        <v>125.999329</v>
      </c>
      <c r="AB31">
        <v>126.913681</v>
      </c>
      <c r="AC31">
        <v>127.866974</v>
      </c>
      <c r="AD31">
        <v>128.82934599999999</v>
      </c>
      <c r="AE31">
        <v>129.79435699999999</v>
      </c>
      <c r="AF31">
        <v>130.78062399999999</v>
      </c>
      <c r="AG31" s="345">
        <v>6.0000000000000001E-3</v>
      </c>
    </row>
    <row r="32" spans="1:33" x14ac:dyDescent="0.25">
      <c r="A32" t="s">
        <v>901</v>
      </c>
      <c r="B32" t="s">
        <v>902</v>
      </c>
      <c r="C32" t="s">
        <v>903</v>
      </c>
      <c r="D32" t="s">
        <v>848</v>
      </c>
      <c r="F32">
        <v>10.203054</v>
      </c>
      <c r="G32">
        <v>10.454554</v>
      </c>
      <c r="H32">
        <v>11.762781</v>
      </c>
      <c r="I32">
        <v>11.730653</v>
      </c>
      <c r="J32">
        <v>11.762781</v>
      </c>
      <c r="K32">
        <v>11.754828</v>
      </c>
      <c r="L32">
        <v>11.754886000000001</v>
      </c>
      <c r="M32">
        <v>11.762781</v>
      </c>
      <c r="N32">
        <v>11.762781</v>
      </c>
      <c r="O32">
        <v>11.755649999999999</v>
      </c>
      <c r="P32">
        <v>11.743301000000001</v>
      </c>
      <c r="Q32">
        <v>11.730971</v>
      </c>
      <c r="R32">
        <v>11.762781</v>
      </c>
      <c r="S32">
        <v>11.762781</v>
      </c>
      <c r="T32">
        <v>11.762781</v>
      </c>
      <c r="U32">
        <v>11.762781</v>
      </c>
      <c r="V32">
        <v>11.762781</v>
      </c>
      <c r="W32">
        <v>11.762781</v>
      </c>
      <c r="X32">
        <v>11.762781</v>
      </c>
      <c r="Y32">
        <v>11.762781</v>
      </c>
      <c r="Z32">
        <v>11.762781</v>
      </c>
      <c r="AA32">
        <v>11.762781</v>
      </c>
      <c r="AB32">
        <v>11.762781</v>
      </c>
      <c r="AC32">
        <v>11.762781</v>
      </c>
      <c r="AD32">
        <v>11.762781</v>
      </c>
      <c r="AE32">
        <v>11.762781</v>
      </c>
      <c r="AF32">
        <v>11.762781</v>
      </c>
      <c r="AG32" s="345">
        <v>5.0000000000000001E-3</v>
      </c>
    </row>
    <row r="33" spans="1:33" x14ac:dyDescent="0.25">
      <c r="A33" t="s">
        <v>864</v>
      </c>
      <c r="B33" t="s">
        <v>904</v>
      </c>
      <c r="C33" t="s">
        <v>905</v>
      </c>
      <c r="D33" t="s">
        <v>848</v>
      </c>
      <c r="F33">
        <v>131.79437300000001</v>
      </c>
      <c r="G33">
        <v>145.883636</v>
      </c>
      <c r="H33">
        <v>159.875809</v>
      </c>
      <c r="I33">
        <v>169.99151599999999</v>
      </c>
      <c r="J33">
        <v>180.30969200000001</v>
      </c>
      <c r="K33">
        <v>191.755447</v>
      </c>
      <c r="L33">
        <v>204.501633</v>
      </c>
      <c r="M33">
        <v>219.03744499999999</v>
      </c>
      <c r="N33">
        <v>233.023651</v>
      </c>
      <c r="O33">
        <v>247.78074599999999</v>
      </c>
      <c r="P33">
        <v>260.87017800000001</v>
      </c>
      <c r="Q33">
        <v>270.47384599999998</v>
      </c>
      <c r="R33">
        <v>280.05081200000001</v>
      </c>
      <c r="S33">
        <v>289.79293799999999</v>
      </c>
      <c r="T33">
        <v>300.81613199999998</v>
      </c>
      <c r="U33">
        <v>310.82189899999997</v>
      </c>
      <c r="V33">
        <v>321.18396000000001</v>
      </c>
      <c r="W33">
        <v>332.31048600000003</v>
      </c>
      <c r="X33">
        <v>343.62472500000001</v>
      </c>
      <c r="Y33">
        <v>355.24151599999999</v>
      </c>
      <c r="Z33">
        <v>367.06063799999998</v>
      </c>
      <c r="AA33">
        <v>379.209656</v>
      </c>
      <c r="AB33">
        <v>391.319275</v>
      </c>
      <c r="AC33">
        <v>404.10552999999999</v>
      </c>
      <c r="AD33">
        <v>417.18838499999998</v>
      </c>
      <c r="AE33">
        <v>430.37286399999999</v>
      </c>
      <c r="AF33">
        <v>443.93279999999999</v>
      </c>
      <c r="AG33" s="345">
        <v>4.8000000000000001E-2</v>
      </c>
    </row>
    <row r="34" spans="1:33" x14ac:dyDescent="0.25">
      <c r="A34" t="s">
        <v>605</v>
      </c>
      <c r="B34" t="s">
        <v>906</v>
      </c>
      <c r="C34" t="s">
        <v>907</v>
      </c>
      <c r="D34" t="s">
        <v>848</v>
      </c>
      <c r="F34">
        <v>1.5679460000000001</v>
      </c>
      <c r="G34">
        <v>1.5679460000000001</v>
      </c>
      <c r="H34">
        <v>1.8570260000000001</v>
      </c>
      <c r="I34">
        <v>1.8570260000000001</v>
      </c>
      <c r="J34">
        <v>1.8570260000000001</v>
      </c>
      <c r="K34">
        <v>1.8570260000000001</v>
      </c>
      <c r="L34">
        <v>1.8570260000000001</v>
      </c>
      <c r="M34">
        <v>1.8570260000000001</v>
      </c>
      <c r="N34">
        <v>1.8570260000000001</v>
      </c>
      <c r="O34">
        <v>1.8570260000000001</v>
      </c>
      <c r="P34">
        <v>1.8570260000000001</v>
      </c>
      <c r="Q34">
        <v>1.8570260000000001</v>
      </c>
      <c r="R34">
        <v>1.8570260000000001</v>
      </c>
      <c r="S34">
        <v>1.8570260000000001</v>
      </c>
      <c r="T34">
        <v>1.8570260000000001</v>
      </c>
      <c r="U34">
        <v>1.8570260000000001</v>
      </c>
      <c r="V34">
        <v>1.8570260000000001</v>
      </c>
      <c r="W34">
        <v>1.8570260000000001</v>
      </c>
      <c r="X34">
        <v>1.8570260000000001</v>
      </c>
      <c r="Y34">
        <v>1.8570260000000001</v>
      </c>
      <c r="Z34">
        <v>1.8570260000000001</v>
      </c>
      <c r="AA34">
        <v>1.8570260000000001</v>
      </c>
      <c r="AB34">
        <v>1.8570260000000001</v>
      </c>
      <c r="AC34">
        <v>1.8570260000000001</v>
      </c>
      <c r="AD34">
        <v>1.8570260000000001</v>
      </c>
      <c r="AE34">
        <v>1.8570260000000001</v>
      </c>
      <c r="AF34">
        <v>1.8570260000000001</v>
      </c>
      <c r="AG34" s="345">
        <v>7.0000000000000001E-3</v>
      </c>
    </row>
    <row r="35" spans="1:33" x14ac:dyDescent="0.25">
      <c r="A35" t="s">
        <v>908</v>
      </c>
      <c r="B35" t="s">
        <v>909</v>
      </c>
      <c r="C35" t="s">
        <v>910</v>
      </c>
      <c r="D35" t="s">
        <v>848</v>
      </c>
      <c r="F35">
        <v>262.12686200000002</v>
      </c>
      <c r="G35">
        <v>277.19869999999997</v>
      </c>
      <c r="H35">
        <v>292.006775</v>
      </c>
      <c r="I35">
        <v>302.25451700000002</v>
      </c>
      <c r="J35">
        <v>313.08798200000001</v>
      </c>
      <c r="K35">
        <v>324.94229100000001</v>
      </c>
      <c r="L35">
        <v>338.59085099999999</v>
      </c>
      <c r="M35">
        <v>353.778412</v>
      </c>
      <c r="N35">
        <v>368.35092200000003</v>
      </c>
      <c r="O35">
        <v>383.63760400000001</v>
      </c>
      <c r="P35">
        <v>397.31607100000002</v>
      </c>
      <c r="Q35">
        <v>407.51196299999998</v>
      </c>
      <c r="R35">
        <v>417.92422499999998</v>
      </c>
      <c r="S35">
        <v>428.35983299999998</v>
      </c>
      <c r="T35">
        <v>440.11645499999997</v>
      </c>
      <c r="U35">
        <v>450.90069599999998</v>
      </c>
      <c r="V35">
        <v>462.07742300000001</v>
      </c>
      <c r="W35">
        <v>474.00027499999999</v>
      </c>
      <c r="X35">
        <v>486.13247699999999</v>
      </c>
      <c r="Y35">
        <v>498.57928500000003</v>
      </c>
      <c r="Z35">
        <v>511.28561400000001</v>
      </c>
      <c r="AA35">
        <v>524.29840100000001</v>
      </c>
      <c r="AB35">
        <v>537.30157499999996</v>
      </c>
      <c r="AC35">
        <v>551.020264</v>
      </c>
      <c r="AD35">
        <v>565.043091</v>
      </c>
      <c r="AE35">
        <v>579.16870100000006</v>
      </c>
      <c r="AF35">
        <v>593.69079599999998</v>
      </c>
      <c r="AG35" s="345">
        <v>3.2000000000000001E-2</v>
      </c>
    </row>
    <row r="36" spans="1:33" x14ac:dyDescent="0.25">
      <c r="A36" t="s">
        <v>888</v>
      </c>
      <c r="B36" t="s">
        <v>911</v>
      </c>
      <c r="C36" t="s">
        <v>912</v>
      </c>
      <c r="D36" t="s">
        <v>848</v>
      </c>
      <c r="F36">
        <v>207.703903</v>
      </c>
      <c r="G36">
        <v>220.72088600000001</v>
      </c>
      <c r="H36">
        <v>242.23805200000001</v>
      </c>
      <c r="I36">
        <v>250.93283099999999</v>
      </c>
      <c r="J36">
        <v>259.93905599999999</v>
      </c>
      <c r="K36">
        <v>269.94164999999998</v>
      </c>
      <c r="L36">
        <v>281.37625100000002</v>
      </c>
      <c r="M36">
        <v>294.06042500000001</v>
      </c>
      <c r="N36">
        <v>306.13870200000002</v>
      </c>
      <c r="O36">
        <v>318.93978900000002</v>
      </c>
      <c r="P36">
        <v>330.11334199999999</v>
      </c>
      <c r="Q36">
        <v>338.17938199999998</v>
      </c>
      <c r="R36">
        <v>346.61361699999998</v>
      </c>
      <c r="S36">
        <v>355.08535799999999</v>
      </c>
      <c r="T36">
        <v>364.57916299999999</v>
      </c>
      <c r="U36">
        <v>373.252747</v>
      </c>
      <c r="V36">
        <v>382.47204599999998</v>
      </c>
      <c r="W36">
        <v>392.215912</v>
      </c>
      <c r="X36">
        <v>401.854919</v>
      </c>
      <c r="Y36">
        <v>412.21923800000002</v>
      </c>
      <c r="Z36">
        <v>422.64218099999999</v>
      </c>
      <c r="AA36">
        <v>433.60000600000001</v>
      </c>
      <c r="AB36">
        <v>444.49056999999999</v>
      </c>
      <c r="AC36">
        <v>456.04913299999998</v>
      </c>
      <c r="AD36">
        <v>467.77301</v>
      </c>
      <c r="AE36">
        <v>479.55130000000003</v>
      </c>
      <c r="AF36">
        <v>491.625854</v>
      </c>
      <c r="AG36" s="345">
        <v>3.4000000000000002E-2</v>
      </c>
    </row>
    <row r="37" spans="1:33" x14ac:dyDescent="0.25">
      <c r="A37" t="s">
        <v>913</v>
      </c>
      <c r="B37" t="s">
        <v>914</v>
      </c>
      <c r="C37" t="s">
        <v>915</v>
      </c>
      <c r="D37" t="s">
        <v>848</v>
      </c>
      <c r="F37">
        <v>54.423000000000002</v>
      </c>
      <c r="G37">
        <v>56.477809999999998</v>
      </c>
      <c r="H37">
        <v>49.768703000000002</v>
      </c>
      <c r="I37">
        <v>51.321677999999999</v>
      </c>
      <c r="J37">
        <v>53.148895000000003</v>
      </c>
      <c r="K37">
        <v>55.000602999999998</v>
      </c>
      <c r="L37">
        <v>57.214610999999998</v>
      </c>
      <c r="M37">
        <v>59.717995000000002</v>
      </c>
      <c r="N37">
        <v>62.212200000000003</v>
      </c>
      <c r="O37">
        <v>64.697745999999995</v>
      </c>
      <c r="P37">
        <v>67.202751000000006</v>
      </c>
      <c r="Q37">
        <v>69.332542000000004</v>
      </c>
      <c r="R37">
        <v>71.310637999999997</v>
      </c>
      <c r="S37">
        <v>73.27449</v>
      </c>
      <c r="T37">
        <v>75.537330999999995</v>
      </c>
      <c r="U37">
        <v>77.648003000000003</v>
      </c>
      <c r="V37">
        <v>79.605362</v>
      </c>
      <c r="W37">
        <v>81.784332000000006</v>
      </c>
      <c r="X37">
        <v>84.277557000000002</v>
      </c>
      <c r="Y37">
        <v>86.360068999999996</v>
      </c>
      <c r="Z37">
        <v>88.643456</v>
      </c>
      <c r="AA37">
        <v>90.698348999999993</v>
      </c>
      <c r="AB37">
        <v>92.811012000000005</v>
      </c>
      <c r="AC37">
        <v>94.971183999999994</v>
      </c>
      <c r="AD37">
        <v>97.270065000000002</v>
      </c>
      <c r="AE37">
        <v>99.617439000000005</v>
      </c>
      <c r="AF37">
        <v>102.06493399999999</v>
      </c>
      <c r="AG37" s="345">
        <v>2.4E-2</v>
      </c>
    </row>
    <row r="38" spans="1:33" x14ac:dyDescent="0.25">
      <c r="A38" t="s">
        <v>916</v>
      </c>
    </row>
    <row r="39" spans="1:33" x14ac:dyDescent="0.25">
      <c r="A39" t="s">
        <v>590</v>
      </c>
      <c r="B39" t="s">
        <v>917</v>
      </c>
      <c r="C39" t="s">
        <v>918</v>
      </c>
      <c r="D39" t="s">
        <v>848</v>
      </c>
      <c r="F39">
        <v>659.884094</v>
      </c>
      <c r="G39">
        <v>667.323669</v>
      </c>
      <c r="H39">
        <v>576.729736</v>
      </c>
      <c r="I39">
        <v>461.25390599999997</v>
      </c>
      <c r="J39">
        <v>444.85644500000001</v>
      </c>
      <c r="K39">
        <v>422.42892499999999</v>
      </c>
      <c r="L39">
        <v>347.12423699999999</v>
      </c>
      <c r="M39">
        <v>320.42336999999998</v>
      </c>
      <c r="N39">
        <v>72.915420999999995</v>
      </c>
      <c r="O39">
        <v>72.939941000000005</v>
      </c>
      <c r="P39">
        <v>70.825691000000006</v>
      </c>
      <c r="Q39">
        <v>66.919724000000002</v>
      </c>
      <c r="R39">
        <v>64.469711000000004</v>
      </c>
      <c r="S39">
        <v>60.398567</v>
      </c>
      <c r="T39">
        <v>55.414574000000002</v>
      </c>
      <c r="U39">
        <v>20.339523</v>
      </c>
      <c r="V39">
        <v>20.355250999999999</v>
      </c>
      <c r="W39">
        <v>20.370882000000002</v>
      </c>
      <c r="X39">
        <v>20.369827000000001</v>
      </c>
      <c r="Y39">
        <v>20.387084999999999</v>
      </c>
      <c r="Z39">
        <v>20.076122000000002</v>
      </c>
      <c r="AA39">
        <v>18.741194</v>
      </c>
      <c r="AB39">
        <v>8.2462719999999994</v>
      </c>
      <c r="AC39">
        <v>8.2253930000000004</v>
      </c>
      <c r="AD39">
        <v>8.2024080000000001</v>
      </c>
      <c r="AE39">
        <v>7.9436960000000001</v>
      </c>
      <c r="AF39">
        <v>7.9309010000000004</v>
      </c>
      <c r="AG39" s="345">
        <v>-0.156</v>
      </c>
    </row>
    <row r="40" spans="1:33" x14ac:dyDescent="0.25">
      <c r="A40" t="s">
        <v>849</v>
      </c>
      <c r="B40" t="s">
        <v>919</v>
      </c>
      <c r="C40" t="s">
        <v>920</v>
      </c>
      <c r="D40" t="s">
        <v>848</v>
      </c>
      <c r="F40">
        <v>11.26614</v>
      </c>
      <c r="G40">
        <v>11.065993000000001</v>
      </c>
      <c r="H40">
        <v>10.253147999999999</v>
      </c>
      <c r="I40">
        <v>9.4606440000000003</v>
      </c>
      <c r="J40">
        <v>8.9547070000000009</v>
      </c>
      <c r="K40">
        <v>8.7198349999999998</v>
      </c>
      <c r="L40">
        <v>8.3069459999999999</v>
      </c>
      <c r="M40">
        <v>7.9940670000000003</v>
      </c>
      <c r="N40">
        <v>7.0338799999999999</v>
      </c>
      <c r="O40">
        <v>7.0105469999999999</v>
      </c>
      <c r="P40">
        <v>7.0521529999999997</v>
      </c>
      <c r="Q40">
        <v>7.019946</v>
      </c>
      <c r="R40">
        <v>6.9779429999999998</v>
      </c>
      <c r="S40">
        <v>6.886895</v>
      </c>
      <c r="T40">
        <v>6.7693469999999998</v>
      </c>
      <c r="U40">
        <v>6.7019700000000002</v>
      </c>
      <c r="V40">
        <v>6.6216900000000001</v>
      </c>
      <c r="W40">
        <v>6.2360559999999996</v>
      </c>
      <c r="X40">
        <v>5.7842650000000004</v>
      </c>
      <c r="Y40">
        <v>5.3498799999999997</v>
      </c>
      <c r="Z40">
        <v>4.8434850000000003</v>
      </c>
      <c r="AA40">
        <v>4.3554180000000002</v>
      </c>
      <c r="AB40">
        <v>4.3531190000000004</v>
      </c>
      <c r="AC40">
        <v>4.3605309999999999</v>
      </c>
      <c r="AD40">
        <v>4.3992269999999998</v>
      </c>
      <c r="AE40">
        <v>4.4416180000000001</v>
      </c>
      <c r="AF40">
        <v>4.4865729999999999</v>
      </c>
      <c r="AG40" s="345">
        <v>-3.5000000000000003E-2</v>
      </c>
    </row>
    <row r="41" spans="1:33" x14ac:dyDescent="0.25">
      <c r="A41" t="s">
        <v>617</v>
      </c>
      <c r="B41" t="s">
        <v>921</v>
      </c>
      <c r="C41" t="s">
        <v>922</v>
      </c>
      <c r="D41" t="s">
        <v>848</v>
      </c>
      <c r="F41">
        <v>1900.2889399999999</v>
      </c>
      <c r="G41">
        <v>1781.3055420000001</v>
      </c>
      <c r="H41">
        <v>1720.090942</v>
      </c>
      <c r="I41">
        <v>1783.6573490000001</v>
      </c>
      <c r="J41">
        <v>1791.6175539999999</v>
      </c>
      <c r="K41">
        <v>1799.8691409999999</v>
      </c>
      <c r="L41">
        <v>1831.696533</v>
      </c>
      <c r="M41">
        <v>1814.1986079999999</v>
      </c>
      <c r="N41">
        <v>2007.6107179999999</v>
      </c>
      <c r="O41">
        <v>1957.238159</v>
      </c>
      <c r="P41">
        <v>1898.8903809999999</v>
      </c>
      <c r="Q41">
        <v>1824.0821530000001</v>
      </c>
      <c r="R41">
        <v>1766.096802</v>
      </c>
      <c r="S41">
        <v>1663.1585689999999</v>
      </c>
      <c r="T41">
        <v>1625.76062</v>
      </c>
      <c r="U41">
        <v>1562.4207759999999</v>
      </c>
      <c r="V41">
        <v>1563.4123540000001</v>
      </c>
      <c r="W41">
        <v>1608.779053</v>
      </c>
      <c r="X41">
        <v>1648.3376459999999</v>
      </c>
      <c r="Y41">
        <v>1674.615601</v>
      </c>
      <c r="Z41">
        <v>1700.533081</v>
      </c>
      <c r="AA41">
        <v>1717.842529</v>
      </c>
      <c r="AB41">
        <v>1746.88501</v>
      </c>
      <c r="AC41">
        <v>1771.2211910000001</v>
      </c>
      <c r="AD41">
        <v>1794.732788</v>
      </c>
      <c r="AE41">
        <v>1822.8896480000001</v>
      </c>
      <c r="AF41">
        <v>1827.4729</v>
      </c>
      <c r="AG41" s="345">
        <v>-2E-3</v>
      </c>
    </row>
    <row r="42" spans="1:33" x14ac:dyDescent="0.25">
      <c r="A42" t="s">
        <v>854</v>
      </c>
      <c r="B42" t="s">
        <v>923</v>
      </c>
      <c r="C42" t="s">
        <v>924</v>
      </c>
      <c r="D42" t="s">
        <v>848</v>
      </c>
      <c r="F42">
        <v>777.12817399999994</v>
      </c>
      <c r="G42">
        <v>792.29125999999997</v>
      </c>
      <c r="H42">
        <v>799.81115699999998</v>
      </c>
      <c r="I42">
        <v>797.99230999999997</v>
      </c>
      <c r="J42">
        <v>797.97906499999999</v>
      </c>
      <c r="K42">
        <v>797.96838400000001</v>
      </c>
      <c r="L42">
        <v>789.04656999999997</v>
      </c>
      <c r="M42">
        <v>780.742615</v>
      </c>
      <c r="N42">
        <v>780.73840299999995</v>
      </c>
      <c r="O42">
        <v>780.753601</v>
      </c>
      <c r="P42">
        <v>780.753601</v>
      </c>
      <c r="Q42">
        <v>778.71734600000002</v>
      </c>
      <c r="R42">
        <v>773.74438499999997</v>
      </c>
      <c r="S42">
        <v>777.64660600000002</v>
      </c>
      <c r="T42">
        <v>777.35607900000002</v>
      </c>
      <c r="U42">
        <v>775.99267599999996</v>
      </c>
      <c r="V42">
        <v>775.86566200000004</v>
      </c>
      <c r="W42">
        <v>775.92944299999999</v>
      </c>
      <c r="X42">
        <v>775.96227999999996</v>
      </c>
      <c r="Y42">
        <v>776.00067100000001</v>
      </c>
      <c r="Z42">
        <v>775.80487100000005</v>
      </c>
      <c r="AA42">
        <v>775.94567900000004</v>
      </c>
      <c r="AB42">
        <v>775.59307899999999</v>
      </c>
      <c r="AC42">
        <v>775.92034899999999</v>
      </c>
      <c r="AD42">
        <v>775.83007799999996</v>
      </c>
      <c r="AE42">
        <v>775.65405299999998</v>
      </c>
      <c r="AF42">
        <v>775.728882</v>
      </c>
      <c r="AG42" s="345">
        <v>0</v>
      </c>
    </row>
    <row r="43" spans="1:33" x14ac:dyDescent="0.25">
      <c r="A43" t="s">
        <v>864</v>
      </c>
      <c r="B43" t="s">
        <v>925</v>
      </c>
      <c r="C43" t="s">
        <v>926</v>
      </c>
      <c r="D43" t="s">
        <v>848</v>
      </c>
      <c r="F43">
        <v>1060.1877440000001</v>
      </c>
      <c r="G43">
        <v>1187.810547</v>
      </c>
      <c r="H43">
        <v>1366.2957759999999</v>
      </c>
      <c r="I43">
        <v>1470.0170900000001</v>
      </c>
      <c r="J43">
        <v>1526.6256100000001</v>
      </c>
      <c r="K43">
        <v>1602.3342290000001</v>
      </c>
      <c r="L43">
        <v>1716.3164059999999</v>
      </c>
      <c r="M43">
        <v>1840.7224120000001</v>
      </c>
      <c r="N43">
        <v>1978.636841</v>
      </c>
      <c r="O43">
        <v>2123.3640140000002</v>
      </c>
      <c r="P43">
        <v>2292.7739259999998</v>
      </c>
      <c r="Q43">
        <v>2488.5847170000002</v>
      </c>
      <c r="R43">
        <v>2673.288086</v>
      </c>
      <c r="S43">
        <v>2892.0029300000001</v>
      </c>
      <c r="T43">
        <v>3042.8400879999999</v>
      </c>
      <c r="U43">
        <v>3250.6645509999998</v>
      </c>
      <c r="V43">
        <v>3354.0776369999999</v>
      </c>
      <c r="W43">
        <v>3408.8793949999999</v>
      </c>
      <c r="X43">
        <v>3469.4880370000001</v>
      </c>
      <c r="Y43">
        <v>3542.8515619999998</v>
      </c>
      <c r="Z43">
        <v>3609.9011230000001</v>
      </c>
      <c r="AA43">
        <v>3672.5668949999999</v>
      </c>
      <c r="AB43">
        <v>3747.5173340000001</v>
      </c>
      <c r="AC43">
        <v>3808.798828</v>
      </c>
      <c r="AD43">
        <v>3872.1035160000001</v>
      </c>
      <c r="AE43">
        <v>3931.6215820000002</v>
      </c>
      <c r="AF43">
        <v>4012.3308109999998</v>
      </c>
      <c r="AG43" s="345">
        <v>5.2999999999999999E-2</v>
      </c>
    </row>
    <row r="44" spans="1:33" x14ac:dyDescent="0.25">
      <c r="A44" t="s">
        <v>860</v>
      </c>
      <c r="B44" t="s">
        <v>927</v>
      </c>
      <c r="C44" t="s">
        <v>928</v>
      </c>
      <c r="D44" t="s">
        <v>848</v>
      </c>
      <c r="F44">
        <v>0</v>
      </c>
      <c r="G44">
        <v>0</v>
      </c>
      <c r="H44">
        <v>0</v>
      </c>
      <c r="I44">
        <v>0</v>
      </c>
      <c r="J44">
        <v>0</v>
      </c>
      <c r="K44">
        <v>0</v>
      </c>
      <c r="L44">
        <v>0</v>
      </c>
      <c r="M44">
        <v>0</v>
      </c>
      <c r="N44">
        <v>1.1018E-2</v>
      </c>
      <c r="O44">
        <v>1.2725E-2</v>
      </c>
      <c r="P44">
        <v>1.4222E-2</v>
      </c>
      <c r="Q44">
        <v>0</v>
      </c>
      <c r="R44">
        <v>0</v>
      </c>
      <c r="S44">
        <v>0</v>
      </c>
      <c r="T44">
        <v>0</v>
      </c>
      <c r="U44">
        <v>0</v>
      </c>
      <c r="V44">
        <v>0</v>
      </c>
      <c r="W44">
        <v>0</v>
      </c>
      <c r="X44">
        <v>0</v>
      </c>
      <c r="Y44">
        <v>0</v>
      </c>
      <c r="Z44">
        <v>0</v>
      </c>
      <c r="AA44">
        <v>0</v>
      </c>
      <c r="AB44">
        <v>0</v>
      </c>
      <c r="AC44">
        <v>0</v>
      </c>
      <c r="AD44">
        <v>0</v>
      </c>
      <c r="AE44">
        <v>0</v>
      </c>
      <c r="AF44">
        <v>0</v>
      </c>
      <c r="AG44" t="s">
        <v>863</v>
      </c>
    </row>
    <row r="45" spans="1:33" x14ac:dyDescent="0.25">
      <c r="A45" t="s">
        <v>605</v>
      </c>
      <c r="B45" t="s">
        <v>929</v>
      </c>
      <c r="C45" t="s">
        <v>930</v>
      </c>
      <c r="D45" t="s">
        <v>848</v>
      </c>
      <c r="F45">
        <v>10.208633000000001</v>
      </c>
      <c r="G45">
        <v>8.3388620000000007</v>
      </c>
      <c r="H45">
        <v>8.3914229999999996</v>
      </c>
      <c r="I45">
        <v>7.4571670000000001</v>
      </c>
      <c r="J45">
        <v>7.1216119999999998</v>
      </c>
      <c r="K45">
        <v>6.7601509999999996</v>
      </c>
      <c r="L45">
        <v>6.1754990000000003</v>
      </c>
      <c r="M45">
        <v>6.4663180000000002</v>
      </c>
      <c r="N45">
        <v>6.8491499999999998</v>
      </c>
      <c r="O45">
        <v>6.4310150000000004</v>
      </c>
      <c r="P45">
        <v>6.5184189999999997</v>
      </c>
      <c r="Q45">
        <v>6.1086549999999997</v>
      </c>
      <c r="R45">
        <v>5.8902999999999999</v>
      </c>
      <c r="S45">
        <v>5.8573399999999998</v>
      </c>
      <c r="T45">
        <v>5.2624969999999998</v>
      </c>
      <c r="U45">
        <v>4.2970899999999999</v>
      </c>
      <c r="V45">
        <v>4.2139639999999998</v>
      </c>
      <c r="W45">
        <v>3.836211</v>
      </c>
      <c r="X45">
        <v>3.5502060000000002</v>
      </c>
      <c r="Y45">
        <v>3.135945</v>
      </c>
      <c r="Z45">
        <v>3.135732</v>
      </c>
      <c r="AA45">
        <v>2.800732</v>
      </c>
      <c r="AB45">
        <v>2.7593239999999999</v>
      </c>
      <c r="AC45">
        <v>2.6073390000000001</v>
      </c>
      <c r="AD45">
        <v>2.1105369999999999</v>
      </c>
      <c r="AE45">
        <v>2.2769620000000002</v>
      </c>
      <c r="AF45">
        <v>1.8159609999999999</v>
      </c>
      <c r="AG45" s="345">
        <v>-6.4000000000000001E-2</v>
      </c>
    </row>
    <row r="46" spans="1:33" x14ac:dyDescent="0.25">
      <c r="A46" t="s">
        <v>762</v>
      </c>
      <c r="B46" t="s">
        <v>931</v>
      </c>
      <c r="C46" t="s">
        <v>932</v>
      </c>
      <c r="D46" t="s">
        <v>848</v>
      </c>
      <c r="F46">
        <v>4418.9633789999998</v>
      </c>
      <c r="G46">
        <v>4448.1357420000004</v>
      </c>
      <c r="H46">
        <v>4481.5722660000001</v>
      </c>
      <c r="I46">
        <v>4529.8388670000004</v>
      </c>
      <c r="J46">
        <v>4577.1547849999997</v>
      </c>
      <c r="K46">
        <v>4638.0810549999997</v>
      </c>
      <c r="L46">
        <v>4698.6660160000001</v>
      </c>
      <c r="M46">
        <v>4770.5473629999997</v>
      </c>
      <c r="N46">
        <v>4853.7954099999997</v>
      </c>
      <c r="O46">
        <v>4947.75</v>
      </c>
      <c r="P46">
        <v>5056.828125</v>
      </c>
      <c r="Q46">
        <v>5171.4326170000004</v>
      </c>
      <c r="R46">
        <v>5290.4672849999997</v>
      </c>
      <c r="S46">
        <v>5405.9506840000004</v>
      </c>
      <c r="T46">
        <v>5513.4033200000003</v>
      </c>
      <c r="U46">
        <v>5620.4169920000004</v>
      </c>
      <c r="V46">
        <v>5724.5473629999997</v>
      </c>
      <c r="W46">
        <v>5824.03125</v>
      </c>
      <c r="X46">
        <v>5923.4921880000002</v>
      </c>
      <c r="Y46">
        <v>6022.3403319999998</v>
      </c>
      <c r="Z46">
        <v>6114.294922</v>
      </c>
      <c r="AA46">
        <v>6192.2524409999996</v>
      </c>
      <c r="AB46">
        <v>6285.3544920000004</v>
      </c>
      <c r="AC46">
        <v>6371.1337890000004</v>
      </c>
      <c r="AD46">
        <v>6457.3784180000002</v>
      </c>
      <c r="AE46">
        <v>6544.8271480000003</v>
      </c>
      <c r="AF46">
        <v>6629.7661129999997</v>
      </c>
      <c r="AG46" s="345">
        <v>1.6E-2</v>
      </c>
    </row>
    <row r="47" spans="1:33" x14ac:dyDescent="0.25">
      <c r="A47" t="s">
        <v>764</v>
      </c>
      <c r="B47" t="s">
        <v>933</v>
      </c>
      <c r="C47" t="s">
        <v>934</v>
      </c>
      <c r="D47" t="s">
        <v>848</v>
      </c>
      <c r="F47">
        <v>4193.0263670000004</v>
      </c>
      <c r="G47">
        <v>4209.1821289999998</v>
      </c>
      <c r="H47">
        <v>4221.1010740000002</v>
      </c>
      <c r="I47">
        <v>4260.6733400000003</v>
      </c>
      <c r="J47">
        <v>4298.9829099999997</v>
      </c>
      <c r="K47">
        <v>4349.9067379999997</v>
      </c>
      <c r="L47">
        <v>4399.0576170000004</v>
      </c>
      <c r="M47">
        <v>4458.2573240000002</v>
      </c>
      <c r="N47">
        <v>4534.4936520000001</v>
      </c>
      <c r="O47">
        <v>4615.6469729999999</v>
      </c>
      <c r="P47">
        <v>4713.5517579999996</v>
      </c>
      <c r="Q47">
        <v>4820.0898440000001</v>
      </c>
      <c r="R47">
        <v>4930.6904299999997</v>
      </c>
      <c r="S47">
        <v>5037.7021480000003</v>
      </c>
      <c r="T47">
        <v>5135.6611329999996</v>
      </c>
      <c r="U47">
        <v>5234.0009769999997</v>
      </c>
      <c r="V47">
        <v>5328.9121089999999</v>
      </c>
      <c r="W47">
        <v>5418.6518550000001</v>
      </c>
      <c r="X47">
        <v>5508.4741210000002</v>
      </c>
      <c r="Y47">
        <v>5596.9580079999996</v>
      </c>
      <c r="Z47">
        <v>5678.4897460000002</v>
      </c>
      <c r="AA47">
        <v>5745.4892579999996</v>
      </c>
      <c r="AB47">
        <v>5827.7006840000004</v>
      </c>
      <c r="AC47">
        <v>5901.921875</v>
      </c>
      <c r="AD47">
        <v>5976.4423829999996</v>
      </c>
      <c r="AE47">
        <v>6052.1132809999999</v>
      </c>
      <c r="AF47">
        <v>6124.9770509999998</v>
      </c>
      <c r="AG47" s="345">
        <v>1.4999999999999999E-2</v>
      </c>
    </row>
    <row r="48" spans="1:33" x14ac:dyDescent="0.25">
      <c r="A48" t="s">
        <v>766</v>
      </c>
      <c r="B48" t="s">
        <v>935</v>
      </c>
      <c r="C48" t="s">
        <v>936</v>
      </c>
      <c r="D48" t="s">
        <v>848</v>
      </c>
      <c r="F48">
        <v>29.408321000000001</v>
      </c>
      <c r="G48">
        <v>34.699081</v>
      </c>
      <c r="H48">
        <v>41.752192999999998</v>
      </c>
      <c r="I48">
        <v>59.467457000000003</v>
      </c>
      <c r="J48">
        <v>71.331740999999994</v>
      </c>
      <c r="K48">
        <v>76.530379999999994</v>
      </c>
      <c r="L48">
        <v>84.066490000000002</v>
      </c>
      <c r="M48">
        <v>85.981864999999999</v>
      </c>
      <c r="N48">
        <v>87.868645000000001</v>
      </c>
      <c r="O48">
        <v>90.287818999999999</v>
      </c>
      <c r="P48">
        <v>90.771591000000001</v>
      </c>
      <c r="Q48">
        <v>92.015006999999997</v>
      </c>
      <c r="R48">
        <v>89.778908000000001</v>
      </c>
      <c r="S48">
        <v>88.733101000000005</v>
      </c>
      <c r="T48">
        <v>88.262459000000007</v>
      </c>
      <c r="U48">
        <v>85.946701000000004</v>
      </c>
      <c r="V48">
        <v>87.304130999999998</v>
      </c>
      <c r="W48">
        <v>87.720862999999994</v>
      </c>
      <c r="X48">
        <v>87.013549999999995</v>
      </c>
      <c r="Y48">
        <v>81.145949999999999</v>
      </c>
      <c r="Z48">
        <v>80.734161</v>
      </c>
      <c r="AA48">
        <v>80.061599999999999</v>
      </c>
      <c r="AB48">
        <v>75.366257000000004</v>
      </c>
      <c r="AC48">
        <v>72.132225000000005</v>
      </c>
      <c r="AD48">
        <v>70.206947</v>
      </c>
      <c r="AE48">
        <v>67.272873000000004</v>
      </c>
      <c r="AF48">
        <v>64.580794999999995</v>
      </c>
      <c r="AG48" s="345">
        <v>3.1E-2</v>
      </c>
    </row>
    <row r="49" spans="1:33" x14ac:dyDescent="0.25">
      <c r="A49" t="s">
        <v>767</v>
      </c>
    </row>
    <row r="50" spans="1:33" x14ac:dyDescent="0.25">
      <c r="A50" t="s">
        <v>937</v>
      </c>
      <c r="B50" t="s">
        <v>938</v>
      </c>
      <c r="C50" t="s">
        <v>939</v>
      </c>
      <c r="D50" t="s">
        <v>848</v>
      </c>
      <c r="F50">
        <v>1506.9552000000001</v>
      </c>
      <c r="G50">
        <v>1489.317749</v>
      </c>
      <c r="H50">
        <v>1510.7860109999999</v>
      </c>
      <c r="I50">
        <v>1537.210327</v>
      </c>
      <c r="J50">
        <v>1559.9395750000001</v>
      </c>
      <c r="K50">
        <v>1575.8001710000001</v>
      </c>
      <c r="L50">
        <v>1589.4060059999999</v>
      </c>
      <c r="M50">
        <v>1600.459717</v>
      </c>
      <c r="N50">
        <v>1615.4794919999999</v>
      </c>
      <c r="O50">
        <v>1632.689453</v>
      </c>
      <c r="P50">
        <v>1653.0886230000001</v>
      </c>
      <c r="Q50">
        <v>1678.8604740000001</v>
      </c>
      <c r="R50">
        <v>1708.451904</v>
      </c>
      <c r="S50">
        <v>1739.9765620000001</v>
      </c>
      <c r="T50">
        <v>1769.799927</v>
      </c>
      <c r="U50">
        <v>1799.7502440000001</v>
      </c>
      <c r="V50">
        <v>1828.2777100000001</v>
      </c>
      <c r="W50">
        <v>1855.3604740000001</v>
      </c>
      <c r="X50">
        <v>1881.338135</v>
      </c>
      <c r="Y50">
        <v>1906.422607</v>
      </c>
      <c r="Z50">
        <v>1929.589966</v>
      </c>
      <c r="AA50">
        <v>1951.0482179999999</v>
      </c>
      <c r="AB50">
        <v>1971.2163089999999</v>
      </c>
      <c r="AC50">
        <v>1990.140625</v>
      </c>
      <c r="AD50">
        <v>2007.7551269999999</v>
      </c>
      <c r="AE50">
        <v>2024.80249</v>
      </c>
      <c r="AF50">
        <v>2040.9398189999999</v>
      </c>
      <c r="AG50" s="345">
        <v>1.2E-2</v>
      </c>
    </row>
    <row r="51" spans="1:33" x14ac:dyDescent="0.25">
      <c r="A51" t="s">
        <v>940</v>
      </c>
      <c r="B51" t="s">
        <v>941</v>
      </c>
      <c r="C51" t="s">
        <v>942</v>
      </c>
      <c r="D51" t="s">
        <v>848</v>
      </c>
      <c r="F51">
        <v>1397.450073</v>
      </c>
      <c r="G51">
        <v>1421.4157709999999</v>
      </c>
      <c r="H51">
        <v>1414.001953</v>
      </c>
      <c r="I51">
        <v>1432.66687</v>
      </c>
      <c r="J51">
        <v>1449.9848629999999</v>
      </c>
      <c r="K51">
        <v>1478.4239500000001</v>
      </c>
      <c r="L51">
        <v>1502.4920649999999</v>
      </c>
      <c r="M51">
        <v>1528.8984379999999</v>
      </c>
      <c r="N51">
        <v>1561.9844969999999</v>
      </c>
      <c r="O51">
        <v>1595.545044</v>
      </c>
      <c r="P51">
        <v>1632.5177000000001</v>
      </c>
      <c r="Q51">
        <v>1673.2142329999999</v>
      </c>
      <c r="R51">
        <v>1716.0329589999999</v>
      </c>
      <c r="S51">
        <v>1759.166626</v>
      </c>
      <c r="T51">
        <v>1799.3663329999999</v>
      </c>
      <c r="U51">
        <v>1840.387573</v>
      </c>
      <c r="V51">
        <v>1880.409668</v>
      </c>
      <c r="W51">
        <v>1919.427612</v>
      </c>
      <c r="X51">
        <v>1957.4776609999999</v>
      </c>
      <c r="Y51">
        <v>1994.7257079999999</v>
      </c>
      <c r="Z51">
        <v>2031.442505</v>
      </c>
      <c r="AA51">
        <v>2067.531982</v>
      </c>
      <c r="AB51">
        <v>2103.5634770000001</v>
      </c>
      <c r="AC51">
        <v>2139.2316890000002</v>
      </c>
      <c r="AD51">
        <v>2174.7641600000002</v>
      </c>
      <c r="AE51">
        <v>2210.4821780000002</v>
      </c>
      <c r="AF51">
        <v>2246.5185550000001</v>
      </c>
      <c r="AG51" s="345">
        <v>1.7999999999999999E-2</v>
      </c>
    </row>
    <row r="52" spans="1:33" x14ac:dyDescent="0.25">
      <c r="A52" t="s">
        <v>943</v>
      </c>
      <c r="B52" t="s">
        <v>944</v>
      </c>
      <c r="C52" t="s">
        <v>945</v>
      </c>
      <c r="D52" t="s">
        <v>848</v>
      </c>
      <c r="F52">
        <v>1026.4345699999999</v>
      </c>
      <c r="G52">
        <v>1040.1705320000001</v>
      </c>
      <c r="H52">
        <v>1051.1326899999999</v>
      </c>
      <c r="I52">
        <v>1058.204712</v>
      </c>
      <c r="J52">
        <v>1063.685913</v>
      </c>
      <c r="K52">
        <v>1072.218384</v>
      </c>
      <c r="L52">
        <v>1086.609009</v>
      </c>
      <c r="M52">
        <v>1103.6015620000001</v>
      </c>
      <c r="N52">
        <v>1128.385254</v>
      </c>
      <c r="O52">
        <v>1153.7767329999999</v>
      </c>
      <c r="P52">
        <v>1187.397461</v>
      </c>
      <c r="Q52">
        <v>1220.565308</v>
      </c>
      <c r="R52">
        <v>1249.2524410000001</v>
      </c>
      <c r="S52">
        <v>1272.4658199999999</v>
      </c>
      <c r="T52">
        <v>1290.545288</v>
      </c>
      <c r="U52">
        <v>1308.2142329999999</v>
      </c>
      <c r="V52">
        <v>1328.876953</v>
      </c>
      <c r="W52">
        <v>1347.2070309999999</v>
      </c>
      <c r="X52">
        <v>1363.849731</v>
      </c>
      <c r="Y52">
        <v>1378.8170170000001</v>
      </c>
      <c r="Z52">
        <v>1391.904419</v>
      </c>
      <c r="AA52">
        <v>1404.978149</v>
      </c>
      <c r="AB52">
        <v>1418.728149</v>
      </c>
      <c r="AC52">
        <v>1434.2897949999999</v>
      </c>
      <c r="AD52">
        <v>1446.954346</v>
      </c>
      <c r="AE52">
        <v>1459.944092</v>
      </c>
      <c r="AF52">
        <v>1472.0654300000001</v>
      </c>
      <c r="AG52" s="345">
        <v>1.4E-2</v>
      </c>
    </row>
    <row r="53" spans="1:33" x14ac:dyDescent="0.25">
      <c r="A53" t="s">
        <v>946</v>
      </c>
      <c r="B53" t="s">
        <v>947</v>
      </c>
      <c r="C53" t="s">
        <v>948</v>
      </c>
      <c r="D53" t="s">
        <v>848</v>
      </c>
      <c r="F53">
        <v>6.7651560000000002</v>
      </c>
      <c r="G53">
        <v>7.1571600000000002</v>
      </c>
      <c r="H53">
        <v>7.3898510000000002</v>
      </c>
      <c r="I53">
        <v>7.5382930000000004</v>
      </c>
      <c r="J53">
        <v>7.6696989999999996</v>
      </c>
      <c r="K53">
        <v>7.8107480000000002</v>
      </c>
      <c r="L53">
        <v>7.9229070000000004</v>
      </c>
      <c r="M53">
        <v>7.9982490000000004</v>
      </c>
      <c r="N53">
        <v>8.0663060000000009</v>
      </c>
      <c r="O53">
        <v>8.1168610000000001</v>
      </c>
      <c r="P53">
        <v>8.1595639999999996</v>
      </c>
      <c r="Q53">
        <v>8.1938910000000007</v>
      </c>
      <c r="R53">
        <v>8.2557259999999992</v>
      </c>
      <c r="S53">
        <v>8.3241999999999994</v>
      </c>
      <c r="T53">
        <v>8.3895590000000002</v>
      </c>
      <c r="U53">
        <v>8.4485399999999995</v>
      </c>
      <c r="V53">
        <v>8.5047870000000003</v>
      </c>
      <c r="W53">
        <v>8.5569640000000007</v>
      </c>
      <c r="X53">
        <v>8.6109120000000008</v>
      </c>
      <c r="Y53">
        <v>8.6530799999999992</v>
      </c>
      <c r="Z53">
        <v>8.6738599999999995</v>
      </c>
      <c r="AA53">
        <v>8.7106060000000003</v>
      </c>
      <c r="AB53">
        <v>8.7621470000000006</v>
      </c>
      <c r="AC53">
        <v>8.8124769999999994</v>
      </c>
      <c r="AD53">
        <v>8.8623519999999996</v>
      </c>
      <c r="AE53">
        <v>8.9145230000000009</v>
      </c>
      <c r="AF53">
        <v>8.9700039999999994</v>
      </c>
      <c r="AG53" s="345">
        <v>1.0999999999999999E-2</v>
      </c>
    </row>
    <row r="54" spans="1:33" x14ac:dyDescent="0.25">
      <c r="A54" t="s">
        <v>608</v>
      </c>
      <c r="B54" t="s">
        <v>949</v>
      </c>
      <c r="C54" t="s">
        <v>950</v>
      </c>
      <c r="D54" t="s">
        <v>848</v>
      </c>
      <c r="F54">
        <v>3937.6047359999998</v>
      </c>
      <c r="G54">
        <v>3958.0610350000002</v>
      </c>
      <c r="H54">
        <v>3983.310547</v>
      </c>
      <c r="I54">
        <v>4035.6203609999998</v>
      </c>
      <c r="J54">
        <v>4081.2797850000002</v>
      </c>
      <c r="K54">
        <v>4134.2529299999997</v>
      </c>
      <c r="L54">
        <v>4186.4301759999998</v>
      </c>
      <c r="M54">
        <v>4240.9580079999996</v>
      </c>
      <c r="N54">
        <v>4313.9155270000001</v>
      </c>
      <c r="O54">
        <v>4390.1284180000002</v>
      </c>
      <c r="P54">
        <v>4481.1630859999996</v>
      </c>
      <c r="Q54">
        <v>4580.8344729999999</v>
      </c>
      <c r="R54">
        <v>4681.9931640000004</v>
      </c>
      <c r="S54">
        <v>4779.9331050000001</v>
      </c>
      <c r="T54">
        <v>4868.1010740000002</v>
      </c>
      <c r="U54">
        <v>4956.8007809999999</v>
      </c>
      <c r="V54">
        <v>5046.0693359999996</v>
      </c>
      <c r="W54">
        <v>5130.5522460000002</v>
      </c>
      <c r="X54">
        <v>5211.2763670000004</v>
      </c>
      <c r="Y54">
        <v>5288.6181640000004</v>
      </c>
      <c r="Z54">
        <v>5361.6108400000003</v>
      </c>
      <c r="AA54">
        <v>5432.2690430000002</v>
      </c>
      <c r="AB54">
        <v>5502.2705079999996</v>
      </c>
      <c r="AC54">
        <v>5572.4746089999999</v>
      </c>
      <c r="AD54">
        <v>5638.3359380000002</v>
      </c>
      <c r="AE54">
        <v>5704.1430659999996</v>
      </c>
      <c r="AF54">
        <v>5768.4936520000001</v>
      </c>
      <c r="AG54" s="345">
        <v>1.4999999999999999E-2</v>
      </c>
    </row>
    <row r="55" spans="1:33" x14ac:dyDescent="0.25">
      <c r="A55" t="s">
        <v>779</v>
      </c>
      <c r="B55" t="s">
        <v>951</v>
      </c>
      <c r="C55" t="s">
        <v>952</v>
      </c>
      <c r="D55" t="s">
        <v>848</v>
      </c>
      <c r="F55">
        <v>225.936859</v>
      </c>
      <c r="G55">
        <v>238.95384200000001</v>
      </c>
      <c r="H55">
        <v>260.47100799999998</v>
      </c>
      <c r="I55">
        <v>269.16580199999999</v>
      </c>
      <c r="J55">
        <v>278.17202800000001</v>
      </c>
      <c r="K55">
        <v>288.17388899999997</v>
      </c>
      <c r="L55">
        <v>299.60849000000002</v>
      </c>
      <c r="M55">
        <v>312.28970299999997</v>
      </c>
      <c r="N55">
        <v>319.30187999999998</v>
      </c>
      <c r="O55">
        <v>332.10296599999998</v>
      </c>
      <c r="P55">
        <v>343.27652</v>
      </c>
      <c r="Q55">
        <v>351.34255999999999</v>
      </c>
      <c r="R55">
        <v>359.776794</v>
      </c>
      <c r="S55">
        <v>368.248535</v>
      </c>
      <c r="T55">
        <v>377.74234000000001</v>
      </c>
      <c r="U55">
        <v>386.41592400000002</v>
      </c>
      <c r="V55">
        <v>395.635223</v>
      </c>
      <c r="W55">
        <v>405.37908900000002</v>
      </c>
      <c r="X55">
        <v>415.01809700000001</v>
      </c>
      <c r="Y55">
        <v>425.38241599999998</v>
      </c>
      <c r="Z55">
        <v>435.80535900000001</v>
      </c>
      <c r="AA55">
        <v>446.76318400000002</v>
      </c>
      <c r="AB55">
        <v>457.65374800000001</v>
      </c>
      <c r="AC55">
        <v>469.212311</v>
      </c>
      <c r="AD55">
        <v>480.93618800000002</v>
      </c>
      <c r="AE55">
        <v>492.71447799999999</v>
      </c>
      <c r="AF55">
        <v>504.78903200000002</v>
      </c>
      <c r="AG55" s="345">
        <v>3.1E-2</v>
      </c>
    </row>
    <row r="56" spans="1:33" x14ac:dyDescent="0.25">
      <c r="A56" t="s">
        <v>781</v>
      </c>
      <c r="B56" t="s">
        <v>953</v>
      </c>
      <c r="C56" t="s">
        <v>954</v>
      </c>
      <c r="D56" t="s">
        <v>848</v>
      </c>
      <c r="F56">
        <v>4163.5415039999998</v>
      </c>
      <c r="G56">
        <v>4197.0146480000003</v>
      </c>
      <c r="H56">
        <v>4243.7817379999997</v>
      </c>
      <c r="I56">
        <v>4304.7861329999996</v>
      </c>
      <c r="J56">
        <v>4359.4516599999997</v>
      </c>
      <c r="K56">
        <v>4422.4267579999996</v>
      </c>
      <c r="L56">
        <v>4486.0385740000002</v>
      </c>
      <c r="M56">
        <v>4553.2475590000004</v>
      </c>
      <c r="N56">
        <v>4633.2172849999997</v>
      </c>
      <c r="O56">
        <v>4722.2314450000003</v>
      </c>
      <c r="P56">
        <v>4824.439453</v>
      </c>
      <c r="Q56">
        <v>4932.1772460000002</v>
      </c>
      <c r="R56">
        <v>5041.7700199999999</v>
      </c>
      <c r="S56">
        <v>5148.1816410000001</v>
      </c>
      <c r="T56">
        <v>5245.8432620000003</v>
      </c>
      <c r="U56">
        <v>5343.216797</v>
      </c>
      <c r="V56">
        <v>5441.7045900000003</v>
      </c>
      <c r="W56">
        <v>5535.9311520000001</v>
      </c>
      <c r="X56">
        <v>5626.2944340000004</v>
      </c>
      <c r="Y56">
        <v>5714.0004879999997</v>
      </c>
      <c r="Z56">
        <v>5797.4160160000001</v>
      </c>
      <c r="AA56">
        <v>5879.0322269999997</v>
      </c>
      <c r="AB56">
        <v>5959.9243159999996</v>
      </c>
      <c r="AC56">
        <v>6041.6870120000003</v>
      </c>
      <c r="AD56">
        <v>6119.2719729999999</v>
      </c>
      <c r="AE56">
        <v>6196.857422</v>
      </c>
      <c r="AF56">
        <v>6273.2827150000003</v>
      </c>
      <c r="AG56" s="345">
        <v>1.6E-2</v>
      </c>
    </row>
    <row r="57" spans="1:33" x14ac:dyDescent="0.25">
      <c r="A57" t="s">
        <v>782</v>
      </c>
    </row>
    <row r="58" spans="1:33" x14ac:dyDescent="0.25">
      <c r="A58" t="s">
        <v>955</v>
      </c>
    </row>
    <row r="59" spans="1:33" x14ac:dyDescent="0.25">
      <c r="A59" t="s">
        <v>937</v>
      </c>
      <c r="B59" t="s">
        <v>956</v>
      </c>
      <c r="C59" t="s">
        <v>957</v>
      </c>
      <c r="D59" t="s">
        <v>678</v>
      </c>
      <c r="F59">
        <v>15.542730000000001</v>
      </c>
      <c r="G59">
        <v>15.362197</v>
      </c>
      <c r="H59">
        <v>14.515221</v>
      </c>
      <c r="I59">
        <v>13.804891</v>
      </c>
      <c r="J59">
        <v>13.710368000000001</v>
      </c>
      <c r="K59">
        <v>13.842409</v>
      </c>
      <c r="L59">
        <v>14.005024000000001</v>
      </c>
      <c r="M59">
        <v>14.233803</v>
      </c>
      <c r="N59">
        <v>14.421987</v>
      </c>
      <c r="O59">
        <v>14.711684999999999</v>
      </c>
      <c r="P59">
        <v>14.830515</v>
      </c>
      <c r="Q59">
        <v>14.788437</v>
      </c>
      <c r="R59">
        <v>14.684540999999999</v>
      </c>
      <c r="S59">
        <v>14.579694999999999</v>
      </c>
      <c r="T59">
        <v>14.634625</v>
      </c>
      <c r="U59">
        <v>14.54501</v>
      </c>
      <c r="V59">
        <v>14.509698999999999</v>
      </c>
      <c r="W59">
        <v>14.516397</v>
      </c>
      <c r="X59">
        <v>14.580066</v>
      </c>
      <c r="Y59">
        <v>14.644710999999999</v>
      </c>
      <c r="Z59">
        <v>14.729215</v>
      </c>
      <c r="AA59">
        <v>14.800528999999999</v>
      </c>
      <c r="AB59">
        <v>14.883492</v>
      </c>
      <c r="AC59">
        <v>14.942532999999999</v>
      </c>
      <c r="AD59">
        <v>15.05583</v>
      </c>
      <c r="AE59">
        <v>15.157223</v>
      </c>
      <c r="AF59">
        <v>15.281412</v>
      </c>
      <c r="AG59" s="345">
        <v>-1E-3</v>
      </c>
    </row>
    <row r="60" spans="1:33" x14ac:dyDescent="0.25">
      <c r="A60" t="s">
        <v>940</v>
      </c>
      <c r="B60" t="s">
        <v>958</v>
      </c>
      <c r="C60" t="s">
        <v>959</v>
      </c>
      <c r="D60" t="s">
        <v>678</v>
      </c>
      <c r="F60">
        <v>13.153809000000001</v>
      </c>
      <c r="G60">
        <v>12.830075000000001</v>
      </c>
      <c r="H60">
        <v>11.977973</v>
      </c>
      <c r="I60">
        <v>11.302080999999999</v>
      </c>
      <c r="J60">
        <v>11.247807999999999</v>
      </c>
      <c r="K60">
        <v>11.368865</v>
      </c>
      <c r="L60">
        <v>11.535863000000001</v>
      </c>
      <c r="M60">
        <v>11.741847999999999</v>
      </c>
      <c r="N60">
        <v>11.917833</v>
      </c>
      <c r="O60">
        <v>12.181291999999999</v>
      </c>
      <c r="P60">
        <v>12.276244</v>
      </c>
      <c r="Q60">
        <v>12.218942999999999</v>
      </c>
      <c r="R60">
        <v>12.106733</v>
      </c>
      <c r="S60">
        <v>12.007477</v>
      </c>
      <c r="T60">
        <v>12.082485999999999</v>
      </c>
      <c r="U60">
        <v>11.981271</v>
      </c>
      <c r="V60">
        <v>11.937224000000001</v>
      </c>
      <c r="W60">
        <v>11.939458</v>
      </c>
      <c r="X60">
        <v>11.994700999999999</v>
      </c>
      <c r="Y60">
        <v>12.046309000000001</v>
      </c>
      <c r="Z60">
        <v>12.113225999999999</v>
      </c>
      <c r="AA60">
        <v>12.162678</v>
      </c>
      <c r="AB60">
        <v>12.21415</v>
      </c>
      <c r="AC60">
        <v>12.229046</v>
      </c>
      <c r="AD60">
        <v>12.310620999999999</v>
      </c>
      <c r="AE60">
        <v>12.380887</v>
      </c>
      <c r="AF60">
        <v>12.46231</v>
      </c>
      <c r="AG60" s="345">
        <v>-2E-3</v>
      </c>
    </row>
    <row r="61" spans="1:33" x14ac:dyDescent="0.25">
      <c r="A61" t="s">
        <v>943</v>
      </c>
      <c r="B61" t="s">
        <v>960</v>
      </c>
      <c r="C61" t="s">
        <v>961</v>
      </c>
      <c r="D61" t="s">
        <v>678</v>
      </c>
      <c r="F61">
        <v>9.0444420000000001</v>
      </c>
      <c r="G61">
        <v>8.8446049999999996</v>
      </c>
      <c r="H61">
        <v>8.0310760000000005</v>
      </c>
      <c r="I61">
        <v>7.559793</v>
      </c>
      <c r="J61">
        <v>7.507873</v>
      </c>
      <c r="K61">
        <v>7.616498</v>
      </c>
      <c r="L61">
        <v>7.7619759999999998</v>
      </c>
      <c r="M61">
        <v>7.9657910000000003</v>
      </c>
      <c r="N61">
        <v>8.1884499999999996</v>
      </c>
      <c r="O61">
        <v>8.4451990000000006</v>
      </c>
      <c r="P61">
        <v>8.5138569999999998</v>
      </c>
      <c r="Q61">
        <v>8.4511009999999995</v>
      </c>
      <c r="R61">
        <v>8.3432130000000004</v>
      </c>
      <c r="S61">
        <v>8.2720380000000002</v>
      </c>
      <c r="T61">
        <v>8.3053030000000003</v>
      </c>
      <c r="U61">
        <v>8.2666170000000001</v>
      </c>
      <c r="V61">
        <v>8.2384240000000002</v>
      </c>
      <c r="W61">
        <v>8.2426940000000002</v>
      </c>
      <c r="X61">
        <v>8.2868720000000007</v>
      </c>
      <c r="Y61">
        <v>8.3239260000000002</v>
      </c>
      <c r="Z61">
        <v>8.3710579999999997</v>
      </c>
      <c r="AA61">
        <v>8.4076649999999997</v>
      </c>
      <c r="AB61">
        <v>8.4466529999999995</v>
      </c>
      <c r="AC61">
        <v>8.4803040000000003</v>
      </c>
      <c r="AD61">
        <v>8.5377530000000004</v>
      </c>
      <c r="AE61">
        <v>8.5980749999999997</v>
      </c>
      <c r="AF61">
        <v>8.6702739999999991</v>
      </c>
      <c r="AG61" s="345">
        <v>-2E-3</v>
      </c>
    </row>
    <row r="62" spans="1:33" x14ac:dyDescent="0.25">
      <c r="A62" t="s">
        <v>946</v>
      </c>
      <c r="B62" t="s">
        <v>962</v>
      </c>
      <c r="C62" t="s">
        <v>963</v>
      </c>
      <c r="D62" t="s">
        <v>678</v>
      </c>
      <c r="F62">
        <v>14.538391000000001</v>
      </c>
      <c r="G62">
        <v>14.421386999999999</v>
      </c>
      <c r="H62">
        <v>13.535541</v>
      </c>
      <c r="I62">
        <v>12.527900000000001</v>
      </c>
      <c r="J62">
        <v>12.465827000000001</v>
      </c>
      <c r="K62">
        <v>12.561264</v>
      </c>
      <c r="L62">
        <v>12.721961</v>
      </c>
      <c r="M62">
        <v>12.985294</v>
      </c>
      <c r="N62">
        <v>13.205762999999999</v>
      </c>
      <c r="O62">
        <v>13.559443</v>
      </c>
      <c r="P62">
        <v>13.681448</v>
      </c>
      <c r="Q62">
        <v>13.700457</v>
      </c>
      <c r="R62">
        <v>13.667647000000001</v>
      </c>
      <c r="S62">
        <v>13.573924999999999</v>
      </c>
      <c r="T62">
        <v>13.701203</v>
      </c>
      <c r="U62">
        <v>13.507993000000001</v>
      </c>
      <c r="V62">
        <v>13.409189</v>
      </c>
      <c r="W62">
        <v>13.398807</v>
      </c>
      <c r="X62">
        <v>13.516458</v>
      </c>
      <c r="Y62">
        <v>13.587370999999999</v>
      </c>
      <c r="Z62">
        <v>13.710958</v>
      </c>
      <c r="AA62">
        <v>13.775229</v>
      </c>
      <c r="AB62">
        <v>13.831465</v>
      </c>
      <c r="AC62">
        <v>13.815734000000001</v>
      </c>
      <c r="AD62">
        <v>13.998624</v>
      </c>
      <c r="AE62">
        <v>14.086653</v>
      </c>
      <c r="AF62">
        <v>14.191352</v>
      </c>
      <c r="AG62" s="345">
        <v>-1E-3</v>
      </c>
    </row>
    <row r="63" spans="1:33" x14ac:dyDescent="0.25">
      <c r="A63" t="s">
        <v>964</v>
      </c>
      <c r="B63" t="s">
        <v>965</v>
      </c>
      <c r="C63" t="s">
        <v>966</v>
      </c>
      <c r="D63" t="s">
        <v>678</v>
      </c>
      <c r="F63">
        <v>12.999242000000001</v>
      </c>
      <c r="G63">
        <v>12.738352000000001</v>
      </c>
      <c r="H63">
        <v>11.901664999999999</v>
      </c>
      <c r="I63">
        <v>11.27643</v>
      </c>
      <c r="J63">
        <v>11.216609999999999</v>
      </c>
      <c r="K63">
        <v>11.340750999999999</v>
      </c>
      <c r="L63">
        <v>11.49601</v>
      </c>
      <c r="M63">
        <v>11.701988</v>
      </c>
      <c r="N63">
        <v>11.882509000000001</v>
      </c>
      <c r="O63">
        <v>12.143003999999999</v>
      </c>
      <c r="P63">
        <v>12.224126999999999</v>
      </c>
      <c r="Q63">
        <v>12.159363000000001</v>
      </c>
      <c r="R63">
        <v>12.045938</v>
      </c>
      <c r="S63">
        <v>11.952123</v>
      </c>
      <c r="T63">
        <v>12.011766</v>
      </c>
      <c r="U63">
        <v>11.93435</v>
      </c>
      <c r="V63">
        <v>11.897681</v>
      </c>
      <c r="W63">
        <v>11.903074999999999</v>
      </c>
      <c r="X63">
        <v>11.960183000000001</v>
      </c>
      <c r="Y63">
        <v>12.015017</v>
      </c>
      <c r="Z63">
        <v>12.085792</v>
      </c>
      <c r="AA63">
        <v>12.141493000000001</v>
      </c>
      <c r="AB63">
        <v>12.201606</v>
      </c>
      <c r="AC63">
        <v>12.235763</v>
      </c>
      <c r="AD63">
        <v>12.322592</v>
      </c>
      <c r="AE63">
        <v>12.400880000000001</v>
      </c>
      <c r="AF63">
        <v>12.494728</v>
      </c>
      <c r="AG63" s="345">
        <v>-2E-3</v>
      </c>
    </row>
    <row r="64" spans="1:33" x14ac:dyDescent="0.25">
      <c r="A64" t="s">
        <v>790</v>
      </c>
    </row>
    <row r="65" spans="1:33" x14ac:dyDescent="0.25">
      <c r="A65" t="s">
        <v>937</v>
      </c>
      <c r="B65" t="s">
        <v>956</v>
      </c>
      <c r="C65" t="s">
        <v>967</v>
      </c>
      <c r="D65" t="s">
        <v>696</v>
      </c>
      <c r="F65">
        <v>15.542730000000001</v>
      </c>
      <c r="G65">
        <v>15.676882000000001</v>
      </c>
      <c r="H65">
        <v>15.063079</v>
      </c>
      <c r="I65">
        <v>14.565659999999999</v>
      </c>
      <c r="J65">
        <v>14.739799</v>
      </c>
      <c r="K65">
        <v>15.147349</v>
      </c>
      <c r="L65">
        <v>15.613307000000001</v>
      </c>
      <c r="M65">
        <v>16.196466000000001</v>
      </c>
      <c r="N65">
        <v>16.760892999999999</v>
      </c>
      <c r="O65">
        <v>17.472746000000001</v>
      </c>
      <c r="P65">
        <v>18.006913999999998</v>
      </c>
      <c r="Q65">
        <v>18.346599999999999</v>
      </c>
      <c r="R65">
        <v>18.595341000000001</v>
      </c>
      <c r="S65">
        <v>18.846883999999999</v>
      </c>
      <c r="T65">
        <v>19.312031000000001</v>
      </c>
      <c r="U65">
        <v>19.589099999999998</v>
      </c>
      <c r="V65">
        <v>19.951262</v>
      </c>
      <c r="W65">
        <v>20.386365999999999</v>
      </c>
      <c r="X65">
        <v>20.917539999999999</v>
      </c>
      <c r="Y65">
        <v>21.470828999999998</v>
      </c>
      <c r="Z65">
        <v>22.071873</v>
      </c>
      <c r="AA65">
        <v>22.672789000000002</v>
      </c>
      <c r="AB65">
        <v>23.308807000000002</v>
      </c>
      <c r="AC65">
        <v>23.931625</v>
      </c>
      <c r="AD65">
        <v>24.661975999999999</v>
      </c>
      <c r="AE65">
        <v>25.395658000000001</v>
      </c>
      <c r="AF65">
        <v>26.191783999999998</v>
      </c>
      <c r="AG65" s="345">
        <v>0.02</v>
      </c>
    </row>
    <row r="66" spans="1:33" x14ac:dyDescent="0.25">
      <c r="A66" t="s">
        <v>940</v>
      </c>
      <c r="B66" t="s">
        <v>958</v>
      </c>
      <c r="C66" t="s">
        <v>968</v>
      </c>
      <c r="D66" t="s">
        <v>696</v>
      </c>
      <c r="F66">
        <v>13.153809000000001</v>
      </c>
      <c r="G66">
        <v>13.092892000000001</v>
      </c>
      <c r="H66">
        <v>12.430066</v>
      </c>
      <c r="I66">
        <v>11.924925</v>
      </c>
      <c r="J66">
        <v>12.09234</v>
      </c>
      <c r="K66">
        <v>12.440621</v>
      </c>
      <c r="L66">
        <v>12.860597</v>
      </c>
      <c r="M66">
        <v>13.360903</v>
      </c>
      <c r="N66">
        <v>13.850624</v>
      </c>
      <c r="O66">
        <v>14.467452</v>
      </c>
      <c r="P66">
        <v>14.905570000000001</v>
      </c>
      <c r="Q66">
        <v>15.158874000000001</v>
      </c>
      <c r="R66">
        <v>15.331009999999999</v>
      </c>
      <c r="S66">
        <v>15.521829</v>
      </c>
      <c r="T66">
        <v>15.944196</v>
      </c>
      <c r="U66">
        <v>16.136275999999999</v>
      </c>
      <c r="V66">
        <v>16.414034000000001</v>
      </c>
      <c r="W66">
        <v>16.767392999999998</v>
      </c>
      <c r="X66">
        <v>17.208403000000001</v>
      </c>
      <c r="Y66">
        <v>17.661273999999999</v>
      </c>
      <c r="Z66">
        <v>18.151786999999999</v>
      </c>
      <c r="AA66">
        <v>18.631886999999999</v>
      </c>
      <c r="AB66">
        <v>19.128392999999999</v>
      </c>
      <c r="AC66">
        <v>19.585766</v>
      </c>
      <c r="AD66">
        <v>20.165227999999999</v>
      </c>
      <c r="AE66">
        <v>20.743957999999999</v>
      </c>
      <c r="AF66">
        <v>21.359945</v>
      </c>
      <c r="AG66" s="345">
        <v>1.9E-2</v>
      </c>
    </row>
    <row r="67" spans="1:33" x14ac:dyDescent="0.25">
      <c r="A67" t="s">
        <v>943</v>
      </c>
      <c r="B67" t="s">
        <v>960</v>
      </c>
      <c r="C67" t="s">
        <v>969</v>
      </c>
      <c r="D67" t="s">
        <v>696</v>
      </c>
      <c r="F67">
        <v>9.0444420000000001</v>
      </c>
      <c r="G67">
        <v>9.0257819999999995</v>
      </c>
      <c r="H67">
        <v>8.3341989999999999</v>
      </c>
      <c r="I67">
        <v>7.9764039999999996</v>
      </c>
      <c r="J67">
        <v>8.0715939999999993</v>
      </c>
      <c r="K67">
        <v>8.3345140000000004</v>
      </c>
      <c r="L67">
        <v>8.6533320000000007</v>
      </c>
      <c r="M67">
        <v>9.0641750000000005</v>
      </c>
      <c r="N67">
        <v>9.5164220000000004</v>
      </c>
      <c r="O67">
        <v>10.030177999999999</v>
      </c>
      <c r="P67">
        <v>10.337353999999999</v>
      </c>
      <c r="Q67">
        <v>10.484472999999999</v>
      </c>
      <c r="R67">
        <v>10.565185</v>
      </c>
      <c r="S67">
        <v>10.693099999999999</v>
      </c>
      <c r="T67">
        <v>10.959778999999999</v>
      </c>
      <c r="U67">
        <v>11.133411000000001</v>
      </c>
      <c r="V67">
        <v>11.328074000000001</v>
      </c>
      <c r="W67">
        <v>11.575775999999999</v>
      </c>
      <c r="X67">
        <v>11.888902</v>
      </c>
      <c r="Y67">
        <v>12.203832999999999</v>
      </c>
      <c r="Z67">
        <v>12.544112</v>
      </c>
      <c r="AA67">
        <v>12.879621999999999</v>
      </c>
      <c r="AB67">
        <v>13.228173</v>
      </c>
      <c r="AC67">
        <v>13.581865000000001</v>
      </c>
      <c r="AD67">
        <v>13.985137999999999</v>
      </c>
      <c r="AE67">
        <v>14.405923</v>
      </c>
      <c r="AF67">
        <v>14.860533999999999</v>
      </c>
      <c r="AG67" s="345">
        <v>1.9E-2</v>
      </c>
    </row>
    <row r="68" spans="1:33" x14ac:dyDescent="0.25">
      <c r="A68" t="s">
        <v>946</v>
      </c>
      <c r="B68" t="s">
        <v>962</v>
      </c>
      <c r="C68" t="s">
        <v>970</v>
      </c>
      <c r="D68" t="s">
        <v>696</v>
      </c>
      <c r="F68">
        <v>14.538391000000001</v>
      </c>
      <c r="G68">
        <v>14.716799999999999</v>
      </c>
      <c r="H68">
        <v>14.046422</v>
      </c>
      <c r="I68">
        <v>13.218297</v>
      </c>
      <c r="J68">
        <v>13.401812</v>
      </c>
      <c r="K68">
        <v>13.745429</v>
      </c>
      <c r="L68">
        <v>14.182900999999999</v>
      </c>
      <c r="M68">
        <v>14.775805</v>
      </c>
      <c r="N68">
        <v>15.347426</v>
      </c>
      <c r="O68">
        <v>16.104254000000001</v>
      </c>
      <c r="P68">
        <v>16.611740000000001</v>
      </c>
      <c r="Q68">
        <v>16.996846999999999</v>
      </c>
      <c r="R68">
        <v>17.307628999999999</v>
      </c>
      <c r="S68">
        <v>17.546745000000001</v>
      </c>
      <c r="T68">
        <v>18.080276000000001</v>
      </c>
      <c r="U68">
        <v>18.192453</v>
      </c>
      <c r="V68">
        <v>18.438027999999999</v>
      </c>
      <c r="W68">
        <v>18.816856000000001</v>
      </c>
      <c r="X68">
        <v>19.391617</v>
      </c>
      <c r="Y68">
        <v>19.920649000000001</v>
      </c>
      <c r="Z68">
        <v>20.546005000000001</v>
      </c>
      <c r="AA68">
        <v>21.102139999999999</v>
      </c>
      <c r="AB68">
        <v>21.661242999999999</v>
      </c>
      <c r="AC68">
        <v>22.12697</v>
      </c>
      <c r="AD68">
        <v>22.930235</v>
      </c>
      <c r="AE68">
        <v>23.601938000000001</v>
      </c>
      <c r="AF68">
        <v>24.323460000000001</v>
      </c>
      <c r="AG68" s="345">
        <v>0.02</v>
      </c>
    </row>
    <row r="69" spans="1:33" x14ac:dyDescent="0.25">
      <c r="A69" t="s">
        <v>964</v>
      </c>
      <c r="B69" t="s">
        <v>965</v>
      </c>
      <c r="C69" t="s">
        <v>971</v>
      </c>
      <c r="D69" t="s">
        <v>696</v>
      </c>
      <c r="F69">
        <v>12.999242000000001</v>
      </c>
      <c r="G69">
        <v>12.999288999999999</v>
      </c>
      <c r="H69">
        <v>12.350878</v>
      </c>
      <c r="I69">
        <v>11.89786</v>
      </c>
      <c r="J69">
        <v>12.058799</v>
      </c>
      <c r="K69">
        <v>12.409856</v>
      </c>
      <c r="L69">
        <v>12.816167</v>
      </c>
      <c r="M69">
        <v>13.315547</v>
      </c>
      <c r="N69">
        <v>13.809571</v>
      </c>
      <c r="O69">
        <v>14.42198</v>
      </c>
      <c r="P69">
        <v>14.84229</v>
      </c>
      <c r="Q69">
        <v>15.084959</v>
      </c>
      <c r="R69">
        <v>15.254025</v>
      </c>
      <c r="S69">
        <v>15.450274</v>
      </c>
      <c r="T69">
        <v>15.850873999999999</v>
      </c>
      <c r="U69">
        <v>16.073086</v>
      </c>
      <c r="V69">
        <v>16.359659000000001</v>
      </c>
      <c r="W69">
        <v>16.716298999999999</v>
      </c>
      <c r="X69">
        <v>17.158881999999998</v>
      </c>
      <c r="Y69">
        <v>17.615394999999999</v>
      </c>
      <c r="Z69">
        <v>18.110678</v>
      </c>
      <c r="AA69">
        <v>18.599436000000001</v>
      </c>
      <c r="AB69">
        <v>19.108746</v>
      </c>
      <c r="AC69">
        <v>19.596523000000001</v>
      </c>
      <c r="AD69">
        <v>20.184835</v>
      </c>
      <c r="AE69">
        <v>20.777453999999999</v>
      </c>
      <c r="AF69">
        <v>21.415507999999999</v>
      </c>
      <c r="AG69" s="345">
        <v>1.9E-2</v>
      </c>
    </row>
    <row r="70" spans="1:33" x14ac:dyDescent="0.25">
      <c r="A70" t="s">
        <v>796</v>
      </c>
    </row>
    <row r="71" spans="1:33" x14ac:dyDescent="0.25">
      <c r="A71" t="s">
        <v>955</v>
      </c>
    </row>
    <row r="72" spans="1:33" x14ac:dyDescent="0.25">
      <c r="A72" t="s">
        <v>972</v>
      </c>
      <c r="B72" t="s">
        <v>973</v>
      </c>
      <c r="C72" t="s">
        <v>974</v>
      </c>
      <c r="D72" t="s">
        <v>678</v>
      </c>
      <c r="F72">
        <v>7.8510650000000002</v>
      </c>
      <c r="G72">
        <v>7.5253230000000002</v>
      </c>
      <c r="H72">
        <v>6.5115439999999998</v>
      </c>
      <c r="I72">
        <v>5.7875459999999999</v>
      </c>
      <c r="J72">
        <v>5.6443969999999997</v>
      </c>
      <c r="K72">
        <v>5.6870419999999999</v>
      </c>
      <c r="L72">
        <v>5.773981</v>
      </c>
      <c r="M72">
        <v>5.9116679999999997</v>
      </c>
      <c r="N72">
        <v>6.0340020000000001</v>
      </c>
      <c r="O72">
        <v>6.2501620000000004</v>
      </c>
      <c r="P72">
        <v>6.2945900000000004</v>
      </c>
      <c r="Q72">
        <v>6.1988539999999999</v>
      </c>
      <c r="R72">
        <v>6.0493920000000001</v>
      </c>
      <c r="S72">
        <v>5.9171279999999999</v>
      </c>
      <c r="T72">
        <v>5.9379090000000003</v>
      </c>
      <c r="U72">
        <v>5.8229930000000003</v>
      </c>
      <c r="V72">
        <v>5.7504739999999996</v>
      </c>
      <c r="W72">
        <v>5.7293969999999996</v>
      </c>
      <c r="X72">
        <v>5.7574839999999998</v>
      </c>
      <c r="Y72">
        <v>5.7803789999999999</v>
      </c>
      <c r="Z72">
        <v>5.8212809999999999</v>
      </c>
      <c r="AA72">
        <v>5.8413000000000004</v>
      </c>
      <c r="AB72">
        <v>5.8626750000000003</v>
      </c>
      <c r="AC72">
        <v>5.8598249999999998</v>
      </c>
      <c r="AD72">
        <v>5.9153690000000001</v>
      </c>
      <c r="AE72">
        <v>5.9558790000000004</v>
      </c>
      <c r="AF72">
        <v>6.0059199999999997</v>
      </c>
      <c r="AG72" s="345">
        <v>-0.01</v>
      </c>
    </row>
    <row r="73" spans="1:33" x14ac:dyDescent="0.25">
      <c r="A73" t="s">
        <v>975</v>
      </c>
      <c r="B73" t="s">
        <v>976</v>
      </c>
      <c r="C73" t="s">
        <v>977</v>
      </c>
      <c r="D73" t="s">
        <v>678</v>
      </c>
      <c r="F73">
        <v>1.805739</v>
      </c>
      <c r="G73">
        <v>1.831996</v>
      </c>
      <c r="H73">
        <v>1.89313</v>
      </c>
      <c r="I73">
        <v>1.946869</v>
      </c>
      <c r="J73">
        <v>1.990022</v>
      </c>
      <c r="K73">
        <v>2.0340060000000002</v>
      </c>
      <c r="L73">
        <v>2.072613</v>
      </c>
      <c r="M73">
        <v>2.1098240000000001</v>
      </c>
      <c r="N73">
        <v>2.1427879999999999</v>
      </c>
      <c r="O73">
        <v>2.1737030000000002</v>
      </c>
      <c r="P73">
        <v>2.1966969999999999</v>
      </c>
      <c r="Q73">
        <v>2.216215</v>
      </c>
      <c r="R73">
        <v>2.2380770000000001</v>
      </c>
      <c r="S73">
        <v>2.2638419999999999</v>
      </c>
      <c r="T73">
        <v>2.2874409999999998</v>
      </c>
      <c r="U73">
        <v>2.3071980000000001</v>
      </c>
      <c r="V73">
        <v>2.3245279999999999</v>
      </c>
      <c r="W73">
        <v>2.3338939999999999</v>
      </c>
      <c r="X73">
        <v>2.3435739999999998</v>
      </c>
      <c r="Y73">
        <v>2.3559839999999999</v>
      </c>
      <c r="Z73">
        <v>2.3672439999999999</v>
      </c>
      <c r="AA73">
        <v>2.381265</v>
      </c>
      <c r="AB73">
        <v>2.3969670000000001</v>
      </c>
      <c r="AC73">
        <v>2.410857</v>
      </c>
      <c r="AD73">
        <v>2.4208660000000002</v>
      </c>
      <c r="AE73">
        <v>2.4340109999999999</v>
      </c>
      <c r="AF73">
        <v>2.4515410000000002</v>
      </c>
      <c r="AG73" s="345">
        <v>1.2E-2</v>
      </c>
    </row>
    <row r="74" spans="1:33" x14ac:dyDescent="0.25">
      <c r="A74" t="s">
        <v>978</v>
      </c>
      <c r="B74" t="s">
        <v>979</v>
      </c>
      <c r="C74" t="s">
        <v>980</v>
      </c>
      <c r="D74" t="s">
        <v>678</v>
      </c>
      <c r="F74">
        <v>3.4257740000000001</v>
      </c>
      <c r="G74">
        <v>3.4273850000000001</v>
      </c>
      <c r="H74">
        <v>3.4804179999999998</v>
      </c>
      <c r="I74">
        <v>3.5275400000000001</v>
      </c>
      <c r="J74">
        <v>3.5688170000000001</v>
      </c>
      <c r="K74">
        <v>3.6044909999999999</v>
      </c>
      <c r="L74">
        <v>3.6368990000000001</v>
      </c>
      <c r="M74">
        <v>3.664075</v>
      </c>
      <c r="N74">
        <v>3.687189</v>
      </c>
      <c r="O74">
        <v>3.7041300000000001</v>
      </c>
      <c r="P74">
        <v>3.7174459999999998</v>
      </c>
      <c r="Q74">
        <v>3.7289289999999999</v>
      </c>
      <c r="R74">
        <v>3.7400720000000001</v>
      </c>
      <c r="S74">
        <v>3.7522500000000001</v>
      </c>
      <c r="T74">
        <v>3.7667060000000001</v>
      </c>
      <c r="U74">
        <v>3.785917</v>
      </c>
      <c r="V74">
        <v>3.803976</v>
      </c>
      <c r="W74">
        <v>3.8234840000000001</v>
      </c>
      <c r="X74">
        <v>3.8408380000000002</v>
      </c>
      <c r="Y74">
        <v>3.860808</v>
      </c>
      <c r="Z74">
        <v>3.8802349999999999</v>
      </c>
      <c r="AA74">
        <v>3.903257</v>
      </c>
      <c r="AB74">
        <v>3.9283410000000001</v>
      </c>
      <c r="AC74">
        <v>3.9516840000000002</v>
      </c>
      <c r="AD74">
        <v>3.9733520000000002</v>
      </c>
      <c r="AE74">
        <v>3.9954770000000002</v>
      </c>
      <c r="AF74">
        <v>4.0202159999999996</v>
      </c>
      <c r="AG74" s="345">
        <v>6.0000000000000001E-3</v>
      </c>
    </row>
    <row r="75" spans="1:33" x14ac:dyDescent="0.25">
      <c r="A75" t="s">
        <v>790</v>
      </c>
    </row>
    <row r="76" spans="1:33" x14ac:dyDescent="0.25">
      <c r="A76" t="s">
        <v>972</v>
      </c>
      <c r="B76" t="s">
        <v>973</v>
      </c>
      <c r="C76" t="s">
        <v>981</v>
      </c>
      <c r="D76" t="s">
        <v>696</v>
      </c>
      <c r="F76">
        <v>7.8510650000000002</v>
      </c>
      <c r="G76">
        <v>7.6794750000000001</v>
      </c>
      <c r="H76">
        <v>6.757314</v>
      </c>
      <c r="I76">
        <v>6.10649</v>
      </c>
      <c r="J76">
        <v>6.0682020000000003</v>
      </c>
      <c r="K76">
        <v>6.223166</v>
      </c>
      <c r="L76">
        <v>6.4370419999999999</v>
      </c>
      <c r="M76">
        <v>6.7268140000000001</v>
      </c>
      <c r="N76">
        <v>7.012575</v>
      </c>
      <c r="O76">
        <v>7.4231800000000003</v>
      </c>
      <c r="P76">
        <v>7.6427659999999999</v>
      </c>
      <c r="Q76">
        <v>7.6903259999999998</v>
      </c>
      <c r="R76">
        <v>7.6604710000000003</v>
      </c>
      <c r="S76">
        <v>7.6489549999999999</v>
      </c>
      <c r="T76">
        <v>7.835737</v>
      </c>
      <c r="U76">
        <v>7.8423600000000002</v>
      </c>
      <c r="V76">
        <v>7.90707</v>
      </c>
      <c r="W76">
        <v>8.0461829999999992</v>
      </c>
      <c r="X76">
        <v>8.2600730000000002</v>
      </c>
      <c r="Y76">
        <v>8.4747000000000003</v>
      </c>
      <c r="Z76">
        <v>8.7232479999999999</v>
      </c>
      <c r="AA76">
        <v>8.9482320000000009</v>
      </c>
      <c r="AB76">
        <v>9.1814450000000001</v>
      </c>
      <c r="AC76">
        <v>9.3849640000000001</v>
      </c>
      <c r="AD76">
        <v>9.6895810000000004</v>
      </c>
      <c r="AE76">
        <v>9.9789700000000003</v>
      </c>
      <c r="AF76">
        <v>10.293929</v>
      </c>
      <c r="AG76" s="345">
        <v>0.01</v>
      </c>
    </row>
    <row r="77" spans="1:33" x14ac:dyDescent="0.25">
      <c r="A77" t="s">
        <v>975</v>
      </c>
      <c r="B77" t="s">
        <v>976</v>
      </c>
      <c r="C77" t="s">
        <v>982</v>
      </c>
      <c r="D77" t="s">
        <v>696</v>
      </c>
      <c r="F77">
        <v>1.805739</v>
      </c>
      <c r="G77">
        <v>1.869524</v>
      </c>
      <c r="H77">
        <v>1.964583</v>
      </c>
      <c r="I77">
        <v>2.0541589999999998</v>
      </c>
      <c r="J77">
        <v>2.1394410000000001</v>
      </c>
      <c r="K77">
        <v>2.2257539999999998</v>
      </c>
      <c r="L77">
        <v>2.3106239999999998</v>
      </c>
      <c r="M77">
        <v>2.4007429999999998</v>
      </c>
      <c r="N77">
        <v>2.4902980000000001</v>
      </c>
      <c r="O77">
        <v>2.5816590000000001</v>
      </c>
      <c r="P77">
        <v>2.6671849999999999</v>
      </c>
      <c r="Q77">
        <v>2.7494450000000001</v>
      </c>
      <c r="R77">
        <v>2.8341240000000001</v>
      </c>
      <c r="S77">
        <v>2.9264239999999999</v>
      </c>
      <c r="T77">
        <v>3.0185360000000001</v>
      </c>
      <c r="U77">
        <v>3.107316</v>
      </c>
      <c r="V77">
        <v>3.196294</v>
      </c>
      <c r="W77">
        <v>3.2776459999999998</v>
      </c>
      <c r="X77">
        <v>3.3622480000000001</v>
      </c>
      <c r="Y77">
        <v>3.4541439999999999</v>
      </c>
      <c r="Z77">
        <v>3.5473379999999999</v>
      </c>
      <c r="AA77">
        <v>3.647837</v>
      </c>
      <c r="AB77">
        <v>3.7538529999999999</v>
      </c>
      <c r="AC77">
        <v>3.8611740000000001</v>
      </c>
      <c r="AD77">
        <v>3.9654639999999999</v>
      </c>
      <c r="AE77">
        <v>4.0781429999999999</v>
      </c>
      <c r="AF77">
        <v>4.2018519999999997</v>
      </c>
      <c r="AG77" s="345">
        <v>3.3000000000000002E-2</v>
      </c>
    </row>
    <row r="78" spans="1:33" x14ac:dyDescent="0.25">
      <c r="A78" t="s">
        <v>978</v>
      </c>
      <c r="B78" t="s">
        <v>979</v>
      </c>
      <c r="C78" t="s">
        <v>983</v>
      </c>
      <c r="D78" t="s">
        <v>696</v>
      </c>
      <c r="F78">
        <v>3.4257740000000001</v>
      </c>
      <c r="G78">
        <v>3.497592</v>
      </c>
      <c r="H78">
        <v>3.6117819999999998</v>
      </c>
      <c r="I78">
        <v>3.7219389999999999</v>
      </c>
      <c r="J78">
        <v>3.8367779999999998</v>
      </c>
      <c r="K78">
        <v>3.9442910000000002</v>
      </c>
      <c r="L78">
        <v>4.0545460000000002</v>
      </c>
      <c r="M78">
        <v>4.1693059999999997</v>
      </c>
      <c r="N78">
        <v>4.285164</v>
      </c>
      <c r="O78">
        <v>4.3993140000000004</v>
      </c>
      <c r="P78">
        <v>4.513649</v>
      </c>
      <c r="Q78">
        <v>4.626125</v>
      </c>
      <c r="R78">
        <v>4.7361310000000003</v>
      </c>
      <c r="S78">
        <v>4.85046</v>
      </c>
      <c r="T78">
        <v>4.9705919999999999</v>
      </c>
      <c r="U78">
        <v>5.0988420000000003</v>
      </c>
      <c r="V78">
        <v>5.2305780000000004</v>
      </c>
      <c r="W78">
        <v>5.3695789999999999</v>
      </c>
      <c r="X78">
        <v>5.5103239999999998</v>
      </c>
      <c r="Y78">
        <v>5.6603880000000002</v>
      </c>
      <c r="Z78">
        <v>5.8145699999999998</v>
      </c>
      <c r="AA78">
        <v>5.9793620000000001</v>
      </c>
      <c r="AB78">
        <v>6.1521140000000001</v>
      </c>
      <c r="AC78">
        <v>6.3289280000000003</v>
      </c>
      <c r="AD78">
        <v>6.508489</v>
      </c>
      <c r="AE78">
        <v>6.6943510000000002</v>
      </c>
      <c r="AF78">
        <v>6.890504</v>
      </c>
      <c r="AG78" s="345">
        <v>2.7E-2</v>
      </c>
    </row>
    <row r="79" spans="1:33" x14ac:dyDescent="0.25">
      <c r="A79" t="s">
        <v>984</v>
      </c>
    </row>
    <row r="80" spans="1:33" x14ac:dyDescent="0.25">
      <c r="A80" t="s">
        <v>985</v>
      </c>
      <c r="B80" t="s">
        <v>986</v>
      </c>
      <c r="C80" t="s">
        <v>987</v>
      </c>
      <c r="D80" t="s">
        <v>988</v>
      </c>
      <c r="F80">
        <v>0.53803100000000004</v>
      </c>
      <c r="G80">
        <v>0.49835099999999999</v>
      </c>
      <c r="H80">
        <v>0.43094100000000002</v>
      </c>
      <c r="I80">
        <v>0.367392</v>
      </c>
      <c r="J80">
        <v>0.35470299999999999</v>
      </c>
      <c r="K80">
        <v>0.34750300000000001</v>
      </c>
      <c r="L80">
        <v>0.331237</v>
      </c>
      <c r="M80">
        <v>0.320739</v>
      </c>
      <c r="N80">
        <v>7.5356000000000006E-2</v>
      </c>
      <c r="O80">
        <v>7.6014999999999999E-2</v>
      </c>
      <c r="P80">
        <v>7.4930999999999998E-2</v>
      </c>
      <c r="Q80">
        <v>7.3570999999999998E-2</v>
      </c>
      <c r="R80">
        <v>6.8427000000000002E-2</v>
      </c>
      <c r="S80">
        <v>6.5422999999999995E-2</v>
      </c>
      <c r="T80">
        <v>6.2140000000000001E-2</v>
      </c>
      <c r="U80">
        <v>3.1488000000000002E-2</v>
      </c>
      <c r="V80">
        <v>3.1752000000000002E-2</v>
      </c>
      <c r="W80">
        <v>3.2077000000000001E-2</v>
      </c>
      <c r="X80">
        <v>3.2385999999999998E-2</v>
      </c>
      <c r="Y80">
        <v>3.2722000000000001E-2</v>
      </c>
      <c r="Z80">
        <v>3.236E-2</v>
      </c>
      <c r="AA80">
        <v>3.1272000000000001E-2</v>
      </c>
      <c r="AB80">
        <v>2.2166000000000002E-2</v>
      </c>
      <c r="AC80">
        <v>2.2124999999999999E-2</v>
      </c>
      <c r="AD80">
        <v>2.2237E-2</v>
      </c>
      <c r="AE80">
        <v>2.1869E-2</v>
      </c>
      <c r="AF80">
        <v>2.1963E-2</v>
      </c>
      <c r="AG80" s="345">
        <v>-0.11600000000000001</v>
      </c>
    </row>
    <row r="81" spans="1:33" x14ac:dyDescent="0.25">
      <c r="A81" t="s">
        <v>989</v>
      </c>
      <c r="B81" t="s">
        <v>990</v>
      </c>
      <c r="C81" t="s">
        <v>991</v>
      </c>
      <c r="D81" t="s">
        <v>988</v>
      </c>
      <c r="F81">
        <v>0.70831100000000002</v>
      </c>
      <c r="G81">
        <v>0.67900799999999994</v>
      </c>
      <c r="H81">
        <v>0.58258799999999999</v>
      </c>
      <c r="I81">
        <v>0.53848200000000002</v>
      </c>
      <c r="J81">
        <v>0.500749</v>
      </c>
      <c r="K81">
        <v>0.49362</v>
      </c>
      <c r="L81">
        <v>0.500475</v>
      </c>
      <c r="M81">
        <v>0.47023300000000001</v>
      </c>
      <c r="N81">
        <v>0.32526699999999997</v>
      </c>
      <c r="O81">
        <v>0.281302</v>
      </c>
      <c r="P81">
        <v>0.27263100000000001</v>
      </c>
      <c r="Q81">
        <v>0.26236599999999999</v>
      </c>
      <c r="R81">
        <v>0.245668</v>
      </c>
      <c r="S81">
        <v>0.234351</v>
      </c>
      <c r="T81">
        <v>0.22853200000000001</v>
      </c>
      <c r="U81">
        <v>0.21014099999999999</v>
      </c>
      <c r="V81">
        <v>0.22023599999999999</v>
      </c>
      <c r="W81">
        <v>0.21610299999999999</v>
      </c>
      <c r="X81">
        <v>0.21918499999999999</v>
      </c>
      <c r="Y81">
        <v>0.21893699999999999</v>
      </c>
      <c r="Z81">
        <v>0.22203100000000001</v>
      </c>
      <c r="AA81">
        <v>0.21935399999999999</v>
      </c>
      <c r="AB81">
        <v>0.220244</v>
      </c>
      <c r="AC81">
        <v>0.220442</v>
      </c>
      <c r="AD81">
        <v>0.222409</v>
      </c>
      <c r="AE81">
        <v>0.22276599999999999</v>
      </c>
      <c r="AF81">
        <v>0.22334300000000001</v>
      </c>
      <c r="AG81" s="345">
        <v>-4.2999999999999997E-2</v>
      </c>
    </row>
    <row r="82" spans="1:33" x14ac:dyDescent="0.25">
      <c r="A82" t="s">
        <v>992</v>
      </c>
      <c r="B82" t="s">
        <v>993</v>
      </c>
      <c r="C82" t="s">
        <v>994</v>
      </c>
      <c r="D82" t="s">
        <v>995</v>
      </c>
      <c r="F82">
        <v>2.998882</v>
      </c>
      <c r="G82">
        <v>2.9746190000000001</v>
      </c>
      <c r="H82">
        <v>2.5219209999999999</v>
      </c>
      <c r="I82">
        <v>2.0412530000000002</v>
      </c>
      <c r="J82">
        <v>1.9669840000000001</v>
      </c>
      <c r="K82">
        <v>1.8377600000000001</v>
      </c>
      <c r="L82">
        <v>1.574468</v>
      </c>
      <c r="M82">
        <v>1.472248</v>
      </c>
      <c r="N82">
        <v>0.281163</v>
      </c>
      <c r="O82">
        <v>0.28557399999999999</v>
      </c>
      <c r="P82">
        <v>0.279283</v>
      </c>
      <c r="Q82">
        <v>0.26399800000000001</v>
      </c>
      <c r="R82">
        <v>0.254048</v>
      </c>
      <c r="S82">
        <v>0.23618900000000001</v>
      </c>
      <c r="T82">
        <v>0.22002099999999999</v>
      </c>
      <c r="U82">
        <v>8.0198000000000005E-2</v>
      </c>
      <c r="V82">
        <v>8.0367999999999995E-2</v>
      </c>
      <c r="W82">
        <v>8.0546000000000006E-2</v>
      </c>
      <c r="X82">
        <v>8.0648999999999998E-2</v>
      </c>
      <c r="Y82">
        <v>8.0838999999999994E-2</v>
      </c>
      <c r="Z82">
        <v>7.9214000000000007E-2</v>
      </c>
      <c r="AA82">
        <v>7.1772000000000002E-2</v>
      </c>
      <c r="AB82">
        <v>1.7113E-2</v>
      </c>
      <c r="AC82">
        <v>1.7979999999999999E-2</v>
      </c>
      <c r="AD82">
        <v>1.8180999999999999E-2</v>
      </c>
      <c r="AE82">
        <v>1.6982000000000001E-2</v>
      </c>
      <c r="AF82">
        <v>1.6604000000000001E-2</v>
      </c>
      <c r="AG82" s="345">
        <v>-0.18099999999999999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2837"/>
  <sheetViews>
    <sheetView workbookViewId="0">
      <selection sqref="A1:XFD1048576"/>
    </sheetView>
  </sheetViews>
  <sheetFormatPr defaultColWidth="8.7109375" defaultRowHeight="12" x14ac:dyDescent="0.2"/>
  <cols>
    <col min="1" max="1" width="19.7109375" style="36" bestFit="1" customWidth="1"/>
    <col min="2" max="2" width="46.7109375" style="36" customWidth="1"/>
    <col min="3" max="3" width="8.7109375" style="36" customWidth="1"/>
    <col min="4" max="16384" width="8.7109375" style="36"/>
  </cols>
  <sheetData>
    <row r="1" spans="1:33" ht="15" customHeight="1" thickBot="1" x14ac:dyDescent="0.25">
      <c r="B1" s="52" t="s">
        <v>430</v>
      </c>
      <c r="C1" s="49">
        <v>2021</v>
      </c>
      <c r="D1" s="49">
        <v>2022</v>
      </c>
      <c r="E1" s="49">
        <v>2023</v>
      </c>
      <c r="F1" s="49">
        <v>2024</v>
      </c>
      <c r="G1" s="49">
        <v>2025</v>
      </c>
      <c r="H1" s="49">
        <v>2026</v>
      </c>
      <c r="I1" s="49">
        <v>2027</v>
      </c>
      <c r="J1" s="49">
        <v>2028</v>
      </c>
      <c r="K1" s="49">
        <v>2029</v>
      </c>
      <c r="L1" s="49">
        <v>2030</v>
      </c>
      <c r="M1" s="49">
        <v>2031</v>
      </c>
      <c r="N1" s="49">
        <v>2032</v>
      </c>
      <c r="O1" s="49">
        <v>2033</v>
      </c>
      <c r="P1" s="49">
        <v>2034</v>
      </c>
      <c r="Q1" s="49">
        <v>2035</v>
      </c>
      <c r="R1" s="49">
        <v>2036</v>
      </c>
      <c r="S1" s="49">
        <v>2037</v>
      </c>
      <c r="T1" s="49">
        <v>2038</v>
      </c>
      <c r="U1" s="49">
        <v>2039</v>
      </c>
      <c r="V1" s="49">
        <v>2040</v>
      </c>
      <c r="W1" s="49">
        <v>2041</v>
      </c>
      <c r="X1" s="49">
        <v>2042</v>
      </c>
      <c r="Y1" s="49">
        <v>2043</v>
      </c>
      <c r="Z1" s="49">
        <v>2044</v>
      </c>
      <c r="AA1" s="49">
        <v>2045</v>
      </c>
      <c r="AB1" s="49">
        <v>2046</v>
      </c>
      <c r="AC1" s="49">
        <v>2047</v>
      </c>
      <c r="AD1" s="49">
        <v>2048</v>
      </c>
      <c r="AE1" s="49">
        <v>2049</v>
      </c>
      <c r="AF1" s="49">
        <v>2050</v>
      </c>
    </row>
    <row r="2" spans="1:33" ht="15" customHeight="1" thickTop="1" x14ac:dyDescent="0.2"/>
    <row r="3" spans="1:33" ht="15" customHeight="1" x14ac:dyDescent="0.2">
      <c r="C3" s="54" t="s">
        <v>431</v>
      </c>
      <c r="D3" s="54" t="s">
        <v>432</v>
      </c>
      <c r="E3" s="54"/>
      <c r="F3" s="54"/>
      <c r="G3" s="54"/>
    </row>
    <row r="4" spans="1:33" ht="15" customHeight="1" x14ac:dyDescent="0.2">
      <c r="C4" s="54" t="s">
        <v>433</v>
      </c>
      <c r="D4" s="54" t="s">
        <v>434</v>
      </c>
      <c r="E4" s="54"/>
      <c r="F4" s="54"/>
      <c r="G4" s="54" t="s">
        <v>435</v>
      </c>
    </row>
    <row r="5" spans="1:33" ht="15" customHeight="1" x14ac:dyDescent="0.2">
      <c r="C5" s="54" t="s">
        <v>436</v>
      </c>
      <c r="D5" s="54" t="s">
        <v>437</v>
      </c>
      <c r="E5" s="54"/>
      <c r="F5" s="54"/>
      <c r="G5" s="54"/>
    </row>
    <row r="6" spans="1:33" ht="15" customHeight="1" x14ac:dyDescent="0.2">
      <c r="C6" s="54" t="s">
        <v>438</v>
      </c>
      <c r="D6" s="54"/>
      <c r="E6" s="54" t="s">
        <v>439</v>
      </c>
      <c r="F6" s="54"/>
      <c r="G6" s="54"/>
    </row>
    <row r="10" spans="1:33" ht="15" customHeight="1" x14ac:dyDescent="0.25">
      <c r="A10" s="42" t="s">
        <v>996</v>
      </c>
      <c r="B10" s="53" t="s">
        <v>997</v>
      </c>
      <c r="AG10" s="50" t="s">
        <v>442</v>
      </c>
    </row>
    <row r="11" spans="1:33" ht="15" customHeight="1" x14ac:dyDescent="0.2">
      <c r="B11" s="52" t="s">
        <v>998</v>
      </c>
      <c r="AG11" s="50" t="s">
        <v>444</v>
      </c>
    </row>
    <row r="12" spans="1:33" ht="15" customHeight="1" x14ac:dyDescent="0.2">
      <c r="B12" s="52"/>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0" t="s">
        <v>445</v>
      </c>
    </row>
    <row r="13" spans="1:33" ht="15" customHeight="1" thickBot="1" x14ac:dyDescent="0.25">
      <c r="B13" s="49" t="s">
        <v>999</v>
      </c>
      <c r="C13" s="49">
        <v>2021</v>
      </c>
      <c r="D13" s="49">
        <v>2022</v>
      </c>
      <c r="E13" s="49">
        <v>2023</v>
      </c>
      <c r="F13" s="49">
        <v>2024</v>
      </c>
      <c r="G13" s="49">
        <v>2025</v>
      </c>
      <c r="H13" s="49">
        <v>2026</v>
      </c>
      <c r="I13" s="49">
        <v>2027</v>
      </c>
      <c r="J13" s="49">
        <v>2028</v>
      </c>
      <c r="K13" s="49">
        <v>2029</v>
      </c>
      <c r="L13" s="49">
        <v>2030</v>
      </c>
      <c r="M13" s="49">
        <v>2031</v>
      </c>
      <c r="N13" s="49">
        <v>2032</v>
      </c>
      <c r="O13" s="49">
        <v>2033</v>
      </c>
      <c r="P13" s="49">
        <v>2034</v>
      </c>
      <c r="Q13" s="49">
        <v>2035</v>
      </c>
      <c r="R13" s="49">
        <v>2036</v>
      </c>
      <c r="S13" s="49">
        <v>2037</v>
      </c>
      <c r="T13" s="49">
        <v>2038</v>
      </c>
      <c r="U13" s="49">
        <v>2039</v>
      </c>
      <c r="V13" s="49">
        <v>2040</v>
      </c>
      <c r="W13" s="49">
        <v>2041</v>
      </c>
      <c r="X13" s="49">
        <v>2042</v>
      </c>
      <c r="Y13" s="49">
        <v>2043</v>
      </c>
      <c r="Z13" s="49">
        <v>2044</v>
      </c>
      <c r="AA13" s="49">
        <v>2045</v>
      </c>
      <c r="AB13" s="49">
        <v>2046</v>
      </c>
      <c r="AC13" s="49">
        <v>2047</v>
      </c>
      <c r="AD13" s="49">
        <v>2048</v>
      </c>
      <c r="AE13" s="49">
        <v>2049</v>
      </c>
      <c r="AF13" s="49">
        <v>2050</v>
      </c>
      <c r="AG13" s="48" t="s">
        <v>447</v>
      </c>
    </row>
    <row r="14" spans="1:33" ht="15" customHeight="1" thickTop="1" x14ac:dyDescent="0.2"/>
    <row r="15" spans="1:33" ht="15" customHeight="1" x14ac:dyDescent="0.2">
      <c r="B15" s="45" t="s">
        <v>1000</v>
      </c>
    </row>
    <row r="16" spans="1:33" ht="15" customHeight="1" x14ac:dyDescent="0.25">
      <c r="A16" s="42" t="s">
        <v>1001</v>
      </c>
      <c r="B16" s="41" t="s">
        <v>1002</v>
      </c>
      <c r="C16" s="43">
        <v>11.13137</v>
      </c>
      <c r="D16" s="43">
        <v>11.889478</v>
      </c>
      <c r="E16" s="43">
        <v>12.275468999999999</v>
      </c>
      <c r="F16" s="43">
        <v>12.609235999999999</v>
      </c>
      <c r="G16" s="43">
        <v>13.052148000000001</v>
      </c>
      <c r="H16" s="43">
        <v>13.237693</v>
      </c>
      <c r="I16" s="43">
        <v>13.193173</v>
      </c>
      <c r="J16" s="43">
        <v>13.348814000000001</v>
      </c>
      <c r="K16" s="43">
        <v>13.321289</v>
      </c>
      <c r="L16" s="43">
        <v>13.279311999999999</v>
      </c>
      <c r="M16" s="43">
        <v>13.144327000000001</v>
      </c>
      <c r="N16" s="43">
        <v>13.016207</v>
      </c>
      <c r="O16" s="43">
        <v>13.009095</v>
      </c>
      <c r="P16" s="43">
        <v>12.840246</v>
      </c>
      <c r="Q16" s="43">
        <v>12.759727</v>
      </c>
      <c r="R16" s="43">
        <v>12.67831</v>
      </c>
      <c r="S16" s="43">
        <v>12.545458</v>
      </c>
      <c r="T16" s="43">
        <v>12.455380999999999</v>
      </c>
      <c r="U16" s="43">
        <v>12.459657999999999</v>
      </c>
      <c r="V16" s="43">
        <v>12.500586999999999</v>
      </c>
      <c r="W16" s="43">
        <v>12.419264</v>
      </c>
      <c r="X16" s="43">
        <v>12.381392</v>
      </c>
      <c r="Y16" s="43">
        <v>12.382156</v>
      </c>
      <c r="Z16" s="43">
        <v>12.307539</v>
      </c>
      <c r="AA16" s="43">
        <v>12.451010999999999</v>
      </c>
      <c r="AB16" s="43">
        <v>12.532495000000001</v>
      </c>
      <c r="AC16" s="43">
        <v>12.548349</v>
      </c>
      <c r="AD16" s="43">
        <v>12.492279</v>
      </c>
      <c r="AE16" s="43">
        <v>12.350566000000001</v>
      </c>
      <c r="AF16" s="43">
        <v>12.663138</v>
      </c>
      <c r="AG16" s="39">
        <v>4.4559999999999999E-3</v>
      </c>
    </row>
    <row r="17" spans="1:33" ht="15" customHeight="1" x14ac:dyDescent="0.25">
      <c r="A17" s="42" t="s">
        <v>1003</v>
      </c>
      <c r="B17" s="41" t="s">
        <v>1004</v>
      </c>
      <c r="C17" s="43">
        <v>0.44028499999999998</v>
      </c>
      <c r="D17" s="43">
        <v>0.41328300000000001</v>
      </c>
      <c r="E17" s="43">
        <v>0.39400000000000002</v>
      </c>
      <c r="F17" s="43">
        <v>0.41007500000000002</v>
      </c>
      <c r="G17" s="43">
        <v>0.45656999999999998</v>
      </c>
      <c r="H17" s="43">
        <v>0.48005199999999998</v>
      </c>
      <c r="I17" s="43">
        <v>0.50985400000000003</v>
      </c>
      <c r="J17" s="43">
        <v>0.55565600000000004</v>
      </c>
      <c r="K17" s="43">
        <v>0.56595099999999998</v>
      </c>
      <c r="L17" s="43">
        <v>0.60359300000000005</v>
      </c>
      <c r="M17" s="43">
        <v>0.60308200000000001</v>
      </c>
      <c r="N17" s="43">
        <v>0.63263100000000005</v>
      </c>
      <c r="O17" s="43">
        <v>0.65583400000000003</v>
      </c>
      <c r="P17" s="43">
        <v>0.60842099999999999</v>
      </c>
      <c r="Q17" s="43">
        <v>0.56258699999999995</v>
      </c>
      <c r="R17" s="43">
        <v>0.52347500000000002</v>
      </c>
      <c r="S17" s="43">
        <v>0.48912899999999998</v>
      </c>
      <c r="T17" s="43">
        <v>0.45771299999999998</v>
      </c>
      <c r="U17" s="43">
        <v>0.427311</v>
      </c>
      <c r="V17" s="43">
        <v>0.399117</v>
      </c>
      <c r="W17" s="43">
        <v>0.37276599999999999</v>
      </c>
      <c r="X17" s="43">
        <v>0.38711200000000001</v>
      </c>
      <c r="Y17" s="43">
        <v>0.44032900000000003</v>
      </c>
      <c r="Z17" s="43">
        <v>0.49331000000000003</v>
      </c>
      <c r="AA17" s="43">
        <v>0.53611200000000003</v>
      </c>
      <c r="AB17" s="43">
        <v>0.53799699999999995</v>
      </c>
      <c r="AC17" s="43">
        <v>0.54183300000000001</v>
      </c>
      <c r="AD17" s="43">
        <v>0.60490900000000003</v>
      </c>
      <c r="AE17" s="43">
        <v>0.64028099999999999</v>
      </c>
      <c r="AF17" s="43">
        <v>0.70481199999999999</v>
      </c>
      <c r="AG17" s="39">
        <v>1.6357E-2</v>
      </c>
    </row>
    <row r="18" spans="1:33" ht="15" customHeight="1" x14ac:dyDescent="0.25">
      <c r="A18" s="42" t="s">
        <v>1005</v>
      </c>
      <c r="B18" s="41" t="s">
        <v>1006</v>
      </c>
      <c r="C18" s="43">
        <v>10.691084999999999</v>
      </c>
      <c r="D18" s="43">
        <v>11.476194</v>
      </c>
      <c r="E18" s="43">
        <v>11.881468999999999</v>
      </c>
      <c r="F18" s="43">
        <v>12.199161</v>
      </c>
      <c r="G18" s="43">
        <v>12.595578</v>
      </c>
      <c r="H18" s="43">
        <v>12.757642000000001</v>
      </c>
      <c r="I18" s="43">
        <v>12.683318999999999</v>
      </c>
      <c r="J18" s="43">
        <v>12.793158999999999</v>
      </c>
      <c r="K18" s="43">
        <v>12.755338999999999</v>
      </c>
      <c r="L18" s="43">
        <v>12.675718</v>
      </c>
      <c r="M18" s="43">
        <v>12.541245</v>
      </c>
      <c r="N18" s="43">
        <v>12.383576</v>
      </c>
      <c r="O18" s="43">
        <v>12.353261</v>
      </c>
      <c r="P18" s="43">
        <v>12.231825000000001</v>
      </c>
      <c r="Q18" s="43">
        <v>12.197141999999999</v>
      </c>
      <c r="R18" s="43">
        <v>12.154836</v>
      </c>
      <c r="S18" s="43">
        <v>12.056330000000001</v>
      </c>
      <c r="T18" s="43">
        <v>11.997668000000001</v>
      </c>
      <c r="U18" s="43">
        <v>12.032348000000001</v>
      </c>
      <c r="V18" s="43">
        <v>12.101470000000001</v>
      </c>
      <c r="W18" s="43">
        <v>12.046497</v>
      </c>
      <c r="X18" s="43">
        <v>11.99428</v>
      </c>
      <c r="Y18" s="43">
        <v>11.941829</v>
      </c>
      <c r="Z18" s="43">
        <v>11.814228999999999</v>
      </c>
      <c r="AA18" s="43">
        <v>11.914899</v>
      </c>
      <c r="AB18" s="43">
        <v>11.994498</v>
      </c>
      <c r="AC18" s="43">
        <v>12.006516</v>
      </c>
      <c r="AD18" s="43">
        <v>11.887370000000001</v>
      </c>
      <c r="AE18" s="43">
        <v>11.710285000000001</v>
      </c>
      <c r="AF18" s="43">
        <v>11.958327000000001</v>
      </c>
      <c r="AG18" s="39">
        <v>3.8700000000000002E-3</v>
      </c>
    </row>
    <row r="19" spans="1:33" ht="15" customHeight="1" x14ac:dyDescent="0.25">
      <c r="A19" s="42" t="s">
        <v>1007</v>
      </c>
      <c r="B19" s="41" t="s">
        <v>1008</v>
      </c>
      <c r="C19" s="43">
        <v>3.2371400000000001</v>
      </c>
      <c r="D19" s="43">
        <v>4.1941600000000001</v>
      </c>
      <c r="E19" s="43">
        <v>4.1525480000000003</v>
      </c>
      <c r="F19" s="43">
        <v>3.8770340000000001</v>
      </c>
      <c r="G19" s="43">
        <v>3.5371090000000001</v>
      </c>
      <c r="H19" s="43">
        <v>3.305701</v>
      </c>
      <c r="I19" s="43">
        <v>3.2987639999999998</v>
      </c>
      <c r="J19" s="43">
        <v>3.1111439999999999</v>
      </c>
      <c r="K19" s="43">
        <v>3.1348910000000001</v>
      </c>
      <c r="L19" s="43">
        <v>3.1332559999999998</v>
      </c>
      <c r="M19" s="43">
        <v>3.1414879999999998</v>
      </c>
      <c r="N19" s="43">
        <v>3.3788279999999999</v>
      </c>
      <c r="O19" s="43">
        <v>3.3040029999999998</v>
      </c>
      <c r="P19" s="43">
        <v>3.387724</v>
      </c>
      <c r="Q19" s="43">
        <v>3.4157739999999999</v>
      </c>
      <c r="R19" s="43">
        <v>3.3911829999999998</v>
      </c>
      <c r="S19" s="43">
        <v>3.4768469999999998</v>
      </c>
      <c r="T19" s="43">
        <v>3.582338</v>
      </c>
      <c r="U19" s="43">
        <v>3.488359</v>
      </c>
      <c r="V19" s="43">
        <v>3.4089239999999998</v>
      </c>
      <c r="W19" s="43">
        <v>3.5039479999999998</v>
      </c>
      <c r="X19" s="43">
        <v>3.4924620000000002</v>
      </c>
      <c r="Y19" s="43">
        <v>3.525169</v>
      </c>
      <c r="Z19" s="43">
        <v>3.6002489999999998</v>
      </c>
      <c r="AA19" s="43">
        <v>3.3680789999999998</v>
      </c>
      <c r="AB19" s="43">
        <v>3.2827519999999999</v>
      </c>
      <c r="AC19" s="43">
        <v>3.1696149999999998</v>
      </c>
      <c r="AD19" s="43">
        <v>3.2632029999999999</v>
      </c>
      <c r="AE19" s="43">
        <v>3.4066380000000001</v>
      </c>
      <c r="AF19" s="43">
        <v>3.0713240000000002</v>
      </c>
      <c r="AG19" s="39">
        <v>-1.812E-3</v>
      </c>
    </row>
    <row r="20" spans="1:33" ht="15" customHeight="1" x14ac:dyDescent="0.25">
      <c r="A20" s="42" t="s">
        <v>1009</v>
      </c>
      <c r="B20" s="41" t="s">
        <v>1010</v>
      </c>
      <c r="C20" s="43">
        <v>6.2629999999999999</v>
      </c>
      <c r="D20" s="43">
        <v>7.4429999999999996</v>
      </c>
      <c r="E20" s="43">
        <v>7.5188540000000001</v>
      </c>
      <c r="F20" s="43">
        <v>7.2151439999999996</v>
      </c>
      <c r="G20" s="43">
        <v>6.8781530000000002</v>
      </c>
      <c r="H20" s="43">
        <v>6.6044510000000001</v>
      </c>
      <c r="I20" s="43">
        <v>6.6097010000000003</v>
      </c>
      <c r="J20" s="43">
        <v>6.468909</v>
      </c>
      <c r="K20" s="43">
        <v>6.4279159999999997</v>
      </c>
      <c r="L20" s="43">
        <v>6.4035450000000003</v>
      </c>
      <c r="M20" s="43">
        <v>6.4879709999999999</v>
      </c>
      <c r="N20" s="43">
        <v>6.6482469999999996</v>
      </c>
      <c r="O20" s="43">
        <v>6.5731590000000004</v>
      </c>
      <c r="P20" s="43">
        <v>6.7187890000000001</v>
      </c>
      <c r="Q20" s="43">
        <v>6.7541250000000002</v>
      </c>
      <c r="R20" s="43">
        <v>6.894927</v>
      </c>
      <c r="S20" s="43">
        <v>6.9520140000000001</v>
      </c>
      <c r="T20" s="43">
        <v>7.0490259999999996</v>
      </c>
      <c r="U20" s="43">
        <v>7.0809490000000004</v>
      </c>
      <c r="V20" s="43">
        <v>6.9350889999999996</v>
      </c>
      <c r="W20" s="43">
        <v>6.929074</v>
      </c>
      <c r="X20" s="43">
        <v>6.8477430000000004</v>
      </c>
      <c r="Y20" s="43">
        <v>6.697597</v>
      </c>
      <c r="Z20" s="43">
        <v>6.8411229999999996</v>
      </c>
      <c r="AA20" s="43">
        <v>6.5286559999999998</v>
      </c>
      <c r="AB20" s="43">
        <v>6.3633509999999998</v>
      </c>
      <c r="AC20" s="43">
        <v>6.2827359999999999</v>
      </c>
      <c r="AD20" s="43">
        <v>6.3719890000000001</v>
      </c>
      <c r="AE20" s="43">
        <v>6.5198140000000002</v>
      </c>
      <c r="AF20" s="43">
        <v>6.1941750000000004</v>
      </c>
      <c r="AG20" s="39">
        <v>-3.8099999999999999E-4</v>
      </c>
    </row>
    <row r="21" spans="1:33" ht="15" customHeight="1" x14ac:dyDescent="0.25">
      <c r="A21" s="42" t="s">
        <v>1011</v>
      </c>
      <c r="B21" s="41" t="s">
        <v>1012</v>
      </c>
      <c r="C21" s="43">
        <v>3.0258600000000002</v>
      </c>
      <c r="D21" s="43">
        <v>3.24884</v>
      </c>
      <c r="E21" s="43">
        <v>3.3663059999999998</v>
      </c>
      <c r="F21" s="43">
        <v>3.3381099999999999</v>
      </c>
      <c r="G21" s="43">
        <v>3.341043</v>
      </c>
      <c r="H21" s="43">
        <v>3.2987510000000002</v>
      </c>
      <c r="I21" s="43">
        <v>3.310937</v>
      </c>
      <c r="J21" s="43">
        <v>3.3577650000000001</v>
      </c>
      <c r="K21" s="43">
        <v>3.2930250000000001</v>
      </c>
      <c r="L21" s="43">
        <v>3.270289</v>
      </c>
      <c r="M21" s="43">
        <v>3.3464830000000001</v>
      </c>
      <c r="N21" s="43">
        <v>3.2694190000000001</v>
      </c>
      <c r="O21" s="43">
        <v>3.2691560000000002</v>
      </c>
      <c r="P21" s="43">
        <v>3.3310659999999999</v>
      </c>
      <c r="Q21" s="43">
        <v>3.3383509999999998</v>
      </c>
      <c r="R21" s="43">
        <v>3.5037440000000002</v>
      </c>
      <c r="S21" s="43">
        <v>3.4751669999999999</v>
      </c>
      <c r="T21" s="43">
        <v>3.466688</v>
      </c>
      <c r="U21" s="43">
        <v>3.59259</v>
      </c>
      <c r="V21" s="43">
        <v>3.5261650000000002</v>
      </c>
      <c r="W21" s="43">
        <v>3.4251260000000001</v>
      </c>
      <c r="X21" s="43">
        <v>3.3552810000000002</v>
      </c>
      <c r="Y21" s="43">
        <v>3.172428</v>
      </c>
      <c r="Z21" s="43">
        <v>3.240875</v>
      </c>
      <c r="AA21" s="43">
        <v>3.160577</v>
      </c>
      <c r="AB21" s="43">
        <v>3.0805989999999999</v>
      </c>
      <c r="AC21" s="43">
        <v>3.1131220000000002</v>
      </c>
      <c r="AD21" s="43">
        <v>3.1087859999999998</v>
      </c>
      <c r="AE21" s="43">
        <v>3.1131760000000002</v>
      </c>
      <c r="AF21" s="43">
        <v>3.1228509999999998</v>
      </c>
      <c r="AG21" s="39">
        <v>1.0889999999999999E-3</v>
      </c>
    </row>
    <row r="22" spans="1:33" ht="15" customHeight="1" x14ac:dyDescent="0.25">
      <c r="A22" s="42" t="s">
        <v>1013</v>
      </c>
      <c r="B22" s="41" t="s">
        <v>1014</v>
      </c>
      <c r="C22" s="43">
        <v>0.74099999999999999</v>
      </c>
      <c r="D22" s="43">
        <v>0.20300000000000001</v>
      </c>
      <c r="E22" s="43">
        <v>9.7949999999999995E-2</v>
      </c>
      <c r="F22" s="43">
        <v>0.111</v>
      </c>
      <c r="G22" s="43">
        <v>5.4109999999999998E-2</v>
      </c>
      <c r="H22" s="43">
        <v>0.10617</v>
      </c>
      <c r="I22" s="43">
        <v>0.10548</v>
      </c>
      <c r="J22" s="43">
        <v>7.0080000000000003E-2</v>
      </c>
      <c r="K22" s="43">
        <v>0.06</v>
      </c>
      <c r="L22" s="43">
        <v>0.06</v>
      </c>
      <c r="M22" s="43">
        <v>0.06</v>
      </c>
      <c r="N22" s="43">
        <v>0</v>
      </c>
      <c r="O22" s="43">
        <v>0</v>
      </c>
      <c r="P22" s="43">
        <v>0</v>
      </c>
      <c r="Q22" s="43">
        <v>0</v>
      </c>
      <c r="R22" s="43">
        <v>0</v>
      </c>
      <c r="S22" s="43">
        <v>0</v>
      </c>
      <c r="T22" s="43">
        <v>0</v>
      </c>
      <c r="U22" s="43">
        <v>0</v>
      </c>
      <c r="V22" s="43">
        <v>0</v>
      </c>
      <c r="W22" s="43">
        <v>0</v>
      </c>
      <c r="X22" s="43">
        <v>0</v>
      </c>
      <c r="Y22" s="43">
        <v>0</v>
      </c>
      <c r="Z22" s="43">
        <v>0</v>
      </c>
      <c r="AA22" s="43">
        <v>0</v>
      </c>
      <c r="AB22" s="43">
        <v>0</v>
      </c>
      <c r="AC22" s="43">
        <v>0</v>
      </c>
      <c r="AD22" s="43">
        <v>0</v>
      </c>
      <c r="AE22" s="43">
        <v>0</v>
      </c>
      <c r="AF22" s="43">
        <v>0</v>
      </c>
      <c r="AG22" s="39" t="s">
        <v>488</v>
      </c>
    </row>
    <row r="23" spans="1:33" ht="15" customHeight="1" x14ac:dyDescent="0.2">
      <c r="A23" s="42" t="s">
        <v>1015</v>
      </c>
      <c r="B23" s="45" t="s">
        <v>1016</v>
      </c>
      <c r="C23" s="47">
        <v>15.109508999999999</v>
      </c>
      <c r="D23" s="47">
        <v>16.286636000000001</v>
      </c>
      <c r="E23" s="47">
        <v>16.525967000000001</v>
      </c>
      <c r="F23" s="47">
        <v>16.597269000000001</v>
      </c>
      <c r="G23" s="47">
        <v>16.643366</v>
      </c>
      <c r="H23" s="47">
        <v>16.649564999999999</v>
      </c>
      <c r="I23" s="47">
        <v>16.597418000000001</v>
      </c>
      <c r="J23" s="47">
        <v>16.530037</v>
      </c>
      <c r="K23" s="47">
        <v>16.516179999999999</v>
      </c>
      <c r="L23" s="47">
        <v>16.472569</v>
      </c>
      <c r="M23" s="47">
        <v>16.345815999999999</v>
      </c>
      <c r="N23" s="47">
        <v>16.395035</v>
      </c>
      <c r="O23" s="47">
        <v>16.313099000000001</v>
      </c>
      <c r="P23" s="47">
        <v>16.227969999999999</v>
      </c>
      <c r="Q23" s="47">
        <v>16.175501000000001</v>
      </c>
      <c r="R23" s="47">
        <v>16.069493999999999</v>
      </c>
      <c r="S23" s="47">
        <v>16.022304999999999</v>
      </c>
      <c r="T23" s="47">
        <v>16.03772</v>
      </c>
      <c r="U23" s="47">
        <v>15.948017</v>
      </c>
      <c r="V23" s="47">
        <v>15.909509999999999</v>
      </c>
      <c r="W23" s="47">
        <v>15.923211999999999</v>
      </c>
      <c r="X23" s="47">
        <v>15.873854</v>
      </c>
      <c r="Y23" s="47">
        <v>15.907325</v>
      </c>
      <c r="Z23" s="47">
        <v>15.907787000000001</v>
      </c>
      <c r="AA23" s="47">
        <v>15.819089999999999</v>
      </c>
      <c r="AB23" s="47">
        <v>15.815246999999999</v>
      </c>
      <c r="AC23" s="47">
        <v>15.717964</v>
      </c>
      <c r="AD23" s="47">
        <v>15.755483</v>
      </c>
      <c r="AE23" s="47">
        <v>15.757204</v>
      </c>
      <c r="AF23" s="47">
        <v>15.734463</v>
      </c>
      <c r="AG23" s="46">
        <v>1.3990000000000001E-3</v>
      </c>
    </row>
    <row r="24" spans="1:33" ht="15" customHeight="1" x14ac:dyDescent="0.2"/>
    <row r="25" spans="1:33" ht="15" customHeight="1" x14ac:dyDescent="0.25">
      <c r="A25" s="42" t="s">
        <v>1017</v>
      </c>
      <c r="B25" s="41" t="s">
        <v>1018</v>
      </c>
      <c r="C25" s="43">
        <v>-3.4039999999999999</v>
      </c>
      <c r="D25" s="43">
        <v>-4.2270000000000003</v>
      </c>
      <c r="E25" s="43">
        <v>-4.772481</v>
      </c>
      <c r="F25" s="43">
        <v>-5.0140019999999996</v>
      </c>
      <c r="G25" s="43">
        <v>-5.1417529999999996</v>
      </c>
      <c r="H25" s="43">
        <v>-5.1079350000000003</v>
      </c>
      <c r="I25" s="43">
        <v>-5.0319070000000004</v>
      </c>
      <c r="J25" s="43">
        <v>-5.0084039999999996</v>
      </c>
      <c r="K25" s="43">
        <v>-5.1342429999999997</v>
      </c>
      <c r="L25" s="43">
        <v>-5.2198589999999996</v>
      </c>
      <c r="M25" s="43">
        <v>-5.1250830000000001</v>
      </c>
      <c r="N25" s="43">
        <v>-5.1797779999999998</v>
      </c>
      <c r="O25" s="43">
        <v>-5.0926850000000004</v>
      </c>
      <c r="P25" s="43">
        <v>-5.1122579999999997</v>
      </c>
      <c r="Q25" s="43">
        <v>-5.1311049999999998</v>
      </c>
      <c r="R25" s="43">
        <v>-5.0489889999999997</v>
      </c>
      <c r="S25" s="43">
        <v>-4.9983810000000002</v>
      </c>
      <c r="T25" s="43">
        <v>-5.0336220000000003</v>
      </c>
      <c r="U25" s="43">
        <v>-4.9574389999999999</v>
      </c>
      <c r="V25" s="43">
        <v>-4.9705310000000003</v>
      </c>
      <c r="W25" s="43">
        <v>-4.9907240000000002</v>
      </c>
      <c r="X25" s="43">
        <v>-4.9838050000000003</v>
      </c>
      <c r="Y25" s="43">
        <v>-5.0494110000000001</v>
      </c>
      <c r="Z25" s="43">
        <v>-5.0496309999999998</v>
      </c>
      <c r="AA25" s="43">
        <v>-5.000953</v>
      </c>
      <c r="AB25" s="43">
        <v>-4.9255789999999999</v>
      </c>
      <c r="AC25" s="43">
        <v>-4.7807519999999997</v>
      </c>
      <c r="AD25" s="43">
        <v>-4.823569</v>
      </c>
      <c r="AE25" s="43">
        <v>-4.7897069999999999</v>
      </c>
      <c r="AF25" s="43">
        <v>-4.6693290000000003</v>
      </c>
      <c r="AG25" s="39">
        <v>1.0958000000000001E-2</v>
      </c>
    </row>
    <row r="26" spans="1:33" ht="15" customHeight="1" x14ac:dyDescent="0.25">
      <c r="A26" s="42" t="s">
        <v>1019</v>
      </c>
      <c r="B26" s="41" t="s">
        <v>1020</v>
      </c>
      <c r="C26" s="43">
        <v>1.0449999999999999</v>
      </c>
      <c r="D26" s="43">
        <v>0.9</v>
      </c>
      <c r="E26" s="43">
        <v>0.54096500000000003</v>
      </c>
      <c r="F26" s="43">
        <v>0.53690099999999996</v>
      </c>
      <c r="G26" s="43">
        <v>0.573851</v>
      </c>
      <c r="H26" s="43">
        <v>0.62545899999999999</v>
      </c>
      <c r="I26" s="43">
        <v>0.64563999999999999</v>
      </c>
      <c r="J26" s="43">
        <v>0.64427599999999996</v>
      </c>
      <c r="K26" s="43">
        <v>0.62891699999999995</v>
      </c>
      <c r="L26" s="43">
        <v>0.63754599999999995</v>
      </c>
      <c r="M26" s="43">
        <v>0.63534299999999999</v>
      </c>
      <c r="N26" s="43">
        <v>0.65361999999999998</v>
      </c>
      <c r="O26" s="43">
        <v>0.65335699999999997</v>
      </c>
      <c r="P26" s="43">
        <v>0.65321700000000005</v>
      </c>
      <c r="Q26" s="43">
        <v>0.65797300000000003</v>
      </c>
      <c r="R26" s="43">
        <v>0.64936000000000005</v>
      </c>
      <c r="S26" s="43">
        <v>0.65509600000000001</v>
      </c>
      <c r="T26" s="43">
        <v>0.66312400000000005</v>
      </c>
      <c r="U26" s="43">
        <v>0.66704600000000003</v>
      </c>
      <c r="V26" s="43">
        <v>0.672157</v>
      </c>
      <c r="W26" s="43">
        <v>0.67462200000000005</v>
      </c>
      <c r="X26" s="43">
        <v>0.67107300000000003</v>
      </c>
      <c r="Y26" s="43">
        <v>0.67621399999999998</v>
      </c>
      <c r="Z26" s="43">
        <v>0.68209799999999998</v>
      </c>
      <c r="AA26" s="43">
        <v>0.69033599999999995</v>
      </c>
      <c r="AB26" s="43">
        <v>0.69341200000000003</v>
      </c>
      <c r="AC26" s="43">
        <v>0.70770900000000003</v>
      </c>
      <c r="AD26" s="43">
        <v>0.73924800000000002</v>
      </c>
      <c r="AE26" s="43">
        <v>0.73270000000000002</v>
      </c>
      <c r="AF26" s="43">
        <v>0.71306499999999995</v>
      </c>
      <c r="AG26" s="39">
        <v>-1.3093E-2</v>
      </c>
    </row>
    <row r="27" spans="1:33" ht="15" customHeight="1" x14ac:dyDescent="0.25">
      <c r="A27" s="42" t="s">
        <v>1021</v>
      </c>
      <c r="B27" s="41" t="s">
        <v>1022</v>
      </c>
      <c r="C27" s="43">
        <v>0.60099999999999998</v>
      </c>
      <c r="D27" s="43">
        <v>0.64900000000000002</v>
      </c>
      <c r="E27" s="43">
        <v>0.63215100000000002</v>
      </c>
      <c r="F27" s="43">
        <v>0.646594</v>
      </c>
      <c r="G27" s="43">
        <v>0.64619000000000004</v>
      </c>
      <c r="H27" s="43">
        <v>0.59906099999999995</v>
      </c>
      <c r="I27" s="43">
        <v>0.597109</v>
      </c>
      <c r="J27" s="43">
        <v>0.59510099999999999</v>
      </c>
      <c r="K27" s="43">
        <v>0.58459799999999995</v>
      </c>
      <c r="L27" s="43">
        <v>0.58276300000000003</v>
      </c>
      <c r="M27" s="43">
        <v>0.58930300000000002</v>
      </c>
      <c r="N27" s="43">
        <v>0.57909299999999997</v>
      </c>
      <c r="O27" s="43">
        <v>0.57725800000000005</v>
      </c>
      <c r="P27" s="43">
        <v>0.575457</v>
      </c>
      <c r="Q27" s="43">
        <v>0.57395600000000002</v>
      </c>
      <c r="R27" s="43">
        <v>0.57212099999999999</v>
      </c>
      <c r="S27" s="43">
        <v>0.56991800000000004</v>
      </c>
      <c r="T27" s="43">
        <v>0.56829200000000002</v>
      </c>
      <c r="U27" s="43">
        <v>0.56624799999999997</v>
      </c>
      <c r="V27" s="43">
        <v>0.56475900000000001</v>
      </c>
      <c r="W27" s="43">
        <v>0.56256700000000004</v>
      </c>
      <c r="X27" s="43">
        <v>0.56073200000000001</v>
      </c>
      <c r="Y27" s="43">
        <v>0.55889699999999998</v>
      </c>
      <c r="Z27" s="43">
        <v>0.55706199999999995</v>
      </c>
      <c r="AA27" s="43">
        <v>0.55522700000000003</v>
      </c>
      <c r="AB27" s="43">
        <v>0.553392</v>
      </c>
      <c r="AC27" s="43">
        <v>0.55118900000000004</v>
      </c>
      <c r="AD27" s="43">
        <v>0.54935400000000001</v>
      </c>
      <c r="AE27" s="43">
        <v>0.54752000000000001</v>
      </c>
      <c r="AF27" s="43">
        <v>0.54568499999999998</v>
      </c>
      <c r="AG27" s="39">
        <v>-3.3240000000000001E-3</v>
      </c>
    </row>
    <row r="28" spans="1:33" ht="15" customHeight="1" x14ac:dyDescent="0.25">
      <c r="A28" s="42" t="s">
        <v>1023</v>
      </c>
      <c r="B28" s="41" t="s">
        <v>1024</v>
      </c>
      <c r="C28" s="43">
        <v>0.53</v>
      </c>
      <c r="D28" s="43">
        <v>0.48599999999999999</v>
      </c>
      <c r="E28" s="43">
        <v>0.60219599999999995</v>
      </c>
      <c r="F28" s="43">
        <v>0.628687</v>
      </c>
      <c r="G28" s="43">
        <v>0.63908799999999999</v>
      </c>
      <c r="H28" s="43">
        <v>0.61307800000000001</v>
      </c>
      <c r="I28" s="43">
        <v>0.56357400000000002</v>
      </c>
      <c r="J28" s="43">
        <v>0.52418299999999995</v>
      </c>
      <c r="K28" s="43">
        <v>0.49521999999999999</v>
      </c>
      <c r="L28" s="43">
        <v>0.474248</v>
      </c>
      <c r="M28" s="43">
        <v>0.43869599999999997</v>
      </c>
      <c r="N28" s="43">
        <v>0.430674</v>
      </c>
      <c r="O28" s="43">
        <v>0.41151100000000002</v>
      </c>
      <c r="P28" s="43">
        <v>0.39654699999999998</v>
      </c>
      <c r="Q28" s="43">
        <v>0.38238800000000001</v>
      </c>
      <c r="R28" s="43">
        <v>0.36969000000000002</v>
      </c>
      <c r="S28" s="43">
        <v>0.36415599999999998</v>
      </c>
      <c r="T28" s="43">
        <v>0.36191400000000001</v>
      </c>
      <c r="U28" s="43">
        <v>0.3574</v>
      </c>
      <c r="V28" s="43">
        <v>0.35195900000000002</v>
      </c>
      <c r="W28" s="43">
        <v>0.36204700000000001</v>
      </c>
      <c r="X28" s="43">
        <v>0.36932799999999999</v>
      </c>
      <c r="Y28" s="43">
        <v>0.36953000000000003</v>
      </c>
      <c r="Z28" s="43">
        <v>0.37224099999999999</v>
      </c>
      <c r="AA28" s="43">
        <v>0.37720599999999999</v>
      </c>
      <c r="AB28" s="43">
        <v>0.38209399999999999</v>
      </c>
      <c r="AC28" s="43">
        <v>0.38581500000000002</v>
      </c>
      <c r="AD28" s="43">
        <v>0.39827499999999999</v>
      </c>
      <c r="AE28" s="43">
        <v>0.40259299999999998</v>
      </c>
      <c r="AF28" s="43">
        <v>0.40767199999999998</v>
      </c>
      <c r="AG28" s="39">
        <v>-9.0080000000000004E-3</v>
      </c>
    </row>
    <row r="29" spans="1:33" ht="15" customHeight="1" x14ac:dyDescent="0.25">
      <c r="A29" s="42" t="s">
        <v>1025</v>
      </c>
      <c r="B29" s="41" t="s">
        <v>1026</v>
      </c>
      <c r="C29" s="43">
        <v>5.58</v>
      </c>
      <c r="D29" s="43">
        <v>6.2619999999999996</v>
      </c>
      <c r="E29" s="43">
        <v>6.5477930000000004</v>
      </c>
      <c r="F29" s="43">
        <v>6.8261839999999996</v>
      </c>
      <c r="G29" s="43">
        <v>7.0008819999999998</v>
      </c>
      <c r="H29" s="43">
        <v>6.945532</v>
      </c>
      <c r="I29" s="43">
        <v>6.8382290000000001</v>
      </c>
      <c r="J29" s="43">
        <v>6.7719639999999997</v>
      </c>
      <c r="K29" s="43">
        <v>6.8429779999999996</v>
      </c>
      <c r="L29" s="43">
        <v>6.9144160000000001</v>
      </c>
      <c r="M29" s="43">
        <v>6.788424</v>
      </c>
      <c r="N29" s="43">
        <v>6.8431649999999999</v>
      </c>
      <c r="O29" s="43">
        <v>6.7348100000000004</v>
      </c>
      <c r="P29" s="43">
        <v>6.7374790000000004</v>
      </c>
      <c r="Q29" s="43">
        <v>6.7454210000000003</v>
      </c>
      <c r="R29" s="43">
        <v>6.640161</v>
      </c>
      <c r="S29" s="43">
        <v>6.5875519999999996</v>
      </c>
      <c r="T29" s="43">
        <v>6.6269520000000002</v>
      </c>
      <c r="U29" s="43">
        <v>6.548133</v>
      </c>
      <c r="V29" s="43">
        <v>6.5594060000000001</v>
      </c>
      <c r="W29" s="43">
        <v>6.5899590000000003</v>
      </c>
      <c r="X29" s="43">
        <v>6.5849390000000003</v>
      </c>
      <c r="Y29" s="43">
        <v>6.6540509999999999</v>
      </c>
      <c r="Z29" s="43">
        <v>6.6610319999999996</v>
      </c>
      <c r="AA29" s="43">
        <v>6.6237219999999999</v>
      </c>
      <c r="AB29" s="43">
        <v>6.5544779999999996</v>
      </c>
      <c r="AC29" s="43">
        <v>6.4254660000000001</v>
      </c>
      <c r="AD29" s="43">
        <v>6.510446</v>
      </c>
      <c r="AE29" s="43">
        <v>6.4725190000000001</v>
      </c>
      <c r="AF29" s="43">
        <v>6.3357510000000001</v>
      </c>
      <c r="AG29" s="39">
        <v>4.3899999999999998E-3</v>
      </c>
    </row>
    <row r="30" spans="1:33" ht="15" customHeight="1" x14ac:dyDescent="0.25">
      <c r="A30" s="42" t="s">
        <v>1027</v>
      </c>
      <c r="B30" s="41" t="s">
        <v>1028</v>
      </c>
      <c r="C30" s="43">
        <v>0.96</v>
      </c>
      <c r="D30" s="43">
        <v>1.073</v>
      </c>
      <c r="E30" s="43">
        <v>1.000602</v>
      </c>
      <c r="F30" s="43">
        <v>0.96499900000000005</v>
      </c>
      <c r="G30" s="43">
        <v>0.97562899999999997</v>
      </c>
      <c r="H30" s="43">
        <v>0.988506</v>
      </c>
      <c r="I30" s="43">
        <v>0.96619299999999997</v>
      </c>
      <c r="J30" s="43">
        <v>0.98039200000000004</v>
      </c>
      <c r="K30" s="43">
        <v>0.98907599999999996</v>
      </c>
      <c r="L30" s="43">
        <v>1.0041359999999999</v>
      </c>
      <c r="M30" s="43">
        <v>0.99732299999999996</v>
      </c>
      <c r="N30" s="43">
        <v>1.004319</v>
      </c>
      <c r="O30" s="43">
        <v>1.0084789999999999</v>
      </c>
      <c r="P30" s="43">
        <v>1.033908</v>
      </c>
      <c r="Q30" s="43">
        <v>1.031711</v>
      </c>
      <c r="R30" s="43">
        <v>1.059599</v>
      </c>
      <c r="S30" s="43">
        <v>1.071261</v>
      </c>
      <c r="T30" s="43">
        <v>1.0784279999999999</v>
      </c>
      <c r="U30" s="43">
        <v>1.082535</v>
      </c>
      <c r="V30" s="43">
        <v>1.0791489999999999</v>
      </c>
      <c r="W30" s="43">
        <v>1.0834809999999999</v>
      </c>
      <c r="X30" s="43">
        <v>1.0767549999999999</v>
      </c>
      <c r="Y30" s="43">
        <v>1.0675269999999999</v>
      </c>
      <c r="Z30" s="43">
        <v>1.074581</v>
      </c>
      <c r="AA30" s="43">
        <v>1.0654349999999999</v>
      </c>
      <c r="AB30" s="43">
        <v>1.055148</v>
      </c>
      <c r="AC30" s="43">
        <v>1.0501670000000001</v>
      </c>
      <c r="AD30" s="43">
        <v>1.069102</v>
      </c>
      <c r="AE30" s="43">
        <v>1.078147</v>
      </c>
      <c r="AF30" s="43">
        <v>1.077413</v>
      </c>
      <c r="AG30" s="39">
        <v>3.9870000000000001E-3</v>
      </c>
    </row>
    <row r="31" spans="1:33" ht="14.65" customHeight="1" x14ac:dyDescent="0.25">
      <c r="A31" s="42" t="s">
        <v>1029</v>
      </c>
      <c r="B31" s="41" t="s">
        <v>1030</v>
      </c>
      <c r="C31" s="43">
        <v>0.20699999999999999</v>
      </c>
      <c r="D31" s="43">
        <v>-0.11600000000000001</v>
      </c>
      <c r="E31" s="43">
        <v>0</v>
      </c>
      <c r="F31" s="43">
        <v>0</v>
      </c>
      <c r="G31" s="43">
        <v>0</v>
      </c>
      <c r="H31" s="43">
        <v>0</v>
      </c>
      <c r="I31" s="43">
        <v>0</v>
      </c>
      <c r="J31" s="43">
        <v>0</v>
      </c>
      <c r="K31" s="43">
        <v>0</v>
      </c>
      <c r="L31" s="43">
        <v>0</v>
      </c>
      <c r="M31" s="43">
        <v>0</v>
      </c>
      <c r="N31" s="43">
        <v>0</v>
      </c>
      <c r="O31" s="43">
        <v>0</v>
      </c>
      <c r="P31" s="43">
        <v>0</v>
      </c>
      <c r="Q31" s="43">
        <v>0</v>
      </c>
      <c r="R31" s="43">
        <v>0</v>
      </c>
      <c r="S31" s="43">
        <v>0</v>
      </c>
      <c r="T31" s="43">
        <v>0</v>
      </c>
      <c r="U31" s="43">
        <v>0</v>
      </c>
      <c r="V31" s="43">
        <v>0</v>
      </c>
      <c r="W31" s="43">
        <v>0</v>
      </c>
      <c r="X31" s="43">
        <v>0</v>
      </c>
      <c r="Y31" s="43">
        <v>0</v>
      </c>
      <c r="Z31" s="43">
        <v>0</v>
      </c>
      <c r="AA31" s="43">
        <v>0</v>
      </c>
      <c r="AB31" s="43">
        <v>0</v>
      </c>
      <c r="AC31" s="43">
        <v>0</v>
      </c>
      <c r="AD31" s="43">
        <v>0</v>
      </c>
      <c r="AE31" s="43">
        <v>0</v>
      </c>
      <c r="AF31" s="43">
        <v>0</v>
      </c>
      <c r="AG31" s="39" t="s">
        <v>488</v>
      </c>
    </row>
    <row r="32" spans="1:33" ht="14.65" customHeight="1" x14ac:dyDescent="0.25">
      <c r="A32" s="42" t="s">
        <v>1031</v>
      </c>
      <c r="B32" s="41" t="s">
        <v>1032</v>
      </c>
      <c r="C32" s="43">
        <v>5.3522439999999998</v>
      </c>
      <c r="D32" s="43">
        <v>5.8188529999999998</v>
      </c>
      <c r="E32" s="43">
        <v>6.0950930000000003</v>
      </c>
      <c r="F32" s="43">
        <v>6.1991610000000001</v>
      </c>
      <c r="G32" s="43">
        <v>6.3082289999999999</v>
      </c>
      <c r="H32" s="43">
        <v>6.2612259999999997</v>
      </c>
      <c r="I32" s="43">
        <v>6.2076130000000003</v>
      </c>
      <c r="J32" s="43">
        <v>6.1963860000000004</v>
      </c>
      <c r="K32" s="43">
        <v>6.2383069999999998</v>
      </c>
      <c r="L32" s="43">
        <v>6.296646</v>
      </c>
      <c r="M32" s="43">
        <v>6.3197039999999998</v>
      </c>
      <c r="N32" s="43">
        <v>6.3765859999999996</v>
      </c>
      <c r="O32" s="43">
        <v>6.3566549999999999</v>
      </c>
      <c r="P32" s="43">
        <v>6.3714839999999997</v>
      </c>
      <c r="Q32" s="43">
        <v>6.3963029999999996</v>
      </c>
      <c r="R32" s="43">
        <v>6.3443370000000003</v>
      </c>
      <c r="S32" s="43">
        <v>6.3196890000000003</v>
      </c>
      <c r="T32" s="43">
        <v>6.3211459999999997</v>
      </c>
      <c r="U32" s="43">
        <v>6.3625220000000002</v>
      </c>
      <c r="V32" s="43">
        <v>6.4001440000000001</v>
      </c>
      <c r="W32" s="43">
        <v>6.4143420000000004</v>
      </c>
      <c r="X32" s="43">
        <v>6.4982670000000002</v>
      </c>
      <c r="Y32" s="43">
        <v>6.5820480000000003</v>
      </c>
      <c r="Z32" s="43">
        <v>6.5704089999999997</v>
      </c>
      <c r="AA32" s="43">
        <v>6.6537490000000004</v>
      </c>
      <c r="AB32" s="43">
        <v>6.6817460000000004</v>
      </c>
      <c r="AC32" s="43">
        <v>6.6992529999999997</v>
      </c>
      <c r="AD32" s="43">
        <v>6.7072510000000003</v>
      </c>
      <c r="AE32" s="43">
        <v>6.7103400000000004</v>
      </c>
      <c r="AF32" s="43">
        <v>6.7479990000000001</v>
      </c>
      <c r="AG32" s="39">
        <v>8.0230000000000006E-3</v>
      </c>
    </row>
    <row r="33" spans="1:33" ht="14.65" customHeight="1" x14ac:dyDescent="0.25">
      <c r="A33" s="42" t="s">
        <v>1033</v>
      </c>
      <c r="B33" s="41" t="s">
        <v>1034</v>
      </c>
      <c r="C33" s="43">
        <v>1.070721</v>
      </c>
      <c r="D33" s="43">
        <v>1.155702</v>
      </c>
      <c r="E33" s="43">
        <v>1.1361209999999999</v>
      </c>
      <c r="F33" s="43">
        <v>1.134927</v>
      </c>
      <c r="G33" s="43">
        <v>1.1345890000000001</v>
      </c>
      <c r="H33" s="43">
        <v>1.133988</v>
      </c>
      <c r="I33" s="43">
        <v>1.1329130000000001</v>
      </c>
      <c r="J33" s="43">
        <v>1.131853</v>
      </c>
      <c r="K33" s="43">
        <v>1.1309309999999999</v>
      </c>
      <c r="L33" s="43">
        <v>1.1305890000000001</v>
      </c>
      <c r="M33" s="43">
        <v>1.1307020000000001</v>
      </c>
      <c r="N33" s="43">
        <v>1.1305019999999999</v>
      </c>
      <c r="O33" s="43">
        <v>1.1308339999999999</v>
      </c>
      <c r="P33" s="43">
        <v>1.130965</v>
      </c>
      <c r="Q33" s="43">
        <v>1.1308260000000001</v>
      </c>
      <c r="R33" s="43">
        <v>1.130789</v>
      </c>
      <c r="S33" s="43">
        <v>1.131159</v>
      </c>
      <c r="T33" s="43">
        <v>1.1364430000000001</v>
      </c>
      <c r="U33" s="43">
        <v>1.133184</v>
      </c>
      <c r="V33" s="43">
        <v>1.152908</v>
      </c>
      <c r="W33" s="43">
        <v>1.161384</v>
      </c>
      <c r="X33" s="43">
        <v>1.1702079999999999</v>
      </c>
      <c r="Y33" s="43">
        <v>1.1787209999999999</v>
      </c>
      <c r="Z33" s="43">
        <v>1.192037</v>
      </c>
      <c r="AA33" s="43">
        <v>1.2023710000000001</v>
      </c>
      <c r="AB33" s="43">
        <v>1.2129049999999999</v>
      </c>
      <c r="AC33" s="43">
        <v>1.225209</v>
      </c>
      <c r="AD33" s="43">
        <v>1.236486</v>
      </c>
      <c r="AE33" s="43">
        <v>1.2514559999999999</v>
      </c>
      <c r="AF33" s="43">
        <v>1.2621359999999999</v>
      </c>
      <c r="AG33" s="39">
        <v>5.6880000000000003E-3</v>
      </c>
    </row>
    <row r="34" spans="1:33" ht="14.65" customHeight="1" x14ac:dyDescent="0.25">
      <c r="A34" s="42" t="s">
        <v>1035</v>
      </c>
      <c r="B34" s="41" t="s">
        <v>1036</v>
      </c>
      <c r="C34" s="43">
        <v>0.86739500000000003</v>
      </c>
      <c r="D34" s="43">
        <v>0.89410000000000001</v>
      </c>
      <c r="E34" s="43">
        <v>0.90859800000000002</v>
      </c>
      <c r="F34" s="43">
        <v>0.90528600000000004</v>
      </c>
      <c r="G34" s="43">
        <v>0.904918</v>
      </c>
      <c r="H34" s="43">
        <v>0.90316200000000002</v>
      </c>
      <c r="I34" s="43">
        <v>0.90012800000000004</v>
      </c>
      <c r="J34" s="43">
        <v>0.89737100000000003</v>
      </c>
      <c r="K34" s="43">
        <v>0.89490499999999995</v>
      </c>
      <c r="L34" s="43">
        <v>0.894096</v>
      </c>
      <c r="M34" s="43">
        <v>0.89464900000000003</v>
      </c>
      <c r="N34" s="43">
        <v>0.89458099999999996</v>
      </c>
      <c r="O34" s="43">
        <v>0.89591699999999996</v>
      </c>
      <c r="P34" s="43">
        <v>0.89659199999999994</v>
      </c>
      <c r="Q34" s="43">
        <v>0.89685700000000002</v>
      </c>
      <c r="R34" s="43">
        <v>0.89670300000000003</v>
      </c>
      <c r="S34" s="43">
        <v>0.89772600000000002</v>
      </c>
      <c r="T34" s="43">
        <v>0.89958199999999999</v>
      </c>
      <c r="U34" s="43">
        <v>0.90274699999999997</v>
      </c>
      <c r="V34" s="43">
        <v>0.90704799999999997</v>
      </c>
      <c r="W34" s="43">
        <v>0.91080799999999995</v>
      </c>
      <c r="X34" s="43">
        <v>0.91528500000000002</v>
      </c>
      <c r="Y34" s="43">
        <v>0.92000899999999997</v>
      </c>
      <c r="Z34" s="43">
        <v>0.92533500000000002</v>
      </c>
      <c r="AA34" s="43">
        <v>0.931836</v>
      </c>
      <c r="AB34" s="43">
        <v>0.939975</v>
      </c>
      <c r="AC34" s="43">
        <v>0.948851</v>
      </c>
      <c r="AD34" s="43">
        <v>0.95777999999999996</v>
      </c>
      <c r="AE34" s="43">
        <v>0.96734900000000001</v>
      </c>
      <c r="AF34" s="43">
        <v>0.97864899999999999</v>
      </c>
      <c r="AG34" s="39">
        <v>4.1700000000000001E-3</v>
      </c>
    </row>
    <row r="35" spans="1:33" ht="14.65" customHeight="1" x14ac:dyDescent="0.25">
      <c r="A35" s="42" t="s">
        <v>1037</v>
      </c>
      <c r="B35" s="41" t="s">
        <v>1038</v>
      </c>
      <c r="C35" s="43">
        <v>0.94389699999999999</v>
      </c>
      <c r="D35" s="43">
        <v>0.97607500000000003</v>
      </c>
      <c r="E35" s="43">
        <v>1.0183530000000001</v>
      </c>
      <c r="F35" s="43">
        <v>1.017787</v>
      </c>
      <c r="G35" s="43">
        <v>1.025995</v>
      </c>
      <c r="H35" s="43">
        <v>1.027261</v>
      </c>
      <c r="I35" s="43">
        <v>1.0273300000000001</v>
      </c>
      <c r="J35" s="43">
        <v>1.0277579999999999</v>
      </c>
      <c r="K35" s="43">
        <v>1.0349109999999999</v>
      </c>
      <c r="L35" s="43">
        <v>1.0375970000000001</v>
      </c>
      <c r="M35" s="43">
        <v>1.0417430000000001</v>
      </c>
      <c r="N35" s="43">
        <v>1.0449470000000001</v>
      </c>
      <c r="O35" s="43">
        <v>1.0487550000000001</v>
      </c>
      <c r="P35" s="43">
        <v>1.052864</v>
      </c>
      <c r="Q35" s="43">
        <v>1.0592170000000001</v>
      </c>
      <c r="R35" s="43">
        <v>1.063121</v>
      </c>
      <c r="S35" s="43">
        <v>1.0683119999999999</v>
      </c>
      <c r="T35" s="43">
        <v>1.0744339999999999</v>
      </c>
      <c r="U35" s="43">
        <v>1.0901080000000001</v>
      </c>
      <c r="V35" s="43">
        <v>1.0907469999999999</v>
      </c>
      <c r="W35" s="43">
        <v>1.100781</v>
      </c>
      <c r="X35" s="43">
        <v>1.1082860000000001</v>
      </c>
      <c r="Y35" s="43">
        <v>1.117845</v>
      </c>
      <c r="Z35" s="43">
        <v>1.1373180000000001</v>
      </c>
      <c r="AA35" s="43">
        <v>1.149122</v>
      </c>
      <c r="AB35" s="43">
        <v>1.162655</v>
      </c>
      <c r="AC35" s="43">
        <v>1.1769700000000001</v>
      </c>
      <c r="AD35" s="43">
        <v>1.1916850000000001</v>
      </c>
      <c r="AE35" s="43">
        <v>1.2071609999999999</v>
      </c>
      <c r="AF35" s="43">
        <v>1.226783</v>
      </c>
      <c r="AG35" s="39">
        <v>9.0799999999999995E-3</v>
      </c>
    </row>
    <row r="36" spans="1:33" ht="14.65" customHeight="1" x14ac:dyDescent="0.25">
      <c r="A36" s="42" t="s">
        <v>1039</v>
      </c>
      <c r="B36" s="41" t="s">
        <v>1040</v>
      </c>
      <c r="C36" s="43">
        <v>-7.6502000000000001E-2</v>
      </c>
      <c r="D36" s="43">
        <v>-8.1975000000000006E-2</v>
      </c>
      <c r="E36" s="43">
        <v>-0.10975600000000001</v>
      </c>
      <c r="F36" s="43">
        <v>-0.1125</v>
      </c>
      <c r="G36" s="43">
        <v>-0.121077</v>
      </c>
      <c r="H36" s="43">
        <v>-0.124098</v>
      </c>
      <c r="I36" s="43">
        <v>-0.12720200000000001</v>
      </c>
      <c r="J36" s="43">
        <v>-0.130387</v>
      </c>
      <c r="K36" s="43">
        <v>-0.14000599999999999</v>
      </c>
      <c r="L36" s="43">
        <v>-0.14350099999999999</v>
      </c>
      <c r="M36" s="43">
        <v>-0.147094</v>
      </c>
      <c r="N36" s="43">
        <v>-0.150366</v>
      </c>
      <c r="O36" s="43">
        <v>-0.152838</v>
      </c>
      <c r="P36" s="43">
        <v>-0.15627199999999999</v>
      </c>
      <c r="Q36" s="43">
        <v>-0.16236</v>
      </c>
      <c r="R36" s="43">
        <v>-0.16641800000000001</v>
      </c>
      <c r="S36" s="43">
        <v>-0.17058599999999999</v>
      </c>
      <c r="T36" s="43">
        <v>-0.17485100000000001</v>
      </c>
      <c r="U36" s="43">
        <v>-0.187361</v>
      </c>
      <c r="V36" s="43">
        <v>-0.1837</v>
      </c>
      <c r="W36" s="43">
        <v>-0.189973</v>
      </c>
      <c r="X36" s="43">
        <v>-0.19300100000000001</v>
      </c>
      <c r="Y36" s="43">
        <v>-0.19783600000000001</v>
      </c>
      <c r="Z36" s="43">
        <v>-0.211983</v>
      </c>
      <c r="AA36" s="43">
        <v>-0.21728600000000001</v>
      </c>
      <c r="AB36" s="43">
        <v>-0.22267999999999999</v>
      </c>
      <c r="AC36" s="43">
        <v>-0.22811799999999999</v>
      </c>
      <c r="AD36" s="43">
        <v>-0.233905</v>
      </c>
      <c r="AE36" s="43">
        <v>-0.239811</v>
      </c>
      <c r="AF36" s="43">
        <v>-0.24813399999999999</v>
      </c>
      <c r="AG36" s="39">
        <v>4.1409000000000001E-2</v>
      </c>
    </row>
    <row r="37" spans="1:33" ht="14.65" customHeight="1" x14ac:dyDescent="0.25">
      <c r="A37" s="42" t="s">
        <v>1041</v>
      </c>
      <c r="B37" s="41" t="s">
        <v>1042</v>
      </c>
      <c r="C37" s="43">
        <v>0</v>
      </c>
      <c r="D37" s="43">
        <v>0</v>
      </c>
      <c r="E37" s="43">
        <v>0</v>
      </c>
      <c r="F37" s="43">
        <v>0</v>
      </c>
      <c r="G37" s="43">
        <v>0</v>
      </c>
      <c r="H37" s="43">
        <v>0</v>
      </c>
      <c r="I37" s="43">
        <v>0</v>
      </c>
      <c r="J37" s="43">
        <v>0</v>
      </c>
      <c r="K37" s="43">
        <v>0</v>
      </c>
      <c r="L37" s="43">
        <v>0</v>
      </c>
      <c r="M37" s="43">
        <v>0</v>
      </c>
      <c r="N37" s="43">
        <v>0</v>
      </c>
      <c r="O37" s="43">
        <v>0</v>
      </c>
      <c r="P37" s="43">
        <v>0</v>
      </c>
      <c r="Q37" s="43">
        <v>0</v>
      </c>
      <c r="R37" s="43">
        <v>0</v>
      </c>
      <c r="S37" s="43">
        <v>0</v>
      </c>
      <c r="T37" s="43">
        <v>0</v>
      </c>
      <c r="U37" s="43">
        <v>0</v>
      </c>
      <c r="V37" s="43">
        <v>0</v>
      </c>
      <c r="W37" s="43">
        <v>0</v>
      </c>
      <c r="X37" s="43">
        <v>0</v>
      </c>
      <c r="Y37" s="43">
        <v>0</v>
      </c>
      <c r="Z37" s="43">
        <v>0</v>
      </c>
      <c r="AA37" s="43">
        <v>0</v>
      </c>
      <c r="AB37" s="43">
        <v>0</v>
      </c>
      <c r="AC37" s="43">
        <v>0</v>
      </c>
      <c r="AD37" s="43">
        <v>0</v>
      </c>
      <c r="AE37" s="43">
        <v>0</v>
      </c>
      <c r="AF37" s="43">
        <v>0</v>
      </c>
      <c r="AG37" s="39" t="s">
        <v>488</v>
      </c>
    </row>
    <row r="38" spans="1:33" ht="14.65" customHeight="1" x14ac:dyDescent="0.25">
      <c r="A38" s="42" t="s">
        <v>1043</v>
      </c>
      <c r="B38" s="41" t="s">
        <v>1044</v>
      </c>
      <c r="C38" s="43">
        <v>0.10957</v>
      </c>
      <c r="D38" s="43">
        <v>0.12343</v>
      </c>
      <c r="E38" s="43">
        <v>8.5490999999999998E-2</v>
      </c>
      <c r="F38" s="43">
        <v>8.7155999999999997E-2</v>
      </c>
      <c r="G38" s="43">
        <v>8.6574999999999999E-2</v>
      </c>
      <c r="H38" s="43">
        <v>8.7775000000000006E-2</v>
      </c>
      <c r="I38" s="43">
        <v>8.9271000000000003E-2</v>
      </c>
      <c r="J38" s="43">
        <v>8.9957999999999996E-2</v>
      </c>
      <c r="K38" s="43">
        <v>9.1673000000000004E-2</v>
      </c>
      <c r="L38" s="43">
        <v>9.1950000000000004E-2</v>
      </c>
      <c r="M38" s="43">
        <v>9.1553999999999996E-2</v>
      </c>
      <c r="N38" s="43">
        <v>9.0457999999999997E-2</v>
      </c>
      <c r="O38" s="43">
        <v>8.9090000000000003E-2</v>
      </c>
      <c r="P38" s="43">
        <v>8.8370000000000004E-2</v>
      </c>
      <c r="Q38" s="43">
        <v>8.7067000000000005E-2</v>
      </c>
      <c r="R38" s="43">
        <v>8.7808999999999998E-2</v>
      </c>
      <c r="S38" s="43">
        <v>8.8052000000000005E-2</v>
      </c>
      <c r="T38" s="43">
        <v>9.0187000000000003E-2</v>
      </c>
      <c r="U38" s="43">
        <v>9.0393000000000001E-2</v>
      </c>
      <c r="V38" s="43">
        <v>0.10288899999999999</v>
      </c>
      <c r="W38" s="43">
        <v>0.105504</v>
      </c>
      <c r="X38" s="43">
        <v>0.108863</v>
      </c>
      <c r="Y38" s="43">
        <v>0.110526</v>
      </c>
      <c r="Z38" s="43">
        <v>0.116439</v>
      </c>
      <c r="AA38" s="43">
        <v>0.118634</v>
      </c>
      <c r="AB38" s="43">
        <v>0.119738</v>
      </c>
      <c r="AC38" s="43">
        <v>0.12037</v>
      </c>
      <c r="AD38" s="43">
        <v>0.121144</v>
      </c>
      <c r="AE38" s="43">
        <v>0.121403</v>
      </c>
      <c r="AF38" s="43">
        <v>0.12220300000000001</v>
      </c>
      <c r="AG38" s="39" t="s">
        <v>488</v>
      </c>
    </row>
    <row r="39" spans="1:33" ht="14.65" customHeight="1" x14ac:dyDescent="0.25">
      <c r="A39" s="42" t="s">
        <v>1045</v>
      </c>
      <c r="B39" s="41" t="s">
        <v>1038</v>
      </c>
      <c r="C39" s="43">
        <v>0.112</v>
      </c>
      <c r="D39" s="43">
        <v>0.125859</v>
      </c>
      <c r="E39" s="43">
        <v>7.7512999999999999E-2</v>
      </c>
      <c r="F39" s="43">
        <v>7.9138E-2</v>
      </c>
      <c r="G39" s="43">
        <v>7.8517000000000003E-2</v>
      </c>
      <c r="H39" s="43">
        <v>7.9675999999999997E-2</v>
      </c>
      <c r="I39" s="43">
        <v>8.1132999999999997E-2</v>
      </c>
      <c r="J39" s="43">
        <v>8.1779000000000004E-2</v>
      </c>
      <c r="K39" s="43">
        <v>8.3452999999999999E-2</v>
      </c>
      <c r="L39" s="43">
        <v>8.3689E-2</v>
      </c>
      <c r="M39" s="43">
        <v>8.3251000000000006E-2</v>
      </c>
      <c r="N39" s="43">
        <v>8.2114000000000006E-2</v>
      </c>
      <c r="O39" s="43">
        <v>8.0703999999999998E-2</v>
      </c>
      <c r="P39" s="43">
        <v>7.9941999999999999E-2</v>
      </c>
      <c r="Q39" s="43">
        <v>7.8597E-2</v>
      </c>
      <c r="R39" s="43">
        <v>7.9297000000000006E-2</v>
      </c>
      <c r="S39" s="43">
        <v>7.9496999999999998E-2</v>
      </c>
      <c r="T39" s="43">
        <v>8.1588999999999995E-2</v>
      </c>
      <c r="U39" s="43">
        <v>8.1753000000000006E-2</v>
      </c>
      <c r="V39" s="43">
        <v>9.4204999999999997E-2</v>
      </c>
      <c r="W39" s="43">
        <v>9.6776000000000001E-2</v>
      </c>
      <c r="X39" s="43">
        <v>0.100092</v>
      </c>
      <c r="Y39" s="43">
        <v>0.101712</v>
      </c>
      <c r="Z39" s="43">
        <v>0.10758</v>
      </c>
      <c r="AA39" s="43">
        <v>0.109731</v>
      </c>
      <c r="AB39" s="43">
        <v>0.110791</v>
      </c>
      <c r="AC39" s="43">
        <v>0.111378</v>
      </c>
      <c r="AD39" s="43">
        <v>0.112106</v>
      </c>
      <c r="AE39" s="43">
        <v>0.11232</v>
      </c>
      <c r="AF39" s="43">
        <v>0.11307499999999999</v>
      </c>
      <c r="AG39" s="39">
        <v>3.2899999999999997E-4</v>
      </c>
    </row>
    <row r="40" spans="1:33" ht="14.65" customHeight="1" x14ac:dyDescent="0.25">
      <c r="A40" s="42" t="s">
        <v>1046</v>
      </c>
      <c r="B40" s="41" t="s">
        <v>1040</v>
      </c>
      <c r="C40" s="43">
        <v>-2.4299999999999999E-3</v>
      </c>
      <c r="D40" s="43">
        <v>-2.4299999999999999E-3</v>
      </c>
      <c r="E40" s="43">
        <v>7.9780000000000007E-3</v>
      </c>
      <c r="F40" s="43">
        <v>8.0180000000000008E-3</v>
      </c>
      <c r="G40" s="43">
        <v>8.0579999999999992E-3</v>
      </c>
      <c r="H40" s="43">
        <v>8.0979999999999993E-3</v>
      </c>
      <c r="I40" s="43">
        <v>8.1390000000000004E-3</v>
      </c>
      <c r="J40" s="43">
        <v>8.1799999999999998E-3</v>
      </c>
      <c r="K40" s="43">
        <v>8.2199999999999999E-3</v>
      </c>
      <c r="L40" s="43">
        <v>8.2620000000000002E-3</v>
      </c>
      <c r="M40" s="43">
        <v>8.3029999999999996E-3</v>
      </c>
      <c r="N40" s="43">
        <v>8.3440000000000007E-3</v>
      </c>
      <c r="O40" s="43">
        <v>8.3859999999999994E-3</v>
      </c>
      <c r="P40" s="43">
        <v>8.4279999999999997E-3</v>
      </c>
      <c r="Q40" s="43">
        <v>8.4700000000000001E-3</v>
      </c>
      <c r="R40" s="43">
        <v>8.5120000000000005E-3</v>
      </c>
      <c r="S40" s="43">
        <v>8.5550000000000001E-3</v>
      </c>
      <c r="T40" s="43">
        <v>8.5979999999999997E-3</v>
      </c>
      <c r="U40" s="43">
        <v>8.6409999999999994E-3</v>
      </c>
      <c r="V40" s="43">
        <v>8.6840000000000007E-3</v>
      </c>
      <c r="W40" s="43">
        <v>8.7270000000000004E-3</v>
      </c>
      <c r="X40" s="43">
        <v>8.7709999999999993E-3</v>
      </c>
      <c r="Y40" s="43">
        <v>8.8149999999999999E-3</v>
      </c>
      <c r="Z40" s="43">
        <v>8.8590000000000006E-3</v>
      </c>
      <c r="AA40" s="43">
        <v>8.9029999999999995E-3</v>
      </c>
      <c r="AB40" s="43">
        <v>8.9479999999999994E-3</v>
      </c>
      <c r="AC40" s="43">
        <v>8.9929999999999993E-3</v>
      </c>
      <c r="AD40" s="43">
        <v>9.0379999999999992E-3</v>
      </c>
      <c r="AE40" s="43">
        <v>9.0830000000000008E-3</v>
      </c>
      <c r="AF40" s="43">
        <v>9.1280000000000007E-3</v>
      </c>
      <c r="AG40" s="39" t="s">
        <v>488</v>
      </c>
    </row>
    <row r="41" spans="1:33" ht="14.65" customHeight="1" x14ac:dyDescent="0.25">
      <c r="A41" s="42" t="s">
        <v>1047</v>
      </c>
      <c r="B41" s="41" t="s">
        <v>1042</v>
      </c>
      <c r="C41" s="43">
        <v>0</v>
      </c>
      <c r="D41" s="43">
        <v>0</v>
      </c>
      <c r="E41" s="43">
        <v>0</v>
      </c>
      <c r="F41" s="43">
        <v>0</v>
      </c>
      <c r="G41" s="43">
        <v>0</v>
      </c>
      <c r="H41" s="43">
        <v>0</v>
      </c>
      <c r="I41" s="43">
        <v>0</v>
      </c>
      <c r="J41" s="43">
        <v>0</v>
      </c>
      <c r="K41" s="43">
        <v>0</v>
      </c>
      <c r="L41" s="43">
        <v>0</v>
      </c>
      <c r="M41" s="43">
        <v>0</v>
      </c>
      <c r="N41" s="43">
        <v>0</v>
      </c>
      <c r="O41" s="43">
        <v>0</v>
      </c>
      <c r="P41" s="43">
        <v>0</v>
      </c>
      <c r="Q41" s="43">
        <v>0</v>
      </c>
      <c r="R41" s="43">
        <v>0</v>
      </c>
      <c r="S41" s="43">
        <v>0</v>
      </c>
      <c r="T41" s="43">
        <v>0</v>
      </c>
      <c r="U41" s="43">
        <v>0</v>
      </c>
      <c r="V41" s="43">
        <v>0</v>
      </c>
      <c r="W41" s="43">
        <v>0</v>
      </c>
      <c r="X41" s="43">
        <v>0</v>
      </c>
      <c r="Y41" s="43">
        <v>0</v>
      </c>
      <c r="Z41" s="43">
        <v>0</v>
      </c>
      <c r="AA41" s="43">
        <v>0</v>
      </c>
      <c r="AB41" s="43">
        <v>0</v>
      </c>
      <c r="AC41" s="43">
        <v>0</v>
      </c>
      <c r="AD41" s="43">
        <v>0</v>
      </c>
      <c r="AE41" s="43">
        <v>0</v>
      </c>
      <c r="AF41" s="43">
        <v>0</v>
      </c>
      <c r="AG41" s="39" t="s">
        <v>488</v>
      </c>
    </row>
    <row r="42" spans="1:33" ht="14.65" customHeight="1" x14ac:dyDescent="0.25">
      <c r="A42" s="42" t="s">
        <v>1048</v>
      </c>
      <c r="B42" s="41" t="s">
        <v>1049</v>
      </c>
      <c r="C42" s="43">
        <v>9.3755000000000005E-2</v>
      </c>
      <c r="D42" s="43">
        <v>0.13817299999999999</v>
      </c>
      <c r="E42" s="43">
        <v>0.14203199999999999</v>
      </c>
      <c r="F42" s="43">
        <v>0.142485</v>
      </c>
      <c r="G42" s="43">
        <v>0.143096</v>
      </c>
      <c r="H42" s="43">
        <v>0.14305100000000001</v>
      </c>
      <c r="I42" s="43">
        <v>0.143513</v>
      </c>
      <c r="J42" s="43">
        <v>0.14452400000000001</v>
      </c>
      <c r="K42" s="43">
        <v>0.14435300000000001</v>
      </c>
      <c r="L42" s="43">
        <v>0.144542</v>
      </c>
      <c r="M42" s="43">
        <v>0.14449999999999999</v>
      </c>
      <c r="N42" s="43">
        <v>0.14546300000000001</v>
      </c>
      <c r="O42" s="43">
        <v>0.14582700000000001</v>
      </c>
      <c r="P42" s="43">
        <v>0.14600399999999999</v>
      </c>
      <c r="Q42" s="43">
        <v>0.146902</v>
      </c>
      <c r="R42" s="43">
        <v>0.14627699999999999</v>
      </c>
      <c r="S42" s="43">
        <v>0.14538100000000001</v>
      </c>
      <c r="T42" s="43">
        <v>0.146673</v>
      </c>
      <c r="U42" s="43">
        <v>0.140043</v>
      </c>
      <c r="V42" s="43">
        <v>0.14297099999999999</v>
      </c>
      <c r="W42" s="43">
        <v>0.14507200000000001</v>
      </c>
      <c r="X42" s="43">
        <v>0.146061</v>
      </c>
      <c r="Y42" s="43">
        <v>0.14818500000000001</v>
      </c>
      <c r="Z42" s="43">
        <v>0.15026300000000001</v>
      </c>
      <c r="AA42" s="43">
        <v>0.15190000000000001</v>
      </c>
      <c r="AB42" s="43">
        <v>0.15319199999999999</v>
      </c>
      <c r="AC42" s="43">
        <v>0.15598799999999999</v>
      </c>
      <c r="AD42" s="43">
        <v>0.15756200000000001</v>
      </c>
      <c r="AE42" s="43">
        <v>0.16270399999999999</v>
      </c>
      <c r="AF42" s="43">
        <v>0.16128400000000001</v>
      </c>
      <c r="AG42" s="39">
        <v>1.8881999999999999E-2</v>
      </c>
    </row>
    <row r="43" spans="1:33" ht="14.65" customHeight="1" x14ac:dyDescent="0.25">
      <c r="A43" s="42" t="s">
        <v>1050</v>
      </c>
      <c r="B43" s="41" t="s">
        <v>1038</v>
      </c>
      <c r="C43" s="43">
        <v>6.9112000000000007E-2</v>
      </c>
      <c r="D43" s="43">
        <v>0.100886</v>
      </c>
      <c r="E43" s="43">
        <v>0.107997</v>
      </c>
      <c r="F43" s="43">
        <v>0.108025</v>
      </c>
      <c r="G43" s="43">
        <v>0.108205</v>
      </c>
      <c r="H43" s="43">
        <v>0.107724</v>
      </c>
      <c r="I43" s="43">
        <v>0.10774499999999999</v>
      </c>
      <c r="J43" s="43">
        <v>0.108308</v>
      </c>
      <c r="K43" s="43">
        <v>0.107684</v>
      </c>
      <c r="L43" s="43">
        <v>0.107415</v>
      </c>
      <c r="M43" s="43">
        <v>0.106909</v>
      </c>
      <c r="N43" s="43">
        <v>0.107402</v>
      </c>
      <c r="O43" s="43">
        <v>0.10729</v>
      </c>
      <c r="P43" s="43">
        <v>0.106986</v>
      </c>
      <c r="Q43" s="43">
        <v>0.10739600000000001</v>
      </c>
      <c r="R43" s="43">
        <v>0.106277</v>
      </c>
      <c r="S43" s="43">
        <v>0.104881</v>
      </c>
      <c r="T43" s="43">
        <v>0.105667</v>
      </c>
      <c r="U43" s="43">
        <v>9.8524E-2</v>
      </c>
      <c r="V43" s="43">
        <v>0.108887</v>
      </c>
      <c r="W43" s="43">
        <v>0.11056100000000001</v>
      </c>
      <c r="X43" s="43">
        <v>0.111119</v>
      </c>
      <c r="Y43" s="43">
        <v>0.112807</v>
      </c>
      <c r="Z43" s="43">
        <v>0.114442</v>
      </c>
      <c r="AA43" s="43">
        <v>0.115632</v>
      </c>
      <c r="AB43" s="43">
        <v>0.11647</v>
      </c>
      <c r="AC43" s="43">
        <v>0.118807</v>
      </c>
      <c r="AD43" s="43">
        <v>0.11991599999999999</v>
      </c>
      <c r="AE43" s="43">
        <v>0.124587</v>
      </c>
      <c r="AF43" s="43">
        <v>0.12269099999999999</v>
      </c>
      <c r="AG43" s="39">
        <v>1.9989E-2</v>
      </c>
    </row>
    <row r="44" spans="1:33" ht="14.65" customHeight="1" x14ac:dyDescent="0.25">
      <c r="A44" s="42" t="s">
        <v>1051</v>
      </c>
      <c r="B44" s="41" t="s">
        <v>1040</v>
      </c>
      <c r="C44" s="43">
        <v>2.4643999999999999E-2</v>
      </c>
      <c r="D44" s="43">
        <v>3.7287000000000001E-2</v>
      </c>
      <c r="E44" s="43">
        <v>3.4035000000000003E-2</v>
      </c>
      <c r="F44" s="43">
        <v>3.4459999999999998E-2</v>
      </c>
      <c r="G44" s="43">
        <v>3.4890999999999998E-2</v>
      </c>
      <c r="H44" s="43">
        <v>3.5326999999999997E-2</v>
      </c>
      <c r="I44" s="43">
        <v>3.5769000000000002E-2</v>
      </c>
      <c r="J44" s="43">
        <v>3.6215999999999998E-2</v>
      </c>
      <c r="K44" s="43">
        <v>3.6667999999999999E-2</v>
      </c>
      <c r="L44" s="43">
        <v>3.7127E-2</v>
      </c>
      <c r="M44" s="43">
        <v>3.7590999999999999E-2</v>
      </c>
      <c r="N44" s="43">
        <v>3.8060999999999998E-2</v>
      </c>
      <c r="O44" s="43">
        <v>3.8536000000000001E-2</v>
      </c>
      <c r="P44" s="43">
        <v>3.9017999999999997E-2</v>
      </c>
      <c r="Q44" s="43">
        <v>3.9505999999999999E-2</v>
      </c>
      <c r="R44" s="43">
        <v>0.04</v>
      </c>
      <c r="S44" s="43">
        <v>4.0500000000000001E-2</v>
      </c>
      <c r="T44" s="43">
        <v>4.1006000000000001E-2</v>
      </c>
      <c r="U44" s="43">
        <v>4.1519E-2</v>
      </c>
      <c r="V44" s="43">
        <v>3.4084000000000003E-2</v>
      </c>
      <c r="W44" s="43">
        <v>3.4511E-2</v>
      </c>
      <c r="X44" s="43">
        <v>3.4942000000000001E-2</v>
      </c>
      <c r="Y44" s="43">
        <v>3.5379000000000001E-2</v>
      </c>
      <c r="Z44" s="43">
        <v>3.5820999999999999E-2</v>
      </c>
      <c r="AA44" s="43">
        <v>3.6269000000000003E-2</v>
      </c>
      <c r="AB44" s="43">
        <v>3.6721999999999998E-2</v>
      </c>
      <c r="AC44" s="43">
        <v>3.7180999999999999E-2</v>
      </c>
      <c r="AD44" s="43">
        <v>3.7645999999999999E-2</v>
      </c>
      <c r="AE44" s="43">
        <v>3.8115999999999997E-2</v>
      </c>
      <c r="AF44" s="43">
        <v>3.8593000000000002E-2</v>
      </c>
      <c r="AG44" s="39">
        <v>1.5587E-2</v>
      </c>
    </row>
    <row r="45" spans="1:33" ht="14.65" customHeight="1" x14ac:dyDescent="0.25">
      <c r="A45" s="42" t="s">
        <v>1052</v>
      </c>
      <c r="B45" s="41" t="s">
        <v>1042</v>
      </c>
      <c r="C45" s="43">
        <v>0</v>
      </c>
      <c r="D45" s="43">
        <v>0</v>
      </c>
      <c r="E45" s="43">
        <v>0</v>
      </c>
      <c r="F45" s="43">
        <v>0</v>
      </c>
      <c r="G45" s="43">
        <v>0</v>
      </c>
      <c r="H45" s="43">
        <v>0</v>
      </c>
      <c r="I45" s="43">
        <v>0</v>
      </c>
      <c r="J45" s="43">
        <v>0</v>
      </c>
      <c r="K45" s="43">
        <v>0</v>
      </c>
      <c r="L45" s="43">
        <v>0</v>
      </c>
      <c r="M45" s="43">
        <v>0</v>
      </c>
      <c r="N45" s="43">
        <v>0</v>
      </c>
      <c r="O45" s="43">
        <v>0</v>
      </c>
      <c r="P45" s="43">
        <v>0</v>
      </c>
      <c r="Q45" s="43">
        <v>0</v>
      </c>
      <c r="R45" s="43">
        <v>0</v>
      </c>
      <c r="S45" s="43">
        <v>0</v>
      </c>
      <c r="T45" s="43">
        <v>0</v>
      </c>
      <c r="U45" s="43">
        <v>0</v>
      </c>
      <c r="V45" s="43">
        <v>0</v>
      </c>
      <c r="W45" s="43">
        <v>0</v>
      </c>
      <c r="X45" s="43">
        <v>0</v>
      </c>
      <c r="Y45" s="43">
        <v>0</v>
      </c>
      <c r="Z45" s="43">
        <v>0</v>
      </c>
      <c r="AA45" s="43">
        <v>0</v>
      </c>
      <c r="AB45" s="43">
        <v>0</v>
      </c>
      <c r="AC45" s="43">
        <v>0</v>
      </c>
      <c r="AD45" s="43">
        <v>0</v>
      </c>
      <c r="AE45" s="43">
        <v>0</v>
      </c>
      <c r="AF45" s="43">
        <v>0</v>
      </c>
      <c r="AG45" s="39" t="s">
        <v>488</v>
      </c>
    </row>
    <row r="46" spans="1:33" ht="14.65" customHeight="1" x14ac:dyDescent="0.25">
      <c r="A46" s="42" t="s">
        <v>1053</v>
      </c>
      <c r="B46" s="41" t="s">
        <v>1054</v>
      </c>
      <c r="C46" s="43">
        <v>0</v>
      </c>
      <c r="D46" s="43">
        <v>0</v>
      </c>
      <c r="E46" s="43">
        <v>0</v>
      </c>
      <c r="F46" s="43">
        <v>0</v>
      </c>
      <c r="G46" s="43">
        <v>0</v>
      </c>
      <c r="H46" s="43">
        <v>0</v>
      </c>
      <c r="I46" s="43">
        <v>0</v>
      </c>
      <c r="J46" s="43">
        <v>0</v>
      </c>
      <c r="K46" s="43">
        <v>0</v>
      </c>
      <c r="L46" s="43">
        <v>0</v>
      </c>
      <c r="M46" s="43">
        <v>0</v>
      </c>
      <c r="N46" s="43">
        <v>0</v>
      </c>
      <c r="O46" s="43">
        <v>0</v>
      </c>
      <c r="P46" s="43">
        <v>0</v>
      </c>
      <c r="Q46" s="43">
        <v>0</v>
      </c>
      <c r="R46" s="43">
        <v>0</v>
      </c>
      <c r="S46" s="43">
        <v>0</v>
      </c>
      <c r="T46" s="43">
        <v>0</v>
      </c>
      <c r="U46" s="43">
        <v>0</v>
      </c>
      <c r="V46" s="43">
        <v>0</v>
      </c>
      <c r="W46" s="43">
        <v>0</v>
      </c>
      <c r="X46" s="43">
        <v>0</v>
      </c>
      <c r="Y46" s="43">
        <v>0</v>
      </c>
      <c r="Z46" s="43">
        <v>0</v>
      </c>
      <c r="AA46" s="43">
        <v>0</v>
      </c>
      <c r="AB46" s="43">
        <v>0</v>
      </c>
      <c r="AC46" s="43">
        <v>0</v>
      </c>
      <c r="AD46" s="43">
        <v>0</v>
      </c>
      <c r="AE46" s="43">
        <v>0</v>
      </c>
      <c r="AF46" s="43">
        <v>0</v>
      </c>
      <c r="AG46" s="39" t="s">
        <v>488</v>
      </c>
    </row>
    <row r="47" spans="1:33" ht="14.65" customHeight="1" x14ac:dyDescent="0.25">
      <c r="A47" s="42" t="s">
        <v>1055</v>
      </c>
      <c r="B47" s="41" t="s">
        <v>1056</v>
      </c>
      <c r="C47" s="43">
        <v>0</v>
      </c>
      <c r="D47" s="43">
        <v>0</v>
      </c>
      <c r="E47" s="43">
        <v>0</v>
      </c>
      <c r="F47" s="43">
        <v>0</v>
      </c>
      <c r="G47" s="43">
        <v>0</v>
      </c>
      <c r="H47" s="43">
        <v>0</v>
      </c>
      <c r="I47" s="43">
        <v>0</v>
      </c>
      <c r="J47" s="43">
        <v>0</v>
      </c>
      <c r="K47" s="43">
        <v>0</v>
      </c>
      <c r="L47" s="43">
        <v>0</v>
      </c>
      <c r="M47" s="43">
        <v>0</v>
      </c>
      <c r="N47" s="43">
        <v>0</v>
      </c>
      <c r="O47" s="43">
        <v>0</v>
      </c>
      <c r="P47" s="43">
        <v>0</v>
      </c>
      <c r="Q47" s="43">
        <v>0</v>
      </c>
      <c r="R47" s="43">
        <v>0</v>
      </c>
      <c r="S47" s="43">
        <v>0</v>
      </c>
      <c r="T47" s="43">
        <v>0</v>
      </c>
      <c r="U47" s="43">
        <v>0</v>
      </c>
      <c r="V47" s="43">
        <v>0</v>
      </c>
      <c r="W47" s="43">
        <v>0</v>
      </c>
      <c r="X47" s="43">
        <v>0</v>
      </c>
      <c r="Y47" s="43">
        <v>0</v>
      </c>
      <c r="Z47" s="43">
        <v>0</v>
      </c>
      <c r="AA47" s="43">
        <v>0</v>
      </c>
      <c r="AB47" s="43">
        <v>0</v>
      </c>
      <c r="AC47" s="43">
        <v>0</v>
      </c>
      <c r="AD47" s="43">
        <v>0</v>
      </c>
      <c r="AE47" s="43">
        <v>0</v>
      </c>
      <c r="AF47" s="43">
        <v>0</v>
      </c>
      <c r="AG47" s="39" t="s">
        <v>488</v>
      </c>
    </row>
    <row r="48" spans="1:33" ht="14.65" customHeight="1" x14ac:dyDescent="0.25">
      <c r="A48" s="42" t="s">
        <v>1057</v>
      </c>
      <c r="B48" s="41" t="s">
        <v>1058</v>
      </c>
      <c r="C48" s="43">
        <v>0.20399999999999999</v>
      </c>
      <c r="D48" s="43">
        <v>0.20399999999999999</v>
      </c>
      <c r="E48" s="43">
        <v>0.24124999999999999</v>
      </c>
      <c r="F48" s="43">
        <v>0.23614099999999999</v>
      </c>
      <c r="G48" s="43">
        <v>0.235012</v>
      </c>
      <c r="H48" s="43">
        <v>0.23547199999999999</v>
      </c>
      <c r="I48" s="43">
        <v>0.230299</v>
      </c>
      <c r="J48" s="43">
        <v>0.230071</v>
      </c>
      <c r="K48" s="43">
        <v>0.22802800000000001</v>
      </c>
      <c r="L48" s="43">
        <v>0.22787099999999999</v>
      </c>
      <c r="M48" s="43">
        <v>0.227135</v>
      </c>
      <c r="N48" s="43">
        <v>0.22218199999999999</v>
      </c>
      <c r="O48" s="43">
        <v>0.22186</v>
      </c>
      <c r="P48" s="43">
        <v>0.22562099999999999</v>
      </c>
      <c r="Q48" s="43">
        <v>0.22430800000000001</v>
      </c>
      <c r="R48" s="43">
        <v>0.22858600000000001</v>
      </c>
      <c r="S48" s="43">
        <v>0.23052400000000001</v>
      </c>
      <c r="T48" s="43">
        <v>0.23131599999999999</v>
      </c>
      <c r="U48" s="43">
        <v>0.230383</v>
      </c>
      <c r="V48" s="43">
        <v>0.22626299999999999</v>
      </c>
      <c r="W48" s="43">
        <v>0.22520999999999999</v>
      </c>
      <c r="X48" s="43">
        <v>0.22278500000000001</v>
      </c>
      <c r="Y48" s="43">
        <v>0.220057</v>
      </c>
      <c r="Z48" s="43">
        <v>0.222193</v>
      </c>
      <c r="AA48" s="43">
        <v>0.219587</v>
      </c>
      <c r="AB48" s="43">
        <v>0.216035</v>
      </c>
      <c r="AC48" s="43">
        <v>0.214285</v>
      </c>
      <c r="AD48" s="43">
        <v>0.21712899999999999</v>
      </c>
      <c r="AE48" s="43">
        <v>0.22031000000000001</v>
      </c>
      <c r="AF48" s="43">
        <v>0.218113</v>
      </c>
      <c r="AG48" s="39">
        <v>2.3089999999999999E-3</v>
      </c>
    </row>
    <row r="49" spans="1:33" ht="14.65" customHeight="1" x14ac:dyDescent="0.2"/>
    <row r="50" spans="1:33" ht="15" customHeight="1" x14ac:dyDescent="0.2">
      <c r="A50" s="42" t="s">
        <v>1059</v>
      </c>
      <c r="B50" s="45" t="s">
        <v>1060</v>
      </c>
      <c r="C50" s="47">
        <v>19.499475</v>
      </c>
      <c r="D50" s="47">
        <v>20.195191999999999</v>
      </c>
      <c r="E50" s="47">
        <v>20.226551000000001</v>
      </c>
      <c r="F50" s="47">
        <v>20.118493999999998</v>
      </c>
      <c r="G50" s="47">
        <v>20.155071</v>
      </c>
      <c r="H50" s="47">
        <v>20.160822</v>
      </c>
      <c r="I50" s="47">
        <v>20.102530000000002</v>
      </c>
      <c r="J50" s="47">
        <v>20.060334999999998</v>
      </c>
      <c r="K50" s="47">
        <v>19.968278999999999</v>
      </c>
      <c r="L50" s="47">
        <v>19.911950999999998</v>
      </c>
      <c r="M50" s="47">
        <v>19.895596999999999</v>
      </c>
      <c r="N50" s="47">
        <v>19.948847000000001</v>
      </c>
      <c r="O50" s="47">
        <v>19.938241999999999</v>
      </c>
      <c r="P50" s="47">
        <v>19.877690999999999</v>
      </c>
      <c r="Q50" s="47">
        <v>19.827545000000001</v>
      </c>
      <c r="R50" s="47">
        <v>19.783815000000001</v>
      </c>
      <c r="S50" s="47">
        <v>19.776555999999999</v>
      </c>
      <c r="T50" s="47">
        <v>19.771431</v>
      </c>
      <c r="U50" s="47">
        <v>19.799202000000001</v>
      </c>
      <c r="V50" s="47">
        <v>19.797443000000001</v>
      </c>
      <c r="W50" s="47">
        <v>19.816905999999999</v>
      </c>
      <c r="X50" s="47">
        <v>19.858063000000001</v>
      </c>
      <c r="Y50" s="47">
        <v>19.906267</v>
      </c>
      <c r="Z50" s="47">
        <v>19.917376999999998</v>
      </c>
      <c r="AA50" s="47">
        <v>19.959278000000001</v>
      </c>
      <c r="AB50" s="47">
        <v>20.055499999999999</v>
      </c>
      <c r="AC50" s="47">
        <v>20.126124999999998</v>
      </c>
      <c r="AD50" s="47">
        <v>20.16188</v>
      </c>
      <c r="AE50" s="47">
        <v>20.227748999999999</v>
      </c>
      <c r="AF50" s="47">
        <v>20.370794</v>
      </c>
      <c r="AG50" s="46">
        <v>1.5089999999999999E-3</v>
      </c>
    </row>
    <row r="51" spans="1:33" ht="15" customHeight="1" x14ac:dyDescent="0.2"/>
    <row r="52" spans="1:33" ht="15" customHeight="1" x14ac:dyDescent="0.2"/>
    <row r="53" spans="1:33" ht="15" customHeight="1" x14ac:dyDescent="0.2">
      <c r="B53" s="45" t="s">
        <v>1061</v>
      </c>
    </row>
    <row r="54" spans="1:33" ht="15" customHeight="1" x14ac:dyDescent="0.2">
      <c r="B54" s="45" t="s">
        <v>1062</v>
      </c>
    </row>
    <row r="55" spans="1:33" ht="15" customHeight="1" x14ac:dyDescent="0.25">
      <c r="A55" s="42" t="s">
        <v>1063</v>
      </c>
      <c r="B55" s="41" t="s">
        <v>1064</v>
      </c>
      <c r="C55" s="43">
        <v>3.1269999999999998</v>
      </c>
      <c r="D55" s="43">
        <v>3.323</v>
      </c>
      <c r="E55" s="43">
        <v>3.7148569999999999</v>
      </c>
      <c r="F55" s="43">
        <v>3.680768</v>
      </c>
      <c r="G55" s="43">
        <v>3.7657479999999999</v>
      </c>
      <c r="H55" s="43">
        <v>3.858406</v>
      </c>
      <c r="I55" s="43">
        <v>3.9177680000000001</v>
      </c>
      <c r="J55" s="43">
        <v>3.9515310000000001</v>
      </c>
      <c r="K55" s="43">
        <v>3.9433319999999998</v>
      </c>
      <c r="L55" s="43">
        <v>3.951994</v>
      </c>
      <c r="M55" s="43">
        <v>4.0018380000000002</v>
      </c>
      <c r="N55" s="43">
        <v>4.0958059999999996</v>
      </c>
      <c r="O55" s="43">
        <v>4.1339230000000002</v>
      </c>
      <c r="P55" s="43">
        <v>4.151421</v>
      </c>
      <c r="Q55" s="43">
        <v>4.1708869999999996</v>
      </c>
      <c r="R55" s="43">
        <v>4.1851060000000002</v>
      </c>
      <c r="S55" s="43">
        <v>4.2068430000000001</v>
      </c>
      <c r="T55" s="43">
        <v>4.2271330000000003</v>
      </c>
      <c r="U55" s="43">
        <v>4.2552779999999997</v>
      </c>
      <c r="V55" s="43">
        <v>4.270975</v>
      </c>
      <c r="W55" s="43">
        <v>4.2867150000000001</v>
      </c>
      <c r="X55" s="43">
        <v>4.3176740000000002</v>
      </c>
      <c r="Y55" s="43">
        <v>4.3584019999999999</v>
      </c>
      <c r="Z55" s="43">
        <v>4.3598350000000003</v>
      </c>
      <c r="AA55" s="43">
        <v>4.3810070000000003</v>
      </c>
      <c r="AB55" s="43">
        <v>4.4281319999999997</v>
      </c>
      <c r="AC55" s="43">
        <v>4.4484469999999998</v>
      </c>
      <c r="AD55" s="43">
        <v>4.4305950000000003</v>
      </c>
      <c r="AE55" s="43">
        <v>4.434793</v>
      </c>
      <c r="AF55" s="43">
        <v>4.4872839999999998</v>
      </c>
      <c r="AG55" s="39">
        <v>1.2532E-2</v>
      </c>
    </row>
    <row r="56" spans="1:33" ht="15" customHeight="1" x14ac:dyDescent="0.25">
      <c r="A56" s="42" t="s">
        <v>1065</v>
      </c>
      <c r="B56" s="41" t="s">
        <v>1066</v>
      </c>
      <c r="C56" s="43">
        <v>8.782</v>
      </c>
      <c r="D56" s="43">
        <v>8.9730000000000008</v>
      </c>
      <c r="E56" s="43">
        <v>8.9732710000000004</v>
      </c>
      <c r="F56" s="43">
        <v>8.9329689999999999</v>
      </c>
      <c r="G56" s="43">
        <v>8.8768209999999996</v>
      </c>
      <c r="H56" s="43">
        <v>8.807067</v>
      </c>
      <c r="I56" s="43">
        <v>8.7266180000000002</v>
      </c>
      <c r="J56" s="43">
        <v>8.6499729999999992</v>
      </c>
      <c r="K56" s="43">
        <v>8.5786210000000001</v>
      </c>
      <c r="L56" s="43">
        <v>8.5229370000000007</v>
      </c>
      <c r="M56" s="43">
        <v>8.4805639999999993</v>
      </c>
      <c r="N56" s="43">
        <v>8.4332010000000004</v>
      </c>
      <c r="O56" s="43">
        <v>8.3987090000000002</v>
      </c>
      <c r="P56" s="43">
        <v>8.3583719999999992</v>
      </c>
      <c r="Q56" s="43">
        <v>8.3149929999999994</v>
      </c>
      <c r="R56" s="43">
        <v>8.2779330000000009</v>
      </c>
      <c r="S56" s="43">
        <v>8.2516580000000008</v>
      </c>
      <c r="T56" s="43">
        <v>8.2329279999999994</v>
      </c>
      <c r="U56" s="43">
        <v>8.2273409999999991</v>
      </c>
      <c r="V56" s="43">
        <v>8.2285699999999995</v>
      </c>
      <c r="W56" s="43">
        <v>8.2321480000000005</v>
      </c>
      <c r="X56" s="43">
        <v>8.2411829999999995</v>
      </c>
      <c r="Y56" s="43">
        <v>8.2527249999999999</v>
      </c>
      <c r="Z56" s="43">
        <v>8.2714820000000007</v>
      </c>
      <c r="AA56" s="43">
        <v>8.2982759999999995</v>
      </c>
      <c r="AB56" s="43">
        <v>8.3393979999999992</v>
      </c>
      <c r="AC56" s="43">
        <v>8.3865800000000004</v>
      </c>
      <c r="AD56" s="43">
        <v>8.4338809999999995</v>
      </c>
      <c r="AE56" s="43">
        <v>8.4864619999999995</v>
      </c>
      <c r="AF56" s="43">
        <v>8.5537779999999994</v>
      </c>
      <c r="AG56" s="39">
        <v>-9.0799999999999995E-4</v>
      </c>
    </row>
    <row r="57" spans="1:33" ht="15" customHeight="1" x14ac:dyDescent="0.25">
      <c r="A57" s="42" t="s">
        <v>1067</v>
      </c>
      <c r="B57" s="41" t="s">
        <v>1068</v>
      </c>
      <c r="C57" s="43">
        <v>2.1104999999999999E-2</v>
      </c>
      <c r="D57" s="43">
        <v>2.2769999999999999E-2</v>
      </c>
      <c r="E57" s="43">
        <v>2.3747000000000001E-2</v>
      </c>
      <c r="F57" s="43">
        <v>2.3545E-2</v>
      </c>
      <c r="G57" s="43">
        <v>2.3184E-2</v>
      </c>
      <c r="H57" s="43">
        <v>2.2616000000000001E-2</v>
      </c>
      <c r="I57" s="43">
        <v>2.1883E-2</v>
      </c>
      <c r="J57" s="43">
        <v>2.1149000000000001E-2</v>
      </c>
      <c r="K57" s="43">
        <v>2.0417999999999999E-2</v>
      </c>
      <c r="L57" s="43">
        <v>1.9668999999999999E-2</v>
      </c>
      <c r="M57" s="43">
        <v>1.8978999999999999E-2</v>
      </c>
      <c r="N57" s="43">
        <v>1.8259000000000001E-2</v>
      </c>
      <c r="O57" s="43">
        <v>1.7659000000000001E-2</v>
      </c>
      <c r="P57" s="43">
        <v>1.7094000000000002E-2</v>
      </c>
      <c r="Q57" s="43">
        <v>1.6611999999999998E-2</v>
      </c>
      <c r="R57" s="43">
        <v>1.6222E-2</v>
      </c>
      <c r="S57" s="43">
        <v>1.5916E-2</v>
      </c>
      <c r="T57" s="43">
        <v>1.5688000000000001E-2</v>
      </c>
      <c r="U57" s="43">
        <v>1.5643000000000001E-2</v>
      </c>
      <c r="V57" s="43">
        <v>1.5554E-2</v>
      </c>
      <c r="W57" s="43">
        <v>1.5564E-2</v>
      </c>
      <c r="X57" s="43">
        <v>1.5407000000000001E-2</v>
      </c>
      <c r="Y57" s="43">
        <v>1.5495E-2</v>
      </c>
      <c r="Z57" s="43">
        <v>1.5814000000000002E-2</v>
      </c>
      <c r="AA57" s="43">
        <v>1.5984000000000002E-2</v>
      </c>
      <c r="AB57" s="43">
        <v>1.6178999999999999E-2</v>
      </c>
      <c r="AC57" s="43">
        <v>1.6389000000000001E-2</v>
      </c>
      <c r="AD57" s="43">
        <v>1.6650000000000002E-2</v>
      </c>
      <c r="AE57" s="43">
        <v>1.6896999999999999E-2</v>
      </c>
      <c r="AF57" s="43">
        <v>1.7232000000000001E-2</v>
      </c>
      <c r="AG57" s="39">
        <v>-6.9670000000000001E-3</v>
      </c>
    </row>
    <row r="58" spans="1:33" ht="15" customHeight="1" x14ac:dyDescent="0.25">
      <c r="A58" s="42" t="s">
        <v>1069</v>
      </c>
      <c r="B58" s="41" t="s">
        <v>1070</v>
      </c>
      <c r="C58" s="43">
        <v>1.3779999999999999</v>
      </c>
      <c r="D58" s="43">
        <v>1.603</v>
      </c>
      <c r="E58" s="43">
        <v>1.632198</v>
      </c>
      <c r="F58" s="43">
        <v>1.6660269999999999</v>
      </c>
      <c r="G58" s="43">
        <v>1.6951050000000001</v>
      </c>
      <c r="H58" s="43">
        <v>1.714869</v>
      </c>
      <c r="I58" s="43">
        <v>1.7274750000000001</v>
      </c>
      <c r="J58" s="43">
        <v>1.7433829999999999</v>
      </c>
      <c r="K58" s="43">
        <v>1.757344</v>
      </c>
      <c r="L58" s="43">
        <v>1.774232</v>
      </c>
      <c r="M58" s="43">
        <v>1.7851619999999999</v>
      </c>
      <c r="N58" s="43">
        <v>1.7987580000000001</v>
      </c>
      <c r="O58" s="43">
        <v>1.8057810000000001</v>
      </c>
      <c r="P58" s="43">
        <v>1.8037510000000001</v>
      </c>
      <c r="Q58" s="43">
        <v>1.8082210000000001</v>
      </c>
      <c r="R58" s="43">
        <v>1.813574</v>
      </c>
      <c r="S58" s="43">
        <v>1.8227329999999999</v>
      </c>
      <c r="T58" s="43">
        <v>1.831574</v>
      </c>
      <c r="U58" s="43">
        <v>1.844533</v>
      </c>
      <c r="V58" s="43">
        <v>1.8589469999999999</v>
      </c>
      <c r="W58" s="43">
        <v>1.869788</v>
      </c>
      <c r="X58" s="43">
        <v>1.8831119999999999</v>
      </c>
      <c r="Y58" s="43">
        <v>1.897106</v>
      </c>
      <c r="Z58" s="43">
        <v>1.9090290000000001</v>
      </c>
      <c r="AA58" s="43">
        <v>1.92523</v>
      </c>
      <c r="AB58" s="43">
        <v>1.94221</v>
      </c>
      <c r="AC58" s="43">
        <v>1.9579660000000001</v>
      </c>
      <c r="AD58" s="43">
        <v>1.9725779999999999</v>
      </c>
      <c r="AE58" s="43">
        <v>1.9886079999999999</v>
      </c>
      <c r="AF58" s="43">
        <v>2.0105140000000001</v>
      </c>
      <c r="AG58" s="39">
        <v>1.3110999999999999E-2</v>
      </c>
    </row>
    <row r="59" spans="1:33" ht="15" customHeight="1" x14ac:dyDescent="0.25">
      <c r="A59" s="42" t="s">
        <v>1071</v>
      </c>
      <c r="B59" s="41" t="s">
        <v>1072</v>
      </c>
      <c r="C59" s="43">
        <v>3.94</v>
      </c>
      <c r="D59" s="43">
        <v>4.0659999999999998</v>
      </c>
      <c r="E59" s="43">
        <v>3.9445130000000002</v>
      </c>
      <c r="F59" s="43">
        <v>3.8950840000000002</v>
      </c>
      <c r="G59" s="43">
        <v>3.8667699999999998</v>
      </c>
      <c r="H59" s="43">
        <v>3.8315830000000002</v>
      </c>
      <c r="I59" s="43">
        <v>3.7872620000000001</v>
      </c>
      <c r="J59" s="43">
        <v>3.7549000000000001</v>
      </c>
      <c r="K59" s="43">
        <v>3.7156340000000001</v>
      </c>
      <c r="L59" s="43">
        <v>3.6791309999999999</v>
      </c>
      <c r="M59" s="43">
        <v>3.6414550000000001</v>
      </c>
      <c r="N59" s="43">
        <v>3.614773</v>
      </c>
      <c r="O59" s="43">
        <v>3.5880869999999998</v>
      </c>
      <c r="P59" s="43">
        <v>3.5516909999999999</v>
      </c>
      <c r="Q59" s="43">
        <v>3.5207280000000001</v>
      </c>
      <c r="R59" s="43">
        <v>3.493722</v>
      </c>
      <c r="S59" s="43">
        <v>3.4712139999999998</v>
      </c>
      <c r="T59" s="43">
        <v>3.4537279999999999</v>
      </c>
      <c r="U59" s="43">
        <v>3.4405100000000002</v>
      </c>
      <c r="V59" s="43">
        <v>3.4295469999999999</v>
      </c>
      <c r="W59" s="43">
        <v>3.41669</v>
      </c>
      <c r="X59" s="43">
        <v>3.4077190000000002</v>
      </c>
      <c r="Y59" s="43">
        <v>3.3999799999999998</v>
      </c>
      <c r="Z59" s="43">
        <v>3.3865750000000001</v>
      </c>
      <c r="AA59" s="43">
        <v>3.3741690000000002</v>
      </c>
      <c r="AB59" s="43">
        <v>3.3711009999999999</v>
      </c>
      <c r="AC59" s="43">
        <v>3.3634379999999999</v>
      </c>
      <c r="AD59" s="43">
        <v>3.3502489999999998</v>
      </c>
      <c r="AE59" s="43">
        <v>3.3398949999999998</v>
      </c>
      <c r="AF59" s="43">
        <v>3.341018</v>
      </c>
      <c r="AG59" s="39">
        <v>-5.6699999999999997E-3</v>
      </c>
    </row>
    <row r="60" spans="1:33" ht="15" customHeight="1" x14ac:dyDescent="0.25">
      <c r="A60" s="42" t="s">
        <v>1073</v>
      </c>
      <c r="B60" s="41" t="s">
        <v>1074</v>
      </c>
      <c r="C60" s="43">
        <v>3.6619999999999999</v>
      </c>
      <c r="D60" s="43">
        <v>3.7949999999999999</v>
      </c>
      <c r="E60" s="43">
        <v>3.543447</v>
      </c>
      <c r="F60" s="43">
        <v>3.501385</v>
      </c>
      <c r="G60" s="43">
        <v>3.4787110000000001</v>
      </c>
      <c r="H60" s="43">
        <v>3.4500069999999998</v>
      </c>
      <c r="I60" s="43">
        <v>3.4120870000000001</v>
      </c>
      <c r="J60" s="43">
        <v>3.384042</v>
      </c>
      <c r="K60" s="43">
        <v>3.3479830000000002</v>
      </c>
      <c r="L60" s="43">
        <v>3.3151109999999999</v>
      </c>
      <c r="M60" s="43">
        <v>3.281488</v>
      </c>
      <c r="N60" s="43">
        <v>3.2567490000000001</v>
      </c>
      <c r="O60" s="43">
        <v>3.2321029999999999</v>
      </c>
      <c r="P60" s="43">
        <v>3.1992630000000002</v>
      </c>
      <c r="Q60" s="43">
        <v>3.1719390000000001</v>
      </c>
      <c r="R60" s="43">
        <v>3.147967</v>
      </c>
      <c r="S60" s="43">
        <v>3.1282160000000001</v>
      </c>
      <c r="T60" s="43">
        <v>3.1130360000000001</v>
      </c>
      <c r="U60" s="43">
        <v>3.101505</v>
      </c>
      <c r="V60" s="43">
        <v>3.0926480000000001</v>
      </c>
      <c r="W60" s="43">
        <v>3.0821100000000001</v>
      </c>
      <c r="X60" s="43">
        <v>3.075501</v>
      </c>
      <c r="Y60" s="43">
        <v>3.0703819999999999</v>
      </c>
      <c r="Z60" s="43">
        <v>3.059787</v>
      </c>
      <c r="AA60" s="43">
        <v>3.0501170000000002</v>
      </c>
      <c r="AB60" s="43">
        <v>3.0492469999999998</v>
      </c>
      <c r="AC60" s="43">
        <v>3.0437129999999999</v>
      </c>
      <c r="AD60" s="43">
        <v>3.0325220000000002</v>
      </c>
      <c r="AE60" s="43">
        <v>3.0238290000000001</v>
      </c>
      <c r="AF60" s="43">
        <v>3.0262259999999999</v>
      </c>
      <c r="AG60" s="39">
        <v>-6.5539999999999999E-3</v>
      </c>
    </row>
    <row r="61" spans="1:33" ht="15" customHeight="1" x14ac:dyDescent="0.25">
      <c r="A61" s="42" t="s">
        <v>1075</v>
      </c>
      <c r="B61" s="41" t="s">
        <v>1076</v>
      </c>
      <c r="C61" s="43">
        <v>0.28000000000000003</v>
      </c>
      <c r="D61" s="43">
        <v>0.23799999999999999</v>
      </c>
      <c r="E61" s="43">
        <v>0.25930900000000001</v>
      </c>
      <c r="F61" s="43">
        <v>0.25840999999999997</v>
      </c>
      <c r="G61" s="43">
        <v>0.259714</v>
      </c>
      <c r="H61" s="43">
        <v>0.25714199999999998</v>
      </c>
      <c r="I61" s="43">
        <v>0.25174400000000002</v>
      </c>
      <c r="J61" s="43">
        <v>0.249776</v>
      </c>
      <c r="K61" s="43">
        <v>0.24940000000000001</v>
      </c>
      <c r="L61" s="43">
        <v>0.24835499999999999</v>
      </c>
      <c r="M61" s="43">
        <v>0.24798700000000001</v>
      </c>
      <c r="N61" s="43">
        <v>0.25156299999999998</v>
      </c>
      <c r="O61" s="43">
        <v>0.25134000000000001</v>
      </c>
      <c r="P61" s="43">
        <v>0.25084000000000001</v>
      </c>
      <c r="Q61" s="43">
        <v>0.25120799999999999</v>
      </c>
      <c r="R61" s="43">
        <v>0.251025</v>
      </c>
      <c r="S61" s="43">
        <v>0.251245</v>
      </c>
      <c r="T61" s="43">
        <v>0.25103599999999998</v>
      </c>
      <c r="U61" s="43">
        <v>0.25180999999999998</v>
      </c>
      <c r="V61" s="43">
        <v>0.24298</v>
      </c>
      <c r="W61" s="43">
        <v>0.241256</v>
      </c>
      <c r="X61" s="43">
        <v>0.24072199999999999</v>
      </c>
      <c r="Y61" s="43">
        <v>0.23652699999999999</v>
      </c>
      <c r="Z61" s="43">
        <v>0.232377</v>
      </c>
      <c r="AA61" s="43">
        <v>0.23052700000000001</v>
      </c>
      <c r="AB61" s="43">
        <v>0.22766600000000001</v>
      </c>
      <c r="AC61" s="43">
        <v>0.227329</v>
      </c>
      <c r="AD61" s="43">
        <v>0.22745699999999999</v>
      </c>
      <c r="AE61" s="43">
        <v>0.226579</v>
      </c>
      <c r="AF61" s="43">
        <v>0.22716</v>
      </c>
      <c r="AG61" s="39">
        <v>-7.1859999999999997E-3</v>
      </c>
    </row>
    <row r="62" spans="1:33" ht="15" customHeight="1" x14ac:dyDescent="0.25">
      <c r="A62" s="42" t="s">
        <v>1077</v>
      </c>
      <c r="B62" s="41" t="s">
        <v>1078</v>
      </c>
      <c r="C62" s="43">
        <v>1.8320000000000001</v>
      </c>
      <c r="D62" s="43">
        <v>1.946</v>
      </c>
      <c r="E62" s="43">
        <v>1.7237290000000001</v>
      </c>
      <c r="F62" s="43">
        <v>1.7046300000000001</v>
      </c>
      <c r="G62" s="43">
        <v>1.7108840000000001</v>
      </c>
      <c r="H62" s="43">
        <v>1.712569</v>
      </c>
      <c r="I62" s="43">
        <v>1.7101150000000001</v>
      </c>
      <c r="J62" s="43">
        <v>1.730677</v>
      </c>
      <c r="K62" s="43">
        <v>1.744265</v>
      </c>
      <c r="L62" s="43">
        <v>1.756167</v>
      </c>
      <c r="M62" s="43">
        <v>1.7598609999999999</v>
      </c>
      <c r="N62" s="43">
        <v>1.774837</v>
      </c>
      <c r="O62" s="43">
        <v>1.780883</v>
      </c>
      <c r="P62" s="43">
        <v>1.7836129999999999</v>
      </c>
      <c r="Q62" s="43">
        <v>1.7837099999999999</v>
      </c>
      <c r="R62" s="43">
        <v>1.7864990000000001</v>
      </c>
      <c r="S62" s="43">
        <v>1.7978019999999999</v>
      </c>
      <c r="T62" s="43">
        <v>1.8003910000000001</v>
      </c>
      <c r="U62" s="43">
        <v>1.8059339999999999</v>
      </c>
      <c r="V62" s="43">
        <v>1.7913509999999999</v>
      </c>
      <c r="W62" s="43">
        <v>1.7953209999999999</v>
      </c>
      <c r="X62" s="43">
        <v>1.7924169999999999</v>
      </c>
      <c r="Y62" s="43">
        <v>1.7856399999999999</v>
      </c>
      <c r="Z62" s="43">
        <v>1.7831410000000001</v>
      </c>
      <c r="AA62" s="43">
        <v>1.774966</v>
      </c>
      <c r="AB62" s="43">
        <v>1.7713639999999999</v>
      </c>
      <c r="AC62" s="43">
        <v>1.7668349999999999</v>
      </c>
      <c r="AD62" s="43">
        <v>1.772969</v>
      </c>
      <c r="AE62" s="43">
        <v>1.7781279999999999</v>
      </c>
      <c r="AF62" s="43">
        <v>1.778009</v>
      </c>
      <c r="AG62" s="39">
        <v>-1.031E-3</v>
      </c>
    </row>
    <row r="63" spans="1:33" ht="15" customHeight="1" x14ac:dyDescent="0.2">
      <c r="B63" s="45" t="s">
        <v>1079</v>
      </c>
    </row>
    <row r="64" spans="1:33" ht="15" customHeight="1" x14ac:dyDescent="0.25">
      <c r="A64" s="42" t="s">
        <v>1080</v>
      </c>
      <c r="B64" s="41" t="s">
        <v>1081</v>
      </c>
      <c r="C64" s="43">
        <v>1.0092179999999999</v>
      </c>
      <c r="D64" s="43">
        <v>1.034456</v>
      </c>
      <c r="E64" s="43">
        <v>1.0085230000000001</v>
      </c>
      <c r="F64" s="43">
        <v>0.99851999999999996</v>
      </c>
      <c r="G64" s="43">
        <v>0.98950400000000005</v>
      </c>
      <c r="H64" s="43">
        <v>0.98061399999999999</v>
      </c>
      <c r="I64" s="43">
        <v>0.97558500000000004</v>
      </c>
      <c r="J64" s="43">
        <v>0.97042499999999998</v>
      </c>
      <c r="K64" s="43">
        <v>0.96527399999999997</v>
      </c>
      <c r="L64" s="43">
        <v>0.96057499999999996</v>
      </c>
      <c r="M64" s="43">
        <v>0.95603499999999997</v>
      </c>
      <c r="N64" s="43">
        <v>0.950797</v>
      </c>
      <c r="O64" s="43">
        <v>0.94633400000000001</v>
      </c>
      <c r="P64" s="43">
        <v>0.94257999999999997</v>
      </c>
      <c r="Q64" s="43">
        <v>0.93927099999999997</v>
      </c>
      <c r="R64" s="43">
        <v>0.93621600000000005</v>
      </c>
      <c r="S64" s="43">
        <v>0.93304600000000004</v>
      </c>
      <c r="T64" s="43">
        <v>0.92986400000000002</v>
      </c>
      <c r="U64" s="43">
        <v>0.92703100000000005</v>
      </c>
      <c r="V64" s="43">
        <v>0.92384500000000003</v>
      </c>
      <c r="W64" s="43">
        <v>0.92079900000000003</v>
      </c>
      <c r="X64" s="43">
        <v>0.91788700000000001</v>
      </c>
      <c r="Y64" s="43">
        <v>0.914663</v>
      </c>
      <c r="Z64" s="43">
        <v>0.91145399999999999</v>
      </c>
      <c r="AA64" s="43">
        <v>0.90886</v>
      </c>
      <c r="AB64" s="43">
        <v>0.90656800000000004</v>
      </c>
      <c r="AC64" s="43">
        <v>0.904783</v>
      </c>
      <c r="AD64" s="43">
        <v>0.90322400000000003</v>
      </c>
      <c r="AE64" s="43">
        <v>0.90157799999999999</v>
      </c>
      <c r="AF64" s="43">
        <v>0.90026799999999996</v>
      </c>
      <c r="AG64" s="39">
        <v>-3.9309999999999996E-3</v>
      </c>
    </row>
    <row r="65" spans="1:33" ht="15" customHeight="1" x14ac:dyDescent="0.25">
      <c r="A65" s="42" t="s">
        <v>1082</v>
      </c>
      <c r="B65" s="41" t="s">
        <v>1083</v>
      </c>
      <c r="C65" s="43">
        <v>5.2445060000000003</v>
      </c>
      <c r="D65" s="43">
        <v>5.372293</v>
      </c>
      <c r="E65" s="43">
        <v>5.5845859999999998</v>
      </c>
      <c r="F65" s="43">
        <v>5.5382930000000004</v>
      </c>
      <c r="G65" s="43">
        <v>5.636838</v>
      </c>
      <c r="H65" s="43">
        <v>5.7385960000000003</v>
      </c>
      <c r="I65" s="43">
        <v>5.8006489999999999</v>
      </c>
      <c r="J65" s="43">
        <v>5.8600440000000003</v>
      </c>
      <c r="K65" s="43">
        <v>5.8713819999999997</v>
      </c>
      <c r="L65" s="43">
        <v>5.8968299999999996</v>
      </c>
      <c r="M65" s="43">
        <v>5.954898</v>
      </c>
      <c r="N65" s="43">
        <v>6.0745570000000004</v>
      </c>
      <c r="O65" s="43">
        <v>6.1272260000000003</v>
      </c>
      <c r="P65" s="43">
        <v>6.1482380000000001</v>
      </c>
      <c r="Q65" s="43">
        <v>6.1678689999999996</v>
      </c>
      <c r="R65" s="43">
        <v>6.1856879999999999</v>
      </c>
      <c r="S65" s="43">
        <v>6.2227880000000004</v>
      </c>
      <c r="T65" s="43">
        <v>6.2515229999999997</v>
      </c>
      <c r="U65" s="43">
        <v>6.2916999999999996</v>
      </c>
      <c r="V65" s="43">
        <v>6.2970819999999996</v>
      </c>
      <c r="W65" s="43">
        <v>6.3203480000000001</v>
      </c>
      <c r="X65" s="43">
        <v>6.3519709999999998</v>
      </c>
      <c r="Y65" s="43">
        <v>6.3886380000000003</v>
      </c>
      <c r="Z65" s="43">
        <v>6.3892319999999998</v>
      </c>
      <c r="AA65" s="43">
        <v>6.4035489999999999</v>
      </c>
      <c r="AB65" s="43">
        <v>6.4492019999999997</v>
      </c>
      <c r="AC65" s="43">
        <v>6.4668020000000004</v>
      </c>
      <c r="AD65" s="43">
        <v>6.4567889999999997</v>
      </c>
      <c r="AE65" s="43">
        <v>6.4688650000000001</v>
      </c>
      <c r="AF65" s="43">
        <v>6.5259229999999997</v>
      </c>
      <c r="AG65" s="39">
        <v>7.5659999999999998E-3</v>
      </c>
    </row>
    <row r="66" spans="1:33" ht="14.65" customHeight="1" x14ac:dyDescent="0.25">
      <c r="A66" s="42" t="s">
        <v>1084</v>
      </c>
      <c r="B66" s="41" t="s">
        <v>1085</v>
      </c>
      <c r="C66" s="43">
        <v>13.078706</v>
      </c>
      <c r="D66" s="43">
        <v>13.509422000000001</v>
      </c>
      <c r="E66" s="43">
        <v>13.728120000000001</v>
      </c>
      <c r="F66" s="43">
        <v>13.677314000000001</v>
      </c>
      <c r="G66" s="43">
        <v>13.625035</v>
      </c>
      <c r="H66" s="43">
        <v>13.541107999999999</v>
      </c>
      <c r="I66" s="43">
        <v>13.426821</v>
      </c>
      <c r="J66" s="43">
        <v>13.331367</v>
      </c>
      <c r="K66" s="43">
        <v>13.233304</v>
      </c>
      <c r="L66" s="43">
        <v>13.157462000000001</v>
      </c>
      <c r="M66" s="43">
        <v>13.089072</v>
      </c>
      <c r="N66" s="43">
        <v>13.026498999999999</v>
      </c>
      <c r="O66" s="43">
        <v>12.967883</v>
      </c>
      <c r="P66" s="43">
        <v>12.891698999999999</v>
      </c>
      <c r="Q66" s="43">
        <v>12.825808</v>
      </c>
      <c r="R66" s="43">
        <v>12.769456</v>
      </c>
      <c r="S66" s="43">
        <v>12.729765</v>
      </c>
      <c r="T66" s="43">
        <v>12.700137</v>
      </c>
      <c r="U66" s="43">
        <v>12.691615000000001</v>
      </c>
      <c r="V66" s="43">
        <v>12.686998000000001</v>
      </c>
      <c r="W66" s="43">
        <v>12.687474999999999</v>
      </c>
      <c r="X66" s="43">
        <v>12.701134</v>
      </c>
      <c r="Y66" s="43">
        <v>12.716844999999999</v>
      </c>
      <c r="Z66" s="43">
        <v>12.733018</v>
      </c>
      <c r="AA66" s="43">
        <v>12.764606000000001</v>
      </c>
      <c r="AB66" s="43">
        <v>12.817345</v>
      </c>
      <c r="AC66" s="43">
        <v>12.872959</v>
      </c>
      <c r="AD66" s="43">
        <v>12.921991</v>
      </c>
      <c r="AE66" s="43">
        <v>12.978816</v>
      </c>
      <c r="AF66" s="43">
        <v>13.06673</v>
      </c>
      <c r="AG66" s="39">
        <v>-3.1999999999999999E-5</v>
      </c>
    </row>
    <row r="67" spans="1:33" ht="15" customHeight="1" x14ac:dyDescent="0.25">
      <c r="A67" s="42" t="s">
        <v>1086</v>
      </c>
      <c r="B67" s="41" t="s">
        <v>1087</v>
      </c>
      <c r="C67" s="43">
        <v>5.3997999999999997E-2</v>
      </c>
      <c r="D67" s="43">
        <v>5.1977000000000002E-2</v>
      </c>
      <c r="E67" s="43">
        <v>5.1331000000000002E-2</v>
      </c>
      <c r="F67" s="43">
        <v>4.8028000000000001E-2</v>
      </c>
      <c r="G67" s="43">
        <v>4.6609999999999999E-2</v>
      </c>
      <c r="H67" s="43">
        <v>4.4254000000000002E-2</v>
      </c>
      <c r="I67" s="43">
        <v>4.1391999999999998E-2</v>
      </c>
      <c r="J67" s="43">
        <v>3.9944E-2</v>
      </c>
      <c r="K67" s="43">
        <v>3.9351999999999998E-2</v>
      </c>
      <c r="L67" s="43">
        <v>3.8159999999999999E-2</v>
      </c>
      <c r="M67" s="43">
        <v>3.6641E-2</v>
      </c>
      <c r="N67" s="43">
        <v>3.6268000000000002E-2</v>
      </c>
      <c r="O67" s="43">
        <v>3.6042999999999999E-2</v>
      </c>
      <c r="P67" s="43">
        <v>3.5288E-2</v>
      </c>
      <c r="Q67" s="43">
        <v>3.4407E-2</v>
      </c>
      <c r="R67" s="43">
        <v>3.3765000000000003E-2</v>
      </c>
      <c r="S67" s="43">
        <v>3.2897999999999997E-2</v>
      </c>
      <c r="T67" s="43">
        <v>3.2106999999999997E-2</v>
      </c>
      <c r="U67" s="43">
        <v>3.1773999999999997E-2</v>
      </c>
      <c r="V67" s="43">
        <v>3.1247E-2</v>
      </c>
      <c r="W67" s="43">
        <v>3.0190999999999999E-2</v>
      </c>
      <c r="X67" s="43">
        <v>2.9019E-2</v>
      </c>
      <c r="Y67" s="43">
        <v>2.7734999999999999E-2</v>
      </c>
      <c r="Z67" s="43">
        <v>2.6483E-2</v>
      </c>
      <c r="AA67" s="43">
        <v>2.5155E-2</v>
      </c>
      <c r="AB67" s="43">
        <v>2.5035000000000002E-2</v>
      </c>
      <c r="AC67" s="43">
        <v>2.4903999999999999E-2</v>
      </c>
      <c r="AD67" s="43">
        <v>2.4868999999999999E-2</v>
      </c>
      <c r="AE67" s="43">
        <v>2.4892000000000001E-2</v>
      </c>
      <c r="AF67" s="43">
        <v>2.4986000000000001E-2</v>
      </c>
      <c r="AG67" s="39">
        <v>-2.6223E-2</v>
      </c>
    </row>
    <row r="68" spans="1:33" ht="15" customHeight="1" x14ac:dyDescent="0.25">
      <c r="A68" s="42" t="s">
        <v>1088</v>
      </c>
      <c r="B68" s="41" t="s">
        <v>1089</v>
      </c>
      <c r="C68" s="43">
        <v>0.101697</v>
      </c>
      <c r="D68" s="43">
        <v>6.6600000000000003E-4</v>
      </c>
      <c r="E68" s="43">
        <v>-0.121739</v>
      </c>
      <c r="F68" s="43">
        <v>-0.121543</v>
      </c>
      <c r="G68" s="43">
        <v>-0.121535</v>
      </c>
      <c r="H68" s="43">
        <v>-0.121193</v>
      </c>
      <c r="I68" s="43">
        <v>-0.120465</v>
      </c>
      <c r="J68" s="43">
        <v>-0.120004</v>
      </c>
      <c r="K68" s="43">
        <v>-0.119371</v>
      </c>
      <c r="L68" s="43">
        <v>-0.118923</v>
      </c>
      <c r="M68" s="43">
        <v>-0.118372</v>
      </c>
      <c r="N68" s="43">
        <v>-0.117961</v>
      </c>
      <c r="O68" s="43">
        <v>-0.117469</v>
      </c>
      <c r="P68" s="43">
        <v>-0.116683</v>
      </c>
      <c r="Q68" s="43">
        <v>-0.11614099999999999</v>
      </c>
      <c r="R68" s="43">
        <v>-0.115692</v>
      </c>
      <c r="S68" s="43">
        <v>-0.11540499999999999</v>
      </c>
      <c r="T68" s="43">
        <v>-0.115199</v>
      </c>
      <c r="U68" s="43">
        <v>-0.115187</v>
      </c>
      <c r="V68" s="43">
        <v>-0.115304</v>
      </c>
      <c r="W68" s="43">
        <v>-0.115329</v>
      </c>
      <c r="X68" s="43">
        <v>-0.11550100000000001</v>
      </c>
      <c r="Y68" s="43">
        <v>-0.115733</v>
      </c>
      <c r="Z68" s="43">
        <v>-0.11584800000000001</v>
      </c>
      <c r="AA68" s="43">
        <v>-0.11609999999999999</v>
      </c>
      <c r="AB68" s="43">
        <v>-0.116566</v>
      </c>
      <c r="AC68" s="43">
        <v>-0.116941</v>
      </c>
      <c r="AD68" s="43">
        <v>-0.11717900000000001</v>
      </c>
      <c r="AE68" s="43">
        <v>-0.117504</v>
      </c>
      <c r="AF68" s="43">
        <v>-0.118186</v>
      </c>
      <c r="AG68" s="39" t="s">
        <v>488</v>
      </c>
    </row>
    <row r="69" spans="1:33" ht="15" customHeight="1" x14ac:dyDescent="0.2">
      <c r="A69" s="42" t="s">
        <v>1090</v>
      </c>
      <c r="B69" s="45" t="s">
        <v>1091</v>
      </c>
      <c r="C69" s="47">
        <v>19.339003000000002</v>
      </c>
      <c r="D69" s="47">
        <v>20.149000000000001</v>
      </c>
      <c r="E69" s="47">
        <v>20.247879000000001</v>
      </c>
      <c r="F69" s="47">
        <v>20.137888</v>
      </c>
      <c r="G69" s="47">
        <v>20.175042999999999</v>
      </c>
      <c r="H69" s="47">
        <v>20.181640999999999</v>
      </c>
      <c r="I69" s="47">
        <v>20.120982999999999</v>
      </c>
      <c r="J69" s="47">
        <v>20.08024</v>
      </c>
      <c r="K69" s="47">
        <v>19.988593999999999</v>
      </c>
      <c r="L69" s="47">
        <v>19.932815999999999</v>
      </c>
      <c r="M69" s="47">
        <v>19.916865999999999</v>
      </c>
      <c r="N69" s="47">
        <v>19.968938999999999</v>
      </c>
      <c r="O69" s="47">
        <v>19.958722999999999</v>
      </c>
      <c r="P69" s="47">
        <v>19.899687</v>
      </c>
      <c r="Q69" s="47">
        <v>19.849747000000001</v>
      </c>
      <c r="R69" s="47">
        <v>19.807860999999999</v>
      </c>
      <c r="S69" s="47">
        <v>19.801494999999999</v>
      </c>
      <c r="T69" s="47">
        <v>19.796786999999998</v>
      </c>
      <c r="U69" s="47">
        <v>19.825405</v>
      </c>
      <c r="V69" s="47">
        <v>19.822368999999998</v>
      </c>
      <c r="W69" s="47">
        <v>19.841916999999999</v>
      </c>
      <c r="X69" s="47">
        <v>19.882828</v>
      </c>
      <c r="Y69" s="47">
        <v>19.93038</v>
      </c>
      <c r="Z69" s="47">
        <v>19.942442</v>
      </c>
      <c r="AA69" s="47">
        <v>19.984179000000001</v>
      </c>
      <c r="AB69" s="47">
        <v>20.079872000000002</v>
      </c>
      <c r="AC69" s="47">
        <v>20.150594999999999</v>
      </c>
      <c r="AD69" s="47">
        <v>20.187730999999999</v>
      </c>
      <c r="AE69" s="47">
        <v>20.254463000000001</v>
      </c>
      <c r="AF69" s="47">
        <v>20.397762</v>
      </c>
      <c r="AG69" s="46">
        <v>1.8400000000000001E-3</v>
      </c>
    </row>
    <row r="70" spans="1:33" ht="15" customHeight="1" x14ac:dyDescent="0.2"/>
    <row r="71" spans="1:33" ht="15" customHeight="1" x14ac:dyDescent="0.25">
      <c r="A71" s="42" t="s">
        <v>1092</v>
      </c>
      <c r="B71" s="41" t="s">
        <v>1093</v>
      </c>
      <c r="C71" s="43">
        <v>0.160473</v>
      </c>
      <c r="D71" s="43">
        <v>4.6191999999999997E-2</v>
      </c>
      <c r="E71" s="43">
        <v>-2.1328E-2</v>
      </c>
      <c r="F71" s="43">
        <v>-1.9394000000000002E-2</v>
      </c>
      <c r="G71" s="43">
        <v>-1.9972E-2</v>
      </c>
      <c r="H71" s="43">
        <v>-2.0819000000000001E-2</v>
      </c>
      <c r="I71" s="43">
        <v>-1.8454000000000002E-2</v>
      </c>
      <c r="J71" s="43">
        <v>-1.9904999999999999E-2</v>
      </c>
      <c r="K71" s="43">
        <v>-2.0315E-2</v>
      </c>
      <c r="L71" s="43">
        <v>-2.0864000000000001E-2</v>
      </c>
      <c r="M71" s="43">
        <v>-2.1269E-2</v>
      </c>
      <c r="N71" s="43">
        <v>-2.0091999999999999E-2</v>
      </c>
      <c r="O71" s="43">
        <v>-2.0480999999999999E-2</v>
      </c>
      <c r="P71" s="43">
        <v>-2.1996000000000002E-2</v>
      </c>
      <c r="Q71" s="43">
        <v>-2.2202E-2</v>
      </c>
      <c r="R71" s="43">
        <v>-2.4046000000000001E-2</v>
      </c>
      <c r="S71" s="43">
        <v>-2.4938999999999999E-2</v>
      </c>
      <c r="T71" s="43">
        <v>-2.5356E-2</v>
      </c>
      <c r="U71" s="43">
        <v>-2.6203000000000001E-2</v>
      </c>
      <c r="V71" s="43">
        <v>-2.4924999999999999E-2</v>
      </c>
      <c r="W71" s="43">
        <v>-2.5010999999999999E-2</v>
      </c>
      <c r="X71" s="43">
        <v>-2.4764999999999999E-2</v>
      </c>
      <c r="Y71" s="43">
        <v>-2.4112999999999999E-2</v>
      </c>
      <c r="Z71" s="43">
        <v>-2.5063999999999999E-2</v>
      </c>
      <c r="AA71" s="43">
        <v>-2.4899999999999999E-2</v>
      </c>
      <c r="AB71" s="43">
        <v>-2.4372000000000001E-2</v>
      </c>
      <c r="AC71" s="43">
        <v>-2.4469000000000001E-2</v>
      </c>
      <c r="AD71" s="43">
        <v>-2.5850000000000001E-2</v>
      </c>
      <c r="AE71" s="43">
        <v>-2.6714000000000002E-2</v>
      </c>
      <c r="AF71" s="43">
        <v>-2.6967999999999999E-2</v>
      </c>
      <c r="AG71" s="39" t="s">
        <v>488</v>
      </c>
    </row>
    <row r="72" spans="1:33" ht="15" customHeight="1" x14ac:dyDescent="0.2"/>
    <row r="73" spans="1:33" ht="14.65" customHeight="1" x14ac:dyDescent="0.25">
      <c r="A73" s="42" t="s">
        <v>1094</v>
      </c>
      <c r="B73" s="41" t="s">
        <v>1095</v>
      </c>
      <c r="C73" s="40">
        <v>18.124001</v>
      </c>
      <c r="D73" s="40">
        <v>18.129999000000002</v>
      </c>
      <c r="E73" s="40">
        <v>18.592608999999999</v>
      </c>
      <c r="F73" s="40">
        <v>18.665119000000001</v>
      </c>
      <c r="G73" s="40">
        <v>18.737631</v>
      </c>
      <c r="H73" s="40">
        <v>18.810141000000002</v>
      </c>
      <c r="I73" s="40">
        <v>18.810141000000002</v>
      </c>
      <c r="J73" s="40">
        <v>18.810141000000002</v>
      </c>
      <c r="K73" s="40">
        <v>18.810141000000002</v>
      </c>
      <c r="L73" s="40">
        <v>18.810141000000002</v>
      </c>
      <c r="M73" s="40">
        <v>18.810141000000002</v>
      </c>
      <c r="N73" s="40">
        <v>18.810141000000002</v>
      </c>
      <c r="O73" s="40">
        <v>18.810141000000002</v>
      </c>
      <c r="P73" s="40">
        <v>18.810141000000002</v>
      </c>
      <c r="Q73" s="40">
        <v>18.810141000000002</v>
      </c>
      <c r="R73" s="40">
        <v>18.810141000000002</v>
      </c>
      <c r="S73" s="40">
        <v>18.810141000000002</v>
      </c>
      <c r="T73" s="40">
        <v>18.810141000000002</v>
      </c>
      <c r="U73" s="40">
        <v>18.810141000000002</v>
      </c>
      <c r="V73" s="40">
        <v>18.810141000000002</v>
      </c>
      <c r="W73" s="40">
        <v>18.810141000000002</v>
      </c>
      <c r="X73" s="40">
        <v>18.810141000000002</v>
      </c>
      <c r="Y73" s="40">
        <v>18.810141000000002</v>
      </c>
      <c r="Z73" s="40">
        <v>18.810141000000002</v>
      </c>
      <c r="AA73" s="40">
        <v>18.810141000000002</v>
      </c>
      <c r="AB73" s="40">
        <v>18.810141000000002</v>
      </c>
      <c r="AC73" s="40">
        <v>18.810141000000002</v>
      </c>
      <c r="AD73" s="40">
        <v>18.810141000000002</v>
      </c>
      <c r="AE73" s="40">
        <v>18.810141000000002</v>
      </c>
      <c r="AF73" s="40">
        <v>18.810141000000002</v>
      </c>
      <c r="AG73" s="39">
        <v>1.2819999999999999E-3</v>
      </c>
    </row>
    <row r="74" spans="1:33" ht="15" customHeight="1" x14ac:dyDescent="0.25">
      <c r="A74" s="42" t="s">
        <v>1096</v>
      </c>
      <c r="B74" s="41" t="s">
        <v>1097</v>
      </c>
      <c r="C74" s="40">
        <v>86.334000000000003</v>
      </c>
      <c r="D74" s="40">
        <v>90.825996000000004</v>
      </c>
      <c r="E74" s="40">
        <v>90.019287000000006</v>
      </c>
      <c r="F74" s="40">
        <v>90.074989000000002</v>
      </c>
      <c r="G74" s="40">
        <v>89.971771000000004</v>
      </c>
      <c r="H74" s="40">
        <v>89.574477999999999</v>
      </c>
      <c r="I74" s="40">
        <v>89.293960999999996</v>
      </c>
      <c r="J74" s="40">
        <v>88.932365000000004</v>
      </c>
      <c r="K74" s="40">
        <v>88.840217999999993</v>
      </c>
      <c r="L74" s="40">
        <v>88.605262999999994</v>
      </c>
      <c r="M74" s="40">
        <v>87.943129999999996</v>
      </c>
      <c r="N74" s="40">
        <v>88.186843999999994</v>
      </c>
      <c r="O74" s="40">
        <v>87.748221999999998</v>
      </c>
      <c r="P74" s="40">
        <v>87.292670999999999</v>
      </c>
      <c r="Q74" s="40">
        <v>87.011268999999999</v>
      </c>
      <c r="R74" s="40">
        <v>86.444618000000006</v>
      </c>
      <c r="S74" s="40">
        <v>86.190132000000006</v>
      </c>
      <c r="T74" s="40">
        <v>86.269347999999994</v>
      </c>
      <c r="U74" s="40">
        <v>85.789421000000004</v>
      </c>
      <c r="V74" s="40">
        <v>85.58287</v>
      </c>
      <c r="W74" s="40">
        <v>85.652610999999993</v>
      </c>
      <c r="X74" s="40">
        <v>85.387557999999999</v>
      </c>
      <c r="Y74" s="40">
        <v>85.562599000000006</v>
      </c>
      <c r="Z74" s="40">
        <v>85.562111000000002</v>
      </c>
      <c r="AA74" s="40">
        <v>85.087646000000007</v>
      </c>
      <c r="AB74" s="40">
        <v>85.064621000000002</v>
      </c>
      <c r="AC74" s="40">
        <v>84.544196999999997</v>
      </c>
      <c r="AD74" s="40">
        <v>84.741539000000003</v>
      </c>
      <c r="AE74" s="40">
        <v>84.748458999999997</v>
      </c>
      <c r="AF74" s="40">
        <v>84.624733000000006</v>
      </c>
      <c r="AG74" s="39">
        <v>-6.8900000000000005E-4</v>
      </c>
    </row>
    <row r="75" spans="1:33" ht="15" customHeight="1" x14ac:dyDescent="0.25">
      <c r="A75" s="42" t="s">
        <v>1098</v>
      </c>
      <c r="B75" s="41" t="s">
        <v>1099</v>
      </c>
      <c r="C75" s="43">
        <v>8.4773370000000003</v>
      </c>
      <c r="D75" s="43">
        <v>9.5235059999999994</v>
      </c>
      <c r="E75" s="43">
        <v>9.3361800000000006</v>
      </c>
      <c r="F75" s="43">
        <v>9.0698039999999995</v>
      </c>
      <c r="G75" s="43">
        <v>8.7802310000000006</v>
      </c>
      <c r="H75" s="43">
        <v>8.485474</v>
      </c>
      <c r="I75" s="43">
        <v>8.4599299999999999</v>
      </c>
      <c r="J75" s="43">
        <v>8.2768639999999998</v>
      </c>
      <c r="K75" s="43">
        <v>8.18154</v>
      </c>
      <c r="L75" s="43">
        <v>8.1434909999999991</v>
      </c>
      <c r="M75" s="43">
        <v>8.1972059999999995</v>
      </c>
      <c r="N75" s="43">
        <v>8.3580389999999998</v>
      </c>
      <c r="O75" s="43">
        <v>8.2622070000000001</v>
      </c>
      <c r="P75" s="43">
        <v>8.3914559999999998</v>
      </c>
      <c r="Q75" s="43">
        <v>8.4164169999999991</v>
      </c>
      <c r="R75" s="43">
        <v>8.5346109999999999</v>
      </c>
      <c r="S75" s="43">
        <v>8.5902399999999997</v>
      </c>
      <c r="T75" s="43">
        <v>8.6919590000000007</v>
      </c>
      <c r="U75" s="43">
        <v>8.7218040000000006</v>
      </c>
      <c r="V75" s="43">
        <v>8.5667310000000008</v>
      </c>
      <c r="W75" s="43">
        <v>8.5715479999999999</v>
      </c>
      <c r="X75" s="43">
        <v>8.4925890000000006</v>
      </c>
      <c r="Y75" s="43">
        <v>8.3464310000000008</v>
      </c>
      <c r="Z75" s="43">
        <v>8.497204</v>
      </c>
      <c r="AA75" s="43">
        <v>8.1965970000000006</v>
      </c>
      <c r="AB75" s="43">
        <v>8.0379199999999997</v>
      </c>
      <c r="AC75" s="43">
        <v>7.9736229999999999</v>
      </c>
      <c r="AD75" s="43">
        <v>8.1055499999999991</v>
      </c>
      <c r="AE75" s="43">
        <v>8.2498249999999995</v>
      </c>
      <c r="AF75" s="43">
        <v>7.9083180000000004</v>
      </c>
      <c r="AG75" s="39">
        <v>-2.3930000000000002E-3</v>
      </c>
    </row>
    <row r="76" spans="1:33" ht="15" customHeight="1" x14ac:dyDescent="0.25">
      <c r="A76" s="42" t="s">
        <v>1100</v>
      </c>
      <c r="B76" s="41" t="s">
        <v>1101</v>
      </c>
      <c r="C76" s="43">
        <v>8.6984840000000005</v>
      </c>
      <c r="D76" s="43">
        <v>9.6034649999999999</v>
      </c>
      <c r="E76" s="43">
        <v>10.023854</v>
      </c>
      <c r="F76" s="43">
        <v>10.276794000000001</v>
      </c>
      <c r="G76" s="43">
        <v>10.463001999999999</v>
      </c>
      <c r="H76" s="43">
        <v>10.368382</v>
      </c>
      <c r="I76" s="43">
        <v>10.276368</v>
      </c>
      <c r="J76" s="43">
        <v>10.260115000000001</v>
      </c>
      <c r="K76" s="43">
        <v>10.276009</v>
      </c>
      <c r="L76" s="43">
        <v>10.328207000000001</v>
      </c>
      <c r="M76" s="43">
        <v>10.282000999999999</v>
      </c>
      <c r="N76" s="43">
        <v>10.26295</v>
      </c>
      <c r="O76" s="43">
        <v>10.156803999999999</v>
      </c>
      <c r="P76" s="43">
        <v>10.224817</v>
      </c>
      <c r="Q76" s="43">
        <v>10.246131999999999</v>
      </c>
      <c r="R76" s="43">
        <v>10.310323</v>
      </c>
      <c r="S76" s="43">
        <v>10.233305</v>
      </c>
      <c r="T76" s="43">
        <v>10.268490999999999</v>
      </c>
      <c r="U76" s="43">
        <v>10.328084</v>
      </c>
      <c r="V76" s="43">
        <v>10.269271</v>
      </c>
      <c r="W76" s="43">
        <v>10.205059</v>
      </c>
      <c r="X76" s="43">
        <v>10.133221000000001</v>
      </c>
      <c r="Y76" s="43">
        <v>10.024317</v>
      </c>
      <c r="Z76" s="43">
        <v>10.113891000000001</v>
      </c>
      <c r="AA76" s="43">
        <v>10.001585</v>
      </c>
      <c r="AB76" s="43">
        <v>9.8577569999999994</v>
      </c>
      <c r="AC76" s="43">
        <v>9.7667059999999992</v>
      </c>
      <c r="AD76" s="43">
        <v>9.8531370000000003</v>
      </c>
      <c r="AE76" s="43">
        <v>9.8255060000000007</v>
      </c>
      <c r="AF76" s="43">
        <v>9.7067370000000004</v>
      </c>
      <c r="AG76" s="39">
        <v>3.7889999999999998E-3</v>
      </c>
    </row>
    <row r="77" spans="1:33" ht="15" customHeight="1" x14ac:dyDescent="0.25">
      <c r="A77" s="42" t="s">
        <v>1102</v>
      </c>
      <c r="B77" s="41" t="s">
        <v>1103</v>
      </c>
      <c r="C77" s="43">
        <v>-0.22114800000000001</v>
      </c>
      <c r="D77" s="43">
        <v>-7.9959000000000002E-2</v>
      </c>
      <c r="E77" s="43">
        <v>-0.68767500000000004</v>
      </c>
      <c r="F77" s="43">
        <v>-1.20699</v>
      </c>
      <c r="G77" s="43">
        <v>-1.6827719999999999</v>
      </c>
      <c r="H77" s="43">
        <v>-1.882908</v>
      </c>
      <c r="I77" s="43">
        <v>-1.816438</v>
      </c>
      <c r="J77" s="43">
        <v>-1.9832510000000001</v>
      </c>
      <c r="K77" s="43">
        <v>-2.0944690000000001</v>
      </c>
      <c r="L77" s="43">
        <v>-2.1847159999999999</v>
      </c>
      <c r="M77" s="43">
        <v>-2.0847950000000002</v>
      </c>
      <c r="N77" s="43">
        <v>-1.904911</v>
      </c>
      <c r="O77" s="43">
        <v>-1.8945970000000001</v>
      </c>
      <c r="P77" s="43">
        <v>-1.8333619999999999</v>
      </c>
      <c r="Q77" s="43">
        <v>-1.829715</v>
      </c>
      <c r="R77" s="43">
        <v>-1.775712</v>
      </c>
      <c r="S77" s="43">
        <v>-1.643065</v>
      </c>
      <c r="T77" s="43">
        <v>-1.5765309999999999</v>
      </c>
      <c r="U77" s="43">
        <v>-1.6062799999999999</v>
      </c>
      <c r="V77" s="43">
        <v>-1.702539</v>
      </c>
      <c r="W77" s="43">
        <v>-1.6335120000000001</v>
      </c>
      <c r="X77" s="43">
        <v>-1.6406320000000001</v>
      </c>
      <c r="Y77" s="43">
        <v>-1.677886</v>
      </c>
      <c r="Z77" s="43">
        <v>-1.616687</v>
      </c>
      <c r="AA77" s="43">
        <v>-1.804988</v>
      </c>
      <c r="AB77" s="43">
        <v>-1.8198369999999999</v>
      </c>
      <c r="AC77" s="43">
        <v>-1.7930820000000001</v>
      </c>
      <c r="AD77" s="43">
        <v>-1.747587</v>
      </c>
      <c r="AE77" s="43">
        <v>-1.5756810000000001</v>
      </c>
      <c r="AF77" s="43">
        <v>-1.798419</v>
      </c>
      <c r="AG77" s="39">
        <v>7.4945999999999999E-2</v>
      </c>
    </row>
    <row r="78" spans="1:33" ht="15" customHeight="1" x14ac:dyDescent="0.25">
      <c r="A78" s="42" t="s">
        <v>1104</v>
      </c>
      <c r="B78" s="41" t="s">
        <v>1105</v>
      </c>
      <c r="C78" s="40">
        <v>-1.134123</v>
      </c>
      <c r="D78" s="40">
        <v>-0.39592899999999998</v>
      </c>
      <c r="E78" s="40">
        <v>-3.3998650000000001</v>
      </c>
      <c r="F78" s="40">
        <v>-5.9994040000000002</v>
      </c>
      <c r="G78" s="40">
        <v>-8.3491239999999998</v>
      </c>
      <c r="H78" s="40">
        <v>-9.3394390000000005</v>
      </c>
      <c r="I78" s="40">
        <v>-9.0358619999999998</v>
      </c>
      <c r="J78" s="40">
        <v>-9.886431</v>
      </c>
      <c r="K78" s="40">
        <v>-10.48898</v>
      </c>
      <c r="L78" s="40">
        <v>-10.971878999999999</v>
      </c>
      <c r="M78" s="40">
        <v>-10.478678</v>
      </c>
      <c r="N78" s="40">
        <v>-9.5489759999999997</v>
      </c>
      <c r="O78" s="40">
        <v>-9.5023269999999993</v>
      </c>
      <c r="P78" s="40">
        <v>-9.2232070000000004</v>
      </c>
      <c r="Q78" s="40">
        <v>-9.2281460000000006</v>
      </c>
      <c r="R78" s="40">
        <v>-8.9755769999999995</v>
      </c>
      <c r="S78" s="40">
        <v>-8.3081460000000007</v>
      </c>
      <c r="T78" s="40">
        <v>-7.9737840000000002</v>
      </c>
      <c r="U78" s="40">
        <v>-8.1128560000000007</v>
      </c>
      <c r="V78" s="40">
        <v>-8.5997920000000008</v>
      </c>
      <c r="W78" s="40">
        <v>-8.2430160000000008</v>
      </c>
      <c r="X78" s="40">
        <v>-8.2617910000000006</v>
      </c>
      <c r="Y78" s="40">
        <v>-8.4289280000000009</v>
      </c>
      <c r="Z78" s="40">
        <v>-8.1169609999999999</v>
      </c>
      <c r="AA78" s="40">
        <v>-9.043355</v>
      </c>
      <c r="AB78" s="40">
        <v>-9.0740079999999992</v>
      </c>
      <c r="AC78" s="40">
        <v>-8.9092269999999996</v>
      </c>
      <c r="AD78" s="40">
        <v>-8.6677800000000005</v>
      </c>
      <c r="AE78" s="40">
        <v>-7.7896989999999997</v>
      </c>
      <c r="AF78" s="40">
        <v>-8.8284149999999997</v>
      </c>
      <c r="AG78" s="39">
        <v>7.3326000000000002E-2</v>
      </c>
    </row>
    <row r="79" spans="1:33" ht="14.65" customHeight="1" x14ac:dyDescent="0.2">
      <c r="B79" s="45" t="s">
        <v>1106</v>
      </c>
    </row>
    <row r="80" spans="1:33" ht="15" customHeight="1" x14ac:dyDescent="0.25">
      <c r="A80" s="42" t="s">
        <v>1107</v>
      </c>
      <c r="B80" s="41" t="s">
        <v>1108</v>
      </c>
      <c r="C80" s="44">
        <v>155.21623199999999</v>
      </c>
      <c r="D80" s="44">
        <v>185.37290999999999</v>
      </c>
      <c r="E80" s="44">
        <v>173.634613</v>
      </c>
      <c r="F80" s="44">
        <v>181.41413900000001</v>
      </c>
      <c r="G80" s="44">
        <v>177.80328399999999</v>
      </c>
      <c r="H80" s="44">
        <v>173.57981899999999</v>
      </c>
      <c r="I80" s="44">
        <v>178.325165</v>
      </c>
      <c r="J80" s="44">
        <v>176.64184599999999</v>
      </c>
      <c r="K80" s="44">
        <v>177.43937700000001</v>
      </c>
      <c r="L80" s="44">
        <v>178.468658</v>
      </c>
      <c r="M80" s="44">
        <v>183.11549400000001</v>
      </c>
      <c r="N80" s="44">
        <v>189.59899899999999</v>
      </c>
      <c r="O80" s="44">
        <v>189.32493600000001</v>
      </c>
      <c r="P80" s="44">
        <v>194.05010999999999</v>
      </c>
      <c r="Q80" s="44">
        <v>195.36750799999999</v>
      </c>
      <c r="R80" s="44">
        <v>200.263351</v>
      </c>
      <c r="S80" s="44">
        <v>202.39773600000001</v>
      </c>
      <c r="T80" s="44">
        <v>207.81213399999999</v>
      </c>
      <c r="U80" s="44">
        <v>208.359756</v>
      </c>
      <c r="V80" s="44">
        <v>212.519836</v>
      </c>
      <c r="W80" s="44">
        <v>215.29132100000001</v>
      </c>
      <c r="X80" s="44">
        <v>214.89411899999999</v>
      </c>
      <c r="Y80" s="44">
        <v>215.34541300000001</v>
      </c>
      <c r="Z80" s="44">
        <v>223.54487599999999</v>
      </c>
      <c r="AA80" s="44">
        <v>215.35455300000001</v>
      </c>
      <c r="AB80" s="44">
        <v>214.215836</v>
      </c>
      <c r="AC80" s="44">
        <v>212.40770000000001</v>
      </c>
      <c r="AD80" s="44">
        <v>214.62737999999999</v>
      </c>
      <c r="AE80" s="44">
        <v>219.796738</v>
      </c>
      <c r="AF80" s="44">
        <v>208.10914600000001</v>
      </c>
      <c r="AG80" s="39">
        <v>1.0163E-2</v>
      </c>
    </row>
    <row r="82" spans="2:2" ht="15" customHeight="1" thickBot="1" x14ac:dyDescent="0.25"/>
    <row r="83" spans="2:2" ht="15" customHeight="1" x14ac:dyDescent="0.2">
      <c r="B83" s="38" t="s">
        <v>1109</v>
      </c>
    </row>
    <row r="84" spans="2:2" ht="15" customHeight="1" x14ac:dyDescent="0.2">
      <c r="B84" s="37" t="s">
        <v>1110</v>
      </c>
    </row>
    <row r="85" spans="2:2" ht="15" customHeight="1" x14ac:dyDescent="0.2">
      <c r="B85" s="37" t="s">
        <v>1111</v>
      </c>
    </row>
    <row r="86" spans="2:2" ht="15" customHeight="1" x14ac:dyDescent="0.2">
      <c r="B86" s="37" t="s">
        <v>1112</v>
      </c>
    </row>
    <row r="87" spans="2:2" ht="15" customHeight="1" x14ac:dyDescent="0.2">
      <c r="B87" s="37" t="s">
        <v>1113</v>
      </c>
    </row>
    <row r="88" spans="2:2" ht="15" customHeight="1" x14ac:dyDescent="0.2">
      <c r="B88" s="37" t="s">
        <v>1114</v>
      </c>
    </row>
    <row r="89" spans="2:2" ht="15" customHeight="1" x14ac:dyDescent="0.2">
      <c r="B89" s="37" t="s">
        <v>1115</v>
      </c>
    </row>
    <row r="90" spans="2:2" ht="15" customHeight="1" x14ac:dyDescent="0.2">
      <c r="B90" s="37" t="s">
        <v>1116</v>
      </c>
    </row>
    <row r="91" spans="2:2" ht="15" customHeight="1" x14ac:dyDescent="0.2">
      <c r="B91" s="37" t="s">
        <v>1117</v>
      </c>
    </row>
    <row r="92" spans="2:2" x14ac:dyDescent="0.2">
      <c r="B92" s="37" t="s">
        <v>1118</v>
      </c>
    </row>
    <row r="93" spans="2:2" ht="15" customHeight="1" x14ac:dyDescent="0.2">
      <c r="B93" s="37" t="s">
        <v>1119</v>
      </c>
    </row>
    <row r="94" spans="2:2" ht="15" customHeight="1" x14ac:dyDescent="0.2">
      <c r="B94" s="37" t="s">
        <v>1120</v>
      </c>
    </row>
    <row r="95" spans="2:2" ht="15" customHeight="1" x14ac:dyDescent="0.2">
      <c r="B95" s="37" t="s">
        <v>1121</v>
      </c>
    </row>
    <row r="96" spans="2:2" ht="15" customHeight="1" x14ac:dyDescent="0.2">
      <c r="B96" s="37" t="s">
        <v>1122</v>
      </c>
    </row>
    <row r="97" spans="2:33" ht="15" customHeight="1" x14ac:dyDescent="0.2">
      <c r="B97" s="37" t="s">
        <v>1123</v>
      </c>
    </row>
    <row r="98" spans="2:33" ht="15" customHeight="1" x14ac:dyDescent="0.2">
      <c r="B98" s="37" t="s">
        <v>1124</v>
      </c>
    </row>
    <row r="99" spans="2:33" ht="15" customHeight="1" x14ac:dyDescent="0.2">
      <c r="B99" s="37" t="s">
        <v>1125</v>
      </c>
    </row>
    <row r="100" spans="2:33" ht="15" customHeight="1" x14ac:dyDescent="0.2">
      <c r="B100" s="37" t="s">
        <v>1126</v>
      </c>
    </row>
    <row r="101" spans="2:33" x14ac:dyDescent="0.2">
      <c r="B101" s="37" t="s">
        <v>1127</v>
      </c>
    </row>
    <row r="102" spans="2:33" x14ac:dyDescent="0.2">
      <c r="B102" s="37" t="s">
        <v>1128</v>
      </c>
    </row>
    <row r="103" spans="2:33" ht="15" customHeight="1" x14ac:dyDescent="0.2">
      <c r="B103" s="37" t="s">
        <v>1129</v>
      </c>
    </row>
    <row r="104" spans="2:33" ht="15" customHeight="1" x14ac:dyDescent="0.2">
      <c r="B104" s="37" t="s">
        <v>1130</v>
      </c>
    </row>
    <row r="105" spans="2:33" ht="15" customHeight="1" x14ac:dyDescent="0.2">
      <c r="B105" s="37" t="s">
        <v>1131</v>
      </c>
    </row>
    <row r="106" spans="2:33" ht="15" customHeight="1" x14ac:dyDescent="0.2">
      <c r="B106" s="37" t="s">
        <v>1132</v>
      </c>
    </row>
    <row r="107" spans="2:33" ht="15" customHeight="1" x14ac:dyDescent="0.2">
      <c r="B107" s="37" t="s">
        <v>1133</v>
      </c>
    </row>
    <row r="108" spans="2:33" ht="15" customHeight="1" x14ac:dyDescent="0.2">
      <c r="B108" s="37" t="s">
        <v>552</v>
      </c>
    </row>
    <row r="109" spans="2:33" ht="15" customHeight="1" x14ac:dyDescent="0.2">
      <c r="B109" s="37" t="s">
        <v>553</v>
      </c>
    </row>
    <row r="110" spans="2:33" ht="15" customHeight="1" x14ac:dyDescent="0.2">
      <c r="B110" s="37" t="s">
        <v>1134</v>
      </c>
    </row>
    <row r="111" spans="2:33" ht="15" customHeight="1" x14ac:dyDescent="0.2">
      <c r="B111" s="37" t="s">
        <v>555</v>
      </c>
    </row>
    <row r="112" spans="2:33" ht="15" customHeight="1" x14ac:dyDescent="0.2">
      <c r="B112" s="457"/>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c r="AA112" s="457"/>
      <c r="AB112" s="457"/>
      <c r="AC112" s="457"/>
      <c r="AD112" s="457"/>
      <c r="AE112" s="457"/>
      <c r="AF112" s="457"/>
      <c r="AG112" s="457"/>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c r="AA308" s="457"/>
      <c r="AB308" s="457"/>
      <c r="AC308" s="457"/>
      <c r="AD308" s="457"/>
      <c r="AE308" s="457"/>
      <c r="AF308" s="457"/>
      <c r="AG308" s="457"/>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c r="AA511" s="457"/>
      <c r="AB511" s="457"/>
      <c r="AC511" s="457"/>
      <c r="AD511" s="457"/>
      <c r="AE511" s="457"/>
      <c r="AF511" s="457"/>
      <c r="AG511" s="457"/>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c r="AA712" s="457"/>
      <c r="AB712" s="457"/>
      <c r="AC712" s="457"/>
      <c r="AD712" s="457"/>
      <c r="AE712" s="457"/>
      <c r="AF712" s="457"/>
      <c r="AG712" s="457"/>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c r="AA887" s="457"/>
      <c r="AB887" s="457"/>
      <c r="AC887" s="457"/>
      <c r="AD887" s="457"/>
      <c r="AE887" s="457"/>
      <c r="AF887" s="457"/>
      <c r="AG887" s="457"/>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57"/>
      <c r="C1100" s="457"/>
      <c r="D1100" s="457"/>
      <c r="E1100" s="457"/>
      <c r="F1100" s="457"/>
      <c r="G1100" s="457"/>
      <c r="H1100" s="457"/>
      <c r="I1100" s="457"/>
      <c r="J1100" s="457"/>
      <c r="K1100" s="457"/>
      <c r="L1100" s="457"/>
      <c r="M1100" s="457"/>
      <c r="N1100" s="457"/>
      <c r="O1100" s="457"/>
      <c r="P1100" s="457"/>
      <c r="Q1100" s="457"/>
      <c r="R1100" s="457"/>
      <c r="S1100" s="457"/>
      <c r="T1100" s="457"/>
      <c r="U1100" s="457"/>
      <c r="V1100" s="457"/>
      <c r="W1100" s="457"/>
      <c r="X1100" s="457"/>
      <c r="Y1100" s="457"/>
      <c r="Z1100" s="457"/>
      <c r="AA1100" s="457"/>
      <c r="AB1100" s="457"/>
      <c r="AC1100" s="457"/>
      <c r="AD1100" s="457"/>
      <c r="AE1100" s="457"/>
      <c r="AF1100" s="457"/>
      <c r="AG1100" s="457"/>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57"/>
      <c r="C1227" s="457"/>
      <c r="D1227" s="457"/>
      <c r="E1227" s="457"/>
      <c r="F1227" s="457"/>
      <c r="G1227" s="457"/>
      <c r="H1227" s="457"/>
      <c r="I1227" s="457"/>
      <c r="J1227" s="457"/>
      <c r="K1227" s="457"/>
      <c r="L1227" s="457"/>
      <c r="M1227" s="457"/>
      <c r="N1227" s="457"/>
      <c r="O1227" s="457"/>
      <c r="P1227" s="457"/>
      <c r="Q1227" s="457"/>
      <c r="R1227" s="457"/>
      <c r="S1227" s="457"/>
      <c r="T1227" s="457"/>
      <c r="U1227" s="457"/>
      <c r="V1227" s="457"/>
      <c r="W1227" s="457"/>
      <c r="X1227" s="457"/>
      <c r="Y1227" s="457"/>
      <c r="Z1227" s="457"/>
      <c r="AA1227" s="457"/>
      <c r="AB1227" s="457"/>
      <c r="AC1227" s="457"/>
      <c r="AD1227" s="457"/>
      <c r="AE1227" s="457"/>
      <c r="AF1227" s="457"/>
      <c r="AG1227" s="457"/>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57"/>
      <c r="C1390" s="457"/>
      <c r="D1390" s="457"/>
      <c r="E1390" s="457"/>
      <c r="F1390" s="457"/>
      <c r="G1390" s="457"/>
      <c r="H1390" s="457"/>
      <c r="I1390" s="457"/>
      <c r="J1390" s="457"/>
      <c r="K1390" s="457"/>
      <c r="L1390" s="457"/>
      <c r="M1390" s="457"/>
      <c r="N1390" s="457"/>
      <c r="O1390" s="457"/>
      <c r="P1390" s="457"/>
      <c r="Q1390" s="457"/>
      <c r="R1390" s="457"/>
      <c r="S1390" s="457"/>
      <c r="T1390" s="457"/>
      <c r="U1390" s="457"/>
      <c r="V1390" s="457"/>
      <c r="W1390" s="457"/>
      <c r="X1390" s="457"/>
      <c r="Y1390" s="457"/>
      <c r="Z1390" s="457"/>
      <c r="AA1390" s="457"/>
      <c r="AB1390" s="457"/>
      <c r="AC1390" s="457"/>
      <c r="AD1390" s="457"/>
      <c r="AE1390" s="457"/>
      <c r="AF1390" s="457"/>
      <c r="AG1390" s="457"/>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57"/>
      <c r="C1502" s="457"/>
      <c r="D1502" s="457"/>
      <c r="E1502" s="457"/>
      <c r="F1502" s="457"/>
      <c r="G1502" s="457"/>
      <c r="H1502" s="457"/>
      <c r="I1502" s="457"/>
      <c r="J1502" s="457"/>
      <c r="K1502" s="457"/>
      <c r="L1502" s="457"/>
      <c r="M1502" s="457"/>
      <c r="N1502" s="457"/>
      <c r="O1502" s="457"/>
      <c r="P1502" s="457"/>
      <c r="Q1502" s="457"/>
      <c r="R1502" s="457"/>
      <c r="S1502" s="457"/>
      <c r="T1502" s="457"/>
      <c r="U1502" s="457"/>
      <c r="V1502" s="457"/>
      <c r="W1502" s="457"/>
      <c r="X1502" s="457"/>
      <c r="Y1502" s="457"/>
      <c r="Z1502" s="457"/>
      <c r="AA1502" s="457"/>
      <c r="AB1502" s="457"/>
      <c r="AC1502" s="457"/>
      <c r="AD1502" s="457"/>
      <c r="AE1502" s="457"/>
      <c r="AF1502" s="457"/>
      <c r="AG1502" s="457"/>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57"/>
      <c r="C1604" s="457"/>
      <c r="D1604" s="457"/>
      <c r="E1604" s="457"/>
      <c r="F1604" s="457"/>
      <c r="G1604" s="457"/>
      <c r="H1604" s="457"/>
      <c r="I1604" s="457"/>
      <c r="J1604" s="457"/>
      <c r="K1604" s="457"/>
      <c r="L1604" s="457"/>
      <c r="M1604" s="457"/>
      <c r="N1604" s="457"/>
      <c r="O1604" s="457"/>
      <c r="P1604" s="457"/>
      <c r="Q1604" s="457"/>
      <c r="R1604" s="457"/>
      <c r="S1604" s="457"/>
      <c r="T1604" s="457"/>
      <c r="U1604" s="457"/>
      <c r="V1604" s="457"/>
      <c r="W1604" s="457"/>
      <c r="X1604" s="457"/>
      <c r="Y1604" s="457"/>
      <c r="Z1604" s="457"/>
      <c r="AA1604" s="457"/>
      <c r="AB1604" s="457"/>
      <c r="AC1604" s="457"/>
      <c r="AD1604" s="457"/>
      <c r="AE1604" s="457"/>
      <c r="AF1604" s="457"/>
      <c r="AG1604" s="457"/>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57"/>
      <c r="C1698" s="457"/>
      <c r="D1698" s="457"/>
      <c r="E1698" s="457"/>
      <c r="F1698" s="457"/>
      <c r="G1698" s="457"/>
      <c r="H1698" s="457"/>
      <c r="I1698" s="457"/>
      <c r="J1698" s="457"/>
      <c r="K1698" s="457"/>
      <c r="L1698" s="457"/>
      <c r="M1698" s="457"/>
      <c r="N1698" s="457"/>
      <c r="O1698" s="457"/>
      <c r="P1698" s="457"/>
      <c r="Q1698" s="457"/>
      <c r="R1698" s="457"/>
      <c r="S1698" s="457"/>
      <c r="T1698" s="457"/>
      <c r="U1698" s="457"/>
      <c r="V1698" s="457"/>
      <c r="W1698" s="457"/>
      <c r="X1698" s="457"/>
      <c r="Y1698" s="457"/>
      <c r="Z1698" s="457"/>
      <c r="AA1698" s="457"/>
      <c r="AB1698" s="457"/>
      <c r="AC1698" s="457"/>
      <c r="AD1698" s="457"/>
      <c r="AE1698" s="457"/>
      <c r="AF1698" s="457"/>
      <c r="AG1698" s="457"/>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57"/>
      <c r="C1945" s="457"/>
      <c r="D1945" s="457"/>
      <c r="E1945" s="457"/>
      <c r="F1945" s="457"/>
      <c r="G1945" s="457"/>
      <c r="H1945" s="457"/>
      <c r="I1945" s="457"/>
      <c r="J1945" s="457"/>
      <c r="K1945" s="457"/>
      <c r="L1945" s="457"/>
      <c r="M1945" s="457"/>
      <c r="N1945" s="457"/>
      <c r="O1945" s="457"/>
      <c r="P1945" s="457"/>
      <c r="Q1945" s="457"/>
      <c r="R1945" s="457"/>
      <c r="S1945" s="457"/>
      <c r="T1945" s="457"/>
      <c r="U1945" s="457"/>
      <c r="V1945" s="457"/>
      <c r="W1945" s="457"/>
      <c r="X1945" s="457"/>
      <c r="Y1945" s="457"/>
      <c r="Z1945" s="457"/>
      <c r="AA1945" s="457"/>
      <c r="AB1945" s="457"/>
      <c r="AC1945" s="457"/>
      <c r="AD1945" s="457"/>
      <c r="AE1945" s="457"/>
      <c r="AF1945" s="457"/>
      <c r="AG1945" s="457"/>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57"/>
      <c r="C2031" s="457"/>
      <c r="D2031" s="457"/>
      <c r="E2031" s="457"/>
      <c r="F2031" s="457"/>
      <c r="G2031" s="457"/>
      <c r="H2031" s="457"/>
      <c r="I2031" s="457"/>
      <c r="J2031" s="457"/>
      <c r="K2031" s="457"/>
      <c r="L2031" s="457"/>
      <c r="M2031" s="457"/>
      <c r="N2031" s="457"/>
      <c r="O2031" s="457"/>
      <c r="P2031" s="457"/>
      <c r="Q2031" s="457"/>
      <c r="R2031" s="457"/>
      <c r="S2031" s="457"/>
      <c r="T2031" s="457"/>
      <c r="U2031" s="457"/>
      <c r="V2031" s="457"/>
      <c r="W2031" s="457"/>
      <c r="X2031" s="457"/>
      <c r="Y2031" s="457"/>
      <c r="Z2031" s="457"/>
      <c r="AA2031" s="457"/>
      <c r="AB2031" s="457"/>
      <c r="AC2031" s="457"/>
      <c r="AD2031" s="457"/>
      <c r="AE2031" s="457"/>
      <c r="AF2031" s="457"/>
      <c r="AG2031" s="457"/>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57"/>
      <c r="C2153" s="457"/>
      <c r="D2153" s="457"/>
      <c r="E2153" s="457"/>
      <c r="F2153" s="457"/>
      <c r="G2153" s="457"/>
      <c r="H2153" s="457"/>
      <c r="I2153" s="457"/>
      <c r="J2153" s="457"/>
      <c r="K2153" s="457"/>
      <c r="L2153" s="457"/>
      <c r="M2153" s="457"/>
      <c r="N2153" s="457"/>
      <c r="O2153" s="457"/>
      <c r="P2153" s="457"/>
      <c r="Q2153" s="457"/>
      <c r="R2153" s="457"/>
      <c r="S2153" s="457"/>
      <c r="T2153" s="457"/>
      <c r="U2153" s="457"/>
      <c r="V2153" s="457"/>
      <c r="W2153" s="457"/>
      <c r="X2153" s="457"/>
      <c r="Y2153" s="457"/>
      <c r="Z2153" s="457"/>
      <c r="AA2153" s="457"/>
      <c r="AB2153" s="457"/>
      <c r="AC2153" s="457"/>
      <c r="AD2153" s="457"/>
      <c r="AE2153" s="457"/>
      <c r="AF2153" s="457"/>
      <c r="AG2153" s="457"/>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57"/>
      <c r="C2317" s="457"/>
      <c r="D2317" s="457"/>
      <c r="E2317" s="457"/>
      <c r="F2317" s="457"/>
      <c r="G2317" s="457"/>
      <c r="H2317" s="457"/>
      <c r="I2317" s="457"/>
      <c r="J2317" s="457"/>
      <c r="K2317" s="457"/>
      <c r="L2317" s="457"/>
      <c r="M2317" s="457"/>
      <c r="N2317" s="457"/>
      <c r="O2317" s="457"/>
      <c r="P2317" s="457"/>
      <c r="Q2317" s="457"/>
      <c r="R2317" s="457"/>
      <c r="S2317" s="457"/>
      <c r="T2317" s="457"/>
      <c r="U2317" s="457"/>
      <c r="V2317" s="457"/>
      <c r="W2317" s="457"/>
      <c r="X2317" s="457"/>
      <c r="Y2317" s="457"/>
      <c r="Z2317" s="457"/>
      <c r="AA2317" s="457"/>
      <c r="AB2317" s="457"/>
      <c r="AC2317" s="457"/>
      <c r="AD2317" s="457"/>
      <c r="AE2317" s="457"/>
      <c r="AF2317" s="457"/>
      <c r="AG2317" s="457"/>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57"/>
      <c r="C2419" s="457"/>
      <c r="D2419" s="457"/>
      <c r="E2419" s="457"/>
      <c r="F2419" s="457"/>
      <c r="G2419" s="457"/>
      <c r="H2419" s="457"/>
      <c r="I2419" s="457"/>
      <c r="J2419" s="457"/>
      <c r="K2419" s="457"/>
      <c r="L2419" s="457"/>
      <c r="M2419" s="457"/>
      <c r="N2419" s="457"/>
      <c r="O2419" s="457"/>
      <c r="P2419" s="457"/>
      <c r="Q2419" s="457"/>
      <c r="R2419" s="457"/>
      <c r="S2419" s="457"/>
      <c r="T2419" s="457"/>
      <c r="U2419" s="457"/>
      <c r="V2419" s="457"/>
      <c r="W2419" s="457"/>
      <c r="X2419" s="457"/>
      <c r="Y2419" s="457"/>
      <c r="Z2419" s="457"/>
      <c r="AA2419" s="457"/>
      <c r="AB2419" s="457"/>
      <c r="AC2419" s="457"/>
      <c r="AD2419" s="457"/>
      <c r="AE2419" s="457"/>
      <c r="AF2419" s="457"/>
      <c r="AG2419" s="457"/>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57"/>
      <c r="C2509" s="457"/>
      <c r="D2509" s="457"/>
      <c r="E2509" s="457"/>
      <c r="F2509" s="457"/>
      <c r="G2509" s="457"/>
      <c r="H2509" s="457"/>
      <c r="I2509" s="457"/>
      <c r="J2509" s="457"/>
      <c r="K2509" s="457"/>
      <c r="L2509" s="457"/>
      <c r="M2509" s="457"/>
      <c r="N2509" s="457"/>
      <c r="O2509" s="457"/>
      <c r="P2509" s="457"/>
      <c r="Q2509" s="457"/>
      <c r="R2509" s="457"/>
      <c r="S2509" s="457"/>
      <c r="T2509" s="457"/>
      <c r="U2509" s="457"/>
      <c r="V2509" s="457"/>
      <c r="W2509" s="457"/>
      <c r="X2509" s="457"/>
      <c r="Y2509" s="457"/>
      <c r="Z2509" s="457"/>
      <c r="AA2509" s="457"/>
      <c r="AB2509" s="457"/>
      <c r="AC2509" s="457"/>
      <c r="AD2509" s="457"/>
      <c r="AE2509" s="457"/>
      <c r="AF2509" s="457"/>
      <c r="AG2509" s="457"/>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57"/>
      <c r="C2598" s="457"/>
      <c r="D2598" s="457"/>
      <c r="E2598" s="457"/>
      <c r="F2598" s="457"/>
      <c r="G2598" s="457"/>
      <c r="H2598" s="457"/>
      <c r="I2598" s="457"/>
      <c r="J2598" s="457"/>
      <c r="K2598" s="457"/>
      <c r="L2598" s="457"/>
      <c r="M2598" s="457"/>
      <c r="N2598" s="457"/>
      <c r="O2598" s="457"/>
      <c r="P2598" s="457"/>
      <c r="Q2598" s="457"/>
      <c r="R2598" s="457"/>
      <c r="S2598" s="457"/>
      <c r="T2598" s="457"/>
      <c r="U2598" s="457"/>
      <c r="V2598" s="457"/>
      <c r="W2598" s="457"/>
      <c r="X2598" s="457"/>
      <c r="Y2598" s="457"/>
      <c r="Z2598" s="457"/>
      <c r="AA2598" s="457"/>
      <c r="AB2598" s="457"/>
      <c r="AC2598" s="457"/>
      <c r="AD2598" s="457"/>
      <c r="AE2598" s="457"/>
      <c r="AF2598" s="457"/>
      <c r="AG2598" s="457"/>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57"/>
      <c r="C2719" s="457"/>
      <c r="D2719" s="457"/>
      <c r="E2719" s="457"/>
      <c r="F2719" s="457"/>
      <c r="G2719" s="457"/>
      <c r="H2719" s="457"/>
      <c r="I2719" s="457"/>
      <c r="J2719" s="457"/>
      <c r="K2719" s="457"/>
      <c r="L2719" s="457"/>
      <c r="M2719" s="457"/>
      <c r="N2719" s="457"/>
      <c r="O2719" s="457"/>
      <c r="P2719" s="457"/>
      <c r="Q2719" s="457"/>
      <c r="R2719" s="457"/>
      <c r="S2719" s="457"/>
      <c r="T2719" s="457"/>
      <c r="U2719" s="457"/>
      <c r="V2719" s="457"/>
      <c r="W2719" s="457"/>
      <c r="X2719" s="457"/>
      <c r="Y2719" s="457"/>
      <c r="Z2719" s="457"/>
      <c r="AA2719" s="457"/>
      <c r="AB2719" s="457"/>
      <c r="AC2719" s="457"/>
      <c r="AD2719" s="457"/>
      <c r="AE2719" s="457"/>
      <c r="AF2719" s="457"/>
      <c r="AG2719" s="457"/>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57"/>
      <c r="C2837" s="457"/>
      <c r="D2837" s="457"/>
      <c r="E2837" s="457"/>
      <c r="F2837" s="457"/>
      <c r="G2837" s="457"/>
      <c r="H2837" s="457"/>
      <c r="I2837" s="457"/>
      <c r="J2837" s="457"/>
      <c r="K2837" s="457"/>
      <c r="L2837" s="457"/>
      <c r="M2837" s="457"/>
      <c r="N2837" s="457"/>
      <c r="O2837" s="457"/>
      <c r="P2837" s="457"/>
      <c r="Q2837" s="457"/>
      <c r="R2837" s="457"/>
      <c r="S2837" s="457"/>
      <c r="T2837" s="457"/>
      <c r="U2837" s="457"/>
      <c r="V2837" s="457"/>
      <c r="W2837" s="457"/>
      <c r="X2837" s="457"/>
      <c r="Y2837" s="457"/>
      <c r="Z2837" s="457"/>
      <c r="AA2837" s="457"/>
      <c r="AB2837" s="457"/>
      <c r="AC2837" s="457"/>
      <c r="AD2837" s="457"/>
      <c r="AE2837" s="457"/>
      <c r="AF2837" s="457"/>
      <c r="AG2837" s="457"/>
    </row>
  </sheetData>
  <mergeCells count="20">
    <mergeCell ref="B2419:AG2419"/>
    <mergeCell ref="B887:AG887"/>
    <mergeCell ref="B1502:AG1502"/>
    <mergeCell ref="B2837:AG2837"/>
    <mergeCell ref="B1604:AG1604"/>
    <mergeCell ref="B2719:AG2719"/>
    <mergeCell ref="B1100:AG1100"/>
    <mergeCell ref="B2509:AG2509"/>
    <mergeCell ref="B2598:AG2598"/>
    <mergeCell ref="B112:AG112"/>
    <mergeCell ref="B1227:AG1227"/>
    <mergeCell ref="B308:AG308"/>
    <mergeCell ref="B712:AG712"/>
    <mergeCell ref="B2317:AG2317"/>
    <mergeCell ref="B1698:AG1698"/>
    <mergeCell ref="B511:AG511"/>
    <mergeCell ref="B1390:AG1390"/>
    <mergeCell ref="B1945:AG1945"/>
    <mergeCell ref="B2153:AG2153"/>
    <mergeCell ref="B2031:AG203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2837"/>
  <sheetViews>
    <sheetView workbookViewId="0">
      <pane xSplit="2" ySplit="1" topLeftCell="C3" activePane="bottomRight" state="frozen"/>
      <selection pane="topRight" activeCell="C1" sqref="C1"/>
      <selection pane="bottomLeft" activeCell="A2" sqref="A2"/>
      <selection pane="bottomRight" activeCell="A16" sqref="A16:XFD16"/>
    </sheetView>
  </sheetViews>
  <sheetFormatPr defaultColWidth="8.7109375" defaultRowHeight="15" customHeight="1" x14ac:dyDescent="0.2"/>
  <cols>
    <col min="1" max="1" width="19.7109375" style="36" bestFit="1" customWidth="1"/>
    <col min="2" max="2" width="46.7109375" style="36" customWidth="1"/>
    <col min="3" max="3" width="8.7109375" style="36" customWidth="1"/>
    <col min="4" max="16384" width="8.7109375" style="36"/>
  </cols>
  <sheetData>
    <row r="1" spans="1:33" ht="15" customHeight="1" thickBot="1" x14ac:dyDescent="0.25">
      <c r="B1" s="52" t="s">
        <v>556</v>
      </c>
      <c r="C1" s="49">
        <v>2022</v>
      </c>
      <c r="D1" s="49">
        <v>2023</v>
      </c>
      <c r="E1" s="49">
        <v>2024</v>
      </c>
      <c r="F1" s="49">
        <v>2025</v>
      </c>
      <c r="G1" s="49">
        <v>2026</v>
      </c>
      <c r="H1" s="49">
        <v>2027</v>
      </c>
      <c r="I1" s="49">
        <v>2028</v>
      </c>
      <c r="J1" s="49">
        <v>2029</v>
      </c>
      <c r="K1" s="49">
        <v>2030</v>
      </c>
      <c r="L1" s="49">
        <v>2031</v>
      </c>
      <c r="M1" s="49">
        <v>2032</v>
      </c>
      <c r="N1" s="49">
        <v>2033</v>
      </c>
      <c r="O1" s="49">
        <v>2034</v>
      </c>
      <c r="P1" s="49">
        <v>2035</v>
      </c>
      <c r="Q1" s="49">
        <v>2036</v>
      </c>
      <c r="R1" s="49">
        <v>2037</v>
      </c>
      <c r="S1" s="49">
        <v>2038</v>
      </c>
      <c r="T1" s="49">
        <v>2039</v>
      </c>
      <c r="U1" s="49">
        <v>2040</v>
      </c>
      <c r="V1" s="49">
        <v>2041</v>
      </c>
      <c r="W1" s="49">
        <v>2042</v>
      </c>
      <c r="X1" s="49">
        <v>2043</v>
      </c>
      <c r="Y1" s="49">
        <v>2044</v>
      </c>
      <c r="Z1" s="49">
        <v>2045</v>
      </c>
      <c r="AA1" s="49">
        <v>2046</v>
      </c>
      <c r="AB1" s="49">
        <v>2047</v>
      </c>
      <c r="AC1" s="49">
        <v>2048</v>
      </c>
      <c r="AD1" s="49">
        <v>2049</v>
      </c>
      <c r="AE1" s="49">
        <v>2050</v>
      </c>
    </row>
    <row r="2" spans="1:33" ht="15" customHeight="1" thickTop="1" x14ac:dyDescent="0.2"/>
    <row r="3" spans="1:33" ht="15" customHeight="1" x14ac:dyDescent="0.2">
      <c r="C3" s="72" t="s">
        <v>431</v>
      </c>
      <c r="D3" s="72" t="s">
        <v>557</v>
      </c>
      <c r="E3" s="54"/>
      <c r="F3" s="54"/>
      <c r="G3" s="54"/>
    </row>
    <row r="4" spans="1:33" ht="15" customHeight="1" x14ac:dyDescent="0.2">
      <c r="C4" s="72" t="s">
        <v>433</v>
      </c>
      <c r="D4" s="72" t="s">
        <v>558</v>
      </c>
      <c r="E4" s="54"/>
      <c r="F4" s="54"/>
      <c r="G4" s="72" t="s">
        <v>435</v>
      </c>
    </row>
    <row r="5" spans="1:33" ht="15" customHeight="1" x14ac:dyDescent="0.2">
      <c r="C5" s="72" t="s">
        <v>436</v>
      </c>
      <c r="D5" s="72" t="s">
        <v>559</v>
      </c>
      <c r="E5" s="54"/>
      <c r="F5" s="54"/>
      <c r="G5" s="54"/>
    </row>
    <row r="6" spans="1:33" ht="15" customHeight="1" x14ac:dyDescent="0.2">
      <c r="C6" s="72" t="s">
        <v>438</v>
      </c>
      <c r="D6" s="54"/>
      <c r="E6" s="72" t="s">
        <v>560</v>
      </c>
      <c r="F6" s="54"/>
      <c r="G6" s="54"/>
    </row>
    <row r="7" spans="1:33" ht="12" customHeight="1" x14ac:dyDescent="0.2"/>
    <row r="8" spans="1:33" ht="12" customHeight="1" x14ac:dyDescent="0.2"/>
    <row r="9" spans="1:33" ht="12" customHeight="1" x14ac:dyDescent="0.2">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row>
    <row r="10" spans="1:33" ht="15" customHeight="1" x14ac:dyDescent="0.25">
      <c r="A10" s="42" t="s">
        <v>996</v>
      </c>
      <c r="B10" s="59" t="s">
        <v>997</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50" t="s">
        <v>442</v>
      </c>
      <c r="AG10" s="37"/>
    </row>
    <row r="11" spans="1:33" ht="15" customHeight="1" x14ac:dyDescent="0.2">
      <c r="B11" s="60" t="s">
        <v>998</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50" t="s">
        <v>444</v>
      </c>
      <c r="AG11" s="37"/>
    </row>
    <row r="12" spans="1:33" ht="15" customHeight="1" x14ac:dyDescent="0.2">
      <c r="B12" s="60"/>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50" t="s">
        <v>445</v>
      </c>
      <c r="AG12" s="37"/>
    </row>
    <row r="13" spans="1:33" ht="15" customHeight="1" thickBot="1" x14ac:dyDescent="0.25">
      <c r="B13" s="62" t="s">
        <v>999</v>
      </c>
      <c r="C13" s="62">
        <v>2022</v>
      </c>
      <c r="D13" s="62">
        <v>2023</v>
      </c>
      <c r="E13" s="62">
        <v>2024</v>
      </c>
      <c r="F13" s="62">
        <v>2025</v>
      </c>
      <c r="G13" s="62">
        <v>2026</v>
      </c>
      <c r="H13" s="62">
        <v>2027</v>
      </c>
      <c r="I13" s="62">
        <v>2028</v>
      </c>
      <c r="J13" s="62">
        <v>2029</v>
      </c>
      <c r="K13" s="62">
        <v>2030</v>
      </c>
      <c r="L13" s="62">
        <v>2031</v>
      </c>
      <c r="M13" s="62">
        <v>2032</v>
      </c>
      <c r="N13" s="62">
        <v>2033</v>
      </c>
      <c r="O13" s="62">
        <v>2034</v>
      </c>
      <c r="P13" s="62">
        <v>2035</v>
      </c>
      <c r="Q13" s="62">
        <v>2036</v>
      </c>
      <c r="R13" s="62">
        <v>2037</v>
      </c>
      <c r="S13" s="62">
        <v>2038</v>
      </c>
      <c r="T13" s="62">
        <v>2039</v>
      </c>
      <c r="U13" s="62">
        <v>2040</v>
      </c>
      <c r="V13" s="62">
        <v>2041</v>
      </c>
      <c r="W13" s="62">
        <v>2042</v>
      </c>
      <c r="X13" s="62">
        <v>2043</v>
      </c>
      <c r="Y13" s="62">
        <v>2044</v>
      </c>
      <c r="Z13" s="62">
        <v>2045</v>
      </c>
      <c r="AA13" s="62">
        <v>2046</v>
      </c>
      <c r="AB13" s="62">
        <v>2047</v>
      </c>
      <c r="AC13" s="62">
        <v>2048</v>
      </c>
      <c r="AD13" s="62">
        <v>2049</v>
      </c>
      <c r="AE13" s="62">
        <v>2050</v>
      </c>
      <c r="AF13" s="63" t="s">
        <v>561</v>
      </c>
      <c r="AG13" s="37"/>
    </row>
    <row r="14" spans="1:33" ht="15" customHeight="1" thickTop="1" x14ac:dyDescent="0.2">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row>
    <row r="15" spans="1:33" ht="15" customHeight="1" x14ac:dyDescent="0.2">
      <c r="B15" s="64" t="s">
        <v>1000</v>
      </c>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row>
    <row r="16" spans="1:33" ht="15" customHeight="1" x14ac:dyDescent="0.2">
      <c r="A16" s="42" t="s">
        <v>1001</v>
      </c>
      <c r="B16" s="65" t="s">
        <v>1002</v>
      </c>
      <c r="C16" s="66">
        <v>11.828412999999999</v>
      </c>
      <c r="D16" s="66">
        <v>12.317411</v>
      </c>
      <c r="E16" s="66">
        <v>12.668136000000001</v>
      </c>
      <c r="F16" s="66">
        <v>12.860077</v>
      </c>
      <c r="G16" s="66">
        <v>13.04087</v>
      </c>
      <c r="H16" s="66">
        <v>13.143864000000001</v>
      </c>
      <c r="I16" s="66">
        <v>13.308415999999999</v>
      </c>
      <c r="J16" s="66">
        <v>13.288779</v>
      </c>
      <c r="K16" s="66">
        <v>13.312295000000001</v>
      </c>
      <c r="L16" s="66">
        <v>13.240861000000001</v>
      </c>
      <c r="M16" s="66">
        <v>13.273460999999999</v>
      </c>
      <c r="N16" s="66">
        <v>13.304527999999999</v>
      </c>
      <c r="O16" s="66">
        <v>13.258546000000001</v>
      </c>
      <c r="P16" s="66">
        <v>13.227854000000001</v>
      </c>
      <c r="Q16" s="66">
        <v>13.170089000000001</v>
      </c>
      <c r="R16" s="66">
        <v>13.155234999999999</v>
      </c>
      <c r="S16" s="66">
        <v>13.109235999999999</v>
      </c>
      <c r="T16" s="66">
        <v>13.059265</v>
      </c>
      <c r="U16" s="66">
        <v>12.962479</v>
      </c>
      <c r="V16" s="66">
        <v>12.830216999999999</v>
      </c>
      <c r="W16" s="66">
        <v>12.859726999999999</v>
      </c>
      <c r="X16" s="66">
        <v>12.929422000000001</v>
      </c>
      <c r="Y16" s="66">
        <v>13.063684</v>
      </c>
      <c r="Z16" s="66">
        <v>13.097238000000001</v>
      </c>
      <c r="AA16" s="66">
        <v>13.129096000000001</v>
      </c>
      <c r="AB16" s="66">
        <v>13.032037000000001</v>
      </c>
      <c r="AC16" s="66">
        <v>13.064216</v>
      </c>
      <c r="AD16" s="66">
        <v>13.201051</v>
      </c>
      <c r="AE16" s="66">
        <v>13.238148000000001</v>
      </c>
      <c r="AF16" s="67">
        <v>4.0299999999999997E-3</v>
      </c>
      <c r="AG16" s="37"/>
    </row>
    <row r="17" spans="1:33" ht="15" customHeight="1" x14ac:dyDescent="0.2">
      <c r="A17" s="42" t="s">
        <v>1003</v>
      </c>
      <c r="B17" s="65" t="s">
        <v>1004</v>
      </c>
      <c r="C17" s="66">
        <v>0.43645099999999998</v>
      </c>
      <c r="D17" s="66">
        <v>0.40578799999999998</v>
      </c>
      <c r="E17" s="66">
        <v>0.38200000000000001</v>
      </c>
      <c r="F17" s="66">
        <v>0.45424100000000001</v>
      </c>
      <c r="G17" s="66">
        <v>0.47660200000000003</v>
      </c>
      <c r="H17" s="66">
        <v>0.50541999999999998</v>
      </c>
      <c r="I17" s="66">
        <v>0.551674</v>
      </c>
      <c r="J17" s="66">
        <v>0.56236900000000001</v>
      </c>
      <c r="K17" s="66">
        <v>0.60036800000000001</v>
      </c>
      <c r="L17" s="66">
        <v>0.60017299999999996</v>
      </c>
      <c r="M17" s="66">
        <v>0.63000199999999995</v>
      </c>
      <c r="N17" s="66">
        <v>0.65393400000000002</v>
      </c>
      <c r="O17" s="66">
        <v>0.60891499999999998</v>
      </c>
      <c r="P17" s="66">
        <v>0.56296100000000004</v>
      </c>
      <c r="Q17" s="66">
        <v>0.56128</v>
      </c>
      <c r="R17" s="66">
        <v>0.601912</v>
      </c>
      <c r="S17" s="66">
        <v>0.64548799999999995</v>
      </c>
      <c r="T17" s="66">
        <v>0.67734899999999998</v>
      </c>
      <c r="U17" s="66">
        <v>0.64909899999999998</v>
      </c>
      <c r="V17" s="66">
        <v>0.62270099999999995</v>
      </c>
      <c r="W17" s="66">
        <v>0.61865099999999995</v>
      </c>
      <c r="X17" s="66">
        <v>0.61594300000000002</v>
      </c>
      <c r="Y17" s="66">
        <v>0.67054100000000005</v>
      </c>
      <c r="Z17" s="66">
        <v>0.69927799999999996</v>
      </c>
      <c r="AA17" s="66">
        <v>0.73988900000000002</v>
      </c>
      <c r="AB17" s="66">
        <v>0.74507299999999999</v>
      </c>
      <c r="AC17" s="66">
        <v>0.76454299999999997</v>
      </c>
      <c r="AD17" s="66">
        <v>0.75924100000000005</v>
      </c>
      <c r="AE17" s="66">
        <v>0.72814500000000004</v>
      </c>
      <c r="AF17" s="67">
        <v>1.8447999999999999E-2</v>
      </c>
      <c r="AG17" s="37"/>
    </row>
    <row r="18" spans="1:33" ht="15" customHeight="1" x14ac:dyDescent="0.2">
      <c r="A18" s="42" t="s">
        <v>1005</v>
      </c>
      <c r="B18" s="65" t="s">
        <v>1006</v>
      </c>
      <c r="C18" s="66">
        <v>11.391961</v>
      </c>
      <c r="D18" s="66">
        <v>11.911623000000001</v>
      </c>
      <c r="E18" s="66">
        <v>12.286136000000001</v>
      </c>
      <c r="F18" s="66">
        <v>12.405836000000001</v>
      </c>
      <c r="G18" s="66">
        <v>12.564268</v>
      </c>
      <c r="H18" s="66">
        <v>12.638444</v>
      </c>
      <c r="I18" s="66">
        <v>12.756741999999999</v>
      </c>
      <c r="J18" s="66">
        <v>12.72641</v>
      </c>
      <c r="K18" s="66">
        <v>12.711926999999999</v>
      </c>
      <c r="L18" s="66">
        <v>12.640687</v>
      </c>
      <c r="M18" s="66">
        <v>12.643459</v>
      </c>
      <c r="N18" s="66">
        <v>12.650594</v>
      </c>
      <c r="O18" s="66">
        <v>12.649630999999999</v>
      </c>
      <c r="P18" s="66">
        <v>12.664894</v>
      </c>
      <c r="Q18" s="66">
        <v>12.608809000000001</v>
      </c>
      <c r="R18" s="66">
        <v>12.553323000000001</v>
      </c>
      <c r="S18" s="66">
        <v>12.463748000000001</v>
      </c>
      <c r="T18" s="66">
        <v>12.381916</v>
      </c>
      <c r="U18" s="66">
        <v>12.313378999999999</v>
      </c>
      <c r="V18" s="66">
        <v>12.207516</v>
      </c>
      <c r="W18" s="66">
        <v>12.241076</v>
      </c>
      <c r="X18" s="66">
        <v>12.313478999999999</v>
      </c>
      <c r="Y18" s="66">
        <v>12.393143</v>
      </c>
      <c r="Z18" s="66">
        <v>12.397959999999999</v>
      </c>
      <c r="AA18" s="66">
        <v>12.389208</v>
      </c>
      <c r="AB18" s="66">
        <v>12.286963</v>
      </c>
      <c r="AC18" s="66">
        <v>12.299671999999999</v>
      </c>
      <c r="AD18" s="66">
        <v>12.441811</v>
      </c>
      <c r="AE18" s="66">
        <v>12.510002</v>
      </c>
      <c r="AF18" s="67">
        <v>3.349E-3</v>
      </c>
      <c r="AG18" s="37"/>
    </row>
    <row r="19" spans="1:33" ht="15" customHeight="1" x14ac:dyDescent="0.2">
      <c r="A19" s="42" t="s">
        <v>1007</v>
      </c>
      <c r="B19" s="65" t="s">
        <v>1008</v>
      </c>
      <c r="C19" s="66">
        <v>2.8143750000000001</v>
      </c>
      <c r="D19" s="66">
        <v>3.4323570000000001</v>
      </c>
      <c r="E19" s="66">
        <v>3.7852549999999998</v>
      </c>
      <c r="F19" s="66">
        <v>3.714477</v>
      </c>
      <c r="G19" s="66">
        <v>3.5692279999999998</v>
      </c>
      <c r="H19" s="66">
        <v>3.6300080000000001</v>
      </c>
      <c r="I19" s="66">
        <v>3.5685880000000001</v>
      </c>
      <c r="J19" s="66">
        <v>3.656625</v>
      </c>
      <c r="K19" s="66">
        <v>3.6410710000000002</v>
      </c>
      <c r="L19" s="66">
        <v>3.6865429999999999</v>
      </c>
      <c r="M19" s="66">
        <v>3.7116129999999998</v>
      </c>
      <c r="N19" s="66">
        <v>3.6603880000000002</v>
      </c>
      <c r="O19" s="66">
        <v>3.725044</v>
      </c>
      <c r="P19" s="66">
        <v>3.772062</v>
      </c>
      <c r="Q19" s="66">
        <v>3.8114880000000002</v>
      </c>
      <c r="R19" s="66">
        <v>3.8008229999999998</v>
      </c>
      <c r="S19" s="66">
        <v>3.874444</v>
      </c>
      <c r="T19" s="66">
        <v>3.9282339999999998</v>
      </c>
      <c r="U19" s="66">
        <v>4.0325350000000002</v>
      </c>
      <c r="V19" s="66">
        <v>4.1801500000000003</v>
      </c>
      <c r="W19" s="66">
        <v>4.1641560000000002</v>
      </c>
      <c r="X19" s="66">
        <v>4.0675059999999998</v>
      </c>
      <c r="Y19" s="66">
        <v>3.9746419999999998</v>
      </c>
      <c r="Z19" s="66">
        <v>3.916458</v>
      </c>
      <c r="AA19" s="66">
        <v>3.9220820000000001</v>
      </c>
      <c r="AB19" s="66">
        <v>3.9684349999999999</v>
      </c>
      <c r="AC19" s="66">
        <v>3.9202720000000002</v>
      </c>
      <c r="AD19" s="66">
        <v>3.8041930000000002</v>
      </c>
      <c r="AE19" s="66">
        <v>3.7092299999999998</v>
      </c>
      <c r="AF19" s="67">
        <v>9.9089999999999994E-3</v>
      </c>
      <c r="AG19" s="37"/>
    </row>
    <row r="20" spans="1:33" ht="15" customHeight="1" x14ac:dyDescent="0.2">
      <c r="A20" s="42" t="s">
        <v>1009</v>
      </c>
      <c r="B20" s="65" t="s">
        <v>1010</v>
      </c>
      <c r="C20" s="66">
        <v>6.274</v>
      </c>
      <c r="D20" s="66">
        <v>6.7510000000000003</v>
      </c>
      <c r="E20" s="66">
        <v>7.0114400000000003</v>
      </c>
      <c r="F20" s="66">
        <v>6.9421210000000002</v>
      </c>
      <c r="G20" s="66">
        <v>6.7860100000000001</v>
      </c>
      <c r="H20" s="66">
        <v>6.9115469999999997</v>
      </c>
      <c r="I20" s="66">
        <v>6.8844649999999996</v>
      </c>
      <c r="J20" s="66">
        <v>7.0033799999999999</v>
      </c>
      <c r="K20" s="66">
        <v>7.0459079999999998</v>
      </c>
      <c r="L20" s="66">
        <v>7.0791649999999997</v>
      </c>
      <c r="M20" s="66">
        <v>7.0837250000000003</v>
      </c>
      <c r="N20" s="66">
        <v>7.0042400000000002</v>
      </c>
      <c r="O20" s="66">
        <v>7.068397</v>
      </c>
      <c r="P20" s="66">
        <v>7.131424</v>
      </c>
      <c r="Q20" s="66">
        <v>7.1280070000000002</v>
      </c>
      <c r="R20" s="66">
        <v>7.1006450000000001</v>
      </c>
      <c r="S20" s="66">
        <v>7.130846</v>
      </c>
      <c r="T20" s="66">
        <v>7.1797279999999999</v>
      </c>
      <c r="U20" s="66">
        <v>7.2051290000000003</v>
      </c>
      <c r="V20" s="66">
        <v>7.3635760000000001</v>
      </c>
      <c r="W20" s="66">
        <v>7.3365780000000003</v>
      </c>
      <c r="X20" s="66">
        <v>7.2538460000000002</v>
      </c>
      <c r="Y20" s="66">
        <v>7.1317979999999999</v>
      </c>
      <c r="Z20" s="66">
        <v>7.0743099999999997</v>
      </c>
      <c r="AA20" s="66">
        <v>6.9566140000000001</v>
      </c>
      <c r="AB20" s="66">
        <v>6.9715410000000002</v>
      </c>
      <c r="AC20" s="66">
        <v>6.9134529999999996</v>
      </c>
      <c r="AD20" s="66">
        <v>6.7632329999999996</v>
      </c>
      <c r="AE20" s="66">
        <v>6.6499560000000004</v>
      </c>
      <c r="AF20" s="67">
        <v>2.081E-3</v>
      </c>
      <c r="AG20" s="37"/>
    </row>
    <row r="21" spans="1:33" ht="15" customHeight="1" x14ac:dyDescent="0.2">
      <c r="A21" s="42" t="s">
        <v>1011</v>
      </c>
      <c r="B21" s="65" t="s">
        <v>1012</v>
      </c>
      <c r="C21" s="66">
        <v>3.459625</v>
      </c>
      <c r="D21" s="66">
        <v>3.3186429999999998</v>
      </c>
      <c r="E21" s="66">
        <v>3.2261850000000001</v>
      </c>
      <c r="F21" s="66">
        <v>3.2276440000000002</v>
      </c>
      <c r="G21" s="66">
        <v>3.2167829999999999</v>
      </c>
      <c r="H21" s="66">
        <v>3.2815379999999998</v>
      </c>
      <c r="I21" s="66">
        <v>3.315877</v>
      </c>
      <c r="J21" s="66">
        <v>3.3467549999999999</v>
      </c>
      <c r="K21" s="66">
        <v>3.4048370000000001</v>
      </c>
      <c r="L21" s="66">
        <v>3.3926229999999999</v>
      </c>
      <c r="M21" s="66">
        <v>3.372112</v>
      </c>
      <c r="N21" s="66">
        <v>3.343852</v>
      </c>
      <c r="O21" s="66">
        <v>3.3433519999999999</v>
      </c>
      <c r="P21" s="66">
        <v>3.359362</v>
      </c>
      <c r="Q21" s="66">
        <v>3.316519</v>
      </c>
      <c r="R21" s="66">
        <v>3.2998210000000001</v>
      </c>
      <c r="S21" s="66">
        <v>3.256402</v>
      </c>
      <c r="T21" s="66">
        <v>3.2514940000000001</v>
      </c>
      <c r="U21" s="66">
        <v>3.1725940000000001</v>
      </c>
      <c r="V21" s="66">
        <v>3.183427</v>
      </c>
      <c r="W21" s="66">
        <v>3.1724220000000001</v>
      </c>
      <c r="X21" s="66">
        <v>3.18634</v>
      </c>
      <c r="Y21" s="66">
        <v>3.1571570000000002</v>
      </c>
      <c r="Z21" s="66">
        <v>3.1578520000000001</v>
      </c>
      <c r="AA21" s="66">
        <v>3.0345330000000001</v>
      </c>
      <c r="AB21" s="66">
        <v>3.003107</v>
      </c>
      <c r="AC21" s="66">
        <v>2.9931809999999999</v>
      </c>
      <c r="AD21" s="66">
        <v>2.9590399999999999</v>
      </c>
      <c r="AE21" s="66">
        <v>2.940725</v>
      </c>
      <c r="AF21" s="67">
        <v>-5.7869999999999996E-3</v>
      </c>
      <c r="AG21" s="37"/>
    </row>
    <row r="22" spans="1:33" ht="15" customHeight="1" x14ac:dyDescent="0.2">
      <c r="A22" s="42" t="s">
        <v>1013</v>
      </c>
      <c r="B22" s="65" t="s">
        <v>1014</v>
      </c>
      <c r="C22" s="66">
        <v>0.57399999999999995</v>
      </c>
      <c r="D22" s="66">
        <v>0.28999999999999998</v>
      </c>
      <c r="E22" s="66">
        <v>0.111</v>
      </c>
      <c r="F22" s="66">
        <v>5.4109999999999998E-2</v>
      </c>
      <c r="G22" s="66">
        <v>0.10617</v>
      </c>
      <c r="H22" s="66">
        <v>0.10548</v>
      </c>
      <c r="I22" s="66">
        <v>7.0080000000000003E-2</v>
      </c>
      <c r="J22" s="66">
        <v>0.06</v>
      </c>
      <c r="K22" s="66">
        <v>0.06</v>
      </c>
      <c r="L22" s="66">
        <v>0.06</v>
      </c>
      <c r="M22" s="66">
        <v>0</v>
      </c>
      <c r="N22" s="66">
        <v>0</v>
      </c>
      <c r="O22" s="66">
        <v>0</v>
      </c>
      <c r="P22" s="66">
        <v>0</v>
      </c>
      <c r="Q22" s="66">
        <v>0</v>
      </c>
      <c r="R22" s="66">
        <v>0</v>
      </c>
      <c r="S22" s="66">
        <v>0</v>
      </c>
      <c r="T22" s="66">
        <v>0</v>
      </c>
      <c r="U22" s="66">
        <v>0</v>
      </c>
      <c r="V22" s="66">
        <v>0</v>
      </c>
      <c r="W22" s="66">
        <v>0</v>
      </c>
      <c r="X22" s="66">
        <v>0</v>
      </c>
      <c r="Y22" s="66">
        <v>0</v>
      </c>
      <c r="Z22" s="66">
        <v>0</v>
      </c>
      <c r="AA22" s="66">
        <v>0</v>
      </c>
      <c r="AB22" s="66">
        <v>0</v>
      </c>
      <c r="AC22" s="66">
        <v>0</v>
      </c>
      <c r="AD22" s="66">
        <v>0</v>
      </c>
      <c r="AE22" s="66">
        <v>0</v>
      </c>
      <c r="AF22" s="67" t="s">
        <v>488</v>
      </c>
      <c r="AG22" s="37"/>
    </row>
    <row r="23" spans="1:33" ht="15" customHeight="1" x14ac:dyDescent="0.2">
      <c r="A23" s="42" t="s">
        <v>1015</v>
      </c>
      <c r="B23" s="64" t="s">
        <v>1016</v>
      </c>
      <c r="C23" s="68">
        <v>15.216787999999999</v>
      </c>
      <c r="D23" s="68">
        <v>16.039767999999999</v>
      </c>
      <c r="E23" s="68">
        <v>16.56439</v>
      </c>
      <c r="F23" s="68">
        <v>16.628664000000001</v>
      </c>
      <c r="G23" s="68">
        <v>16.716269</v>
      </c>
      <c r="H23" s="68">
        <v>16.879352999999998</v>
      </c>
      <c r="I23" s="68">
        <v>16.947084</v>
      </c>
      <c r="J23" s="68">
        <v>17.005403999999999</v>
      </c>
      <c r="K23" s="68">
        <v>17.013365</v>
      </c>
      <c r="L23" s="68">
        <v>16.987401999999999</v>
      </c>
      <c r="M23" s="68">
        <v>16.985073</v>
      </c>
      <c r="N23" s="68">
        <v>16.964915999999999</v>
      </c>
      <c r="O23" s="68">
        <v>16.983591000000001</v>
      </c>
      <c r="P23" s="68">
        <v>16.999915999999999</v>
      </c>
      <c r="Q23" s="68">
        <v>16.981577000000001</v>
      </c>
      <c r="R23" s="68">
        <v>16.956059</v>
      </c>
      <c r="S23" s="68">
        <v>16.983678999999999</v>
      </c>
      <c r="T23" s="68">
        <v>16.987499</v>
      </c>
      <c r="U23" s="68">
        <v>16.995014000000001</v>
      </c>
      <c r="V23" s="68">
        <v>17.010366000000001</v>
      </c>
      <c r="W23" s="68">
        <v>17.023883999999999</v>
      </c>
      <c r="X23" s="68">
        <v>16.996929000000002</v>
      </c>
      <c r="Y23" s="68">
        <v>17.038323999999999</v>
      </c>
      <c r="Z23" s="68">
        <v>17.013694999999998</v>
      </c>
      <c r="AA23" s="68">
        <v>17.051178</v>
      </c>
      <c r="AB23" s="68">
        <v>17.000471000000001</v>
      </c>
      <c r="AC23" s="68">
        <v>16.984487999999999</v>
      </c>
      <c r="AD23" s="68">
        <v>17.005243</v>
      </c>
      <c r="AE23" s="68">
        <v>16.947378</v>
      </c>
      <c r="AF23" s="69">
        <v>3.8539999999999998E-3</v>
      </c>
      <c r="AG23" s="37"/>
    </row>
    <row r="24" spans="1:33" ht="15" customHeight="1" x14ac:dyDescent="0.2">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row>
    <row r="25" spans="1:33" ht="15" customHeight="1" x14ac:dyDescent="0.2">
      <c r="A25" s="42" t="s">
        <v>1017</v>
      </c>
      <c r="B25" s="65" t="s">
        <v>1018</v>
      </c>
      <c r="C25" s="66">
        <v>-3.9870000000000001</v>
      </c>
      <c r="D25" s="66">
        <v>-4.2750000000000004</v>
      </c>
      <c r="E25" s="66">
        <v>-5.4866590000000004</v>
      </c>
      <c r="F25" s="66">
        <v>-5.6122529999999999</v>
      </c>
      <c r="G25" s="66">
        <v>-5.8420439999999996</v>
      </c>
      <c r="H25" s="66">
        <v>-5.898498</v>
      </c>
      <c r="I25" s="66">
        <v>-5.8985370000000001</v>
      </c>
      <c r="J25" s="66">
        <v>-5.9764989999999996</v>
      </c>
      <c r="K25" s="66">
        <v>-6.082668</v>
      </c>
      <c r="L25" s="66">
        <v>-6.1247129999999999</v>
      </c>
      <c r="M25" s="66">
        <v>-6.2503149999999996</v>
      </c>
      <c r="N25" s="66">
        <v>-6.3192370000000002</v>
      </c>
      <c r="O25" s="66">
        <v>-6.4736440000000002</v>
      </c>
      <c r="P25" s="66">
        <v>-6.5625119999999999</v>
      </c>
      <c r="Q25" s="66">
        <v>-6.6830489999999996</v>
      </c>
      <c r="R25" s="66">
        <v>-6.7095079999999996</v>
      </c>
      <c r="S25" s="66">
        <v>-6.7523799999999996</v>
      </c>
      <c r="T25" s="66">
        <v>-6.842689</v>
      </c>
      <c r="U25" s="66">
        <v>-6.7977569999999998</v>
      </c>
      <c r="V25" s="66">
        <v>-6.8125210000000003</v>
      </c>
      <c r="W25" s="66">
        <v>-6.8806989999999999</v>
      </c>
      <c r="X25" s="66">
        <v>-6.8838749999999997</v>
      </c>
      <c r="Y25" s="66">
        <v>-6.9146879999999999</v>
      </c>
      <c r="Z25" s="66">
        <v>-6.858117</v>
      </c>
      <c r="AA25" s="66">
        <v>-6.8244379999999998</v>
      </c>
      <c r="AB25" s="66">
        <v>-6.7056250000000004</v>
      </c>
      <c r="AC25" s="66">
        <v>-6.6585549999999998</v>
      </c>
      <c r="AD25" s="66">
        <v>-6.6247319999999998</v>
      </c>
      <c r="AE25" s="66">
        <v>-6.4314210000000003</v>
      </c>
      <c r="AF25" s="67">
        <v>1.7224E-2</v>
      </c>
      <c r="AG25" s="37"/>
    </row>
    <row r="26" spans="1:33" ht="15" customHeight="1" x14ac:dyDescent="0.2">
      <c r="A26" s="42" t="s">
        <v>1019</v>
      </c>
      <c r="B26" s="65" t="s">
        <v>1020</v>
      </c>
      <c r="C26" s="66">
        <v>1.016</v>
      </c>
      <c r="D26" s="66">
        <v>1.0269999999999999</v>
      </c>
      <c r="E26" s="66">
        <v>0.57503000000000004</v>
      </c>
      <c r="F26" s="66">
        <v>0.58379400000000004</v>
      </c>
      <c r="G26" s="66">
        <v>0.651779</v>
      </c>
      <c r="H26" s="66">
        <v>0.68211500000000003</v>
      </c>
      <c r="I26" s="66">
        <v>0.68209799999999998</v>
      </c>
      <c r="J26" s="66">
        <v>0.67825999999999997</v>
      </c>
      <c r="K26" s="66">
        <v>0.68942000000000003</v>
      </c>
      <c r="L26" s="66">
        <v>0.70274199999999998</v>
      </c>
      <c r="M26" s="66">
        <v>0.70090300000000005</v>
      </c>
      <c r="N26" s="66">
        <v>0.709978</v>
      </c>
      <c r="O26" s="66">
        <v>0.71134799999999998</v>
      </c>
      <c r="P26" s="66">
        <v>0.727163</v>
      </c>
      <c r="Q26" s="66">
        <v>0.72629900000000003</v>
      </c>
      <c r="R26" s="66">
        <v>0.73666799999999999</v>
      </c>
      <c r="S26" s="66">
        <v>0.74345000000000006</v>
      </c>
      <c r="T26" s="66">
        <v>0.75196300000000005</v>
      </c>
      <c r="U26" s="66">
        <v>0.75730799999999998</v>
      </c>
      <c r="V26" s="66">
        <v>0.76935100000000001</v>
      </c>
      <c r="W26" s="66">
        <v>0.769231</v>
      </c>
      <c r="X26" s="66">
        <v>0.77193699999999998</v>
      </c>
      <c r="Y26" s="66">
        <v>0.76996900000000001</v>
      </c>
      <c r="Z26" s="66">
        <v>0.78286299999999998</v>
      </c>
      <c r="AA26" s="66">
        <v>0.76741000000000004</v>
      </c>
      <c r="AB26" s="66">
        <v>0.780613</v>
      </c>
      <c r="AC26" s="66">
        <v>0.80513400000000002</v>
      </c>
      <c r="AD26" s="66">
        <v>0.81010400000000005</v>
      </c>
      <c r="AE26" s="66">
        <v>0.773733</v>
      </c>
      <c r="AF26" s="67">
        <v>-9.6810000000000004E-3</v>
      </c>
      <c r="AG26" s="37"/>
    </row>
    <row r="27" spans="1:33" ht="15" customHeight="1" x14ac:dyDescent="0.2">
      <c r="A27" s="42" t="s">
        <v>1021</v>
      </c>
      <c r="B27" s="65" t="s">
        <v>1022</v>
      </c>
      <c r="C27" s="66">
        <v>0.71</v>
      </c>
      <c r="D27" s="66">
        <v>0.745</v>
      </c>
      <c r="E27" s="66">
        <v>0.64638899999999999</v>
      </c>
      <c r="F27" s="66">
        <v>0.64619000000000004</v>
      </c>
      <c r="G27" s="66">
        <v>0.59906099999999995</v>
      </c>
      <c r="H27" s="66">
        <v>0.58826800000000001</v>
      </c>
      <c r="I27" s="66">
        <v>0.58643299999999998</v>
      </c>
      <c r="J27" s="66">
        <v>0.58459799999999995</v>
      </c>
      <c r="K27" s="66">
        <v>0.58276300000000003</v>
      </c>
      <c r="L27" s="66">
        <v>0.58930300000000002</v>
      </c>
      <c r="M27" s="66">
        <v>0.57909299999999997</v>
      </c>
      <c r="N27" s="66">
        <v>0.57725800000000005</v>
      </c>
      <c r="O27" s="66">
        <v>0.57542300000000002</v>
      </c>
      <c r="P27" s="66">
        <v>0.57358799999999999</v>
      </c>
      <c r="Q27" s="66">
        <v>0.57175299999999996</v>
      </c>
      <c r="R27" s="66">
        <v>0.56991800000000004</v>
      </c>
      <c r="S27" s="66">
        <v>0.568083</v>
      </c>
      <c r="T27" s="66">
        <v>0.566249</v>
      </c>
      <c r="U27" s="66">
        <v>0.56441399999999997</v>
      </c>
      <c r="V27" s="66">
        <v>0.56200700000000003</v>
      </c>
      <c r="W27" s="66">
        <v>0.56022700000000003</v>
      </c>
      <c r="X27" s="66">
        <v>0.558338</v>
      </c>
      <c r="Y27" s="66">
        <v>0.55669400000000002</v>
      </c>
      <c r="Z27" s="66">
        <v>0.55485899999999999</v>
      </c>
      <c r="AA27" s="66">
        <v>0.55302399999999996</v>
      </c>
      <c r="AB27" s="66">
        <v>0.55118900000000004</v>
      </c>
      <c r="AC27" s="66">
        <v>0.54935400000000001</v>
      </c>
      <c r="AD27" s="66">
        <v>0.54752000000000001</v>
      </c>
      <c r="AE27" s="66">
        <v>0.54549300000000001</v>
      </c>
      <c r="AF27" s="67">
        <v>-9.3690000000000006E-3</v>
      </c>
      <c r="AG27" s="37"/>
    </row>
    <row r="28" spans="1:33" ht="15" customHeight="1" x14ac:dyDescent="0.2">
      <c r="A28" s="42" t="s">
        <v>1023</v>
      </c>
      <c r="B28" s="65" t="s">
        <v>1024</v>
      </c>
      <c r="C28" s="66">
        <v>0.443</v>
      </c>
      <c r="D28" s="66">
        <v>0.45500000000000002</v>
      </c>
      <c r="E28" s="66">
        <v>0.64136700000000002</v>
      </c>
      <c r="F28" s="66">
        <v>0.63812999999999998</v>
      </c>
      <c r="G28" s="66">
        <v>0.61907900000000005</v>
      </c>
      <c r="H28" s="66">
        <v>0.57197299999999995</v>
      </c>
      <c r="I28" s="66">
        <v>0.53284799999999999</v>
      </c>
      <c r="J28" s="66">
        <v>0.49857099999999999</v>
      </c>
      <c r="K28" s="66">
        <v>0.47134999999999999</v>
      </c>
      <c r="L28" s="66">
        <v>0.44977400000000001</v>
      </c>
      <c r="M28" s="66">
        <v>0.429647</v>
      </c>
      <c r="N28" s="66">
        <v>0.40834399999999998</v>
      </c>
      <c r="O28" s="66">
        <v>0.391953</v>
      </c>
      <c r="P28" s="66">
        <v>0.37299700000000002</v>
      </c>
      <c r="Q28" s="66">
        <v>0.37082500000000002</v>
      </c>
      <c r="R28" s="66">
        <v>0.366124</v>
      </c>
      <c r="S28" s="66">
        <v>0.36203999999999997</v>
      </c>
      <c r="T28" s="66">
        <v>0.35772999999999999</v>
      </c>
      <c r="U28" s="66">
        <v>0.35836200000000001</v>
      </c>
      <c r="V28" s="66">
        <v>0.35822500000000002</v>
      </c>
      <c r="W28" s="66">
        <v>0.35786099999999998</v>
      </c>
      <c r="X28" s="66">
        <v>0.36000300000000002</v>
      </c>
      <c r="Y28" s="66">
        <v>0.35978599999999999</v>
      </c>
      <c r="Z28" s="66">
        <v>0.36251699999999998</v>
      </c>
      <c r="AA28" s="66">
        <v>0.36956299999999997</v>
      </c>
      <c r="AB28" s="66">
        <v>0.36840699999999998</v>
      </c>
      <c r="AC28" s="66">
        <v>0.38090099999999999</v>
      </c>
      <c r="AD28" s="66">
        <v>0.387239</v>
      </c>
      <c r="AE28" s="66">
        <v>0.39354800000000001</v>
      </c>
      <c r="AF28" s="67">
        <v>-4.2180000000000004E-3</v>
      </c>
      <c r="AG28" s="37"/>
    </row>
    <row r="29" spans="1:33" ht="15" customHeight="1" x14ac:dyDescent="0.2">
      <c r="A29" s="42" t="s">
        <v>1025</v>
      </c>
      <c r="B29" s="65" t="s">
        <v>1026</v>
      </c>
      <c r="C29" s="66">
        <v>6.1559999999999997</v>
      </c>
      <c r="D29" s="66">
        <v>6.5019999999999998</v>
      </c>
      <c r="E29" s="66">
        <v>7.3494450000000002</v>
      </c>
      <c r="F29" s="66">
        <v>7.4803670000000002</v>
      </c>
      <c r="G29" s="66">
        <v>7.7119619999999998</v>
      </c>
      <c r="H29" s="66">
        <v>7.7408530000000004</v>
      </c>
      <c r="I29" s="66">
        <v>7.6999149999999998</v>
      </c>
      <c r="J29" s="66">
        <v>7.737927</v>
      </c>
      <c r="K29" s="66">
        <v>7.8262010000000002</v>
      </c>
      <c r="L29" s="66">
        <v>7.8665320000000003</v>
      </c>
      <c r="M29" s="66">
        <v>7.9599580000000003</v>
      </c>
      <c r="N29" s="66">
        <v>8.0148159999999997</v>
      </c>
      <c r="O29" s="66">
        <v>8.1523690000000002</v>
      </c>
      <c r="P29" s="66">
        <v>8.2362599999999997</v>
      </c>
      <c r="Q29" s="66">
        <v>8.3519260000000006</v>
      </c>
      <c r="R29" s="66">
        <v>8.3822179999999999</v>
      </c>
      <c r="S29" s="66">
        <v>8.4259540000000008</v>
      </c>
      <c r="T29" s="66">
        <v>8.5186309999999992</v>
      </c>
      <c r="U29" s="66">
        <v>8.4778400000000005</v>
      </c>
      <c r="V29" s="66">
        <v>8.5021039999999992</v>
      </c>
      <c r="W29" s="66">
        <v>8.5680180000000004</v>
      </c>
      <c r="X29" s="66">
        <v>8.5741530000000008</v>
      </c>
      <c r="Y29" s="66">
        <v>8.6011369999999996</v>
      </c>
      <c r="Z29" s="66">
        <v>8.5583559999999999</v>
      </c>
      <c r="AA29" s="66">
        <v>8.5144359999999999</v>
      </c>
      <c r="AB29" s="66">
        <v>8.4058329999999994</v>
      </c>
      <c r="AC29" s="66">
        <v>8.3939439999999994</v>
      </c>
      <c r="AD29" s="66">
        <v>8.3695950000000003</v>
      </c>
      <c r="AE29" s="66">
        <v>8.1441949999999999</v>
      </c>
      <c r="AF29" s="67">
        <v>1.0045999999999999E-2</v>
      </c>
      <c r="AG29" s="37"/>
    </row>
    <row r="30" spans="1:33" ht="15" customHeight="1" x14ac:dyDescent="0.2">
      <c r="A30" s="42" t="s">
        <v>1027</v>
      </c>
      <c r="B30" s="65" t="s">
        <v>1028</v>
      </c>
      <c r="C30" s="66">
        <v>1.01</v>
      </c>
      <c r="D30" s="66">
        <v>1.016</v>
      </c>
      <c r="E30" s="66">
        <v>0.92990300000000004</v>
      </c>
      <c r="F30" s="66">
        <v>0.95240199999999997</v>
      </c>
      <c r="G30" s="66">
        <v>0.95741200000000004</v>
      </c>
      <c r="H30" s="66">
        <v>0.94188799999999995</v>
      </c>
      <c r="I30" s="66">
        <v>0.96402900000000002</v>
      </c>
      <c r="J30" s="66">
        <v>0.973603</v>
      </c>
      <c r="K30" s="66">
        <v>1.0076430000000001</v>
      </c>
      <c r="L30" s="66">
        <v>0.98453100000000004</v>
      </c>
      <c r="M30" s="66">
        <v>0.99140399999999995</v>
      </c>
      <c r="N30" s="66">
        <v>0.98396300000000003</v>
      </c>
      <c r="O30" s="66">
        <v>1.0067520000000001</v>
      </c>
      <c r="P30" s="66">
        <v>1.0017689999999999</v>
      </c>
      <c r="Q30" s="66">
        <v>1.007274</v>
      </c>
      <c r="R30" s="66">
        <v>1.0074380000000001</v>
      </c>
      <c r="S30" s="66">
        <v>1.0092300000000001</v>
      </c>
      <c r="T30" s="66">
        <v>1.013738</v>
      </c>
      <c r="U30" s="66">
        <v>1.011498</v>
      </c>
      <c r="V30" s="66">
        <v>1.0099089999999999</v>
      </c>
      <c r="W30" s="66">
        <v>1.005269</v>
      </c>
      <c r="X30" s="66">
        <v>0.99675499999999995</v>
      </c>
      <c r="Y30" s="66">
        <v>0.99619000000000002</v>
      </c>
      <c r="Z30" s="66">
        <v>0.99468999999999996</v>
      </c>
      <c r="AA30" s="66">
        <v>0.97349399999999997</v>
      </c>
      <c r="AB30" s="66">
        <v>0.96989300000000001</v>
      </c>
      <c r="AC30" s="66">
        <v>0.97395600000000004</v>
      </c>
      <c r="AD30" s="66">
        <v>0.97454499999999999</v>
      </c>
      <c r="AE30" s="66">
        <v>0.96512399999999998</v>
      </c>
      <c r="AF30" s="67">
        <v>-1.622E-3</v>
      </c>
      <c r="AG30" s="37"/>
    </row>
    <row r="31" spans="1:33" ht="12" customHeight="1" x14ac:dyDescent="0.2">
      <c r="A31" s="42" t="s">
        <v>1029</v>
      </c>
      <c r="B31" s="65" t="s">
        <v>1030</v>
      </c>
      <c r="C31" s="66">
        <v>2.9000000000000001E-2</v>
      </c>
      <c r="D31" s="66">
        <v>-6.0999999999999999E-2</v>
      </c>
      <c r="E31" s="66">
        <v>0</v>
      </c>
      <c r="F31" s="66">
        <v>0</v>
      </c>
      <c r="G31" s="66">
        <v>0</v>
      </c>
      <c r="H31" s="66">
        <v>0</v>
      </c>
      <c r="I31" s="66">
        <v>0</v>
      </c>
      <c r="J31" s="66">
        <v>0</v>
      </c>
      <c r="K31" s="66">
        <v>0</v>
      </c>
      <c r="L31" s="66">
        <v>0</v>
      </c>
      <c r="M31" s="66">
        <v>0</v>
      </c>
      <c r="N31" s="66">
        <v>0</v>
      </c>
      <c r="O31" s="66">
        <v>0</v>
      </c>
      <c r="P31" s="66">
        <v>0</v>
      </c>
      <c r="Q31" s="66">
        <v>0</v>
      </c>
      <c r="R31" s="66">
        <v>0</v>
      </c>
      <c r="S31" s="66">
        <v>0</v>
      </c>
      <c r="T31" s="66">
        <v>0</v>
      </c>
      <c r="U31" s="66">
        <v>0</v>
      </c>
      <c r="V31" s="66">
        <v>0</v>
      </c>
      <c r="W31" s="66">
        <v>0</v>
      </c>
      <c r="X31" s="66">
        <v>0</v>
      </c>
      <c r="Y31" s="66">
        <v>0</v>
      </c>
      <c r="Z31" s="66">
        <v>0</v>
      </c>
      <c r="AA31" s="66">
        <v>0</v>
      </c>
      <c r="AB31" s="66">
        <v>0</v>
      </c>
      <c r="AC31" s="66">
        <v>0</v>
      </c>
      <c r="AD31" s="66">
        <v>0</v>
      </c>
      <c r="AE31" s="66">
        <v>0</v>
      </c>
      <c r="AF31" s="67" t="s">
        <v>488</v>
      </c>
      <c r="AG31" s="37"/>
    </row>
    <row r="32" spans="1:33" ht="12" customHeight="1" x14ac:dyDescent="0.2">
      <c r="A32" s="42" t="s">
        <v>1031</v>
      </c>
      <c r="B32" s="65" t="s">
        <v>1032</v>
      </c>
      <c r="C32" s="66">
        <v>5.9699749999999998</v>
      </c>
      <c r="D32" s="66">
        <v>6.296977</v>
      </c>
      <c r="E32" s="66">
        <v>6.4319179999999996</v>
      </c>
      <c r="F32" s="66">
        <v>6.4290310000000002</v>
      </c>
      <c r="G32" s="66">
        <v>6.5575539999999997</v>
      </c>
      <c r="H32" s="66">
        <v>6.4541130000000004</v>
      </c>
      <c r="I32" s="66">
        <v>6.365405</v>
      </c>
      <c r="J32" s="66">
        <v>6.2854109999999999</v>
      </c>
      <c r="K32" s="66">
        <v>6.2338209999999998</v>
      </c>
      <c r="L32" s="66">
        <v>6.2209989999999999</v>
      </c>
      <c r="M32" s="66">
        <v>6.2777099999999999</v>
      </c>
      <c r="N32" s="66">
        <v>6.3210569999999997</v>
      </c>
      <c r="O32" s="66">
        <v>6.4106740000000002</v>
      </c>
      <c r="P32" s="66">
        <v>6.4591070000000004</v>
      </c>
      <c r="Q32" s="66">
        <v>6.5548060000000001</v>
      </c>
      <c r="R32" s="66">
        <v>6.5949949999999999</v>
      </c>
      <c r="S32" s="66">
        <v>6.5962969999999999</v>
      </c>
      <c r="T32" s="66">
        <v>6.695856</v>
      </c>
      <c r="U32" s="66">
        <v>6.691878</v>
      </c>
      <c r="V32" s="66">
        <v>6.7411700000000003</v>
      </c>
      <c r="W32" s="66">
        <v>6.8641959999999997</v>
      </c>
      <c r="X32" s="66">
        <v>6.9634729999999996</v>
      </c>
      <c r="Y32" s="66">
        <v>7.0134230000000004</v>
      </c>
      <c r="Z32" s="66">
        <v>7.0499260000000001</v>
      </c>
      <c r="AA32" s="66">
        <v>7.0984809999999996</v>
      </c>
      <c r="AB32" s="66">
        <v>7.1375390000000003</v>
      </c>
      <c r="AC32" s="66">
        <v>7.1668159999999999</v>
      </c>
      <c r="AD32" s="66">
        <v>7.2011950000000002</v>
      </c>
      <c r="AE32" s="66">
        <v>7.2237090000000004</v>
      </c>
      <c r="AF32" s="67">
        <v>6.8310000000000003E-3</v>
      </c>
      <c r="AG32" s="37"/>
    </row>
    <row r="33" spans="1:33" ht="12" customHeight="1" x14ac:dyDescent="0.2">
      <c r="A33" s="42" t="s">
        <v>1033</v>
      </c>
      <c r="B33" s="65" t="s">
        <v>1034</v>
      </c>
      <c r="C33" s="66">
        <v>1.151597</v>
      </c>
      <c r="D33" s="66">
        <v>1.173395</v>
      </c>
      <c r="E33" s="66">
        <v>1.2233290000000001</v>
      </c>
      <c r="F33" s="66">
        <v>1.2029510000000001</v>
      </c>
      <c r="G33" s="66">
        <v>1.1965600000000001</v>
      </c>
      <c r="H33" s="66">
        <v>1.1942820000000001</v>
      </c>
      <c r="I33" s="66">
        <v>1.136779</v>
      </c>
      <c r="J33" s="66">
        <v>1.1342950000000001</v>
      </c>
      <c r="K33" s="66">
        <v>1.131262</v>
      </c>
      <c r="L33" s="66">
        <v>1.128301</v>
      </c>
      <c r="M33" s="66">
        <v>1.125092</v>
      </c>
      <c r="N33" s="66">
        <v>1.1231139999999999</v>
      </c>
      <c r="O33" s="66">
        <v>1.1212930000000001</v>
      </c>
      <c r="P33" s="66">
        <v>1.1192610000000001</v>
      </c>
      <c r="Q33" s="66">
        <v>1.11697</v>
      </c>
      <c r="R33" s="66">
        <v>1.11527</v>
      </c>
      <c r="S33" s="66">
        <v>1.1139349999999999</v>
      </c>
      <c r="T33" s="66">
        <v>1.1128290000000001</v>
      </c>
      <c r="U33" s="66">
        <v>1.1123609999999999</v>
      </c>
      <c r="V33" s="66">
        <v>1.1118680000000001</v>
      </c>
      <c r="W33" s="66">
        <v>1.1120000000000001</v>
      </c>
      <c r="X33" s="66">
        <v>1.112441</v>
      </c>
      <c r="Y33" s="66">
        <v>1.1135759999999999</v>
      </c>
      <c r="Z33" s="66">
        <v>1.1150800000000001</v>
      </c>
      <c r="AA33" s="66">
        <v>1.1244940000000001</v>
      </c>
      <c r="AB33" s="66">
        <v>1.138954</v>
      </c>
      <c r="AC33" s="66">
        <v>1.1637489999999999</v>
      </c>
      <c r="AD33" s="66">
        <v>1.181888</v>
      </c>
      <c r="AE33" s="66">
        <v>1.1961409999999999</v>
      </c>
      <c r="AF33" s="67">
        <v>1.356E-3</v>
      </c>
      <c r="AG33" s="37"/>
    </row>
    <row r="34" spans="1:33" ht="12" customHeight="1" x14ac:dyDescent="0.2">
      <c r="A34" s="42" t="s">
        <v>1035</v>
      </c>
      <c r="B34" s="65" t="s">
        <v>1036</v>
      </c>
      <c r="C34" s="66">
        <v>0.88826700000000003</v>
      </c>
      <c r="D34" s="66">
        <v>0.88663499999999995</v>
      </c>
      <c r="E34" s="66">
        <v>0.90816799999999998</v>
      </c>
      <c r="F34" s="66">
        <v>0.90070799999999995</v>
      </c>
      <c r="G34" s="66">
        <v>0.89525900000000003</v>
      </c>
      <c r="H34" s="66">
        <v>0.89078000000000002</v>
      </c>
      <c r="I34" s="66">
        <v>0.88468899999999995</v>
      </c>
      <c r="J34" s="66">
        <v>0.877112</v>
      </c>
      <c r="K34" s="66">
        <v>0.86830600000000002</v>
      </c>
      <c r="L34" s="66">
        <v>0.86020200000000002</v>
      </c>
      <c r="M34" s="66">
        <v>0.85241599999999995</v>
      </c>
      <c r="N34" s="66">
        <v>0.84707299999999996</v>
      </c>
      <c r="O34" s="66">
        <v>0.843028</v>
      </c>
      <c r="P34" s="66">
        <v>0.83882900000000005</v>
      </c>
      <c r="Q34" s="66">
        <v>0.83372199999999996</v>
      </c>
      <c r="R34" s="66">
        <v>0.83013300000000001</v>
      </c>
      <c r="S34" s="66">
        <v>0.82748999999999995</v>
      </c>
      <c r="T34" s="66">
        <v>0.82537700000000003</v>
      </c>
      <c r="U34" s="66">
        <v>0.82497500000000001</v>
      </c>
      <c r="V34" s="66">
        <v>0.82484500000000005</v>
      </c>
      <c r="W34" s="66">
        <v>0.82603800000000005</v>
      </c>
      <c r="X34" s="66">
        <v>0.82802200000000004</v>
      </c>
      <c r="Y34" s="66">
        <v>0.83152400000000004</v>
      </c>
      <c r="Z34" s="66">
        <v>0.83620399999999995</v>
      </c>
      <c r="AA34" s="66">
        <v>0.84243500000000004</v>
      </c>
      <c r="AB34" s="66">
        <v>0.85008099999999998</v>
      </c>
      <c r="AC34" s="66">
        <v>0.85816700000000001</v>
      </c>
      <c r="AD34" s="66">
        <v>0.86726999999999999</v>
      </c>
      <c r="AE34" s="66">
        <v>0.87801300000000004</v>
      </c>
      <c r="AF34" s="67">
        <v>-4.15E-4</v>
      </c>
      <c r="AG34" s="37"/>
    </row>
    <row r="35" spans="1:33" ht="12" customHeight="1" x14ac:dyDescent="0.2">
      <c r="A35" s="42" t="s">
        <v>1037</v>
      </c>
      <c r="B35" s="65" t="s">
        <v>1038</v>
      </c>
      <c r="C35" s="66">
        <v>0.97899999999999998</v>
      </c>
      <c r="D35" s="66">
        <v>0.96047400000000005</v>
      </c>
      <c r="E35" s="66">
        <v>1.0262929999999999</v>
      </c>
      <c r="F35" s="66">
        <v>1.0217849999999999</v>
      </c>
      <c r="G35" s="66">
        <v>1.019358</v>
      </c>
      <c r="H35" s="66">
        <v>1.0179819999999999</v>
      </c>
      <c r="I35" s="66">
        <v>1.021285</v>
      </c>
      <c r="J35" s="66">
        <v>1.017118</v>
      </c>
      <c r="K35" s="66">
        <v>1.011808</v>
      </c>
      <c r="L35" s="66">
        <v>1.007296</v>
      </c>
      <c r="M35" s="66">
        <v>1.00319</v>
      </c>
      <c r="N35" s="66">
        <v>1.001611</v>
      </c>
      <c r="O35" s="66">
        <v>1.001428</v>
      </c>
      <c r="P35" s="66">
        <v>1.008569</v>
      </c>
      <c r="Q35" s="66">
        <v>1.0077050000000001</v>
      </c>
      <c r="R35" s="66">
        <v>1.008473</v>
      </c>
      <c r="S35" s="66">
        <v>1.010289</v>
      </c>
      <c r="T35" s="66">
        <v>1.012737</v>
      </c>
      <c r="U35" s="66">
        <v>1.0170250000000001</v>
      </c>
      <c r="V35" s="66">
        <v>1.0302579999999999</v>
      </c>
      <c r="W35" s="66">
        <v>1.0365839999999999</v>
      </c>
      <c r="X35" s="66">
        <v>1.043836</v>
      </c>
      <c r="Y35" s="66">
        <v>1.045533</v>
      </c>
      <c r="Z35" s="66">
        <v>1.0536099999999999</v>
      </c>
      <c r="AA35" s="66">
        <v>1.0651520000000001</v>
      </c>
      <c r="AB35" s="66">
        <v>1.0783689999999999</v>
      </c>
      <c r="AC35" s="66">
        <v>1.1023270000000001</v>
      </c>
      <c r="AD35" s="66">
        <v>1.1130720000000001</v>
      </c>
      <c r="AE35" s="66">
        <v>1.121086</v>
      </c>
      <c r="AF35" s="67">
        <v>4.8520000000000004E-3</v>
      </c>
      <c r="AG35" s="37"/>
    </row>
    <row r="36" spans="1:33" ht="12" customHeight="1" x14ac:dyDescent="0.2">
      <c r="A36" s="42" t="s">
        <v>1039</v>
      </c>
      <c r="B36" s="65" t="s">
        <v>1040</v>
      </c>
      <c r="C36" s="66">
        <v>-9.0732999999999994E-2</v>
      </c>
      <c r="D36" s="66">
        <v>-7.3839000000000002E-2</v>
      </c>
      <c r="E36" s="66">
        <v>-0.11812499999999999</v>
      </c>
      <c r="F36" s="66">
        <v>-0.121077</v>
      </c>
      <c r="G36" s="66">
        <v>-0.124098</v>
      </c>
      <c r="H36" s="66">
        <v>-0.12720200000000001</v>
      </c>
      <c r="I36" s="66">
        <v>-0.136596</v>
      </c>
      <c r="J36" s="66">
        <v>-0.14000599999999999</v>
      </c>
      <c r="K36" s="66">
        <v>-0.14350099999999999</v>
      </c>
      <c r="L36" s="66">
        <v>-0.147094</v>
      </c>
      <c r="M36" s="66">
        <v>-0.15077299999999999</v>
      </c>
      <c r="N36" s="66">
        <v>-0.15453800000000001</v>
      </c>
      <c r="O36" s="66">
        <v>-0.15840000000000001</v>
      </c>
      <c r="P36" s="66">
        <v>-0.16974</v>
      </c>
      <c r="Q36" s="66">
        <v>-0.173982</v>
      </c>
      <c r="R36" s="66">
        <v>-0.178339</v>
      </c>
      <c r="S36" s="66">
        <v>-0.18279899999999999</v>
      </c>
      <c r="T36" s="66">
        <v>-0.187361</v>
      </c>
      <c r="U36" s="66">
        <v>-0.19205</v>
      </c>
      <c r="V36" s="66">
        <v>-0.20541300000000001</v>
      </c>
      <c r="W36" s="66">
        <v>-0.21054700000000001</v>
      </c>
      <c r="X36" s="66">
        <v>-0.215813</v>
      </c>
      <c r="Y36" s="66">
        <v>-0.214009</v>
      </c>
      <c r="Z36" s="66">
        <v>-0.21740599999999999</v>
      </c>
      <c r="AA36" s="66">
        <v>-0.222717</v>
      </c>
      <c r="AB36" s="66">
        <v>-0.22828799999999999</v>
      </c>
      <c r="AC36" s="66">
        <v>-0.24415999999999999</v>
      </c>
      <c r="AD36" s="66">
        <v>-0.24580199999999999</v>
      </c>
      <c r="AE36" s="66">
        <v>-0.24307300000000001</v>
      </c>
      <c r="AF36" s="67">
        <v>3.5820999999999999E-2</v>
      </c>
      <c r="AG36" s="37"/>
    </row>
    <row r="37" spans="1:33" ht="12" customHeight="1" x14ac:dyDescent="0.2">
      <c r="A37" s="42" t="s">
        <v>1043</v>
      </c>
      <c r="B37" s="65" t="s">
        <v>1044</v>
      </c>
      <c r="C37" s="66">
        <v>0.103046</v>
      </c>
      <c r="D37" s="66">
        <v>9.7053E-2</v>
      </c>
      <c r="E37" s="66">
        <v>0.112022</v>
      </c>
      <c r="F37" s="66">
        <v>0.10396</v>
      </c>
      <c r="G37" s="66">
        <v>0.10224999999999999</v>
      </c>
      <c r="H37" s="66">
        <v>0.103813</v>
      </c>
      <c r="I37" s="66">
        <v>7.9212000000000005E-2</v>
      </c>
      <c r="J37" s="66">
        <v>8.3934999999999996E-2</v>
      </c>
      <c r="K37" s="66">
        <v>8.8371000000000005E-2</v>
      </c>
      <c r="L37" s="66">
        <v>9.0935000000000002E-2</v>
      </c>
      <c r="M37" s="66">
        <v>9.0301000000000006E-2</v>
      </c>
      <c r="N37" s="66">
        <v>9.1918E-2</v>
      </c>
      <c r="O37" s="66">
        <v>9.0519000000000002E-2</v>
      </c>
      <c r="P37" s="66">
        <v>8.8805999999999996E-2</v>
      </c>
      <c r="Q37" s="66">
        <v>8.7027999999999994E-2</v>
      </c>
      <c r="R37" s="66">
        <v>8.5183999999999996E-2</v>
      </c>
      <c r="S37" s="66">
        <v>8.3271999999999999E-2</v>
      </c>
      <c r="T37" s="66">
        <v>8.1551999999999999E-2</v>
      </c>
      <c r="U37" s="66">
        <v>7.9501000000000002E-2</v>
      </c>
      <c r="V37" s="66">
        <v>7.7378000000000002E-2</v>
      </c>
      <c r="W37" s="66">
        <v>7.5180999999999998E-2</v>
      </c>
      <c r="X37" s="66">
        <v>7.2909000000000002E-2</v>
      </c>
      <c r="Y37" s="66">
        <v>7.0562E-2</v>
      </c>
      <c r="Z37" s="66">
        <v>6.8136000000000002E-2</v>
      </c>
      <c r="AA37" s="66">
        <v>6.5630999999999995E-2</v>
      </c>
      <c r="AB37" s="66">
        <v>6.3045000000000004E-2</v>
      </c>
      <c r="AC37" s="66">
        <v>6.0377E-2</v>
      </c>
      <c r="AD37" s="66">
        <v>5.7681999999999997E-2</v>
      </c>
      <c r="AE37" s="66">
        <v>5.4987000000000001E-2</v>
      </c>
      <c r="AF37" s="67" t="s">
        <v>488</v>
      </c>
      <c r="AG37" s="37"/>
    </row>
    <row r="38" spans="1:33" ht="12" customHeight="1" x14ac:dyDescent="0.2">
      <c r="A38" s="42" t="s">
        <v>1045</v>
      </c>
      <c r="B38" s="65" t="s">
        <v>1038</v>
      </c>
      <c r="C38" s="66">
        <v>0.107</v>
      </c>
      <c r="D38" s="66">
        <v>9.4228999999999993E-2</v>
      </c>
      <c r="E38" s="66">
        <v>0.104004</v>
      </c>
      <c r="F38" s="66">
        <v>9.5902000000000001E-2</v>
      </c>
      <c r="G38" s="66">
        <v>9.4152E-2</v>
      </c>
      <c r="H38" s="66">
        <v>9.5673999999999995E-2</v>
      </c>
      <c r="I38" s="66">
        <v>7.1032999999999999E-2</v>
      </c>
      <c r="J38" s="66">
        <v>7.5715000000000005E-2</v>
      </c>
      <c r="K38" s="66">
        <v>8.0109E-2</v>
      </c>
      <c r="L38" s="66">
        <v>8.2632999999999998E-2</v>
      </c>
      <c r="M38" s="66">
        <v>8.1957000000000002E-2</v>
      </c>
      <c r="N38" s="66">
        <v>8.3531999999999995E-2</v>
      </c>
      <c r="O38" s="66">
        <v>8.2090999999999997E-2</v>
      </c>
      <c r="P38" s="66">
        <v>8.0336000000000005E-2</v>
      </c>
      <c r="Q38" s="66">
        <v>7.8516000000000002E-2</v>
      </c>
      <c r="R38" s="66">
        <v>7.6629000000000003E-2</v>
      </c>
      <c r="S38" s="66">
        <v>7.4674000000000004E-2</v>
      </c>
      <c r="T38" s="66">
        <v>7.2911000000000004E-2</v>
      </c>
      <c r="U38" s="66">
        <v>7.0817000000000005E-2</v>
      </c>
      <c r="V38" s="66">
        <v>6.8650000000000003E-2</v>
      </c>
      <c r="W38" s="66">
        <v>6.6409999999999997E-2</v>
      </c>
      <c r="X38" s="66">
        <v>6.4094999999999999E-2</v>
      </c>
      <c r="Y38" s="66">
        <v>6.1703000000000001E-2</v>
      </c>
      <c r="Z38" s="66">
        <v>5.9233000000000001E-2</v>
      </c>
      <c r="AA38" s="66">
        <v>5.6682999999999997E-2</v>
      </c>
      <c r="AB38" s="66">
        <v>5.4052999999999997E-2</v>
      </c>
      <c r="AC38" s="66">
        <v>5.1339000000000003E-2</v>
      </c>
      <c r="AD38" s="66">
        <v>4.8599000000000003E-2</v>
      </c>
      <c r="AE38" s="66">
        <v>4.5858999999999997E-2</v>
      </c>
      <c r="AF38" s="67">
        <v>-2.9805999999999999E-2</v>
      </c>
      <c r="AG38" s="37"/>
    </row>
    <row r="39" spans="1:33" ht="12" customHeight="1" x14ac:dyDescent="0.2">
      <c r="A39" s="42" t="s">
        <v>1046</v>
      </c>
      <c r="B39" s="65" t="s">
        <v>1040</v>
      </c>
      <c r="C39" s="66">
        <v>-3.9529999999999999E-3</v>
      </c>
      <c r="D39" s="66">
        <v>2.8249999999999998E-3</v>
      </c>
      <c r="E39" s="66">
        <v>8.0180000000000008E-3</v>
      </c>
      <c r="F39" s="66">
        <v>8.0579999999999992E-3</v>
      </c>
      <c r="G39" s="66">
        <v>8.0979999999999993E-3</v>
      </c>
      <c r="H39" s="66">
        <v>8.1390000000000004E-3</v>
      </c>
      <c r="I39" s="66">
        <v>8.1799999999999998E-3</v>
      </c>
      <c r="J39" s="66">
        <v>8.2199999999999999E-3</v>
      </c>
      <c r="K39" s="66">
        <v>8.2620000000000002E-3</v>
      </c>
      <c r="L39" s="66">
        <v>8.3029999999999996E-3</v>
      </c>
      <c r="M39" s="66">
        <v>8.3440000000000007E-3</v>
      </c>
      <c r="N39" s="66">
        <v>8.3859999999999994E-3</v>
      </c>
      <c r="O39" s="66">
        <v>8.4279999999999997E-3</v>
      </c>
      <c r="P39" s="66">
        <v>8.4700000000000001E-3</v>
      </c>
      <c r="Q39" s="66">
        <v>8.5120000000000005E-3</v>
      </c>
      <c r="R39" s="66">
        <v>8.5550000000000001E-3</v>
      </c>
      <c r="S39" s="66">
        <v>8.5979999999999997E-3</v>
      </c>
      <c r="T39" s="66">
        <v>8.6409999999999994E-3</v>
      </c>
      <c r="U39" s="66">
        <v>8.6840000000000007E-3</v>
      </c>
      <c r="V39" s="66">
        <v>8.7270000000000004E-3</v>
      </c>
      <c r="W39" s="66">
        <v>8.7709999999999993E-3</v>
      </c>
      <c r="X39" s="66">
        <v>8.8149999999999999E-3</v>
      </c>
      <c r="Y39" s="66">
        <v>8.8590000000000006E-3</v>
      </c>
      <c r="Z39" s="66">
        <v>8.9029999999999995E-3</v>
      </c>
      <c r="AA39" s="66">
        <v>8.9479999999999994E-3</v>
      </c>
      <c r="AB39" s="66">
        <v>8.9929999999999993E-3</v>
      </c>
      <c r="AC39" s="66">
        <v>9.0379999999999992E-3</v>
      </c>
      <c r="AD39" s="66">
        <v>9.0830000000000008E-3</v>
      </c>
      <c r="AE39" s="66">
        <v>9.1280000000000007E-3</v>
      </c>
      <c r="AF39" s="67" t="s">
        <v>488</v>
      </c>
      <c r="AG39" s="37"/>
    </row>
    <row r="40" spans="1:33" ht="12" customHeight="1" x14ac:dyDescent="0.2">
      <c r="A40" s="42" t="s">
        <v>1043</v>
      </c>
      <c r="B40" s="65" t="s">
        <v>1135</v>
      </c>
      <c r="C40" s="66">
        <v>0.15696599999999999</v>
      </c>
      <c r="D40" s="66">
        <v>0.18584899999999999</v>
      </c>
      <c r="E40" s="66">
        <v>0.19922599999999999</v>
      </c>
      <c r="F40" s="66">
        <v>0.19447500000000001</v>
      </c>
      <c r="G40" s="66">
        <v>0.19520599999999999</v>
      </c>
      <c r="H40" s="66">
        <v>0.19587099999999999</v>
      </c>
      <c r="I40" s="66">
        <v>0.169574</v>
      </c>
      <c r="J40" s="66">
        <v>0.16946800000000001</v>
      </c>
      <c r="K40" s="66">
        <v>0.17105799999999999</v>
      </c>
      <c r="L40" s="66">
        <v>0.173509</v>
      </c>
      <c r="M40" s="66">
        <v>0.17861099999999999</v>
      </c>
      <c r="N40" s="66">
        <v>0.18016299999999999</v>
      </c>
      <c r="O40" s="66">
        <v>0.183723</v>
      </c>
      <c r="P40" s="66">
        <v>0.18753600000000001</v>
      </c>
      <c r="Q40" s="66">
        <v>0.192047</v>
      </c>
      <c r="R40" s="66">
        <v>0.195715</v>
      </c>
      <c r="S40" s="66">
        <v>0.198881</v>
      </c>
      <c r="T40" s="66">
        <v>0.20156499999999999</v>
      </c>
      <c r="U40" s="66">
        <v>0.20352000000000001</v>
      </c>
      <c r="V40" s="66">
        <v>0.20505499999999999</v>
      </c>
      <c r="W40" s="66">
        <v>0.20638000000000001</v>
      </c>
      <c r="X40" s="66">
        <v>0.20710400000000001</v>
      </c>
      <c r="Y40" s="66">
        <v>0.20721500000000001</v>
      </c>
      <c r="Z40" s="66">
        <v>0.20685000000000001</v>
      </c>
      <c r="AA40" s="66">
        <v>0.21198700000000001</v>
      </c>
      <c r="AB40" s="66">
        <v>0.22120899999999999</v>
      </c>
      <c r="AC40" s="66">
        <v>0.24021100000000001</v>
      </c>
      <c r="AD40" s="66">
        <v>0.25170199999999998</v>
      </c>
      <c r="AE40" s="66">
        <v>0.25795400000000002</v>
      </c>
      <c r="AF40" s="67">
        <v>1.7899000000000002E-2</v>
      </c>
      <c r="AG40" s="37"/>
    </row>
    <row r="41" spans="1:33" ht="12" customHeight="1" x14ac:dyDescent="0.2">
      <c r="A41" s="42" t="s">
        <v>1045</v>
      </c>
      <c r="B41" s="65" t="s">
        <v>1038</v>
      </c>
      <c r="C41" s="66">
        <v>0.135765</v>
      </c>
      <c r="D41" s="66">
        <v>0.162187</v>
      </c>
      <c r="E41" s="66">
        <v>0.164766</v>
      </c>
      <c r="F41" s="66">
        <v>0.159584</v>
      </c>
      <c r="G41" s="66">
        <v>0.15987899999999999</v>
      </c>
      <c r="H41" s="66">
        <v>0.16010199999999999</v>
      </c>
      <c r="I41" s="66">
        <v>0.13335900000000001</v>
      </c>
      <c r="J41" s="66">
        <v>0.132799</v>
      </c>
      <c r="K41" s="66">
        <v>0.13393099999999999</v>
      </c>
      <c r="L41" s="66">
        <v>0.13591900000000001</v>
      </c>
      <c r="M41" s="66">
        <v>0.14055000000000001</v>
      </c>
      <c r="N41" s="66">
        <v>0.141627</v>
      </c>
      <c r="O41" s="66">
        <v>0.144705</v>
      </c>
      <c r="P41" s="66">
        <v>0.14802999999999999</v>
      </c>
      <c r="Q41" s="66">
        <v>0.15204699999999999</v>
      </c>
      <c r="R41" s="66">
        <v>0.15521499999999999</v>
      </c>
      <c r="S41" s="66">
        <v>0.15787499999999999</v>
      </c>
      <c r="T41" s="66">
        <v>0.16004599999999999</v>
      </c>
      <c r="U41" s="66">
        <v>0.16148299999999999</v>
      </c>
      <c r="V41" s="66">
        <v>0.162492</v>
      </c>
      <c r="W41" s="66">
        <v>0.16328400000000001</v>
      </c>
      <c r="X41" s="66">
        <v>0.16347</v>
      </c>
      <c r="Y41" s="66">
        <v>0.16303599999999999</v>
      </c>
      <c r="Z41" s="66">
        <v>0.16211900000000001</v>
      </c>
      <c r="AA41" s="66">
        <v>0.16669600000000001</v>
      </c>
      <c r="AB41" s="66">
        <v>0.17535300000000001</v>
      </c>
      <c r="AC41" s="66">
        <v>0.19378100000000001</v>
      </c>
      <c r="AD41" s="66">
        <v>0.20469200000000001</v>
      </c>
      <c r="AE41" s="66">
        <v>0.21035599999999999</v>
      </c>
      <c r="AF41" s="67">
        <v>1.5761000000000001E-2</v>
      </c>
      <c r="AG41" s="37"/>
    </row>
    <row r="42" spans="1:33" ht="12" customHeight="1" x14ac:dyDescent="0.2">
      <c r="A42" s="42" t="s">
        <v>1046</v>
      </c>
      <c r="B42" s="65" t="s">
        <v>1040</v>
      </c>
      <c r="C42" s="66">
        <v>2.12E-2</v>
      </c>
      <c r="D42" s="66">
        <v>2.3661999999999999E-2</v>
      </c>
      <c r="E42" s="66">
        <v>3.4459999999999998E-2</v>
      </c>
      <c r="F42" s="66">
        <v>3.4890999999999998E-2</v>
      </c>
      <c r="G42" s="66">
        <v>3.5326999999999997E-2</v>
      </c>
      <c r="H42" s="66">
        <v>3.5769000000000002E-2</v>
      </c>
      <c r="I42" s="66">
        <v>3.6215999999999998E-2</v>
      </c>
      <c r="J42" s="66">
        <v>3.6667999999999999E-2</v>
      </c>
      <c r="K42" s="66">
        <v>3.7127E-2</v>
      </c>
      <c r="L42" s="66">
        <v>3.7590999999999999E-2</v>
      </c>
      <c r="M42" s="66">
        <v>3.8060999999999998E-2</v>
      </c>
      <c r="N42" s="66">
        <v>3.8536000000000001E-2</v>
      </c>
      <c r="O42" s="66">
        <v>3.9017999999999997E-2</v>
      </c>
      <c r="P42" s="66">
        <v>3.9505999999999999E-2</v>
      </c>
      <c r="Q42" s="66">
        <v>0.04</v>
      </c>
      <c r="R42" s="66">
        <v>4.0500000000000001E-2</v>
      </c>
      <c r="S42" s="66">
        <v>4.1006000000000001E-2</v>
      </c>
      <c r="T42" s="66">
        <v>4.1519E-2</v>
      </c>
      <c r="U42" s="66">
        <v>4.2037999999999999E-2</v>
      </c>
      <c r="V42" s="66">
        <v>4.2562999999999997E-2</v>
      </c>
      <c r="W42" s="66">
        <v>4.3095000000000001E-2</v>
      </c>
      <c r="X42" s="66">
        <v>4.3633999999999999E-2</v>
      </c>
      <c r="Y42" s="66">
        <v>4.4179000000000003E-2</v>
      </c>
      <c r="Z42" s="66">
        <v>4.4731E-2</v>
      </c>
      <c r="AA42" s="66">
        <v>4.5290999999999998E-2</v>
      </c>
      <c r="AB42" s="66">
        <v>4.5857000000000002E-2</v>
      </c>
      <c r="AC42" s="66">
        <v>4.6429999999999999E-2</v>
      </c>
      <c r="AD42" s="66">
        <v>4.7010000000000003E-2</v>
      </c>
      <c r="AE42" s="66">
        <v>4.7598000000000001E-2</v>
      </c>
      <c r="AF42" s="67">
        <v>2.9305999999999999E-2</v>
      </c>
      <c r="AG42" s="37"/>
    </row>
    <row r="43" spans="1:33" ht="12" customHeight="1" x14ac:dyDescent="0.2">
      <c r="A43" s="42" t="s">
        <v>1048</v>
      </c>
      <c r="B43" s="65" t="s">
        <v>1049</v>
      </c>
      <c r="C43" s="66">
        <v>3.3170000000000001E-3</v>
      </c>
      <c r="D43" s="66">
        <v>3.8579999999999999E-3</v>
      </c>
      <c r="E43" s="66">
        <v>3.9139999999999999E-3</v>
      </c>
      <c r="F43" s="66">
        <v>3.8080000000000002E-3</v>
      </c>
      <c r="G43" s="66">
        <v>3.8440000000000002E-3</v>
      </c>
      <c r="H43" s="66">
        <v>3.8180000000000002E-3</v>
      </c>
      <c r="I43" s="66">
        <v>3.3029999999999999E-3</v>
      </c>
      <c r="J43" s="66">
        <v>3.7799999999999999E-3</v>
      </c>
      <c r="K43" s="66">
        <v>3.5270000000000002E-3</v>
      </c>
      <c r="L43" s="66">
        <v>3.6549999999999998E-3</v>
      </c>
      <c r="M43" s="66">
        <v>3.764E-3</v>
      </c>
      <c r="N43" s="66">
        <v>3.96E-3</v>
      </c>
      <c r="O43" s="66">
        <v>4.0229999999999997E-3</v>
      </c>
      <c r="P43" s="66">
        <v>4.0899999999999999E-3</v>
      </c>
      <c r="Q43" s="66">
        <v>4.1720000000000004E-3</v>
      </c>
      <c r="R43" s="66">
        <v>4.2370000000000003E-3</v>
      </c>
      <c r="S43" s="66">
        <v>4.2909999999999997E-3</v>
      </c>
      <c r="T43" s="66">
        <v>4.3359999999999996E-3</v>
      </c>
      <c r="U43" s="66">
        <v>4.365E-3</v>
      </c>
      <c r="V43" s="66">
        <v>4.5909999999999996E-3</v>
      </c>
      <c r="W43" s="66">
        <v>4.4019999999999997E-3</v>
      </c>
      <c r="X43" s="66">
        <v>4.4060000000000002E-3</v>
      </c>
      <c r="Y43" s="66">
        <v>4.274E-3</v>
      </c>
      <c r="Z43" s="66">
        <v>3.8899999999999998E-3</v>
      </c>
      <c r="AA43" s="66">
        <v>4.4409999999999996E-3</v>
      </c>
      <c r="AB43" s="66">
        <v>4.6179999999999997E-3</v>
      </c>
      <c r="AC43" s="66">
        <v>4.9940000000000002E-3</v>
      </c>
      <c r="AD43" s="66">
        <v>5.2350000000000001E-3</v>
      </c>
      <c r="AE43" s="66">
        <v>5.1879999999999999E-3</v>
      </c>
      <c r="AF43" s="67">
        <v>1.6102000000000002E-2</v>
      </c>
      <c r="AG43" s="37"/>
    </row>
    <row r="44" spans="1:33" ht="12" customHeight="1" x14ac:dyDescent="0.2">
      <c r="A44" s="42" t="s">
        <v>1050</v>
      </c>
      <c r="B44" s="65" t="s">
        <v>1038</v>
      </c>
      <c r="C44" s="66">
        <v>3.3170000000000001E-3</v>
      </c>
      <c r="D44" s="66">
        <v>3.8579999999999999E-3</v>
      </c>
      <c r="E44" s="66">
        <v>3.9139999999999999E-3</v>
      </c>
      <c r="F44" s="66">
        <v>3.8080000000000002E-3</v>
      </c>
      <c r="G44" s="66">
        <v>3.8440000000000002E-3</v>
      </c>
      <c r="H44" s="66">
        <v>3.8180000000000002E-3</v>
      </c>
      <c r="I44" s="66">
        <v>3.3029999999999999E-3</v>
      </c>
      <c r="J44" s="66">
        <v>3.7799999999999999E-3</v>
      </c>
      <c r="K44" s="66">
        <v>3.5270000000000002E-3</v>
      </c>
      <c r="L44" s="66">
        <v>3.6549999999999998E-3</v>
      </c>
      <c r="M44" s="66">
        <v>3.764E-3</v>
      </c>
      <c r="N44" s="66">
        <v>3.96E-3</v>
      </c>
      <c r="O44" s="66">
        <v>4.0229999999999997E-3</v>
      </c>
      <c r="P44" s="66">
        <v>4.0899999999999999E-3</v>
      </c>
      <c r="Q44" s="66">
        <v>4.1720000000000004E-3</v>
      </c>
      <c r="R44" s="66">
        <v>4.2370000000000003E-3</v>
      </c>
      <c r="S44" s="66">
        <v>4.2909999999999997E-3</v>
      </c>
      <c r="T44" s="66">
        <v>4.3359999999999996E-3</v>
      </c>
      <c r="U44" s="66">
        <v>4.365E-3</v>
      </c>
      <c r="V44" s="66">
        <v>4.5909999999999996E-3</v>
      </c>
      <c r="W44" s="66">
        <v>4.4019999999999997E-3</v>
      </c>
      <c r="X44" s="66">
        <v>4.4060000000000002E-3</v>
      </c>
      <c r="Y44" s="66">
        <v>4.274E-3</v>
      </c>
      <c r="Z44" s="66">
        <v>3.8899999999999998E-3</v>
      </c>
      <c r="AA44" s="66">
        <v>4.4409999999999996E-3</v>
      </c>
      <c r="AB44" s="66">
        <v>4.6179999999999997E-3</v>
      </c>
      <c r="AC44" s="66">
        <v>4.9940000000000002E-3</v>
      </c>
      <c r="AD44" s="66">
        <v>5.2350000000000001E-3</v>
      </c>
      <c r="AE44" s="66">
        <v>5.1879999999999999E-3</v>
      </c>
      <c r="AF44" s="67">
        <v>1.6102000000000002E-2</v>
      </c>
      <c r="AG44" s="37"/>
    </row>
    <row r="45" spans="1:33" ht="12" customHeight="1" x14ac:dyDescent="0.2">
      <c r="A45" s="42" t="s">
        <v>1051</v>
      </c>
      <c r="B45" s="65" t="s">
        <v>1040</v>
      </c>
      <c r="C45" s="66">
        <v>0</v>
      </c>
      <c r="D45" s="66">
        <v>0</v>
      </c>
      <c r="E45" s="66">
        <v>0</v>
      </c>
      <c r="F45" s="66">
        <v>0</v>
      </c>
      <c r="G45" s="66">
        <v>0</v>
      </c>
      <c r="H45" s="66">
        <v>0</v>
      </c>
      <c r="I45" s="66">
        <v>0</v>
      </c>
      <c r="J45" s="66">
        <v>0</v>
      </c>
      <c r="K45" s="66">
        <v>0</v>
      </c>
      <c r="L45" s="66">
        <v>0</v>
      </c>
      <c r="M45" s="66">
        <v>0</v>
      </c>
      <c r="N45" s="66">
        <v>0</v>
      </c>
      <c r="O45" s="66">
        <v>0</v>
      </c>
      <c r="P45" s="66">
        <v>0</v>
      </c>
      <c r="Q45" s="66">
        <v>0</v>
      </c>
      <c r="R45" s="66">
        <v>0</v>
      </c>
      <c r="S45" s="66">
        <v>0</v>
      </c>
      <c r="T45" s="66">
        <v>0</v>
      </c>
      <c r="U45" s="66">
        <v>0</v>
      </c>
      <c r="V45" s="66">
        <v>0</v>
      </c>
      <c r="W45" s="66">
        <v>0</v>
      </c>
      <c r="X45" s="66">
        <v>0</v>
      </c>
      <c r="Y45" s="66">
        <v>0</v>
      </c>
      <c r="Z45" s="66">
        <v>0</v>
      </c>
      <c r="AA45" s="66">
        <v>0</v>
      </c>
      <c r="AB45" s="66">
        <v>0</v>
      </c>
      <c r="AC45" s="66">
        <v>0</v>
      </c>
      <c r="AD45" s="66">
        <v>0</v>
      </c>
      <c r="AE45" s="66">
        <v>0</v>
      </c>
      <c r="AF45" s="67" t="s">
        <v>488</v>
      </c>
      <c r="AG45" s="37"/>
    </row>
    <row r="46" spans="1:33" ht="12" customHeight="1" x14ac:dyDescent="0.2">
      <c r="A46" s="42" t="s">
        <v>1052</v>
      </c>
      <c r="B46" s="65" t="s">
        <v>1042</v>
      </c>
      <c r="C46" s="66">
        <v>0</v>
      </c>
      <c r="D46" s="66">
        <v>0</v>
      </c>
      <c r="E46" s="66">
        <v>0</v>
      </c>
      <c r="F46" s="66">
        <v>0</v>
      </c>
      <c r="G46" s="66">
        <v>0</v>
      </c>
      <c r="H46" s="66">
        <v>0</v>
      </c>
      <c r="I46" s="66">
        <v>0</v>
      </c>
      <c r="J46" s="66">
        <v>0</v>
      </c>
      <c r="K46" s="66">
        <v>0</v>
      </c>
      <c r="L46" s="66">
        <v>0</v>
      </c>
      <c r="M46" s="66">
        <v>0</v>
      </c>
      <c r="N46" s="66">
        <v>0</v>
      </c>
      <c r="O46" s="66">
        <v>0</v>
      </c>
      <c r="P46" s="66">
        <v>0</v>
      </c>
      <c r="Q46" s="66">
        <v>0</v>
      </c>
      <c r="R46" s="66">
        <v>0</v>
      </c>
      <c r="S46" s="66">
        <v>0</v>
      </c>
      <c r="T46" s="66">
        <v>0</v>
      </c>
      <c r="U46" s="66">
        <v>0</v>
      </c>
      <c r="V46" s="66">
        <v>0</v>
      </c>
      <c r="W46" s="66">
        <v>0</v>
      </c>
      <c r="X46" s="66">
        <v>0</v>
      </c>
      <c r="Y46" s="66">
        <v>0</v>
      </c>
      <c r="Z46" s="66">
        <v>0</v>
      </c>
      <c r="AA46" s="66">
        <v>0</v>
      </c>
      <c r="AB46" s="66">
        <v>0</v>
      </c>
      <c r="AC46" s="66">
        <v>0</v>
      </c>
      <c r="AD46" s="66">
        <v>0</v>
      </c>
      <c r="AE46" s="66">
        <v>0</v>
      </c>
      <c r="AF46" s="67" t="s">
        <v>488</v>
      </c>
      <c r="AG46" s="37"/>
    </row>
    <row r="47" spans="1:33" ht="12" customHeight="1" x14ac:dyDescent="0.2">
      <c r="A47" s="42" t="s">
        <v>1053</v>
      </c>
      <c r="B47" s="65" t="s">
        <v>1054</v>
      </c>
      <c r="C47" s="66">
        <v>0</v>
      </c>
      <c r="D47" s="66">
        <v>0</v>
      </c>
      <c r="E47" s="66">
        <v>0</v>
      </c>
      <c r="F47" s="66">
        <v>0</v>
      </c>
      <c r="G47" s="66">
        <v>0</v>
      </c>
      <c r="H47" s="66">
        <v>0</v>
      </c>
      <c r="I47" s="66">
        <v>0</v>
      </c>
      <c r="J47" s="66">
        <v>0</v>
      </c>
      <c r="K47" s="66">
        <v>0</v>
      </c>
      <c r="L47" s="66">
        <v>0</v>
      </c>
      <c r="M47" s="66">
        <v>0</v>
      </c>
      <c r="N47" s="66">
        <v>0</v>
      </c>
      <c r="O47" s="66">
        <v>0</v>
      </c>
      <c r="P47" s="66">
        <v>0</v>
      </c>
      <c r="Q47" s="66">
        <v>0</v>
      </c>
      <c r="R47" s="66">
        <v>0</v>
      </c>
      <c r="S47" s="66">
        <v>0</v>
      </c>
      <c r="T47" s="66">
        <v>0</v>
      </c>
      <c r="U47" s="66">
        <v>0</v>
      </c>
      <c r="V47" s="66">
        <v>0</v>
      </c>
      <c r="W47" s="66">
        <v>0</v>
      </c>
      <c r="X47" s="66">
        <v>0</v>
      </c>
      <c r="Y47" s="66">
        <v>0</v>
      </c>
      <c r="Z47" s="66">
        <v>0</v>
      </c>
      <c r="AA47" s="66">
        <v>0</v>
      </c>
      <c r="AB47" s="66">
        <v>0</v>
      </c>
      <c r="AC47" s="66">
        <v>0</v>
      </c>
      <c r="AD47" s="66">
        <v>0</v>
      </c>
      <c r="AE47" s="66">
        <v>0</v>
      </c>
      <c r="AF47" s="67" t="s">
        <v>488</v>
      </c>
      <c r="AG47" s="37"/>
    </row>
    <row r="48" spans="1:33" ht="12" customHeight="1" x14ac:dyDescent="0.2">
      <c r="A48" s="42" t="s">
        <v>1055</v>
      </c>
      <c r="B48" s="65" t="s">
        <v>1056</v>
      </c>
      <c r="C48" s="66">
        <v>0</v>
      </c>
      <c r="D48" s="66">
        <v>0</v>
      </c>
      <c r="E48" s="66">
        <v>0</v>
      </c>
      <c r="F48" s="66">
        <v>0</v>
      </c>
      <c r="G48" s="66">
        <v>0</v>
      </c>
      <c r="H48" s="66">
        <v>0</v>
      </c>
      <c r="I48" s="66">
        <v>0</v>
      </c>
      <c r="J48" s="66">
        <v>0</v>
      </c>
      <c r="K48" s="66">
        <v>0</v>
      </c>
      <c r="L48" s="66">
        <v>0</v>
      </c>
      <c r="M48" s="66">
        <v>0</v>
      </c>
      <c r="N48" s="66">
        <v>0</v>
      </c>
      <c r="O48" s="66">
        <v>0</v>
      </c>
      <c r="P48" s="66">
        <v>0</v>
      </c>
      <c r="Q48" s="66">
        <v>0</v>
      </c>
      <c r="R48" s="66">
        <v>0</v>
      </c>
      <c r="S48" s="66">
        <v>0</v>
      </c>
      <c r="T48" s="66">
        <v>0</v>
      </c>
      <c r="U48" s="66">
        <v>0</v>
      </c>
      <c r="V48" s="66">
        <v>0</v>
      </c>
      <c r="W48" s="66">
        <v>0</v>
      </c>
      <c r="X48" s="66">
        <v>0</v>
      </c>
      <c r="Y48" s="66">
        <v>0</v>
      </c>
      <c r="Z48" s="66">
        <v>0</v>
      </c>
      <c r="AA48" s="66">
        <v>0</v>
      </c>
      <c r="AB48" s="66">
        <v>0</v>
      </c>
      <c r="AC48" s="66">
        <v>0</v>
      </c>
      <c r="AD48" s="66">
        <v>0</v>
      </c>
      <c r="AE48" s="66">
        <v>0</v>
      </c>
      <c r="AF48" s="67" t="s">
        <v>488</v>
      </c>
      <c r="AG48" s="37"/>
    </row>
    <row r="49" spans="1:33" ht="12" customHeight="1" x14ac:dyDescent="0.2">
      <c r="A49" s="42" t="s">
        <v>1057</v>
      </c>
      <c r="B49" s="65" t="s">
        <v>1058</v>
      </c>
      <c r="C49" s="66">
        <v>0.221</v>
      </c>
      <c r="D49" s="66">
        <v>0.221</v>
      </c>
      <c r="E49" s="66">
        <v>0.24992</v>
      </c>
      <c r="F49" s="66">
        <v>0.24695800000000001</v>
      </c>
      <c r="G49" s="66">
        <v>0.24609600000000001</v>
      </c>
      <c r="H49" s="66">
        <v>0.24343400000000001</v>
      </c>
      <c r="I49" s="66">
        <v>0.248644</v>
      </c>
      <c r="J49" s="66">
        <v>0.25226999999999999</v>
      </c>
      <c r="K49" s="66">
        <v>0.25585599999999997</v>
      </c>
      <c r="L49" s="66">
        <v>0.25625399999999998</v>
      </c>
      <c r="M49" s="66">
        <v>0.25625300000000001</v>
      </c>
      <c r="N49" s="66">
        <v>0.254357</v>
      </c>
      <c r="O49" s="66">
        <v>0.257212</v>
      </c>
      <c r="P49" s="66">
        <v>0.25484299999999999</v>
      </c>
      <c r="Q49" s="66">
        <v>0.25335400000000002</v>
      </c>
      <c r="R49" s="66">
        <v>0.25235800000000003</v>
      </c>
      <c r="S49" s="66">
        <v>0.252745</v>
      </c>
      <c r="T49" s="66">
        <v>0.25239499999999998</v>
      </c>
      <c r="U49" s="66">
        <v>0.25091000000000002</v>
      </c>
      <c r="V49" s="66">
        <v>0.25182500000000002</v>
      </c>
      <c r="W49" s="66">
        <v>0.25083</v>
      </c>
      <c r="X49" s="66">
        <v>0.25060399999999999</v>
      </c>
      <c r="Y49" s="66">
        <v>0.25097599999999998</v>
      </c>
      <c r="Z49" s="66">
        <v>0.250917</v>
      </c>
      <c r="AA49" s="66">
        <v>0.24086399999999999</v>
      </c>
      <c r="AB49" s="66">
        <v>0.23957700000000001</v>
      </c>
      <c r="AC49" s="66">
        <v>0.24091499999999999</v>
      </c>
      <c r="AD49" s="66">
        <v>0.24116799999999999</v>
      </c>
      <c r="AE49" s="66">
        <v>0.24007899999999999</v>
      </c>
      <c r="AF49" s="67">
        <v>2.9619999999999998E-3</v>
      </c>
      <c r="AG49" s="37"/>
    </row>
    <row r="50" spans="1:33" ht="15" customHeight="1" x14ac:dyDescent="0.2">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row>
    <row r="51" spans="1:33" ht="15" customHeight="1" x14ac:dyDescent="0.2">
      <c r="A51" s="42" t="s">
        <v>1059</v>
      </c>
      <c r="B51" s="64" t="s">
        <v>1060</v>
      </c>
      <c r="C51" s="68">
        <v>19.611360999999999</v>
      </c>
      <c r="D51" s="68">
        <v>20.41114</v>
      </c>
      <c r="E51" s="68">
        <v>19.912801999999999</v>
      </c>
      <c r="F51" s="68">
        <v>19.847753999999998</v>
      </c>
      <c r="G51" s="68">
        <v>19.831844</v>
      </c>
      <c r="H51" s="68">
        <v>19.814571000000001</v>
      </c>
      <c r="I51" s="68">
        <v>19.763404999999999</v>
      </c>
      <c r="J51" s="68">
        <v>19.674484</v>
      </c>
      <c r="K51" s="68">
        <v>19.559280000000001</v>
      </c>
      <c r="L51" s="68">
        <v>19.452774000000002</v>
      </c>
      <c r="M51" s="68">
        <v>19.385217999999998</v>
      </c>
      <c r="N51" s="68">
        <v>19.328171000000001</v>
      </c>
      <c r="O51" s="68">
        <v>19.305878</v>
      </c>
      <c r="P51" s="68">
        <v>19.272385</v>
      </c>
      <c r="Q51" s="68">
        <v>19.230931999999999</v>
      </c>
      <c r="R51" s="68">
        <v>19.216609999999999</v>
      </c>
      <c r="S51" s="68">
        <v>19.203506000000001</v>
      </c>
      <c r="T51" s="68">
        <v>19.219626999999999</v>
      </c>
      <c r="U51" s="68">
        <v>19.263905000000001</v>
      </c>
      <c r="V51" s="68">
        <v>19.312618000000001</v>
      </c>
      <c r="W51" s="68">
        <v>19.375481000000001</v>
      </c>
      <c r="X51" s="68">
        <v>19.436326999999999</v>
      </c>
      <c r="Y51" s="68">
        <v>19.497803000000001</v>
      </c>
      <c r="Z51" s="68">
        <v>19.566192999999998</v>
      </c>
      <c r="AA51" s="68">
        <v>19.664072000000001</v>
      </c>
      <c r="AB51" s="68">
        <v>19.780811</v>
      </c>
      <c r="AC51" s="68">
        <v>19.871368</v>
      </c>
      <c r="AD51" s="68">
        <v>19.979309000000001</v>
      </c>
      <c r="AE51" s="68">
        <v>20.141010000000001</v>
      </c>
      <c r="AF51" s="69">
        <v>9.5200000000000005E-4</v>
      </c>
      <c r="AG51" s="37"/>
    </row>
    <row r="52" spans="1:33" ht="15" customHeight="1" x14ac:dyDescent="0.2">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row>
    <row r="53" spans="1:33" ht="15" customHeight="1" x14ac:dyDescent="0.2">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row>
    <row r="54" spans="1:33" ht="15" customHeight="1" x14ac:dyDescent="0.2">
      <c r="B54" s="64" t="s">
        <v>1061</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row>
    <row r="55" spans="1:33" ht="15" customHeight="1" x14ac:dyDescent="0.2">
      <c r="B55" s="64" t="s">
        <v>1062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row>
    <row r="56" spans="1:33" ht="15" customHeight="1" x14ac:dyDescent="0.2">
      <c r="A56" s="42" t="s">
        <v>1063</v>
      </c>
      <c r="B56" s="65" t="s">
        <v>1136</v>
      </c>
      <c r="C56" s="66">
        <v>3.4289999999999998</v>
      </c>
      <c r="D56" s="66">
        <v>3.5379999999999998</v>
      </c>
      <c r="E56" s="66">
        <v>3.6997770000000001</v>
      </c>
      <c r="F56" s="66">
        <v>3.7704759999999999</v>
      </c>
      <c r="G56" s="66">
        <v>3.888827</v>
      </c>
      <c r="H56" s="66">
        <v>3.9889220000000001</v>
      </c>
      <c r="I56" s="66">
        <v>4.060638</v>
      </c>
      <c r="J56" s="66">
        <v>4.1051390000000003</v>
      </c>
      <c r="K56" s="66">
        <v>4.1403790000000003</v>
      </c>
      <c r="L56" s="66">
        <v>4.172078</v>
      </c>
      <c r="M56" s="66">
        <v>4.2194570000000002</v>
      </c>
      <c r="N56" s="66">
        <v>4.2585100000000002</v>
      </c>
      <c r="O56" s="66">
        <v>4.3099720000000001</v>
      </c>
      <c r="P56" s="66">
        <v>4.3501810000000001</v>
      </c>
      <c r="Q56" s="66">
        <v>4.3882070000000004</v>
      </c>
      <c r="R56" s="66">
        <v>4.4234390000000001</v>
      </c>
      <c r="S56" s="66">
        <v>4.4455249999999999</v>
      </c>
      <c r="T56" s="66">
        <v>4.4935650000000003</v>
      </c>
      <c r="U56" s="66">
        <v>4.5401059999999998</v>
      </c>
      <c r="V56" s="66">
        <v>4.5844449999999997</v>
      </c>
      <c r="W56" s="66">
        <v>4.6349119999999999</v>
      </c>
      <c r="X56" s="66">
        <v>4.6856390000000001</v>
      </c>
      <c r="Y56" s="66">
        <v>4.7198190000000002</v>
      </c>
      <c r="Z56" s="66">
        <v>4.7490019999999999</v>
      </c>
      <c r="AA56" s="66">
        <v>4.7917740000000002</v>
      </c>
      <c r="AB56" s="66">
        <v>4.8419790000000003</v>
      </c>
      <c r="AC56" s="66">
        <v>4.8680120000000002</v>
      </c>
      <c r="AD56" s="66">
        <v>4.9056509999999998</v>
      </c>
      <c r="AE56" s="66">
        <v>4.9731300000000003</v>
      </c>
      <c r="AF56" s="67">
        <v>1.3365999999999999E-2</v>
      </c>
      <c r="AG56" s="37"/>
    </row>
    <row r="57" spans="1:33" ht="15" customHeight="1" x14ac:dyDescent="0.2">
      <c r="A57" s="42" t="s">
        <v>1065</v>
      </c>
      <c r="B57" s="65" t="s">
        <v>1066</v>
      </c>
      <c r="C57" s="66">
        <v>8.7870000000000008</v>
      </c>
      <c r="D57" s="66">
        <v>8.7539999999999996</v>
      </c>
      <c r="E57" s="66">
        <v>8.8141409999999993</v>
      </c>
      <c r="F57" s="66">
        <v>8.6826899999999991</v>
      </c>
      <c r="G57" s="66">
        <v>8.5752980000000001</v>
      </c>
      <c r="H57" s="66">
        <v>8.478847</v>
      </c>
      <c r="I57" s="66">
        <v>8.3703489999999992</v>
      </c>
      <c r="J57" s="66">
        <v>8.2480790000000006</v>
      </c>
      <c r="K57" s="66">
        <v>8.1158560000000008</v>
      </c>
      <c r="L57" s="66">
        <v>7.9918019999999999</v>
      </c>
      <c r="M57" s="66">
        <v>7.8720869999999996</v>
      </c>
      <c r="N57" s="66">
        <v>7.7759140000000002</v>
      </c>
      <c r="O57" s="66">
        <v>7.6924130000000002</v>
      </c>
      <c r="P57" s="66">
        <v>7.6097570000000001</v>
      </c>
      <c r="Q57" s="66">
        <v>7.5254510000000003</v>
      </c>
      <c r="R57" s="66">
        <v>7.4550850000000004</v>
      </c>
      <c r="S57" s="66">
        <v>7.3948150000000004</v>
      </c>
      <c r="T57" s="66">
        <v>7.3397249999999996</v>
      </c>
      <c r="U57" s="66">
        <v>7.299925</v>
      </c>
      <c r="V57" s="66">
        <v>7.2679169999999997</v>
      </c>
      <c r="W57" s="66">
        <v>7.2454179999999999</v>
      </c>
      <c r="X57" s="66">
        <v>7.2299829999999998</v>
      </c>
      <c r="Y57" s="66">
        <v>7.2266329999999996</v>
      </c>
      <c r="Z57" s="66">
        <v>7.2346339999999998</v>
      </c>
      <c r="AA57" s="66">
        <v>7.2567560000000002</v>
      </c>
      <c r="AB57" s="66">
        <v>7.2904429999999998</v>
      </c>
      <c r="AC57" s="66">
        <v>7.329745</v>
      </c>
      <c r="AD57" s="66">
        <v>7.3740180000000004</v>
      </c>
      <c r="AE57" s="66">
        <v>7.4311680000000004</v>
      </c>
      <c r="AF57" s="67">
        <v>-5.9670000000000001E-3</v>
      </c>
      <c r="AG57" s="37"/>
    </row>
    <row r="58" spans="1:33" ht="15" customHeight="1" x14ac:dyDescent="0.2">
      <c r="A58" s="42" t="s">
        <v>1067</v>
      </c>
      <c r="B58" s="65" t="s">
        <v>1068</v>
      </c>
      <c r="C58" s="66">
        <v>2.3189000000000001E-2</v>
      </c>
      <c r="D58" s="66">
        <v>2.3446999999999999E-2</v>
      </c>
      <c r="E58" s="66">
        <v>2.2009999999999998E-2</v>
      </c>
      <c r="F58" s="66">
        <v>2.1923000000000002E-2</v>
      </c>
      <c r="G58" s="66">
        <v>2.1377E-2</v>
      </c>
      <c r="H58" s="66">
        <v>2.0785000000000001E-2</v>
      </c>
      <c r="I58" s="66">
        <v>2.0063999999999999E-2</v>
      </c>
      <c r="J58" s="66">
        <v>1.9258000000000001E-2</v>
      </c>
      <c r="K58" s="66">
        <v>1.8409999999999999E-2</v>
      </c>
      <c r="L58" s="66">
        <v>1.7576999999999999E-2</v>
      </c>
      <c r="M58" s="66">
        <v>1.6764000000000001E-2</v>
      </c>
      <c r="N58" s="66">
        <v>1.6038E-2</v>
      </c>
      <c r="O58" s="66">
        <v>1.5382E-2</v>
      </c>
      <c r="P58" s="66">
        <v>1.4798E-2</v>
      </c>
      <c r="Q58" s="66">
        <v>1.4243E-2</v>
      </c>
      <c r="R58" s="66">
        <v>1.3837E-2</v>
      </c>
      <c r="S58" s="66">
        <v>1.3535999999999999E-2</v>
      </c>
      <c r="T58" s="66">
        <v>1.3331000000000001E-2</v>
      </c>
      <c r="U58" s="66">
        <v>1.3221999999999999E-2</v>
      </c>
      <c r="V58" s="66">
        <v>1.3164E-2</v>
      </c>
      <c r="W58" s="66">
        <v>1.3155999999999999E-2</v>
      </c>
      <c r="X58" s="66">
        <v>1.3214E-2</v>
      </c>
      <c r="Y58" s="66">
        <v>1.328E-2</v>
      </c>
      <c r="Z58" s="66">
        <v>1.3377999999999999E-2</v>
      </c>
      <c r="AA58" s="66">
        <v>1.3467E-2</v>
      </c>
      <c r="AB58" s="66">
        <v>1.363E-2</v>
      </c>
      <c r="AC58" s="66">
        <v>1.3778E-2</v>
      </c>
      <c r="AD58" s="66">
        <v>1.3969000000000001E-2</v>
      </c>
      <c r="AE58" s="66">
        <v>1.4149999999999999E-2</v>
      </c>
      <c r="AF58" s="67">
        <v>-1.7486999999999999E-2</v>
      </c>
      <c r="AG58" s="37"/>
    </row>
    <row r="59" spans="1:33" ht="15" customHeight="1" x14ac:dyDescent="0.2">
      <c r="A59" s="42" t="s">
        <v>1069</v>
      </c>
      <c r="B59" s="65" t="s">
        <v>1070</v>
      </c>
      <c r="C59" s="66">
        <v>1.548</v>
      </c>
      <c r="D59" s="66">
        <v>1.5740000000000001</v>
      </c>
      <c r="E59" s="66">
        <v>1.678315</v>
      </c>
      <c r="F59" s="66">
        <v>1.6813990000000001</v>
      </c>
      <c r="G59" s="66">
        <v>1.700774</v>
      </c>
      <c r="H59" s="66">
        <v>1.7200120000000001</v>
      </c>
      <c r="I59" s="66">
        <v>1.7351529999999999</v>
      </c>
      <c r="J59" s="66">
        <v>1.746367</v>
      </c>
      <c r="K59" s="66">
        <v>1.754205</v>
      </c>
      <c r="L59" s="66">
        <v>1.761968</v>
      </c>
      <c r="M59" s="66">
        <v>1.7743519999999999</v>
      </c>
      <c r="N59" s="66">
        <v>1.787382</v>
      </c>
      <c r="O59" s="66">
        <v>1.7991090000000001</v>
      </c>
      <c r="P59" s="66">
        <v>1.8130919999999999</v>
      </c>
      <c r="Q59" s="66">
        <v>1.8312790000000001</v>
      </c>
      <c r="R59" s="66">
        <v>1.85307</v>
      </c>
      <c r="S59" s="66">
        <v>1.8759619999999999</v>
      </c>
      <c r="T59" s="66">
        <v>1.8998679999999999</v>
      </c>
      <c r="U59" s="66">
        <v>1.9276789999999999</v>
      </c>
      <c r="V59" s="66">
        <v>1.954288</v>
      </c>
      <c r="W59" s="66">
        <v>1.981371</v>
      </c>
      <c r="X59" s="66">
        <v>2.0088539999999999</v>
      </c>
      <c r="Y59" s="66">
        <v>2.0362640000000001</v>
      </c>
      <c r="Z59" s="66">
        <v>2.062916</v>
      </c>
      <c r="AA59" s="66">
        <v>2.088892</v>
      </c>
      <c r="AB59" s="66">
        <v>2.1168260000000001</v>
      </c>
      <c r="AC59" s="66">
        <v>2.1450589999999998</v>
      </c>
      <c r="AD59" s="66">
        <v>2.1729020000000001</v>
      </c>
      <c r="AE59" s="66">
        <v>2.2039789999999999</v>
      </c>
      <c r="AF59" s="67">
        <v>1.2697999999999999E-2</v>
      </c>
      <c r="AG59" s="37"/>
    </row>
    <row r="60" spans="1:33" ht="15" customHeight="1" x14ac:dyDescent="0.2">
      <c r="A60" s="42" t="s">
        <v>1071</v>
      </c>
      <c r="B60" s="65" t="s">
        <v>1072</v>
      </c>
      <c r="C60" s="66">
        <v>3.9620000000000002</v>
      </c>
      <c r="D60" s="66">
        <v>3.9340000000000002</v>
      </c>
      <c r="E60" s="66">
        <v>3.8494259999999998</v>
      </c>
      <c r="F60" s="66">
        <v>3.8117809999999999</v>
      </c>
      <c r="G60" s="66">
        <v>3.7769469999999998</v>
      </c>
      <c r="H60" s="66">
        <v>3.7391969999999999</v>
      </c>
      <c r="I60" s="66">
        <v>3.708466</v>
      </c>
      <c r="J60" s="66">
        <v>3.6785169999999998</v>
      </c>
      <c r="K60" s="66">
        <v>3.6439629999999998</v>
      </c>
      <c r="L60" s="66">
        <v>3.6111789999999999</v>
      </c>
      <c r="M60" s="66">
        <v>3.5902400000000001</v>
      </c>
      <c r="N60" s="66">
        <v>3.5689839999999999</v>
      </c>
      <c r="O60" s="66">
        <v>3.5497450000000002</v>
      </c>
      <c r="P60" s="66">
        <v>3.5349550000000001</v>
      </c>
      <c r="Q60" s="66">
        <v>3.5197699999999998</v>
      </c>
      <c r="R60" s="66">
        <v>3.509916</v>
      </c>
      <c r="S60" s="66">
        <v>3.5026579999999998</v>
      </c>
      <c r="T60" s="66">
        <v>3.495072</v>
      </c>
      <c r="U60" s="66">
        <v>3.4921169999999999</v>
      </c>
      <c r="V60" s="66">
        <v>3.4921519999999999</v>
      </c>
      <c r="W60" s="66">
        <v>3.4921850000000001</v>
      </c>
      <c r="X60" s="66">
        <v>3.490767</v>
      </c>
      <c r="Y60" s="66">
        <v>3.4881530000000001</v>
      </c>
      <c r="Z60" s="66">
        <v>3.4844050000000002</v>
      </c>
      <c r="AA60" s="66">
        <v>3.4830079999999999</v>
      </c>
      <c r="AB60" s="66">
        <v>3.4822540000000002</v>
      </c>
      <c r="AC60" s="66">
        <v>3.479365</v>
      </c>
      <c r="AD60" s="66">
        <v>3.4760260000000001</v>
      </c>
      <c r="AE60" s="66">
        <v>3.481913</v>
      </c>
      <c r="AF60" s="67">
        <v>-4.6020000000000002E-3</v>
      </c>
      <c r="AG60" s="37"/>
    </row>
    <row r="61" spans="1:33" ht="15" customHeight="1" x14ac:dyDescent="0.2">
      <c r="A61" s="42" t="s">
        <v>1073</v>
      </c>
      <c r="B61" s="65" t="s">
        <v>1074</v>
      </c>
      <c r="C61" s="66">
        <v>3.6720000000000002</v>
      </c>
      <c r="D61" s="66">
        <v>3.6619999999999999</v>
      </c>
      <c r="E61" s="66">
        <v>3.4820500000000001</v>
      </c>
      <c r="F61" s="66">
        <v>3.4487869999999998</v>
      </c>
      <c r="G61" s="66">
        <v>3.4211170000000002</v>
      </c>
      <c r="H61" s="66">
        <v>3.3907660000000002</v>
      </c>
      <c r="I61" s="66">
        <v>3.3668279999999999</v>
      </c>
      <c r="J61" s="66">
        <v>3.342041</v>
      </c>
      <c r="K61" s="66">
        <v>3.3120319999999999</v>
      </c>
      <c r="L61" s="66">
        <v>3.2843819999999999</v>
      </c>
      <c r="M61" s="66">
        <v>3.266934</v>
      </c>
      <c r="N61" s="66">
        <v>3.2488510000000002</v>
      </c>
      <c r="O61" s="66">
        <v>3.2328800000000002</v>
      </c>
      <c r="P61" s="66">
        <v>3.2210019999999999</v>
      </c>
      <c r="Q61" s="66">
        <v>3.208555</v>
      </c>
      <c r="R61" s="66">
        <v>3.2017150000000001</v>
      </c>
      <c r="S61" s="66">
        <v>3.1978260000000001</v>
      </c>
      <c r="T61" s="66">
        <v>3.1926709999999998</v>
      </c>
      <c r="U61" s="66">
        <v>3.1919270000000002</v>
      </c>
      <c r="V61" s="66">
        <v>3.1940949999999999</v>
      </c>
      <c r="W61" s="66">
        <v>3.1964730000000001</v>
      </c>
      <c r="X61" s="66">
        <v>3.19753</v>
      </c>
      <c r="Y61" s="66">
        <v>3.1973250000000002</v>
      </c>
      <c r="Z61" s="66">
        <v>3.1960519999999999</v>
      </c>
      <c r="AA61" s="66">
        <v>3.196993</v>
      </c>
      <c r="AB61" s="66">
        <v>3.1983359999999998</v>
      </c>
      <c r="AC61" s="66">
        <v>3.197692</v>
      </c>
      <c r="AD61" s="66">
        <v>3.1964160000000001</v>
      </c>
      <c r="AE61" s="66">
        <v>3.204183</v>
      </c>
      <c r="AF61" s="67">
        <v>-4.8549999999999999E-3</v>
      </c>
      <c r="AG61" s="37"/>
    </row>
    <row r="62" spans="1:33" ht="15" customHeight="1" x14ac:dyDescent="0.2">
      <c r="A62" s="42" t="s">
        <v>1075</v>
      </c>
      <c r="B62" s="65" t="s">
        <v>1076</v>
      </c>
      <c r="C62" s="66">
        <v>0.35599999999999998</v>
      </c>
      <c r="D62" s="66">
        <v>0.39500000000000002</v>
      </c>
      <c r="E62" s="66">
        <v>0.26228899999999999</v>
      </c>
      <c r="F62" s="66">
        <v>0.26002199999999998</v>
      </c>
      <c r="G62" s="66">
        <v>0.24834100000000001</v>
      </c>
      <c r="H62" s="66">
        <v>0.242676</v>
      </c>
      <c r="I62" s="66">
        <v>0.233733</v>
      </c>
      <c r="J62" s="66">
        <v>0.228134</v>
      </c>
      <c r="K62" s="66">
        <v>0.223935</v>
      </c>
      <c r="L62" s="66">
        <v>0.223717</v>
      </c>
      <c r="M62" s="66">
        <v>0.22331200000000001</v>
      </c>
      <c r="N62" s="66">
        <v>0.223445</v>
      </c>
      <c r="O62" s="66">
        <v>0.22265499999999999</v>
      </c>
      <c r="P62" s="66">
        <v>0.222803</v>
      </c>
      <c r="Q62" s="66">
        <v>0.221277</v>
      </c>
      <c r="R62" s="66">
        <v>0.220804</v>
      </c>
      <c r="S62" s="66">
        <v>0.22040999999999999</v>
      </c>
      <c r="T62" s="66">
        <v>0.219196</v>
      </c>
      <c r="U62" s="66">
        <v>0.21858900000000001</v>
      </c>
      <c r="V62" s="66">
        <v>0.21751699999999999</v>
      </c>
      <c r="W62" s="66">
        <v>0.21682100000000001</v>
      </c>
      <c r="X62" s="66">
        <v>0.21524799999999999</v>
      </c>
      <c r="Y62" s="66">
        <v>0.213973</v>
      </c>
      <c r="Z62" s="66">
        <v>0.212425</v>
      </c>
      <c r="AA62" s="66">
        <v>0.21495300000000001</v>
      </c>
      <c r="AB62" s="66">
        <v>0.21474099999999999</v>
      </c>
      <c r="AC62" s="66">
        <v>0.21265500000000001</v>
      </c>
      <c r="AD62" s="66">
        <v>0.21106</v>
      </c>
      <c r="AE62" s="66">
        <v>0.209144</v>
      </c>
      <c r="AF62" s="67">
        <v>-1.8817E-2</v>
      </c>
      <c r="AG62" s="37"/>
    </row>
    <row r="63" spans="1:33" ht="15" customHeight="1" x14ac:dyDescent="0.2">
      <c r="A63" s="42" t="s">
        <v>1077</v>
      </c>
      <c r="B63" s="65" t="s">
        <v>1078</v>
      </c>
      <c r="C63" s="66">
        <v>1.823</v>
      </c>
      <c r="D63" s="66">
        <v>1.8320000000000001</v>
      </c>
      <c r="E63" s="66">
        <v>1.6272660000000001</v>
      </c>
      <c r="F63" s="66">
        <v>1.6609929999999999</v>
      </c>
      <c r="G63" s="66">
        <v>1.664012</v>
      </c>
      <c r="H63" s="66">
        <v>1.6672180000000001</v>
      </c>
      <c r="I63" s="66">
        <v>1.676426</v>
      </c>
      <c r="J63" s="66">
        <v>1.6904060000000001</v>
      </c>
      <c r="K63" s="66">
        <v>1.704332</v>
      </c>
      <c r="L63" s="66">
        <v>1.715452</v>
      </c>
      <c r="M63" s="66">
        <v>1.7290989999999999</v>
      </c>
      <c r="N63" s="66">
        <v>1.736936</v>
      </c>
      <c r="O63" s="66">
        <v>1.7557609999999999</v>
      </c>
      <c r="P63" s="66">
        <v>1.765034</v>
      </c>
      <c r="Q63" s="66">
        <v>1.768025</v>
      </c>
      <c r="R63" s="66">
        <v>1.7772289999999999</v>
      </c>
      <c r="S63" s="66">
        <v>1.7870839999999999</v>
      </c>
      <c r="T63" s="66">
        <v>1.795177</v>
      </c>
      <c r="U63" s="66">
        <v>1.808163</v>
      </c>
      <c r="V63" s="66">
        <v>1.8200780000000001</v>
      </c>
      <c r="W63" s="66">
        <v>1.8287469999999999</v>
      </c>
      <c r="X63" s="66">
        <v>1.829971</v>
      </c>
      <c r="Y63" s="66">
        <v>1.8374299999999999</v>
      </c>
      <c r="Z63" s="66">
        <v>1.847979</v>
      </c>
      <c r="AA63" s="66">
        <v>1.8504959999999999</v>
      </c>
      <c r="AB63" s="66">
        <v>1.856365</v>
      </c>
      <c r="AC63" s="66">
        <v>1.857642</v>
      </c>
      <c r="AD63" s="66">
        <v>1.862096</v>
      </c>
      <c r="AE63" s="66">
        <v>1.8634539999999999</v>
      </c>
      <c r="AF63" s="67">
        <v>7.8399999999999997E-4</v>
      </c>
      <c r="AG63" s="37"/>
    </row>
    <row r="64" spans="1:33" ht="15" customHeight="1" x14ac:dyDescent="0.2">
      <c r="B64" s="64" t="s">
        <v>1079</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row>
    <row r="65" spans="1:33" ht="15" customHeight="1" x14ac:dyDescent="0.2">
      <c r="A65" s="42" t="s">
        <v>1080</v>
      </c>
      <c r="B65" s="65" t="s">
        <v>1081</v>
      </c>
      <c r="C65" s="66">
        <v>1.044311</v>
      </c>
      <c r="D65" s="66">
        <v>1.031803</v>
      </c>
      <c r="E65" s="66">
        <v>0.97528300000000001</v>
      </c>
      <c r="F65" s="66">
        <v>0.97273299999999996</v>
      </c>
      <c r="G65" s="66">
        <v>0.96977999999999998</v>
      </c>
      <c r="H65" s="66">
        <v>0.96668500000000002</v>
      </c>
      <c r="I65" s="66">
        <v>0.96580600000000005</v>
      </c>
      <c r="J65" s="66">
        <v>0.96363900000000002</v>
      </c>
      <c r="K65" s="66">
        <v>0.96074599999999999</v>
      </c>
      <c r="L65" s="66">
        <v>0.95725300000000002</v>
      </c>
      <c r="M65" s="66">
        <v>0.953457</v>
      </c>
      <c r="N65" s="66">
        <v>0.94985299999999995</v>
      </c>
      <c r="O65" s="66">
        <v>0.94606199999999996</v>
      </c>
      <c r="P65" s="66">
        <v>0.94233500000000003</v>
      </c>
      <c r="Q65" s="66">
        <v>0.93882200000000005</v>
      </c>
      <c r="R65" s="66">
        <v>0.935558</v>
      </c>
      <c r="S65" s="66">
        <v>0.93225100000000005</v>
      </c>
      <c r="T65" s="66">
        <v>0.92918900000000004</v>
      </c>
      <c r="U65" s="66">
        <v>0.92621500000000001</v>
      </c>
      <c r="V65" s="66">
        <v>0.923346</v>
      </c>
      <c r="W65" s="66">
        <v>0.92066400000000004</v>
      </c>
      <c r="X65" s="66">
        <v>0.91816900000000001</v>
      </c>
      <c r="Y65" s="66">
        <v>0.915995</v>
      </c>
      <c r="Z65" s="66">
        <v>0.91390400000000005</v>
      </c>
      <c r="AA65" s="66">
        <v>0.91117700000000001</v>
      </c>
      <c r="AB65" s="66">
        <v>0.909076</v>
      </c>
      <c r="AC65" s="66">
        <v>0.90713900000000003</v>
      </c>
      <c r="AD65" s="66">
        <v>0.90550399999999998</v>
      </c>
      <c r="AE65" s="66">
        <v>0.90402700000000003</v>
      </c>
      <c r="AF65" s="67">
        <v>-5.1390000000000003E-3</v>
      </c>
      <c r="AG65" s="37"/>
    </row>
    <row r="66" spans="1:33" ht="12" customHeight="1" x14ac:dyDescent="0.2">
      <c r="A66" s="42" t="s">
        <v>1082</v>
      </c>
      <c r="B66" s="65" t="s">
        <v>1083</v>
      </c>
      <c r="C66" s="66">
        <v>5.5417529999999999</v>
      </c>
      <c r="D66" s="66">
        <v>5.6083299999999996</v>
      </c>
      <c r="E66" s="66">
        <v>5.4894280000000002</v>
      </c>
      <c r="F66" s="66">
        <v>5.5865150000000003</v>
      </c>
      <c r="G66" s="66">
        <v>5.69916</v>
      </c>
      <c r="H66" s="66">
        <v>5.7945460000000004</v>
      </c>
      <c r="I66" s="66">
        <v>5.8739369999999997</v>
      </c>
      <c r="J66" s="66">
        <v>5.9318540000000004</v>
      </c>
      <c r="K66" s="66">
        <v>5.9800930000000001</v>
      </c>
      <c r="L66" s="66">
        <v>6.0204029999999999</v>
      </c>
      <c r="M66" s="66">
        <v>6.0807549999999999</v>
      </c>
      <c r="N66" s="66">
        <v>6.1271060000000004</v>
      </c>
      <c r="O66" s="66">
        <v>6.1973149999999997</v>
      </c>
      <c r="P66" s="66">
        <v>6.24824</v>
      </c>
      <c r="Q66" s="66">
        <v>6.2912480000000004</v>
      </c>
      <c r="R66" s="66">
        <v>6.339194</v>
      </c>
      <c r="S66" s="66">
        <v>6.3751280000000001</v>
      </c>
      <c r="T66" s="66">
        <v>6.4342569999999997</v>
      </c>
      <c r="U66" s="66">
        <v>6.4973450000000001</v>
      </c>
      <c r="V66" s="66">
        <v>6.5569350000000002</v>
      </c>
      <c r="W66" s="66">
        <v>6.6190480000000003</v>
      </c>
      <c r="X66" s="66">
        <v>6.6735319999999998</v>
      </c>
      <c r="Y66" s="66">
        <v>6.7172320000000001</v>
      </c>
      <c r="Z66" s="66">
        <v>6.7587469999999996</v>
      </c>
      <c r="AA66" s="66">
        <v>6.8070349999999999</v>
      </c>
      <c r="AB66" s="66">
        <v>6.8645389999999997</v>
      </c>
      <c r="AC66" s="66">
        <v>6.8939389999999996</v>
      </c>
      <c r="AD66" s="66">
        <v>6.9352510000000001</v>
      </c>
      <c r="AE66" s="66">
        <v>7.0066160000000002</v>
      </c>
      <c r="AF66" s="67">
        <v>8.4119999999999993E-3</v>
      </c>
      <c r="AG66" s="37"/>
    </row>
    <row r="67" spans="1:33" ht="15" customHeight="1" x14ac:dyDescent="0.2">
      <c r="A67" s="42" t="s">
        <v>1084</v>
      </c>
      <c r="B67" s="65" t="s">
        <v>1085</v>
      </c>
      <c r="C67" s="66">
        <v>13.697194</v>
      </c>
      <c r="D67" s="66">
        <v>13.676905</v>
      </c>
      <c r="E67" s="66">
        <v>13.495471999999999</v>
      </c>
      <c r="F67" s="66">
        <v>13.335958</v>
      </c>
      <c r="G67" s="66">
        <v>13.21237</v>
      </c>
      <c r="H67" s="66">
        <v>13.104248</v>
      </c>
      <c r="I67" s="66">
        <v>12.979018</v>
      </c>
      <c r="J67" s="66">
        <v>12.836352</v>
      </c>
      <c r="K67" s="66">
        <v>12.677281000000001</v>
      </c>
      <c r="L67" s="66">
        <v>12.534233</v>
      </c>
      <c r="M67" s="66">
        <v>12.409414</v>
      </c>
      <c r="N67" s="66">
        <v>12.308296</v>
      </c>
      <c r="O67" s="66">
        <v>12.219779000000001</v>
      </c>
      <c r="P67" s="66">
        <v>12.137952</v>
      </c>
      <c r="Q67" s="66">
        <v>12.056125</v>
      </c>
      <c r="R67" s="66">
        <v>11.997028999999999</v>
      </c>
      <c r="S67" s="66">
        <v>11.952026</v>
      </c>
      <c r="T67" s="66">
        <v>11.911752999999999</v>
      </c>
      <c r="U67" s="66">
        <v>11.895242</v>
      </c>
      <c r="V67" s="66">
        <v>11.888226</v>
      </c>
      <c r="W67" s="66">
        <v>11.892284999999999</v>
      </c>
      <c r="X67" s="66">
        <v>11.901959</v>
      </c>
      <c r="Y67" s="66">
        <v>11.922736</v>
      </c>
      <c r="Z67" s="66">
        <v>11.952593999999999</v>
      </c>
      <c r="AA67" s="66">
        <v>12.00193</v>
      </c>
      <c r="AB67" s="66">
        <v>12.062331</v>
      </c>
      <c r="AC67" s="66">
        <v>12.124934</v>
      </c>
      <c r="AD67" s="66">
        <v>12.191979999999999</v>
      </c>
      <c r="AE67" s="66">
        <v>12.283104</v>
      </c>
      <c r="AF67" s="67">
        <v>-3.8839999999999999E-3</v>
      </c>
      <c r="AG67" s="37"/>
    </row>
    <row r="68" spans="1:33" ht="15" customHeight="1" x14ac:dyDescent="0.2">
      <c r="A68" s="42" t="s">
        <v>1086</v>
      </c>
      <c r="B68" s="65" t="s">
        <v>1087</v>
      </c>
      <c r="C68" s="66">
        <v>5.1823000000000001E-2</v>
      </c>
      <c r="D68" s="66">
        <v>4.8967999999999998E-2</v>
      </c>
      <c r="E68" s="66">
        <v>4.9398999999999998E-2</v>
      </c>
      <c r="F68" s="66">
        <v>4.7671999999999999E-2</v>
      </c>
      <c r="G68" s="66">
        <v>4.376E-2</v>
      </c>
      <c r="H68" s="66">
        <v>4.0028000000000001E-2</v>
      </c>
      <c r="I68" s="66">
        <v>3.6288000000000001E-2</v>
      </c>
      <c r="J68" s="66">
        <v>3.4126999999999998E-2</v>
      </c>
      <c r="K68" s="66">
        <v>3.2675000000000003E-2</v>
      </c>
      <c r="L68" s="66">
        <v>3.1168999999999999E-2</v>
      </c>
      <c r="M68" s="66">
        <v>3.1022000000000001E-2</v>
      </c>
      <c r="N68" s="66">
        <v>3.0995999999999999E-2</v>
      </c>
      <c r="O68" s="66">
        <v>3.0868E-2</v>
      </c>
      <c r="P68" s="66">
        <v>3.0827E-2</v>
      </c>
      <c r="Q68" s="66">
        <v>3.0506999999999999E-2</v>
      </c>
      <c r="R68" s="66">
        <v>2.9617000000000001E-2</v>
      </c>
      <c r="S68" s="66">
        <v>2.8225E-2</v>
      </c>
      <c r="T68" s="66">
        <v>2.7762999999999999E-2</v>
      </c>
      <c r="U68" s="66">
        <v>2.7383000000000001E-2</v>
      </c>
      <c r="V68" s="66">
        <v>2.6398000000000001E-2</v>
      </c>
      <c r="W68" s="66">
        <v>2.5146000000000002E-2</v>
      </c>
      <c r="X68" s="66">
        <v>2.3862000000000001E-2</v>
      </c>
      <c r="Y68" s="66">
        <v>2.2512999999999998E-2</v>
      </c>
      <c r="Z68" s="66">
        <v>2.1048999999999998E-2</v>
      </c>
      <c r="AA68" s="66">
        <v>2.0848999999999999E-2</v>
      </c>
      <c r="AB68" s="66">
        <v>2.0882000000000001E-2</v>
      </c>
      <c r="AC68" s="66">
        <v>2.0743999999999999E-2</v>
      </c>
      <c r="AD68" s="66">
        <v>2.0784E-2</v>
      </c>
      <c r="AE68" s="66">
        <v>2.068E-2</v>
      </c>
      <c r="AF68" s="67">
        <v>-3.2277E-2</v>
      </c>
      <c r="AG68" s="37"/>
    </row>
    <row r="69" spans="1:33" ht="15" customHeight="1" x14ac:dyDescent="0.2">
      <c r="A69" s="42" t="s">
        <v>1088</v>
      </c>
      <c r="B69" s="65" t="s">
        <v>1089</v>
      </c>
      <c r="C69" s="66">
        <v>-0.33268300000000001</v>
      </c>
      <c r="D69" s="66">
        <v>-0.20533199999999999</v>
      </c>
      <c r="E69" s="66">
        <v>-8.0464999999999995E-2</v>
      </c>
      <c r="F69" s="66">
        <v>-7.9141000000000003E-2</v>
      </c>
      <c r="G69" s="66">
        <v>-7.7562000000000006E-2</v>
      </c>
      <c r="H69" s="66">
        <v>-7.5869000000000006E-2</v>
      </c>
      <c r="I69" s="66">
        <v>-7.4584999999999999E-2</v>
      </c>
      <c r="J69" s="66">
        <v>-7.3352000000000001E-2</v>
      </c>
      <c r="K69" s="66">
        <v>-7.2014999999999996E-2</v>
      </c>
      <c r="L69" s="66">
        <v>-7.0830000000000004E-2</v>
      </c>
      <c r="M69" s="66">
        <v>-6.9986999999999994E-2</v>
      </c>
      <c r="N69" s="66">
        <v>-6.9027000000000005E-2</v>
      </c>
      <c r="O69" s="66">
        <v>-6.8177000000000001E-2</v>
      </c>
      <c r="P69" s="66">
        <v>-6.7415000000000003E-2</v>
      </c>
      <c r="Q69" s="66">
        <v>-6.6489000000000006E-2</v>
      </c>
      <c r="R69" s="66">
        <v>-6.5657999999999994E-2</v>
      </c>
      <c r="S69" s="66">
        <v>-6.4910999999999996E-2</v>
      </c>
      <c r="T69" s="66">
        <v>-6.4065999999999998E-2</v>
      </c>
      <c r="U69" s="66">
        <v>-6.3282000000000005E-2</v>
      </c>
      <c r="V69" s="66">
        <v>-6.2646999999999994E-2</v>
      </c>
      <c r="W69" s="66">
        <v>-6.1990000000000003E-2</v>
      </c>
      <c r="X69" s="66">
        <v>-6.1246000000000002E-2</v>
      </c>
      <c r="Y69" s="66">
        <v>-6.0407000000000002E-2</v>
      </c>
      <c r="Z69" s="66">
        <v>-5.9498000000000002E-2</v>
      </c>
      <c r="AA69" s="66">
        <v>-5.8693000000000002E-2</v>
      </c>
      <c r="AB69" s="66">
        <v>-5.7828999999999998E-2</v>
      </c>
      <c r="AC69" s="66">
        <v>-5.6840000000000002E-2</v>
      </c>
      <c r="AD69" s="66">
        <v>-5.5819000000000001E-2</v>
      </c>
      <c r="AE69" s="66">
        <v>-5.5093999999999997E-2</v>
      </c>
      <c r="AF69" s="67">
        <v>-6.2200999999999999E-2</v>
      </c>
      <c r="AG69" s="37"/>
    </row>
    <row r="70" spans="1:33" ht="15" customHeight="1" x14ac:dyDescent="0.2">
      <c r="A70" s="42" t="s">
        <v>1090</v>
      </c>
      <c r="B70" s="64" t="s">
        <v>1091</v>
      </c>
      <c r="C70" s="68">
        <v>19.905000999999999</v>
      </c>
      <c r="D70" s="68">
        <v>20.027002</v>
      </c>
      <c r="E70" s="68">
        <v>19.931213</v>
      </c>
      <c r="F70" s="68">
        <v>19.867359</v>
      </c>
      <c r="G70" s="68">
        <v>19.854198</v>
      </c>
      <c r="H70" s="68">
        <v>19.836870000000001</v>
      </c>
      <c r="I70" s="68">
        <v>19.784765</v>
      </c>
      <c r="J70" s="68">
        <v>19.696639999999999</v>
      </c>
      <c r="K70" s="68">
        <v>19.58267</v>
      </c>
      <c r="L70" s="68">
        <v>19.476194</v>
      </c>
      <c r="M70" s="68">
        <v>19.408548</v>
      </c>
      <c r="N70" s="68">
        <v>19.351171000000001</v>
      </c>
      <c r="O70" s="68">
        <v>19.329653</v>
      </c>
      <c r="P70" s="68">
        <v>19.295822000000001</v>
      </c>
      <c r="Q70" s="68">
        <v>19.254009</v>
      </c>
      <c r="R70" s="68">
        <v>19.239543999999999</v>
      </c>
      <c r="S70" s="68">
        <v>19.226454</v>
      </c>
      <c r="T70" s="68">
        <v>19.242602999999999</v>
      </c>
      <c r="U70" s="68">
        <v>19.286579</v>
      </c>
      <c r="V70" s="68">
        <v>19.336397000000002</v>
      </c>
      <c r="W70" s="68">
        <v>19.399456000000001</v>
      </c>
      <c r="X70" s="68">
        <v>19.460463000000001</v>
      </c>
      <c r="Y70" s="68">
        <v>19.522269999999999</v>
      </c>
      <c r="Z70" s="68">
        <v>19.591360000000002</v>
      </c>
      <c r="AA70" s="68">
        <v>19.685879</v>
      </c>
      <c r="AB70" s="68">
        <v>19.802607999999999</v>
      </c>
      <c r="AC70" s="68">
        <v>19.892477</v>
      </c>
      <c r="AD70" s="68">
        <v>20.001750999999999</v>
      </c>
      <c r="AE70" s="68">
        <v>20.162787999999999</v>
      </c>
      <c r="AF70" s="69">
        <v>4.6000000000000001E-4</v>
      </c>
      <c r="AG70" s="37"/>
    </row>
    <row r="71" spans="1:33" ht="15" customHeight="1" x14ac:dyDescent="0.2">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row>
    <row r="72" spans="1:33" ht="15" customHeight="1" x14ac:dyDescent="0.2">
      <c r="A72" s="42" t="s">
        <v>1092</v>
      </c>
      <c r="B72" s="65" t="s">
        <v>1093</v>
      </c>
      <c r="C72" s="66">
        <v>-0.29364000000000001</v>
      </c>
      <c r="D72" s="66">
        <v>0.38413799999999998</v>
      </c>
      <c r="E72" s="66">
        <v>-1.8412000000000001E-2</v>
      </c>
      <c r="F72" s="66">
        <v>-1.9605999999999998E-2</v>
      </c>
      <c r="G72" s="66">
        <v>-2.2353999999999999E-2</v>
      </c>
      <c r="H72" s="66">
        <v>-2.2298999999999999E-2</v>
      </c>
      <c r="I72" s="66">
        <v>-2.1360000000000001E-2</v>
      </c>
      <c r="J72" s="66">
        <v>-2.2155999999999999E-2</v>
      </c>
      <c r="K72" s="66">
        <v>-2.3390000000000001E-2</v>
      </c>
      <c r="L72" s="66">
        <v>-2.342E-2</v>
      </c>
      <c r="M72" s="66">
        <v>-2.3331000000000001E-2</v>
      </c>
      <c r="N72" s="66">
        <v>-2.3001000000000001E-2</v>
      </c>
      <c r="O72" s="66">
        <v>-2.3775000000000001E-2</v>
      </c>
      <c r="P72" s="66">
        <v>-2.3438000000000001E-2</v>
      </c>
      <c r="Q72" s="66">
        <v>-2.3077E-2</v>
      </c>
      <c r="R72" s="66">
        <v>-2.2934E-2</v>
      </c>
      <c r="S72" s="66">
        <v>-2.2946999999999999E-2</v>
      </c>
      <c r="T72" s="66">
        <v>-2.2976E-2</v>
      </c>
      <c r="U72" s="66">
        <v>-2.2675000000000001E-2</v>
      </c>
      <c r="V72" s="66">
        <v>-2.3779000000000002E-2</v>
      </c>
      <c r="W72" s="66">
        <v>-2.3975E-2</v>
      </c>
      <c r="X72" s="66">
        <v>-2.4136000000000001E-2</v>
      </c>
      <c r="Y72" s="66">
        <v>-2.4466999999999999E-2</v>
      </c>
      <c r="Z72" s="66">
        <v>-2.5166999999999998E-2</v>
      </c>
      <c r="AA72" s="66">
        <v>-2.1807E-2</v>
      </c>
      <c r="AB72" s="66">
        <v>-2.1797E-2</v>
      </c>
      <c r="AC72" s="66">
        <v>-2.1108999999999999E-2</v>
      </c>
      <c r="AD72" s="66">
        <v>-2.2442E-2</v>
      </c>
      <c r="AE72" s="66">
        <v>-2.1777999999999999E-2</v>
      </c>
      <c r="AF72" s="67">
        <v>-8.8723999999999997E-2</v>
      </c>
      <c r="AG72" s="37"/>
    </row>
    <row r="73" spans="1:33" ht="12" customHeight="1" x14ac:dyDescent="0.2">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row>
    <row r="74" spans="1:33" ht="15" customHeight="1" x14ac:dyDescent="0.2">
      <c r="A74" s="42" t="s">
        <v>1094</v>
      </c>
      <c r="B74" s="65" t="s">
        <v>1095</v>
      </c>
      <c r="C74" s="71">
        <v>17.952000000000002</v>
      </c>
      <c r="D74" s="71">
        <v>18.118998999999999</v>
      </c>
      <c r="E74" s="71">
        <v>18.448851000000001</v>
      </c>
      <c r="F74" s="71">
        <v>18.520790000000002</v>
      </c>
      <c r="G74" s="71">
        <v>18.59273</v>
      </c>
      <c r="H74" s="71">
        <v>18.664670999999998</v>
      </c>
      <c r="I74" s="71">
        <v>18.664670999999998</v>
      </c>
      <c r="J74" s="71">
        <v>18.664670999999998</v>
      </c>
      <c r="K74" s="71">
        <v>18.664670999999998</v>
      </c>
      <c r="L74" s="71">
        <v>18.664670999999998</v>
      </c>
      <c r="M74" s="71">
        <v>18.664670999999998</v>
      </c>
      <c r="N74" s="71">
        <v>18.664670999999998</v>
      </c>
      <c r="O74" s="71">
        <v>18.664670999999998</v>
      </c>
      <c r="P74" s="71">
        <v>18.664670999999998</v>
      </c>
      <c r="Q74" s="71">
        <v>18.664670999999998</v>
      </c>
      <c r="R74" s="71">
        <v>18.664670999999998</v>
      </c>
      <c r="S74" s="71">
        <v>18.664670999999998</v>
      </c>
      <c r="T74" s="71">
        <v>18.664670999999998</v>
      </c>
      <c r="U74" s="71">
        <v>18.664670999999998</v>
      </c>
      <c r="V74" s="71">
        <v>18.664670999999998</v>
      </c>
      <c r="W74" s="71">
        <v>18.664670999999998</v>
      </c>
      <c r="X74" s="71">
        <v>18.664670999999998</v>
      </c>
      <c r="Y74" s="71">
        <v>18.664670999999998</v>
      </c>
      <c r="Z74" s="71">
        <v>18.664670999999998</v>
      </c>
      <c r="AA74" s="71">
        <v>18.664670999999998</v>
      </c>
      <c r="AB74" s="71">
        <v>18.664670999999998</v>
      </c>
      <c r="AC74" s="71">
        <v>18.664670999999998</v>
      </c>
      <c r="AD74" s="71">
        <v>18.664670999999998</v>
      </c>
      <c r="AE74" s="71">
        <v>18.664670999999998</v>
      </c>
      <c r="AF74" s="67">
        <v>1.3910000000000001E-3</v>
      </c>
      <c r="AG74" s="37"/>
    </row>
    <row r="75" spans="1:33" ht="15" customHeight="1" x14ac:dyDescent="0.2">
      <c r="A75" s="42" t="s">
        <v>1096</v>
      </c>
      <c r="B75" s="65" t="s">
        <v>1137</v>
      </c>
      <c r="C75" s="71">
        <v>91.459000000000003</v>
      </c>
      <c r="D75" s="71">
        <v>90.059997999999993</v>
      </c>
      <c r="E75" s="71">
        <v>90.952515000000005</v>
      </c>
      <c r="F75" s="71">
        <v>90.945999</v>
      </c>
      <c r="G75" s="71">
        <v>90.980926999999994</v>
      </c>
      <c r="H75" s="71">
        <v>91.484848</v>
      </c>
      <c r="I75" s="71">
        <v>91.844536000000005</v>
      </c>
      <c r="J75" s="71">
        <v>92.153808999999995</v>
      </c>
      <c r="K75" s="71">
        <v>92.193236999999996</v>
      </c>
      <c r="L75" s="71">
        <v>92.065842000000004</v>
      </c>
      <c r="M75" s="71">
        <v>92.035163999999995</v>
      </c>
      <c r="N75" s="71">
        <v>91.923935</v>
      </c>
      <c r="O75" s="71">
        <v>92.020874000000006</v>
      </c>
      <c r="P75" s="71">
        <v>92.105225000000004</v>
      </c>
      <c r="Q75" s="71">
        <v>92.003792000000004</v>
      </c>
      <c r="R75" s="71">
        <v>91.863945000000001</v>
      </c>
      <c r="S75" s="71">
        <v>92.008858000000004</v>
      </c>
      <c r="T75" s="71">
        <v>92.026291000000001</v>
      </c>
      <c r="U75" s="71">
        <v>92.063507000000001</v>
      </c>
      <c r="V75" s="71">
        <v>92.141662999999994</v>
      </c>
      <c r="W75" s="71">
        <v>92.211074999999994</v>
      </c>
      <c r="X75" s="71">
        <v>92.063453999999993</v>
      </c>
      <c r="Y75" s="71">
        <v>92.282477999999998</v>
      </c>
      <c r="Z75" s="71">
        <v>92.147307999999995</v>
      </c>
      <c r="AA75" s="71">
        <v>92.345222000000007</v>
      </c>
      <c r="AB75" s="71">
        <v>92.071074999999993</v>
      </c>
      <c r="AC75" s="71">
        <v>91.983101000000005</v>
      </c>
      <c r="AD75" s="71">
        <v>92.092338999999996</v>
      </c>
      <c r="AE75" s="71">
        <v>91.780060000000006</v>
      </c>
      <c r="AF75" s="67">
        <v>1.25E-4</v>
      </c>
      <c r="AG75" s="37"/>
    </row>
    <row r="76" spans="1:33" ht="15" customHeight="1" x14ac:dyDescent="0.2">
      <c r="A76" s="42" t="s">
        <v>1098</v>
      </c>
      <c r="B76" s="65" t="s">
        <v>1099</v>
      </c>
      <c r="C76" s="66">
        <v>8.4865460000000006</v>
      </c>
      <c r="D76" s="66">
        <v>9.0409009999999999</v>
      </c>
      <c r="E76" s="66">
        <v>8.9167039999999993</v>
      </c>
      <c r="F76" s="66">
        <v>8.8531840000000006</v>
      </c>
      <c r="G76" s="66">
        <v>8.6993539999999996</v>
      </c>
      <c r="H76" s="66">
        <v>8.7978100000000001</v>
      </c>
      <c r="I76" s="66">
        <v>8.7302379999999999</v>
      </c>
      <c r="J76" s="66">
        <v>8.8096979999999991</v>
      </c>
      <c r="K76" s="66">
        <v>8.8348289999999992</v>
      </c>
      <c r="L76" s="66">
        <v>8.8668779999999998</v>
      </c>
      <c r="M76" s="66">
        <v>8.8397729999999992</v>
      </c>
      <c r="N76" s="66">
        <v>8.7467419999999994</v>
      </c>
      <c r="O76" s="66">
        <v>8.7945659999999997</v>
      </c>
      <c r="P76" s="66">
        <v>8.8531479999999991</v>
      </c>
      <c r="Q76" s="66">
        <v>8.8453959999999991</v>
      </c>
      <c r="R76" s="66">
        <v>8.8224110000000007</v>
      </c>
      <c r="S76" s="66">
        <v>8.8540229999999998</v>
      </c>
      <c r="T76" s="66">
        <v>8.9058299999999999</v>
      </c>
      <c r="U76" s="66">
        <v>8.9359339999999996</v>
      </c>
      <c r="V76" s="66">
        <v>9.1044499999999999</v>
      </c>
      <c r="W76" s="66">
        <v>9.0757650000000005</v>
      </c>
      <c r="X76" s="66">
        <v>8.9965720000000005</v>
      </c>
      <c r="Y76" s="66">
        <v>8.8712859999999996</v>
      </c>
      <c r="Z76" s="66">
        <v>8.8281840000000003</v>
      </c>
      <c r="AA76" s="66">
        <v>8.7008500000000009</v>
      </c>
      <c r="AB76" s="66">
        <v>8.7265999999999995</v>
      </c>
      <c r="AC76" s="66">
        <v>8.7043099999999995</v>
      </c>
      <c r="AD76" s="66">
        <v>8.5641890000000007</v>
      </c>
      <c r="AE76" s="66">
        <v>8.4194560000000003</v>
      </c>
      <c r="AF76" s="67">
        <v>-2.8299999999999999E-4</v>
      </c>
      <c r="AG76" s="37"/>
    </row>
    <row r="77" spans="1:33" ht="15" customHeight="1" x14ac:dyDescent="0.2">
      <c r="A77" s="42" t="s">
        <v>1100</v>
      </c>
      <c r="B77" s="65" t="s">
        <v>1101</v>
      </c>
      <c r="C77" s="66">
        <v>9.7326560000000004</v>
      </c>
      <c r="D77" s="66">
        <v>9.9308960000000006</v>
      </c>
      <c r="E77" s="66">
        <v>10.693754999999999</v>
      </c>
      <c r="F77" s="66">
        <v>10.829088</v>
      </c>
      <c r="G77" s="66">
        <v>11.052844</v>
      </c>
      <c r="H77" s="66">
        <v>11.149592999999999</v>
      </c>
      <c r="I77" s="66">
        <v>11.152388999999999</v>
      </c>
      <c r="J77" s="66">
        <v>11.224688</v>
      </c>
      <c r="K77" s="66">
        <v>11.374539</v>
      </c>
      <c r="L77" s="66">
        <v>11.406249000000001</v>
      </c>
      <c r="M77" s="66">
        <v>11.482843000000001</v>
      </c>
      <c r="N77" s="66">
        <v>11.513206</v>
      </c>
      <c r="O77" s="66">
        <v>11.654120000000001</v>
      </c>
      <c r="P77" s="66">
        <v>11.765363000000001</v>
      </c>
      <c r="Q77" s="66">
        <v>11.842428</v>
      </c>
      <c r="R77" s="66">
        <v>11.860378000000001</v>
      </c>
      <c r="S77" s="66">
        <v>11.865155</v>
      </c>
      <c r="T77" s="66">
        <v>11.957485999999999</v>
      </c>
      <c r="U77" s="66">
        <v>11.842484000000001</v>
      </c>
      <c r="V77" s="66">
        <v>11.890943999999999</v>
      </c>
      <c r="W77" s="66">
        <v>11.950986</v>
      </c>
      <c r="X77" s="66">
        <v>11.976305999999999</v>
      </c>
      <c r="Y77" s="66">
        <v>11.972303</v>
      </c>
      <c r="Z77" s="66">
        <v>11.933615</v>
      </c>
      <c r="AA77" s="66">
        <v>11.771686000000001</v>
      </c>
      <c r="AB77" s="66">
        <v>11.637226999999999</v>
      </c>
      <c r="AC77" s="66">
        <v>11.631284000000001</v>
      </c>
      <c r="AD77" s="66">
        <v>11.574436</v>
      </c>
      <c r="AE77" s="66">
        <v>11.327992</v>
      </c>
      <c r="AF77" s="67">
        <v>5.4359999999999999E-3</v>
      </c>
      <c r="AG77" s="37"/>
    </row>
    <row r="78" spans="1:33" ht="15" customHeight="1" x14ac:dyDescent="0.2">
      <c r="A78" s="42" t="s">
        <v>1102</v>
      </c>
      <c r="B78" s="65" t="s">
        <v>1103</v>
      </c>
      <c r="C78" s="66">
        <v>-1.246111</v>
      </c>
      <c r="D78" s="66">
        <v>-0.88999499999999998</v>
      </c>
      <c r="E78" s="66">
        <v>-1.7770509999999999</v>
      </c>
      <c r="F78" s="66">
        <v>-1.9759040000000001</v>
      </c>
      <c r="G78" s="66">
        <v>-2.3534899999999999</v>
      </c>
      <c r="H78" s="66">
        <v>-2.3517839999999999</v>
      </c>
      <c r="I78" s="66">
        <v>-2.4221509999999999</v>
      </c>
      <c r="J78" s="66">
        <v>-2.4149889999999998</v>
      </c>
      <c r="K78" s="66">
        <v>-2.5397099999999999</v>
      </c>
      <c r="L78" s="66">
        <v>-2.539371</v>
      </c>
      <c r="M78" s="66">
        <v>-2.6430699999999998</v>
      </c>
      <c r="N78" s="66">
        <v>-2.766464</v>
      </c>
      <c r="O78" s="66">
        <v>-2.8595540000000002</v>
      </c>
      <c r="P78" s="66">
        <v>-2.9122140000000001</v>
      </c>
      <c r="Q78" s="66">
        <v>-2.9970319999999999</v>
      </c>
      <c r="R78" s="66">
        <v>-3.0379679999999998</v>
      </c>
      <c r="S78" s="66">
        <v>-3.0111319999999999</v>
      </c>
      <c r="T78" s="66">
        <v>-3.0516559999999999</v>
      </c>
      <c r="U78" s="66">
        <v>-2.9065500000000002</v>
      </c>
      <c r="V78" s="66">
        <v>-2.7864930000000001</v>
      </c>
      <c r="W78" s="66">
        <v>-2.8752209999999998</v>
      </c>
      <c r="X78" s="66">
        <v>-2.9797340000000001</v>
      </c>
      <c r="Y78" s="66">
        <v>-3.1010170000000001</v>
      </c>
      <c r="Z78" s="66">
        <v>-3.1054309999999998</v>
      </c>
      <c r="AA78" s="66">
        <v>-3.0708350000000002</v>
      </c>
      <c r="AB78" s="66">
        <v>-2.9106269999999999</v>
      </c>
      <c r="AC78" s="66">
        <v>-2.9269729999999998</v>
      </c>
      <c r="AD78" s="66">
        <v>-3.0102470000000001</v>
      </c>
      <c r="AE78" s="66">
        <v>-2.9085359999999998</v>
      </c>
      <c r="AF78" s="67">
        <v>3.0734999999999998E-2</v>
      </c>
      <c r="AG78" s="37"/>
    </row>
    <row r="79" spans="1:33" ht="12" customHeight="1" x14ac:dyDescent="0.2">
      <c r="A79" s="42" t="s">
        <v>1104</v>
      </c>
      <c r="B79" s="65" t="s">
        <v>1138</v>
      </c>
      <c r="C79" s="71">
        <v>-6.3540260000000002</v>
      </c>
      <c r="D79" s="71">
        <v>-4.3603430000000003</v>
      </c>
      <c r="E79" s="71">
        <v>-8.9241620000000008</v>
      </c>
      <c r="F79" s="71">
        <v>-9.9553010000000004</v>
      </c>
      <c r="G79" s="71">
        <v>-11.867222999999999</v>
      </c>
      <c r="H79" s="71">
        <v>-11.868959</v>
      </c>
      <c r="I79" s="71">
        <v>-12.255728</v>
      </c>
      <c r="J79" s="71">
        <v>-12.274734</v>
      </c>
      <c r="K79" s="71">
        <v>-12.984676</v>
      </c>
      <c r="L79" s="71">
        <v>-13.054034</v>
      </c>
      <c r="M79" s="71">
        <v>-13.634465000000001</v>
      </c>
      <c r="N79" s="71">
        <v>-14.313117999999999</v>
      </c>
      <c r="O79" s="71">
        <v>-14.811828999999999</v>
      </c>
      <c r="P79" s="71">
        <v>-15.110813</v>
      </c>
      <c r="Q79" s="71">
        <v>-15.584432</v>
      </c>
      <c r="R79" s="71">
        <v>-15.80908</v>
      </c>
      <c r="S79" s="71">
        <v>-15.680111999999999</v>
      </c>
      <c r="T79" s="71">
        <v>-15.87781</v>
      </c>
      <c r="U79" s="71">
        <v>-15.088065</v>
      </c>
      <c r="V79" s="71">
        <v>-14.428357999999999</v>
      </c>
      <c r="W79" s="71">
        <v>-14.839491000000001</v>
      </c>
      <c r="X79" s="71">
        <v>-15.330742000000001</v>
      </c>
      <c r="Y79" s="71">
        <v>-15.904443000000001</v>
      </c>
      <c r="Z79" s="71">
        <v>-15.871409999999999</v>
      </c>
      <c r="AA79" s="71">
        <v>-15.616472999999999</v>
      </c>
      <c r="AB79" s="71">
        <v>-14.714403000000001</v>
      </c>
      <c r="AC79" s="71">
        <v>-14.729609999999999</v>
      </c>
      <c r="AD79" s="71">
        <v>-15.066827999999999</v>
      </c>
      <c r="AE79" s="71">
        <v>-14.440868</v>
      </c>
      <c r="AF79" s="67">
        <v>2.9755E-2</v>
      </c>
      <c r="AG79" s="37"/>
    </row>
    <row r="80" spans="1:33" ht="15" customHeight="1" x14ac:dyDescent="0.2">
      <c r="B80" s="64" t="s">
        <v>1106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row>
    <row r="81" spans="1:34" ht="12" customHeight="1" x14ac:dyDescent="0.2">
      <c r="A81" s="42" t="s">
        <v>1107</v>
      </c>
      <c r="B81" s="65" t="s">
        <v>1139</v>
      </c>
      <c r="C81" s="70">
        <v>371.36688199999998</v>
      </c>
      <c r="D81" s="70">
        <v>248.61128199999999</v>
      </c>
      <c r="E81" s="70">
        <v>251.41229200000001</v>
      </c>
      <c r="F81" s="70">
        <v>234.703217</v>
      </c>
      <c r="G81" s="70">
        <v>230.17449999999999</v>
      </c>
      <c r="H81" s="70">
        <v>234.90776099999999</v>
      </c>
      <c r="I81" s="70">
        <v>234.48049900000001</v>
      </c>
      <c r="J81" s="70">
        <v>239.360443</v>
      </c>
      <c r="K81" s="70">
        <v>241.82403600000001</v>
      </c>
      <c r="L81" s="70">
        <v>243.932602</v>
      </c>
      <c r="M81" s="70">
        <v>245.429123</v>
      </c>
      <c r="N81" s="70">
        <v>244.05328399999999</v>
      </c>
      <c r="O81" s="70">
        <v>246.72105400000001</v>
      </c>
      <c r="P81" s="70">
        <v>250.19442699999999</v>
      </c>
      <c r="Q81" s="70">
        <v>252.71852100000001</v>
      </c>
      <c r="R81" s="70">
        <v>252.98632799999999</v>
      </c>
      <c r="S81" s="70">
        <v>255.54049699999999</v>
      </c>
      <c r="T81" s="70">
        <v>258.61086999999998</v>
      </c>
      <c r="U81" s="70">
        <v>261.46523999999999</v>
      </c>
      <c r="V81" s="70">
        <v>268.47531099999998</v>
      </c>
      <c r="W81" s="70">
        <v>269.251373</v>
      </c>
      <c r="X81" s="70">
        <v>266.64828499999999</v>
      </c>
      <c r="Y81" s="70">
        <v>263.44723499999998</v>
      </c>
      <c r="Z81" s="70">
        <v>262.58783</v>
      </c>
      <c r="AA81" s="70">
        <v>260.37374899999998</v>
      </c>
      <c r="AB81" s="70">
        <v>262.247345</v>
      </c>
      <c r="AC81" s="70">
        <v>262.36071800000002</v>
      </c>
      <c r="AD81" s="70">
        <v>259.065338</v>
      </c>
      <c r="AE81" s="70">
        <v>255.761414</v>
      </c>
      <c r="AF81" s="67">
        <v>-1.3231E-2</v>
      </c>
      <c r="AG81" s="37"/>
    </row>
    <row r="82" spans="1:34" ht="15" customHeight="1" x14ac:dyDescent="0.2">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row>
    <row r="83" spans="1:34" ht="15" customHeight="1" thickBot="1" x14ac:dyDescent="0.25">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row>
    <row r="84" spans="1:34" ht="15" customHeight="1" x14ac:dyDescent="0.25">
      <c r="B84" s="459" t="s">
        <v>1109</v>
      </c>
      <c r="C84" s="460"/>
      <c r="D84" s="460"/>
      <c r="E84" s="460"/>
      <c r="F84" s="460"/>
      <c r="G84" s="460"/>
      <c r="H84" s="460"/>
      <c r="I84" s="460"/>
      <c r="J84" s="460"/>
      <c r="K84" s="460"/>
      <c r="L84" s="460"/>
      <c r="M84" s="460"/>
      <c r="N84" s="460"/>
      <c r="O84" s="460"/>
      <c r="P84" s="460"/>
      <c r="Q84" s="460"/>
      <c r="R84" s="460"/>
      <c r="S84" s="460"/>
      <c r="T84" s="460"/>
      <c r="U84" s="460"/>
      <c r="V84" s="460"/>
      <c r="W84" s="460"/>
      <c r="X84" s="460"/>
      <c r="Y84" s="460"/>
      <c r="Z84" s="460"/>
      <c r="AA84" s="460"/>
      <c r="AB84" s="460"/>
      <c r="AC84" s="460"/>
      <c r="AD84" s="460"/>
      <c r="AE84" s="460"/>
      <c r="AF84" s="460"/>
      <c r="AG84" s="460"/>
      <c r="AH84" s="57"/>
    </row>
    <row r="85" spans="1:34" ht="15" customHeight="1" x14ac:dyDescent="0.2">
      <c r="B85" s="37" t="s">
        <v>1140</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row>
    <row r="86" spans="1:34" ht="15" customHeight="1" x14ac:dyDescent="0.2">
      <c r="B86" s="37" t="s">
        <v>1111</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row>
    <row r="87" spans="1:34" ht="15" customHeight="1" x14ac:dyDescent="0.2">
      <c r="B87" s="37" t="s">
        <v>1112</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row>
    <row r="88" spans="1:34" ht="15" customHeight="1" x14ac:dyDescent="0.2">
      <c r="B88" s="37" t="s">
        <v>1113</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row>
    <row r="89" spans="1:34" ht="15" customHeight="1" x14ac:dyDescent="0.2">
      <c r="B89" s="37" t="s">
        <v>1141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row>
    <row r="90" spans="1:34" ht="15" customHeight="1" x14ac:dyDescent="0.2">
      <c r="B90" s="37" t="s">
        <v>1142</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row>
    <row r="91" spans="1:34" ht="15" customHeight="1" x14ac:dyDescent="0.2">
      <c r="B91" s="37" t="s">
        <v>1116</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row>
    <row r="92" spans="1:34" ht="12" customHeight="1" x14ac:dyDescent="0.2">
      <c r="B92" s="37" t="s">
        <v>1117</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row>
    <row r="93" spans="1:34" ht="15" customHeight="1" x14ac:dyDescent="0.2">
      <c r="B93" s="37" t="s">
        <v>1118</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row>
    <row r="94" spans="1:34" ht="15" customHeight="1" x14ac:dyDescent="0.2">
      <c r="B94" s="37" t="s">
        <v>1143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row>
    <row r="95" spans="1:34" ht="15" customHeight="1" x14ac:dyDescent="0.2">
      <c r="B95" s="37" t="s">
        <v>1120</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row>
    <row r="96" spans="1:34" ht="15" customHeight="1" x14ac:dyDescent="0.2">
      <c r="B96" s="37" t="s">
        <v>1144</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row>
    <row r="97" spans="2:33" ht="15" customHeight="1" x14ac:dyDescent="0.2">
      <c r="B97" s="37" t="s">
        <v>1145</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row>
    <row r="98" spans="2:33" ht="15" customHeight="1" x14ac:dyDescent="0.2">
      <c r="B98" s="37" t="s">
        <v>1123</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row>
    <row r="99" spans="2:33" ht="15" customHeight="1" x14ac:dyDescent="0.2">
      <c r="B99" s="37" t="s">
        <v>1124</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row>
    <row r="100" spans="2:33" ht="15" customHeight="1" x14ac:dyDescent="0.2">
      <c r="B100" s="37" t="s">
        <v>1125</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row>
    <row r="101" spans="2:33" ht="12" customHeight="1" x14ac:dyDescent="0.2">
      <c r="B101" s="37" t="s">
        <v>1126</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row>
    <row r="102" spans="2:33" ht="12" customHeight="1" x14ac:dyDescent="0.2">
      <c r="B102" s="37" t="s">
        <v>1146</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row>
    <row r="103" spans="2:33" ht="15" customHeight="1" x14ac:dyDescent="0.2">
      <c r="B103" s="37" t="s">
        <v>1147</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row>
    <row r="104" spans="2:33" ht="15" customHeight="1" x14ac:dyDescent="0.2">
      <c r="B104" s="37" t="s">
        <v>1129</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row>
    <row r="105" spans="2:33" ht="15" customHeight="1" x14ac:dyDescent="0.2">
      <c r="B105" s="37" t="s">
        <v>1130</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row>
    <row r="106" spans="2:33" ht="15" customHeight="1" x14ac:dyDescent="0.2">
      <c r="B106" s="37" t="s">
        <v>1131</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row>
    <row r="107" spans="2:33" ht="15" customHeight="1" x14ac:dyDescent="0.2">
      <c r="B107" s="37" t="s">
        <v>1132</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row>
    <row r="108" spans="2:33" ht="15" customHeight="1" x14ac:dyDescent="0.2">
      <c r="B108" s="37" t="s">
        <v>1133</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row>
    <row r="109" spans="2:33" ht="15" customHeight="1" x14ac:dyDescent="0.2">
      <c r="B109" s="37" t="s">
        <v>552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row>
    <row r="110" spans="2:33" ht="15" customHeight="1" x14ac:dyDescent="0.2">
      <c r="B110" s="37" t="s">
        <v>553</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row>
    <row r="111" spans="2:33" ht="15" customHeight="1" x14ac:dyDescent="0.2">
      <c r="B111" s="37" t="s">
        <v>839</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row>
    <row r="112" spans="2:33" ht="15" customHeight="1" x14ac:dyDescent="0.2">
      <c r="B112" s="458" t="s">
        <v>571</v>
      </c>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c r="AA112" s="457"/>
      <c r="AB112" s="457"/>
      <c r="AC112" s="457"/>
      <c r="AD112" s="457"/>
      <c r="AE112" s="457"/>
      <c r="AF112" s="457"/>
      <c r="AG112" s="37"/>
    </row>
    <row r="113" spans="2:33" ht="15" customHeight="1" x14ac:dyDescent="0.2">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row>
    <row r="114" spans="2:33" ht="15" customHeight="1" x14ac:dyDescent="0.2">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row>
    <row r="115" spans="2:33" ht="15" customHeight="1" x14ac:dyDescent="0.2">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row>
    <row r="116" spans="2:33" ht="15" customHeight="1" x14ac:dyDescent="0.2">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row>
    <row r="117" spans="2:33" ht="15" customHeight="1" x14ac:dyDescent="0.2">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row>
    <row r="118" spans="2:33" ht="15" customHeight="1" x14ac:dyDescent="0.2">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row>
    <row r="119" spans="2:33" ht="15" customHeight="1" x14ac:dyDescent="0.2">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row>
    <row r="120" spans="2:33" ht="15" customHeight="1" x14ac:dyDescent="0.2">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row>
    <row r="121" spans="2:33" ht="15" customHeight="1" x14ac:dyDescent="0.2">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row>
    <row r="122" spans="2:33" ht="15" customHeight="1" x14ac:dyDescent="0.2">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row>
    <row r="123" spans="2:33" ht="15" customHeight="1" x14ac:dyDescent="0.2">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row>
    <row r="124" spans="2:33" ht="15" customHeight="1" x14ac:dyDescent="0.2">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row>
    <row r="125" spans="2:33" ht="15" customHeight="1" x14ac:dyDescent="0.2">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row>
    <row r="126" spans="2:33" ht="15" customHeight="1" x14ac:dyDescent="0.2">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row>
    <row r="127" spans="2:33" ht="15" customHeight="1" x14ac:dyDescent="0.2">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row>
    <row r="128" spans="2:33" ht="15" customHeight="1" x14ac:dyDescent="0.2">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row>
    <row r="129" spans="2:33" ht="15" customHeight="1" x14ac:dyDescent="0.2">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row>
    <row r="130" spans="2:33" ht="15" customHeight="1" x14ac:dyDescent="0.2">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row>
    <row r="131" spans="2:33" ht="15" customHeight="1" x14ac:dyDescent="0.2">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row>
    <row r="132" spans="2:33" ht="15" customHeight="1" x14ac:dyDescent="0.2">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row>
    <row r="133" spans="2:33" ht="15" customHeight="1" x14ac:dyDescent="0.2">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row>
    <row r="134" spans="2:33" ht="15" customHeight="1" x14ac:dyDescent="0.2">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row>
    <row r="135" spans="2:33" ht="15" customHeight="1" x14ac:dyDescent="0.2">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row>
    <row r="136" spans="2:33" ht="15" customHeight="1" x14ac:dyDescent="0.2">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row>
    <row r="137" spans="2:33" ht="15" customHeight="1" x14ac:dyDescent="0.2">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row>
    <row r="138" spans="2:33" ht="15" customHeight="1" x14ac:dyDescent="0.2">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row>
    <row r="139" spans="2:33" ht="15" customHeight="1" x14ac:dyDescent="0.2">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row>
    <row r="140" spans="2:33" ht="15" customHeight="1" x14ac:dyDescent="0.2">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row>
    <row r="141" spans="2:33" ht="12" customHeight="1" x14ac:dyDescent="0.2">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row>
    <row r="142" spans="2:33" ht="12" customHeight="1" x14ac:dyDescent="0.2">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row>
    <row r="143" spans="2:33" ht="12" customHeight="1" x14ac:dyDescent="0.2">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row>
    <row r="144" spans="2:33" ht="12" customHeight="1" x14ac:dyDescent="0.2">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row>
    <row r="145" spans="2:33" ht="12" customHeight="1" x14ac:dyDescent="0.2">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row>
    <row r="146" spans="2:33" ht="12" customHeight="1" x14ac:dyDescent="0.2">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row>
    <row r="147" spans="2:33" ht="12" customHeight="1" x14ac:dyDescent="0.2">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row>
    <row r="148" spans="2:33" ht="12" customHeight="1" x14ac:dyDescent="0.2">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row>
    <row r="149" spans="2:33" ht="12" customHeight="1" x14ac:dyDescent="0.2">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row>
    <row r="150" spans="2:33" ht="15" customHeight="1" x14ac:dyDescent="0.2">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row>
    <row r="151" spans="2:33" ht="15" customHeight="1" x14ac:dyDescent="0.2">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row>
    <row r="152" spans="2:33" ht="15" customHeight="1" x14ac:dyDescent="0.2">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row>
    <row r="153" spans="2:33" ht="15" customHeight="1" x14ac:dyDescent="0.2">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row>
    <row r="154" spans="2:33" ht="15" customHeight="1" x14ac:dyDescent="0.2">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row>
    <row r="155" spans="2:33" ht="15" customHeight="1" x14ac:dyDescent="0.2">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row>
    <row r="156" spans="2:33" ht="15" customHeight="1" x14ac:dyDescent="0.2">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row>
    <row r="157" spans="2:33" ht="15" customHeight="1" x14ac:dyDescent="0.2">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row>
    <row r="158" spans="2:33" ht="15" customHeight="1" x14ac:dyDescent="0.2">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row>
    <row r="159" spans="2:33" ht="15" customHeight="1" x14ac:dyDescent="0.2">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row>
    <row r="160" spans="2:33" ht="15" customHeight="1" x14ac:dyDescent="0.2">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row>
    <row r="161" spans="2:33" ht="15" customHeight="1" x14ac:dyDescent="0.2">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row>
    <row r="162" spans="2:33" ht="15" customHeight="1" x14ac:dyDescent="0.2">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row>
    <row r="163" spans="2:33" ht="15" customHeight="1" x14ac:dyDescent="0.2">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row>
    <row r="164" spans="2:33" ht="15" customHeight="1" x14ac:dyDescent="0.2">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row>
    <row r="165" spans="2:33" ht="12" customHeight="1" x14ac:dyDescent="0.2">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row>
    <row r="166" spans="2:33" ht="15" customHeight="1" x14ac:dyDescent="0.2">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row>
    <row r="167" spans="2:33" ht="15" customHeight="1" x14ac:dyDescent="0.2">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row>
    <row r="168" spans="2:33" ht="15" customHeight="1" x14ac:dyDescent="0.2">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row>
    <row r="169" spans="2:33" ht="15" customHeight="1" x14ac:dyDescent="0.2">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row>
    <row r="170" spans="2:33" ht="15" customHeight="1" x14ac:dyDescent="0.2">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row>
    <row r="171" spans="2:33" ht="15" customHeight="1" x14ac:dyDescent="0.2">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row>
    <row r="172" spans="2:33" ht="15" customHeight="1" x14ac:dyDescent="0.2">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row>
    <row r="173" spans="2:33" ht="15" customHeight="1" x14ac:dyDescent="0.2">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row>
    <row r="174" spans="2:33" ht="15" customHeight="1" x14ac:dyDescent="0.2">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row>
    <row r="175" spans="2:33" ht="15" customHeight="1" x14ac:dyDescent="0.2">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row>
    <row r="176" spans="2:33" ht="15" customHeight="1" x14ac:dyDescent="0.2">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row>
    <row r="177" spans="2:33" ht="15" customHeight="1" x14ac:dyDescent="0.2">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row>
    <row r="178" spans="2:33" ht="15" customHeight="1" x14ac:dyDescent="0.2">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row>
    <row r="179" spans="2:33" ht="15" customHeight="1" x14ac:dyDescent="0.2">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row>
    <row r="180" spans="2:33" ht="12" customHeight="1" x14ac:dyDescent="0.2">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row>
    <row r="181" spans="2:33" ht="15" customHeight="1" x14ac:dyDescent="0.2">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row>
    <row r="182" spans="2:33" ht="15" customHeight="1" x14ac:dyDescent="0.2">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row>
    <row r="183" spans="2:33" ht="15" customHeight="1" x14ac:dyDescent="0.2">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row>
    <row r="184" spans="2:33" ht="15" customHeight="1" x14ac:dyDescent="0.2">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row>
    <row r="185" spans="2:33" ht="15" customHeight="1" x14ac:dyDescent="0.2">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row>
    <row r="186" spans="2:33" ht="15" customHeight="1" x14ac:dyDescent="0.2">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row>
    <row r="187" spans="2:33" ht="15" customHeight="1" x14ac:dyDescent="0.2">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row>
    <row r="188" spans="2:33" ht="15" customHeight="1" x14ac:dyDescent="0.2">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row>
    <row r="189" spans="2:33" ht="15" customHeight="1" x14ac:dyDescent="0.2">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row>
    <row r="190" spans="2:33" ht="15" customHeight="1" x14ac:dyDescent="0.2">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row>
    <row r="191" spans="2:33" ht="15" customHeight="1" x14ac:dyDescent="0.2">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row>
    <row r="192" spans="2:33" ht="15" customHeight="1" x14ac:dyDescent="0.2">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row>
    <row r="193" spans="2:33" ht="15" customHeight="1" x14ac:dyDescent="0.2">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row>
    <row r="194" spans="2:33" ht="15" customHeight="1" x14ac:dyDescent="0.2">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row>
    <row r="195" spans="2:33" ht="15" customHeight="1" x14ac:dyDescent="0.2">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row>
    <row r="196" spans="2:33" ht="15" customHeight="1" x14ac:dyDescent="0.2">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row>
    <row r="197" spans="2:33" ht="15" customHeight="1" x14ac:dyDescent="0.2">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row>
    <row r="198" spans="2:33" ht="15" customHeight="1" x14ac:dyDescent="0.2">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row>
    <row r="199" spans="2:33" ht="15" customHeight="1" x14ac:dyDescent="0.2">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row>
    <row r="200" spans="2:33" ht="15" customHeight="1" x14ac:dyDescent="0.2">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row>
    <row r="201" spans="2:33" ht="15" customHeight="1" x14ac:dyDescent="0.2">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row>
    <row r="202" spans="2:33" ht="15" customHeight="1" x14ac:dyDescent="0.2">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row>
    <row r="203" spans="2:33" ht="15" customHeight="1" x14ac:dyDescent="0.2">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row>
    <row r="204" spans="2:33" ht="15" customHeight="1" x14ac:dyDescent="0.2">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row>
    <row r="205" spans="2:33" ht="12" customHeight="1" x14ac:dyDescent="0.2">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row>
    <row r="206" spans="2:33" ht="12" customHeight="1" x14ac:dyDescent="0.2">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row>
    <row r="207" spans="2:33" ht="15" customHeight="1" x14ac:dyDescent="0.2">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row>
    <row r="208" spans="2:33" ht="15" customHeight="1" x14ac:dyDescent="0.2">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row>
    <row r="209" spans="2:33" ht="15" customHeight="1" x14ac:dyDescent="0.2">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row>
    <row r="210" spans="2:33" ht="15" customHeight="1" x14ac:dyDescent="0.2">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row>
    <row r="211" spans="2:33" ht="15" customHeight="1" x14ac:dyDescent="0.2">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row>
    <row r="212" spans="2:33" ht="15" customHeight="1" x14ac:dyDescent="0.2">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row>
    <row r="213" spans="2:33" ht="15" customHeight="1" x14ac:dyDescent="0.2">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row>
    <row r="214" spans="2:33" ht="15" customHeight="1" x14ac:dyDescent="0.2">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row>
    <row r="215" spans="2:33" ht="15" customHeight="1" x14ac:dyDescent="0.2">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row>
    <row r="216" spans="2:33" ht="15" customHeight="1" x14ac:dyDescent="0.2">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row>
    <row r="217" spans="2:33" ht="15" customHeight="1" x14ac:dyDescent="0.2">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row>
    <row r="218" spans="2:33" ht="15" customHeight="1" x14ac:dyDescent="0.2">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row>
    <row r="219" spans="2:33" ht="15" customHeight="1" x14ac:dyDescent="0.2">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row>
    <row r="220" spans="2:33" ht="15" customHeight="1" x14ac:dyDescent="0.2">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row>
    <row r="221" spans="2:33" ht="15" customHeight="1" x14ac:dyDescent="0.2">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row>
    <row r="222" spans="2:33" ht="15" customHeight="1" x14ac:dyDescent="0.2">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row>
    <row r="223" spans="2:33" ht="12" customHeight="1" x14ac:dyDescent="0.2">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row>
    <row r="224" spans="2:33" ht="15" customHeight="1" x14ac:dyDescent="0.2">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row>
    <row r="225" spans="2:33" ht="15" customHeight="1" x14ac:dyDescent="0.2">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row>
    <row r="226" spans="2:33" ht="12" customHeight="1" x14ac:dyDescent="0.2">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row>
    <row r="227" spans="2:33" ht="15" customHeight="1" x14ac:dyDescent="0.2">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row>
    <row r="228" spans="2:33" ht="15" customHeight="1" x14ac:dyDescent="0.2">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row>
    <row r="229" spans="2:33" ht="15" customHeight="1" x14ac:dyDescent="0.2">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row>
    <row r="230" spans="2:33" ht="15" customHeight="1" x14ac:dyDescent="0.2">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row>
    <row r="231" spans="2:33" ht="15" customHeight="1" x14ac:dyDescent="0.2">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row>
    <row r="232" spans="2:33" ht="15" customHeight="1" x14ac:dyDescent="0.2">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row>
    <row r="233" spans="2:33" ht="15" customHeight="1" x14ac:dyDescent="0.2">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row>
    <row r="234" spans="2:33" ht="15" customHeight="1" x14ac:dyDescent="0.2">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row>
    <row r="308" spans="2:32" ht="15" customHeight="1" x14ac:dyDescent="0.2">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c r="AA308" s="457"/>
      <c r="AB308" s="457"/>
      <c r="AC308" s="457"/>
      <c r="AD308" s="457"/>
      <c r="AE308" s="457"/>
      <c r="AF308" s="457"/>
    </row>
    <row r="511" spans="2:32" ht="15" customHeight="1" x14ac:dyDescent="0.2">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c r="AA511" s="457"/>
      <c r="AB511" s="457"/>
      <c r="AC511" s="457"/>
      <c r="AD511" s="457"/>
      <c r="AE511" s="457"/>
      <c r="AF511" s="457"/>
    </row>
    <row r="712" spans="2:32" ht="15" customHeight="1" x14ac:dyDescent="0.2">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c r="AA712" s="457"/>
      <c r="AB712" s="457"/>
      <c r="AC712" s="457"/>
      <c r="AD712" s="457"/>
      <c r="AE712" s="457"/>
      <c r="AF712" s="457"/>
    </row>
    <row r="887" spans="2:32" ht="15" customHeight="1" x14ac:dyDescent="0.2">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c r="AA887" s="457"/>
      <c r="AB887" s="457"/>
      <c r="AC887" s="457"/>
      <c r="AD887" s="457"/>
      <c r="AE887" s="457"/>
      <c r="AF887" s="457"/>
    </row>
    <row r="1101" spans="2:32" ht="15" customHeight="1" x14ac:dyDescent="0.2">
      <c r="B1101" s="457"/>
      <c r="C1101" s="457"/>
      <c r="D1101" s="457"/>
      <c r="E1101" s="457"/>
      <c r="F1101" s="457"/>
      <c r="G1101" s="457"/>
      <c r="H1101" s="457"/>
      <c r="I1101" s="457"/>
      <c r="J1101" s="457"/>
      <c r="K1101" s="457"/>
      <c r="L1101" s="457"/>
      <c r="M1101" s="457"/>
      <c r="N1101" s="457"/>
      <c r="O1101" s="457"/>
      <c r="P1101" s="457"/>
      <c r="Q1101" s="457"/>
      <c r="R1101" s="457"/>
      <c r="S1101" s="457"/>
      <c r="T1101" s="457"/>
      <c r="U1101" s="457"/>
      <c r="V1101" s="457"/>
      <c r="W1101" s="457"/>
      <c r="X1101" s="457"/>
      <c r="Y1101" s="457"/>
      <c r="Z1101" s="457"/>
      <c r="AA1101" s="457"/>
      <c r="AB1101" s="457"/>
      <c r="AC1101" s="457"/>
      <c r="AD1101" s="457"/>
      <c r="AE1101" s="457"/>
      <c r="AF1101" s="457"/>
    </row>
    <row r="1229" spans="2:32" ht="15" customHeight="1" x14ac:dyDescent="0.2">
      <c r="B1229" s="457"/>
      <c r="C1229" s="457"/>
      <c r="D1229" s="457"/>
      <c r="E1229" s="457"/>
      <c r="F1229" s="457"/>
      <c r="G1229" s="457"/>
      <c r="H1229" s="457"/>
      <c r="I1229" s="457"/>
      <c r="J1229" s="457"/>
      <c r="K1229" s="457"/>
      <c r="L1229" s="457"/>
      <c r="M1229" s="457"/>
      <c r="N1229" s="457"/>
      <c r="O1229" s="457"/>
      <c r="P1229" s="457"/>
      <c r="Q1229" s="457"/>
      <c r="R1229" s="457"/>
      <c r="S1229" s="457"/>
      <c r="T1229" s="457"/>
      <c r="U1229" s="457"/>
      <c r="V1229" s="457"/>
      <c r="W1229" s="457"/>
      <c r="X1229" s="457"/>
      <c r="Y1229" s="457"/>
      <c r="Z1229" s="457"/>
      <c r="AA1229" s="457"/>
      <c r="AB1229" s="457"/>
      <c r="AC1229" s="457"/>
      <c r="AD1229" s="457"/>
      <c r="AE1229" s="457"/>
      <c r="AF1229" s="457"/>
    </row>
    <row r="1390" spans="2:32" ht="15" customHeight="1" x14ac:dyDescent="0.2">
      <c r="B1390" s="457"/>
      <c r="C1390" s="457"/>
      <c r="D1390" s="457"/>
      <c r="E1390" s="457"/>
      <c r="F1390" s="457"/>
      <c r="G1390" s="457"/>
      <c r="H1390" s="457"/>
      <c r="I1390" s="457"/>
      <c r="J1390" s="457"/>
      <c r="K1390" s="457"/>
      <c r="L1390" s="457"/>
      <c r="M1390" s="457"/>
      <c r="N1390" s="457"/>
      <c r="O1390" s="457"/>
      <c r="P1390" s="457"/>
      <c r="Q1390" s="457"/>
      <c r="R1390" s="457"/>
      <c r="S1390" s="457"/>
      <c r="T1390" s="457"/>
      <c r="U1390" s="457"/>
      <c r="V1390" s="457"/>
      <c r="W1390" s="457"/>
      <c r="X1390" s="457"/>
      <c r="Y1390" s="457"/>
      <c r="Z1390" s="457"/>
      <c r="AA1390" s="457"/>
      <c r="AB1390" s="457"/>
      <c r="AC1390" s="457"/>
      <c r="AD1390" s="457"/>
      <c r="AE1390" s="457"/>
      <c r="AF1390" s="457"/>
    </row>
    <row r="1502" spans="2:32" ht="15" customHeight="1" x14ac:dyDescent="0.2">
      <c r="B1502" s="457"/>
      <c r="C1502" s="457"/>
      <c r="D1502" s="457"/>
      <c r="E1502" s="457"/>
      <c r="F1502" s="457"/>
      <c r="G1502" s="457"/>
      <c r="H1502" s="457"/>
      <c r="I1502" s="457"/>
      <c r="J1502" s="457"/>
      <c r="K1502" s="457"/>
      <c r="L1502" s="457"/>
      <c r="M1502" s="457"/>
      <c r="N1502" s="457"/>
      <c r="O1502" s="457"/>
      <c r="P1502" s="457"/>
      <c r="Q1502" s="457"/>
      <c r="R1502" s="457"/>
      <c r="S1502" s="457"/>
      <c r="T1502" s="457"/>
      <c r="U1502" s="457"/>
      <c r="V1502" s="457"/>
      <c r="W1502" s="457"/>
      <c r="X1502" s="457"/>
      <c r="Y1502" s="457"/>
      <c r="Z1502" s="457"/>
      <c r="AA1502" s="457"/>
      <c r="AB1502" s="457"/>
      <c r="AC1502" s="457"/>
      <c r="AD1502" s="457"/>
      <c r="AE1502" s="457"/>
      <c r="AF1502" s="457"/>
    </row>
    <row r="1604" spans="2:32" ht="15" customHeight="1" x14ac:dyDescent="0.2">
      <c r="B1604" s="457"/>
      <c r="C1604" s="457"/>
      <c r="D1604" s="457"/>
      <c r="E1604" s="457"/>
      <c r="F1604" s="457"/>
      <c r="G1604" s="457"/>
      <c r="H1604" s="457"/>
      <c r="I1604" s="457"/>
      <c r="J1604" s="457"/>
      <c r="K1604" s="457"/>
      <c r="L1604" s="457"/>
      <c r="M1604" s="457"/>
      <c r="N1604" s="457"/>
      <c r="O1604" s="457"/>
      <c r="P1604" s="457"/>
      <c r="Q1604" s="457"/>
      <c r="R1604" s="457"/>
      <c r="S1604" s="457"/>
      <c r="T1604" s="457"/>
      <c r="U1604" s="457"/>
      <c r="V1604" s="457"/>
      <c r="W1604" s="457"/>
      <c r="X1604" s="457"/>
      <c r="Y1604" s="457"/>
      <c r="Z1604" s="457"/>
      <c r="AA1604" s="457"/>
      <c r="AB1604" s="457"/>
      <c r="AC1604" s="457"/>
      <c r="AD1604" s="457"/>
      <c r="AE1604" s="457"/>
      <c r="AF1604" s="457"/>
    </row>
    <row r="1699" spans="2:32" ht="15" customHeight="1" x14ac:dyDescent="0.2">
      <c r="B1699" s="457"/>
      <c r="C1699" s="457"/>
      <c r="D1699" s="457"/>
      <c r="E1699" s="457"/>
      <c r="F1699" s="457"/>
      <c r="G1699" s="457"/>
      <c r="H1699" s="457"/>
      <c r="I1699" s="457"/>
      <c r="J1699" s="457"/>
      <c r="K1699" s="457"/>
      <c r="L1699" s="457"/>
      <c r="M1699" s="457"/>
      <c r="N1699" s="457"/>
      <c r="O1699" s="457"/>
      <c r="P1699" s="457"/>
      <c r="Q1699" s="457"/>
      <c r="R1699" s="457"/>
      <c r="S1699" s="457"/>
      <c r="T1699" s="457"/>
      <c r="U1699" s="457"/>
      <c r="V1699" s="457"/>
      <c r="W1699" s="457"/>
      <c r="X1699" s="457"/>
      <c r="Y1699" s="457"/>
      <c r="Z1699" s="457"/>
      <c r="AA1699" s="457"/>
      <c r="AB1699" s="457"/>
      <c r="AC1699" s="457"/>
      <c r="AD1699" s="457"/>
      <c r="AE1699" s="457"/>
      <c r="AF1699" s="457"/>
    </row>
    <row r="1945" spans="2:32" ht="15" customHeight="1" x14ac:dyDescent="0.2">
      <c r="B1945" s="457"/>
      <c r="C1945" s="457"/>
      <c r="D1945" s="457"/>
      <c r="E1945" s="457"/>
      <c r="F1945" s="457"/>
      <c r="G1945" s="457"/>
      <c r="H1945" s="457"/>
      <c r="I1945" s="457"/>
      <c r="J1945" s="457"/>
      <c r="K1945" s="457"/>
      <c r="L1945" s="457"/>
      <c r="M1945" s="457"/>
      <c r="N1945" s="457"/>
      <c r="O1945" s="457"/>
      <c r="P1945" s="457"/>
      <c r="Q1945" s="457"/>
      <c r="R1945" s="457"/>
      <c r="S1945" s="457"/>
      <c r="T1945" s="457"/>
      <c r="U1945" s="457"/>
      <c r="V1945" s="457"/>
      <c r="W1945" s="457"/>
      <c r="X1945" s="457"/>
      <c r="Y1945" s="457"/>
      <c r="Z1945" s="457"/>
      <c r="AA1945" s="457"/>
      <c r="AB1945" s="457"/>
      <c r="AC1945" s="457"/>
      <c r="AD1945" s="457"/>
      <c r="AE1945" s="457"/>
      <c r="AF1945" s="457"/>
    </row>
    <row r="2031" spans="2:32" ht="15" customHeight="1" x14ac:dyDescent="0.2">
      <c r="B2031" s="457"/>
      <c r="C2031" s="457"/>
      <c r="D2031" s="457"/>
      <c r="E2031" s="457"/>
      <c r="F2031" s="457"/>
      <c r="G2031" s="457"/>
      <c r="H2031" s="457"/>
      <c r="I2031" s="457"/>
      <c r="J2031" s="457"/>
      <c r="K2031" s="457"/>
      <c r="L2031" s="457"/>
      <c r="M2031" s="457"/>
      <c r="N2031" s="457"/>
      <c r="O2031" s="457"/>
      <c r="P2031" s="457"/>
      <c r="Q2031" s="457"/>
      <c r="R2031" s="457"/>
      <c r="S2031" s="457"/>
      <c r="T2031" s="457"/>
      <c r="U2031" s="457"/>
      <c r="V2031" s="457"/>
      <c r="W2031" s="457"/>
      <c r="X2031" s="457"/>
      <c r="Y2031" s="457"/>
      <c r="Z2031" s="457"/>
      <c r="AA2031" s="457"/>
      <c r="AB2031" s="457"/>
      <c r="AC2031" s="457"/>
      <c r="AD2031" s="457"/>
      <c r="AE2031" s="457"/>
      <c r="AF2031" s="457"/>
    </row>
    <row r="2153" spans="2:32" ht="15" customHeight="1" x14ac:dyDescent="0.2">
      <c r="B2153" s="457"/>
      <c r="C2153" s="457"/>
      <c r="D2153" s="457"/>
      <c r="E2153" s="457"/>
      <c r="F2153" s="457"/>
      <c r="G2153" s="457"/>
      <c r="H2153" s="457"/>
      <c r="I2153" s="457"/>
      <c r="J2153" s="457"/>
      <c r="K2153" s="457"/>
      <c r="L2153" s="457"/>
      <c r="M2153" s="457"/>
      <c r="N2153" s="457"/>
      <c r="O2153" s="457"/>
      <c r="P2153" s="457"/>
      <c r="Q2153" s="457"/>
      <c r="R2153" s="457"/>
      <c r="S2153" s="457"/>
      <c r="T2153" s="457"/>
      <c r="U2153" s="457"/>
      <c r="V2153" s="457"/>
      <c r="W2153" s="457"/>
      <c r="X2153" s="457"/>
      <c r="Y2153" s="457"/>
      <c r="Z2153" s="457"/>
      <c r="AA2153" s="457"/>
      <c r="AB2153" s="457"/>
      <c r="AC2153" s="457"/>
      <c r="AD2153" s="457"/>
      <c r="AE2153" s="457"/>
      <c r="AF2153" s="457"/>
    </row>
    <row r="2317" spans="2:32" ht="15" customHeight="1" x14ac:dyDescent="0.2">
      <c r="B2317" s="457"/>
      <c r="C2317" s="457"/>
      <c r="D2317" s="457"/>
      <c r="E2317" s="457"/>
      <c r="F2317" s="457"/>
      <c r="G2317" s="457"/>
      <c r="H2317" s="457"/>
      <c r="I2317" s="457"/>
      <c r="J2317" s="457"/>
      <c r="K2317" s="457"/>
      <c r="L2317" s="457"/>
      <c r="M2317" s="457"/>
      <c r="N2317" s="457"/>
      <c r="O2317" s="457"/>
      <c r="P2317" s="457"/>
      <c r="Q2317" s="457"/>
      <c r="R2317" s="457"/>
      <c r="S2317" s="457"/>
      <c r="T2317" s="457"/>
      <c r="U2317" s="457"/>
      <c r="V2317" s="457"/>
      <c r="W2317" s="457"/>
      <c r="X2317" s="457"/>
      <c r="Y2317" s="457"/>
      <c r="Z2317" s="457"/>
      <c r="AA2317" s="457"/>
      <c r="AB2317" s="457"/>
      <c r="AC2317" s="457"/>
      <c r="AD2317" s="457"/>
      <c r="AE2317" s="457"/>
      <c r="AF2317" s="457"/>
    </row>
    <row r="2419" spans="2:32" ht="15" customHeight="1" x14ac:dyDescent="0.2">
      <c r="B2419" s="457"/>
      <c r="C2419" s="457"/>
      <c r="D2419" s="457"/>
      <c r="E2419" s="457"/>
      <c r="F2419" s="457"/>
      <c r="G2419" s="457"/>
      <c r="H2419" s="457"/>
      <c r="I2419" s="457"/>
      <c r="J2419" s="457"/>
      <c r="K2419" s="457"/>
      <c r="L2419" s="457"/>
      <c r="M2419" s="457"/>
      <c r="N2419" s="457"/>
      <c r="O2419" s="457"/>
      <c r="P2419" s="457"/>
      <c r="Q2419" s="457"/>
      <c r="R2419" s="457"/>
      <c r="S2419" s="457"/>
      <c r="T2419" s="457"/>
      <c r="U2419" s="457"/>
      <c r="V2419" s="457"/>
      <c r="W2419" s="457"/>
      <c r="X2419" s="457"/>
      <c r="Y2419" s="457"/>
      <c r="Z2419" s="457"/>
      <c r="AA2419" s="457"/>
      <c r="AB2419" s="457"/>
      <c r="AC2419" s="457"/>
      <c r="AD2419" s="457"/>
      <c r="AE2419" s="457"/>
      <c r="AF2419" s="457"/>
    </row>
    <row r="2509" spans="2:32" ht="15" customHeight="1" x14ac:dyDescent="0.2">
      <c r="B2509" s="457"/>
      <c r="C2509" s="457"/>
      <c r="D2509" s="457"/>
      <c r="E2509" s="457"/>
      <c r="F2509" s="457"/>
      <c r="G2509" s="457"/>
      <c r="H2509" s="457"/>
      <c r="I2509" s="457"/>
      <c r="J2509" s="457"/>
      <c r="K2509" s="457"/>
      <c r="L2509" s="457"/>
      <c r="M2509" s="457"/>
      <c r="N2509" s="457"/>
      <c r="O2509" s="457"/>
      <c r="P2509" s="457"/>
      <c r="Q2509" s="457"/>
      <c r="R2509" s="457"/>
      <c r="S2509" s="457"/>
      <c r="T2509" s="457"/>
      <c r="U2509" s="457"/>
      <c r="V2509" s="457"/>
      <c r="W2509" s="457"/>
      <c r="X2509" s="457"/>
      <c r="Y2509" s="457"/>
      <c r="Z2509" s="457"/>
      <c r="AA2509" s="457"/>
      <c r="AB2509" s="457"/>
      <c r="AC2509" s="457"/>
      <c r="AD2509" s="457"/>
      <c r="AE2509" s="457"/>
      <c r="AF2509" s="457"/>
    </row>
    <row r="2598" spans="2:32" ht="15" customHeight="1" x14ac:dyDescent="0.2">
      <c r="B2598" s="457"/>
      <c r="C2598" s="457"/>
      <c r="D2598" s="457"/>
      <c r="E2598" s="457"/>
      <c r="F2598" s="457"/>
      <c r="G2598" s="457"/>
      <c r="H2598" s="457"/>
      <c r="I2598" s="457"/>
      <c r="J2598" s="457"/>
      <c r="K2598" s="457"/>
      <c r="L2598" s="457"/>
      <c r="M2598" s="457"/>
      <c r="N2598" s="457"/>
      <c r="O2598" s="457"/>
      <c r="P2598" s="457"/>
      <c r="Q2598" s="457"/>
      <c r="R2598" s="457"/>
      <c r="S2598" s="457"/>
      <c r="T2598" s="457"/>
      <c r="U2598" s="457"/>
      <c r="V2598" s="457"/>
      <c r="W2598" s="457"/>
      <c r="X2598" s="457"/>
      <c r="Y2598" s="457"/>
      <c r="Z2598" s="457"/>
      <c r="AA2598" s="457"/>
      <c r="AB2598" s="457"/>
      <c r="AC2598" s="457"/>
      <c r="AD2598" s="457"/>
      <c r="AE2598" s="457"/>
      <c r="AF2598" s="457"/>
    </row>
    <row r="2719" spans="2:32" ht="15" customHeight="1" x14ac:dyDescent="0.2">
      <c r="B2719" s="457"/>
      <c r="C2719" s="457"/>
      <c r="D2719" s="457"/>
      <c r="E2719" s="457"/>
      <c r="F2719" s="457"/>
      <c r="G2719" s="457"/>
      <c r="H2719" s="457"/>
      <c r="I2719" s="457"/>
      <c r="J2719" s="457"/>
      <c r="K2719" s="457"/>
      <c r="L2719" s="457"/>
      <c r="M2719" s="457"/>
      <c r="N2719" s="457"/>
      <c r="O2719" s="457"/>
      <c r="P2719" s="457"/>
      <c r="Q2719" s="457"/>
      <c r="R2719" s="457"/>
      <c r="S2719" s="457"/>
      <c r="T2719" s="457"/>
      <c r="U2719" s="457"/>
      <c r="V2719" s="457"/>
      <c r="W2719" s="457"/>
      <c r="X2719" s="457"/>
      <c r="Y2719" s="457"/>
      <c r="Z2719" s="457"/>
      <c r="AA2719" s="457"/>
      <c r="AB2719" s="457"/>
      <c r="AC2719" s="457"/>
      <c r="AD2719" s="457"/>
      <c r="AE2719" s="457"/>
      <c r="AF2719" s="457"/>
    </row>
    <row r="2837" spans="2:32" ht="15" customHeight="1" x14ac:dyDescent="0.2">
      <c r="B2837" s="457"/>
      <c r="C2837" s="457"/>
      <c r="D2837" s="457"/>
      <c r="E2837" s="457"/>
      <c r="F2837" s="457"/>
      <c r="G2837" s="457"/>
      <c r="H2837" s="457"/>
      <c r="I2837" s="457"/>
      <c r="J2837" s="457"/>
      <c r="K2837" s="457"/>
      <c r="L2837" s="457"/>
      <c r="M2837" s="457"/>
      <c r="N2837" s="457"/>
      <c r="O2837" s="457"/>
      <c r="P2837" s="457"/>
      <c r="Q2837" s="457"/>
      <c r="R2837" s="457"/>
      <c r="S2837" s="457"/>
      <c r="T2837" s="457"/>
      <c r="U2837" s="457"/>
      <c r="V2837" s="457"/>
      <c r="W2837" s="457"/>
      <c r="X2837" s="457"/>
      <c r="Y2837" s="457"/>
      <c r="Z2837" s="457"/>
      <c r="AA2837" s="457"/>
      <c r="AB2837" s="457"/>
      <c r="AC2837" s="457"/>
      <c r="AD2837" s="457"/>
      <c r="AE2837" s="457"/>
      <c r="AF2837" s="457"/>
    </row>
  </sheetData>
  <mergeCells count="21">
    <mergeCell ref="B511:AF511"/>
    <mergeCell ref="B1229:AF1229"/>
    <mergeCell ref="B1945:AF1945"/>
    <mergeCell ref="B2031:AF2031"/>
    <mergeCell ref="B2153:AF2153"/>
    <mergeCell ref="B2837:AF2837"/>
    <mergeCell ref="B84:AG84"/>
    <mergeCell ref="B1101:AF1101"/>
    <mergeCell ref="B2419:AF2419"/>
    <mergeCell ref="B887:AF887"/>
    <mergeCell ref="B1502:AF1502"/>
    <mergeCell ref="B1604:AF1604"/>
    <mergeCell ref="B112:AF112"/>
    <mergeCell ref="B308:AF308"/>
    <mergeCell ref="B2719:AF2719"/>
    <mergeCell ref="B712:AF712"/>
    <mergeCell ref="B1699:AF1699"/>
    <mergeCell ref="B2317:AF2317"/>
    <mergeCell ref="B1390:AF1390"/>
    <mergeCell ref="B2509:AF2509"/>
    <mergeCell ref="B2598:AF2598"/>
  </mergeCells>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65"/>
  <sheetViews>
    <sheetView topLeftCell="A5" workbookViewId="0">
      <selection activeCell="A14" sqref="A14:XFD14"/>
    </sheetView>
  </sheetViews>
  <sheetFormatPr defaultRowHeight="15" x14ac:dyDescent="0.25"/>
  <cols>
    <col min="1" max="1" width="27.7109375" customWidth="1"/>
    <col min="2" max="2" width="67" customWidth="1"/>
  </cols>
  <sheetData>
    <row r="1" spans="1:33" x14ac:dyDescent="0.25">
      <c r="A1" t="s">
        <v>1148</v>
      </c>
    </row>
    <row r="2" spans="1:33" x14ac:dyDescent="0.25">
      <c r="A2" t="s">
        <v>1149</v>
      </c>
    </row>
    <row r="3" spans="1:33" x14ac:dyDescent="0.25">
      <c r="A3" t="s">
        <v>1150</v>
      </c>
    </row>
    <row r="4" spans="1:33" x14ac:dyDescent="0.25">
      <c r="A4" t="s">
        <v>575</v>
      </c>
    </row>
    <row r="5" spans="1:33" x14ac:dyDescent="0.25">
      <c r="B5" t="s">
        <v>576</v>
      </c>
      <c r="C5" t="s">
        <v>577</v>
      </c>
      <c r="D5" t="s">
        <v>578</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579</v>
      </c>
    </row>
    <row r="6" spans="1:33" x14ac:dyDescent="0.25">
      <c r="A6" t="s">
        <v>611</v>
      </c>
    </row>
    <row r="7" spans="1:33" s="343" customFormat="1" x14ac:dyDescent="0.25">
      <c r="A7" s="343" t="s">
        <v>1151</v>
      </c>
      <c r="B7" s="343" t="s">
        <v>1152</v>
      </c>
      <c r="C7" s="343" t="s">
        <v>1153</v>
      </c>
      <c r="D7" s="343" t="s">
        <v>1154</v>
      </c>
      <c r="F7" s="343">
        <v>13.266057999999999</v>
      </c>
      <c r="G7" s="343">
        <v>13.693652</v>
      </c>
      <c r="H7" s="343">
        <v>13.835194</v>
      </c>
      <c r="I7" s="343">
        <v>14.025308000000001</v>
      </c>
      <c r="J7" s="343">
        <v>14.023446</v>
      </c>
      <c r="K7" s="343">
        <v>14.009728000000001</v>
      </c>
      <c r="L7" s="343">
        <v>13.909203</v>
      </c>
      <c r="M7" s="343">
        <v>13.730183</v>
      </c>
      <c r="N7" s="343">
        <v>13.507175</v>
      </c>
      <c r="O7" s="343">
        <v>13.404424000000001</v>
      </c>
      <c r="P7" s="343">
        <v>13.299763</v>
      </c>
      <c r="Q7" s="343">
        <v>13.026337</v>
      </c>
      <c r="R7" s="343">
        <v>12.777983000000001</v>
      </c>
      <c r="S7" s="343">
        <v>12.557478</v>
      </c>
      <c r="T7" s="343">
        <v>12.337666</v>
      </c>
      <c r="U7" s="343">
        <v>12.155936000000001</v>
      </c>
      <c r="V7" s="343">
        <v>12.015428</v>
      </c>
      <c r="W7" s="343">
        <v>11.859089000000001</v>
      </c>
      <c r="X7" s="343">
        <v>11.788242</v>
      </c>
      <c r="Y7" s="343">
        <v>11.645022000000001</v>
      </c>
      <c r="Z7" s="343">
        <v>11.598876000000001</v>
      </c>
      <c r="AA7" s="343">
        <v>11.619228</v>
      </c>
      <c r="AB7" s="343">
        <v>11.552236000000001</v>
      </c>
      <c r="AC7" s="343">
        <v>11.458454</v>
      </c>
      <c r="AD7" s="343">
        <v>11.354692</v>
      </c>
      <c r="AE7" s="343">
        <v>11.326180000000001</v>
      </c>
      <c r="AF7" s="343">
        <v>11.279612999999999</v>
      </c>
      <c r="AG7" s="344">
        <v>-6.0000000000000001E-3</v>
      </c>
    </row>
    <row r="8" spans="1:33" x14ac:dyDescent="0.25">
      <c r="A8" t="s">
        <v>1155</v>
      </c>
      <c r="B8" t="s">
        <v>1156</v>
      </c>
      <c r="C8" t="s">
        <v>1157</v>
      </c>
      <c r="D8" t="s">
        <v>1154</v>
      </c>
      <c r="F8">
        <v>0.41062100000000001</v>
      </c>
      <c r="G8">
        <v>0.39963199999999999</v>
      </c>
      <c r="H8">
        <v>0.40487099999999998</v>
      </c>
      <c r="I8">
        <v>0.46422000000000002</v>
      </c>
      <c r="J8">
        <v>0.56030100000000005</v>
      </c>
      <c r="K8">
        <v>0.60316000000000003</v>
      </c>
      <c r="L8">
        <v>0.60611300000000001</v>
      </c>
      <c r="M8">
        <v>0.62792899999999996</v>
      </c>
      <c r="N8">
        <v>0.66175399999999995</v>
      </c>
      <c r="O8">
        <v>0.71722600000000003</v>
      </c>
      <c r="P8">
        <v>0.71032200000000001</v>
      </c>
      <c r="Q8">
        <v>0.68120499999999995</v>
      </c>
      <c r="R8">
        <v>0.64413600000000004</v>
      </c>
      <c r="S8">
        <v>0.611985</v>
      </c>
      <c r="T8">
        <v>0.57338299999999998</v>
      </c>
      <c r="U8">
        <v>0.53106200000000003</v>
      </c>
      <c r="V8">
        <v>0.48933900000000002</v>
      </c>
      <c r="W8">
        <v>0.45479000000000003</v>
      </c>
      <c r="X8">
        <v>0.42675999999999997</v>
      </c>
      <c r="Y8">
        <v>0.40744999999999998</v>
      </c>
      <c r="Z8">
        <v>0.38954800000000001</v>
      </c>
      <c r="AA8">
        <v>0.370309</v>
      </c>
      <c r="AB8">
        <v>0.353244</v>
      </c>
      <c r="AC8">
        <v>0.33807199999999998</v>
      </c>
      <c r="AD8">
        <v>0.32455099999999998</v>
      </c>
      <c r="AE8">
        <v>0.312471</v>
      </c>
      <c r="AF8">
        <v>0.28727200000000003</v>
      </c>
      <c r="AG8" s="345">
        <v>-1.4E-2</v>
      </c>
    </row>
    <row r="9" spans="1:33" x14ac:dyDescent="0.25">
      <c r="A9" t="s">
        <v>1158</v>
      </c>
      <c r="B9" t="s">
        <v>1159</v>
      </c>
      <c r="C9" t="s">
        <v>1160</v>
      </c>
      <c r="D9" t="s">
        <v>1154</v>
      </c>
      <c r="F9">
        <v>12.855437</v>
      </c>
      <c r="G9">
        <v>13.29402</v>
      </c>
      <c r="H9">
        <v>13.430323</v>
      </c>
      <c r="I9">
        <v>13.561088</v>
      </c>
      <c r="J9">
        <v>13.463145000000001</v>
      </c>
      <c r="K9">
        <v>13.406568999999999</v>
      </c>
      <c r="L9">
        <v>13.303089999999999</v>
      </c>
      <c r="M9">
        <v>13.102254</v>
      </c>
      <c r="N9">
        <v>12.845421999999999</v>
      </c>
      <c r="O9">
        <v>12.687198</v>
      </c>
      <c r="P9">
        <v>12.589441000000001</v>
      </c>
      <c r="Q9">
        <v>12.345132</v>
      </c>
      <c r="R9">
        <v>12.133846999999999</v>
      </c>
      <c r="S9">
        <v>11.945493000000001</v>
      </c>
      <c r="T9">
        <v>11.764282</v>
      </c>
      <c r="U9">
        <v>11.624874999999999</v>
      </c>
      <c r="V9">
        <v>11.526089000000001</v>
      </c>
      <c r="W9">
        <v>11.404299</v>
      </c>
      <c r="X9">
        <v>11.361483</v>
      </c>
      <c r="Y9">
        <v>11.237572</v>
      </c>
      <c r="Z9">
        <v>11.209327999999999</v>
      </c>
      <c r="AA9">
        <v>11.248919000000001</v>
      </c>
      <c r="AB9">
        <v>11.198990999999999</v>
      </c>
      <c r="AC9">
        <v>11.120381999999999</v>
      </c>
      <c r="AD9">
        <v>11.030141</v>
      </c>
      <c r="AE9">
        <v>11.013707999999999</v>
      </c>
      <c r="AF9">
        <v>10.992341</v>
      </c>
      <c r="AG9" s="345">
        <v>-6.0000000000000001E-3</v>
      </c>
    </row>
    <row r="10" spans="1:33" x14ac:dyDescent="0.25">
      <c r="A10" t="s">
        <v>766</v>
      </c>
      <c r="B10" t="s">
        <v>1161</v>
      </c>
      <c r="C10" t="s">
        <v>1162</v>
      </c>
      <c r="D10" t="s">
        <v>1154</v>
      </c>
      <c r="F10">
        <v>2.4550000000000001</v>
      </c>
      <c r="G10">
        <v>1.8919999999999999</v>
      </c>
      <c r="H10">
        <v>2.1622849999999998</v>
      </c>
      <c r="I10">
        <v>1.9996830000000001</v>
      </c>
      <c r="J10">
        <v>2.0552350000000001</v>
      </c>
      <c r="K10">
        <v>1.971061</v>
      </c>
      <c r="L10">
        <v>2.018926</v>
      </c>
      <c r="M10">
        <v>2.2482150000000001</v>
      </c>
      <c r="N10">
        <v>2.3647659999999999</v>
      </c>
      <c r="O10">
        <v>2.3844729999999998</v>
      </c>
      <c r="P10">
        <v>2.3673519999999999</v>
      </c>
      <c r="Q10">
        <v>2.5571009999999998</v>
      </c>
      <c r="R10">
        <v>2.756605</v>
      </c>
      <c r="S10">
        <v>2.850587</v>
      </c>
      <c r="T10">
        <v>2.9681999999999999</v>
      </c>
      <c r="U10">
        <v>3.1760410000000001</v>
      </c>
      <c r="V10">
        <v>3.3213919999999999</v>
      </c>
      <c r="W10">
        <v>3.4473639999999999</v>
      </c>
      <c r="X10">
        <v>3.36395</v>
      </c>
      <c r="Y10">
        <v>3.6770070000000001</v>
      </c>
      <c r="Z10">
        <v>3.7138149999999999</v>
      </c>
      <c r="AA10">
        <v>3.5824199999999999</v>
      </c>
      <c r="AB10">
        <v>3.6931229999999999</v>
      </c>
      <c r="AC10">
        <v>3.892198</v>
      </c>
      <c r="AD10">
        <v>3.9539800000000001</v>
      </c>
      <c r="AE10">
        <v>4.0470569999999997</v>
      </c>
      <c r="AF10">
        <v>4.0321199999999999</v>
      </c>
      <c r="AG10" s="345">
        <v>1.9E-2</v>
      </c>
    </row>
    <row r="11" spans="1:33" x14ac:dyDescent="0.25">
      <c r="A11" t="s">
        <v>1163</v>
      </c>
      <c r="B11" t="s">
        <v>1164</v>
      </c>
      <c r="C11" t="s">
        <v>1165</v>
      </c>
      <c r="D11" t="s">
        <v>1154</v>
      </c>
      <c r="F11">
        <v>6.585</v>
      </c>
      <c r="G11">
        <v>6.0910000000000002</v>
      </c>
      <c r="H11">
        <v>6.4033340000000001</v>
      </c>
      <c r="I11">
        <v>6.1696499999999999</v>
      </c>
      <c r="J11">
        <v>6.1649149999999997</v>
      </c>
      <c r="K11">
        <v>6.0291819999999996</v>
      </c>
      <c r="L11">
        <v>6.1758499999999996</v>
      </c>
      <c r="M11">
        <v>6.443994</v>
      </c>
      <c r="N11">
        <v>6.4770279999999998</v>
      </c>
      <c r="O11">
        <v>6.5019999999999998</v>
      </c>
      <c r="P11">
        <v>6.5731760000000001</v>
      </c>
      <c r="Q11">
        <v>6.7466200000000001</v>
      </c>
      <c r="R11">
        <v>6.868557</v>
      </c>
      <c r="S11">
        <v>6.901262</v>
      </c>
      <c r="T11">
        <v>6.9827279999999998</v>
      </c>
      <c r="U11">
        <v>7.1476839999999999</v>
      </c>
      <c r="V11">
        <v>7.2508439999999998</v>
      </c>
      <c r="W11">
        <v>7.3833640000000003</v>
      </c>
      <c r="X11">
        <v>7.4682389999999996</v>
      </c>
      <c r="Y11">
        <v>7.6851820000000002</v>
      </c>
      <c r="Z11">
        <v>7.7458280000000004</v>
      </c>
      <c r="AA11">
        <v>7.7145130000000002</v>
      </c>
      <c r="AB11">
        <v>7.7475810000000003</v>
      </c>
      <c r="AC11">
        <v>7.8789220000000002</v>
      </c>
      <c r="AD11">
        <v>7.8582270000000003</v>
      </c>
      <c r="AE11">
        <v>7.9357860000000002</v>
      </c>
      <c r="AF11">
        <v>7.9671510000000003</v>
      </c>
      <c r="AG11" s="345">
        <v>7.0000000000000001E-3</v>
      </c>
    </row>
    <row r="12" spans="1:33" s="343" customFormat="1" x14ac:dyDescent="0.25">
      <c r="A12" s="343" t="s">
        <v>479</v>
      </c>
      <c r="B12" s="343" t="s">
        <v>1166</v>
      </c>
      <c r="C12" s="343" t="s">
        <v>1167</v>
      </c>
      <c r="D12" s="343" t="s">
        <v>1154</v>
      </c>
      <c r="F12" s="343">
        <v>4.13</v>
      </c>
      <c r="G12" s="343">
        <v>4.1989999999999998</v>
      </c>
      <c r="H12" s="343">
        <v>4.2410490000000003</v>
      </c>
      <c r="I12" s="343">
        <v>4.1699669999999998</v>
      </c>
      <c r="J12" s="343">
        <v>4.10968</v>
      </c>
      <c r="K12" s="343">
        <v>4.058122</v>
      </c>
      <c r="L12" s="343">
        <v>4.1569240000000001</v>
      </c>
      <c r="M12" s="343">
        <v>4.1957789999999999</v>
      </c>
      <c r="N12" s="343">
        <v>4.1122620000000003</v>
      </c>
      <c r="O12" s="343">
        <v>4.1175269999999999</v>
      </c>
      <c r="P12" s="343">
        <v>4.2058239999999998</v>
      </c>
      <c r="Q12" s="343">
        <v>4.1895189999999998</v>
      </c>
      <c r="R12" s="343">
        <v>4.1119529999999997</v>
      </c>
      <c r="S12" s="343">
        <v>4.050675</v>
      </c>
      <c r="T12" s="343">
        <v>4.0145280000000003</v>
      </c>
      <c r="U12" s="343">
        <v>3.9716420000000001</v>
      </c>
      <c r="V12" s="343">
        <v>3.9294509999999998</v>
      </c>
      <c r="W12" s="343">
        <v>3.9359999999999999</v>
      </c>
      <c r="X12" s="343">
        <v>4.1042899999999998</v>
      </c>
      <c r="Y12" s="343">
        <v>4.0081749999999996</v>
      </c>
      <c r="Z12" s="343">
        <v>4.0320119999999999</v>
      </c>
      <c r="AA12" s="343">
        <v>4.1320940000000004</v>
      </c>
      <c r="AB12" s="343">
        <v>4.0544580000000003</v>
      </c>
      <c r="AC12" s="343">
        <v>3.9867240000000002</v>
      </c>
      <c r="AD12" s="343">
        <v>3.9042469999999998</v>
      </c>
      <c r="AE12" s="343">
        <v>3.8887290000000001</v>
      </c>
      <c r="AF12" s="343">
        <v>3.9350309999999999</v>
      </c>
      <c r="AG12" s="344">
        <v>-2E-3</v>
      </c>
    </row>
    <row r="13" spans="1:33" x14ac:dyDescent="0.25">
      <c r="A13" t="s">
        <v>1168</v>
      </c>
      <c r="B13" t="s">
        <v>1169</v>
      </c>
      <c r="C13" t="s">
        <v>1170</v>
      </c>
      <c r="D13" t="s">
        <v>1154</v>
      </c>
      <c r="F13">
        <v>0.53500000000000003</v>
      </c>
      <c r="G13">
        <v>0.57099999999999995</v>
      </c>
      <c r="H13">
        <v>0.10617</v>
      </c>
      <c r="I13">
        <v>0.10548</v>
      </c>
      <c r="J13">
        <v>7.0080000000000003E-2</v>
      </c>
      <c r="K13">
        <v>0.06</v>
      </c>
      <c r="L13">
        <v>0.06</v>
      </c>
      <c r="M13">
        <v>0.06</v>
      </c>
      <c r="N13">
        <v>0</v>
      </c>
      <c r="O13">
        <v>0</v>
      </c>
      <c r="P13">
        <v>0</v>
      </c>
      <c r="Q13">
        <v>0</v>
      </c>
      <c r="R13">
        <v>0</v>
      </c>
      <c r="S13">
        <v>0</v>
      </c>
      <c r="T13">
        <v>0</v>
      </c>
      <c r="U13">
        <v>0</v>
      </c>
      <c r="V13">
        <v>0</v>
      </c>
      <c r="W13">
        <v>0</v>
      </c>
      <c r="X13">
        <v>0</v>
      </c>
      <c r="Y13">
        <v>0</v>
      </c>
      <c r="Z13">
        <v>0</v>
      </c>
      <c r="AA13">
        <v>0</v>
      </c>
      <c r="AB13">
        <v>0</v>
      </c>
      <c r="AC13">
        <v>0</v>
      </c>
      <c r="AD13">
        <v>0</v>
      </c>
      <c r="AE13">
        <v>0</v>
      </c>
      <c r="AF13">
        <v>0</v>
      </c>
      <c r="AG13" s="345">
        <v>-1</v>
      </c>
    </row>
    <row r="14" spans="1:33" s="343" customFormat="1" x14ac:dyDescent="0.25">
      <c r="A14" s="343" t="s">
        <v>1171</v>
      </c>
      <c r="B14" s="343" t="s">
        <v>1172</v>
      </c>
      <c r="C14" s="343" t="s">
        <v>1173</v>
      </c>
      <c r="D14" s="343" t="s">
        <v>1154</v>
      </c>
      <c r="F14" s="343">
        <v>16.256057999999999</v>
      </c>
      <c r="G14" s="343">
        <v>16.156652000000001</v>
      </c>
      <c r="H14" s="343">
        <v>16.103649000000001</v>
      </c>
      <c r="I14" s="343">
        <v>16.130469999999999</v>
      </c>
      <c r="J14" s="343">
        <v>16.148762000000001</v>
      </c>
      <c r="K14" s="343">
        <v>16.040789</v>
      </c>
      <c r="L14" s="343">
        <v>15.98813</v>
      </c>
      <c r="M14" s="343">
        <v>16.038397</v>
      </c>
      <c r="N14" s="343">
        <v>15.871942000000001</v>
      </c>
      <c r="O14" s="343">
        <v>15.788897</v>
      </c>
      <c r="P14" s="343">
        <v>15.667115000000001</v>
      </c>
      <c r="Q14" s="343">
        <v>15.583437</v>
      </c>
      <c r="R14" s="343">
        <v>15.534587999999999</v>
      </c>
      <c r="S14" s="343">
        <v>15.408065000000001</v>
      </c>
      <c r="T14" s="343">
        <v>15.305865000000001</v>
      </c>
      <c r="U14" s="343">
        <v>15.331977999999999</v>
      </c>
      <c r="V14" s="343">
        <v>15.336819999999999</v>
      </c>
      <c r="W14" s="343">
        <v>15.306452999999999</v>
      </c>
      <c r="X14" s="343">
        <v>15.152191999999999</v>
      </c>
      <c r="Y14" s="343">
        <v>15.322029000000001</v>
      </c>
      <c r="Z14" s="343">
        <v>15.312692</v>
      </c>
      <c r="AA14" s="343">
        <v>15.201649</v>
      </c>
      <c r="AB14" s="343">
        <v>15.245358</v>
      </c>
      <c r="AC14" s="343">
        <v>15.350652999999999</v>
      </c>
      <c r="AD14" s="343">
        <v>15.308672</v>
      </c>
      <c r="AE14" s="343">
        <v>15.373237</v>
      </c>
      <c r="AF14" s="343">
        <v>15.311733</v>
      </c>
      <c r="AG14" s="344">
        <v>-2E-3</v>
      </c>
    </row>
    <row r="15" spans="1:33" x14ac:dyDescent="0.25">
      <c r="A15" t="s">
        <v>1174</v>
      </c>
      <c r="B15" t="s">
        <v>1175</v>
      </c>
      <c r="C15" t="s">
        <v>1176</v>
      </c>
      <c r="D15" t="s">
        <v>1154</v>
      </c>
      <c r="F15">
        <v>-4.7969999999999997</v>
      </c>
      <c r="G15">
        <v>-4.4340000000000002</v>
      </c>
      <c r="H15">
        <v>-5.3961680000000003</v>
      </c>
      <c r="I15">
        <v>-5.7383490000000004</v>
      </c>
      <c r="J15">
        <v>-5.8129239999999998</v>
      </c>
      <c r="K15">
        <v>-5.9053519999999997</v>
      </c>
      <c r="L15">
        <v>-6.1574330000000002</v>
      </c>
      <c r="M15">
        <v>-6.3672820000000003</v>
      </c>
      <c r="N15">
        <v>-6.5594789999999996</v>
      </c>
      <c r="O15">
        <v>-6.8922999999999996</v>
      </c>
      <c r="P15">
        <v>-7.1417250000000001</v>
      </c>
      <c r="Q15">
        <v>-7.5175850000000004</v>
      </c>
      <c r="R15">
        <v>-7.7577730000000003</v>
      </c>
      <c r="S15">
        <v>-7.8715950000000001</v>
      </c>
      <c r="T15">
        <v>-8.0731610000000007</v>
      </c>
      <c r="U15">
        <v>-8.2936619999999994</v>
      </c>
      <c r="V15">
        <v>-8.439311</v>
      </c>
      <c r="W15">
        <v>-8.5272500000000004</v>
      </c>
      <c r="X15">
        <v>-8.5217379999999991</v>
      </c>
      <c r="Y15">
        <v>-8.825844</v>
      </c>
      <c r="Z15">
        <v>-8.9424270000000003</v>
      </c>
      <c r="AA15">
        <v>-8.9400390000000005</v>
      </c>
      <c r="AB15">
        <v>-9.0956480000000006</v>
      </c>
      <c r="AC15">
        <v>-9.2258580000000006</v>
      </c>
      <c r="AD15">
        <v>-9.2077080000000002</v>
      </c>
      <c r="AE15">
        <v>-9.2875899999999998</v>
      </c>
      <c r="AF15">
        <v>-9.2741369999999996</v>
      </c>
      <c r="AG15" s="345">
        <v>2.5999999999999999E-2</v>
      </c>
    </row>
    <row r="16" spans="1:33" x14ac:dyDescent="0.25">
      <c r="A16" t="s">
        <v>1177</v>
      </c>
      <c r="B16" t="s">
        <v>1178</v>
      </c>
      <c r="C16" t="s">
        <v>1179</v>
      </c>
      <c r="D16" t="s">
        <v>1154</v>
      </c>
      <c r="F16">
        <v>0.66500000000000004</v>
      </c>
      <c r="G16">
        <v>0.65900000000000003</v>
      </c>
      <c r="H16">
        <v>0.74094000000000004</v>
      </c>
      <c r="I16">
        <v>0.74196300000000004</v>
      </c>
      <c r="J16">
        <v>0.739761</v>
      </c>
      <c r="K16">
        <v>0.72961200000000004</v>
      </c>
      <c r="L16">
        <v>0.74507199999999996</v>
      </c>
      <c r="M16">
        <v>0.75456999999999996</v>
      </c>
      <c r="N16">
        <v>0.755602</v>
      </c>
      <c r="O16">
        <v>0.75855300000000003</v>
      </c>
      <c r="P16">
        <v>0.765629</v>
      </c>
      <c r="Q16">
        <v>0.76897300000000002</v>
      </c>
      <c r="R16">
        <v>0.77044699999999999</v>
      </c>
      <c r="S16">
        <v>0.77889699999999995</v>
      </c>
      <c r="T16">
        <v>0.78060200000000002</v>
      </c>
      <c r="U16">
        <v>0.78113100000000002</v>
      </c>
      <c r="V16">
        <v>0.786103</v>
      </c>
      <c r="W16">
        <v>0.790574</v>
      </c>
      <c r="X16">
        <v>0.79333600000000004</v>
      </c>
      <c r="Y16">
        <v>0.78934000000000004</v>
      </c>
      <c r="Z16">
        <v>0.79394100000000001</v>
      </c>
      <c r="AA16">
        <v>0.81351300000000004</v>
      </c>
      <c r="AB16">
        <v>0.79535800000000001</v>
      </c>
      <c r="AC16">
        <v>0.79549400000000003</v>
      </c>
      <c r="AD16">
        <v>0.82444899999999999</v>
      </c>
      <c r="AE16">
        <v>0.82206199999999996</v>
      </c>
      <c r="AF16">
        <v>0.79589399999999999</v>
      </c>
      <c r="AG16" s="345">
        <v>7.0000000000000001E-3</v>
      </c>
    </row>
    <row r="17" spans="1:33" x14ac:dyDescent="0.25">
      <c r="A17" t="s">
        <v>1180</v>
      </c>
      <c r="B17" t="s">
        <v>1181</v>
      </c>
      <c r="C17" t="s">
        <v>1182</v>
      </c>
      <c r="D17" t="s">
        <v>1154</v>
      </c>
      <c r="F17">
        <v>0.59199999999999997</v>
      </c>
      <c r="G17">
        <v>0.58199999999999996</v>
      </c>
      <c r="H17">
        <v>0.59942899999999999</v>
      </c>
      <c r="I17">
        <v>0.59731500000000004</v>
      </c>
      <c r="J17">
        <v>0.59515700000000005</v>
      </c>
      <c r="K17">
        <v>0.58459799999999995</v>
      </c>
      <c r="L17">
        <v>0.59125399999999995</v>
      </c>
      <c r="M17">
        <v>0.58930300000000002</v>
      </c>
      <c r="N17">
        <v>0.58029699999999995</v>
      </c>
      <c r="O17">
        <v>0.585399</v>
      </c>
      <c r="P17">
        <v>0.58344799999999997</v>
      </c>
      <c r="Q17">
        <v>0.58130400000000004</v>
      </c>
      <c r="R17">
        <v>0.57935300000000001</v>
      </c>
      <c r="S17">
        <v>0.57759300000000002</v>
      </c>
      <c r="T17">
        <v>0.57540500000000006</v>
      </c>
      <c r="U17">
        <v>0.57341299999999995</v>
      </c>
      <c r="V17">
        <v>0.57128900000000005</v>
      </c>
      <c r="W17">
        <v>0.56895799999999996</v>
      </c>
      <c r="X17">
        <v>0.56665399999999999</v>
      </c>
      <c r="Y17">
        <v>0.56470200000000004</v>
      </c>
      <c r="Z17">
        <v>0.56296000000000002</v>
      </c>
      <c r="AA17">
        <v>0.56100799999999995</v>
      </c>
      <c r="AB17">
        <v>0.559199</v>
      </c>
      <c r="AC17">
        <v>0.557697</v>
      </c>
      <c r="AD17">
        <v>0.55574500000000004</v>
      </c>
      <c r="AE17">
        <v>0.55346399999999996</v>
      </c>
      <c r="AF17">
        <v>0.55103999999999997</v>
      </c>
      <c r="AG17" s="345">
        <v>-3.0000000000000001E-3</v>
      </c>
    </row>
    <row r="18" spans="1:33" x14ac:dyDescent="0.25">
      <c r="A18" t="s">
        <v>1183</v>
      </c>
      <c r="B18" t="s">
        <v>1184</v>
      </c>
      <c r="C18" t="s">
        <v>1185</v>
      </c>
      <c r="D18" t="s">
        <v>1154</v>
      </c>
      <c r="F18">
        <v>0.60499999999999998</v>
      </c>
      <c r="G18">
        <v>0.60499999999999998</v>
      </c>
      <c r="H18">
        <v>0.53467799999999999</v>
      </c>
      <c r="I18">
        <v>0.48347800000000002</v>
      </c>
      <c r="J18">
        <v>0.44235200000000002</v>
      </c>
      <c r="K18">
        <v>0.40668399999999999</v>
      </c>
      <c r="L18">
        <v>0.37813600000000003</v>
      </c>
      <c r="M18">
        <v>0.35171000000000002</v>
      </c>
      <c r="N18">
        <v>0.32775199999999999</v>
      </c>
      <c r="O18">
        <v>0.30684499999999998</v>
      </c>
      <c r="P18">
        <v>0.28021400000000002</v>
      </c>
      <c r="Q18">
        <v>0.26205899999999999</v>
      </c>
      <c r="R18">
        <v>0.25522600000000001</v>
      </c>
      <c r="S18">
        <v>0.249333</v>
      </c>
      <c r="T18">
        <v>0.24495700000000001</v>
      </c>
      <c r="U18">
        <v>0.24091899999999999</v>
      </c>
      <c r="V18">
        <v>0.23849999999999999</v>
      </c>
      <c r="W18">
        <v>0.22956399999999999</v>
      </c>
      <c r="X18">
        <v>0.22484499999999999</v>
      </c>
      <c r="Y18">
        <v>0.22581999999999999</v>
      </c>
      <c r="Z18">
        <v>0.227247</v>
      </c>
      <c r="AA18">
        <v>0.22891300000000001</v>
      </c>
      <c r="AB18">
        <v>0.23141800000000001</v>
      </c>
      <c r="AC18">
        <v>0.235157</v>
      </c>
      <c r="AD18">
        <v>0.24013899999999999</v>
      </c>
      <c r="AE18">
        <v>0.245805</v>
      </c>
      <c r="AF18">
        <v>0.251085</v>
      </c>
      <c r="AG18" s="345">
        <v>-3.3000000000000002E-2</v>
      </c>
    </row>
    <row r="19" spans="1:33" x14ac:dyDescent="0.25">
      <c r="A19" t="s">
        <v>479</v>
      </c>
      <c r="B19" t="s">
        <v>1186</v>
      </c>
      <c r="C19" t="s">
        <v>1187</v>
      </c>
      <c r="D19" t="s">
        <v>1154</v>
      </c>
      <c r="F19">
        <v>6.6589999999999998</v>
      </c>
      <c r="G19">
        <v>6.28</v>
      </c>
      <c r="H19">
        <v>7.2712139999999996</v>
      </c>
      <c r="I19">
        <v>7.5611050000000004</v>
      </c>
      <c r="J19">
        <v>7.5901949999999996</v>
      </c>
      <c r="K19">
        <v>7.6262460000000001</v>
      </c>
      <c r="L19">
        <v>7.8718950000000003</v>
      </c>
      <c r="M19">
        <v>8.0628639999999994</v>
      </c>
      <c r="N19">
        <v>8.2231280000000009</v>
      </c>
      <c r="O19">
        <v>8.5430969999999995</v>
      </c>
      <c r="P19">
        <v>8.7710159999999995</v>
      </c>
      <c r="Q19">
        <v>9.1299220000000005</v>
      </c>
      <c r="R19">
        <v>9.3627990000000008</v>
      </c>
      <c r="S19">
        <v>9.4774180000000001</v>
      </c>
      <c r="T19">
        <v>9.6741250000000001</v>
      </c>
      <c r="U19">
        <v>9.8891249999999999</v>
      </c>
      <c r="V19">
        <v>10.035202</v>
      </c>
      <c r="W19">
        <v>10.116345000000001</v>
      </c>
      <c r="X19">
        <v>10.106572999999999</v>
      </c>
      <c r="Y19">
        <v>10.405704999999999</v>
      </c>
      <c r="Z19">
        <v>10.526574</v>
      </c>
      <c r="AA19">
        <v>10.543472</v>
      </c>
      <c r="AB19">
        <v>10.681623</v>
      </c>
      <c r="AC19">
        <v>10.814204999999999</v>
      </c>
      <c r="AD19">
        <v>10.828041000000001</v>
      </c>
      <c r="AE19">
        <v>10.908922</v>
      </c>
      <c r="AF19">
        <v>10.872157</v>
      </c>
      <c r="AG19" s="345">
        <v>1.9E-2</v>
      </c>
    </row>
    <row r="20" spans="1:33" x14ac:dyDescent="0.25">
      <c r="A20" t="s">
        <v>1188</v>
      </c>
      <c r="B20" t="s">
        <v>1189</v>
      </c>
      <c r="C20" t="s">
        <v>1190</v>
      </c>
      <c r="D20" t="s">
        <v>1154</v>
      </c>
      <c r="F20">
        <v>0.98</v>
      </c>
      <c r="G20">
        <v>1.016</v>
      </c>
      <c r="H20">
        <v>0.91435299999999997</v>
      </c>
      <c r="I20">
        <v>0.90494200000000002</v>
      </c>
      <c r="J20">
        <v>0.91179299999999996</v>
      </c>
      <c r="K20">
        <v>0.87997400000000003</v>
      </c>
      <c r="L20">
        <v>0.91105499999999995</v>
      </c>
      <c r="M20">
        <v>0.899146</v>
      </c>
      <c r="N20">
        <v>0.86960000000000004</v>
      </c>
      <c r="O20">
        <v>0.86609199999999997</v>
      </c>
      <c r="P20">
        <v>0.85450899999999996</v>
      </c>
      <c r="Q20">
        <v>0.82908599999999999</v>
      </c>
      <c r="R20">
        <v>0.84654499999999999</v>
      </c>
      <c r="S20">
        <v>0.83568600000000004</v>
      </c>
      <c r="T20">
        <v>0.82545500000000005</v>
      </c>
      <c r="U20">
        <v>0.82665999999999995</v>
      </c>
      <c r="V20">
        <v>0.82358900000000002</v>
      </c>
      <c r="W20">
        <v>0.81994900000000004</v>
      </c>
      <c r="X20">
        <v>0.81112700000000004</v>
      </c>
      <c r="Y20">
        <v>0.81624600000000003</v>
      </c>
      <c r="Z20">
        <v>0.81449700000000003</v>
      </c>
      <c r="AA20">
        <v>0.814303</v>
      </c>
      <c r="AB20">
        <v>0.81605000000000005</v>
      </c>
      <c r="AC20">
        <v>0.82024900000000001</v>
      </c>
      <c r="AD20">
        <v>0.82003599999999999</v>
      </c>
      <c r="AE20">
        <v>0.81905799999999995</v>
      </c>
      <c r="AF20">
        <v>0.81063600000000002</v>
      </c>
      <c r="AG20" s="345">
        <v>-7.0000000000000001E-3</v>
      </c>
    </row>
    <row r="21" spans="1:33" x14ac:dyDescent="0.25">
      <c r="A21" t="s">
        <v>1191</v>
      </c>
      <c r="B21" t="s">
        <v>1192</v>
      </c>
      <c r="C21" t="s">
        <v>1193</v>
      </c>
      <c r="D21" t="s">
        <v>1154</v>
      </c>
      <c r="F21">
        <v>4.8000000000000001E-2</v>
      </c>
      <c r="G21">
        <v>-1.0999999999999999E-2</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s="345">
        <v>-1</v>
      </c>
    </row>
    <row r="22" spans="1:33" x14ac:dyDescent="0.25">
      <c r="A22" t="s">
        <v>584</v>
      </c>
      <c r="B22" t="s">
        <v>1194</v>
      </c>
      <c r="C22" t="s">
        <v>1195</v>
      </c>
      <c r="D22" t="s">
        <v>1154</v>
      </c>
      <c r="F22">
        <v>6.8487669999999996</v>
      </c>
      <c r="G22">
        <v>6.922269</v>
      </c>
      <c r="H22">
        <v>7.4055059999999999</v>
      </c>
      <c r="I22">
        <v>7.6353049999999998</v>
      </c>
      <c r="J22">
        <v>7.6586740000000004</v>
      </c>
      <c r="K22">
        <v>7.7150629999999998</v>
      </c>
      <c r="L22">
        <v>7.7780579999999997</v>
      </c>
      <c r="M22">
        <v>7.7128819999999996</v>
      </c>
      <c r="N22">
        <v>7.7792729999999999</v>
      </c>
      <c r="O22">
        <v>7.8890370000000001</v>
      </c>
      <c r="P22">
        <v>8.0138400000000001</v>
      </c>
      <c r="Q22">
        <v>8.2294350000000005</v>
      </c>
      <c r="R22">
        <v>8.2329270000000001</v>
      </c>
      <c r="S22">
        <v>8.2376889999999996</v>
      </c>
      <c r="T22">
        <v>8.3307459999999995</v>
      </c>
      <c r="U22">
        <v>8.3712400000000002</v>
      </c>
      <c r="V22">
        <v>8.4098729999999993</v>
      </c>
      <c r="W22">
        <v>8.4071829999999999</v>
      </c>
      <c r="X22">
        <v>8.4546430000000008</v>
      </c>
      <c r="Y22">
        <v>8.4796469999999999</v>
      </c>
      <c r="Z22">
        <v>8.5162130000000005</v>
      </c>
      <c r="AA22">
        <v>8.5554020000000008</v>
      </c>
      <c r="AB22">
        <v>8.6200109999999999</v>
      </c>
      <c r="AC22">
        <v>8.6692330000000002</v>
      </c>
      <c r="AD22">
        <v>8.6727620000000005</v>
      </c>
      <c r="AE22">
        <v>8.6949039999999993</v>
      </c>
      <c r="AF22">
        <v>8.7557030000000005</v>
      </c>
      <c r="AG22" s="345">
        <v>8.9999999999999993E-3</v>
      </c>
    </row>
    <row r="23" spans="1:33" x14ac:dyDescent="0.25">
      <c r="A23" t="s">
        <v>860</v>
      </c>
      <c r="B23" t="s">
        <v>1196</v>
      </c>
      <c r="C23" t="s">
        <v>1197</v>
      </c>
      <c r="D23" t="s">
        <v>1154</v>
      </c>
      <c r="F23">
        <v>8.3063040000000008</v>
      </c>
      <c r="G23">
        <v>8.3767080000000007</v>
      </c>
      <c r="H23">
        <v>8.9118099999999991</v>
      </c>
      <c r="I23">
        <v>9.1525300000000005</v>
      </c>
      <c r="J23">
        <v>9.0850720000000003</v>
      </c>
      <c r="K23">
        <v>9.1375469999999996</v>
      </c>
      <c r="L23">
        <v>9.1963919999999995</v>
      </c>
      <c r="M23">
        <v>9.1248679999999993</v>
      </c>
      <c r="N23">
        <v>9.1837809999999998</v>
      </c>
      <c r="O23">
        <v>9.2866590000000002</v>
      </c>
      <c r="P23">
        <v>9.4044059999999998</v>
      </c>
      <c r="Q23">
        <v>9.6116109999999999</v>
      </c>
      <c r="R23">
        <v>9.6052309999999999</v>
      </c>
      <c r="S23">
        <v>9.6000139999999998</v>
      </c>
      <c r="T23">
        <v>9.6842550000000003</v>
      </c>
      <c r="U23">
        <v>9.7162509999999997</v>
      </c>
      <c r="V23">
        <v>9.7471770000000006</v>
      </c>
      <c r="W23">
        <v>9.7377450000000003</v>
      </c>
      <c r="X23">
        <v>9.7784580000000005</v>
      </c>
      <c r="Y23">
        <v>9.7982030000000009</v>
      </c>
      <c r="Z23">
        <v>9.8293140000000001</v>
      </c>
      <c r="AA23">
        <v>9.8642610000000008</v>
      </c>
      <c r="AB23">
        <v>9.9250330000000009</v>
      </c>
      <c r="AC23">
        <v>9.9715710000000009</v>
      </c>
      <c r="AD23">
        <v>9.9715469999999993</v>
      </c>
      <c r="AE23">
        <v>9.9920419999999996</v>
      </c>
      <c r="AF23">
        <v>10.051365000000001</v>
      </c>
      <c r="AG23" s="345">
        <v>7.0000000000000001E-3</v>
      </c>
    </row>
    <row r="24" spans="1:33" x14ac:dyDescent="0.25">
      <c r="A24" t="s">
        <v>1198</v>
      </c>
      <c r="B24" t="s">
        <v>1199</v>
      </c>
      <c r="C24" t="s">
        <v>1200</v>
      </c>
      <c r="D24" t="s">
        <v>1154</v>
      </c>
      <c r="F24">
        <v>1.237536</v>
      </c>
      <c r="G24">
        <v>1.2344390000000001</v>
      </c>
      <c r="H24">
        <v>1.2810079999999999</v>
      </c>
      <c r="I24">
        <v>1.2919290000000001</v>
      </c>
      <c r="J24">
        <v>1.201101</v>
      </c>
      <c r="K24">
        <v>1.1985600000000001</v>
      </c>
      <c r="L24">
        <v>1.193038</v>
      </c>
      <c r="M24">
        <v>1.18669</v>
      </c>
      <c r="N24">
        <v>1.1792119999999999</v>
      </c>
      <c r="O24">
        <v>1.172326</v>
      </c>
      <c r="P24">
        <v>1.16527</v>
      </c>
      <c r="Q24">
        <v>1.1568799999999999</v>
      </c>
      <c r="R24">
        <v>1.147008</v>
      </c>
      <c r="S24">
        <v>1.1370279999999999</v>
      </c>
      <c r="T24">
        <v>1.1282129999999999</v>
      </c>
      <c r="U24">
        <v>1.119715</v>
      </c>
      <c r="V24">
        <v>1.1120080000000001</v>
      </c>
      <c r="W24">
        <v>1.1052660000000001</v>
      </c>
      <c r="X24">
        <v>1.0985180000000001</v>
      </c>
      <c r="Y24">
        <v>1.093261</v>
      </c>
      <c r="Z24">
        <v>1.0878049999999999</v>
      </c>
      <c r="AA24">
        <v>1.0835630000000001</v>
      </c>
      <c r="AB24">
        <v>1.079725</v>
      </c>
      <c r="AC24">
        <v>1.0770420000000001</v>
      </c>
      <c r="AD24">
        <v>1.0734900000000001</v>
      </c>
      <c r="AE24">
        <v>1.071841</v>
      </c>
      <c r="AF24">
        <v>1.0703659999999999</v>
      </c>
      <c r="AG24" s="345">
        <v>-6.0000000000000001E-3</v>
      </c>
    </row>
    <row r="25" spans="1:33" x14ac:dyDescent="0.25">
      <c r="A25" t="s">
        <v>1201</v>
      </c>
      <c r="B25" t="s">
        <v>1202</v>
      </c>
      <c r="C25" t="s">
        <v>1203</v>
      </c>
      <c r="D25" t="s">
        <v>1154</v>
      </c>
      <c r="F25">
        <v>0.89963000000000004</v>
      </c>
      <c r="G25">
        <v>0.90398199999999995</v>
      </c>
      <c r="H25">
        <v>0.92128299999999996</v>
      </c>
      <c r="I25">
        <v>0.92158700000000005</v>
      </c>
      <c r="J25">
        <v>0.91468000000000005</v>
      </c>
      <c r="K25">
        <v>0.90425199999999994</v>
      </c>
      <c r="L25">
        <v>0.88880300000000001</v>
      </c>
      <c r="M25">
        <v>0.87310500000000002</v>
      </c>
      <c r="N25">
        <v>0.852684</v>
      </c>
      <c r="O25">
        <v>0.83137899999999998</v>
      </c>
      <c r="P25">
        <v>0.81075799999999998</v>
      </c>
      <c r="Q25">
        <v>0.78971899999999995</v>
      </c>
      <c r="R25">
        <v>0.76619700000000002</v>
      </c>
      <c r="S25">
        <v>0.74296499999999999</v>
      </c>
      <c r="T25">
        <v>0.72148599999999996</v>
      </c>
      <c r="U25">
        <v>0.70101199999999997</v>
      </c>
      <c r="V25">
        <v>0.68284699999999998</v>
      </c>
      <c r="W25">
        <v>0.66618699999999997</v>
      </c>
      <c r="X25">
        <v>0.64971400000000001</v>
      </c>
      <c r="Y25">
        <v>0.63706200000000002</v>
      </c>
      <c r="Z25">
        <v>0.62420900000000001</v>
      </c>
      <c r="AA25">
        <v>0.61444299999999996</v>
      </c>
      <c r="AB25">
        <v>0.60556500000000002</v>
      </c>
      <c r="AC25">
        <v>0.59925799999999996</v>
      </c>
      <c r="AD25">
        <v>0.59090299999999996</v>
      </c>
      <c r="AE25">
        <v>0.58644200000000002</v>
      </c>
      <c r="AF25">
        <v>0.58361200000000002</v>
      </c>
      <c r="AG25" s="345">
        <v>-1.7000000000000001E-2</v>
      </c>
    </row>
    <row r="26" spans="1:33" x14ac:dyDescent="0.25">
      <c r="A26" t="s">
        <v>1204</v>
      </c>
      <c r="B26" t="s">
        <v>1205</v>
      </c>
      <c r="C26" t="s">
        <v>1206</v>
      </c>
      <c r="D26" t="s">
        <v>1154</v>
      </c>
      <c r="F26">
        <v>1.02288</v>
      </c>
      <c r="G26">
        <v>1.0248299999999999</v>
      </c>
      <c r="H26">
        <v>1.0376259999999999</v>
      </c>
      <c r="I26">
        <v>1.038143</v>
      </c>
      <c r="J26">
        <v>1.03803</v>
      </c>
      <c r="K26">
        <v>1.031911</v>
      </c>
      <c r="L26">
        <v>1.0262789999999999</v>
      </c>
      <c r="M26">
        <v>1.014057</v>
      </c>
      <c r="N26">
        <v>1.003457</v>
      </c>
      <c r="O26">
        <v>0.98591700000000004</v>
      </c>
      <c r="P26">
        <v>0.96915799999999996</v>
      </c>
      <c r="Q26">
        <v>0.95207900000000001</v>
      </c>
      <c r="R26">
        <v>0.94017899999999999</v>
      </c>
      <c r="S26">
        <v>0.92130400000000001</v>
      </c>
      <c r="T26">
        <v>0.90428500000000001</v>
      </c>
      <c r="U26">
        <v>0.88837299999999997</v>
      </c>
      <c r="V26">
        <v>0.883247</v>
      </c>
      <c r="W26">
        <v>0.87160000000000004</v>
      </c>
      <c r="X26">
        <v>0.86026100000000005</v>
      </c>
      <c r="Y26">
        <v>0.85287599999999997</v>
      </c>
      <c r="Z26">
        <v>0.85019100000000003</v>
      </c>
      <c r="AA26">
        <v>0.85062400000000005</v>
      </c>
      <c r="AB26">
        <v>0.84764799999999996</v>
      </c>
      <c r="AC26">
        <v>0.84739699999999996</v>
      </c>
      <c r="AD26">
        <v>0.84523599999999999</v>
      </c>
      <c r="AE26">
        <v>0.847136</v>
      </c>
      <c r="AF26">
        <v>0.85083399999999998</v>
      </c>
      <c r="AG26" s="345">
        <v>-7.0000000000000001E-3</v>
      </c>
    </row>
    <row r="27" spans="1:33" x14ac:dyDescent="0.25">
      <c r="A27" t="s">
        <v>766</v>
      </c>
      <c r="B27" t="s">
        <v>1207</v>
      </c>
      <c r="C27" t="s">
        <v>1208</v>
      </c>
      <c r="D27" t="s">
        <v>1154</v>
      </c>
      <c r="F27">
        <v>-0.12325</v>
      </c>
      <c r="G27">
        <v>-0.120848</v>
      </c>
      <c r="H27">
        <v>-0.116344</v>
      </c>
      <c r="I27">
        <v>-0.11655600000000001</v>
      </c>
      <c r="J27">
        <v>-0.12335</v>
      </c>
      <c r="K27">
        <v>-0.12765899999999999</v>
      </c>
      <c r="L27">
        <v>-0.13747599999999999</v>
      </c>
      <c r="M27">
        <v>-0.14095199999999999</v>
      </c>
      <c r="N27">
        <v>-0.15077299999999999</v>
      </c>
      <c r="O27">
        <v>-0.15453800000000001</v>
      </c>
      <c r="P27">
        <v>-0.15840000000000001</v>
      </c>
      <c r="Q27">
        <v>-0.16236</v>
      </c>
      <c r="R27">
        <v>-0.173982</v>
      </c>
      <c r="S27">
        <v>-0.178339</v>
      </c>
      <c r="T27">
        <v>-0.18279899999999999</v>
      </c>
      <c r="U27">
        <v>-0.187361</v>
      </c>
      <c r="V27">
        <v>-0.20039999999999999</v>
      </c>
      <c r="W27">
        <v>-0.20541300000000001</v>
      </c>
      <c r="X27">
        <v>-0.21054700000000001</v>
      </c>
      <c r="Y27">
        <v>-0.215813</v>
      </c>
      <c r="Z27">
        <v>-0.22598199999999999</v>
      </c>
      <c r="AA27">
        <v>-0.236181</v>
      </c>
      <c r="AB27">
        <v>-0.24208299999999999</v>
      </c>
      <c r="AC27">
        <v>-0.248139</v>
      </c>
      <c r="AD27">
        <v>-0.25433299999999998</v>
      </c>
      <c r="AE27">
        <v>-0.26069399999999998</v>
      </c>
      <c r="AF27">
        <v>-0.26722200000000002</v>
      </c>
      <c r="AG27" s="345">
        <v>0.03</v>
      </c>
    </row>
    <row r="28" spans="1:33" x14ac:dyDescent="0.25">
      <c r="A28" t="s">
        <v>1209</v>
      </c>
      <c r="B28" t="s">
        <v>1210</v>
      </c>
      <c r="C28" t="s">
        <v>1211</v>
      </c>
      <c r="D28" t="s">
        <v>1154</v>
      </c>
      <c r="F28">
        <v>0.121396</v>
      </c>
      <c r="G28">
        <v>0.100993</v>
      </c>
      <c r="H28">
        <v>0.103117</v>
      </c>
      <c r="I28">
        <v>9.8857E-2</v>
      </c>
      <c r="J28">
        <v>4.1478000000000001E-2</v>
      </c>
      <c r="K28">
        <v>5.6321999999999997E-2</v>
      </c>
      <c r="L28">
        <v>6.1423999999999999E-2</v>
      </c>
      <c r="M28">
        <v>6.0164000000000002E-2</v>
      </c>
      <c r="N28">
        <v>6.5481999999999999E-2</v>
      </c>
      <c r="O28">
        <v>7.8940999999999997E-2</v>
      </c>
      <c r="P28">
        <v>8.8624999999999995E-2</v>
      </c>
      <c r="Q28">
        <v>8.8266999999999998E-2</v>
      </c>
      <c r="R28">
        <v>8.4669999999999995E-2</v>
      </c>
      <c r="S28">
        <v>7.8230999999999995E-2</v>
      </c>
      <c r="T28">
        <v>7.5880000000000003E-2</v>
      </c>
      <c r="U28">
        <v>7.2849999999999998E-2</v>
      </c>
      <c r="V28">
        <v>6.9874000000000006E-2</v>
      </c>
      <c r="W28">
        <v>6.9059999999999996E-2</v>
      </c>
      <c r="X28">
        <v>6.7594000000000001E-2</v>
      </c>
      <c r="Y28">
        <v>6.5931000000000003E-2</v>
      </c>
      <c r="Z28">
        <v>6.3909999999999995E-2</v>
      </c>
      <c r="AA28">
        <v>6.1810999999999998E-2</v>
      </c>
      <c r="AB28">
        <v>5.9634E-2</v>
      </c>
      <c r="AC28">
        <v>5.7376000000000003E-2</v>
      </c>
      <c r="AD28">
        <v>5.5036000000000002E-2</v>
      </c>
      <c r="AE28">
        <v>5.2641E-2</v>
      </c>
      <c r="AF28">
        <v>5.0245999999999999E-2</v>
      </c>
      <c r="AG28" s="345">
        <v>-3.3000000000000002E-2</v>
      </c>
    </row>
    <row r="29" spans="1:33" x14ac:dyDescent="0.25">
      <c r="A29" t="s">
        <v>1204</v>
      </c>
      <c r="B29" t="s">
        <v>1212</v>
      </c>
      <c r="C29" t="s">
        <v>1213</v>
      </c>
      <c r="D29" t="s">
        <v>1154</v>
      </c>
      <c r="F29">
        <v>0.108</v>
      </c>
      <c r="G29">
        <v>0.10552499999999999</v>
      </c>
      <c r="H29">
        <v>9.5018000000000005E-2</v>
      </c>
      <c r="I29">
        <v>9.0717999999999993E-2</v>
      </c>
      <c r="J29">
        <v>3.3298000000000001E-2</v>
      </c>
      <c r="K29">
        <v>4.8101999999999999E-2</v>
      </c>
      <c r="L29">
        <v>5.3162000000000001E-2</v>
      </c>
      <c r="M29">
        <v>5.1860999999999997E-2</v>
      </c>
      <c r="N29">
        <v>5.7138000000000001E-2</v>
      </c>
      <c r="O29">
        <v>7.0555000000000007E-2</v>
      </c>
      <c r="P29">
        <v>8.0197000000000004E-2</v>
      </c>
      <c r="Q29">
        <v>7.9797000000000007E-2</v>
      </c>
      <c r="R29">
        <v>7.6157000000000002E-2</v>
      </c>
      <c r="S29">
        <v>6.9676000000000002E-2</v>
      </c>
      <c r="T29">
        <v>6.7281999999999995E-2</v>
      </c>
      <c r="U29">
        <v>6.4209000000000002E-2</v>
      </c>
      <c r="V29">
        <v>6.1190000000000001E-2</v>
      </c>
      <c r="W29">
        <v>6.0332999999999998E-2</v>
      </c>
      <c r="X29">
        <v>5.8823E-2</v>
      </c>
      <c r="Y29">
        <v>5.7116E-2</v>
      </c>
      <c r="Z29">
        <v>5.5051000000000003E-2</v>
      </c>
      <c r="AA29">
        <v>5.2907999999999997E-2</v>
      </c>
      <c r="AB29">
        <v>5.0686000000000002E-2</v>
      </c>
      <c r="AC29">
        <v>4.8383000000000002E-2</v>
      </c>
      <c r="AD29">
        <v>4.5997999999999997E-2</v>
      </c>
      <c r="AE29">
        <v>4.3557999999999999E-2</v>
      </c>
      <c r="AF29">
        <v>4.1118000000000002E-2</v>
      </c>
      <c r="AG29" s="345">
        <v>-3.5999999999999997E-2</v>
      </c>
    </row>
    <row r="30" spans="1:33" x14ac:dyDescent="0.25">
      <c r="A30" t="s">
        <v>766</v>
      </c>
      <c r="B30" t="s">
        <v>1214</v>
      </c>
      <c r="C30" t="s">
        <v>1215</v>
      </c>
      <c r="D30" t="s">
        <v>1154</v>
      </c>
      <c r="F30">
        <v>1.3396E-2</v>
      </c>
      <c r="G30">
        <v>-4.5319999999999996E-3</v>
      </c>
      <c r="H30">
        <v>8.0979999999999993E-3</v>
      </c>
      <c r="I30">
        <v>8.1390000000000004E-3</v>
      </c>
      <c r="J30">
        <v>8.1799999999999998E-3</v>
      </c>
      <c r="K30">
        <v>8.2199999999999999E-3</v>
      </c>
      <c r="L30">
        <v>8.2620000000000002E-3</v>
      </c>
      <c r="M30">
        <v>8.3029999999999996E-3</v>
      </c>
      <c r="N30">
        <v>8.3440000000000007E-3</v>
      </c>
      <c r="O30">
        <v>8.3859999999999994E-3</v>
      </c>
      <c r="P30">
        <v>8.4279999999999997E-3</v>
      </c>
      <c r="Q30">
        <v>8.4700000000000001E-3</v>
      </c>
      <c r="R30">
        <v>8.5120000000000005E-3</v>
      </c>
      <c r="S30">
        <v>8.5550000000000001E-3</v>
      </c>
      <c r="T30">
        <v>8.5979999999999997E-3</v>
      </c>
      <c r="U30">
        <v>8.6409999999999994E-3</v>
      </c>
      <c r="V30">
        <v>8.6840000000000007E-3</v>
      </c>
      <c r="W30">
        <v>8.7270000000000004E-3</v>
      </c>
      <c r="X30">
        <v>8.7709999999999993E-3</v>
      </c>
      <c r="Y30">
        <v>8.8149999999999999E-3</v>
      </c>
      <c r="Z30">
        <v>8.8590000000000006E-3</v>
      </c>
      <c r="AA30">
        <v>8.9029999999999995E-3</v>
      </c>
      <c r="AB30">
        <v>8.9479999999999994E-3</v>
      </c>
      <c r="AC30">
        <v>8.9929999999999993E-3</v>
      </c>
      <c r="AD30">
        <v>9.0379999999999992E-3</v>
      </c>
      <c r="AE30">
        <v>9.0830000000000008E-3</v>
      </c>
      <c r="AF30">
        <v>9.1280000000000007E-3</v>
      </c>
      <c r="AG30" s="345">
        <v>-1.4999999999999999E-2</v>
      </c>
    </row>
    <row r="31" spans="1:33" x14ac:dyDescent="0.25">
      <c r="A31" t="s">
        <v>1216</v>
      </c>
      <c r="B31" t="s">
        <v>1217</v>
      </c>
      <c r="C31" t="s">
        <v>1218</v>
      </c>
      <c r="D31" t="s">
        <v>1154</v>
      </c>
      <c r="F31">
        <v>0.210564</v>
      </c>
      <c r="G31">
        <v>0.21940200000000001</v>
      </c>
      <c r="H31">
        <v>0.246424</v>
      </c>
      <c r="I31">
        <v>0.24102399999999999</v>
      </c>
      <c r="J31">
        <v>0.21490699999999999</v>
      </c>
      <c r="K31">
        <v>0.208201</v>
      </c>
      <c r="L31">
        <v>0.212835</v>
      </c>
      <c r="M31">
        <v>0.223272</v>
      </c>
      <c r="N31">
        <v>0.23075000000000001</v>
      </c>
      <c r="O31">
        <v>0.23170199999999999</v>
      </c>
      <c r="P31">
        <v>0.235516</v>
      </c>
      <c r="Q31">
        <v>0.24827299999999999</v>
      </c>
      <c r="R31">
        <v>0.265185</v>
      </c>
      <c r="S31">
        <v>0.28449200000000002</v>
      </c>
      <c r="T31">
        <v>0.29921700000000001</v>
      </c>
      <c r="U31">
        <v>0.31393300000000002</v>
      </c>
      <c r="V31">
        <v>0.32710899999999998</v>
      </c>
      <c r="W31">
        <v>0.33763599999999999</v>
      </c>
      <c r="X31">
        <v>0.34861399999999998</v>
      </c>
      <c r="Y31">
        <v>0.35750100000000001</v>
      </c>
      <c r="Z31">
        <v>0.36674200000000001</v>
      </c>
      <c r="AA31">
        <v>0.37422299999999997</v>
      </c>
      <c r="AB31">
        <v>0.38130799999999998</v>
      </c>
      <c r="AC31">
        <v>0.38694800000000001</v>
      </c>
      <c r="AD31">
        <v>0.39386599999999999</v>
      </c>
      <c r="AE31">
        <v>0.39855200000000002</v>
      </c>
      <c r="AF31">
        <v>0.40223900000000001</v>
      </c>
      <c r="AG31" s="345">
        <v>2.5000000000000001E-2</v>
      </c>
    </row>
    <row r="32" spans="1:33" x14ac:dyDescent="0.25">
      <c r="A32" t="s">
        <v>1204</v>
      </c>
      <c r="B32" t="s">
        <v>1219</v>
      </c>
      <c r="C32" t="s">
        <v>1220</v>
      </c>
      <c r="D32" t="s">
        <v>1154</v>
      </c>
      <c r="F32">
        <v>0.17383199999999999</v>
      </c>
      <c r="G32">
        <v>0.19807</v>
      </c>
      <c r="H32">
        <v>0.20536799999999999</v>
      </c>
      <c r="I32">
        <v>0.19945499999999999</v>
      </c>
      <c r="J32">
        <v>0.17869099999999999</v>
      </c>
      <c r="K32">
        <v>0.17153299999999999</v>
      </c>
      <c r="L32">
        <v>0.175708</v>
      </c>
      <c r="M32">
        <v>0.18568100000000001</v>
      </c>
      <c r="N32">
        <v>0.192689</v>
      </c>
      <c r="O32">
        <v>0.193166</v>
      </c>
      <c r="P32">
        <v>0.19649800000000001</v>
      </c>
      <c r="Q32">
        <v>0.20876700000000001</v>
      </c>
      <c r="R32">
        <v>0.225185</v>
      </c>
      <c r="S32">
        <v>0.24399299999999999</v>
      </c>
      <c r="T32">
        <v>0.25821100000000002</v>
      </c>
      <c r="U32">
        <v>0.27241399999999999</v>
      </c>
      <c r="V32">
        <v>0.28507100000000002</v>
      </c>
      <c r="W32">
        <v>0.29507299999999997</v>
      </c>
      <c r="X32">
        <v>0.30551899999999999</v>
      </c>
      <c r="Y32">
        <v>0.31386700000000001</v>
      </c>
      <c r="Z32">
        <v>0.32256200000000002</v>
      </c>
      <c r="AA32">
        <v>0.32949200000000001</v>
      </c>
      <c r="AB32">
        <v>0.33601700000000001</v>
      </c>
      <c r="AC32">
        <v>0.34109200000000001</v>
      </c>
      <c r="AD32">
        <v>0.34743600000000002</v>
      </c>
      <c r="AE32">
        <v>0.35154200000000002</v>
      </c>
      <c r="AF32">
        <v>0.35464099999999998</v>
      </c>
      <c r="AG32" s="345">
        <v>2.8000000000000001E-2</v>
      </c>
    </row>
    <row r="33" spans="1:33" x14ac:dyDescent="0.25">
      <c r="A33" t="s">
        <v>766</v>
      </c>
      <c r="B33" t="s">
        <v>1221</v>
      </c>
      <c r="C33" t="s">
        <v>1222</v>
      </c>
      <c r="D33" t="s">
        <v>1154</v>
      </c>
      <c r="F33">
        <v>3.6732000000000001E-2</v>
      </c>
      <c r="G33">
        <v>2.1330999999999999E-2</v>
      </c>
      <c r="H33">
        <v>4.1056000000000002E-2</v>
      </c>
      <c r="I33">
        <v>4.1569000000000002E-2</v>
      </c>
      <c r="J33">
        <v>3.6215999999999998E-2</v>
      </c>
      <c r="K33">
        <v>3.6667999999999999E-2</v>
      </c>
      <c r="L33">
        <v>3.7127E-2</v>
      </c>
      <c r="M33">
        <v>3.7590999999999999E-2</v>
      </c>
      <c r="N33">
        <v>3.8060999999999998E-2</v>
      </c>
      <c r="O33">
        <v>3.8536000000000001E-2</v>
      </c>
      <c r="P33">
        <v>3.9017999999999997E-2</v>
      </c>
      <c r="Q33">
        <v>3.9505999999999999E-2</v>
      </c>
      <c r="R33">
        <v>0.04</v>
      </c>
      <c r="S33">
        <v>4.0500000000000001E-2</v>
      </c>
      <c r="T33">
        <v>4.1006000000000001E-2</v>
      </c>
      <c r="U33">
        <v>4.1519E-2</v>
      </c>
      <c r="V33">
        <v>4.2037999999999999E-2</v>
      </c>
      <c r="W33">
        <v>4.2562999999999997E-2</v>
      </c>
      <c r="X33">
        <v>4.3095000000000001E-2</v>
      </c>
      <c r="Y33">
        <v>4.3633999999999999E-2</v>
      </c>
      <c r="Z33">
        <v>4.4179000000000003E-2</v>
      </c>
      <c r="AA33">
        <v>4.4731E-2</v>
      </c>
      <c r="AB33">
        <v>4.5290999999999998E-2</v>
      </c>
      <c r="AC33">
        <v>4.5857000000000002E-2</v>
      </c>
      <c r="AD33">
        <v>4.6429999999999999E-2</v>
      </c>
      <c r="AE33">
        <v>4.7010000000000003E-2</v>
      </c>
      <c r="AF33">
        <v>4.7598000000000001E-2</v>
      </c>
      <c r="AG33" s="345">
        <v>0.01</v>
      </c>
    </row>
    <row r="34" spans="1:33" x14ac:dyDescent="0.25">
      <c r="A34" t="s">
        <v>1223</v>
      </c>
      <c r="B34" t="s">
        <v>1224</v>
      </c>
      <c r="C34" t="s">
        <v>1225</v>
      </c>
      <c r="D34" t="s">
        <v>1154</v>
      </c>
      <c r="F34">
        <v>5.9459999999999999E-3</v>
      </c>
      <c r="G34">
        <v>1.0062E-2</v>
      </c>
      <c r="H34">
        <v>1.0185E-2</v>
      </c>
      <c r="I34">
        <v>3.0460000000000001E-2</v>
      </c>
      <c r="J34">
        <v>3.0037000000000001E-2</v>
      </c>
      <c r="K34">
        <v>2.9784999999999999E-2</v>
      </c>
      <c r="L34">
        <v>2.9975999999999999E-2</v>
      </c>
      <c r="M34">
        <v>3.015E-2</v>
      </c>
      <c r="N34">
        <v>3.0296E-2</v>
      </c>
      <c r="O34">
        <v>3.0303E-2</v>
      </c>
      <c r="P34">
        <v>3.0370999999999999E-2</v>
      </c>
      <c r="Q34">
        <v>3.0620999999999999E-2</v>
      </c>
      <c r="R34">
        <v>3.0956000000000001E-2</v>
      </c>
      <c r="S34">
        <v>3.134E-2</v>
      </c>
      <c r="T34">
        <v>3.1630999999999999E-2</v>
      </c>
      <c r="U34">
        <v>3.1920999999999998E-2</v>
      </c>
      <c r="V34">
        <v>3.2178999999999999E-2</v>
      </c>
      <c r="W34">
        <v>3.2383000000000002E-2</v>
      </c>
      <c r="X34">
        <v>3.2596E-2</v>
      </c>
      <c r="Y34">
        <v>3.2766999999999998E-2</v>
      </c>
      <c r="Z34">
        <v>3.2944000000000001E-2</v>
      </c>
      <c r="AA34">
        <v>3.3085999999999997E-2</v>
      </c>
      <c r="AB34">
        <v>3.3218999999999999E-2</v>
      </c>
      <c r="AC34">
        <v>3.3459000000000003E-2</v>
      </c>
      <c r="AD34">
        <v>3.3685E-2</v>
      </c>
      <c r="AE34">
        <v>3.4207000000000001E-2</v>
      </c>
      <c r="AF34">
        <v>3.4270000000000002E-2</v>
      </c>
      <c r="AG34" s="345">
        <v>7.0000000000000007E-2</v>
      </c>
    </row>
    <row r="35" spans="1:33" x14ac:dyDescent="0.25">
      <c r="A35" t="s">
        <v>1204</v>
      </c>
      <c r="B35" t="s">
        <v>1226</v>
      </c>
      <c r="C35" t="s">
        <v>1227</v>
      </c>
      <c r="D35" t="s">
        <v>1154</v>
      </c>
      <c r="F35">
        <v>5.9459999999999999E-3</v>
      </c>
      <c r="G35">
        <v>1.0062E-2</v>
      </c>
      <c r="H35">
        <v>1.0185E-2</v>
      </c>
      <c r="I35">
        <v>3.0460000000000001E-2</v>
      </c>
      <c r="J35">
        <v>3.0037000000000001E-2</v>
      </c>
      <c r="K35">
        <v>2.9784999999999999E-2</v>
      </c>
      <c r="L35">
        <v>2.9975999999999999E-2</v>
      </c>
      <c r="M35">
        <v>3.015E-2</v>
      </c>
      <c r="N35">
        <v>3.0296E-2</v>
      </c>
      <c r="O35">
        <v>3.0303E-2</v>
      </c>
      <c r="P35">
        <v>3.0370999999999999E-2</v>
      </c>
      <c r="Q35">
        <v>3.0620999999999999E-2</v>
      </c>
      <c r="R35">
        <v>3.0956000000000001E-2</v>
      </c>
      <c r="S35">
        <v>3.134E-2</v>
      </c>
      <c r="T35">
        <v>3.1630999999999999E-2</v>
      </c>
      <c r="U35">
        <v>3.1920999999999998E-2</v>
      </c>
      <c r="V35">
        <v>3.2178999999999999E-2</v>
      </c>
      <c r="W35">
        <v>3.2383000000000002E-2</v>
      </c>
      <c r="X35">
        <v>3.2596E-2</v>
      </c>
      <c r="Y35">
        <v>3.2766999999999998E-2</v>
      </c>
      <c r="Z35">
        <v>3.2944000000000001E-2</v>
      </c>
      <c r="AA35">
        <v>3.3085999999999997E-2</v>
      </c>
      <c r="AB35">
        <v>3.3218999999999999E-2</v>
      </c>
      <c r="AC35">
        <v>3.3459000000000003E-2</v>
      </c>
      <c r="AD35">
        <v>3.3685E-2</v>
      </c>
      <c r="AE35">
        <v>3.4207000000000001E-2</v>
      </c>
      <c r="AF35">
        <v>3.4270000000000002E-2</v>
      </c>
      <c r="AG35" s="345">
        <v>7.0000000000000007E-2</v>
      </c>
    </row>
    <row r="36" spans="1:33" x14ac:dyDescent="0.25">
      <c r="A36" t="s">
        <v>766</v>
      </c>
      <c r="B36" t="s">
        <v>1228</v>
      </c>
      <c r="C36" t="s">
        <v>1229</v>
      </c>
      <c r="D36" t="s">
        <v>1154</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863</v>
      </c>
    </row>
    <row r="37" spans="1:33" x14ac:dyDescent="0.25">
      <c r="A37" t="s">
        <v>1230</v>
      </c>
      <c r="B37" t="s">
        <v>1231</v>
      </c>
      <c r="C37" t="s">
        <v>1232</v>
      </c>
      <c r="D37" t="s">
        <v>1154</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863</v>
      </c>
    </row>
    <row r="38" spans="1:33" x14ac:dyDescent="0.25">
      <c r="A38" t="s">
        <v>605</v>
      </c>
      <c r="B38" t="s">
        <v>1233</v>
      </c>
      <c r="C38" t="s">
        <v>1234</v>
      </c>
      <c r="D38" t="s">
        <v>1154</v>
      </c>
      <c r="F38">
        <v>0.22</v>
      </c>
      <c r="G38">
        <v>0.22</v>
      </c>
      <c r="H38">
        <v>0.225296</v>
      </c>
      <c r="I38">
        <v>0.225296</v>
      </c>
      <c r="J38">
        <v>0.225296</v>
      </c>
      <c r="K38">
        <v>0.22392500000000001</v>
      </c>
      <c r="L38">
        <v>0.225296</v>
      </c>
      <c r="M38">
        <v>0.225296</v>
      </c>
      <c r="N38">
        <v>0.225296</v>
      </c>
      <c r="O38">
        <v>0.225296</v>
      </c>
      <c r="P38">
        <v>0.225296</v>
      </c>
      <c r="Q38">
        <v>0.225296</v>
      </c>
      <c r="R38">
        <v>0.225296</v>
      </c>
      <c r="S38">
        <v>0.225296</v>
      </c>
      <c r="T38">
        <v>0.225296</v>
      </c>
      <c r="U38">
        <v>0.225296</v>
      </c>
      <c r="V38">
        <v>0.225296</v>
      </c>
      <c r="W38">
        <v>0.225296</v>
      </c>
      <c r="X38">
        <v>0.225296</v>
      </c>
      <c r="Y38">
        <v>0.225296</v>
      </c>
      <c r="Z38">
        <v>0.225296</v>
      </c>
      <c r="AA38">
        <v>0.225296</v>
      </c>
      <c r="AB38">
        <v>0.225296</v>
      </c>
      <c r="AC38">
        <v>0.225296</v>
      </c>
      <c r="AD38">
        <v>0.225296</v>
      </c>
      <c r="AE38">
        <v>0.225296</v>
      </c>
      <c r="AF38">
        <v>0.225296</v>
      </c>
      <c r="AG38" s="345">
        <v>1E-3</v>
      </c>
    </row>
    <row r="39" spans="1:33" x14ac:dyDescent="0.25">
      <c r="A39" t="s">
        <v>1235</v>
      </c>
      <c r="B39" t="s">
        <v>1236</v>
      </c>
      <c r="C39" t="s">
        <v>1237</v>
      </c>
      <c r="D39" t="s">
        <v>1154</v>
      </c>
      <c r="F39">
        <v>20.793361999999998</v>
      </c>
      <c r="G39">
        <v>21.104358999999999</v>
      </c>
      <c r="H39">
        <v>20.533643999999999</v>
      </c>
      <c r="I39">
        <v>20.449593</v>
      </c>
      <c r="J39">
        <v>20.332702999999999</v>
      </c>
      <c r="K39">
        <v>20.152958000000002</v>
      </c>
      <c r="L39">
        <v>19.938144999999999</v>
      </c>
      <c r="M39">
        <v>19.695129000000001</v>
      </c>
      <c r="N39">
        <v>19.365843000000002</v>
      </c>
      <c r="O39">
        <v>19.049348999999999</v>
      </c>
      <c r="P39">
        <v>18.784306000000001</v>
      </c>
      <c r="Q39">
        <v>18.506550000000001</v>
      </c>
      <c r="R39">
        <v>18.228591999999999</v>
      </c>
      <c r="S39">
        <v>17.972169999999998</v>
      </c>
      <c r="T39">
        <v>17.742412999999999</v>
      </c>
      <c r="U39">
        <v>17.581226000000001</v>
      </c>
      <c r="V39">
        <v>17.468274999999998</v>
      </c>
      <c r="W39">
        <v>17.336897</v>
      </c>
      <c r="X39">
        <v>17.220039</v>
      </c>
      <c r="Y39">
        <v>17.110634000000001</v>
      </c>
      <c r="Z39">
        <v>17.014075999999999</v>
      </c>
      <c r="AA39">
        <v>16.940173999999999</v>
      </c>
      <c r="AB39">
        <v>16.890792999999999</v>
      </c>
      <c r="AC39">
        <v>16.916615</v>
      </c>
      <c r="AD39">
        <v>16.892548000000001</v>
      </c>
      <c r="AE39">
        <v>16.896747999999999</v>
      </c>
      <c r="AF39">
        <v>16.899597</v>
      </c>
      <c r="AG39" s="345">
        <v>-8.0000000000000002E-3</v>
      </c>
    </row>
    <row r="40" spans="1:33" x14ac:dyDescent="0.25">
      <c r="A40" t="s">
        <v>1238</v>
      </c>
    </row>
    <row r="41" spans="1:33" x14ac:dyDescent="0.25">
      <c r="A41" t="s">
        <v>1239</v>
      </c>
    </row>
    <row r="42" spans="1:33" x14ac:dyDescent="0.25">
      <c r="A42" t="s">
        <v>1240</v>
      </c>
      <c r="B42" t="s">
        <v>1241</v>
      </c>
      <c r="C42" t="s">
        <v>1242</v>
      </c>
      <c r="D42" t="s">
        <v>1154</v>
      </c>
      <c r="F42">
        <v>3.585</v>
      </c>
      <c r="G42">
        <v>3.6139999999999999</v>
      </c>
      <c r="H42">
        <v>3.6622840000000001</v>
      </c>
      <c r="I42">
        <v>3.66669</v>
      </c>
      <c r="J42">
        <v>3.6727789999999998</v>
      </c>
      <c r="K42">
        <v>3.676377</v>
      </c>
      <c r="L42">
        <v>3.6772100000000001</v>
      </c>
      <c r="M42">
        <v>3.6764779999999999</v>
      </c>
      <c r="N42">
        <v>3.684415</v>
      </c>
      <c r="O42">
        <v>3.693683</v>
      </c>
      <c r="P42">
        <v>3.7291620000000001</v>
      </c>
      <c r="Q42">
        <v>3.748786</v>
      </c>
      <c r="R42">
        <v>3.7577940000000001</v>
      </c>
      <c r="S42">
        <v>3.7846389999999999</v>
      </c>
      <c r="T42">
        <v>3.8235190000000001</v>
      </c>
      <c r="U42">
        <v>3.8974899999999999</v>
      </c>
      <c r="V42">
        <v>3.9842040000000001</v>
      </c>
      <c r="W42">
        <v>4.0489050000000004</v>
      </c>
      <c r="X42">
        <v>4.1237909999999998</v>
      </c>
      <c r="Y42">
        <v>4.16249</v>
      </c>
      <c r="Z42">
        <v>4.1331300000000004</v>
      </c>
      <c r="AA42">
        <v>4.0817829999999997</v>
      </c>
      <c r="AB42">
        <v>4.1242270000000003</v>
      </c>
      <c r="AC42">
        <v>4.2097899999999999</v>
      </c>
      <c r="AD42">
        <v>4.2704550000000001</v>
      </c>
      <c r="AE42">
        <v>4.2588419999999996</v>
      </c>
      <c r="AF42">
        <v>4.2356290000000003</v>
      </c>
      <c r="AG42" s="345">
        <v>6.0000000000000001E-3</v>
      </c>
    </row>
    <row r="43" spans="1:33" x14ac:dyDescent="0.25">
      <c r="A43" t="s">
        <v>1243</v>
      </c>
      <c r="B43" t="s">
        <v>1244</v>
      </c>
      <c r="C43" t="s">
        <v>1245</v>
      </c>
      <c r="D43" t="s">
        <v>1154</v>
      </c>
      <c r="F43">
        <v>8.9420000000000002</v>
      </c>
      <c r="G43">
        <v>8.9469999999999992</v>
      </c>
      <c r="H43">
        <v>8.9428409999999996</v>
      </c>
      <c r="I43">
        <v>8.8857160000000004</v>
      </c>
      <c r="J43">
        <v>8.7611159999999995</v>
      </c>
      <c r="K43">
        <v>8.6033200000000001</v>
      </c>
      <c r="L43">
        <v>8.4021240000000006</v>
      </c>
      <c r="M43">
        <v>8.2001109999999997</v>
      </c>
      <c r="N43">
        <v>7.956493</v>
      </c>
      <c r="O43">
        <v>7.7076469999999997</v>
      </c>
      <c r="P43">
        <v>7.4682459999999997</v>
      </c>
      <c r="Q43">
        <v>7.2281500000000003</v>
      </c>
      <c r="R43">
        <v>6.9772080000000001</v>
      </c>
      <c r="S43">
        <v>6.7300579999999997</v>
      </c>
      <c r="T43">
        <v>6.5027100000000004</v>
      </c>
      <c r="U43">
        <v>6.2870020000000002</v>
      </c>
      <c r="V43">
        <v>6.0958490000000003</v>
      </c>
      <c r="W43">
        <v>5.921106</v>
      </c>
      <c r="X43">
        <v>5.7493220000000003</v>
      </c>
      <c r="Y43">
        <v>5.6127539999999998</v>
      </c>
      <c r="Z43">
        <v>5.4768809999999997</v>
      </c>
      <c r="AA43">
        <v>5.369275</v>
      </c>
      <c r="AB43">
        <v>5.2694530000000004</v>
      </c>
      <c r="AC43">
        <v>5.1924340000000004</v>
      </c>
      <c r="AD43">
        <v>5.0983840000000002</v>
      </c>
      <c r="AE43">
        <v>5.0384279999999997</v>
      </c>
      <c r="AF43">
        <v>4.9930810000000001</v>
      </c>
      <c r="AG43" s="345">
        <v>-2.1999999999999999E-2</v>
      </c>
    </row>
    <row r="44" spans="1:33" x14ac:dyDescent="0.25">
      <c r="A44" t="s">
        <v>1246</v>
      </c>
      <c r="B44" t="s">
        <v>1247</v>
      </c>
      <c r="C44" t="s">
        <v>1248</v>
      </c>
      <c r="D44" t="s">
        <v>1154</v>
      </c>
      <c r="F44">
        <v>2.5669999999999998E-3</v>
      </c>
      <c r="G44">
        <v>2.379E-3</v>
      </c>
      <c r="H44">
        <v>2.1220000000000002E-3</v>
      </c>
      <c r="I44">
        <v>1.9870000000000001E-3</v>
      </c>
      <c r="J44">
        <v>1.928E-3</v>
      </c>
      <c r="K44">
        <v>1.9989999999999999E-3</v>
      </c>
      <c r="L44">
        <v>1.895E-3</v>
      </c>
      <c r="M44">
        <v>1.75E-3</v>
      </c>
      <c r="N44">
        <v>1.629E-3</v>
      </c>
      <c r="O44">
        <v>1.5269999999999999E-3</v>
      </c>
      <c r="P44">
        <v>1.4469999999999999E-3</v>
      </c>
      <c r="Q44">
        <v>1.361E-3</v>
      </c>
      <c r="R44">
        <v>1.2750000000000001E-3</v>
      </c>
      <c r="S44">
        <v>1.2099999999999999E-3</v>
      </c>
      <c r="T44">
        <v>1.1429999999999999E-3</v>
      </c>
      <c r="U44">
        <v>1.091E-3</v>
      </c>
      <c r="V44">
        <v>1.067E-3</v>
      </c>
      <c r="W44">
        <v>1.044E-3</v>
      </c>
      <c r="X44">
        <v>1.0250000000000001E-3</v>
      </c>
      <c r="Y44">
        <v>1.0150000000000001E-3</v>
      </c>
      <c r="Z44">
        <v>1.0300000000000001E-3</v>
      </c>
      <c r="AA44">
        <v>1.003E-3</v>
      </c>
      <c r="AB44">
        <v>1.0009999999999999E-3</v>
      </c>
      <c r="AC44">
        <v>1.024E-3</v>
      </c>
      <c r="AD44">
        <v>1.0200000000000001E-3</v>
      </c>
      <c r="AE44">
        <v>1.021E-3</v>
      </c>
      <c r="AF44">
        <v>1.0150000000000001E-3</v>
      </c>
      <c r="AG44" s="345">
        <v>-3.5000000000000003E-2</v>
      </c>
    </row>
    <row r="45" spans="1:33" x14ac:dyDescent="0.25">
      <c r="A45" t="s">
        <v>1249</v>
      </c>
      <c r="B45" t="s">
        <v>1250</v>
      </c>
      <c r="C45" t="s">
        <v>1251</v>
      </c>
      <c r="D45" t="s">
        <v>1154</v>
      </c>
      <c r="F45">
        <v>1.696</v>
      </c>
      <c r="G45">
        <v>1.726</v>
      </c>
      <c r="H45">
        <v>1.7319389999999999</v>
      </c>
      <c r="I45">
        <v>1.7387710000000001</v>
      </c>
      <c r="J45">
        <v>1.7521450000000001</v>
      </c>
      <c r="K45">
        <v>1.7685010000000001</v>
      </c>
      <c r="L45">
        <v>1.7827759999999999</v>
      </c>
      <c r="M45">
        <v>1.7926580000000001</v>
      </c>
      <c r="N45">
        <v>1.8044249999999999</v>
      </c>
      <c r="O45">
        <v>1.8158829999999999</v>
      </c>
      <c r="P45">
        <v>1.827483</v>
      </c>
      <c r="Q45">
        <v>1.843485</v>
      </c>
      <c r="R45">
        <v>1.858981</v>
      </c>
      <c r="S45">
        <v>1.876436</v>
      </c>
      <c r="T45">
        <v>1.8949990000000001</v>
      </c>
      <c r="U45">
        <v>1.91435</v>
      </c>
      <c r="V45">
        <v>1.9350400000000001</v>
      </c>
      <c r="W45">
        <v>1.953665</v>
      </c>
      <c r="X45">
        <v>1.9734290000000001</v>
      </c>
      <c r="Y45">
        <v>1.991768</v>
      </c>
      <c r="Z45">
        <v>2.0102679999999999</v>
      </c>
      <c r="AA45">
        <v>2.02833</v>
      </c>
      <c r="AB45">
        <v>2.0468829999999998</v>
      </c>
      <c r="AC45">
        <v>2.0654460000000001</v>
      </c>
      <c r="AD45">
        <v>2.083796</v>
      </c>
      <c r="AE45">
        <v>2.1026280000000002</v>
      </c>
      <c r="AF45">
        <v>2.1212800000000001</v>
      </c>
      <c r="AG45" s="345">
        <v>8.9999999999999993E-3</v>
      </c>
    </row>
    <row r="46" spans="1:33" x14ac:dyDescent="0.25">
      <c r="A46" t="s">
        <v>1252</v>
      </c>
      <c r="B46" t="s">
        <v>1253</v>
      </c>
      <c r="C46" t="s">
        <v>1254</v>
      </c>
      <c r="D46" t="s">
        <v>1154</v>
      </c>
      <c r="F46">
        <v>4.1020000000000003</v>
      </c>
      <c r="G46">
        <v>4.258</v>
      </c>
      <c r="H46">
        <v>4.2430469999999998</v>
      </c>
      <c r="I46">
        <v>4.1925290000000004</v>
      </c>
      <c r="J46">
        <v>4.1615159999999998</v>
      </c>
      <c r="K46">
        <v>4.1268219999999998</v>
      </c>
      <c r="L46">
        <v>4.075285</v>
      </c>
      <c r="M46">
        <v>4.0114029999999996</v>
      </c>
      <c r="N46">
        <v>3.911581</v>
      </c>
      <c r="O46">
        <v>3.8210359999999999</v>
      </c>
      <c r="P46">
        <v>3.742604</v>
      </c>
      <c r="Q46">
        <v>3.6691229999999999</v>
      </c>
      <c r="R46">
        <v>3.6053030000000001</v>
      </c>
      <c r="S46">
        <v>3.5464720000000001</v>
      </c>
      <c r="T46">
        <v>3.4935740000000002</v>
      </c>
      <c r="U46">
        <v>3.4411350000000001</v>
      </c>
      <c r="V46">
        <v>3.3997109999999999</v>
      </c>
      <c r="W46">
        <v>3.3571019999999998</v>
      </c>
      <c r="X46">
        <v>3.3219210000000001</v>
      </c>
      <c r="Y46">
        <v>3.2897620000000001</v>
      </c>
      <c r="Z46">
        <v>3.2609210000000002</v>
      </c>
      <c r="AA46">
        <v>3.2403119999999999</v>
      </c>
      <c r="AB46">
        <v>3.2270129999999999</v>
      </c>
      <c r="AC46">
        <v>3.2175660000000001</v>
      </c>
      <c r="AD46">
        <v>3.2083059999999999</v>
      </c>
      <c r="AE46">
        <v>3.2043599999999999</v>
      </c>
      <c r="AF46">
        <v>3.1990310000000002</v>
      </c>
      <c r="AG46" s="345">
        <v>-0.01</v>
      </c>
    </row>
    <row r="47" spans="1:33" x14ac:dyDescent="0.25">
      <c r="A47" t="s">
        <v>1255</v>
      </c>
      <c r="B47" t="s">
        <v>1256</v>
      </c>
      <c r="C47" t="s">
        <v>1257</v>
      </c>
      <c r="D47" t="s">
        <v>1154</v>
      </c>
      <c r="F47">
        <v>3.5230000000000001</v>
      </c>
      <c r="G47">
        <v>3.6760000000000002</v>
      </c>
      <c r="H47">
        <v>3.8209140000000001</v>
      </c>
      <c r="I47">
        <v>3.7768519999999999</v>
      </c>
      <c r="J47">
        <v>3.7505480000000002</v>
      </c>
      <c r="K47">
        <v>3.7196419999999999</v>
      </c>
      <c r="L47">
        <v>3.6731750000000001</v>
      </c>
      <c r="M47">
        <v>3.613569</v>
      </c>
      <c r="N47">
        <v>3.5208979999999999</v>
      </c>
      <c r="O47">
        <v>3.4330280000000002</v>
      </c>
      <c r="P47">
        <v>3.3569179999999998</v>
      </c>
      <c r="Q47">
        <v>3.2860309999999999</v>
      </c>
      <c r="R47">
        <v>3.2239689999999999</v>
      </c>
      <c r="S47">
        <v>3.1674799999999999</v>
      </c>
      <c r="T47">
        <v>3.1168309999999999</v>
      </c>
      <c r="U47">
        <v>3.066462</v>
      </c>
      <c r="V47">
        <v>3.0270429999999999</v>
      </c>
      <c r="W47">
        <v>2.9869880000000002</v>
      </c>
      <c r="X47">
        <v>2.9544380000000001</v>
      </c>
      <c r="Y47">
        <v>2.9246240000000001</v>
      </c>
      <c r="Z47">
        <v>2.8988510000000001</v>
      </c>
      <c r="AA47">
        <v>2.8801429999999999</v>
      </c>
      <c r="AB47">
        <v>2.8681570000000001</v>
      </c>
      <c r="AC47">
        <v>2.8600629999999998</v>
      </c>
      <c r="AD47">
        <v>2.851839</v>
      </c>
      <c r="AE47">
        <v>2.8487170000000002</v>
      </c>
      <c r="AF47">
        <v>2.844363</v>
      </c>
      <c r="AG47" s="345">
        <v>-8.0000000000000002E-3</v>
      </c>
    </row>
    <row r="48" spans="1:33" x14ac:dyDescent="0.25">
      <c r="A48" t="s">
        <v>1258</v>
      </c>
      <c r="B48" t="s">
        <v>1259</v>
      </c>
      <c r="C48" t="s">
        <v>1260</v>
      </c>
      <c r="D48" t="s">
        <v>1154</v>
      </c>
      <c r="F48">
        <v>0.28799999999999998</v>
      </c>
      <c r="G48">
        <v>0.27</v>
      </c>
      <c r="H48">
        <v>0.25986900000000002</v>
      </c>
      <c r="I48">
        <v>0.26305400000000001</v>
      </c>
      <c r="J48">
        <v>0.26441199999999998</v>
      </c>
      <c r="K48">
        <v>0.26730199999999998</v>
      </c>
      <c r="L48">
        <v>0.27026600000000001</v>
      </c>
      <c r="M48">
        <v>0.27269900000000002</v>
      </c>
      <c r="N48">
        <v>0.27482299999999998</v>
      </c>
      <c r="O48">
        <v>0.276505</v>
      </c>
      <c r="P48">
        <v>0.27934100000000001</v>
      </c>
      <c r="Q48">
        <v>0.28181299999999998</v>
      </c>
      <c r="R48">
        <v>0.28343800000000002</v>
      </c>
      <c r="S48">
        <v>0.28566900000000001</v>
      </c>
      <c r="T48">
        <v>0.287047</v>
      </c>
      <c r="U48">
        <v>0.28905399999999998</v>
      </c>
      <c r="V48">
        <v>0.29078999999999999</v>
      </c>
      <c r="W48">
        <v>0.29130299999999998</v>
      </c>
      <c r="X48">
        <v>0.291821</v>
      </c>
      <c r="Y48">
        <v>0.292153</v>
      </c>
      <c r="Z48">
        <v>0.29396099999999997</v>
      </c>
      <c r="AA48">
        <v>0.29397000000000001</v>
      </c>
      <c r="AB48">
        <v>0.29532999999999998</v>
      </c>
      <c r="AC48">
        <v>0.29748000000000002</v>
      </c>
      <c r="AD48">
        <v>0.29929499999999998</v>
      </c>
      <c r="AE48">
        <v>0.300842</v>
      </c>
      <c r="AF48">
        <v>0.30165900000000001</v>
      </c>
      <c r="AG48" s="345">
        <v>2E-3</v>
      </c>
    </row>
    <row r="49" spans="1:33" x14ac:dyDescent="0.25">
      <c r="A49" t="s">
        <v>605</v>
      </c>
      <c r="B49" t="s">
        <v>1261</v>
      </c>
      <c r="C49" t="s">
        <v>1262</v>
      </c>
      <c r="D49" t="s">
        <v>1154</v>
      </c>
      <c r="F49">
        <v>1.665</v>
      </c>
      <c r="G49">
        <v>1.6910000000000001</v>
      </c>
      <c r="H49">
        <v>1.682069</v>
      </c>
      <c r="I49">
        <v>1.694412</v>
      </c>
      <c r="J49">
        <v>1.714137</v>
      </c>
      <c r="K49">
        <v>1.7123980000000001</v>
      </c>
      <c r="L49">
        <v>1.7272730000000001</v>
      </c>
      <c r="M49">
        <v>1.7342360000000001</v>
      </c>
      <c r="N49">
        <v>1.734432</v>
      </c>
      <c r="O49">
        <v>1.7308870000000001</v>
      </c>
      <c r="P49">
        <v>1.7341800000000001</v>
      </c>
      <c r="Q49">
        <v>1.7318199999999999</v>
      </c>
      <c r="R49">
        <v>1.7408399999999999</v>
      </c>
      <c r="S49">
        <v>1.7425029999999999</v>
      </c>
      <c r="T49">
        <v>1.742985</v>
      </c>
      <c r="U49">
        <v>1.7475989999999999</v>
      </c>
      <c r="V49">
        <v>1.7555620000000001</v>
      </c>
      <c r="W49">
        <v>1.759247</v>
      </c>
      <c r="X49">
        <v>1.754535</v>
      </c>
      <c r="Y49">
        <v>1.760928</v>
      </c>
      <c r="Z49">
        <v>1.834349</v>
      </c>
      <c r="AA49">
        <v>1.9093629999999999</v>
      </c>
      <c r="AB49">
        <v>1.920086</v>
      </c>
      <c r="AC49">
        <v>1.92496</v>
      </c>
      <c r="AD49">
        <v>1.923578</v>
      </c>
      <c r="AE49">
        <v>1.98417</v>
      </c>
      <c r="AF49">
        <v>2.0399080000000001</v>
      </c>
      <c r="AG49" s="345">
        <v>8.0000000000000002E-3</v>
      </c>
    </row>
    <row r="50" spans="1:33" x14ac:dyDescent="0.25">
      <c r="A50" t="s">
        <v>1263</v>
      </c>
    </row>
    <row r="51" spans="1:33" x14ac:dyDescent="0.25">
      <c r="A51" t="s">
        <v>1264</v>
      </c>
      <c r="B51" t="s">
        <v>1265</v>
      </c>
      <c r="C51" t="s">
        <v>1266</v>
      </c>
      <c r="D51" t="s">
        <v>1154</v>
      </c>
      <c r="F51">
        <v>1.057877</v>
      </c>
      <c r="G51">
        <v>1.1055379999999999</v>
      </c>
      <c r="H51">
        <v>1.1092979999999999</v>
      </c>
      <c r="I51">
        <v>1.110698</v>
      </c>
      <c r="J51">
        <v>1.1112359999999999</v>
      </c>
      <c r="K51">
        <v>1.1102019999999999</v>
      </c>
      <c r="L51">
        <v>1.108744</v>
      </c>
      <c r="M51">
        <v>1.1076319999999999</v>
      </c>
      <c r="N51">
        <v>1.1071340000000001</v>
      </c>
      <c r="O51">
        <v>1.107132</v>
      </c>
      <c r="P51">
        <v>1.107138</v>
      </c>
      <c r="Q51">
        <v>1.1077889999999999</v>
      </c>
      <c r="R51">
        <v>1.109127</v>
      </c>
      <c r="S51">
        <v>1.1106320000000001</v>
      </c>
      <c r="T51">
        <v>1.1124849999999999</v>
      </c>
      <c r="U51">
        <v>1.1146450000000001</v>
      </c>
      <c r="V51">
        <v>1.1168819999999999</v>
      </c>
      <c r="W51">
        <v>1.119081</v>
      </c>
      <c r="X51">
        <v>1.1213150000000001</v>
      </c>
      <c r="Y51">
        <v>1.123583</v>
      </c>
      <c r="Z51">
        <v>1.125624</v>
      </c>
      <c r="AA51">
        <v>1.1285609999999999</v>
      </c>
      <c r="AB51">
        <v>1.13184</v>
      </c>
      <c r="AC51">
        <v>1.1355789999999999</v>
      </c>
      <c r="AD51">
        <v>1.139613</v>
      </c>
      <c r="AE51">
        <v>1.143559</v>
      </c>
      <c r="AF51">
        <v>1.147181</v>
      </c>
      <c r="AG51" s="345">
        <v>3.0000000000000001E-3</v>
      </c>
    </row>
    <row r="52" spans="1:33" x14ac:dyDescent="0.25">
      <c r="A52" t="s">
        <v>943</v>
      </c>
      <c r="B52" t="s">
        <v>1267</v>
      </c>
      <c r="C52" t="s">
        <v>1268</v>
      </c>
      <c r="D52" t="s">
        <v>1154</v>
      </c>
      <c r="F52">
        <v>5.3582580000000002</v>
      </c>
      <c r="G52">
        <v>5.41364</v>
      </c>
      <c r="H52">
        <v>5.4984469999999996</v>
      </c>
      <c r="I52">
        <v>5.5226360000000003</v>
      </c>
      <c r="J52">
        <v>5.5594010000000003</v>
      </c>
      <c r="K52">
        <v>5.5727409999999997</v>
      </c>
      <c r="L52">
        <v>5.5999160000000003</v>
      </c>
      <c r="M52">
        <v>5.6166989999999997</v>
      </c>
      <c r="N52">
        <v>5.6347110000000002</v>
      </c>
      <c r="O52">
        <v>5.6439729999999999</v>
      </c>
      <c r="P52">
        <v>5.6918139999999999</v>
      </c>
      <c r="Q52">
        <v>5.7178110000000002</v>
      </c>
      <c r="R52">
        <v>5.7393840000000003</v>
      </c>
      <c r="S52">
        <v>5.7728739999999998</v>
      </c>
      <c r="T52">
        <v>5.8180870000000002</v>
      </c>
      <c r="U52">
        <v>5.9003639999999997</v>
      </c>
      <c r="V52">
        <v>5.9984000000000002</v>
      </c>
      <c r="W52">
        <v>6.0692570000000003</v>
      </c>
      <c r="X52">
        <v>6.1427659999999999</v>
      </c>
      <c r="Y52">
        <v>6.1902900000000001</v>
      </c>
      <c r="Z52">
        <v>6.2351859999999997</v>
      </c>
      <c r="AA52">
        <v>6.2620040000000001</v>
      </c>
      <c r="AB52">
        <v>6.3137970000000001</v>
      </c>
      <c r="AC52">
        <v>6.4118320000000004</v>
      </c>
      <c r="AD52">
        <v>6.4765079999999999</v>
      </c>
      <c r="AE52">
        <v>6.5313119999999998</v>
      </c>
      <c r="AF52">
        <v>6.569318</v>
      </c>
      <c r="AG52" s="345">
        <v>8.0000000000000002E-3</v>
      </c>
    </row>
    <row r="53" spans="1:33" x14ac:dyDescent="0.25">
      <c r="A53" t="s">
        <v>946</v>
      </c>
      <c r="B53" t="s">
        <v>1269</v>
      </c>
      <c r="C53" t="s">
        <v>1270</v>
      </c>
      <c r="D53" t="s">
        <v>1154</v>
      </c>
      <c r="F53">
        <v>14.167806000000001</v>
      </c>
      <c r="G53">
        <v>14.187659999999999</v>
      </c>
      <c r="H53">
        <v>14.078899</v>
      </c>
      <c r="I53">
        <v>13.907558</v>
      </c>
      <c r="J53">
        <v>13.756776</v>
      </c>
      <c r="K53">
        <v>13.570147</v>
      </c>
      <c r="L53">
        <v>13.324179000000001</v>
      </c>
      <c r="M53">
        <v>13.060214</v>
      </c>
      <c r="N53">
        <v>12.722061</v>
      </c>
      <c r="O53">
        <v>12.385864</v>
      </c>
      <c r="P53">
        <v>12.072354000000001</v>
      </c>
      <c r="Q53">
        <v>11.76633</v>
      </c>
      <c r="R53">
        <v>11.456875</v>
      </c>
      <c r="S53">
        <v>11.161160000000001</v>
      </c>
      <c r="T53">
        <v>10.891527999999999</v>
      </c>
      <c r="U53">
        <v>10.636048000000001</v>
      </c>
      <c r="V53">
        <v>10.41752</v>
      </c>
      <c r="W53">
        <v>10.213763</v>
      </c>
      <c r="X53">
        <v>10.021207</v>
      </c>
      <c r="Y53">
        <v>9.8660309999999996</v>
      </c>
      <c r="Z53">
        <v>9.7172820000000009</v>
      </c>
      <c r="AA53">
        <v>9.6003229999999995</v>
      </c>
      <c r="AB53">
        <v>9.497522</v>
      </c>
      <c r="AC53">
        <v>9.4224630000000005</v>
      </c>
      <c r="AD53">
        <v>9.3297070000000009</v>
      </c>
      <c r="AE53">
        <v>9.2759630000000008</v>
      </c>
      <c r="AF53">
        <v>9.2356110000000005</v>
      </c>
      <c r="AG53" s="345">
        <v>-1.6E-2</v>
      </c>
    </row>
    <row r="54" spans="1:33" x14ac:dyDescent="0.25">
      <c r="A54" t="s">
        <v>1271</v>
      </c>
      <c r="B54" t="s">
        <v>1272</v>
      </c>
      <c r="C54" t="s">
        <v>1273</v>
      </c>
      <c r="D54" t="s">
        <v>1154</v>
      </c>
      <c r="F54">
        <v>5.0708999999999997E-2</v>
      </c>
      <c r="G54">
        <v>4.9688000000000003E-2</v>
      </c>
      <c r="H54">
        <v>4.6671999999999998E-2</v>
      </c>
      <c r="I54">
        <v>4.2552E-2</v>
      </c>
      <c r="J54">
        <v>3.9824999999999999E-2</v>
      </c>
      <c r="K54">
        <v>3.8530000000000002E-2</v>
      </c>
      <c r="L54">
        <v>3.6310000000000002E-2</v>
      </c>
      <c r="M54">
        <v>3.4528999999999997E-2</v>
      </c>
      <c r="N54">
        <v>2.9465999999999999E-2</v>
      </c>
      <c r="O54">
        <v>2.9224E-2</v>
      </c>
      <c r="P54">
        <v>2.9359E-2</v>
      </c>
      <c r="Q54">
        <v>2.9052999999999999E-2</v>
      </c>
      <c r="R54">
        <v>2.8896999999999999E-2</v>
      </c>
      <c r="S54">
        <v>2.8454E-2</v>
      </c>
      <c r="T54">
        <v>2.7886999999999999E-2</v>
      </c>
      <c r="U54">
        <v>2.7626999999999999E-2</v>
      </c>
      <c r="V54">
        <v>2.7307000000000001E-2</v>
      </c>
      <c r="W54">
        <v>2.5798000000000001E-2</v>
      </c>
      <c r="X54">
        <v>2.3956999999999999E-2</v>
      </c>
      <c r="Y54">
        <v>2.2259000000000001E-2</v>
      </c>
      <c r="Z54">
        <v>2.0188000000000001E-2</v>
      </c>
      <c r="AA54">
        <v>1.8244E-2</v>
      </c>
      <c r="AB54">
        <v>1.8103000000000001E-2</v>
      </c>
      <c r="AC54">
        <v>1.8083999999999999E-2</v>
      </c>
      <c r="AD54">
        <v>1.8252000000000001E-2</v>
      </c>
      <c r="AE54">
        <v>1.8443000000000001E-2</v>
      </c>
      <c r="AF54">
        <v>1.8648000000000001E-2</v>
      </c>
      <c r="AG54" s="345">
        <v>-3.7999999999999999E-2</v>
      </c>
    </row>
    <row r="55" spans="1:33" x14ac:dyDescent="0.25">
      <c r="A55" t="s">
        <v>1274</v>
      </c>
      <c r="B55" t="s">
        <v>1275</v>
      </c>
      <c r="C55" t="s">
        <v>1276</v>
      </c>
      <c r="D55" t="s">
        <v>1154</v>
      </c>
      <c r="F55">
        <v>-0.38045899999999999</v>
      </c>
      <c r="G55">
        <v>-0.28490300000000002</v>
      </c>
      <c r="H55">
        <v>-0.21584700000000001</v>
      </c>
      <c r="I55">
        <v>-0.14716299999999999</v>
      </c>
      <c r="J55">
        <v>-0.145123</v>
      </c>
      <c r="K55">
        <v>-0.14258899999999999</v>
      </c>
      <c r="L55">
        <v>-0.139353</v>
      </c>
      <c r="M55">
        <v>-0.13598299999999999</v>
      </c>
      <c r="N55">
        <v>-0.13173499999999999</v>
      </c>
      <c r="O55">
        <v>-0.1275</v>
      </c>
      <c r="P55">
        <v>-0.12350899999999999</v>
      </c>
      <c r="Q55">
        <v>-0.119557</v>
      </c>
      <c r="R55">
        <v>-0.115549</v>
      </c>
      <c r="S55">
        <v>-0.111669</v>
      </c>
      <c r="T55">
        <v>-0.108109</v>
      </c>
      <c r="U55">
        <v>-0.104712</v>
      </c>
      <c r="V55">
        <v>-0.10174999999999999</v>
      </c>
      <c r="W55">
        <v>-9.9004999999999996E-2</v>
      </c>
      <c r="X55">
        <v>-9.6369999999999997E-2</v>
      </c>
      <c r="Y55">
        <v>-9.4228000000000006E-2</v>
      </c>
      <c r="Z55">
        <v>-9.2134999999999995E-2</v>
      </c>
      <c r="AA55">
        <v>-9.0465000000000004E-2</v>
      </c>
      <c r="AB55">
        <v>-8.8955999999999993E-2</v>
      </c>
      <c r="AC55">
        <v>-8.7785000000000002E-2</v>
      </c>
      <c r="AD55">
        <v>-8.6391999999999997E-2</v>
      </c>
      <c r="AE55">
        <v>-8.5488999999999996E-2</v>
      </c>
      <c r="AF55">
        <v>-8.4770999999999999E-2</v>
      </c>
      <c r="AG55" s="345">
        <v>-5.6000000000000001E-2</v>
      </c>
    </row>
    <row r="56" spans="1:33" x14ac:dyDescent="0.25">
      <c r="A56" t="s">
        <v>608</v>
      </c>
      <c r="B56" t="s">
        <v>1277</v>
      </c>
      <c r="C56" t="s">
        <v>1278</v>
      </c>
      <c r="D56" t="s">
        <v>1154</v>
      </c>
      <c r="F56">
        <v>20.277999999999999</v>
      </c>
      <c r="G56">
        <v>20.506001000000001</v>
      </c>
      <c r="H56">
        <v>20.522048999999999</v>
      </c>
      <c r="I56">
        <v>20.441172000000002</v>
      </c>
      <c r="J56">
        <v>20.326104999999998</v>
      </c>
      <c r="K56">
        <v>20.154717999999999</v>
      </c>
      <c r="L56">
        <v>19.934933000000001</v>
      </c>
      <c r="M56">
        <v>19.687586</v>
      </c>
      <c r="N56">
        <v>19.366168999999999</v>
      </c>
      <c r="O56">
        <v>19.045639000000001</v>
      </c>
      <c r="P56">
        <v>18.781016999999999</v>
      </c>
      <c r="Q56">
        <v>18.503177999999998</v>
      </c>
      <c r="R56">
        <v>18.223566000000002</v>
      </c>
      <c r="S56">
        <v>17.965778</v>
      </c>
      <c r="T56">
        <v>17.744833</v>
      </c>
      <c r="U56">
        <v>17.576632</v>
      </c>
      <c r="V56">
        <v>17.461157</v>
      </c>
      <c r="W56">
        <v>17.331327000000002</v>
      </c>
      <c r="X56">
        <v>17.214818999999999</v>
      </c>
      <c r="Y56">
        <v>17.109853999999999</v>
      </c>
      <c r="Z56">
        <v>17.009508</v>
      </c>
      <c r="AA56">
        <v>16.923033</v>
      </c>
      <c r="AB56">
        <v>16.882989999999999</v>
      </c>
      <c r="AC56">
        <v>16.907675000000001</v>
      </c>
      <c r="AD56">
        <v>16.883811999999999</v>
      </c>
      <c r="AE56">
        <v>16.889268999999999</v>
      </c>
      <c r="AF56">
        <v>16.890588999999999</v>
      </c>
      <c r="AG56" s="345">
        <v>-7.0000000000000001E-3</v>
      </c>
    </row>
    <row r="57" spans="1:33" x14ac:dyDescent="0.25">
      <c r="A57" t="s">
        <v>632</v>
      </c>
      <c r="B57" t="s">
        <v>1279</v>
      </c>
      <c r="C57" t="s">
        <v>1280</v>
      </c>
      <c r="D57" t="s">
        <v>1154</v>
      </c>
      <c r="F57">
        <v>0.51536199999999999</v>
      </c>
      <c r="G57">
        <v>0.59835799999999995</v>
      </c>
      <c r="H57">
        <v>1.1594999999999999E-2</v>
      </c>
      <c r="I57">
        <v>8.4209999999999997E-3</v>
      </c>
      <c r="J57">
        <v>6.5979999999999997E-3</v>
      </c>
      <c r="K57">
        <v>-1.7600000000000001E-3</v>
      </c>
      <c r="L57">
        <v>3.212E-3</v>
      </c>
      <c r="M57">
        <v>7.5440000000000004E-3</v>
      </c>
      <c r="N57">
        <v>-3.2600000000000001E-4</v>
      </c>
      <c r="O57">
        <v>3.7100000000000002E-3</v>
      </c>
      <c r="P57">
        <v>3.2880000000000001E-3</v>
      </c>
      <c r="Q57">
        <v>3.372E-3</v>
      </c>
      <c r="R57">
        <v>5.0260000000000001E-3</v>
      </c>
      <c r="S57">
        <v>6.3920000000000001E-3</v>
      </c>
      <c r="T57">
        <v>-2.4199999999999998E-3</v>
      </c>
      <c r="U57">
        <v>4.5950000000000001E-3</v>
      </c>
      <c r="V57">
        <v>7.1180000000000002E-3</v>
      </c>
      <c r="W57">
        <v>5.5690000000000002E-3</v>
      </c>
      <c r="X57">
        <v>5.2199999999999998E-3</v>
      </c>
      <c r="Y57">
        <v>7.7999999999999999E-4</v>
      </c>
      <c r="Z57">
        <v>4.568E-3</v>
      </c>
      <c r="AA57">
        <v>1.7141E-2</v>
      </c>
      <c r="AB57">
        <v>7.803E-3</v>
      </c>
      <c r="AC57">
        <v>8.94E-3</v>
      </c>
      <c r="AD57">
        <v>8.7360000000000007E-3</v>
      </c>
      <c r="AE57">
        <v>7.4790000000000004E-3</v>
      </c>
      <c r="AF57">
        <v>9.0080000000000004E-3</v>
      </c>
      <c r="AG57" s="345">
        <v>-0.14399999999999999</v>
      </c>
    </row>
    <row r="58" spans="1:33" x14ac:dyDescent="0.25">
      <c r="A58" t="s">
        <v>1281</v>
      </c>
      <c r="B58" t="s">
        <v>1282</v>
      </c>
      <c r="C58" t="s">
        <v>1283</v>
      </c>
      <c r="D58" t="s">
        <v>1154</v>
      </c>
      <c r="F58">
        <v>18.347000000000001</v>
      </c>
      <c r="G58">
        <v>18.087999</v>
      </c>
      <c r="H58">
        <v>17.997710999999999</v>
      </c>
      <c r="I58">
        <v>18.072171999999998</v>
      </c>
      <c r="J58">
        <v>18.146630999999999</v>
      </c>
      <c r="K58">
        <v>18.221091999999999</v>
      </c>
      <c r="L58">
        <v>18.221091999999999</v>
      </c>
      <c r="M58">
        <v>18.221091999999999</v>
      </c>
      <c r="N58">
        <v>18.221091999999999</v>
      </c>
      <c r="O58">
        <v>18.221091999999999</v>
      </c>
      <c r="P58">
        <v>18.221091999999999</v>
      </c>
      <c r="Q58">
        <v>18.221091999999999</v>
      </c>
      <c r="R58">
        <v>18.221091999999999</v>
      </c>
      <c r="S58">
        <v>18.221091999999999</v>
      </c>
      <c r="T58">
        <v>18.221091999999999</v>
      </c>
      <c r="U58">
        <v>18.221091999999999</v>
      </c>
      <c r="V58">
        <v>18.221091999999999</v>
      </c>
      <c r="W58">
        <v>18.221091999999999</v>
      </c>
      <c r="X58">
        <v>18.221091999999999</v>
      </c>
      <c r="Y58">
        <v>18.221091999999999</v>
      </c>
      <c r="Z58">
        <v>18.221091999999999</v>
      </c>
      <c r="AA58">
        <v>18.221091999999999</v>
      </c>
      <c r="AB58">
        <v>18.221091999999999</v>
      </c>
      <c r="AC58">
        <v>18.221091999999999</v>
      </c>
      <c r="AD58">
        <v>18.221091999999999</v>
      </c>
      <c r="AE58">
        <v>18.221091999999999</v>
      </c>
      <c r="AF58">
        <v>18.221091999999999</v>
      </c>
      <c r="AG58" s="345">
        <v>0</v>
      </c>
    </row>
    <row r="59" spans="1:33" x14ac:dyDescent="0.25">
      <c r="A59" t="s">
        <v>1284</v>
      </c>
      <c r="B59" t="s">
        <v>1285</v>
      </c>
      <c r="C59" t="s">
        <v>1286</v>
      </c>
      <c r="D59" t="s">
        <v>1287</v>
      </c>
      <c r="F59">
        <v>90.436995999999994</v>
      </c>
      <c r="G59">
        <v>90.696999000000005</v>
      </c>
      <c r="H59">
        <v>90.548157000000003</v>
      </c>
      <c r="I59">
        <v>90.341132999999999</v>
      </c>
      <c r="J59">
        <v>90.075355999999999</v>
      </c>
      <c r="K59">
        <v>89.13015</v>
      </c>
      <c r="L59">
        <v>88.827697999999998</v>
      </c>
      <c r="M59">
        <v>89.083045999999996</v>
      </c>
      <c r="N59">
        <v>88.197120999999996</v>
      </c>
      <c r="O59">
        <v>87.716842999999997</v>
      </c>
      <c r="P59">
        <v>87.061852000000002</v>
      </c>
      <c r="Q59">
        <v>86.610252000000003</v>
      </c>
      <c r="R59">
        <v>86.316315000000003</v>
      </c>
      <c r="S59">
        <v>85.617371000000006</v>
      </c>
      <c r="T59">
        <v>85.102447999999995</v>
      </c>
      <c r="U59">
        <v>85.206467000000004</v>
      </c>
      <c r="V59">
        <v>85.215102999999999</v>
      </c>
      <c r="W59">
        <v>85.053841000000006</v>
      </c>
      <c r="X59">
        <v>84.206299000000001</v>
      </c>
      <c r="Y59">
        <v>85.164626999999996</v>
      </c>
      <c r="Z59">
        <v>85.092606000000004</v>
      </c>
      <c r="AA59">
        <v>84.401900999999995</v>
      </c>
      <c r="AB59">
        <v>84.661377000000002</v>
      </c>
      <c r="AC59">
        <v>85.248726000000005</v>
      </c>
      <c r="AD59">
        <v>85.025077999999993</v>
      </c>
      <c r="AE59">
        <v>85.383881000000002</v>
      </c>
      <c r="AF59">
        <v>85.037330999999995</v>
      </c>
      <c r="AG59" s="345">
        <v>-2E-3</v>
      </c>
    </row>
    <row r="60" spans="1:33" x14ac:dyDescent="0.25">
      <c r="A60" t="s">
        <v>1099</v>
      </c>
      <c r="B60" t="s">
        <v>1288</v>
      </c>
      <c r="C60" t="s">
        <v>1289</v>
      </c>
      <c r="D60" t="s">
        <v>1154</v>
      </c>
      <c r="F60">
        <v>8.48278</v>
      </c>
      <c r="G60">
        <v>7.9418530000000001</v>
      </c>
      <c r="H60">
        <v>8.3338719999999995</v>
      </c>
      <c r="I60">
        <v>8.0483809999999991</v>
      </c>
      <c r="J60">
        <v>7.9929730000000001</v>
      </c>
      <c r="K60">
        <v>7.800948</v>
      </c>
      <c r="L60">
        <v>7.9417249999999999</v>
      </c>
      <c r="M60">
        <v>8.191611</v>
      </c>
      <c r="N60">
        <v>8.1870820000000002</v>
      </c>
      <c r="O60">
        <v>8.199719</v>
      </c>
      <c r="P60">
        <v>8.2499140000000004</v>
      </c>
      <c r="Q60">
        <v>8.4069319999999994</v>
      </c>
      <c r="R60">
        <v>8.5220950000000002</v>
      </c>
      <c r="S60">
        <v>8.5561399999999992</v>
      </c>
      <c r="T60">
        <v>8.6332959999999996</v>
      </c>
      <c r="U60">
        <v>8.7933059999999994</v>
      </c>
      <c r="V60">
        <v>8.897456</v>
      </c>
      <c r="W60">
        <v>9.0237499999999997</v>
      </c>
      <c r="X60">
        <v>9.1049399999999991</v>
      </c>
      <c r="Y60">
        <v>9.3174930000000007</v>
      </c>
      <c r="Z60">
        <v>9.3830139999999993</v>
      </c>
      <c r="AA60">
        <v>9.3715820000000001</v>
      </c>
      <c r="AB60">
        <v>9.3877950000000006</v>
      </c>
      <c r="AC60">
        <v>9.5221199999999993</v>
      </c>
      <c r="AD60">
        <v>9.5340279999999993</v>
      </c>
      <c r="AE60">
        <v>9.6132120000000008</v>
      </c>
      <c r="AF60">
        <v>9.6218979999999998</v>
      </c>
      <c r="AG60" s="345">
        <v>5.0000000000000001E-3</v>
      </c>
    </row>
    <row r="61" spans="1:33" x14ac:dyDescent="0.25">
      <c r="A61" t="s">
        <v>1101</v>
      </c>
      <c r="B61" t="s">
        <v>1290</v>
      </c>
      <c r="C61" t="s">
        <v>1291</v>
      </c>
      <c r="D61" t="s">
        <v>1154</v>
      </c>
      <c r="F61">
        <v>10.897900999999999</v>
      </c>
      <c r="G61">
        <v>10.587901</v>
      </c>
      <c r="H61">
        <v>11.634944000000001</v>
      </c>
      <c r="I61">
        <v>11.853895</v>
      </c>
      <c r="J61">
        <v>11.829617000000001</v>
      </c>
      <c r="K61">
        <v>11.818009</v>
      </c>
      <c r="L61">
        <v>12.172319</v>
      </c>
      <c r="M61">
        <v>12.405737999999999</v>
      </c>
      <c r="N61">
        <v>12.486162999999999</v>
      </c>
      <c r="O61">
        <v>12.815162000000001</v>
      </c>
      <c r="P61">
        <v>13.135241000000001</v>
      </c>
      <c r="Q61">
        <v>13.481801000000001</v>
      </c>
      <c r="R61">
        <v>13.648733999999999</v>
      </c>
      <c r="S61">
        <v>13.706432</v>
      </c>
      <c r="T61">
        <v>13.871452</v>
      </c>
      <c r="U61">
        <v>14.048128</v>
      </c>
      <c r="V61">
        <v>14.165053</v>
      </c>
      <c r="W61">
        <v>14.257758000000001</v>
      </c>
      <c r="X61">
        <v>14.42141</v>
      </c>
      <c r="Y61">
        <v>14.629694000000001</v>
      </c>
      <c r="Z61">
        <v>14.784568</v>
      </c>
      <c r="AA61">
        <v>14.911746000000001</v>
      </c>
      <c r="AB61">
        <v>14.978165000000001</v>
      </c>
      <c r="AC61">
        <v>15.049068</v>
      </c>
      <c r="AD61">
        <v>14.986622000000001</v>
      </c>
      <c r="AE61">
        <v>15.058346</v>
      </c>
      <c r="AF61">
        <v>15.07441</v>
      </c>
      <c r="AG61" s="345">
        <v>1.2999999999999999E-2</v>
      </c>
    </row>
    <row r="62" spans="1:33" x14ac:dyDescent="0.25">
      <c r="A62" t="s">
        <v>1103</v>
      </c>
      <c r="B62" t="s">
        <v>1292</v>
      </c>
      <c r="C62" t="s">
        <v>1293</v>
      </c>
      <c r="D62" t="s">
        <v>1154</v>
      </c>
      <c r="F62">
        <v>-2.4151199999999999</v>
      </c>
      <c r="G62">
        <v>-2.646048</v>
      </c>
      <c r="H62">
        <v>-3.301072</v>
      </c>
      <c r="I62">
        <v>-3.8055140000000001</v>
      </c>
      <c r="J62">
        <v>-3.836643</v>
      </c>
      <c r="K62">
        <v>-4.0170620000000001</v>
      </c>
      <c r="L62">
        <v>-4.230594</v>
      </c>
      <c r="M62">
        <v>-4.2141270000000004</v>
      </c>
      <c r="N62">
        <v>-4.2990810000000002</v>
      </c>
      <c r="O62">
        <v>-4.6154419999999998</v>
      </c>
      <c r="P62">
        <v>-4.8853260000000001</v>
      </c>
      <c r="Q62">
        <v>-5.0748689999999996</v>
      </c>
      <c r="R62">
        <v>-5.1266389999999999</v>
      </c>
      <c r="S62">
        <v>-5.1502920000000003</v>
      </c>
      <c r="T62">
        <v>-5.238156</v>
      </c>
      <c r="U62">
        <v>-5.2548219999999999</v>
      </c>
      <c r="V62">
        <v>-5.2675970000000003</v>
      </c>
      <c r="W62">
        <v>-5.2340080000000002</v>
      </c>
      <c r="X62">
        <v>-5.3164689999999997</v>
      </c>
      <c r="Y62">
        <v>-5.312201</v>
      </c>
      <c r="Z62">
        <v>-5.401554</v>
      </c>
      <c r="AA62">
        <v>-5.5401639999999999</v>
      </c>
      <c r="AB62">
        <v>-5.5903689999999999</v>
      </c>
      <c r="AC62">
        <v>-5.5269490000000001</v>
      </c>
      <c r="AD62">
        <v>-5.4525940000000004</v>
      </c>
      <c r="AE62">
        <v>-5.4451340000000004</v>
      </c>
      <c r="AF62">
        <v>-5.4525129999999997</v>
      </c>
      <c r="AG62" s="345">
        <v>3.2000000000000001E-2</v>
      </c>
    </row>
    <row r="63" spans="1:33" x14ac:dyDescent="0.25">
      <c r="A63" t="s">
        <v>1294</v>
      </c>
      <c r="B63" t="s">
        <v>1295</v>
      </c>
      <c r="C63" t="s">
        <v>1296</v>
      </c>
      <c r="D63" t="s">
        <v>1287</v>
      </c>
      <c r="F63">
        <v>-11.614867</v>
      </c>
      <c r="G63">
        <v>-12.537925</v>
      </c>
      <c r="H63">
        <v>-16.076405000000001</v>
      </c>
      <c r="I63">
        <v>-18.609247</v>
      </c>
      <c r="J63">
        <v>-18.869326000000001</v>
      </c>
      <c r="K63">
        <v>-19.932865</v>
      </c>
      <c r="L63">
        <v>-21.218596999999999</v>
      </c>
      <c r="M63">
        <v>-21.396792999999999</v>
      </c>
      <c r="N63">
        <v>-22.199297000000001</v>
      </c>
      <c r="O63">
        <v>-24.228867999999999</v>
      </c>
      <c r="P63">
        <v>-26.007487999999999</v>
      </c>
      <c r="Q63">
        <v>-27.422014000000001</v>
      </c>
      <c r="R63">
        <v>-28.124162999999999</v>
      </c>
      <c r="S63">
        <v>-28.657043000000002</v>
      </c>
      <c r="T63">
        <v>-29.523361000000001</v>
      </c>
      <c r="U63">
        <v>-29.888826000000002</v>
      </c>
      <c r="V63">
        <v>-30.155224</v>
      </c>
      <c r="W63">
        <v>-30.190000999999999</v>
      </c>
      <c r="X63">
        <v>-30.873732</v>
      </c>
      <c r="Y63">
        <v>-31.046199999999999</v>
      </c>
      <c r="Z63">
        <v>-31.747561999999999</v>
      </c>
      <c r="AA63">
        <v>-32.704292000000002</v>
      </c>
      <c r="AB63">
        <v>-33.097141000000001</v>
      </c>
      <c r="AC63">
        <v>-32.671722000000003</v>
      </c>
      <c r="AD63">
        <v>-32.278106999999999</v>
      </c>
      <c r="AE63">
        <v>-32.225929000000001</v>
      </c>
      <c r="AF63">
        <v>-32.264164000000001</v>
      </c>
      <c r="AG63" s="345">
        <v>0.04</v>
      </c>
    </row>
    <row r="64" spans="1:33" x14ac:dyDescent="0.25">
      <c r="A64" t="s">
        <v>1106</v>
      </c>
    </row>
    <row r="65" spans="1:33" x14ac:dyDescent="0.25">
      <c r="A65" t="s">
        <v>1297</v>
      </c>
      <c r="B65" t="s">
        <v>1298</v>
      </c>
      <c r="C65" t="s">
        <v>1299</v>
      </c>
      <c r="D65" t="s">
        <v>1300</v>
      </c>
      <c r="F65">
        <v>212.54585299999999</v>
      </c>
      <c r="G65">
        <v>211.77548200000001</v>
      </c>
      <c r="H65">
        <v>205.21971099999999</v>
      </c>
      <c r="I65">
        <v>195.779099</v>
      </c>
      <c r="J65">
        <v>193.46054100000001</v>
      </c>
      <c r="K65">
        <v>188.570221</v>
      </c>
      <c r="L65">
        <v>193.418488</v>
      </c>
      <c r="M65">
        <v>201.240646</v>
      </c>
      <c r="N65">
        <v>199.43656899999999</v>
      </c>
      <c r="O65">
        <v>205.16194200000001</v>
      </c>
      <c r="P65">
        <v>207.61244199999999</v>
      </c>
      <c r="Q65">
        <v>214.158646</v>
      </c>
      <c r="R65">
        <v>219.30001799999999</v>
      </c>
      <c r="S65">
        <v>222.16557299999999</v>
      </c>
      <c r="T65">
        <v>225.86862199999999</v>
      </c>
      <c r="U65">
        <v>232.39361600000001</v>
      </c>
      <c r="V65">
        <v>236.710083</v>
      </c>
      <c r="W65">
        <v>242.53840600000001</v>
      </c>
      <c r="X65">
        <v>247.09901400000001</v>
      </c>
      <c r="Y65">
        <v>255.98687699999999</v>
      </c>
      <c r="Z65">
        <v>263.717804</v>
      </c>
      <c r="AA65">
        <v>263.46371499999998</v>
      </c>
      <c r="AB65">
        <v>264.95873999999998</v>
      </c>
      <c r="AC65">
        <v>268.40512100000001</v>
      </c>
      <c r="AD65">
        <v>268.56036399999999</v>
      </c>
      <c r="AE65">
        <v>272.98895299999998</v>
      </c>
      <c r="AF65">
        <v>280.66976899999997</v>
      </c>
      <c r="AG65" s="345">
        <v>1.0999999999999999E-2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54"/>
  <sheetViews>
    <sheetView workbookViewId="0">
      <selection activeCell="A10" sqref="A10:XFD10"/>
    </sheetView>
  </sheetViews>
  <sheetFormatPr defaultRowHeight="15" x14ac:dyDescent="0.25"/>
  <sheetData>
    <row r="1" spans="1:31" x14ac:dyDescent="0.25">
      <c r="A1" t="s">
        <v>572</v>
      </c>
    </row>
    <row r="2" spans="1:31" x14ac:dyDescent="0.25">
      <c r="A2" t="s">
        <v>1428</v>
      </c>
    </row>
    <row r="3" spans="1:31" x14ac:dyDescent="0.25">
      <c r="A3" t="s">
        <v>1429</v>
      </c>
    </row>
    <row r="4" spans="1:31" x14ac:dyDescent="0.25">
      <c r="A4" t="s">
        <v>575</v>
      </c>
    </row>
    <row r="5" spans="1:31" x14ac:dyDescent="0.25">
      <c r="B5" t="s">
        <v>576</v>
      </c>
      <c r="C5" t="s">
        <v>577</v>
      </c>
      <c r="D5" t="s">
        <v>578</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1430</v>
      </c>
    </row>
    <row r="6" spans="1:31" x14ac:dyDescent="0.25">
      <c r="A6" t="s">
        <v>448</v>
      </c>
    </row>
    <row r="7" spans="1:31" x14ac:dyDescent="0.25">
      <c r="A7" t="s">
        <v>580</v>
      </c>
      <c r="B7" t="s">
        <v>1431</v>
      </c>
      <c r="C7" t="s">
        <v>1432</v>
      </c>
      <c r="D7" t="s">
        <v>583</v>
      </c>
      <c r="E7">
        <v>28.096219999999999</v>
      </c>
      <c r="F7">
        <v>27.839510000000001</v>
      </c>
      <c r="G7">
        <v>27.934449999999998</v>
      </c>
      <c r="H7">
        <v>27.987217000000001</v>
      </c>
      <c r="I7">
        <v>27.814900999999999</v>
      </c>
      <c r="J7">
        <v>28.041070999999999</v>
      </c>
      <c r="K7">
        <v>28.029517999999999</v>
      </c>
      <c r="L7">
        <v>27.882774000000001</v>
      </c>
      <c r="M7">
        <v>27.414967999999998</v>
      </c>
      <c r="N7">
        <v>27.162400999999999</v>
      </c>
      <c r="O7">
        <v>26.851123999999999</v>
      </c>
      <c r="P7">
        <v>26.721969999999999</v>
      </c>
      <c r="Q7">
        <v>26.669319000000002</v>
      </c>
      <c r="R7">
        <v>26.478784999999998</v>
      </c>
      <c r="S7">
        <v>26.444293999999999</v>
      </c>
      <c r="T7">
        <v>26.71266</v>
      </c>
      <c r="U7">
        <v>26.969090000000001</v>
      </c>
      <c r="V7">
        <v>27.048577999999999</v>
      </c>
      <c r="W7">
        <v>27.202836999999999</v>
      </c>
      <c r="X7">
        <v>27.264697999999999</v>
      </c>
      <c r="Y7">
        <v>27.201111000000001</v>
      </c>
      <c r="Z7">
        <v>27.041689000000002</v>
      </c>
      <c r="AA7">
        <v>26.884602000000001</v>
      </c>
      <c r="AB7">
        <v>26.681749</v>
      </c>
      <c r="AC7">
        <v>26.394307999999999</v>
      </c>
      <c r="AD7">
        <v>25.994828999999999</v>
      </c>
      <c r="AE7" t="s">
        <v>1433</v>
      </c>
    </row>
    <row r="8" spans="1:31" x14ac:dyDescent="0.25">
      <c r="A8" t="s">
        <v>584</v>
      </c>
      <c r="B8" t="s">
        <v>1434</v>
      </c>
      <c r="C8" t="s">
        <v>1435</v>
      </c>
      <c r="D8" t="s">
        <v>583</v>
      </c>
      <c r="E8">
        <v>9.6190329999999999</v>
      </c>
      <c r="F8">
        <v>9.7968050000000009</v>
      </c>
      <c r="G8">
        <v>10.516297</v>
      </c>
      <c r="H8">
        <v>10.408414</v>
      </c>
      <c r="I8">
        <v>10.449044000000001</v>
      </c>
      <c r="J8">
        <v>10.487188</v>
      </c>
      <c r="K8">
        <v>10.989504</v>
      </c>
      <c r="L8">
        <v>11.466013999999999</v>
      </c>
      <c r="M8">
        <v>11.930082000000001</v>
      </c>
      <c r="N8">
        <v>12.265281999999999</v>
      </c>
      <c r="O8">
        <v>12.51648</v>
      </c>
      <c r="P8">
        <v>12.657268</v>
      </c>
      <c r="Q8">
        <v>12.87834</v>
      </c>
      <c r="R8">
        <v>13.124127</v>
      </c>
      <c r="S8">
        <v>13.329017</v>
      </c>
      <c r="T8">
        <v>13.664953000000001</v>
      </c>
      <c r="U8">
        <v>13.958897</v>
      </c>
      <c r="V8">
        <v>14.123372</v>
      </c>
      <c r="W8">
        <v>14.198471</v>
      </c>
      <c r="X8">
        <v>14.139817000000001</v>
      </c>
      <c r="Y8">
        <v>13.995239</v>
      </c>
      <c r="Z8">
        <v>13.875278</v>
      </c>
      <c r="AA8">
        <v>13.909235000000001</v>
      </c>
      <c r="AB8">
        <v>14.003947</v>
      </c>
      <c r="AC8">
        <v>14.058703</v>
      </c>
      <c r="AD8">
        <v>14.029639</v>
      </c>
      <c r="AE8" t="s">
        <v>1436</v>
      </c>
    </row>
    <row r="9" spans="1:31" x14ac:dyDescent="0.25">
      <c r="A9" t="s">
        <v>587</v>
      </c>
      <c r="B9" t="s">
        <v>1437</v>
      </c>
      <c r="C9" t="s">
        <v>1438</v>
      </c>
      <c r="D9" t="s">
        <v>583</v>
      </c>
      <c r="E9">
        <v>40.570411999999997</v>
      </c>
      <c r="F9">
        <v>40.294426000000001</v>
      </c>
      <c r="G9">
        <v>39.723049000000003</v>
      </c>
      <c r="H9">
        <v>40.499924</v>
      </c>
      <c r="I9">
        <v>40.887130999999997</v>
      </c>
      <c r="J9">
        <v>42.027293999999998</v>
      </c>
      <c r="K9">
        <v>43.181033999999997</v>
      </c>
      <c r="L9">
        <v>44.259509999999999</v>
      </c>
      <c r="M9">
        <v>45.101624000000001</v>
      </c>
      <c r="N9">
        <v>46.168903</v>
      </c>
      <c r="O9">
        <v>46.665019999999998</v>
      </c>
      <c r="P9">
        <v>47.017207999999997</v>
      </c>
      <c r="Q9">
        <v>47.328975999999997</v>
      </c>
      <c r="R9">
        <v>47.659122000000004</v>
      </c>
      <c r="S9">
        <v>47.983775999999999</v>
      </c>
      <c r="T9">
        <v>48.581454999999998</v>
      </c>
      <c r="U9">
        <v>49.290066000000003</v>
      </c>
      <c r="V9">
        <v>49.974457000000001</v>
      </c>
      <c r="W9">
        <v>50.566367999999997</v>
      </c>
      <c r="X9">
        <v>51.117550000000001</v>
      </c>
      <c r="Y9">
        <v>51.666023000000003</v>
      </c>
      <c r="Z9">
        <v>52.372948000000001</v>
      </c>
      <c r="AA9">
        <v>52.807499</v>
      </c>
      <c r="AB9">
        <v>53.117049999999999</v>
      </c>
      <c r="AC9">
        <v>53.229816</v>
      </c>
      <c r="AD9">
        <v>53.342106000000001</v>
      </c>
      <c r="AE9" t="s">
        <v>1439</v>
      </c>
    </row>
    <row r="10" spans="1:31" x14ac:dyDescent="0.25">
      <c r="A10" t="s">
        <v>590</v>
      </c>
      <c r="B10" t="s">
        <v>1440</v>
      </c>
      <c r="C10" t="s">
        <v>1441</v>
      </c>
      <c r="D10" t="s">
        <v>583</v>
      </c>
      <c r="E10">
        <v>10.763646</v>
      </c>
      <c r="F10">
        <v>10.497858000000001</v>
      </c>
      <c r="G10">
        <v>10.141273</v>
      </c>
      <c r="H10">
        <v>9.5224829999999994</v>
      </c>
      <c r="I10">
        <v>9.2944239999999994</v>
      </c>
      <c r="J10">
        <v>9.3962699999999995</v>
      </c>
      <c r="K10">
        <v>8.459009</v>
      </c>
      <c r="L10">
        <v>8.2324610000000007</v>
      </c>
      <c r="M10">
        <v>8.0936369999999993</v>
      </c>
      <c r="N10">
        <v>7.8228400000000002</v>
      </c>
      <c r="O10">
        <v>7.8052409999999997</v>
      </c>
      <c r="P10">
        <v>7.6673910000000003</v>
      </c>
      <c r="Q10">
        <v>7.6439769999999996</v>
      </c>
      <c r="R10">
        <v>7.6521780000000001</v>
      </c>
      <c r="S10">
        <v>7.5884470000000004</v>
      </c>
      <c r="T10">
        <v>7.4383920000000003</v>
      </c>
      <c r="U10">
        <v>7.2742709999999997</v>
      </c>
      <c r="V10">
        <v>7.1509819999999999</v>
      </c>
      <c r="W10">
        <v>7.0768399999999998</v>
      </c>
      <c r="X10">
        <v>7.0096749999999997</v>
      </c>
      <c r="Y10">
        <v>6.9308670000000001</v>
      </c>
      <c r="Z10">
        <v>6.8666320000000001</v>
      </c>
      <c r="AA10">
        <v>6.8795169999999999</v>
      </c>
      <c r="AB10">
        <v>6.8542230000000002</v>
      </c>
      <c r="AC10">
        <v>6.7568630000000001</v>
      </c>
      <c r="AD10">
        <v>6.4970049999999997</v>
      </c>
      <c r="AE10" t="s">
        <v>1442</v>
      </c>
    </row>
    <row r="11" spans="1:31" x14ac:dyDescent="0.25">
      <c r="A11" t="s">
        <v>593</v>
      </c>
      <c r="B11" t="s">
        <v>1443</v>
      </c>
      <c r="C11" t="s">
        <v>1444</v>
      </c>
      <c r="D11" t="s">
        <v>583</v>
      </c>
      <c r="E11">
        <v>8.1876510000000007</v>
      </c>
      <c r="F11">
        <v>8.372738</v>
      </c>
      <c r="G11">
        <v>8.3214430000000004</v>
      </c>
      <c r="H11">
        <v>8.3573319999999995</v>
      </c>
      <c r="I11">
        <v>8.3666149999999995</v>
      </c>
      <c r="J11">
        <v>8.3737069999999996</v>
      </c>
      <c r="K11">
        <v>8.3738580000000002</v>
      </c>
      <c r="L11">
        <v>8.3738650000000003</v>
      </c>
      <c r="M11">
        <v>8.373583</v>
      </c>
      <c r="N11">
        <v>8.373583</v>
      </c>
      <c r="O11">
        <v>8.3735769999999992</v>
      </c>
      <c r="P11">
        <v>8.3735780000000002</v>
      </c>
      <c r="Q11">
        <v>8.3709880000000005</v>
      </c>
      <c r="R11">
        <v>8.3668150000000008</v>
      </c>
      <c r="S11">
        <v>8.3689250000000008</v>
      </c>
      <c r="T11">
        <v>8.3634599999999999</v>
      </c>
      <c r="U11">
        <v>8.3577130000000004</v>
      </c>
      <c r="V11">
        <v>8.3714560000000002</v>
      </c>
      <c r="W11">
        <v>8.3654580000000003</v>
      </c>
      <c r="X11">
        <v>8.3735780000000002</v>
      </c>
      <c r="Y11">
        <v>8.3735780000000002</v>
      </c>
      <c r="Z11">
        <v>8.3735780000000002</v>
      </c>
      <c r="AA11">
        <v>8.3735789999999994</v>
      </c>
      <c r="AB11">
        <v>8.3735780000000002</v>
      </c>
      <c r="AC11">
        <v>8.3735780000000002</v>
      </c>
      <c r="AD11">
        <v>8.3732939999999996</v>
      </c>
      <c r="AE11" t="s">
        <v>1445</v>
      </c>
    </row>
    <row r="12" spans="1:31" x14ac:dyDescent="0.25">
      <c r="A12" t="s">
        <v>596</v>
      </c>
      <c r="B12" t="s">
        <v>1446</v>
      </c>
      <c r="C12" t="s">
        <v>1447</v>
      </c>
      <c r="D12" t="s">
        <v>583</v>
      </c>
      <c r="E12">
        <v>0.83338599999999996</v>
      </c>
      <c r="F12">
        <v>0.89370700000000003</v>
      </c>
      <c r="G12">
        <v>0.914331</v>
      </c>
      <c r="H12">
        <v>0.93328299999999997</v>
      </c>
      <c r="I12">
        <v>0.938944</v>
      </c>
      <c r="J12">
        <v>0.93991499999999994</v>
      </c>
      <c r="K12">
        <v>0.94094699999999998</v>
      </c>
      <c r="L12">
        <v>0.94073799999999996</v>
      </c>
      <c r="M12">
        <v>0.94101599999999996</v>
      </c>
      <c r="N12">
        <v>0.94160500000000003</v>
      </c>
      <c r="O12">
        <v>0.94186899999999996</v>
      </c>
      <c r="P12">
        <v>0.94176199999999999</v>
      </c>
      <c r="Q12">
        <v>0.943859</v>
      </c>
      <c r="R12">
        <v>0.94409200000000004</v>
      </c>
      <c r="S12">
        <v>0.94402900000000001</v>
      </c>
      <c r="T12">
        <v>0.94357800000000003</v>
      </c>
      <c r="U12">
        <v>0.94409900000000002</v>
      </c>
      <c r="V12">
        <v>0.944191</v>
      </c>
      <c r="W12">
        <v>0.94418199999999997</v>
      </c>
      <c r="X12">
        <v>0.94419600000000004</v>
      </c>
      <c r="Y12">
        <v>0.94408999999999998</v>
      </c>
      <c r="Z12">
        <v>0.94428500000000004</v>
      </c>
      <c r="AA12">
        <v>0.94435599999999997</v>
      </c>
      <c r="AB12">
        <v>0.94456499999999999</v>
      </c>
      <c r="AC12">
        <v>0.94456300000000004</v>
      </c>
      <c r="AD12">
        <v>0.94437400000000005</v>
      </c>
      <c r="AE12" t="s">
        <v>1448</v>
      </c>
    </row>
    <row r="13" spans="1:31" x14ac:dyDescent="0.25">
      <c r="A13" t="s">
        <v>599</v>
      </c>
      <c r="B13" t="s">
        <v>1449</v>
      </c>
      <c r="C13" t="s">
        <v>1450</v>
      </c>
      <c r="D13" t="s">
        <v>583</v>
      </c>
      <c r="E13">
        <v>4.7536129999999996</v>
      </c>
      <c r="F13">
        <v>4.8761659999999996</v>
      </c>
      <c r="G13">
        <v>4.8353219999999997</v>
      </c>
      <c r="H13">
        <v>4.8395409999999996</v>
      </c>
      <c r="I13">
        <v>4.821688</v>
      </c>
      <c r="J13">
        <v>4.7519030000000004</v>
      </c>
      <c r="K13">
        <v>4.7137659999999997</v>
      </c>
      <c r="L13">
        <v>4.6898160000000004</v>
      </c>
      <c r="M13">
        <v>4.6800379999999997</v>
      </c>
      <c r="N13">
        <v>4.6839240000000002</v>
      </c>
      <c r="O13">
        <v>4.6901349999999997</v>
      </c>
      <c r="P13">
        <v>4.7162030000000001</v>
      </c>
      <c r="Q13">
        <v>4.7265790000000001</v>
      </c>
      <c r="R13">
        <v>4.7447819999999998</v>
      </c>
      <c r="S13">
        <v>4.7711040000000002</v>
      </c>
      <c r="T13">
        <v>4.7995489999999998</v>
      </c>
      <c r="U13">
        <v>4.8042870000000004</v>
      </c>
      <c r="V13">
        <v>4.8398659999999998</v>
      </c>
      <c r="W13">
        <v>4.852074</v>
      </c>
      <c r="X13">
        <v>4.8684229999999999</v>
      </c>
      <c r="Y13">
        <v>4.8910010000000002</v>
      </c>
      <c r="Z13">
        <v>4.9108169999999998</v>
      </c>
      <c r="AA13">
        <v>4.9486949999999998</v>
      </c>
      <c r="AB13">
        <v>4.9971420000000002</v>
      </c>
      <c r="AC13">
        <v>5.0549400000000002</v>
      </c>
      <c r="AD13">
        <v>5.2733739999999996</v>
      </c>
      <c r="AE13" t="s">
        <v>1451</v>
      </c>
    </row>
    <row r="14" spans="1:31" x14ac:dyDescent="0.25">
      <c r="A14" t="s">
        <v>602</v>
      </c>
      <c r="B14" t="s">
        <v>1452</v>
      </c>
      <c r="C14" t="s">
        <v>1453</v>
      </c>
      <c r="D14" t="s">
        <v>583</v>
      </c>
      <c r="E14">
        <v>2.8807119999999999</v>
      </c>
      <c r="F14">
        <v>3.1662330000000001</v>
      </c>
      <c r="G14">
        <v>3.7476440000000002</v>
      </c>
      <c r="H14">
        <v>4.1263719999999999</v>
      </c>
      <c r="I14">
        <v>4.3421620000000001</v>
      </c>
      <c r="J14">
        <v>4.504683</v>
      </c>
      <c r="K14">
        <v>4.661613</v>
      </c>
      <c r="L14">
        <v>4.7615040000000004</v>
      </c>
      <c r="M14">
        <v>4.8862379999999996</v>
      </c>
      <c r="N14">
        <v>5.0637660000000002</v>
      </c>
      <c r="O14">
        <v>5.2643890000000004</v>
      </c>
      <c r="P14">
        <v>5.4708209999999999</v>
      </c>
      <c r="Q14">
        <v>5.6158720000000004</v>
      </c>
      <c r="R14">
        <v>5.739579</v>
      </c>
      <c r="S14">
        <v>5.8666650000000002</v>
      </c>
      <c r="T14">
        <v>5.986307</v>
      </c>
      <c r="U14">
        <v>6.0917630000000003</v>
      </c>
      <c r="V14">
        <v>6.1381319999999997</v>
      </c>
      <c r="W14">
        <v>6.1587610000000002</v>
      </c>
      <c r="X14">
        <v>6.1755849999999999</v>
      </c>
      <c r="Y14">
        <v>6.1902520000000001</v>
      </c>
      <c r="Z14">
        <v>6.2093109999999996</v>
      </c>
      <c r="AA14">
        <v>6.2336340000000003</v>
      </c>
      <c r="AB14">
        <v>6.2474829999999999</v>
      </c>
      <c r="AC14">
        <v>6.276224</v>
      </c>
      <c r="AD14">
        <v>6.308211</v>
      </c>
      <c r="AE14" t="s">
        <v>1454</v>
      </c>
    </row>
    <row r="15" spans="1:31" x14ac:dyDescent="0.25">
      <c r="A15" t="s">
        <v>605</v>
      </c>
      <c r="B15" t="s">
        <v>1455</v>
      </c>
      <c r="C15" t="s">
        <v>1456</v>
      </c>
      <c r="D15" t="s">
        <v>583</v>
      </c>
      <c r="E15">
        <v>1.5976060000000001</v>
      </c>
      <c r="F15">
        <v>1.5390079999999999</v>
      </c>
      <c r="G15">
        <v>0.73208600000000001</v>
      </c>
      <c r="H15">
        <v>0.66405400000000003</v>
      </c>
      <c r="I15">
        <v>0.65621099999999999</v>
      </c>
      <c r="J15">
        <v>0.65082200000000001</v>
      </c>
      <c r="K15">
        <v>0.63445200000000002</v>
      </c>
      <c r="L15">
        <v>0.50650899999999999</v>
      </c>
      <c r="M15">
        <v>0.50855300000000003</v>
      </c>
      <c r="N15">
        <v>0.52654400000000001</v>
      </c>
      <c r="O15">
        <v>0.53212300000000001</v>
      </c>
      <c r="P15">
        <v>0.52919300000000002</v>
      </c>
      <c r="Q15">
        <v>0.54232800000000003</v>
      </c>
      <c r="R15">
        <v>0.54655500000000001</v>
      </c>
      <c r="S15">
        <v>0.54844599999999999</v>
      </c>
      <c r="T15">
        <v>0.543072</v>
      </c>
      <c r="U15">
        <v>0.54241099999999998</v>
      </c>
      <c r="V15">
        <v>0.53922899999999996</v>
      </c>
      <c r="W15">
        <v>0.54231300000000005</v>
      </c>
      <c r="X15">
        <v>0.55811699999999997</v>
      </c>
      <c r="Y15">
        <v>0.56413100000000005</v>
      </c>
      <c r="Z15">
        <v>0.56334899999999999</v>
      </c>
      <c r="AA15">
        <v>0.56512499999999999</v>
      </c>
      <c r="AB15">
        <v>0.56416999999999995</v>
      </c>
      <c r="AC15">
        <v>0.56378899999999998</v>
      </c>
      <c r="AD15">
        <v>0.56249000000000005</v>
      </c>
      <c r="AE15" t="s">
        <v>1457</v>
      </c>
    </row>
    <row r="16" spans="1:31" x14ac:dyDescent="0.25">
      <c r="A16" t="s">
        <v>608</v>
      </c>
      <c r="B16" t="s">
        <v>1458</v>
      </c>
      <c r="C16" t="s">
        <v>1459</v>
      </c>
      <c r="D16" t="s">
        <v>583</v>
      </c>
      <c r="E16">
        <v>107.302277</v>
      </c>
      <c r="F16">
        <v>107.276443</v>
      </c>
      <c r="G16">
        <v>106.865891</v>
      </c>
      <c r="H16">
        <v>107.338615</v>
      </c>
      <c r="I16">
        <v>107.57112100000001</v>
      </c>
      <c r="J16">
        <v>109.17285200000001</v>
      </c>
      <c r="K16">
        <v>109.983704</v>
      </c>
      <c r="L16">
        <v>111.11319</v>
      </c>
      <c r="M16">
        <v>111.929733</v>
      </c>
      <c r="N16">
        <v>113.008842</v>
      </c>
      <c r="O16">
        <v>113.639954</v>
      </c>
      <c r="P16">
        <v>114.09538999999999</v>
      </c>
      <c r="Q16">
        <v>114.72023799999999</v>
      </c>
      <c r="R16">
        <v>115.256035</v>
      </c>
      <c r="S16">
        <v>115.844711</v>
      </c>
      <c r="T16">
        <v>117.033424</v>
      </c>
      <c r="U16">
        <v>118.232597</v>
      </c>
      <c r="V16">
        <v>119.13027200000001</v>
      </c>
      <c r="W16">
        <v>119.907303</v>
      </c>
      <c r="X16">
        <v>120.451645</v>
      </c>
      <c r="Y16">
        <v>120.75630200000001</v>
      </c>
      <c r="Z16">
        <v>121.15788999999999</v>
      </c>
      <c r="AA16">
        <v>121.54624200000001</v>
      </c>
      <c r="AB16">
        <v>121.783913</v>
      </c>
      <c r="AC16">
        <v>121.652794</v>
      </c>
      <c r="AD16">
        <v>121.32532500000001</v>
      </c>
      <c r="AE16" t="s">
        <v>1448</v>
      </c>
    </row>
    <row r="17" spans="1:31" x14ac:dyDescent="0.25">
      <c r="A17" t="s">
        <v>469</v>
      </c>
    </row>
    <row r="18" spans="1:31" x14ac:dyDescent="0.25">
      <c r="A18" t="s">
        <v>611</v>
      </c>
      <c r="B18" t="s">
        <v>1460</v>
      </c>
      <c r="C18" t="s">
        <v>1461</v>
      </c>
      <c r="D18" t="s">
        <v>583</v>
      </c>
      <c r="E18">
        <v>13.254901</v>
      </c>
      <c r="F18">
        <v>12.624510000000001</v>
      </c>
      <c r="G18">
        <v>13.906896</v>
      </c>
      <c r="H18">
        <v>14.053762000000001</v>
      </c>
      <c r="I18">
        <v>14.525437</v>
      </c>
      <c r="J18">
        <v>14.625463999999999</v>
      </c>
      <c r="K18">
        <v>14.482899</v>
      </c>
      <c r="L18">
        <v>14.885132</v>
      </c>
      <c r="M18">
        <v>15.092349</v>
      </c>
      <c r="N18">
        <v>15.432104000000001</v>
      </c>
      <c r="O18">
        <v>15.633177</v>
      </c>
      <c r="P18">
        <v>15.400255</v>
      </c>
      <c r="Q18">
        <v>15.428649999999999</v>
      </c>
      <c r="R18">
        <v>15.850073999999999</v>
      </c>
      <c r="S18">
        <v>15.792415</v>
      </c>
      <c r="T18">
        <v>15.533682000000001</v>
      </c>
      <c r="U18">
        <v>15.173124</v>
      </c>
      <c r="V18">
        <v>14.999949000000001</v>
      </c>
      <c r="W18">
        <v>14.883172999999999</v>
      </c>
      <c r="X18">
        <v>14.798785000000001</v>
      </c>
      <c r="Y18">
        <v>15.292476000000001</v>
      </c>
      <c r="Z18">
        <v>15.863901</v>
      </c>
      <c r="AA18">
        <v>16.235161000000002</v>
      </c>
      <c r="AB18">
        <v>16.110662000000001</v>
      </c>
      <c r="AC18">
        <v>16.079632</v>
      </c>
      <c r="AD18">
        <v>16.61627</v>
      </c>
      <c r="AE18" t="s">
        <v>1462</v>
      </c>
    </row>
    <row r="19" spans="1:31" x14ac:dyDescent="0.25">
      <c r="A19" t="s">
        <v>614</v>
      </c>
      <c r="B19" t="s">
        <v>1463</v>
      </c>
      <c r="C19" t="s">
        <v>1464</v>
      </c>
      <c r="D19" t="s">
        <v>583</v>
      </c>
      <c r="E19">
        <v>3.5063770000000001</v>
      </c>
      <c r="F19">
        <v>3.4195350000000002</v>
      </c>
      <c r="G19">
        <v>3.5740620000000001</v>
      </c>
      <c r="H19">
        <v>3.492604</v>
      </c>
      <c r="I19">
        <v>3.4092760000000002</v>
      </c>
      <c r="J19">
        <v>3.3867690000000001</v>
      </c>
      <c r="K19">
        <v>3.3401139999999998</v>
      </c>
      <c r="L19">
        <v>3.2886639999999998</v>
      </c>
      <c r="M19">
        <v>3.248637</v>
      </c>
      <c r="N19">
        <v>3.1996380000000002</v>
      </c>
      <c r="O19">
        <v>3.165486</v>
      </c>
      <c r="P19">
        <v>3.146207</v>
      </c>
      <c r="Q19">
        <v>3.146906</v>
      </c>
      <c r="R19">
        <v>3.138245</v>
      </c>
      <c r="S19">
        <v>3.1320510000000001</v>
      </c>
      <c r="T19">
        <v>3.1340729999999999</v>
      </c>
      <c r="U19">
        <v>3.1239249999999998</v>
      </c>
      <c r="V19">
        <v>3.1228120000000001</v>
      </c>
      <c r="W19">
        <v>3.1241129999999999</v>
      </c>
      <c r="X19">
        <v>3.1166130000000001</v>
      </c>
      <c r="Y19">
        <v>3.1429149999999999</v>
      </c>
      <c r="Z19">
        <v>3.1086719999999999</v>
      </c>
      <c r="AA19">
        <v>3.0985010000000002</v>
      </c>
      <c r="AB19">
        <v>3.1718540000000002</v>
      </c>
      <c r="AC19">
        <v>3.1704270000000001</v>
      </c>
      <c r="AD19">
        <v>3.1257920000000001</v>
      </c>
      <c r="AE19" t="s">
        <v>1465</v>
      </c>
    </row>
    <row r="20" spans="1:31" x14ac:dyDescent="0.25">
      <c r="A20" t="s">
        <v>617</v>
      </c>
      <c r="B20" t="s">
        <v>1466</v>
      </c>
      <c r="C20" t="s">
        <v>1467</v>
      </c>
      <c r="D20" t="s">
        <v>583</v>
      </c>
      <c r="E20">
        <v>3.2568959999999998</v>
      </c>
      <c r="F20">
        <v>3.3916620000000002</v>
      </c>
      <c r="G20">
        <v>3.244866</v>
      </c>
      <c r="H20">
        <v>2.9535830000000001</v>
      </c>
      <c r="I20">
        <v>2.8324579999999999</v>
      </c>
      <c r="J20">
        <v>2.9758900000000001</v>
      </c>
      <c r="K20">
        <v>2.9594079999999998</v>
      </c>
      <c r="L20">
        <v>2.754073</v>
      </c>
      <c r="M20">
        <v>2.5166750000000002</v>
      </c>
      <c r="N20">
        <v>2.3609819999999999</v>
      </c>
      <c r="O20">
        <v>2.385319</v>
      </c>
      <c r="P20">
        <v>2.451794</v>
      </c>
      <c r="Q20">
        <v>2.5223719999999998</v>
      </c>
      <c r="R20">
        <v>2.578678</v>
      </c>
      <c r="S20">
        <v>2.6520190000000001</v>
      </c>
      <c r="T20">
        <v>2.5527709999999999</v>
      </c>
      <c r="U20">
        <v>2.3065020000000001</v>
      </c>
      <c r="V20">
        <v>2.2827999999999999</v>
      </c>
      <c r="W20">
        <v>2.3454920000000001</v>
      </c>
      <c r="X20">
        <v>2.4572370000000001</v>
      </c>
      <c r="Y20">
        <v>2.509919</v>
      </c>
      <c r="Z20">
        <v>2.4422090000000001</v>
      </c>
      <c r="AA20">
        <v>2.5376259999999999</v>
      </c>
      <c r="AB20">
        <v>2.6705580000000002</v>
      </c>
      <c r="AC20">
        <v>2.8109320000000002</v>
      </c>
      <c r="AD20">
        <v>2.948299</v>
      </c>
      <c r="AE20" t="s">
        <v>1468</v>
      </c>
    </row>
    <row r="21" spans="1:31" x14ac:dyDescent="0.25">
      <c r="A21" t="s">
        <v>605</v>
      </c>
      <c r="B21" t="s">
        <v>1469</v>
      </c>
      <c r="C21" t="s">
        <v>1470</v>
      </c>
      <c r="D21" t="s">
        <v>583</v>
      </c>
      <c r="E21">
        <v>9.4425999999999996E-2</v>
      </c>
      <c r="F21">
        <v>0.14599699999999999</v>
      </c>
      <c r="G21">
        <v>0.205067</v>
      </c>
      <c r="H21">
        <v>0.244731</v>
      </c>
      <c r="I21">
        <v>0.26544200000000001</v>
      </c>
      <c r="J21">
        <v>0.29066999999999998</v>
      </c>
      <c r="K21">
        <v>0.28867300000000001</v>
      </c>
      <c r="L21">
        <v>0.29434100000000002</v>
      </c>
      <c r="M21">
        <v>0.304539</v>
      </c>
      <c r="N21">
        <v>0.30891200000000002</v>
      </c>
      <c r="O21">
        <v>0.31407800000000002</v>
      </c>
      <c r="P21">
        <v>0.30591000000000002</v>
      </c>
      <c r="Q21">
        <v>0.30451499999999998</v>
      </c>
      <c r="R21">
        <v>0.30338399999999999</v>
      </c>
      <c r="S21">
        <v>0.30776999999999999</v>
      </c>
      <c r="T21">
        <v>0.30343399999999998</v>
      </c>
      <c r="U21">
        <v>0.30321700000000001</v>
      </c>
      <c r="V21">
        <v>0.290294</v>
      </c>
      <c r="W21">
        <v>0.27921299999999999</v>
      </c>
      <c r="X21">
        <v>0.274696</v>
      </c>
      <c r="Y21">
        <v>0.27356799999999998</v>
      </c>
      <c r="Z21">
        <v>0.26470900000000003</v>
      </c>
      <c r="AA21">
        <v>0.25519399999999998</v>
      </c>
      <c r="AB21">
        <v>0.24510999999999999</v>
      </c>
      <c r="AC21">
        <v>0.22992000000000001</v>
      </c>
      <c r="AD21">
        <v>0.22057599999999999</v>
      </c>
      <c r="AE21" t="s">
        <v>1471</v>
      </c>
    </row>
    <row r="22" spans="1:31" x14ac:dyDescent="0.25">
      <c r="A22" t="s">
        <v>608</v>
      </c>
      <c r="B22" t="s">
        <v>1472</v>
      </c>
      <c r="C22" t="s">
        <v>1473</v>
      </c>
      <c r="D22" t="s">
        <v>583</v>
      </c>
      <c r="E22">
        <v>20.112601999999999</v>
      </c>
      <c r="F22">
        <v>19.581704999999999</v>
      </c>
      <c r="G22">
        <v>20.930889000000001</v>
      </c>
      <c r="H22">
        <v>20.744679999999999</v>
      </c>
      <c r="I22">
        <v>21.032613999999999</v>
      </c>
      <c r="J22">
        <v>21.278793</v>
      </c>
      <c r="K22">
        <v>21.071095</v>
      </c>
      <c r="L22">
        <v>21.22221</v>
      </c>
      <c r="M22">
        <v>21.162201</v>
      </c>
      <c r="N22">
        <v>21.301638000000001</v>
      </c>
      <c r="O22">
        <v>21.498059999999999</v>
      </c>
      <c r="P22">
        <v>21.304167</v>
      </c>
      <c r="Q22">
        <v>21.402443000000002</v>
      </c>
      <c r="R22">
        <v>21.870381999999999</v>
      </c>
      <c r="S22">
        <v>21.884253999999999</v>
      </c>
      <c r="T22">
        <v>21.523959999999999</v>
      </c>
      <c r="U22">
        <v>20.906769000000001</v>
      </c>
      <c r="V22">
        <v>20.695855999999999</v>
      </c>
      <c r="W22">
        <v>20.631989999999998</v>
      </c>
      <c r="X22">
        <v>20.647331000000001</v>
      </c>
      <c r="Y22">
        <v>21.218876000000002</v>
      </c>
      <c r="Z22">
        <v>21.679490999999999</v>
      </c>
      <c r="AA22">
        <v>22.126481999999999</v>
      </c>
      <c r="AB22">
        <v>22.198184999999999</v>
      </c>
      <c r="AC22">
        <v>22.290911000000001</v>
      </c>
      <c r="AD22">
        <v>22.910936</v>
      </c>
      <c r="AE22" t="s">
        <v>1448</v>
      </c>
    </row>
    <row r="23" spans="1:31" x14ac:dyDescent="0.25">
      <c r="A23" t="s">
        <v>479</v>
      </c>
    </row>
    <row r="24" spans="1:31" x14ac:dyDescent="0.25">
      <c r="A24" t="s">
        <v>614</v>
      </c>
      <c r="B24" t="s">
        <v>1474</v>
      </c>
      <c r="C24" t="s">
        <v>1475</v>
      </c>
      <c r="D24" t="s">
        <v>583</v>
      </c>
      <c r="E24">
        <v>20.076674000000001</v>
      </c>
      <c r="F24">
        <v>19.914588999999999</v>
      </c>
      <c r="G24">
        <v>21.616185999999999</v>
      </c>
      <c r="H24">
        <v>21.639195999999998</v>
      </c>
      <c r="I24">
        <v>22.136237999999999</v>
      </c>
      <c r="J24">
        <v>22.429478</v>
      </c>
      <c r="K24">
        <v>23.032070000000001</v>
      </c>
      <c r="L24">
        <v>23.705414000000001</v>
      </c>
      <c r="M24">
        <v>24.135605000000002</v>
      </c>
      <c r="N24">
        <v>24.560023999999999</v>
      </c>
      <c r="O24">
        <v>24.835128999999998</v>
      </c>
      <c r="P24">
        <v>24.702003000000001</v>
      </c>
      <c r="Q24">
        <v>24.975131999999999</v>
      </c>
      <c r="R24">
        <v>25.413768999999998</v>
      </c>
      <c r="S24">
        <v>25.593112999999999</v>
      </c>
      <c r="T24">
        <v>25.894386000000001</v>
      </c>
      <c r="U24">
        <v>26.133900000000001</v>
      </c>
      <c r="V24">
        <v>26.221857</v>
      </c>
      <c r="W24">
        <v>26.39142</v>
      </c>
      <c r="X24">
        <v>26.317416999999999</v>
      </c>
      <c r="Y24">
        <v>26.584334999999999</v>
      </c>
      <c r="Z24">
        <v>26.764486000000002</v>
      </c>
      <c r="AA24">
        <v>26.981876</v>
      </c>
      <c r="AB24">
        <v>26.844584000000001</v>
      </c>
      <c r="AC24">
        <v>26.653359999999999</v>
      </c>
      <c r="AD24">
        <v>26.702797</v>
      </c>
      <c r="AE24" t="s">
        <v>1439</v>
      </c>
    </row>
    <row r="25" spans="1:31" x14ac:dyDescent="0.25">
      <c r="A25" t="s">
        <v>617</v>
      </c>
      <c r="B25" t="s">
        <v>1476</v>
      </c>
      <c r="C25" t="s">
        <v>1477</v>
      </c>
      <c r="D25" t="s">
        <v>583</v>
      </c>
      <c r="E25">
        <v>8.9756579999999992</v>
      </c>
      <c r="F25">
        <v>9.0884409999999995</v>
      </c>
      <c r="G25">
        <v>9.8221190000000007</v>
      </c>
      <c r="H25">
        <v>10.434996999999999</v>
      </c>
      <c r="I25">
        <v>10.937449000000001</v>
      </c>
      <c r="J25">
        <v>12.260552000000001</v>
      </c>
      <c r="K25">
        <v>12.868596999999999</v>
      </c>
      <c r="L25">
        <v>13.509771000000001</v>
      </c>
      <c r="M25">
        <v>13.987963000000001</v>
      </c>
      <c r="N25">
        <v>14.747662999999999</v>
      </c>
      <c r="O25">
        <v>15.282458</v>
      </c>
      <c r="P25">
        <v>15.722227</v>
      </c>
      <c r="Q25">
        <v>15.969493999999999</v>
      </c>
      <c r="R25">
        <v>16.216170999999999</v>
      </c>
      <c r="S25">
        <v>16.470880999999999</v>
      </c>
      <c r="T25">
        <v>16.730671000000001</v>
      </c>
      <c r="U25">
        <v>16.97636</v>
      </c>
      <c r="V25">
        <v>17.203733</v>
      </c>
      <c r="W25">
        <v>17.429587999999999</v>
      </c>
      <c r="X25">
        <v>17.687985999999999</v>
      </c>
      <c r="Y25">
        <v>17.891010000000001</v>
      </c>
      <c r="Z25">
        <v>18.132946</v>
      </c>
      <c r="AA25">
        <v>18.363717999999999</v>
      </c>
      <c r="AB25">
        <v>18.520009999999999</v>
      </c>
      <c r="AC25">
        <v>18.519235999999999</v>
      </c>
      <c r="AD25">
        <v>18.544718</v>
      </c>
      <c r="AE25" t="s">
        <v>1478</v>
      </c>
    </row>
    <row r="26" spans="1:31" x14ac:dyDescent="0.25">
      <c r="A26" t="s">
        <v>590</v>
      </c>
      <c r="B26" t="s">
        <v>1479</v>
      </c>
      <c r="C26" t="s">
        <v>1480</v>
      </c>
      <c r="D26" t="s">
        <v>583</v>
      </c>
      <c r="E26">
        <v>2.463368</v>
      </c>
      <c r="F26">
        <v>2.559237</v>
      </c>
      <c r="G26">
        <v>2.7359559999999998</v>
      </c>
      <c r="H26">
        <v>2.8496380000000001</v>
      </c>
      <c r="I26">
        <v>2.7515420000000002</v>
      </c>
      <c r="J26">
        <v>2.8862930000000002</v>
      </c>
      <c r="K26">
        <v>2.9079769999999998</v>
      </c>
      <c r="L26">
        <v>3.081553</v>
      </c>
      <c r="M26">
        <v>3.1110709999999999</v>
      </c>
      <c r="N26">
        <v>3.1031390000000001</v>
      </c>
      <c r="O26">
        <v>3.1274000000000002</v>
      </c>
      <c r="P26">
        <v>3.0674800000000002</v>
      </c>
      <c r="Q26">
        <v>3.1238049999999999</v>
      </c>
      <c r="R26">
        <v>3.1466780000000001</v>
      </c>
      <c r="S26">
        <v>3.1301779999999999</v>
      </c>
      <c r="T26">
        <v>3.1494330000000001</v>
      </c>
      <c r="U26">
        <v>3.0855959999999998</v>
      </c>
      <c r="V26">
        <v>3.0560489999999998</v>
      </c>
      <c r="W26">
        <v>3.095218</v>
      </c>
      <c r="X26">
        <v>3.1203240000000001</v>
      </c>
      <c r="Y26">
        <v>3.1084179999999999</v>
      </c>
      <c r="Z26">
        <v>3.122652</v>
      </c>
      <c r="AA26">
        <v>3.1185700000000001</v>
      </c>
      <c r="AB26">
        <v>3.1017739999999998</v>
      </c>
      <c r="AC26">
        <v>3.112857</v>
      </c>
      <c r="AD26">
        <v>3.0342030000000002</v>
      </c>
      <c r="AE26" t="s">
        <v>1481</v>
      </c>
    </row>
    <row r="27" spans="1:31" x14ac:dyDescent="0.25">
      <c r="A27" t="s">
        <v>608</v>
      </c>
      <c r="B27" t="s">
        <v>1482</v>
      </c>
      <c r="C27" t="s">
        <v>1483</v>
      </c>
      <c r="D27" t="s">
        <v>583</v>
      </c>
      <c r="E27">
        <v>31.515699000000001</v>
      </c>
      <c r="F27">
        <v>31.562266999999999</v>
      </c>
      <c r="G27">
        <v>34.174258999999999</v>
      </c>
      <c r="H27">
        <v>34.923828</v>
      </c>
      <c r="I27">
        <v>35.825226000000001</v>
      </c>
      <c r="J27">
        <v>37.576321</v>
      </c>
      <c r="K27">
        <v>38.808643000000004</v>
      </c>
      <c r="L27">
        <v>40.296737999999998</v>
      </c>
      <c r="M27">
        <v>41.234637999999997</v>
      </c>
      <c r="N27">
        <v>42.410823999999998</v>
      </c>
      <c r="O27">
        <v>43.244987000000002</v>
      </c>
      <c r="P27">
        <v>43.491711000000002</v>
      </c>
      <c r="Q27">
        <v>44.068432000000001</v>
      </c>
      <c r="R27">
        <v>44.776618999999997</v>
      </c>
      <c r="S27">
        <v>45.194175999999999</v>
      </c>
      <c r="T27">
        <v>45.77449</v>
      </c>
      <c r="U27">
        <v>46.195858000000001</v>
      </c>
      <c r="V27">
        <v>46.481639999999999</v>
      </c>
      <c r="W27">
        <v>46.916224999999997</v>
      </c>
      <c r="X27">
        <v>47.125725000000003</v>
      </c>
      <c r="Y27">
        <v>47.583762999999998</v>
      </c>
      <c r="Z27">
        <v>48.020080999999998</v>
      </c>
      <c r="AA27">
        <v>48.464165000000001</v>
      </c>
      <c r="AB27">
        <v>48.466366000000001</v>
      </c>
      <c r="AC27">
        <v>48.285454000000001</v>
      </c>
      <c r="AD27">
        <v>48.281714999999998</v>
      </c>
      <c r="AE27" t="s">
        <v>1484</v>
      </c>
    </row>
    <row r="28" spans="1:31" x14ac:dyDescent="0.25">
      <c r="A28" t="s">
        <v>632</v>
      </c>
      <c r="B28" t="s">
        <v>1485</v>
      </c>
      <c r="C28" t="s">
        <v>1486</v>
      </c>
      <c r="D28" t="s">
        <v>583</v>
      </c>
      <c r="E28">
        <v>0.609568</v>
      </c>
      <c r="F28">
        <v>-0.33013300000000001</v>
      </c>
      <c r="G28">
        <v>-0.56411</v>
      </c>
      <c r="H28">
        <v>-0.47351100000000002</v>
      </c>
      <c r="I28">
        <v>-0.33332099999999998</v>
      </c>
      <c r="J28">
        <v>2.8347000000000001E-2</v>
      </c>
      <c r="K28">
        <v>-1.4189999999999999E-3</v>
      </c>
      <c r="L28">
        <v>-2.0939999999999999E-3</v>
      </c>
      <c r="M28">
        <v>-8.3461999999999995E-2</v>
      </c>
      <c r="N28">
        <v>-4.7085000000000002E-2</v>
      </c>
      <c r="O28">
        <v>-0.115166</v>
      </c>
      <c r="P28">
        <v>-0.14168900000000001</v>
      </c>
      <c r="Q28">
        <v>-0.12896299999999999</v>
      </c>
      <c r="R28">
        <v>-4.2755000000000001E-2</v>
      </c>
      <c r="S28">
        <v>-7.8278E-2</v>
      </c>
      <c r="T28">
        <v>-5.3157999999999997E-2</v>
      </c>
      <c r="U28">
        <v>-9.9353999999999998E-2</v>
      </c>
      <c r="V28">
        <v>-1.2081E-2</v>
      </c>
      <c r="W28">
        <v>-8.1821000000000005E-2</v>
      </c>
      <c r="X28">
        <v>-7.2121000000000005E-2</v>
      </c>
      <c r="Y28">
        <v>-5.2273E-2</v>
      </c>
      <c r="Z28">
        <v>2.3467999999999999E-2</v>
      </c>
      <c r="AA28">
        <v>-2.6619E-2</v>
      </c>
      <c r="AB28">
        <v>-2.3872000000000001E-2</v>
      </c>
      <c r="AC28">
        <v>-5.1299999999999998E-2</v>
      </c>
      <c r="AD28">
        <v>-3.4362999999999998E-2</v>
      </c>
      <c r="AE28" t="s">
        <v>863</v>
      </c>
    </row>
    <row r="29" spans="1:31" x14ac:dyDescent="0.25">
      <c r="A29" t="s">
        <v>489</v>
      </c>
    </row>
    <row r="30" spans="1:31" x14ac:dyDescent="0.25">
      <c r="A30" t="s">
        <v>614</v>
      </c>
      <c r="B30" t="s">
        <v>1487</v>
      </c>
      <c r="C30" t="s">
        <v>1488</v>
      </c>
      <c r="D30" t="s">
        <v>583</v>
      </c>
      <c r="E30">
        <v>37.415314000000002</v>
      </c>
      <c r="F30">
        <v>37.397559999999999</v>
      </c>
      <c r="G30">
        <v>37.429805999999999</v>
      </c>
      <c r="H30">
        <v>37.393104999999998</v>
      </c>
      <c r="I30">
        <v>37.092776999999998</v>
      </c>
      <c r="J30">
        <v>36.903762999999998</v>
      </c>
      <c r="K30">
        <v>36.673175999999998</v>
      </c>
      <c r="L30">
        <v>36.545361</v>
      </c>
      <c r="M30">
        <v>36.386639000000002</v>
      </c>
      <c r="N30">
        <v>36.327778000000002</v>
      </c>
      <c r="O30">
        <v>36.269565999999998</v>
      </c>
      <c r="P30">
        <v>36.183342000000003</v>
      </c>
      <c r="Q30">
        <v>36.101165999999999</v>
      </c>
      <c r="R30">
        <v>36.030628</v>
      </c>
      <c r="S30">
        <v>35.997036000000001</v>
      </c>
      <c r="T30">
        <v>35.997504999999997</v>
      </c>
      <c r="U30">
        <v>35.993946000000001</v>
      </c>
      <c r="V30">
        <v>35.983074000000002</v>
      </c>
      <c r="W30">
        <v>36.004100999999999</v>
      </c>
      <c r="X30">
        <v>36.009082999999997</v>
      </c>
      <c r="Y30">
        <v>36.050690000000003</v>
      </c>
      <c r="Z30">
        <v>36.066440999999998</v>
      </c>
      <c r="AA30">
        <v>36.141716000000002</v>
      </c>
      <c r="AB30">
        <v>36.131622</v>
      </c>
      <c r="AC30">
        <v>36.106647000000002</v>
      </c>
      <c r="AD30">
        <v>36.114407</v>
      </c>
      <c r="AE30" t="s">
        <v>1489</v>
      </c>
    </row>
    <row r="31" spans="1:31" x14ac:dyDescent="0.25">
      <c r="A31" t="s">
        <v>617</v>
      </c>
      <c r="B31" t="s">
        <v>1490</v>
      </c>
      <c r="C31" t="s">
        <v>1491</v>
      </c>
      <c r="D31" t="s">
        <v>583</v>
      </c>
      <c r="E31">
        <v>34.309905999999998</v>
      </c>
      <c r="F31">
        <v>34.343494</v>
      </c>
      <c r="G31">
        <v>32.823554999999999</v>
      </c>
      <c r="H31">
        <v>32.586039999999997</v>
      </c>
      <c r="I31">
        <v>32.265926</v>
      </c>
      <c r="J31">
        <v>32.059547000000002</v>
      </c>
      <c r="K31">
        <v>32.53434</v>
      </c>
      <c r="L31">
        <v>32.775008999999997</v>
      </c>
      <c r="M31">
        <v>32.883018</v>
      </c>
      <c r="N31">
        <v>33.030529000000001</v>
      </c>
      <c r="O31">
        <v>32.972298000000002</v>
      </c>
      <c r="P31">
        <v>32.965488000000001</v>
      </c>
      <c r="Q31">
        <v>33.113276999999997</v>
      </c>
      <c r="R31">
        <v>33.272559999999999</v>
      </c>
      <c r="S31">
        <v>33.420219000000003</v>
      </c>
      <c r="T31">
        <v>33.683891000000003</v>
      </c>
      <c r="U31">
        <v>33.893101000000001</v>
      </c>
      <c r="V31">
        <v>34.241695</v>
      </c>
      <c r="W31">
        <v>34.675434000000003</v>
      </c>
      <c r="X31">
        <v>35.069262999999999</v>
      </c>
      <c r="Y31">
        <v>35.454762000000002</v>
      </c>
      <c r="Z31">
        <v>35.832901</v>
      </c>
      <c r="AA31">
        <v>36.141128999999999</v>
      </c>
      <c r="AB31">
        <v>36.424365999999999</v>
      </c>
      <c r="AC31">
        <v>36.691482999999998</v>
      </c>
      <c r="AD31">
        <v>36.904549000000003</v>
      </c>
      <c r="AE31" t="s">
        <v>1492</v>
      </c>
    </row>
    <row r="32" spans="1:31" x14ac:dyDescent="0.25">
      <c r="A32" t="s">
        <v>590</v>
      </c>
      <c r="B32" t="s">
        <v>1493</v>
      </c>
      <c r="C32" t="s">
        <v>1494</v>
      </c>
      <c r="D32" t="s">
        <v>583</v>
      </c>
      <c r="E32">
        <v>8.3123249999999995</v>
      </c>
      <c r="F32">
        <v>7.9784540000000002</v>
      </c>
      <c r="G32">
        <v>7.4120499999999998</v>
      </c>
      <c r="H32">
        <v>6.6806789999999996</v>
      </c>
      <c r="I32">
        <v>6.548737</v>
      </c>
      <c r="J32">
        <v>6.516286</v>
      </c>
      <c r="K32">
        <v>5.5498250000000002</v>
      </c>
      <c r="L32">
        <v>5.1524489999999998</v>
      </c>
      <c r="M32">
        <v>4.9806650000000001</v>
      </c>
      <c r="N32">
        <v>4.7157859999999996</v>
      </c>
      <c r="O32">
        <v>4.6825210000000004</v>
      </c>
      <c r="P32">
        <v>4.6039289999999999</v>
      </c>
      <c r="Q32">
        <v>4.5227279999999999</v>
      </c>
      <c r="R32">
        <v>4.5063050000000002</v>
      </c>
      <c r="S32">
        <v>4.4654530000000001</v>
      </c>
      <c r="T32">
        <v>4.2875920000000001</v>
      </c>
      <c r="U32">
        <v>4.18628</v>
      </c>
      <c r="V32">
        <v>4.0973439999999997</v>
      </c>
      <c r="W32">
        <v>3.978774</v>
      </c>
      <c r="X32">
        <v>3.8878910000000002</v>
      </c>
      <c r="Y32">
        <v>3.823375</v>
      </c>
      <c r="Z32">
        <v>3.7561420000000001</v>
      </c>
      <c r="AA32">
        <v>3.7697270000000001</v>
      </c>
      <c r="AB32">
        <v>3.763525</v>
      </c>
      <c r="AC32">
        <v>3.6447609999999999</v>
      </c>
      <c r="AD32">
        <v>3.4700350000000002</v>
      </c>
      <c r="AE32" t="s">
        <v>1495</v>
      </c>
    </row>
    <row r="33" spans="1:32" x14ac:dyDescent="0.25">
      <c r="A33" t="s">
        <v>593</v>
      </c>
      <c r="B33" t="s">
        <v>1496</v>
      </c>
      <c r="C33" t="s">
        <v>1497</v>
      </c>
      <c r="D33" t="s">
        <v>583</v>
      </c>
      <c r="E33">
        <v>8.1876510000000007</v>
      </c>
      <c r="F33">
        <v>8.372738</v>
      </c>
      <c r="G33">
        <v>8.3214430000000004</v>
      </c>
      <c r="H33">
        <v>8.3573319999999995</v>
      </c>
      <c r="I33">
        <v>8.3666149999999995</v>
      </c>
      <c r="J33">
        <v>8.3737069999999996</v>
      </c>
      <c r="K33">
        <v>8.3738580000000002</v>
      </c>
      <c r="L33">
        <v>8.3738650000000003</v>
      </c>
      <c r="M33">
        <v>8.373583</v>
      </c>
      <c r="N33">
        <v>8.373583</v>
      </c>
      <c r="O33">
        <v>8.3735769999999992</v>
      </c>
      <c r="P33">
        <v>8.3735780000000002</v>
      </c>
      <c r="Q33">
        <v>8.3709880000000005</v>
      </c>
      <c r="R33">
        <v>8.3668150000000008</v>
      </c>
      <c r="S33">
        <v>8.3689250000000008</v>
      </c>
      <c r="T33">
        <v>8.3634599999999999</v>
      </c>
      <c r="U33">
        <v>8.3577130000000004</v>
      </c>
      <c r="V33">
        <v>8.3714560000000002</v>
      </c>
      <c r="W33">
        <v>8.3654580000000003</v>
      </c>
      <c r="X33">
        <v>8.3735780000000002</v>
      </c>
      <c r="Y33">
        <v>8.3735780000000002</v>
      </c>
      <c r="Z33">
        <v>8.3735780000000002</v>
      </c>
      <c r="AA33">
        <v>8.3735789999999994</v>
      </c>
      <c r="AB33">
        <v>8.3735780000000002</v>
      </c>
      <c r="AC33">
        <v>8.3735780000000002</v>
      </c>
      <c r="AD33">
        <v>8.3732939999999996</v>
      </c>
      <c r="AE33" t="s">
        <v>1445</v>
      </c>
    </row>
    <row r="34" spans="1:32" x14ac:dyDescent="0.25">
      <c r="A34" t="s">
        <v>596</v>
      </c>
      <c r="B34" t="s">
        <v>1498</v>
      </c>
      <c r="C34" t="s">
        <v>1499</v>
      </c>
      <c r="D34" t="s">
        <v>583</v>
      </c>
      <c r="E34">
        <v>0.83338599999999996</v>
      </c>
      <c r="F34">
        <v>0.89370700000000003</v>
      </c>
      <c r="G34">
        <v>0.914331</v>
      </c>
      <c r="H34">
        <v>0.93328299999999997</v>
      </c>
      <c r="I34">
        <v>0.938944</v>
      </c>
      <c r="J34">
        <v>0.93991499999999994</v>
      </c>
      <c r="K34">
        <v>0.94094699999999998</v>
      </c>
      <c r="L34">
        <v>0.94073799999999996</v>
      </c>
      <c r="M34">
        <v>0.94101599999999996</v>
      </c>
      <c r="N34">
        <v>0.94160500000000003</v>
      </c>
      <c r="O34">
        <v>0.94186899999999996</v>
      </c>
      <c r="P34">
        <v>0.94176199999999999</v>
      </c>
      <c r="Q34">
        <v>0.943859</v>
      </c>
      <c r="R34">
        <v>0.94409200000000004</v>
      </c>
      <c r="S34">
        <v>0.94402900000000001</v>
      </c>
      <c r="T34">
        <v>0.94357800000000003</v>
      </c>
      <c r="U34">
        <v>0.94409900000000002</v>
      </c>
      <c r="V34">
        <v>0.944191</v>
      </c>
      <c r="W34">
        <v>0.94418199999999997</v>
      </c>
      <c r="X34">
        <v>0.94419600000000004</v>
      </c>
      <c r="Y34">
        <v>0.94408999999999998</v>
      </c>
      <c r="Z34">
        <v>0.94428500000000004</v>
      </c>
      <c r="AA34">
        <v>0.94435599999999997</v>
      </c>
      <c r="AB34">
        <v>0.94456499999999999</v>
      </c>
      <c r="AC34">
        <v>0.94456300000000004</v>
      </c>
      <c r="AD34">
        <v>0.94437400000000005</v>
      </c>
      <c r="AE34" t="s">
        <v>1448</v>
      </c>
    </row>
    <row r="35" spans="1:32" x14ac:dyDescent="0.25">
      <c r="A35" t="s">
        <v>599</v>
      </c>
      <c r="B35" t="s">
        <v>1500</v>
      </c>
      <c r="C35" t="s">
        <v>1501</v>
      </c>
      <c r="D35" t="s">
        <v>583</v>
      </c>
      <c r="E35">
        <v>2.9257460000000002</v>
      </c>
      <c r="F35">
        <v>3.020187</v>
      </c>
      <c r="G35">
        <v>2.9909859999999999</v>
      </c>
      <c r="H35">
        <v>2.9710730000000001</v>
      </c>
      <c r="I35">
        <v>2.9559299999999999</v>
      </c>
      <c r="J35">
        <v>2.9237359999999999</v>
      </c>
      <c r="K35">
        <v>2.881742</v>
      </c>
      <c r="L35">
        <v>2.8540990000000002</v>
      </c>
      <c r="M35">
        <v>2.8398089999999998</v>
      </c>
      <c r="N35">
        <v>2.8383159999999998</v>
      </c>
      <c r="O35">
        <v>2.8398479999999999</v>
      </c>
      <c r="P35">
        <v>2.852271</v>
      </c>
      <c r="Q35">
        <v>2.8577689999999998</v>
      </c>
      <c r="R35">
        <v>2.8731779999999998</v>
      </c>
      <c r="S35">
        <v>2.891686</v>
      </c>
      <c r="T35">
        <v>2.908722</v>
      </c>
      <c r="U35">
        <v>2.9070830000000001</v>
      </c>
      <c r="V35">
        <v>2.9208859999999999</v>
      </c>
      <c r="W35">
        <v>2.9256950000000002</v>
      </c>
      <c r="X35">
        <v>2.9349799999999999</v>
      </c>
      <c r="Y35">
        <v>2.9541759999999999</v>
      </c>
      <c r="Z35">
        <v>2.9698129999999998</v>
      </c>
      <c r="AA35">
        <v>2.9949020000000002</v>
      </c>
      <c r="AB35">
        <v>3.023774</v>
      </c>
      <c r="AC35">
        <v>3.0490629999999999</v>
      </c>
      <c r="AD35">
        <v>3.256605</v>
      </c>
      <c r="AE35" t="s">
        <v>1451</v>
      </c>
    </row>
    <row r="36" spans="1:32" x14ac:dyDescent="0.25">
      <c r="A36" t="s">
        <v>602</v>
      </c>
      <c r="B36" t="s">
        <v>1502</v>
      </c>
      <c r="C36" t="s">
        <v>1503</v>
      </c>
      <c r="D36" t="s">
        <v>583</v>
      </c>
      <c r="E36">
        <v>2.8807119999999999</v>
      </c>
      <c r="F36">
        <v>3.1662330000000001</v>
      </c>
      <c r="G36">
        <v>3.7476440000000002</v>
      </c>
      <c r="H36">
        <v>4.1263719999999999</v>
      </c>
      <c r="I36">
        <v>4.3421620000000001</v>
      </c>
      <c r="J36">
        <v>4.504683</v>
      </c>
      <c r="K36">
        <v>4.661613</v>
      </c>
      <c r="L36">
        <v>4.7615040000000004</v>
      </c>
      <c r="M36">
        <v>4.8862379999999996</v>
      </c>
      <c r="N36">
        <v>5.0637660000000002</v>
      </c>
      <c r="O36">
        <v>5.2643890000000004</v>
      </c>
      <c r="P36">
        <v>5.4708209999999999</v>
      </c>
      <c r="Q36">
        <v>5.6158720000000004</v>
      </c>
      <c r="R36">
        <v>5.739579</v>
      </c>
      <c r="S36">
        <v>5.8666650000000002</v>
      </c>
      <c r="T36">
        <v>5.986307</v>
      </c>
      <c r="U36">
        <v>6.0917630000000003</v>
      </c>
      <c r="V36">
        <v>6.1381319999999997</v>
      </c>
      <c r="W36">
        <v>6.1587610000000002</v>
      </c>
      <c r="X36">
        <v>6.1755849999999999</v>
      </c>
      <c r="Y36">
        <v>6.1902520000000001</v>
      </c>
      <c r="Z36">
        <v>6.2093109999999996</v>
      </c>
      <c r="AA36">
        <v>6.2336340000000003</v>
      </c>
      <c r="AB36">
        <v>6.2474829999999999</v>
      </c>
      <c r="AC36">
        <v>6.276224</v>
      </c>
      <c r="AD36">
        <v>6.308211</v>
      </c>
      <c r="AE36" t="s">
        <v>1454</v>
      </c>
    </row>
    <row r="37" spans="1:32" x14ac:dyDescent="0.25">
      <c r="A37" t="s">
        <v>605</v>
      </c>
      <c r="B37" t="s">
        <v>1504</v>
      </c>
      <c r="C37" t="s">
        <v>1505</v>
      </c>
      <c r="D37" t="s">
        <v>583</v>
      </c>
      <c r="E37">
        <v>0.42456899999999997</v>
      </c>
      <c r="F37">
        <v>0.45363599999999998</v>
      </c>
      <c r="G37">
        <v>0.54681900000000006</v>
      </c>
      <c r="H37">
        <v>0.58509599999999995</v>
      </c>
      <c r="I37">
        <v>0.60074000000000005</v>
      </c>
      <c r="J37">
        <v>0.62534100000000004</v>
      </c>
      <c r="K37">
        <v>0.63206300000000004</v>
      </c>
      <c r="L37">
        <v>0.63773299999999999</v>
      </c>
      <c r="M37">
        <v>0.64979900000000002</v>
      </c>
      <c r="N37">
        <v>0.65537000000000001</v>
      </c>
      <c r="O37">
        <v>0.66412400000000005</v>
      </c>
      <c r="P37">
        <v>0.65833600000000003</v>
      </c>
      <c r="Q37">
        <v>0.65754699999999999</v>
      </c>
      <c r="R37">
        <v>0.65940399999999999</v>
      </c>
      <c r="S37">
        <v>0.659049</v>
      </c>
      <c r="T37">
        <v>0.66499699999999995</v>
      </c>
      <c r="U37">
        <v>0.668879</v>
      </c>
      <c r="V37">
        <v>0.65978800000000004</v>
      </c>
      <c r="W37">
        <v>0.65248300000000004</v>
      </c>
      <c r="X37">
        <v>0.65079100000000001</v>
      </c>
      <c r="Y37">
        <v>0.65276000000000001</v>
      </c>
      <c r="Z37">
        <v>0.64136700000000002</v>
      </c>
      <c r="AA37">
        <v>0.63612100000000005</v>
      </c>
      <c r="AB37">
        <v>0.630691</v>
      </c>
      <c r="AC37">
        <v>0.62322999999999995</v>
      </c>
      <c r="AD37">
        <v>0.61743899999999996</v>
      </c>
      <c r="AE37" t="s">
        <v>1436</v>
      </c>
    </row>
    <row r="38" spans="1:32" x14ac:dyDescent="0.25">
      <c r="A38" t="s">
        <v>608</v>
      </c>
      <c r="B38" t="s">
        <v>1506</v>
      </c>
      <c r="C38" t="s">
        <v>1507</v>
      </c>
      <c r="D38" t="s">
        <v>583</v>
      </c>
      <c r="E38">
        <v>95.289612000000005</v>
      </c>
      <c r="F38">
        <v>95.626014999999995</v>
      </c>
      <c r="G38">
        <v>94.186629999999994</v>
      </c>
      <c r="H38">
        <v>93.632980000000003</v>
      </c>
      <c r="I38">
        <v>93.111832000000007</v>
      </c>
      <c r="J38">
        <v>92.846976999999995</v>
      </c>
      <c r="K38">
        <v>92.247574</v>
      </c>
      <c r="L38">
        <v>92.040756000000002</v>
      </c>
      <c r="M38">
        <v>91.940758000000002</v>
      </c>
      <c r="N38">
        <v>91.946738999999994</v>
      </c>
      <c r="O38">
        <v>92.008194000000003</v>
      </c>
      <c r="P38">
        <v>92.049537999999998</v>
      </c>
      <c r="Q38">
        <v>92.183211999999997</v>
      </c>
      <c r="R38">
        <v>92.392555000000002</v>
      </c>
      <c r="S38">
        <v>92.613067999999998</v>
      </c>
      <c r="T38">
        <v>92.836051999999995</v>
      </c>
      <c r="U38">
        <v>93.042862</v>
      </c>
      <c r="V38">
        <v>93.356566999999998</v>
      </c>
      <c r="W38">
        <v>93.704886999999999</v>
      </c>
      <c r="X38">
        <v>94.045372</v>
      </c>
      <c r="Y38">
        <v>94.443686999999997</v>
      </c>
      <c r="Z38">
        <v>94.793830999999997</v>
      </c>
      <c r="AA38">
        <v>95.235175999999996</v>
      </c>
      <c r="AB38">
        <v>95.539603999999997</v>
      </c>
      <c r="AC38">
        <v>95.709548999999996</v>
      </c>
      <c r="AD38">
        <v>95.988906999999998</v>
      </c>
      <c r="AE38" t="s">
        <v>1508</v>
      </c>
    </row>
    <row r="39" spans="1:32" x14ac:dyDescent="0.25">
      <c r="A39" t="s">
        <v>1509</v>
      </c>
    </row>
    <row r="40" spans="1:32" x14ac:dyDescent="0.25">
      <c r="A40" t="s">
        <v>654</v>
      </c>
      <c r="B40" t="s">
        <v>1510</v>
      </c>
      <c r="C40" t="s">
        <v>1511</v>
      </c>
      <c r="D40" t="s">
        <v>1512</v>
      </c>
      <c r="E40">
        <v>68.758003000000002</v>
      </c>
      <c r="F40">
        <v>53.451850999999998</v>
      </c>
      <c r="G40">
        <v>58.008591000000003</v>
      </c>
      <c r="H40">
        <v>62.476402</v>
      </c>
      <c r="I40">
        <v>65.409324999999995</v>
      </c>
      <c r="J40">
        <v>65.158569</v>
      </c>
      <c r="K40">
        <v>68.833679000000004</v>
      </c>
      <c r="L40">
        <v>69.830489999999998</v>
      </c>
      <c r="M40">
        <v>71.635643000000002</v>
      </c>
      <c r="N40">
        <v>73.592147999999995</v>
      </c>
      <c r="O40">
        <v>74.762580999999997</v>
      </c>
      <c r="P40">
        <v>76.158562000000003</v>
      </c>
      <c r="Q40">
        <v>78.223350999999994</v>
      </c>
      <c r="R40">
        <v>79.690276999999995</v>
      </c>
      <c r="S40">
        <v>80.750777999999997</v>
      </c>
      <c r="T40">
        <v>81.161490999999998</v>
      </c>
      <c r="U40">
        <v>82.013199</v>
      </c>
      <c r="V40">
        <v>83.342215999999993</v>
      </c>
      <c r="W40">
        <v>84.728606999999997</v>
      </c>
      <c r="X40">
        <v>85.865302999999997</v>
      </c>
      <c r="Y40">
        <v>87.667793000000003</v>
      </c>
      <c r="Z40">
        <v>89.243423000000007</v>
      </c>
      <c r="AA40">
        <v>90.481903000000003</v>
      </c>
      <c r="AB40">
        <v>91.804817</v>
      </c>
      <c r="AC40">
        <v>92.957465999999997</v>
      </c>
      <c r="AD40">
        <v>94.122032000000004</v>
      </c>
      <c r="AE40" t="s">
        <v>1513</v>
      </c>
    </row>
    <row r="41" spans="1:32" x14ac:dyDescent="0.25">
      <c r="A41" t="s">
        <v>658</v>
      </c>
      <c r="B41" t="s">
        <v>1514</v>
      </c>
      <c r="C41" t="s">
        <v>1515</v>
      </c>
      <c r="D41" t="s">
        <v>1512</v>
      </c>
      <c r="E41">
        <v>65.148003000000003</v>
      </c>
      <c r="F41">
        <v>49.889758999999998</v>
      </c>
      <c r="G41">
        <v>55.470398000000003</v>
      </c>
      <c r="H41">
        <v>59.830151000000001</v>
      </c>
      <c r="I41">
        <v>63.597237</v>
      </c>
      <c r="J41">
        <v>64.582808999999997</v>
      </c>
      <c r="K41">
        <v>67.595825000000005</v>
      </c>
      <c r="L41">
        <v>67.820969000000005</v>
      </c>
      <c r="M41">
        <v>69.813575999999998</v>
      </c>
      <c r="N41">
        <v>70.421333000000004</v>
      </c>
      <c r="O41">
        <v>71.756279000000006</v>
      </c>
      <c r="P41">
        <v>73.095161000000004</v>
      </c>
      <c r="Q41">
        <v>74.791466</v>
      </c>
      <c r="R41">
        <v>76.362281999999993</v>
      </c>
      <c r="S41">
        <v>77.228645</v>
      </c>
      <c r="T41">
        <v>77.679908999999995</v>
      </c>
      <c r="U41">
        <v>78.579802999999998</v>
      </c>
      <c r="V41">
        <v>79.948218999999995</v>
      </c>
      <c r="W41">
        <v>81.499611000000002</v>
      </c>
      <c r="X41">
        <v>82.588013000000004</v>
      </c>
      <c r="Y41">
        <v>84.446144000000004</v>
      </c>
      <c r="Z41">
        <v>85.794556</v>
      </c>
      <c r="AA41">
        <v>86.725136000000006</v>
      </c>
      <c r="AB41">
        <v>88.563857999999996</v>
      </c>
      <c r="AC41">
        <v>90.687331999999998</v>
      </c>
      <c r="AD41">
        <v>91.284041999999999</v>
      </c>
      <c r="AE41" t="s">
        <v>1516</v>
      </c>
    </row>
    <row r="42" spans="1:32" x14ac:dyDescent="0.25">
      <c r="A42" t="s">
        <v>661</v>
      </c>
      <c r="B42" t="s">
        <v>1517</v>
      </c>
      <c r="C42" t="s">
        <v>1518</v>
      </c>
      <c r="D42" t="s">
        <v>1519</v>
      </c>
      <c r="E42">
        <v>3.467273</v>
      </c>
      <c r="F42">
        <v>3.7231969999999999</v>
      </c>
      <c r="G42">
        <v>3.5804990000000001</v>
      </c>
      <c r="H42">
        <v>3.6962190000000001</v>
      </c>
      <c r="I42">
        <v>3.8122720000000001</v>
      </c>
      <c r="J42">
        <v>4.4103269999999997</v>
      </c>
      <c r="K42">
        <v>4.7644289999999998</v>
      </c>
      <c r="L42">
        <v>4.9507620000000001</v>
      </c>
      <c r="M42">
        <v>5.0083000000000002</v>
      </c>
      <c r="N42">
        <v>5.048673</v>
      </c>
      <c r="O42">
        <v>5.1743819999999996</v>
      </c>
      <c r="P42">
        <v>5.2727890000000004</v>
      </c>
      <c r="Q42">
        <v>5.3384830000000001</v>
      </c>
      <c r="R42">
        <v>5.475314</v>
      </c>
      <c r="S42">
        <v>5.644838</v>
      </c>
      <c r="T42">
        <v>5.7677880000000004</v>
      </c>
      <c r="U42">
        <v>5.7693000000000003</v>
      </c>
      <c r="V42">
        <v>5.5514099999999997</v>
      </c>
      <c r="W42">
        <v>5.2402629999999997</v>
      </c>
      <c r="X42">
        <v>4.9957079999999996</v>
      </c>
      <c r="Y42">
        <v>4.8815999999999997</v>
      </c>
      <c r="Z42">
        <v>4.8591199999999999</v>
      </c>
      <c r="AA42">
        <v>4.8591540000000002</v>
      </c>
      <c r="AB42">
        <v>4.8541800000000004</v>
      </c>
      <c r="AC42">
        <v>4.8168930000000003</v>
      </c>
      <c r="AD42">
        <v>4.7649840000000001</v>
      </c>
      <c r="AE42" t="s">
        <v>1513</v>
      </c>
    </row>
    <row r="43" spans="1:32" x14ac:dyDescent="0.25">
      <c r="A43" t="s">
        <v>590</v>
      </c>
      <c r="B43" t="s">
        <v>1520</v>
      </c>
      <c r="C43" t="s">
        <v>1521</v>
      </c>
      <c r="D43" t="s">
        <v>1522</v>
      </c>
      <c r="E43" t="s">
        <v>1523</v>
      </c>
      <c r="F43">
        <v>49.795895000000002</v>
      </c>
      <c r="G43">
        <v>50.747352999999997</v>
      </c>
      <c r="H43">
        <v>48.035724999999999</v>
      </c>
      <c r="I43">
        <v>49.787979</v>
      </c>
      <c r="J43">
        <v>50.350109000000003</v>
      </c>
      <c r="K43">
        <v>51.098655999999998</v>
      </c>
      <c r="L43">
        <v>54.688625000000002</v>
      </c>
      <c r="M43">
        <v>55.262580999999997</v>
      </c>
      <c r="N43">
        <v>55.603316999999997</v>
      </c>
      <c r="O43">
        <v>56.090031000000003</v>
      </c>
      <c r="P43">
        <v>56.297741000000002</v>
      </c>
      <c r="Q43">
        <v>56.275612000000002</v>
      </c>
      <c r="R43">
        <v>57.449317999999998</v>
      </c>
      <c r="S43">
        <v>57.694397000000002</v>
      </c>
      <c r="T43">
        <v>57.394179999999999</v>
      </c>
      <c r="U43">
        <v>58.235557999999997</v>
      </c>
      <c r="V43">
        <v>58.040581000000003</v>
      </c>
      <c r="W43">
        <v>58.814297000000003</v>
      </c>
      <c r="X43">
        <v>59.63015</v>
      </c>
      <c r="Y43">
        <v>60.090992</v>
      </c>
      <c r="Z43">
        <v>60.419445000000003</v>
      </c>
      <c r="AA43">
        <v>61.244205000000001</v>
      </c>
      <c r="AB43">
        <v>61.476044000000002</v>
      </c>
      <c r="AC43">
        <v>61.865074</v>
      </c>
      <c r="AD43">
        <v>63.074032000000003</v>
      </c>
      <c r="AE43">
        <v>64.450996000000004</v>
      </c>
      <c r="AF43" t="s">
        <v>1524</v>
      </c>
    </row>
    <row r="44" spans="1:32" x14ac:dyDescent="0.25">
      <c r="A44" t="s">
        <v>590</v>
      </c>
      <c r="B44" t="s">
        <v>1525</v>
      </c>
      <c r="C44" t="s">
        <v>1526</v>
      </c>
      <c r="D44" t="s">
        <v>1527</v>
      </c>
      <c r="E44" t="s">
        <v>1519</v>
      </c>
      <c r="F44">
        <v>2.3740209999999999</v>
      </c>
      <c r="G44">
        <v>2.4056690000000001</v>
      </c>
      <c r="H44">
        <v>2.308535</v>
      </c>
      <c r="I44">
        <v>2.3721679999999998</v>
      </c>
      <c r="J44">
        <v>2.3902770000000002</v>
      </c>
      <c r="K44">
        <v>2.417656</v>
      </c>
      <c r="L44">
        <v>2.5429499999999998</v>
      </c>
      <c r="M44">
        <v>2.5673189999999999</v>
      </c>
      <c r="N44">
        <v>2.5785650000000002</v>
      </c>
      <c r="O44">
        <v>2.5936849999999998</v>
      </c>
      <c r="P44">
        <v>2.6020979999999998</v>
      </c>
      <c r="Q44">
        <v>2.5984799999999999</v>
      </c>
      <c r="R44">
        <v>2.62642</v>
      </c>
      <c r="S44">
        <v>2.6313689999999998</v>
      </c>
      <c r="T44">
        <v>2.6123989999999999</v>
      </c>
      <c r="U44">
        <v>2.6375570000000002</v>
      </c>
      <c r="V44">
        <v>2.629111</v>
      </c>
      <c r="W44">
        <v>2.6469019999999999</v>
      </c>
      <c r="X44">
        <v>2.6702859999999999</v>
      </c>
      <c r="Y44">
        <v>2.6821950000000001</v>
      </c>
      <c r="Z44">
        <v>2.6919050000000002</v>
      </c>
      <c r="AA44">
        <v>2.7122679999999999</v>
      </c>
      <c r="AB44">
        <v>2.7180499999999999</v>
      </c>
      <c r="AC44">
        <v>2.7289110000000001</v>
      </c>
      <c r="AD44">
        <v>2.7621470000000001</v>
      </c>
      <c r="AE44">
        <v>2.8038620000000001</v>
      </c>
      <c r="AF44" t="s">
        <v>1528</v>
      </c>
    </row>
    <row r="45" spans="1:32" x14ac:dyDescent="0.25">
      <c r="A45" t="s">
        <v>590</v>
      </c>
      <c r="B45" t="s">
        <v>1529</v>
      </c>
      <c r="C45" t="s">
        <v>1530</v>
      </c>
      <c r="D45" t="s">
        <v>1531</v>
      </c>
      <c r="E45" t="s">
        <v>1519</v>
      </c>
      <c r="F45">
        <v>2.8279390000000002</v>
      </c>
      <c r="G45">
        <v>2.7949769999999998</v>
      </c>
      <c r="H45">
        <v>2.7800389999999999</v>
      </c>
      <c r="I45">
        <v>2.790127</v>
      </c>
      <c r="J45">
        <v>2.7829769999999998</v>
      </c>
      <c r="K45">
        <v>2.7899430000000001</v>
      </c>
      <c r="L45">
        <v>2.799445</v>
      </c>
      <c r="M45">
        <v>2.812125</v>
      </c>
      <c r="N45">
        <v>2.8159709999999998</v>
      </c>
      <c r="O45">
        <v>2.8097379999999998</v>
      </c>
      <c r="P45">
        <v>2.8028930000000001</v>
      </c>
      <c r="Q45">
        <v>2.7943389999999999</v>
      </c>
      <c r="R45">
        <v>2.8265340000000001</v>
      </c>
      <c r="S45">
        <v>2.822435</v>
      </c>
      <c r="T45">
        <v>2.826797</v>
      </c>
      <c r="U45">
        <v>2.840614</v>
      </c>
      <c r="V45">
        <v>2.8351000000000002</v>
      </c>
      <c r="W45">
        <v>2.8333469999999998</v>
      </c>
      <c r="X45">
        <v>2.8438249999999998</v>
      </c>
      <c r="Y45">
        <v>2.8355269999999999</v>
      </c>
      <c r="Z45">
        <v>2.8443369999999999</v>
      </c>
      <c r="AA45">
        <v>2.8529559999999998</v>
      </c>
      <c r="AB45">
        <v>2.8538990000000002</v>
      </c>
      <c r="AC45">
        <v>2.855855</v>
      </c>
      <c r="AD45">
        <v>2.8847619999999998</v>
      </c>
      <c r="AE45">
        <v>2.8955090000000001</v>
      </c>
      <c r="AF45" t="s">
        <v>1445</v>
      </c>
    </row>
    <row r="46" spans="1:32" x14ac:dyDescent="0.25">
      <c r="A46" t="s">
        <v>675</v>
      </c>
      <c r="B46" t="s">
        <v>1532</v>
      </c>
      <c r="C46" t="s">
        <v>1533</v>
      </c>
      <c r="D46" t="s">
        <v>1534</v>
      </c>
      <c r="E46">
        <v>13.537334</v>
      </c>
      <c r="F46">
        <v>13.475026</v>
      </c>
      <c r="G46">
        <v>13.066734</v>
      </c>
      <c r="H46">
        <v>12.770625000000001</v>
      </c>
      <c r="I46">
        <v>12.869842999999999</v>
      </c>
      <c r="J46">
        <v>13.016791</v>
      </c>
      <c r="K46">
        <v>13.150145999999999</v>
      </c>
      <c r="L46">
        <v>13.221062</v>
      </c>
      <c r="M46">
        <v>13.304499</v>
      </c>
      <c r="N46">
        <v>13.386029000000001</v>
      </c>
      <c r="O46">
        <v>13.426527</v>
      </c>
      <c r="P46">
        <v>13.45792</v>
      </c>
      <c r="Q46">
        <v>13.532384</v>
      </c>
      <c r="R46">
        <v>13.581625000000001</v>
      </c>
      <c r="S46">
        <v>13.653389000000001</v>
      </c>
      <c r="T46">
        <v>13.7295</v>
      </c>
      <c r="U46">
        <v>13.750996000000001</v>
      </c>
      <c r="V46">
        <v>13.735488</v>
      </c>
      <c r="W46">
        <v>13.698518999999999</v>
      </c>
      <c r="X46">
        <v>13.669256000000001</v>
      </c>
      <c r="Y46">
        <v>13.594911</v>
      </c>
      <c r="Z46">
        <v>13.655286</v>
      </c>
      <c r="AA46">
        <v>13.708774999999999</v>
      </c>
      <c r="AB46">
        <v>13.761915</v>
      </c>
      <c r="AC46">
        <v>13.780516</v>
      </c>
      <c r="AD46">
        <v>13.826503000000001</v>
      </c>
      <c r="AE46" t="s">
        <v>1445</v>
      </c>
    </row>
    <row r="47" spans="1:32" x14ac:dyDescent="0.25">
      <c r="A47" t="s">
        <v>519</v>
      </c>
    </row>
    <row r="48" spans="1:32" x14ac:dyDescent="0.25">
      <c r="A48" t="s">
        <v>654</v>
      </c>
      <c r="B48" t="s">
        <v>1535</v>
      </c>
      <c r="C48" t="s">
        <v>1536</v>
      </c>
      <c r="D48" t="s">
        <v>681</v>
      </c>
      <c r="E48">
        <v>68.758003000000002</v>
      </c>
      <c r="F48">
        <v>54.921000999999997</v>
      </c>
      <c r="G48">
        <v>60.734012999999997</v>
      </c>
      <c r="H48">
        <v>66.772827000000007</v>
      </c>
      <c r="I48">
        <v>71.344741999999997</v>
      </c>
      <c r="J48">
        <v>72.551765000000003</v>
      </c>
      <c r="K48">
        <v>78.250099000000006</v>
      </c>
      <c r="L48">
        <v>81.018799000000001</v>
      </c>
      <c r="M48">
        <v>84.889983999999998</v>
      </c>
      <c r="N48">
        <v>89.027457999999996</v>
      </c>
      <c r="O48">
        <v>92.352303000000006</v>
      </c>
      <c r="P48">
        <v>96.012343999999999</v>
      </c>
      <c r="Q48">
        <v>100.54858400000001</v>
      </c>
      <c r="R48">
        <v>104.44555699999999</v>
      </c>
      <c r="S48">
        <v>107.88986199999999</v>
      </c>
      <c r="T48">
        <v>110.55418400000001</v>
      </c>
      <c r="U48">
        <v>113.856827</v>
      </c>
      <c r="V48">
        <v>117.879242</v>
      </c>
      <c r="W48">
        <v>122.064217</v>
      </c>
      <c r="X48">
        <v>125.966476</v>
      </c>
      <c r="Y48">
        <v>130.94331399999999</v>
      </c>
      <c r="Z48">
        <v>135.71101400000001</v>
      </c>
      <c r="AA48">
        <v>140.09272799999999</v>
      </c>
      <c r="AB48">
        <v>144.74267599999999</v>
      </c>
      <c r="AC48">
        <v>149.22105400000001</v>
      </c>
      <c r="AD48">
        <v>153.79325900000001</v>
      </c>
      <c r="AE48" t="s">
        <v>1537</v>
      </c>
    </row>
    <row r="49" spans="1:32" x14ac:dyDescent="0.25">
      <c r="A49" t="s">
        <v>658</v>
      </c>
      <c r="B49" t="s">
        <v>1538</v>
      </c>
      <c r="C49" t="s">
        <v>1539</v>
      </c>
      <c r="D49" t="s">
        <v>681</v>
      </c>
      <c r="E49">
        <v>65.148003000000003</v>
      </c>
      <c r="F49">
        <v>51.261001999999998</v>
      </c>
      <c r="G49">
        <v>58.076568999999999</v>
      </c>
      <c r="H49">
        <v>63.944592</v>
      </c>
      <c r="I49">
        <v>69.368224999999995</v>
      </c>
      <c r="J49">
        <v>71.910674999999998</v>
      </c>
      <c r="K49">
        <v>76.842903000000007</v>
      </c>
      <c r="L49">
        <v>78.687308999999999</v>
      </c>
      <c r="M49">
        <v>82.730782000000005</v>
      </c>
      <c r="N49">
        <v>85.191597000000002</v>
      </c>
      <c r="O49">
        <v>88.638694999999998</v>
      </c>
      <c r="P49">
        <v>92.150345000000002</v>
      </c>
      <c r="Q49">
        <v>96.137230000000002</v>
      </c>
      <c r="R49">
        <v>100.08374000000001</v>
      </c>
      <c r="S49">
        <v>103.183998</v>
      </c>
      <c r="T49">
        <v>105.811752</v>
      </c>
      <c r="U49">
        <v>109.090332</v>
      </c>
      <c r="V49">
        <v>113.07878100000001</v>
      </c>
      <c r="W49">
        <v>117.412361</v>
      </c>
      <c r="X49">
        <v>121.158615</v>
      </c>
      <c r="Y49">
        <v>126.131355</v>
      </c>
      <c r="Z49">
        <v>130.466385</v>
      </c>
      <c r="AA49">
        <v>134.276138</v>
      </c>
      <c r="AB49">
        <v>139.632858</v>
      </c>
      <c r="AC49">
        <v>145.57690400000001</v>
      </c>
      <c r="AD49">
        <v>149.15605199999999</v>
      </c>
      <c r="AE49" t="s">
        <v>1540</v>
      </c>
    </row>
    <row r="50" spans="1:32" x14ac:dyDescent="0.25">
      <c r="A50" t="s">
        <v>661</v>
      </c>
      <c r="B50" t="s">
        <v>1541</v>
      </c>
      <c r="C50" t="s">
        <v>1542</v>
      </c>
      <c r="D50" t="s">
        <v>686</v>
      </c>
      <c r="E50">
        <v>3.467273</v>
      </c>
      <c r="F50">
        <v>3.8255309999999998</v>
      </c>
      <c r="G50">
        <v>3.7487219999999999</v>
      </c>
      <c r="H50">
        <v>3.9504039999999998</v>
      </c>
      <c r="I50">
        <v>4.1582080000000001</v>
      </c>
      <c r="J50">
        <v>4.9107430000000001</v>
      </c>
      <c r="K50">
        <v>5.4161999999999999</v>
      </c>
      <c r="L50">
        <v>5.7439780000000003</v>
      </c>
      <c r="M50">
        <v>5.934958</v>
      </c>
      <c r="N50">
        <v>6.1075879999999998</v>
      </c>
      <c r="O50">
        <v>6.3917809999999999</v>
      </c>
      <c r="P50">
        <v>6.6473529999999998</v>
      </c>
      <c r="Q50">
        <v>6.8621059999999998</v>
      </c>
      <c r="R50">
        <v>7.1761850000000003</v>
      </c>
      <c r="S50">
        <v>7.5419799999999997</v>
      </c>
      <c r="T50">
        <v>7.8565959999999997</v>
      </c>
      <c r="U50">
        <v>8.0093720000000008</v>
      </c>
      <c r="V50">
        <v>7.851915</v>
      </c>
      <c r="W50">
        <v>7.5493800000000002</v>
      </c>
      <c r="X50">
        <v>7.328824</v>
      </c>
      <c r="Y50">
        <v>7.2913079999999999</v>
      </c>
      <c r="Z50">
        <v>7.3891850000000003</v>
      </c>
      <c r="AA50">
        <v>7.5234069999999997</v>
      </c>
      <c r="AB50">
        <v>7.6532689999999999</v>
      </c>
      <c r="AC50">
        <v>7.7323740000000001</v>
      </c>
      <c r="AD50">
        <v>7.7858739999999997</v>
      </c>
      <c r="AE50" t="s">
        <v>1537</v>
      </c>
    </row>
    <row r="51" spans="1:32" x14ac:dyDescent="0.25">
      <c r="A51" t="s">
        <v>590</v>
      </c>
      <c r="B51" t="s">
        <v>1520</v>
      </c>
      <c r="C51" t="s">
        <v>1543</v>
      </c>
      <c r="D51" t="s">
        <v>1544</v>
      </c>
      <c r="E51" t="s">
        <v>689</v>
      </c>
      <c r="F51">
        <v>49.795895000000002</v>
      </c>
      <c r="G51">
        <v>52.14217</v>
      </c>
      <c r="H51">
        <v>50.292586999999997</v>
      </c>
      <c r="I51">
        <v>53.211834000000003</v>
      </c>
      <c r="J51">
        <v>54.919013999999997</v>
      </c>
      <c r="K51">
        <v>56.896545000000003</v>
      </c>
      <c r="L51">
        <v>62.170001999999997</v>
      </c>
      <c r="M51">
        <v>64.116798000000003</v>
      </c>
      <c r="N51">
        <v>65.891289</v>
      </c>
      <c r="O51">
        <v>67.854423999999995</v>
      </c>
      <c r="P51">
        <v>69.543159000000003</v>
      </c>
      <c r="Q51">
        <v>70.946106</v>
      </c>
      <c r="R51">
        <v>73.845566000000005</v>
      </c>
      <c r="S51">
        <v>75.616791000000006</v>
      </c>
      <c r="T51">
        <v>76.683471999999995</v>
      </c>
      <c r="U51">
        <v>79.325607000000005</v>
      </c>
      <c r="V51">
        <v>80.576248000000007</v>
      </c>
      <c r="W51">
        <v>83.186950999999993</v>
      </c>
      <c r="X51">
        <v>85.906136000000004</v>
      </c>
      <c r="Y51">
        <v>88.154938000000001</v>
      </c>
      <c r="Z51">
        <v>90.244338999999997</v>
      </c>
      <c r="AA51">
        <v>93.133064000000005</v>
      </c>
      <c r="AB51">
        <v>95.183082999999996</v>
      </c>
      <c r="AC51">
        <v>97.538628000000003</v>
      </c>
      <c r="AD51">
        <v>101.250328</v>
      </c>
      <c r="AE51">
        <v>105.311455</v>
      </c>
      <c r="AF51" t="s">
        <v>1545</v>
      </c>
    </row>
    <row r="52" spans="1:32" x14ac:dyDescent="0.25">
      <c r="A52" t="s">
        <v>590</v>
      </c>
      <c r="B52" t="s">
        <v>1525</v>
      </c>
      <c r="C52" t="s">
        <v>1546</v>
      </c>
      <c r="D52" t="s">
        <v>1547</v>
      </c>
      <c r="E52" t="s">
        <v>686</v>
      </c>
      <c r="F52">
        <v>2.3740209999999999</v>
      </c>
      <c r="G52">
        <v>2.4717910000000001</v>
      </c>
      <c r="H52">
        <v>2.4169969999999998</v>
      </c>
      <c r="I52">
        <v>2.5352990000000002</v>
      </c>
      <c r="J52">
        <v>2.6071780000000002</v>
      </c>
      <c r="K52">
        <v>2.6919749999999998</v>
      </c>
      <c r="L52">
        <v>2.890825</v>
      </c>
      <c r="M52">
        <v>2.9786570000000001</v>
      </c>
      <c r="N52">
        <v>3.0556619999999999</v>
      </c>
      <c r="O52">
        <v>3.1376879999999998</v>
      </c>
      <c r="P52">
        <v>3.2143060000000001</v>
      </c>
      <c r="Q52">
        <v>3.2758780000000001</v>
      </c>
      <c r="R52">
        <v>3.37601</v>
      </c>
      <c r="S52">
        <v>3.4487869999999998</v>
      </c>
      <c r="T52">
        <v>3.490386</v>
      </c>
      <c r="U52">
        <v>3.5927500000000001</v>
      </c>
      <c r="V52">
        <v>3.6499280000000001</v>
      </c>
      <c r="W52">
        <v>3.743779</v>
      </c>
      <c r="X52">
        <v>3.846946</v>
      </c>
      <c r="Y52">
        <v>3.9348450000000001</v>
      </c>
      <c r="Z52">
        <v>4.0207119999999996</v>
      </c>
      <c r="AA52">
        <v>4.1245019999999997</v>
      </c>
      <c r="AB52">
        <v>4.2083449999999996</v>
      </c>
      <c r="AC52">
        <v>4.3024959999999997</v>
      </c>
      <c r="AD52">
        <v>4.4339690000000003</v>
      </c>
      <c r="AE52">
        <v>4.5814459999999997</v>
      </c>
      <c r="AF52" t="s">
        <v>1548</v>
      </c>
    </row>
    <row r="53" spans="1:32" x14ac:dyDescent="0.25">
      <c r="A53" t="s">
        <v>590</v>
      </c>
      <c r="B53" t="s">
        <v>1529</v>
      </c>
      <c r="C53" t="s">
        <v>1549</v>
      </c>
      <c r="D53" t="s">
        <v>1550</v>
      </c>
      <c r="E53" t="s">
        <v>686</v>
      </c>
      <c r="F53">
        <v>2.8279390000000002</v>
      </c>
      <c r="G53">
        <v>2.8717990000000002</v>
      </c>
      <c r="H53">
        <v>2.9106529999999999</v>
      </c>
      <c r="I53">
        <v>2.9820000000000002</v>
      </c>
      <c r="J53">
        <v>3.0355120000000002</v>
      </c>
      <c r="K53">
        <v>3.106503</v>
      </c>
      <c r="L53">
        <v>3.1824080000000001</v>
      </c>
      <c r="M53">
        <v>3.2626870000000001</v>
      </c>
      <c r="N53">
        <v>3.3369949999999999</v>
      </c>
      <c r="O53">
        <v>3.399057</v>
      </c>
      <c r="P53">
        <v>3.462342</v>
      </c>
      <c r="Q53">
        <v>3.522796</v>
      </c>
      <c r="R53">
        <v>3.6332369999999998</v>
      </c>
      <c r="S53">
        <v>3.6992060000000002</v>
      </c>
      <c r="T53">
        <v>3.77684</v>
      </c>
      <c r="U53">
        <v>3.8693439999999999</v>
      </c>
      <c r="V53">
        <v>3.9358970000000002</v>
      </c>
      <c r="W53">
        <v>4.0074860000000001</v>
      </c>
      <c r="X53">
        <v>4.0969540000000002</v>
      </c>
      <c r="Y53">
        <v>4.1597869999999997</v>
      </c>
      <c r="Z53">
        <v>4.2483890000000004</v>
      </c>
      <c r="AA53">
        <v>4.3384429999999998</v>
      </c>
      <c r="AB53">
        <v>4.4186800000000002</v>
      </c>
      <c r="AC53">
        <v>4.5026400000000004</v>
      </c>
      <c r="AD53">
        <v>4.6307980000000004</v>
      </c>
      <c r="AE53">
        <v>4.7311949999999996</v>
      </c>
      <c r="AF53" t="s">
        <v>1551</v>
      </c>
    </row>
    <row r="54" spans="1:32" x14ac:dyDescent="0.25">
      <c r="A54" t="s">
        <v>675</v>
      </c>
      <c r="B54" t="s">
        <v>1552</v>
      </c>
      <c r="C54" t="s">
        <v>1553</v>
      </c>
      <c r="D54" t="s">
        <v>696</v>
      </c>
      <c r="E54">
        <v>13.537334</v>
      </c>
      <c r="F54">
        <v>13.845394000000001</v>
      </c>
      <c r="G54">
        <v>13.680649000000001</v>
      </c>
      <c r="H54">
        <v>13.648844</v>
      </c>
      <c r="I54">
        <v>14.037687</v>
      </c>
      <c r="J54">
        <v>14.493736999999999</v>
      </c>
      <c r="K54">
        <v>14.94908</v>
      </c>
      <c r="L54">
        <v>15.339352999999999</v>
      </c>
      <c r="M54">
        <v>15.766154999999999</v>
      </c>
      <c r="N54">
        <v>16.193632000000001</v>
      </c>
      <c r="O54">
        <v>16.585445</v>
      </c>
      <c r="P54">
        <v>16.966266999999998</v>
      </c>
      <c r="Q54">
        <v>17.394577000000002</v>
      </c>
      <c r="R54">
        <v>17.800671000000001</v>
      </c>
      <c r="S54">
        <v>18.242083000000001</v>
      </c>
      <c r="T54">
        <v>18.701649</v>
      </c>
      <c r="U54">
        <v>19.090154999999999</v>
      </c>
      <c r="V54">
        <v>19.427477</v>
      </c>
      <c r="W54">
        <v>19.734762</v>
      </c>
      <c r="X54">
        <v>20.053128999999998</v>
      </c>
      <c r="Y54">
        <v>20.305776999999999</v>
      </c>
      <c r="Z54">
        <v>20.765370999999998</v>
      </c>
      <c r="AA54">
        <v>21.225235000000001</v>
      </c>
      <c r="AB54">
        <v>21.697514999999999</v>
      </c>
      <c r="AC54">
        <v>22.121334000000001</v>
      </c>
      <c r="AD54">
        <v>22.592189999999999</v>
      </c>
      <c r="AE54" t="s">
        <v>1551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81"/>
  <sheetViews>
    <sheetView topLeftCell="A12" workbookViewId="0">
      <selection activeCell="A12" sqref="A12:XFD12"/>
    </sheetView>
  </sheetViews>
  <sheetFormatPr defaultRowHeight="15" x14ac:dyDescent="0.25"/>
  <cols>
    <col min="1" max="1" width="23" customWidth="1"/>
    <col min="2" max="2" width="99.140625" bestFit="1" customWidth="1"/>
  </cols>
  <sheetData>
    <row r="1" spans="1:31" x14ac:dyDescent="0.25">
      <c r="A1" t="s">
        <v>841</v>
      </c>
    </row>
    <row r="2" spans="1:31" x14ac:dyDescent="0.25">
      <c r="A2" t="s">
        <v>1554</v>
      </c>
    </row>
    <row r="3" spans="1:31" x14ac:dyDescent="0.25">
      <c r="A3" t="s">
        <v>1555</v>
      </c>
    </row>
    <row r="4" spans="1:31" x14ac:dyDescent="0.25">
      <c r="A4" t="s">
        <v>575</v>
      </c>
    </row>
    <row r="5" spans="1:31" x14ac:dyDescent="0.25">
      <c r="B5" t="s">
        <v>576</v>
      </c>
      <c r="C5" t="s">
        <v>577</v>
      </c>
      <c r="D5" t="s">
        <v>578</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1430</v>
      </c>
    </row>
    <row r="6" spans="1:31" x14ac:dyDescent="0.25">
      <c r="A6" t="s">
        <v>701</v>
      </c>
    </row>
    <row r="7" spans="1:31" x14ac:dyDescent="0.25">
      <c r="A7" t="s">
        <v>844</v>
      </c>
    </row>
    <row r="8" spans="1:31" x14ac:dyDescent="0.25">
      <c r="A8" t="s">
        <v>845</v>
      </c>
    </row>
    <row r="9" spans="1:31" x14ac:dyDescent="0.25">
      <c r="A9" t="s">
        <v>590</v>
      </c>
      <c r="B9" t="s">
        <v>1556</v>
      </c>
      <c r="C9" t="s">
        <v>1557</v>
      </c>
      <c r="D9" t="s">
        <v>848</v>
      </c>
      <c r="E9">
        <v>728.40551800000003</v>
      </c>
      <c r="F9">
        <v>694.14929199999995</v>
      </c>
      <c r="G9">
        <v>643.27404799999999</v>
      </c>
      <c r="H9">
        <v>573.49627699999996</v>
      </c>
      <c r="I9">
        <v>562.53832999999997</v>
      </c>
      <c r="J9">
        <v>560.41662599999995</v>
      </c>
      <c r="K9">
        <v>468.94164999999998</v>
      </c>
      <c r="L9">
        <v>430.84533699999997</v>
      </c>
      <c r="M9">
        <v>414.21758999999997</v>
      </c>
      <c r="N9">
        <v>389.484802</v>
      </c>
      <c r="O9">
        <v>386.81701700000002</v>
      </c>
      <c r="P9">
        <v>380.59903000000003</v>
      </c>
      <c r="Q9">
        <v>374.28662100000003</v>
      </c>
      <c r="R9">
        <v>374.09948700000001</v>
      </c>
      <c r="S9">
        <v>372.04879799999998</v>
      </c>
      <c r="T9">
        <v>355.62982199999999</v>
      </c>
      <c r="U9">
        <v>346.34726000000001</v>
      </c>
      <c r="V9">
        <v>339.16357399999998</v>
      </c>
      <c r="W9">
        <v>328.45004299999999</v>
      </c>
      <c r="X9">
        <v>320.95459</v>
      </c>
      <c r="Y9">
        <v>315.52719100000002</v>
      </c>
      <c r="Z9">
        <v>310.027039</v>
      </c>
      <c r="AA9">
        <v>312.36563100000001</v>
      </c>
      <c r="AB9">
        <v>312.91897599999999</v>
      </c>
      <c r="AC9">
        <v>302.13534499999997</v>
      </c>
      <c r="AD9">
        <v>290.59140000000002</v>
      </c>
      <c r="AE9" t="s">
        <v>1558</v>
      </c>
    </row>
    <row r="10" spans="1:31" x14ac:dyDescent="0.25">
      <c r="A10" t="s">
        <v>849</v>
      </c>
      <c r="B10" t="s">
        <v>1559</v>
      </c>
      <c r="C10" t="s">
        <v>1560</v>
      </c>
      <c r="D10" t="s">
        <v>848</v>
      </c>
      <c r="E10">
        <v>11.748491</v>
      </c>
      <c r="F10">
        <v>11.385706000000001</v>
      </c>
      <c r="G10">
        <v>10.532851000000001</v>
      </c>
      <c r="H10">
        <v>9.6818539999999995</v>
      </c>
      <c r="I10">
        <v>9.3154529999999998</v>
      </c>
      <c r="J10">
        <v>9.1416559999999993</v>
      </c>
      <c r="K10">
        <v>8.3179090000000002</v>
      </c>
      <c r="L10">
        <v>7.9215980000000004</v>
      </c>
      <c r="M10">
        <v>7.600854</v>
      </c>
      <c r="N10">
        <v>7.2867569999999997</v>
      </c>
      <c r="O10">
        <v>6.951689</v>
      </c>
      <c r="P10">
        <v>6.7103869999999999</v>
      </c>
      <c r="Q10">
        <v>6.4154090000000004</v>
      </c>
      <c r="R10">
        <v>6.082503</v>
      </c>
      <c r="S10">
        <v>5.8216239999999999</v>
      </c>
      <c r="T10">
        <v>5.507714</v>
      </c>
      <c r="U10">
        <v>4.9375249999999999</v>
      </c>
      <c r="V10">
        <v>4.3007660000000003</v>
      </c>
      <c r="W10">
        <v>3.7101120000000001</v>
      </c>
      <c r="X10">
        <v>3.0661390000000002</v>
      </c>
      <c r="Y10">
        <v>2.4712559999999999</v>
      </c>
      <c r="Z10">
        <v>2.469487</v>
      </c>
      <c r="AA10">
        <v>2.40883</v>
      </c>
      <c r="AB10">
        <v>2.4095629999999999</v>
      </c>
      <c r="AC10">
        <v>2.368662</v>
      </c>
      <c r="AD10">
        <v>2.4042469999999998</v>
      </c>
      <c r="AE10" t="s">
        <v>1561</v>
      </c>
    </row>
    <row r="11" spans="1:31" x14ac:dyDescent="0.25">
      <c r="A11" t="s">
        <v>617</v>
      </c>
      <c r="B11" t="s">
        <v>1562</v>
      </c>
      <c r="C11" t="s">
        <v>1563</v>
      </c>
      <c r="D11" t="s">
        <v>848</v>
      </c>
      <c r="E11">
        <v>1573.143311</v>
      </c>
      <c r="F11">
        <v>1614.4982910000001</v>
      </c>
      <c r="G11">
        <v>1455.173462</v>
      </c>
      <c r="H11">
        <v>1432.312134</v>
      </c>
      <c r="I11">
        <v>1401.4483640000001</v>
      </c>
      <c r="J11">
        <v>1374.9329829999999</v>
      </c>
      <c r="K11">
        <v>1439.1290280000001</v>
      </c>
      <c r="L11">
        <v>1472.267456</v>
      </c>
      <c r="M11">
        <v>1483.772217</v>
      </c>
      <c r="N11">
        <v>1493.8400879999999</v>
      </c>
      <c r="O11">
        <v>1481.2220460000001</v>
      </c>
      <c r="P11">
        <v>1479.3873289999999</v>
      </c>
      <c r="Q11">
        <v>1497.1282960000001</v>
      </c>
      <c r="R11">
        <v>1516.7771</v>
      </c>
      <c r="S11">
        <v>1535.4239500000001</v>
      </c>
      <c r="T11">
        <v>1565.690918</v>
      </c>
      <c r="U11">
        <v>1592.892578</v>
      </c>
      <c r="V11">
        <v>1636.8173830000001</v>
      </c>
      <c r="W11">
        <v>1692.419067</v>
      </c>
      <c r="X11">
        <v>1743.044922</v>
      </c>
      <c r="Y11">
        <v>1794.0031739999999</v>
      </c>
      <c r="Z11">
        <v>1845.9454350000001</v>
      </c>
      <c r="AA11">
        <v>1883.6179199999999</v>
      </c>
      <c r="AB11">
        <v>1923.305298</v>
      </c>
      <c r="AC11">
        <v>1969.5020750000001</v>
      </c>
      <c r="AD11">
        <v>1995.55835</v>
      </c>
      <c r="AE11" t="s">
        <v>1524</v>
      </c>
    </row>
    <row r="12" spans="1:31" x14ac:dyDescent="0.25">
      <c r="A12" t="s">
        <v>854</v>
      </c>
      <c r="B12" t="s">
        <v>1564</v>
      </c>
      <c r="C12" t="s">
        <v>1565</v>
      </c>
      <c r="D12" t="s">
        <v>848</v>
      </c>
      <c r="E12">
        <v>783.91650400000003</v>
      </c>
      <c r="F12">
        <v>801.63769500000001</v>
      </c>
      <c r="G12">
        <v>796.72644000000003</v>
      </c>
      <c r="H12">
        <v>800.162598</v>
      </c>
      <c r="I12">
        <v>801.05145300000004</v>
      </c>
      <c r="J12">
        <v>801.73034700000005</v>
      </c>
      <c r="K12">
        <v>801.74493399999994</v>
      </c>
      <c r="L12">
        <v>801.745361</v>
      </c>
      <c r="M12">
        <v>801.71850600000005</v>
      </c>
      <c r="N12">
        <v>801.71850600000005</v>
      </c>
      <c r="O12">
        <v>801.71801800000003</v>
      </c>
      <c r="P12">
        <v>801.71807899999999</v>
      </c>
      <c r="Q12">
        <v>801.47009300000002</v>
      </c>
      <c r="R12">
        <v>801.07055700000001</v>
      </c>
      <c r="S12">
        <v>801.27258300000005</v>
      </c>
      <c r="T12">
        <v>800.74926800000003</v>
      </c>
      <c r="U12">
        <v>800.19897500000002</v>
      </c>
      <c r="V12">
        <v>801.51501499999995</v>
      </c>
      <c r="W12">
        <v>800.94067399999994</v>
      </c>
      <c r="X12">
        <v>801.71807899999999</v>
      </c>
      <c r="Y12">
        <v>801.71813999999995</v>
      </c>
      <c r="Z12">
        <v>801.71807899999999</v>
      </c>
      <c r="AA12">
        <v>801.71813999999995</v>
      </c>
      <c r="AB12">
        <v>801.71813999999995</v>
      </c>
      <c r="AC12">
        <v>801.71813999999995</v>
      </c>
      <c r="AD12">
        <v>801.69079599999998</v>
      </c>
      <c r="AE12" t="s">
        <v>1445</v>
      </c>
    </row>
    <row r="13" spans="1:31" x14ac:dyDescent="0.25">
      <c r="A13" t="s">
        <v>857</v>
      </c>
      <c r="B13" t="s">
        <v>1566</v>
      </c>
      <c r="C13" t="s">
        <v>1567</v>
      </c>
      <c r="D13" t="s">
        <v>848</v>
      </c>
      <c r="E13">
        <v>-5.7647490000000001</v>
      </c>
      <c r="F13">
        <v>-8.7307780000000008</v>
      </c>
      <c r="G13">
        <v>-12.051152</v>
      </c>
      <c r="H13">
        <v>-14.591881000000001</v>
      </c>
      <c r="I13">
        <v>-15.044502</v>
      </c>
      <c r="J13">
        <v>-15.807017</v>
      </c>
      <c r="K13">
        <v>-14.817436000000001</v>
      </c>
      <c r="L13">
        <v>-14.732002</v>
      </c>
      <c r="M13">
        <v>-14.474152</v>
      </c>
      <c r="N13">
        <v>-15.201513</v>
      </c>
      <c r="O13">
        <v>-15.792436</v>
      </c>
      <c r="P13">
        <v>-16.123947000000001</v>
      </c>
      <c r="Q13">
        <v>-16.355515</v>
      </c>
      <c r="R13">
        <v>-17.506416000000002</v>
      </c>
      <c r="S13">
        <v>-18.300056000000001</v>
      </c>
      <c r="T13">
        <v>-18.480015000000002</v>
      </c>
      <c r="U13">
        <v>-18.937470999999999</v>
      </c>
      <c r="V13">
        <v>-18.913295999999999</v>
      </c>
      <c r="W13">
        <v>-18.70974</v>
      </c>
      <c r="X13">
        <v>-19.106216</v>
      </c>
      <c r="Y13">
        <v>-18.517097</v>
      </c>
      <c r="Z13">
        <v>-18.326435</v>
      </c>
      <c r="AA13">
        <v>-18.066696</v>
      </c>
      <c r="AB13">
        <v>-17.813217000000002</v>
      </c>
      <c r="AC13">
        <v>-17.957186</v>
      </c>
      <c r="AD13">
        <v>-18.161117999999998</v>
      </c>
      <c r="AE13" t="s">
        <v>1568</v>
      </c>
    </row>
    <row r="14" spans="1:31" x14ac:dyDescent="0.25">
      <c r="A14" t="s">
        <v>860</v>
      </c>
      <c r="B14" t="s">
        <v>1569</v>
      </c>
      <c r="C14" t="s">
        <v>1570</v>
      </c>
      <c r="D14" t="s">
        <v>848</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6.0099999999999997E-4</v>
      </c>
      <c r="AD14">
        <v>6.6500000000000001E-4</v>
      </c>
      <c r="AE14" t="s">
        <v>863</v>
      </c>
    </row>
    <row r="15" spans="1:31" x14ac:dyDescent="0.25">
      <c r="A15" t="s">
        <v>864</v>
      </c>
      <c r="B15" t="s">
        <v>1571</v>
      </c>
      <c r="C15" t="s">
        <v>1572</v>
      </c>
      <c r="D15" t="s">
        <v>848</v>
      </c>
      <c r="E15">
        <v>1015.543823</v>
      </c>
      <c r="F15">
        <v>1116.3000489999999</v>
      </c>
      <c r="G15">
        <v>1291.0998540000001</v>
      </c>
      <c r="H15">
        <v>1406.349121</v>
      </c>
      <c r="I15">
        <v>1469.5782469999999</v>
      </c>
      <c r="J15">
        <v>1516.7768550000001</v>
      </c>
      <c r="K15">
        <v>1561.940186</v>
      </c>
      <c r="L15">
        <v>1589.744263</v>
      </c>
      <c r="M15">
        <v>1625.2497559999999</v>
      </c>
      <c r="N15">
        <v>1675.408813</v>
      </c>
      <c r="O15">
        <v>1732.4918210000001</v>
      </c>
      <c r="P15">
        <v>1791.092163</v>
      </c>
      <c r="Q15">
        <v>1832.204346</v>
      </c>
      <c r="R15">
        <v>1866.255615</v>
      </c>
      <c r="S15">
        <v>1901.4442140000001</v>
      </c>
      <c r="T15">
        <v>1934.718018</v>
      </c>
      <c r="U15">
        <v>1963.547241</v>
      </c>
      <c r="V15">
        <v>1975.4208980000001</v>
      </c>
      <c r="W15">
        <v>1979.364746</v>
      </c>
      <c r="X15">
        <v>1982.4567870000001</v>
      </c>
      <c r="Y15">
        <v>1985.3498540000001</v>
      </c>
      <c r="Z15">
        <v>1989.538452</v>
      </c>
      <c r="AA15">
        <v>1995.299683</v>
      </c>
      <c r="AB15">
        <v>1998.3466800000001</v>
      </c>
      <c r="AC15">
        <v>2005.3833010000001</v>
      </c>
      <c r="AD15">
        <v>2031.4461670000001</v>
      </c>
      <c r="AE15" t="s">
        <v>1573</v>
      </c>
    </row>
    <row r="16" spans="1:31" x14ac:dyDescent="0.25">
      <c r="A16" t="s">
        <v>608</v>
      </c>
      <c r="B16" t="s">
        <v>1574</v>
      </c>
      <c r="C16" t="s">
        <v>1575</v>
      </c>
      <c r="D16" t="s">
        <v>848</v>
      </c>
      <c r="E16">
        <v>4106.9931640000004</v>
      </c>
      <c r="F16">
        <v>4229.2402339999999</v>
      </c>
      <c r="G16">
        <v>4184.7558589999999</v>
      </c>
      <c r="H16">
        <v>4207.4101559999999</v>
      </c>
      <c r="I16">
        <v>4228.8872069999998</v>
      </c>
      <c r="J16">
        <v>4247.1914059999999</v>
      </c>
      <c r="K16">
        <v>4265.2563479999999</v>
      </c>
      <c r="L16">
        <v>4287.7919920000004</v>
      </c>
      <c r="M16">
        <v>4318.0849609999996</v>
      </c>
      <c r="N16">
        <v>4352.5375979999999</v>
      </c>
      <c r="O16">
        <v>4393.408203</v>
      </c>
      <c r="P16">
        <v>4443.3828119999998</v>
      </c>
      <c r="Q16">
        <v>4495.1494140000004</v>
      </c>
      <c r="R16">
        <v>4546.779297</v>
      </c>
      <c r="S16">
        <v>4597.7109380000002</v>
      </c>
      <c r="T16">
        <v>4643.8154299999997</v>
      </c>
      <c r="U16">
        <v>4688.986328</v>
      </c>
      <c r="V16">
        <v>4738.3046880000002</v>
      </c>
      <c r="W16">
        <v>4786.1748049999997</v>
      </c>
      <c r="X16">
        <v>4832.1342770000001</v>
      </c>
      <c r="Y16">
        <v>4880.5527339999999</v>
      </c>
      <c r="Z16">
        <v>4931.3720700000003</v>
      </c>
      <c r="AA16">
        <v>4977.3432620000003</v>
      </c>
      <c r="AB16">
        <v>5020.8857420000004</v>
      </c>
      <c r="AC16">
        <v>5063.1508789999998</v>
      </c>
      <c r="AD16">
        <v>5103.5302730000003</v>
      </c>
      <c r="AE16" t="s">
        <v>1462</v>
      </c>
    </row>
    <row r="17" spans="1:31" x14ac:dyDescent="0.25">
      <c r="A17" t="s">
        <v>872</v>
      </c>
    </row>
    <row r="18" spans="1:31" x14ac:dyDescent="0.25">
      <c r="A18" t="s">
        <v>590</v>
      </c>
      <c r="B18" t="s">
        <v>1576</v>
      </c>
      <c r="C18" t="s">
        <v>1577</v>
      </c>
      <c r="D18" t="s">
        <v>848</v>
      </c>
      <c r="E18">
        <v>5.4493520000000002</v>
      </c>
      <c r="F18">
        <v>5.459301</v>
      </c>
      <c r="G18">
        <v>5.3689020000000003</v>
      </c>
      <c r="H18">
        <v>5.3689010000000001</v>
      </c>
      <c r="I18">
        <v>5.4731389999999998</v>
      </c>
      <c r="J18">
        <v>5.3863139999999996</v>
      </c>
      <c r="K18">
        <v>5.3689020000000003</v>
      </c>
      <c r="L18">
        <v>5.3863139999999996</v>
      </c>
      <c r="M18">
        <v>5.3863139999999996</v>
      </c>
      <c r="N18">
        <v>5.3863139999999996</v>
      </c>
      <c r="O18">
        <v>5.3863130000000004</v>
      </c>
      <c r="P18">
        <v>5.3863130000000004</v>
      </c>
      <c r="Q18">
        <v>5.3863130000000004</v>
      </c>
      <c r="R18">
        <v>5.3863139999999996</v>
      </c>
      <c r="S18">
        <v>5.3863139999999996</v>
      </c>
      <c r="T18">
        <v>5.3863130000000004</v>
      </c>
      <c r="U18">
        <v>5.3689020000000003</v>
      </c>
      <c r="V18">
        <v>5.3689010000000001</v>
      </c>
      <c r="W18">
        <v>5.3689020000000003</v>
      </c>
      <c r="X18">
        <v>5.3689020000000003</v>
      </c>
      <c r="Y18">
        <v>5.3689020000000003</v>
      </c>
      <c r="Z18">
        <v>5.3689020000000003</v>
      </c>
      <c r="AA18">
        <v>5.3689020000000003</v>
      </c>
      <c r="AB18">
        <v>5.3689020000000003</v>
      </c>
      <c r="AC18">
        <v>5.3689020000000003</v>
      </c>
      <c r="AD18">
        <v>4.9026889999999996</v>
      </c>
      <c r="AE18" t="s">
        <v>1468</v>
      </c>
    </row>
    <row r="19" spans="1:31" x14ac:dyDescent="0.25">
      <c r="A19" t="s">
        <v>849</v>
      </c>
      <c r="B19" t="s">
        <v>1578</v>
      </c>
      <c r="C19" t="s">
        <v>1579</v>
      </c>
      <c r="D19" t="s">
        <v>848</v>
      </c>
      <c r="E19">
        <v>1.4454320000000001</v>
      </c>
      <c r="F19">
        <v>1.4405520000000001</v>
      </c>
      <c r="G19">
        <v>1.440186</v>
      </c>
      <c r="H19">
        <v>1.440186</v>
      </c>
      <c r="I19">
        <v>1.440604</v>
      </c>
      <c r="J19">
        <v>1.4402550000000001</v>
      </c>
      <c r="K19">
        <v>1.440186</v>
      </c>
      <c r="L19">
        <v>1.440256</v>
      </c>
      <c r="M19">
        <v>1.440256</v>
      </c>
      <c r="N19">
        <v>1.4402550000000001</v>
      </c>
      <c r="O19">
        <v>1.440256</v>
      </c>
      <c r="P19">
        <v>1.4402550000000001</v>
      </c>
      <c r="Q19">
        <v>1.440256</v>
      </c>
      <c r="R19">
        <v>1.440256</v>
      </c>
      <c r="S19">
        <v>1.4402550000000001</v>
      </c>
      <c r="T19">
        <v>1.440256</v>
      </c>
      <c r="U19">
        <v>1.440186</v>
      </c>
      <c r="V19">
        <v>1.440186</v>
      </c>
      <c r="W19">
        <v>1.440186</v>
      </c>
      <c r="X19">
        <v>1.440186</v>
      </c>
      <c r="Y19">
        <v>1.440186</v>
      </c>
      <c r="Z19">
        <v>1.440186</v>
      </c>
      <c r="AA19">
        <v>1.440186</v>
      </c>
      <c r="AB19">
        <v>1.440186</v>
      </c>
      <c r="AC19">
        <v>1.440186</v>
      </c>
      <c r="AD19">
        <v>1.440186</v>
      </c>
      <c r="AE19" t="s">
        <v>1580</v>
      </c>
    </row>
    <row r="20" spans="1:31" x14ac:dyDescent="0.25">
      <c r="A20" t="s">
        <v>617</v>
      </c>
      <c r="B20" t="s">
        <v>1581</v>
      </c>
      <c r="C20" t="s">
        <v>1582</v>
      </c>
      <c r="D20" t="s">
        <v>848</v>
      </c>
      <c r="E20">
        <v>131.682129</v>
      </c>
      <c r="F20">
        <v>130.77818300000001</v>
      </c>
      <c r="G20">
        <v>128.28602599999999</v>
      </c>
      <c r="H20">
        <v>128.00112899999999</v>
      </c>
      <c r="I20">
        <v>127.723129</v>
      </c>
      <c r="J20">
        <v>122.28243999999999</v>
      </c>
      <c r="K20">
        <v>120.970703</v>
      </c>
      <c r="L20">
        <v>120.628151</v>
      </c>
      <c r="M20">
        <v>119.382942</v>
      </c>
      <c r="N20">
        <v>119.377129</v>
      </c>
      <c r="O20">
        <v>119.37711299999999</v>
      </c>
      <c r="P20">
        <v>119.37439000000001</v>
      </c>
      <c r="Q20">
        <v>119.45257599999999</v>
      </c>
      <c r="R20">
        <v>119.456566</v>
      </c>
      <c r="S20">
        <v>119.45629099999999</v>
      </c>
      <c r="T20">
        <v>119.41716</v>
      </c>
      <c r="U20">
        <v>119.610497</v>
      </c>
      <c r="V20">
        <v>119.41851800000001</v>
      </c>
      <c r="W20">
        <v>119.427216</v>
      </c>
      <c r="X20">
        <v>119.420815</v>
      </c>
      <c r="Y20">
        <v>119.42422500000001</v>
      </c>
      <c r="Z20">
        <v>119.42450700000001</v>
      </c>
      <c r="AA20">
        <v>119.41345200000001</v>
      </c>
      <c r="AB20">
        <v>119.415009</v>
      </c>
      <c r="AC20">
        <v>119.41636699999999</v>
      </c>
      <c r="AD20">
        <v>119.41682400000001</v>
      </c>
      <c r="AE20" t="s">
        <v>1468</v>
      </c>
    </row>
    <row r="21" spans="1:31" x14ac:dyDescent="0.25">
      <c r="A21" t="s">
        <v>864</v>
      </c>
      <c r="B21" t="s">
        <v>1583</v>
      </c>
      <c r="C21" t="s">
        <v>1584</v>
      </c>
      <c r="D21" t="s">
        <v>848</v>
      </c>
      <c r="E21">
        <v>2.4387150000000002</v>
      </c>
      <c r="F21">
        <v>2.4675950000000002</v>
      </c>
      <c r="G21">
        <v>2.4755560000000001</v>
      </c>
      <c r="H21">
        <v>2.4946519999999999</v>
      </c>
      <c r="I21">
        <v>2.4981339999999999</v>
      </c>
      <c r="J21">
        <v>2.5048659999999998</v>
      </c>
      <c r="K21">
        <v>2.5076200000000002</v>
      </c>
      <c r="L21">
        <v>2.5105759999999999</v>
      </c>
      <c r="M21">
        <v>2.5135489999999998</v>
      </c>
      <c r="N21">
        <v>2.5168029999999999</v>
      </c>
      <c r="O21">
        <v>2.51919</v>
      </c>
      <c r="P21">
        <v>2.515393</v>
      </c>
      <c r="Q21">
        <v>2.518402</v>
      </c>
      <c r="R21">
        <v>2.5213640000000002</v>
      </c>
      <c r="S21">
        <v>2.524321</v>
      </c>
      <c r="T21">
        <v>2.52536</v>
      </c>
      <c r="U21">
        <v>2.5276610000000002</v>
      </c>
      <c r="V21">
        <v>2.5297589999999999</v>
      </c>
      <c r="W21">
        <v>2.5315219999999998</v>
      </c>
      <c r="X21">
        <v>2.53322</v>
      </c>
      <c r="Y21">
        <v>2.534081</v>
      </c>
      <c r="Z21">
        <v>2.5349270000000002</v>
      </c>
      <c r="AA21">
        <v>2.5358429999999998</v>
      </c>
      <c r="AB21">
        <v>2.516877</v>
      </c>
      <c r="AC21">
        <v>2.5175700000000001</v>
      </c>
      <c r="AD21">
        <v>2.9836589999999998</v>
      </c>
      <c r="AE21" t="s">
        <v>1481</v>
      </c>
    </row>
    <row r="22" spans="1:31" x14ac:dyDescent="0.25">
      <c r="A22" t="s">
        <v>605</v>
      </c>
      <c r="B22" t="s">
        <v>1585</v>
      </c>
      <c r="C22" t="s">
        <v>1586</v>
      </c>
      <c r="D22" t="s">
        <v>848</v>
      </c>
      <c r="E22">
        <v>0.42715599999999998</v>
      </c>
      <c r="F22">
        <v>0.415433</v>
      </c>
      <c r="G22">
        <v>0.40898200000000001</v>
      </c>
      <c r="H22">
        <v>0.405416</v>
      </c>
      <c r="I22">
        <v>0.40194800000000003</v>
      </c>
      <c r="J22">
        <v>0.39940199999999998</v>
      </c>
      <c r="K22">
        <v>0.39672400000000002</v>
      </c>
      <c r="L22">
        <v>0.39376</v>
      </c>
      <c r="M22">
        <v>0.39079199999999997</v>
      </c>
      <c r="N22">
        <v>0.38762799999999997</v>
      </c>
      <c r="O22">
        <v>0.38512200000000002</v>
      </c>
      <c r="P22">
        <v>0.38239499999999998</v>
      </c>
      <c r="Q22">
        <v>0.37968099999999999</v>
      </c>
      <c r="R22">
        <v>0.37712600000000002</v>
      </c>
      <c r="S22">
        <v>0.37452099999999999</v>
      </c>
      <c r="T22">
        <v>0.37383699999999997</v>
      </c>
      <c r="U22">
        <v>0.37213000000000002</v>
      </c>
      <c r="V22">
        <v>0.37041800000000003</v>
      </c>
      <c r="W22">
        <v>0.368732</v>
      </c>
      <c r="X22">
        <v>0.36703200000000002</v>
      </c>
      <c r="Y22">
        <v>0.36616500000000002</v>
      </c>
      <c r="Z22">
        <v>0.36528100000000002</v>
      </c>
      <c r="AA22">
        <v>0.364423</v>
      </c>
      <c r="AB22">
        <v>0.36357400000000001</v>
      </c>
      <c r="AC22">
        <v>0.36274099999999998</v>
      </c>
      <c r="AD22">
        <v>0.36274499999999998</v>
      </c>
      <c r="AE22" t="s">
        <v>1587</v>
      </c>
    </row>
    <row r="23" spans="1:31" x14ac:dyDescent="0.25">
      <c r="A23" t="s">
        <v>608</v>
      </c>
      <c r="B23" t="s">
        <v>1588</v>
      </c>
      <c r="C23" t="s">
        <v>1589</v>
      </c>
      <c r="D23" t="s">
        <v>848</v>
      </c>
      <c r="E23">
        <v>141.44279499999999</v>
      </c>
      <c r="F23">
        <v>140.56106600000001</v>
      </c>
      <c r="G23">
        <v>137.979645</v>
      </c>
      <c r="H23">
        <v>137.71028100000001</v>
      </c>
      <c r="I23">
        <v>137.536957</v>
      </c>
      <c r="J23">
        <v>132.01327499999999</v>
      </c>
      <c r="K23">
        <v>130.68412799999999</v>
      </c>
      <c r="L23">
        <v>130.35905500000001</v>
      </c>
      <c r="M23">
        <v>129.113846</v>
      </c>
      <c r="N23">
        <v>129.108124</v>
      </c>
      <c r="O23">
        <v>129.108002</v>
      </c>
      <c r="P23">
        <v>129.09873999999999</v>
      </c>
      <c r="Q23">
        <v>129.17723100000001</v>
      </c>
      <c r="R23">
        <v>129.181625</v>
      </c>
      <c r="S23">
        <v>129.181702</v>
      </c>
      <c r="T23">
        <v>129.14292900000001</v>
      </c>
      <c r="U23">
        <v>129.31938199999999</v>
      </c>
      <c r="V23">
        <v>129.12777700000001</v>
      </c>
      <c r="W23">
        <v>129.136551</v>
      </c>
      <c r="X23">
        <v>129.130157</v>
      </c>
      <c r="Y23">
        <v>129.13355999999999</v>
      </c>
      <c r="Z23">
        <v>129.133804</v>
      </c>
      <c r="AA23">
        <v>129.122803</v>
      </c>
      <c r="AB23">
        <v>129.10455300000001</v>
      </c>
      <c r="AC23">
        <v>129.10575900000001</v>
      </c>
      <c r="AD23">
        <v>129.10611</v>
      </c>
      <c r="AE23" t="s">
        <v>1468</v>
      </c>
    </row>
    <row r="24" spans="1:31" x14ac:dyDescent="0.25">
      <c r="A24" t="s">
        <v>885</v>
      </c>
      <c r="B24" t="s">
        <v>1590</v>
      </c>
      <c r="C24" t="s">
        <v>1591</v>
      </c>
      <c r="D24" t="s">
        <v>848</v>
      </c>
      <c r="E24">
        <v>4248.4360349999997</v>
      </c>
      <c r="F24">
        <v>4369.8012699999999</v>
      </c>
      <c r="G24">
        <v>4322.7353519999997</v>
      </c>
      <c r="H24">
        <v>4345.1206050000001</v>
      </c>
      <c r="I24">
        <v>4366.4243159999996</v>
      </c>
      <c r="J24">
        <v>4379.2045900000003</v>
      </c>
      <c r="K24">
        <v>4395.9404299999997</v>
      </c>
      <c r="L24">
        <v>4418.1508789999998</v>
      </c>
      <c r="M24">
        <v>4447.1987300000001</v>
      </c>
      <c r="N24">
        <v>4481.6455079999996</v>
      </c>
      <c r="O24">
        <v>4522.5161129999997</v>
      </c>
      <c r="P24">
        <v>4572.4814450000003</v>
      </c>
      <c r="Q24">
        <v>4624.3266599999997</v>
      </c>
      <c r="R24">
        <v>4675.9609380000002</v>
      </c>
      <c r="S24">
        <v>4726.892578</v>
      </c>
      <c r="T24">
        <v>4772.9584960000002</v>
      </c>
      <c r="U24">
        <v>4818.3056640000004</v>
      </c>
      <c r="V24">
        <v>4867.4326170000004</v>
      </c>
      <c r="W24">
        <v>4915.3115230000003</v>
      </c>
      <c r="X24">
        <v>4961.2646480000003</v>
      </c>
      <c r="Y24">
        <v>5009.6865230000003</v>
      </c>
      <c r="Z24">
        <v>5060.5058589999999</v>
      </c>
      <c r="AA24">
        <v>5106.4658200000003</v>
      </c>
      <c r="AB24">
        <v>5149.9902339999999</v>
      </c>
      <c r="AC24">
        <v>5192.2568359999996</v>
      </c>
      <c r="AD24">
        <v>5232.6362300000001</v>
      </c>
      <c r="AE24" t="s">
        <v>1481</v>
      </c>
    </row>
    <row r="25" spans="1:31" x14ac:dyDescent="0.25">
      <c r="A25" t="s">
        <v>888</v>
      </c>
      <c r="B25" t="s">
        <v>1592</v>
      </c>
      <c r="C25" t="s">
        <v>1593</v>
      </c>
      <c r="D25" t="s">
        <v>848</v>
      </c>
      <c r="E25">
        <v>20.902453999999999</v>
      </c>
      <c r="F25">
        <v>20.8337</v>
      </c>
      <c r="G25">
        <v>20.825809</v>
      </c>
      <c r="H25">
        <v>20.279831000000001</v>
      </c>
      <c r="I25">
        <v>20.279831000000001</v>
      </c>
      <c r="J25">
        <v>20.265995</v>
      </c>
      <c r="K25">
        <v>20.256316999999999</v>
      </c>
      <c r="L25">
        <v>20.256316999999999</v>
      </c>
      <c r="M25">
        <v>20.242377999999999</v>
      </c>
      <c r="N25">
        <v>20.242377999999999</v>
      </c>
      <c r="O25">
        <v>20.240722999999999</v>
      </c>
      <c r="P25">
        <v>20.240722999999999</v>
      </c>
      <c r="Q25">
        <v>20.240722999999999</v>
      </c>
      <c r="R25">
        <v>20.238775</v>
      </c>
      <c r="S25">
        <v>20.238775</v>
      </c>
      <c r="T25">
        <v>20.238775</v>
      </c>
      <c r="U25">
        <v>20.238775</v>
      </c>
      <c r="V25">
        <v>20.238775</v>
      </c>
      <c r="W25">
        <v>20.238775</v>
      </c>
      <c r="X25">
        <v>20.238775</v>
      </c>
      <c r="Y25">
        <v>20.238775</v>
      </c>
      <c r="Z25">
        <v>20.238775</v>
      </c>
      <c r="AA25">
        <v>20.238775</v>
      </c>
      <c r="AB25">
        <v>20.238775</v>
      </c>
      <c r="AC25">
        <v>20.238775</v>
      </c>
      <c r="AD25">
        <v>20.238775</v>
      </c>
      <c r="AE25" t="s">
        <v>1489</v>
      </c>
    </row>
    <row r="26" spans="1:31" x14ac:dyDescent="0.25">
      <c r="A26" t="s">
        <v>891</v>
      </c>
      <c r="B26" t="s">
        <v>1594</v>
      </c>
      <c r="C26" t="s">
        <v>1595</v>
      </c>
      <c r="D26" t="s">
        <v>848</v>
      </c>
      <c r="E26">
        <v>4227.5336909999996</v>
      </c>
      <c r="F26">
        <v>4348.9677730000003</v>
      </c>
      <c r="G26">
        <v>4301.9096680000002</v>
      </c>
      <c r="H26">
        <v>4324.8408200000003</v>
      </c>
      <c r="I26">
        <v>4346.1445309999999</v>
      </c>
      <c r="J26">
        <v>4358.9384769999997</v>
      </c>
      <c r="K26">
        <v>4375.6840819999998</v>
      </c>
      <c r="L26">
        <v>4397.8945309999999</v>
      </c>
      <c r="M26">
        <v>4426.9565430000002</v>
      </c>
      <c r="N26">
        <v>4461.4033200000003</v>
      </c>
      <c r="O26">
        <v>4502.2753910000001</v>
      </c>
      <c r="P26">
        <v>4552.2407229999999</v>
      </c>
      <c r="Q26">
        <v>4604.0859380000002</v>
      </c>
      <c r="R26">
        <v>4655.7221680000002</v>
      </c>
      <c r="S26">
        <v>4706.6538090000004</v>
      </c>
      <c r="T26">
        <v>4752.7197269999997</v>
      </c>
      <c r="U26">
        <v>4798.0668949999999</v>
      </c>
      <c r="V26">
        <v>4847.1938479999999</v>
      </c>
      <c r="W26">
        <v>4895.0727539999998</v>
      </c>
      <c r="X26">
        <v>4941.0258789999998</v>
      </c>
      <c r="Y26">
        <v>4989.4477539999998</v>
      </c>
      <c r="Z26">
        <v>5040.2670900000003</v>
      </c>
      <c r="AA26">
        <v>5086.2270509999998</v>
      </c>
      <c r="AB26">
        <v>5129.7514650000003</v>
      </c>
      <c r="AC26">
        <v>5172.0180659999996</v>
      </c>
      <c r="AD26">
        <v>5212.3974609999996</v>
      </c>
      <c r="AE26" t="s">
        <v>1481</v>
      </c>
    </row>
    <row r="27" spans="1:31" x14ac:dyDescent="0.25">
      <c r="A27" t="s">
        <v>894</v>
      </c>
    </row>
    <row r="28" spans="1:31" x14ac:dyDescent="0.25">
      <c r="A28" t="s">
        <v>590</v>
      </c>
      <c r="B28" t="s">
        <v>1596</v>
      </c>
      <c r="C28" t="s">
        <v>1597</v>
      </c>
      <c r="D28" t="s">
        <v>848</v>
      </c>
      <c r="E28">
        <v>4.6492019999999998</v>
      </c>
      <c r="F28">
        <v>4.644863</v>
      </c>
      <c r="G28">
        <v>4.6536280000000003</v>
      </c>
      <c r="H28">
        <v>4.6181869999999998</v>
      </c>
      <c r="I28">
        <v>4.5828769999999999</v>
      </c>
      <c r="J28">
        <v>4.5491489999999999</v>
      </c>
      <c r="K28">
        <v>4.5207810000000004</v>
      </c>
      <c r="L28">
        <v>4.4931999999999999</v>
      </c>
      <c r="M28">
        <v>4.4660510000000002</v>
      </c>
      <c r="N28">
        <v>4.4397169999999999</v>
      </c>
      <c r="O28">
        <v>4.414644</v>
      </c>
      <c r="P28">
        <v>4.3901960000000004</v>
      </c>
      <c r="Q28">
        <v>4.3641670000000001</v>
      </c>
      <c r="R28">
        <v>4.3426220000000004</v>
      </c>
      <c r="S28">
        <v>4.322749</v>
      </c>
      <c r="T28">
        <v>4.3043740000000001</v>
      </c>
      <c r="U28">
        <v>4.2855540000000003</v>
      </c>
      <c r="V28">
        <v>4.2673500000000004</v>
      </c>
      <c r="W28">
        <v>4.2497499999999997</v>
      </c>
      <c r="X28">
        <v>4.2326519999999999</v>
      </c>
      <c r="Y28">
        <v>4.2161860000000004</v>
      </c>
      <c r="Z28">
        <v>4.1991810000000003</v>
      </c>
      <c r="AA28">
        <v>4.1826210000000001</v>
      </c>
      <c r="AB28">
        <v>4.165699</v>
      </c>
      <c r="AC28">
        <v>4.1494350000000004</v>
      </c>
      <c r="AD28">
        <v>4.1332570000000004</v>
      </c>
      <c r="AE28" t="s">
        <v>1465</v>
      </c>
    </row>
    <row r="29" spans="1:31" x14ac:dyDescent="0.25">
      <c r="A29" t="s">
        <v>849</v>
      </c>
      <c r="B29" t="s">
        <v>1598</v>
      </c>
      <c r="C29" t="s">
        <v>1599</v>
      </c>
      <c r="D29" t="s">
        <v>848</v>
      </c>
      <c r="E29">
        <v>0.69462400000000002</v>
      </c>
      <c r="F29">
        <v>0.69368399999999997</v>
      </c>
      <c r="G29">
        <v>0.46654400000000001</v>
      </c>
      <c r="H29">
        <v>0.45881</v>
      </c>
      <c r="I29">
        <v>0.45110099999999997</v>
      </c>
      <c r="J29">
        <v>0.44373499999999999</v>
      </c>
      <c r="K29">
        <v>0.43754199999999999</v>
      </c>
      <c r="L29">
        <v>0.43152000000000001</v>
      </c>
      <c r="M29">
        <v>0.425593</v>
      </c>
      <c r="N29">
        <v>0.41984500000000002</v>
      </c>
      <c r="O29">
        <v>0.41437299999999999</v>
      </c>
      <c r="P29">
        <v>0.40903699999999998</v>
      </c>
      <c r="Q29">
        <v>0.40335500000000002</v>
      </c>
      <c r="R29">
        <v>0.39865400000000001</v>
      </c>
      <c r="S29">
        <v>0.394318</v>
      </c>
      <c r="T29">
        <v>0.39030900000000002</v>
      </c>
      <c r="U29">
        <v>0.38620199999999999</v>
      </c>
      <c r="V29">
        <v>0.38223000000000001</v>
      </c>
      <c r="W29">
        <v>0.37839</v>
      </c>
      <c r="X29">
        <v>0.37465999999999999</v>
      </c>
      <c r="Y29">
        <v>0.37106699999999998</v>
      </c>
      <c r="Z29">
        <v>0.36735699999999999</v>
      </c>
      <c r="AA29">
        <v>0.36374299999999998</v>
      </c>
      <c r="AB29">
        <v>0.36005100000000001</v>
      </c>
      <c r="AC29">
        <v>0.35650300000000001</v>
      </c>
      <c r="AD29">
        <v>0.35297299999999998</v>
      </c>
      <c r="AE29" t="s">
        <v>1600</v>
      </c>
    </row>
    <row r="30" spans="1:31" x14ac:dyDescent="0.25">
      <c r="A30" t="s">
        <v>617</v>
      </c>
      <c r="B30" t="s">
        <v>1601</v>
      </c>
      <c r="C30" t="s">
        <v>1602</v>
      </c>
      <c r="D30" t="s">
        <v>848</v>
      </c>
      <c r="E30">
        <v>111.232124</v>
      </c>
      <c r="F30">
        <v>112.176399</v>
      </c>
      <c r="G30">
        <v>111.03349300000001</v>
      </c>
      <c r="H30">
        <v>111.337677</v>
      </c>
      <c r="I30">
        <v>111.627121</v>
      </c>
      <c r="J30">
        <v>111.72519699999999</v>
      </c>
      <c r="K30">
        <v>112.11983499999999</v>
      </c>
      <c r="L30">
        <v>112.56739</v>
      </c>
      <c r="M30">
        <v>112.883385</v>
      </c>
      <c r="N30">
        <v>113.314537</v>
      </c>
      <c r="O30">
        <v>113.73410800000001</v>
      </c>
      <c r="P30">
        <v>114.162544</v>
      </c>
      <c r="Q30">
        <v>114.39228799999999</v>
      </c>
      <c r="R30">
        <v>114.786682</v>
      </c>
      <c r="S30">
        <v>115.195587</v>
      </c>
      <c r="T30">
        <v>116.019958</v>
      </c>
      <c r="U30">
        <v>116.49704699999999</v>
      </c>
      <c r="V30">
        <v>117.122963</v>
      </c>
      <c r="W30">
        <v>117.985947</v>
      </c>
      <c r="X30">
        <v>118.57100699999999</v>
      </c>
      <c r="Y30">
        <v>119.366013</v>
      </c>
      <c r="Z30">
        <v>120.04473900000001</v>
      </c>
      <c r="AA30">
        <v>121.69689200000001</v>
      </c>
      <c r="AB30">
        <v>121.64012099999999</v>
      </c>
      <c r="AC30">
        <v>122.55998200000001</v>
      </c>
      <c r="AD30">
        <v>123.571831</v>
      </c>
      <c r="AE30" t="s">
        <v>1451</v>
      </c>
    </row>
    <row r="31" spans="1:31" x14ac:dyDescent="0.25">
      <c r="A31" t="s">
        <v>901</v>
      </c>
      <c r="B31" t="s">
        <v>1603</v>
      </c>
      <c r="C31" t="s">
        <v>1604</v>
      </c>
      <c r="D31" t="s">
        <v>848</v>
      </c>
      <c r="E31">
        <v>9.7038390000000003</v>
      </c>
      <c r="F31">
        <v>9.7038390000000003</v>
      </c>
      <c r="G31">
        <v>11.414379</v>
      </c>
      <c r="H31">
        <v>11.417260000000001</v>
      </c>
      <c r="I31">
        <v>11.411550999999999</v>
      </c>
      <c r="J31">
        <v>11.252903</v>
      </c>
      <c r="K31">
        <v>11.250223</v>
      </c>
      <c r="L31">
        <v>11.254249</v>
      </c>
      <c r="M31">
        <v>11.234132000000001</v>
      </c>
      <c r="N31">
        <v>11.238868</v>
      </c>
      <c r="O31">
        <v>11.233767</v>
      </c>
      <c r="P31">
        <v>11.227745000000001</v>
      </c>
      <c r="Q31">
        <v>11.173838999999999</v>
      </c>
      <c r="R31">
        <v>11.14358</v>
      </c>
      <c r="S31">
        <v>11.106014</v>
      </c>
      <c r="T31">
        <v>11.157932000000001</v>
      </c>
      <c r="U31">
        <v>11.121121</v>
      </c>
      <c r="V31">
        <v>11.108274</v>
      </c>
      <c r="W31">
        <v>11.146889</v>
      </c>
      <c r="X31">
        <v>11.104296</v>
      </c>
      <c r="Y31">
        <v>11.104993</v>
      </c>
      <c r="Z31">
        <v>11.071350000000001</v>
      </c>
      <c r="AA31">
        <v>11.26891</v>
      </c>
      <c r="AB31">
        <v>11.035875000000001</v>
      </c>
      <c r="AC31">
        <v>11.042171</v>
      </c>
      <c r="AD31">
        <v>11.061862</v>
      </c>
      <c r="AE31" t="s">
        <v>1448</v>
      </c>
    </row>
    <row r="32" spans="1:31" x14ac:dyDescent="0.25">
      <c r="A32" t="s">
        <v>864</v>
      </c>
      <c r="B32" t="s">
        <v>1605</v>
      </c>
      <c r="C32" t="s">
        <v>1606</v>
      </c>
      <c r="D32" t="s">
        <v>848</v>
      </c>
      <c r="E32">
        <v>140.37735000000001</v>
      </c>
      <c r="F32">
        <v>149.660706</v>
      </c>
      <c r="G32">
        <v>158.94503800000001</v>
      </c>
      <c r="H32">
        <v>165.58317600000001</v>
      </c>
      <c r="I32">
        <v>171.000946</v>
      </c>
      <c r="J32">
        <v>176.82115200000001</v>
      </c>
      <c r="K32">
        <v>182.76513700000001</v>
      </c>
      <c r="L32">
        <v>188.42254600000001</v>
      </c>
      <c r="M32">
        <v>194.40123</v>
      </c>
      <c r="N32">
        <v>201.21130400000001</v>
      </c>
      <c r="O32">
        <v>208.060959</v>
      </c>
      <c r="P32">
        <v>214.948914</v>
      </c>
      <c r="Q32">
        <v>223.02887000000001</v>
      </c>
      <c r="R32">
        <v>231.43948399999999</v>
      </c>
      <c r="S32">
        <v>240.63905299999999</v>
      </c>
      <c r="T32">
        <v>249.802368</v>
      </c>
      <c r="U32">
        <v>258.29391500000003</v>
      </c>
      <c r="V32">
        <v>267.53311200000002</v>
      </c>
      <c r="W32">
        <v>276.29541</v>
      </c>
      <c r="X32">
        <v>285.48693800000001</v>
      </c>
      <c r="Y32">
        <v>294.71200599999997</v>
      </c>
      <c r="Z32">
        <v>304.57699600000001</v>
      </c>
      <c r="AA32">
        <v>314.99295000000001</v>
      </c>
      <c r="AB32">
        <v>325.76644900000002</v>
      </c>
      <c r="AC32">
        <v>336.33453400000002</v>
      </c>
      <c r="AD32">
        <v>347.56271400000003</v>
      </c>
      <c r="AE32" t="s">
        <v>1607</v>
      </c>
    </row>
    <row r="33" spans="1:31" x14ac:dyDescent="0.25">
      <c r="A33" t="s">
        <v>605</v>
      </c>
      <c r="B33" t="s">
        <v>1608</v>
      </c>
      <c r="C33" t="s">
        <v>1609</v>
      </c>
      <c r="D33" t="s">
        <v>848</v>
      </c>
      <c r="E33">
        <v>2.3693849999999999</v>
      </c>
      <c r="F33">
        <v>2.9475449999999999</v>
      </c>
      <c r="G33">
        <v>2.9475449999999999</v>
      </c>
      <c r="H33">
        <v>2.9475449999999999</v>
      </c>
      <c r="I33">
        <v>3.2366250000000001</v>
      </c>
      <c r="J33">
        <v>3.2366250000000001</v>
      </c>
      <c r="K33">
        <v>3.2366250000000001</v>
      </c>
      <c r="L33">
        <v>3.2366250000000001</v>
      </c>
      <c r="M33">
        <v>3.2366250000000001</v>
      </c>
      <c r="N33">
        <v>3.2366250000000001</v>
      </c>
      <c r="O33">
        <v>3.2366250000000001</v>
      </c>
      <c r="P33">
        <v>3.2366250000000001</v>
      </c>
      <c r="Q33">
        <v>3.2366250000000001</v>
      </c>
      <c r="R33">
        <v>3.2366250000000001</v>
      </c>
      <c r="S33">
        <v>3.2366250000000001</v>
      </c>
      <c r="T33">
        <v>3.2366250000000001</v>
      </c>
      <c r="U33">
        <v>3.2366250000000001</v>
      </c>
      <c r="V33">
        <v>3.2366250000000001</v>
      </c>
      <c r="W33">
        <v>3.2366250000000001</v>
      </c>
      <c r="X33">
        <v>3.2366250000000001</v>
      </c>
      <c r="Y33">
        <v>3.2366250000000001</v>
      </c>
      <c r="Z33">
        <v>3.2366250000000001</v>
      </c>
      <c r="AA33">
        <v>3.2366250000000001</v>
      </c>
      <c r="AB33">
        <v>3.2366250000000001</v>
      </c>
      <c r="AC33">
        <v>3.2366250000000001</v>
      </c>
      <c r="AD33">
        <v>3.2366250000000001</v>
      </c>
      <c r="AE33" t="s">
        <v>1513</v>
      </c>
    </row>
    <row r="34" spans="1:31" x14ac:dyDescent="0.25">
      <c r="A34" t="s">
        <v>908</v>
      </c>
      <c r="B34" t="s">
        <v>1610</v>
      </c>
      <c r="C34" t="s">
        <v>1611</v>
      </c>
      <c r="D34" t="s">
        <v>848</v>
      </c>
      <c r="E34">
        <v>269.02652</v>
      </c>
      <c r="F34">
        <v>279.82702599999999</v>
      </c>
      <c r="G34">
        <v>289.46060199999999</v>
      </c>
      <c r="H34">
        <v>296.36264</v>
      </c>
      <c r="I34">
        <v>302.31024200000002</v>
      </c>
      <c r="J34">
        <v>308.02874800000001</v>
      </c>
      <c r="K34">
        <v>314.33013899999997</v>
      </c>
      <c r="L34">
        <v>320.40551799999997</v>
      </c>
      <c r="M34">
        <v>326.64703400000002</v>
      </c>
      <c r="N34">
        <v>333.86090100000001</v>
      </c>
      <c r="O34">
        <v>341.09448200000003</v>
      </c>
      <c r="P34">
        <v>348.37506100000002</v>
      </c>
      <c r="Q34">
        <v>356.599152</v>
      </c>
      <c r="R34">
        <v>365.34765599999997</v>
      </c>
      <c r="S34">
        <v>374.89434799999998</v>
      </c>
      <c r="T34">
        <v>384.91156000000001</v>
      </c>
      <c r="U34">
        <v>393.82046500000001</v>
      </c>
      <c r="V34">
        <v>403.65057400000001</v>
      </c>
      <c r="W34">
        <v>413.29302999999999</v>
      </c>
      <c r="X34">
        <v>423.00619499999999</v>
      </c>
      <c r="Y34">
        <v>433.00689699999998</v>
      </c>
      <c r="Z34">
        <v>443.49624599999999</v>
      </c>
      <c r="AA34">
        <v>455.74176</v>
      </c>
      <c r="AB34">
        <v>466.20483400000001</v>
      </c>
      <c r="AC34">
        <v>477.67926</v>
      </c>
      <c r="AD34">
        <v>489.91924999999998</v>
      </c>
      <c r="AE34" t="s">
        <v>1612</v>
      </c>
    </row>
    <row r="35" spans="1:31" x14ac:dyDescent="0.25">
      <c r="A35" t="s">
        <v>888</v>
      </c>
      <c r="B35" t="s">
        <v>1613</v>
      </c>
      <c r="C35" t="s">
        <v>1614</v>
      </c>
      <c r="D35" t="s">
        <v>848</v>
      </c>
      <c r="E35">
        <v>208.095215</v>
      </c>
      <c r="F35">
        <v>218.11029099999999</v>
      </c>
      <c r="G35">
        <v>235.54321300000001</v>
      </c>
      <c r="H35">
        <v>241.49198899999999</v>
      </c>
      <c r="I35">
        <v>246.60173</v>
      </c>
      <c r="J35">
        <v>251.25955200000001</v>
      </c>
      <c r="K35">
        <v>256.52487200000002</v>
      </c>
      <c r="L35">
        <v>261.59271200000001</v>
      </c>
      <c r="M35">
        <v>266.77542099999999</v>
      </c>
      <c r="N35">
        <v>272.87124599999999</v>
      </c>
      <c r="O35">
        <v>278.90060399999999</v>
      </c>
      <c r="P35">
        <v>284.930969</v>
      </c>
      <c r="Q35">
        <v>291.79992700000003</v>
      </c>
      <c r="R35">
        <v>299.127838</v>
      </c>
      <c r="S35">
        <v>307.14331099999998</v>
      </c>
      <c r="T35">
        <v>315.56442299999998</v>
      </c>
      <c r="U35">
        <v>322.81253099999998</v>
      </c>
      <c r="V35">
        <v>330.949524</v>
      </c>
      <c r="W35">
        <v>338.80905200000001</v>
      </c>
      <c r="X35">
        <v>346.66275000000002</v>
      </c>
      <c r="Y35">
        <v>354.775665</v>
      </c>
      <c r="Z35">
        <v>363.34979199999998</v>
      </c>
      <c r="AA35">
        <v>373.63244600000002</v>
      </c>
      <c r="AB35">
        <v>382.03060900000003</v>
      </c>
      <c r="AC35">
        <v>391.43182400000001</v>
      </c>
      <c r="AD35">
        <v>401.49066199999999</v>
      </c>
      <c r="AE35" t="s">
        <v>1548</v>
      </c>
    </row>
    <row r="36" spans="1:31" x14ac:dyDescent="0.25">
      <c r="A36" t="s">
        <v>913</v>
      </c>
      <c r="B36" t="s">
        <v>1615</v>
      </c>
      <c r="C36" t="s">
        <v>1616</v>
      </c>
      <c r="D36" t="s">
        <v>848</v>
      </c>
      <c r="E36">
        <v>60.931313000000003</v>
      </c>
      <c r="F36">
        <v>61.716746999999998</v>
      </c>
      <c r="G36">
        <v>53.917400000000001</v>
      </c>
      <c r="H36">
        <v>54.870624999999997</v>
      </c>
      <c r="I36">
        <v>55.708458</v>
      </c>
      <c r="J36">
        <v>56.769154</v>
      </c>
      <c r="K36">
        <v>57.805205999999998</v>
      </c>
      <c r="L36">
        <v>58.812786000000003</v>
      </c>
      <c r="M36">
        <v>59.871605000000002</v>
      </c>
      <c r="N36">
        <v>60.989657999999999</v>
      </c>
      <c r="O36">
        <v>62.193817000000003</v>
      </c>
      <c r="P36">
        <v>63.444065000000002</v>
      </c>
      <c r="Q36">
        <v>64.799210000000002</v>
      </c>
      <c r="R36">
        <v>66.219802999999999</v>
      </c>
      <c r="S36">
        <v>67.751075999999998</v>
      </c>
      <c r="T36">
        <v>69.347121999999999</v>
      </c>
      <c r="U36">
        <v>71.007912000000005</v>
      </c>
      <c r="V36">
        <v>72.701035000000005</v>
      </c>
      <c r="W36">
        <v>74.483954999999995</v>
      </c>
      <c r="X36">
        <v>76.343399000000005</v>
      </c>
      <c r="Y36">
        <v>78.231139999999996</v>
      </c>
      <c r="Z36">
        <v>80.146431000000007</v>
      </c>
      <c r="AA36">
        <v>82.109275999999994</v>
      </c>
      <c r="AB36">
        <v>84.174171000000001</v>
      </c>
      <c r="AC36">
        <v>86.247344999999996</v>
      </c>
      <c r="AD36">
        <v>88.428528</v>
      </c>
      <c r="AE36" t="s">
        <v>1436</v>
      </c>
    </row>
    <row r="37" spans="1:31" x14ac:dyDescent="0.25">
      <c r="A37" t="s">
        <v>916</v>
      </c>
    </row>
    <row r="38" spans="1:31" x14ac:dyDescent="0.25">
      <c r="A38" t="s">
        <v>590</v>
      </c>
      <c r="B38" t="s">
        <v>1617</v>
      </c>
      <c r="C38" t="s">
        <v>1618</v>
      </c>
      <c r="D38" t="s">
        <v>848</v>
      </c>
      <c r="E38">
        <v>738.50408900000002</v>
      </c>
      <c r="F38">
        <v>704.25341800000001</v>
      </c>
      <c r="G38">
        <v>653.29656999999997</v>
      </c>
      <c r="H38">
        <v>583.48333700000001</v>
      </c>
      <c r="I38">
        <v>572.59436000000005</v>
      </c>
      <c r="J38">
        <v>570.35205099999996</v>
      </c>
      <c r="K38">
        <v>478.83132899999998</v>
      </c>
      <c r="L38">
        <v>440.72485399999999</v>
      </c>
      <c r="M38">
        <v>424.06997699999999</v>
      </c>
      <c r="N38">
        <v>399.31085200000001</v>
      </c>
      <c r="O38">
        <v>396.61798099999999</v>
      </c>
      <c r="P38">
        <v>390.37554899999998</v>
      </c>
      <c r="Q38">
        <v>384.03710899999999</v>
      </c>
      <c r="R38">
        <v>383.82843000000003</v>
      </c>
      <c r="S38">
        <v>381.75787400000002</v>
      </c>
      <c r="T38">
        <v>365.32052599999997</v>
      </c>
      <c r="U38">
        <v>356.00170900000001</v>
      </c>
      <c r="V38">
        <v>348.79983499999997</v>
      </c>
      <c r="W38">
        <v>338.06869499999999</v>
      </c>
      <c r="X38">
        <v>330.556152</v>
      </c>
      <c r="Y38">
        <v>325.11227400000001</v>
      </c>
      <c r="Z38">
        <v>319.595123</v>
      </c>
      <c r="AA38">
        <v>321.917145</v>
      </c>
      <c r="AB38">
        <v>322.45358299999998</v>
      </c>
      <c r="AC38">
        <v>311.65368699999999</v>
      </c>
      <c r="AD38">
        <v>299.62734999999998</v>
      </c>
      <c r="AE38" t="s">
        <v>1619</v>
      </c>
    </row>
    <row r="39" spans="1:31" x14ac:dyDescent="0.25">
      <c r="A39" t="s">
        <v>849</v>
      </c>
      <c r="B39" t="s">
        <v>1620</v>
      </c>
      <c r="C39" t="s">
        <v>1621</v>
      </c>
      <c r="D39" t="s">
        <v>848</v>
      </c>
      <c r="E39">
        <v>13.888547000000001</v>
      </c>
      <c r="F39">
        <v>13.519940999999999</v>
      </c>
      <c r="G39">
        <v>12.439581</v>
      </c>
      <c r="H39">
        <v>11.58085</v>
      </c>
      <c r="I39">
        <v>11.207158</v>
      </c>
      <c r="J39">
        <v>11.025646</v>
      </c>
      <c r="K39">
        <v>10.195637</v>
      </c>
      <c r="L39">
        <v>9.793374</v>
      </c>
      <c r="M39">
        <v>9.4667019999999997</v>
      </c>
      <c r="N39">
        <v>9.1468579999999999</v>
      </c>
      <c r="O39">
        <v>8.806317</v>
      </c>
      <c r="P39">
        <v>8.5596789999999991</v>
      </c>
      <c r="Q39">
        <v>8.2590199999999996</v>
      </c>
      <c r="R39">
        <v>7.9214120000000001</v>
      </c>
      <c r="S39">
        <v>7.6561979999999998</v>
      </c>
      <c r="T39">
        <v>7.338279</v>
      </c>
      <c r="U39">
        <v>6.7639129999999996</v>
      </c>
      <c r="V39">
        <v>6.1231809999999998</v>
      </c>
      <c r="W39">
        <v>5.5286879999999998</v>
      </c>
      <c r="X39">
        <v>4.8809839999999998</v>
      </c>
      <c r="Y39">
        <v>4.282508</v>
      </c>
      <c r="Z39">
        <v>4.2770299999999999</v>
      </c>
      <c r="AA39">
        <v>4.2127590000000001</v>
      </c>
      <c r="AB39">
        <v>4.2098000000000004</v>
      </c>
      <c r="AC39">
        <v>4.1653500000000001</v>
      </c>
      <c r="AD39">
        <v>4.197406</v>
      </c>
      <c r="AE39" t="s">
        <v>1622</v>
      </c>
    </row>
    <row r="40" spans="1:31" x14ac:dyDescent="0.25">
      <c r="A40" t="s">
        <v>617</v>
      </c>
      <c r="B40" t="s">
        <v>1623</v>
      </c>
      <c r="C40" t="s">
        <v>1624</v>
      </c>
      <c r="D40" t="s">
        <v>848</v>
      </c>
      <c r="E40">
        <v>1816.0576169999999</v>
      </c>
      <c r="F40">
        <v>1857.4528809999999</v>
      </c>
      <c r="G40">
        <v>1694.4929199999999</v>
      </c>
      <c r="H40">
        <v>1671.650879</v>
      </c>
      <c r="I40">
        <v>1640.7985839999999</v>
      </c>
      <c r="J40">
        <v>1608.9406739999999</v>
      </c>
      <c r="K40">
        <v>1672.2196039999999</v>
      </c>
      <c r="L40">
        <v>1705.463013</v>
      </c>
      <c r="M40">
        <v>1716.0385739999999</v>
      </c>
      <c r="N40">
        <v>1726.5317379999999</v>
      </c>
      <c r="O40">
        <v>1714.3332519999999</v>
      </c>
      <c r="P40">
        <v>1712.9243160000001</v>
      </c>
      <c r="Q40">
        <v>1730.9731449999999</v>
      </c>
      <c r="R40">
        <v>1751.020264</v>
      </c>
      <c r="S40">
        <v>1770.0758060000001</v>
      </c>
      <c r="T40">
        <v>1801.1279300000001</v>
      </c>
      <c r="U40">
        <v>1829.0001219999999</v>
      </c>
      <c r="V40">
        <v>1873.3587649999999</v>
      </c>
      <c r="W40">
        <v>1929.832275</v>
      </c>
      <c r="X40">
        <v>1981.0367429999999</v>
      </c>
      <c r="Y40">
        <v>2032.7933350000001</v>
      </c>
      <c r="Z40">
        <v>2085.4147950000001</v>
      </c>
      <c r="AA40">
        <v>2124.7282709999999</v>
      </c>
      <c r="AB40">
        <v>2164.3603520000001</v>
      </c>
      <c r="AC40">
        <v>2211.4785160000001</v>
      </c>
      <c r="AD40">
        <v>2238.546875</v>
      </c>
      <c r="AE40" t="s">
        <v>1481</v>
      </c>
    </row>
    <row r="41" spans="1:31" x14ac:dyDescent="0.25">
      <c r="A41" t="s">
        <v>854</v>
      </c>
      <c r="B41" t="s">
        <v>1625</v>
      </c>
      <c r="C41" t="s">
        <v>1626</v>
      </c>
      <c r="D41" t="s">
        <v>848</v>
      </c>
      <c r="E41">
        <v>783.91650400000003</v>
      </c>
      <c r="F41">
        <v>801.63769500000001</v>
      </c>
      <c r="G41">
        <v>796.72644000000003</v>
      </c>
      <c r="H41">
        <v>800.162598</v>
      </c>
      <c r="I41">
        <v>801.05145300000004</v>
      </c>
      <c r="J41">
        <v>801.73034700000005</v>
      </c>
      <c r="K41">
        <v>801.74493399999994</v>
      </c>
      <c r="L41">
        <v>801.745361</v>
      </c>
      <c r="M41">
        <v>801.71850600000005</v>
      </c>
      <c r="N41">
        <v>801.71850600000005</v>
      </c>
      <c r="O41">
        <v>801.71801800000003</v>
      </c>
      <c r="P41">
        <v>801.71807899999999</v>
      </c>
      <c r="Q41">
        <v>801.47009300000002</v>
      </c>
      <c r="R41">
        <v>801.07055700000001</v>
      </c>
      <c r="S41">
        <v>801.27258300000005</v>
      </c>
      <c r="T41">
        <v>800.74926800000003</v>
      </c>
      <c r="U41">
        <v>800.19897500000002</v>
      </c>
      <c r="V41">
        <v>801.51501499999995</v>
      </c>
      <c r="W41">
        <v>800.94067399999994</v>
      </c>
      <c r="X41">
        <v>801.71807899999999</v>
      </c>
      <c r="Y41">
        <v>801.71813999999995</v>
      </c>
      <c r="Z41">
        <v>801.71807899999999</v>
      </c>
      <c r="AA41">
        <v>801.71813999999995</v>
      </c>
      <c r="AB41">
        <v>801.71813999999995</v>
      </c>
      <c r="AC41">
        <v>801.71813999999995</v>
      </c>
      <c r="AD41">
        <v>801.69079599999998</v>
      </c>
      <c r="AE41" t="s">
        <v>1445</v>
      </c>
    </row>
    <row r="42" spans="1:31" x14ac:dyDescent="0.25">
      <c r="A42" t="s">
        <v>864</v>
      </c>
      <c r="B42" t="s">
        <v>1627</v>
      </c>
      <c r="C42" t="s">
        <v>1628</v>
      </c>
      <c r="D42" t="s">
        <v>848</v>
      </c>
      <c r="E42">
        <v>1158.3598629999999</v>
      </c>
      <c r="F42">
        <v>1268.428467</v>
      </c>
      <c r="G42">
        <v>1452.5205080000001</v>
      </c>
      <c r="H42">
        <v>1574.42688</v>
      </c>
      <c r="I42">
        <v>1643.077393</v>
      </c>
      <c r="J42">
        <v>1696.102905</v>
      </c>
      <c r="K42">
        <v>1747.2128909999999</v>
      </c>
      <c r="L42">
        <v>1780.67749</v>
      </c>
      <c r="M42">
        <v>1822.1645510000001</v>
      </c>
      <c r="N42">
        <v>1879.1369629999999</v>
      </c>
      <c r="O42">
        <v>1943.071899</v>
      </c>
      <c r="P42">
        <v>2008.5563959999999</v>
      </c>
      <c r="Q42">
        <v>2057.7517090000001</v>
      </c>
      <c r="R42">
        <v>2100.2165530000002</v>
      </c>
      <c r="S42">
        <v>2144.6076659999999</v>
      </c>
      <c r="T42">
        <v>2187.0458979999999</v>
      </c>
      <c r="U42">
        <v>2224.3688959999999</v>
      </c>
      <c r="V42">
        <v>2245.4838869999999</v>
      </c>
      <c r="W42">
        <v>2258.1916500000002</v>
      </c>
      <c r="X42">
        <v>2270.4770509999998</v>
      </c>
      <c r="Y42">
        <v>2282.5959469999998</v>
      </c>
      <c r="Z42">
        <v>2296.6503910000001</v>
      </c>
      <c r="AA42">
        <v>2312.8286130000001</v>
      </c>
      <c r="AB42">
        <v>2326.6298830000001</v>
      </c>
      <c r="AC42">
        <v>2344.2353520000001</v>
      </c>
      <c r="AD42">
        <v>2381.992432</v>
      </c>
      <c r="AE42" t="s">
        <v>1478</v>
      </c>
    </row>
    <row r="43" spans="1:31" x14ac:dyDescent="0.25">
      <c r="A43" t="s">
        <v>860</v>
      </c>
      <c r="B43" t="s">
        <v>1629</v>
      </c>
      <c r="C43" t="s">
        <v>1630</v>
      </c>
      <c r="D43" t="s">
        <v>848</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6.0099999999999997E-4</v>
      </c>
      <c r="AD43">
        <v>6.6500000000000001E-4</v>
      </c>
      <c r="AE43" t="s">
        <v>863</v>
      </c>
    </row>
    <row r="44" spans="1:31" x14ac:dyDescent="0.25">
      <c r="A44" t="s">
        <v>605</v>
      </c>
      <c r="B44" t="s">
        <v>1631</v>
      </c>
      <c r="C44" t="s">
        <v>1632</v>
      </c>
      <c r="D44" t="s">
        <v>848</v>
      </c>
      <c r="E44">
        <v>6.7356319999999998</v>
      </c>
      <c r="F44">
        <v>4.3360399999999997</v>
      </c>
      <c r="G44">
        <v>2.719754</v>
      </c>
      <c r="H44">
        <v>0.178341</v>
      </c>
      <c r="I44">
        <v>5.6220000000000003E-3</v>
      </c>
      <c r="J44">
        <v>-0.91808699999999999</v>
      </c>
      <c r="K44">
        <v>6.6136E-2</v>
      </c>
      <c r="L44">
        <v>0.15263099999999999</v>
      </c>
      <c r="M44">
        <v>0.38739699999999999</v>
      </c>
      <c r="N44">
        <v>-0.33839200000000003</v>
      </c>
      <c r="O44">
        <v>-0.93692200000000003</v>
      </c>
      <c r="P44">
        <v>-1.277183</v>
      </c>
      <c r="Q44">
        <v>-1.5653699999999999</v>
      </c>
      <c r="R44">
        <v>-2.7490839999999999</v>
      </c>
      <c r="S44">
        <v>-3.5828959999999999</v>
      </c>
      <c r="T44">
        <v>-3.7116210000000001</v>
      </c>
      <c r="U44">
        <v>-4.2075959999999997</v>
      </c>
      <c r="V44">
        <v>-4.1979790000000001</v>
      </c>
      <c r="W44">
        <v>-3.9574940000000001</v>
      </c>
      <c r="X44">
        <v>-4.3982650000000003</v>
      </c>
      <c r="Y44">
        <v>-3.8093149999999998</v>
      </c>
      <c r="Z44">
        <v>-3.6531799999999999</v>
      </c>
      <c r="AA44">
        <v>-3.196739</v>
      </c>
      <c r="AB44">
        <v>-3.1771419999999999</v>
      </c>
      <c r="AC44">
        <v>-3.3156490000000001</v>
      </c>
      <c r="AD44">
        <v>-3.4998860000000001</v>
      </c>
      <c r="AE44" t="s">
        <v>863</v>
      </c>
    </row>
    <row r="45" spans="1:31" x14ac:dyDescent="0.25">
      <c r="A45" t="s">
        <v>762</v>
      </c>
      <c r="B45" t="s">
        <v>1633</v>
      </c>
      <c r="C45" t="s">
        <v>1634</v>
      </c>
      <c r="D45" t="s">
        <v>848</v>
      </c>
      <c r="E45">
        <v>4517.4624020000001</v>
      </c>
      <c r="F45">
        <v>4649.6284180000002</v>
      </c>
      <c r="G45">
        <v>4612.1958009999998</v>
      </c>
      <c r="H45">
        <v>4641.4833980000003</v>
      </c>
      <c r="I45">
        <v>4668.734375</v>
      </c>
      <c r="J45">
        <v>4687.2333980000003</v>
      </c>
      <c r="K45">
        <v>4710.2705079999996</v>
      </c>
      <c r="L45">
        <v>4738.5566410000001</v>
      </c>
      <c r="M45">
        <v>4773.845703</v>
      </c>
      <c r="N45">
        <v>4815.5063479999999</v>
      </c>
      <c r="O45">
        <v>4863.6103519999997</v>
      </c>
      <c r="P45">
        <v>4920.8564450000003</v>
      </c>
      <c r="Q45">
        <v>4980.9257809999999</v>
      </c>
      <c r="R45">
        <v>5041.3085940000001</v>
      </c>
      <c r="S45">
        <v>5101.7871089999999</v>
      </c>
      <c r="T45">
        <v>5157.8701170000004</v>
      </c>
      <c r="U45">
        <v>5212.1259769999997</v>
      </c>
      <c r="V45">
        <v>5271.0830079999996</v>
      </c>
      <c r="W45">
        <v>5328.6044920000004</v>
      </c>
      <c r="X45">
        <v>5384.2709960000002</v>
      </c>
      <c r="Y45">
        <v>5442.6933589999999</v>
      </c>
      <c r="Z45">
        <v>5504.001953</v>
      </c>
      <c r="AA45">
        <v>5562.2075199999999</v>
      </c>
      <c r="AB45">
        <v>5616.1953119999998</v>
      </c>
      <c r="AC45">
        <v>5669.9360349999997</v>
      </c>
      <c r="AD45">
        <v>5722.5556640000004</v>
      </c>
      <c r="AE45" t="s">
        <v>1524</v>
      </c>
    </row>
    <row r="46" spans="1:31" x14ac:dyDescent="0.25">
      <c r="A46" t="s">
        <v>764</v>
      </c>
      <c r="B46" t="s">
        <v>1635</v>
      </c>
      <c r="C46" t="s">
        <v>1636</v>
      </c>
      <c r="D46" t="s">
        <v>848</v>
      </c>
      <c r="E46">
        <v>4288.4648440000001</v>
      </c>
      <c r="F46">
        <v>4410.6845700000003</v>
      </c>
      <c r="G46">
        <v>4355.8271480000003</v>
      </c>
      <c r="H46">
        <v>4379.7114259999998</v>
      </c>
      <c r="I46">
        <v>4401.8530270000001</v>
      </c>
      <c r="J46">
        <v>4415.7075199999999</v>
      </c>
      <c r="K46">
        <v>4433.4892579999996</v>
      </c>
      <c r="L46">
        <v>4456.7075199999999</v>
      </c>
      <c r="M46">
        <v>4486.828125</v>
      </c>
      <c r="N46">
        <v>4522.3930659999996</v>
      </c>
      <c r="O46">
        <v>4564.4692379999997</v>
      </c>
      <c r="P46">
        <v>4615.6845700000003</v>
      </c>
      <c r="Q46">
        <v>4668.8852539999998</v>
      </c>
      <c r="R46">
        <v>4721.9418949999999</v>
      </c>
      <c r="S46">
        <v>4774.4047849999997</v>
      </c>
      <c r="T46">
        <v>4822.0668949999999</v>
      </c>
      <c r="U46">
        <v>4869.0747069999998</v>
      </c>
      <c r="V46">
        <v>4919.8950199999999</v>
      </c>
      <c r="W46">
        <v>4969.5566410000001</v>
      </c>
      <c r="X46">
        <v>5017.3691410000001</v>
      </c>
      <c r="Y46">
        <v>5067.6787109999996</v>
      </c>
      <c r="Z46">
        <v>5120.4135740000002</v>
      </c>
      <c r="AA46">
        <v>5168.3364259999998</v>
      </c>
      <c r="AB46">
        <v>5213.9257809999999</v>
      </c>
      <c r="AC46">
        <v>5258.265625</v>
      </c>
      <c r="AD46">
        <v>5300.826172</v>
      </c>
      <c r="AE46" t="s">
        <v>1462</v>
      </c>
    </row>
    <row r="47" spans="1:31" x14ac:dyDescent="0.25">
      <c r="A47" t="s">
        <v>766</v>
      </c>
      <c r="B47" t="s">
        <v>1637</v>
      </c>
      <c r="C47" t="s">
        <v>1638</v>
      </c>
      <c r="D47" t="s">
        <v>848</v>
      </c>
      <c r="E47">
        <v>24.114979000000002</v>
      </c>
      <c r="F47">
        <v>31.084902</v>
      </c>
      <c r="G47">
        <v>57.435535000000002</v>
      </c>
      <c r="H47">
        <v>69.011131000000006</v>
      </c>
      <c r="I47">
        <v>74.867569000000003</v>
      </c>
      <c r="J47">
        <v>82.014815999999996</v>
      </c>
      <c r="K47">
        <v>83.626793000000006</v>
      </c>
      <c r="L47">
        <v>85.131125999999995</v>
      </c>
      <c r="M47">
        <v>87.999122999999997</v>
      </c>
      <c r="N47">
        <v>89.189910999999995</v>
      </c>
      <c r="O47">
        <v>90.606285</v>
      </c>
      <c r="P47">
        <v>88.100982999999999</v>
      </c>
      <c r="Q47">
        <v>87.610489000000001</v>
      </c>
      <c r="R47">
        <v>87.208777999999995</v>
      </c>
      <c r="S47">
        <v>86.186440000000005</v>
      </c>
      <c r="T47">
        <v>87.094054999999997</v>
      </c>
      <c r="U47">
        <v>87.005249000000006</v>
      </c>
      <c r="V47">
        <v>83.208916000000002</v>
      </c>
      <c r="W47">
        <v>79.940719999999999</v>
      </c>
      <c r="X47">
        <v>78.595703</v>
      </c>
      <c r="Y47">
        <v>78.236908</v>
      </c>
      <c r="Z47">
        <v>73.718177999999995</v>
      </c>
      <c r="AA47">
        <v>70.935738000000001</v>
      </c>
      <c r="AB47">
        <v>68.241202999999999</v>
      </c>
      <c r="AC47">
        <v>65.264572000000001</v>
      </c>
      <c r="AD47">
        <v>62.505580999999999</v>
      </c>
      <c r="AE47" t="s">
        <v>1639</v>
      </c>
    </row>
    <row r="48" spans="1:31" x14ac:dyDescent="0.25">
      <c r="A48" t="s">
        <v>767</v>
      </c>
    </row>
    <row r="49" spans="1:31" x14ac:dyDescent="0.25">
      <c r="A49" t="s">
        <v>937</v>
      </c>
      <c r="B49" t="s">
        <v>1640</v>
      </c>
      <c r="C49" t="s">
        <v>1641</v>
      </c>
      <c r="D49" t="s">
        <v>848</v>
      </c>
      <c r="E49">
        <v>1528.844482</v>
      </c>
      <c r="F49">
        <v>1540.871948</v>
      </c>
      <c r="G49">
        <v>1519.011841</v>
      </c>
      <c r="H49">
        <v>1537.9884030000001</v>
      </c>
      <c r="I49">
        <v>1550.8035890000001</v>
      </c>
      <c r="J49">
        <v>1556.22937</v>
      </c>
      <c r="K49">
        <v>1558.5588379999999</v>
      </c>
      <c r="L49">
        <v>1561.2551269999999</v>
      </c>
      <c r="M49">
        <v>1565.1461179999999</v>
      </c>
      <c r="N49">
        <v>1571.192505</v>
      </c>
      <c r="O49">
        <v>1578.6204829999999</v>
      </c>
      <c r="P49">
        <v>1587.3039550000001</v>
      </c>
      <c r="Q49">
        <v>1596.895996</v>
      </c>
      <c r="R49">
        <v>1607.530518</v>
      </c>
      <c r="S49">
        <v>1618.5814210000001</v>
      </c>
      <c r="T49">
        <v>1628.180298</v>
      </c>
      <c r="U49">
        <v>1639.0439449999999</v>
      </c>
      <c r="V49">
        <v>1651.544922</v>
      </c>
      <c r="W49">
        <v>1665.550293</v>
      </c>
      <c r="X49">
        <v>1679.7308350000001</v>
      </c>
      <c r="Y49">
        <v>1693.0852050000001</v>
      </c>
      <c r="Z49">
        <v>1706.9041749999999</v>
      </c>
      <c r="AA49">
        <v>1719.872803</v>
      </c>
      <c r="AB49">
        <v>1732.487427</v>
      </c>
      <c r="AC49">
        <v>1745.6926269999999</v>
      </c>
      <c r="AD49">
        <v>1758.864624</v>
      </c>
      <c r="AE49" t="s">
        <v>1642</v>
      </c>
    </row>
    <row r="50" spans="1:31" x14ac:dyDescent="0.25">
      <c r="A50" t="s">
        <v>940</v>
      </c>
      <c r="B50" t="s">
        <v>1643</v>
      </c>
      <c r="C50" t="s">
        <v>1644</v>
      </c>
      <c r="D50" t="s">
        <v>848</v>
      </c>
      <c r="E50">
        <v>1472.8522949999999</v>
      </c>
      <c r="F50">
        <v>1539.7532960000001</v>
      </c>
      <c r="G50">
        <v>1555.3668210000001</v>
      </c>
      <c r="H50">
        <v>1575.443115</v>
      </c>
      <c r="I50">
        <v>1595.3477780000001</v>
      </c>
      <c r="J50">
        <v>1608.9155270000001</v>
      </c>
      <c r="K50">
        <v>1623.73938</v>
      </c>
      <c r="L50">
        <v>1640.010254</v>
      </c>
      <c r="M50">
        <v>1658.0177000000001</v>
      </c>
      <c r="N50">
        <v>1676.740967</v>
      </c>
      <c r="O50">
        <v>1696.8009030000001</v>
      </c>
      <c r="P50">
        <v>1718.951538</v>
      </c>
      <c r="Q50">
        <v>1740.957275</v>
      </c>
      <c r="R50">
        <v>1763.3638920000001</v>
      </c>
      <c r="S50">
        <v>1785.3743899999999</v>
      </c>
      <c r="T50">
        <v>1806.9803469999999</v>
      </c>
      <c r="U50">
        <v>1829.7155760000001</v>
      </c>
      <c r="V50">
        <v>1852.052856</v>
      </c>
      <c r="W50">
        <v>1875.1335449999999</v>
      </c>
      <c r="X50">
        <v>1897.9033199999999</v>
      </c>
      <c r="Y50">
        <v>1920.702393</v>
      </c>
      <c r="Z50">
        <v>1941.670044</v>
      </c>
      <c r="AA50">
        <v>1960.3642580000001</v>
      </c>
      <c r="AB50">
        <v>1977.6099850000001</v>
      </c>
      <c r="AC50">
        <v>1994.243164</v>
      </c>
      <c r="AD50">
        <v>2009.891846</v>
      </c>
      <c r="AE50" t="s">
        <v>1513</v>
      </c>
    </row>
    <row r="51" spans="1:31" x14ac:dyDescent="0.25">
      <c r="A51" t="s">
        <v>943</v>
      </c>
      <c r="B51" t="s">
        <v>1645</v>
      </c>
      <c r="C51" t="s">
        <v>1646</v>
      </c>
      <c r="D51" t="s">
        <v>848</v>
      </c>
      <c r="E51">
        <v>1060.286499</v>
      </c>
      <c r="F51">
        <v>1095.286499</v>
      </c>
      <c r="G51">
        <v>1084.997192</v>
      </c>
      <c r="H51">
        <v>1078.899048</v>
      </c>
      <c r="I51">
        <v>1073.6547849999999</v>
      </c>
      <c r="J51">
        <v>1074.6347659999999</v>
      </c>
      <c r="K51">
        <v>1075.053345</v>
      </c>
      <c r="L51">
        <v>1078.6763920000001</v>
      </c>
      <c r="M51">
        <v>1086.2540280000001</v>
      </c>
      <c r="N51">
        <v>1095.342163</v>
      </c>
      <c r="O51">
        <v>1107.7235109999999</v>
      </c>
      <c r="P51">
        <v>1122.0086670000001</v>
      </c>
      <c r="Q51">
        <v>1139.4267580000001</v>
      </c>
      <c r="R51">
        <v>1155.697754</v>
      </c>
      <c r="S51">
        <v>1171.4954829999999</v>
      </c>
      <c r="T51">
        <v>1185.7698969999999</v>
      </c>
      <c r="U51">
        <v>1197.1311040000001</v>
      </c>
      <c r="V51">
        <v>1206.5622559999999</v>
      </c>
      <c r="W51">
        <v>1212.7146</v>
      </c>
      <c r="X51">
        <v>1218.4892580000001</v>
      </c>
      <c r="Y51">
        <v>1228.4499510000001</v>
      </c>
      <c r="Z51">
        <v>1238.6123050000001</v>
      </c>
      <c r="AA51">
        <v>1249.4506839999999</v>
      </c>
      <c r="AB51">
        <v>1260.0225829999999</v>
      </c>
      <c r="AC51">
        <v>1268.979736</v>
      </c>
      <c r="AD51">
        <v>1277.6076660000001</v>
      </c>
      <c r="AE51" t="s">
        <v>1528</v>
      </c>
    </row>
    <row r="52" spans="1:31" x14ac:dyDescent="0.25">
      <c r="A52" t="s">
        <v>946</v>
      </c>
      <c r="B52" t="s">
        <v>1647</v>
      </c>
      <c r="C52" t="s">
        <v>1648</v>
      </c>
      <c r="D52" t="s">
        <v>848</v>
      </c>
      <c r="E52">
        <v>7.2021249999999997</v>
      </c>
      <c r="F52">
        <v>7.4289670000000001</v>
      </c>
      <c r="G52">
        <v>7.587046</v>
      </c>
      <c r="H52">
        <v>7.7263770000000003</v>
      </c>
      <c r="I52">
        <v>7.8349019999999996</v>
      </c>
      <c r="J52">
        <v>7.9291689999999999</v>
      </c>
      <c r="K52">
        <v>7.9998149999999999</v>
      </c>
      <c r="L52">
        <v>8.0701009999999993</v>
      </c>
      <c r="M52">
        <v>8.1454830000000005</v>
      </c>
      <c r="N52">
        <v>8.2143739999999994</v>
      </c>
      <c r="O52">
        <v>8.3202160000000003</v>
      </c>
      <c r="P52">
        <v>8.4219860000000004</v>
      </c>
      <c r="Q52">
        <v>8.5326970000000006</v>
      </c>
      <c r="R52">
        <v>8.6327180000000006</v>
      </c>
      <c r="S52">
        <v>8.7122930000000007</v>
      </c>
      <c r="T52">
        <v>8.7934230000000007</v>
      </c>
      <c r="U52">
        <v>8.8624530000000004</v>
      </c>
      <c r="V52">
        <v>8.9312970000000007</v>
      </c>
      <c r="W52">
        <v>8.9876380000000005</v>
      </c>
      <c r="X52">
        <v>9.0495800000000006</v>
      </c>
      <c r="Y52">
        <v>9.1163030000000003</v>
      </c>
      <c r="Z52">
        <v>9.1707059999999991</v>
      </c>
      <c r="AA52">
        <v>9.2310490000000005</v>
      </c>
      <c r="AB52">
        <v>9.2740860000000005</v>
      </c>
      <c r="AC52">
        <v>9.3145629999999997</v>
      </c>
      <c r="AD52">
        <v>9.3530390000000008</v>
      </c>
      <c r="AE52" t="s">
        <v>1439</v>
      </c>
    </row>
    <row r="53" spans="1:31" x14ac:dyDescent="0.25">
      <c r="A53" t="s">
        <v>608</v>
      </c>
      <c r="B53" t="s">
        <v>1649</v>
      </c>
      <c r="C53" t="s">
        <v>1650</v>
      </c>
      <c r="D53" t="s">
        <v>848</v>
      </c>
      <c r="E53">
        <v>4069.1850589999999</v>
      </c>
      <c r="F53">
        <v>4183.3408200000003</v>
      </c>
      <c r="G53">
        <v>4166.9624020000001</v>
      </c>
      <c r="H53">
        <v>4200.0566410000001</v>
      </c>
      <c r="I53">
        <v>4227.6411129999997</v>
      </c>
      <c r="J53">
        <v>4247.7089839999999</v>
      </c>
      <c r="K53">
        <v>4265.3515619999998</v>
      </c>
      <c r="L53">
        <v>4288.0117190000001</v>
      </c>
      <c r="M53">
        <v>4317.5629879999997</v>
      </c>
      <c r="N53">
        <v>4351.4902339999999</v>
      </c>
      <c r="O53">
        <v>4391.4653319999998</v>
      </c>
      <c r="P53">
        <v>4436.6860349999997</v>
      </c>
      <c r="Q53">
        <v>4485.8125</v>
      </c>
      <c r="R53">
        <v>4535.2250979999999</v>
      </c>
      <c r="S53">
        <v>4584.1635740000002</v>
      </c>
      <c r="T53">
        <v>4629.7236329999996</v>
      </c>
      <c r="U53">
        <v>4674.7529299999997</v>
      </c>
      <c r="V53">
        <v>4719.0913090000004</v>
      </c>
      <c r="W53">
        <v>4762.3862300000001</v>
      </c>
      <c r="X53">
        <v>4805.1728519999997</v>
      </c>
      <c r="Y53">
        <v>4851.3535160000001</v>
      </c>
      <c r="Z53">
        <v>4896.357422</v>
      </c>
      <c r="AA53">
        <v>4938.9184569999998</v>
      </c>
      <c r="AB53">
        <v>4979.3940430000002</v>
      </c>
      <c r="AC53">
        <v>5018.2294920000004</v>
      </c>
      <c r="AD53">
        <v>5055.7172849999997</v>
      </c>
      <c r="AE53" t="s">
        <v>1462</v>
      </c>
    </row>
    <row r="54" spans="1:31" x14ac:dyDescent="0.25">
      <c r="A54" t="s">
        <v>779</v>
      </c>
      <c r="B54" t="s">
        <v>1651</v>
      </c>
      <c r="C54" t="s">
        <v>1652</v>
      </c>
      <c r="D54" t="s">
        <v>848</v>
      </c>
      <c r="E54">
        <v>228.99766500000001</v>
      </c>
      <c r="F54">
        <v>238.943985</v>
      </c>
      <c r="G54">
        <v>256.36901899999998</v>
      </c>
      <c r="H54">
        <v>261.77181999999999</v>
      </c>
      <c r="I54">
        <v>266.88156099999998</v>
      </c>
      <c r="J54">
        <v>271.52554300000003</v>
      </c>
      <c r="K54">
        <v>276.78118899999998</v>
      </c>
      <c r="L54">
        <v>281.84903000000003</v>
      </c>
      <c r="M54">
        <v>287.01779199999999</v>
      </c>
      <c r="N54">
        <v>293.11361699999998</v>
      </c>
      <c r="O54">
        <v>299.14132699999999</v>
      </c>
      <c r="P54">
        <v>305.17169200000001</v>
      </c>
      <c r="Q54">
        <v>312.04064899999997</v>
      </c>
      <c r="R54">
        <v>319.36660799999999</v>
      </c>
      <c r="S54">
        <v>327.38207999999997</v>
      </c>
      <c r="T54">
        <v>335.80319200000002</v>
      </c>
      <c r="U54">
        <v>343.05130000000003</v>
      </c>
      <c r="V54">
        <v>351.18829299999999</v>
      </c>
      <c r="W54">
        <v>359.047821</v>
      </c>
      <c r="X54">
        <v>366.90152</v>
      </c>
      <c r="Y54">
        <v>375.01443499999999</v>
      </c>
      <c r="Z54">
        <v>383.58856200000002</v>
      </c>
      <c r="AA54">
        <v>393.871216</v>
      </c>
      <c r="AB54">
        <v>402.26937900000001</v>
      </c>
      <c r="AC54">
        <v>411.670593</v>
      </c>
      <c r="AD54">
        <v>421.72943099999998</v>
      </c>
      <c r="AE54" t="s">
        <v>1653</v>
      </c>
    </row>
    <row r="55" spans="1:31" x14ac:dyDescent="0.25">
      <c r="A55" t="s">
        <v>781</v>
      </c>
      <c r="B55" t="s">
        <v>1654</v>
      </c>
      <c r="C55" t="s">
        <v>1655</v>
      </c>
      <c r="D55" t="s">
        <v>848</v>
      </c>
      <c r="E55">
        <v>4298.1826170000004</v>
      </c>
      <c r="F55">
        <v>4422.2846680000002</v>
      </c>
      <c r="G55">
        <v>4423.3315430000002</v>
      </c>
      <c r="H55">
        <v>4461.8286129999997</v>
      </c>
      <c r="I55">
        <v>4494.5224609999996</v>
      </c>
      <c r="J55">
        <v>4519.234375</v>
      </c>
      <c r="K55">
        <v>4542.1328119999998</v>
      </c>
      <c r="L55">
        <v>4569.8608400000003</v>
      </c>
      <c r="M55">
        <v>4604.5805659999996</v>
      </c>
      <c r="N55">
        <v>4644.6040039999998</v>
      </c>
      <c r="O55">
        <v>4690.6064450000003</v>
      </c>
      <c r="P55">
        <v>4741.8579099999997</v>
      </c>
      <c r="Q55">
        <v>4797.8530270000001</v>
      </c>
      <c r="R55">
        <v>4854.591797</v>
      </c>
      <c r="S55">
        <v>4911.5458980000003</v>
      </c>
      <c r="T55">
        <v>4965.5268550000001</v>
      </c>
      <c r="U55">
        <v>5017.8041990000002</v>
      </c>
      <c r="V55">
        <v>5070.2797849999997</v>
      </c>
      <c r="W55">
        <v>5121.4340819999998</v>
      </c>
      <c r="X55">
        <v>5172.0742190000001</v>
      </c>
      <c r="Y55">
        <v>5226.3681640000004</v>
      </c>
      <c r="Z55">
        <v>5279.9458009999998</v>
      </c>
      <c r="AA55">
        <v>5332.7895509999998</v>
      </c>
      <c r="AB55">
        <v>5381.6635740000002</v>
      </c>
      <c r="AC55">
        <v>5429.8999020000001</v>
      </c>
      <c r="AD55">
        <v>5477.4467770000001</v>
      </c>
      <c r="AE55" t="s">
        <v>1524</v>
      </c>
    </row>
    <row r="56" spans="1:31" x14ac:dyDescent="0.25">
      <c r="A56" t="s">
        <v>782</v>
      </c>
    </row>
    <row r="57" spans="1:31" x14ac:dyDescent="0.25">
      <c r="A57" t="s">
        <v>1656</v>
      </c>
    </row>
    <row r="58" spans="1:31" x14ac:dyDescent="0.25">
      <c r="A58" t="s">
        <v>937</v>
      </c>
      <c r="B58" t="s">
        <v>1657</v>
      </c>
      <c r="C58" t="s">
        <v>1658</v>
      </c>
      <c r="D58" t="s">
        <v>1534</v>
      </c>
      <c r="E58">
        <v>16.679449000000002</v>
      </c>
      <c r="F58">
        <v>16.708759000000001</v>
      </c>
      <c r="G58">
        <v>16.335381000000002</v>
      </c>
      <c r="H58">
        <v>15.972631</v>
      </c>
      <c r="I58">
        <v>16.069851</v>
      </c>
      <c r="J58">
        <v>16.232686999999999</v>
      </c>
      <c r="K58">
        <v>16.391527</v>
      </c>
      <c r="L58">
        <v>16.506779000000002</v>
      </c>
      <c r="M58">
        <v>16.629065000000001</v>
      </c>
      <c r="N58">
        <v>16.748626999999999</v>
      </c>
      <c r="O58">
        <v>16.83079</v>
      </c>
      <c r="P58">
        <v>16.907824999999999</v>
      </c>
      <c r="Q58">
        <v>17.037876000000001</v>
      </c>
      <c r="R58">
        <v>17.134222000000001</v>
      </c>
      <c r="S58">
        <v>17.245819000000001</v>
      </c>
      <c r="T58">
        <v>17.370194999999999</v>
      </c>
      <c r="U58">
        <v>17.438676999999998</v>
      </c>
      <c r="V58">
        <v>17.456944</v>
      </c>
      <c r="W58">
        <v>17.441448000000001</v>
      </c>
      <c r="X58">
        <v>17.433533000000001</v>
      </c>
      <c r="Y58">
        <v>17.391911</v>
      </c>
      <c r="Z58">
        <v>17.478697</v>
      </c>
      <c r="AA58">
        <v>17.568045000000001</v>
      </c>
      <c r="AB58">
        <v>17.658470000000001</v>
      </c>
      <c r="AC58">
        <v>17.711119</v>
      </c>
      <c r="AD58">
        <v>17.792346999999999</v>
      </c>
      <c r="AE58" t="s">
        <v>1492</v>
      </c>
    </row>
    <row r="59" spans="1:31" x14ac:dyDescent="0.25">
      <c r="A59" t="s">
        <v>940</v>
      </c>
      <c r="B59" t="s">
        <v>1659</v>
      </c>
      <c r="C59" t="s">
        <v>1660</v>
      </c>
      <c r="D59" t="s">
        <v>1534</v>
      </c>
      <c r="E59">
        <v>13.479365</v>
      </c>
      <c r="F59">
        <v>13.393731000000001</v>
      </c>
      <c r="G59">
        <v>12.968285</v>
      </c>
      <c r="H59">
        <v>12.633721</v>
      </c>
      <c r="I59">
        <v>12.716706</v>
      </c>
      <c r="J59">
        <v>12.855354999999999</v>
      </c>
      <c r="K59">
        <v>12.970283999999999</v>
      </c>
      <c r="L59">
        <v>13.023457000000001</v>
      </c>
      <c r="M59">
        <v>13.094488999999999</v>
      </c>
      <c r="N59">
        <v>13.180135</v>
      </c>
      <c r="O59">
        <v>13.208648</v>
      </c>
      <c r="P59">
        <v>13.227195999999999</v>
      </c>
      <c r="Q59">
        <v>13.299536</v>
      </c>
      <c r="R59">
        <v>13.345470000000001</v>
      </c>
      <c r="S59">
        <v>13.415369999999999</v>
      </c>
      <c r="T59">
        <v>13.481884000000001</v>
      </c>
      <c r="U59">
        <v>13.487019999999999</v>
      </c>
      <c r="V59">
        <v>13.465365</v>
      </c>
      <c r="W59">
        <v>13.409784999999999</v>
      </c>
      <c r="X59">
        <v>13.36314</v>
      </c>
      <c r="Y59">
        <v>13.260414000000001</v>
      </c>
      <c r="Z59">
        <v>13.308256</v>
      </c>
      <c r="AA59">
        <v>13.350077000000001</v>
      </c>
      <c r="AB59">
        <v>13.396224999999999</v>
      </c>
      <c r="AC59">
        <v>13.399386</v>
      </c>
      <c r="AD59">
        <v>13.433107</v>
      </c>
      <c r="AE59" t="s">
        <v>1580</v>
      </c>
    </row>
    <row r="60" spans="1:31" x14ac:dyDescent="0.25">
      <c r="A60" t="s">
        <v>943</v>
      </c>
      <c r="B60" t="s">
        <v>1661</v>
      </c>
      <c r="C60" t="s">
        <v>1662</v>
      </c>
      <c r="D60" t="s">
        <v>1534</v>
      </c>
      <c r="E60">
        <v>9.0744620000000005</v>
      </c>
      <c r="F60">
        <v>9.0267959999999992</v>
      </c>
      <c r="G60">
        <v>8.6185130000000001</v>
      </c>
      <c r="H60">
        <v>8.3946729999999992</v>
      </c>
      <c r="I60">
        <v>8.4637600000000006</v>
      </c>
      <c r="J60">
        <v>8.5896530000000002</v>
      </c>
      <c r="K60">
        <v>8.7114700000000003</v>
      </c>
      <c r="L60">
        <v>8.7551400000000008</v>
      </c>
      <c r="M60">
        <v>8.8244910000000001</v>
      </c>
      <c r="N60">
        <v>8.8669399999999996</v>
      </c>
      <c r="O60">
        <v>8.8978429999999999</v>
      </c>
      <c r="P60">
        <v>8.9196050000000007</v>
      </c>
      <c r="Q60">
        <v>8.9634440000000009</v>
      </c>
      <c r="R60">
        <v>8.9881919999999997</v>
      </c>
      <c r="S60">
        <v>9.0401889999999998</v>
      </c>
      <c r="T60">
        <v>9.0953839999999992</v>
      </c>
      <c r="U60">
        <v>9.0931689999999996</v>
      </c>
      <c r="V60">
        <v>9.0436639999999997</v>
      </c>
      <c r="W60">
        <v>8.9917300000000004</v>
      </c>
      <c r="X60">
        <v>8.9439519999999995</v>
      </c>
      <c r="Y60">
        <v>8.8716369999999998</v>
      </c>
      <c r="Z60">
        <v>8.9173639999999992</v>
      </c>
      <c r="AA60">
        <v>8.9461460000000006</v>
      </c>
      <c r="AB60">
        <v>8.9649809999999999</v>
      </c>
      <c r="AC60">
        <v>8.9591349999999998</v>
      </c>
      <c r="AD60">
        <v>8.9725549999999998</v>
      </c>
      <c r="AE60" t="s">
        <v>1580</v>
      </c>
    </row>
    <row r="61" spans="1:31" x14ac:dyDescent="0.25">
      <c r="A61" t="s">
        <v>946</v>
      </c>
      <c r="B61" t="s">
        <v>1663</v>
      </c>
      <c r="C61" t="s">
        <v>1664</v>
      </c>
      <c r="D61" t="s">
        <v>1534</v>
      </c>
      <c r="E61">
        <v>15.411224000000001</v>
      </c>
      <c r="F61">
        <v>15.426266999999999</v>
      </c>
      <c r="G61">
        <v>14.953918</v>
      </c>
      <c r="H61">
        <v>14.355422000000001</v>
      </c>
      <c r="I61">
        <v>14.444549</v>
      </c>
      <c r="J61">
        <v>14.609444</v>
      </c>
      <c r="K61">
        <v>14.647691</v>
      </c>
      <c r="L61">
        <v>14.648234</v>
      </c>
      <c r="M61">
        <v>14.678693000000001</v>
      </c>
      <c r="N61">
        <v>14.832789999999999</v>
      </c>
      <c r="O61">
        <v>14.891843</v>
      </c>
      <c r="P61">
        <v>14.951879999999999</v>
      </c>
      <c r="Q61">
        <v>15.106807999999999</v>
      </c>
      <c r="R61">
        <v>15.218783999999999</v>
      </c>
      <c r="S61">
        <v>15.335665000000001</v>
      </c>
      <c r="T61">
        <v>15.403994000000001</v>
      </c>
      <c r="U61">
        <v>15.414680000000001</v>
      </c>
      <c r="V61">
        <v>15.427785</v>
      </c>
      <c r="W61">
        <v>15.408569999999999</v>
      </c>
      <c r="X61">
        <v>15.409253</v>
      </c>
      <c r="Y61">
        <v>15.364057000000001</v>
      </c>
      <c r="Z61">
        <v>15.406594999999999</v>
      </c>
      <c r="AA61">
        <v>15.483712000000001</v>
      </c>
      <c r="AB61">
        <v>15.562707</v>
      </c>
      <c r="AC61">
        <v>15.570354</v>
      </c>
      <c r="AD61">
        <v>15.615302</v>
      </c>
      <c r="AE61" t="s">
        <v>1445</v>
      </c>
    </row>
    <row r="62" spans="1:31" x14ac:dyDescent="0.25">
      <c r="A62" t="s">
        <v>964</v>
      </c>
      <c r="B62" t="s">
        <v>1665</v>
      </c>
      <c r="C62" t="s">
        <v>1666</v>
      </c>
      <c r="D62" t="s">
        <v>1534</v>
      </c>
      <c r="E62">
        <v>13.537334</v>
      </c>
      <c r="F62">
        <v>13.475026</v>
      </c>
      <c r="G62">
        <v>13.066732999999999</v>
      </c>
      <c r="H62">
        <v>12.770625000000001</v>
      </c>
      <c r="I62">
        <v>12.869842999999999</v>
      </c>
      <c r="J62">
        <v>13.016791</v>
      </c>
      <c r="K62">
        <v>13.150145999999999</v>
      </c>
      <c r="L62">
        <v>13.221062</v>
      </c>
      <c r="M62">
        <v>13.304499</v>
      </c>
      <c r="N62">
        <v>13.386027</v>
      </c>
      <c r="O62">
        <v>13.426527</v>
      </c>
      <c r="P62">
        <v>13.45792</v>
      </c>
      <c r="Q62">
        <v>13.532382999999999</v>
      </c>
      <c r="R62">
        <v>13.581624</v>
      </c>
      <c r="S62">
        <v>13.653388</v>
      </c>
      <c r="T62">
        <v>13.7295</v>
      </c>
      <c r="U62">
        <v>13.750996000000001</v>
      </c>
      <c r="V62">
        <v>13.735488</v>
      </c>
      <c r="W62">
        <v>13.698518999999999</v>
      </c>
      <c r="X62">
        <v>13.669256000000001</v>
      </c>
      <c r="Y62">
        <v>13.594911</v>
      </c>
      <c r="Z62">
        <v>13.655284999999999</v>
      </c>
      <c r="AA62">
        <v>13.708774999999999</v>
      </c>
      <c r="AB62">
        <v>13.761915</v>
      </c>
      <c r="AC62">
        <v>13.780514999999999</v>
      </c>
      <c r="AD62">
        <v>13.826503000000001</v>
      </c>
      <c r="AE62" t="s">
        <v>1445</v>
      </c>
    </row>
    <row r="63" spans="1:31" x14ac:dyDescent="0.25">
      <c r="A63" t="s">
        <v>790</v>
      </c>
    </row>
    <row r="64" spans="1:31" x14ac:dyDescent="0.25">
      <c r="A64" t="s">
        <v>937</v>
      </c>
      <c r="B64" t="s">
        <v>1657</v>
      </c>
      <c r="C64" t="s">
        <v>1667</v>
      </c>
      <c r="D64" t="s">
        <v>696</v>
      </c>
      <c r="E64">
        <v>16.679449000000002</v>
      </c>
      <c r="F64">
        <v>17.168006999999999</v>
      </c>
      <c r="G64">
        <v>17.102867</v>
      </c>
      <c r="H64">
        <v>17.071048999999999</v>
      </c>
      <c r="I64">
        <v>17.528072000000002</v>
      </c>
      <c r="J64">
        <v>18.074522000000002</v>
      </c>
      <c r="K64">
        <v>18.633880999999999</v>
      </c>
      <c r="L64">
        <v>19.151509999999998</v>
      </c>
      <c r="M64">
        <v>19.705846999999999</v>
      </c>
      <c r="N64">
        <v>20.261505</v>
      </c>
      <c r="O64">
        <v>20.790644</v>
      </c>
      <c r="P64">
        <v>21.315526999999999</v>
      </c>
      <c r="Q64">
        <v>21.900549000000002</v>
      </c>
      <c r="R64">
        <v>22.456859999999999</v>
      </c>
      <c r="S64">
        <v>23.041869999999999</v>
      </c>
      <c r="T64">
        <v>23.660826</v>
      </c>
      <c r="U64">
        <v>24.209669000000002</v>
      </c>
      <c r="V64">
        <v>24.691102999999998</v>
      </c>
      <c r="W64">
        <v>25.127009999999999</v>
      </c>
      <c r="X64">
        <v>25.575413000000001</v>
      </c>
      <c r="Y64">
        <v>25.977093</v>
      </c>
      <c r="Z64">
        <v>26.579568999999999</v>
      </c>
      <c r="AA64">
        <v>27.200524999999999</v>
      </c>
      <c r="AB64">
        <v>27.840959999999999</v>
      </c>
      <c r="AC64">
        <v>28.430980999999999</v>
      </c>
      <c r="AD64">
        <v>29.072289000000001</v>
      </c>
      <c r="AE64" t="s">
        <v>1668</v>
      </c>
    </row>
    <row r="65" spans="1:31" x14ac:dyDescent="0.25">
      <c r="A65" t="s">
        <v>940</v>
      </c>
      <c r="B65" t="s">
        <v>1659</v>
      </c>
      <c r="C65" t="s">
        <v>1669</v>
      </c>
      <c r="D65" t="s">
        <v>696</v>
      </c>
      <c r="E65">
        <v>13.479365</v>
      </c>
      <c r="F65">
        <v>13.761865</v>
      </c>
      <c r="G65">
        <v>13.577574</v>
      </c>
      <c r="H65">
        <v>13.502525</v>
      </c>
      <c r="I65">
        <v>13.870654</v>
      </c>
      <c r="J65">
        <v>14.313984</v>
      </c>
      <c r="K65">
        <v>14.744612999999999</v>
      </c>
      <c r="L65">
        <v>15.110086000000001</v>
      </c>
      <c r="M65">
        <v>15.517289</v>
      </c>
      <c r="N65">
        <v>15.944553000000001</v>
      </c>
      <c r="O65">
        <v>16.316305</v>
      </c>
      <c r="P65">
        <v>16.675394000000001</v>
      </c>
      <c r="Q65">
        <v>17.095274</v>
      </c>
      <c r="R65">
        <v>17.491156</v>
      </c>
      <c r="S65">
        <v>17.924067999999998</v>
      </c>
      <c r="T65">
        <v>18.364359</v>
      </c>
      <c r="U65">
        <v>18.723683999999999</v>
      </c>
      <c r="V65">
        <v>19.045415999999999</v>
      </c>
      <c r="W65">
        <v>19.318798000000001</v>
      </c>
      <c r="X65">
        <v>19.604050000000001</v>
      </c>
      <c r="Y65">
        <v>19.806162</v>
      </c>
      <c r="Z65">
        <v>20.237648</v>
      </c>
      <c r="AA65">
        <v>20.669865000000001</v>
      </c>
      <c r="AB65">
        <v>21.120954999999999</v>
      </c>
      <c r="AC65">
        <v>21.509520999999999</v>
      </c>
      <c r="AD65">
        <v>21.949390000000001</v>
      </c>
      <c r="AE65" t="s">
        <v>1670</v>
      </c>
    </row>
    <row r="66" spans="1:31" x14ac:dyDescent="0.25">
      <c r="A66" t="s">
        <v>943</v>
      </c>
      <c r="B66" t="s">
        <v>1661</v>
      </c>
      <c r="C66" t="s">
        <v>1671</v>
      </c>
      <c r="D66" t="s">
        <v>696</v>
      </c>
      <c r="E66">
        <v>9.0744620000000005</v>
      </c>
      <c r="F66">
        <v>9.2749020000000009</v>
      </c>
      <c r="G66">
        <v>9.0234380000000005</v>
      </c>
      <c r="H66">
        <v>8.9719639999999998</v>
      </c>
      <c r="I66">
        <v>9.2317850000000004</v>
      </c>
      <c r="J66">
        <v>9.5642750000000003</v>
      </c>
      <c r="K66">
        <v>9.9031939999999992</v>
      </c>
      <c r="L66">
        <v>10.157897</v>
      </c>
      <c r="M66">
        <v>10.457236</v>
      </c>
      <c r="N66">
        <v>10.726704</v>
      </c>
      <c r="O66">
        <v>10.991279</v>
      </c>
      <c r="P66">
        <v>11.244858000000001</v>
      </c>
      <c r="Q66">
        <v>11.521644999999999</v>
      </c>
      <c r="R66">
        <v>11.780315999999999</v>
      </c>
      <c r="S66">
        <v>12.078455999999999</v>
      </c>
      <c r="T66">
        <v>12.389283000000001</v>
      </c>
      <c r="U66">
        <v>12.623813999999999</v>
      </c>
      <c r="V66">
        <v>12.791359999999999</v>
      </c>
      <c r="W66">
        <v>12.95393</v>
      </c>
      <c r="X66">
        <v>13.120994</v>
      </c>
      <c r="Y66">
        <v>13.25095</v>
      </c>
      <c r="Z66">
        <v>13.56049</v>
      </c>
      <c r="AA66">
        <v>13.851278000000001</v>
      </c>
      <c r="AB66">
        <v>14.134501</v>
      </c>
      <c r="AC66">
        <v>14.381757</v>
      </c>
      <c r="AD66">
        <v>14.660951000000001</v>
      </c>
      <c r="AE66" t="s">
        <v>1672</v>
      </c>
    </row>
    <row r="67" spans="1:31" x14ac:dyDescent="0.25">
      <c r="A67" t="s">
        <v>946</v>
      </c>
      <c r="B67" t="s">
        <v>1663</v>
      </c>
      <c r="C67" t="s">
        <v>1673</v>
      </c>
      <c r="D67" t="s">
        <v>696</v>
      </c>
      <c r="E67">
        <v>15.411224000000001</v>
      </c>
      <c r="F67">
        <v>15.850266</v>
      </c>
      <c r="G67">
        <v>15.656499</v>
      </c>
      <c r="H67">
        <v>15.342625999999999</v>
      </c>
      <c r="I67">
        <v>15.755285000000001</v>
      </c>
      <c r="J67">
        <v>16.267099000000002</v>
      </c>
      <c r="K67">
        <v>16.651486999999999</v>
      </c>
      <c r="L67">
        <v>16.995187999999999</v>
      </c>
      <c r="M67">
        <v>17.394608999999999</v>
      </c>
      <c r="N67">
        <v>17.943840000000002</v>
      </c>
      <c r="O67">
        <v>18.395512</v>
      </c>
      <c r="P67">
        <v>18.849685999999998</v>
      </c>
      <c r="Q67">
        <v>19.418346</v>
      </c>
      <c r="R67">
        <v>19.946404000000001</v>
      </c>
      <c r="S67">
        <v>20.489744000000002</v>
      </c>
      <c r="T67">
        <v>20.982561</v>
      </c>
      <c r="U67">
        <v>21.399805000000001</v>
      </c>
      <c r="V67">
        <v>21.821062000000001</v>
      </c>
      <c r="W67">
        <v>22.198346999999998</v>
      </c>
      <c r="X67">
        <v>22.605747000000001</v>
      </c>
      <c r="Y67">
        <v>22.948226999999999</v>
      </c>
      <c r="Z67">
        <v>23.428557999999999</v>
      </c>
      <c r="AA67">
        <v>23.973364</v>
      </c>
      <c r="AB67">
        <v>24.536705000000001</v>
      </c>
      <c r="AC67">
        <v>24.994492000000001</v>
      </c>
      <c r="AD67">
        <v>25.515046999999999</v>
      </c>
      <c r="AE67" t="s">
        <v>1670</v>
      </c>
    </row>
    <row r="68" spans="1:31" x14ac:dyDescent="0.25">
      <c r="A68" t="s">
        <v>964</v>
      </c>
      <c r="B68" t="s">
        <v>1665</v>
      </c>
      <c r="C68" t="s">
        <v>1674</v>
      </c>
      <c r="D68" t="s">
        <v>696</v>
      </c>
      <c r="E68">
        <v>13.537334</v>
      </c>
      <c r="F68">
        <v>13.845394000000001</v>
      </c>
      <c r="G68">
        <v>13.680648</v>
      </c>
      <c r="H68">
        <v>13.648844</v>
      </c>
      <c r="I68">
        <v>14.037687</v>
      </c>
      <c r="J68">
        <v>14.493736999999999</v>
      </c>
      <c r="K68">
        <v>14.94908</v>
      </c>
      <c r="L68">
        <v>15.339352999999999</v>
      </c>
      <c r="M68">
        <v>15.766154999999999</v>
      </c>
      <c r="N68">
        <v>16.193629999999999</v>
      </c>
      <c r="O68">
        <v>16.585445</v>
      </c>
      <c r="P68">
        <v>16.966266999999998</v>
      </c>
      <c r="Q68">
        <v>17.394575</v>
      </c>
      <c r="R68">
        <v>17.800671000000001</v>
      </c>
      <c r="S68">
        <v>18.242080999999999</v>
      </c>
      <c r="T68">
        <v>18.701649</v>
      </c>
      <c r="U68">
        <v>19.090154999999999</v>
      </c>
      <c r="V68">
        <v>19.427477</v>
      </c>
      <c r="W68">
        <v>19.734762</v>
      </c>
      <c r="X68">
        <v>20.053128999999998</v>
      </c>
      <c r="Y68">
        <v>20.305776999999999</v>
      </c>
      <c r="Z68">
        <v>20.765369</v>
      </c>
      <c r="AA68">
        <v>21.225235000000001</v>
      </c>
      <c r="AB68">
        <v>21.697514999999999</v>
      </c>
      <c r="AC68">
        <v>22.121331999999999</v>
      </c>
      <c r="AD68">
        <v>22.592189999999999</v>
      </c>
      <c r="AE68" t="s">
        <v>1551</v>
      </c>
    </row>
    <row r="69" spans="1:31" x14ac:dyDescent="0.25">
      <c r="A69" t="s">
        <v>796</v>
      </c>
    </row>
    <row r="70" spans="1:31" x14ac:dyDescent="0.25">
      <c r="A70" t="s">
        <v>1656</v>
      </c>
    </row>
    <row r="71" spans="1:31" x14ac:dyDescent="0.25">
      <c r="A71" t="s">
        <v>972</v>
      </c>
      <c r="B71" t="s">
        <v>1675</v>
      </c>
      <c r="C71" t="s">
        <v>1676</v>
      </c>
      <c r="D71" t="s">
        <v>1534</v>
      </c>
      <c r="E71">
        <v>7.5756969999999999</v>
      </c>
      <c r="F71">
        <v>7.4713190000000003</v>
      </c>
      <c r="G71">
        <v>7.0307529999999998</v>
      </c>
      <c r="H71">
        <v>6.6118969999999999</v>
      </c>
      <c r="I71">
        <v>6.606147</v>
      </c>
      <c r="J71">
        <v>6.6556280000000001</v>
      </c>
      <c r="K71">
        <v>6.6908719999999997</v>
      </c>
      <c r="L71">
        <v>6.6658160000000004</v>
      </c>
      <c r="M71">
        <v>6.6659560000000004</v>
      </c>
      <c r="N71">
        <v>6.6670990000000003</v>
      </c>
      <c r="O71">
        <v>6.630242</v>
      </c>
      <c r="P71">
        <v>6.5834299999999999</v>
      </c>
      <c r="Q71">
        <v>6.5772690000000003</v>
      </c>
      <c r="R71">
        <v>6.5511999999999997</v>
      </c>
      <c r="S71">
        <v>6.5518380000000001</v>
      </c>
      <c r="T71">
        <v>6.5574329999999996</v>
      </c>
      <c r="U71">
        <v>6.5024439999999997</v>
      </c>
      <c r="V71">
        <v>6.4183649999999997</v>
      </c>
      <c r="W71">
        <v>6.3118230000000004</v>
      </c>
      <c r="X71">
        <v>6.2210140000000003</v>
      </c>
      <c r="Y71">
        <v>6.0825930000000001</v>
      </c>
      <c r="Z71">
        <v>6.0775560000000004</v>
      </c>
      <c r="AA71">
        <v>6.0648160000000004</v>
      </c>
      <c r="AB71">
        <v>6.0569110000000004</v>
      </c>
      <c r="AC71">
        <v>6.0101339999999999</v>
      </c>
      <c r="AD71">
        <v>5.986224</v>
      </c>
      <c r="AE71" t="s">
        <v>1677</v>
      </c>
    </row>
    <row r="72" spans="1:31" x14ac:dyDescent="0.25">
      <c r="A72" t="s">
        <v>975</v>
      </c>
      <c r="B72" t="s">
        <v>1678</v>
      </c>
      <c r="C72" t="s">
        <v>1679</v>
      </c>
      <c r="D72" t="s">
        <v>1534</v>
      </c>
      <c r="E72">
        <v>1.885108</v>
      </c>
      <c r="F72">
        <v>1.9307859999999999</v>
      </c>
      <c r="G72">
        <v>1.9581869999999999</v>
      </c>
      <c r="H72">
        <v>2.0200070000000001</v>
      </c>
      <c r="I72">
        <v>2.0699139999999998</v>
      </c>
      <c r="J72">
        <v>2.1161439999999998</v>
      </c>
      <c r="K72">
        <v>2.1607980000000002</v>
      </c>
      <c r="L72">
        <v>2.2031350000000001</v>
      </c>
      <c r="M72">
        <v>2.241244</v>
      </c>
      <c r="N72">
        <v>2.277981</v>
      </c>
      <c r="O72">
        <v>2.3128679999999999</v>
      </c>
      <c r="P72">
        <v>2.3481709999999998</v>
      </c>
      <c r="Q72">
        <v>2.3855179999999998</v>
      </c>
      <c r="R72">
        <v>2.419597</v>
      </c>
      <c r="S72">
        <v>2.451797</v>
      </c>
      <c r="T72">
        <v>2.4825050000000002</v>
      </c>
      <c r="U72">
        <v>2.5140889999999998</v>
      </c>
      <c r="V72">
        <v>2.5447190000000002</v>
      </c>
      <c r="W72">
        <v>2.5739369999999999</v>
      </c>
      <c r="X72">
        <v>2.5991019999999998</v>
      </c>
      <c r="Y72">
        <v>2.624771</v>
      </c>
      <c r="Z72">
        <v>2.6514639999999998</v>
      </c>
      <c r="AA72">
        <v>2.6782180000000002</v>
      </c>
      <c r="AB72">
        <v>2.702312</v>
      </c>
      <c r="AC72">
        <v>2.7286250000000001</v>
      </c>
      <c r="AD72">
        <v>2.7570169999999998</v>
      </c>
      <c r="AE72" t="s">
        <v>1436</v>
      </c>
    </row>
    <row r="73" spans="1:31" x14ac:dyDescent="0.25">
      <c r="A73" t="s">
        <v>978</v>
      </c>
      <c r="B73" t="s">
        <v>1680</v>
      </c>
      <c r="C73" t="s">
        <v>1681</v>
      </c>
      <c r="D73" t="s">
        <v>1534</v>
      </c>
      <c r="E73">
        <v>4.0525450000000003</v>
      </c>
      <c r="F73">
        <v>4.0490789999999999</v>
      </c>
      <c r="G73">
        <v>4.0514289999999997</v>
      </c>
      <c r="H73">
        <v>4.111599</v>
      </c>
      <c r="I73">
        <v>4.1658759999999999</v>
      </c>
      <c r="J73">
        <v>4.2175310000000001</v>
      </c>
      <c r="K73">
        <v>4.2678690000000001</v>
      </c>
      <c r="L73">
        <v>4.317717</v>
      </c>
      <c r="M73">
        <v>4.3624840000000003</v>
      </c>
      <c r="N73">
        <v>4.4046779999999996</v>
      </c>
      <c r="O73">
        <v>4.4442009999999996</v>
      </c>
      <c r="P73">
        <v>4.4857019999999999</v>
      </c>
      <c r="Q73">
        <v>4.5274929999999998</v>
      </c>
      <c r="R73">
        <v>4.5660049999999996</v>
      </c>
      <c r="S73">
        <v>4.6042759999999996</v>
      </c>
      <c r="T73">
        <v>4.6422559999999997</v>
      </c>
      <c r="U73">
        <v>4.6832450000000003</v>
      </c>
      <c r="V73">
        <v>4.7217140000000004</v>
      </c>
      <c r="W73">
        <v>4.7602909999999996</v>
      </c>
      <c r="X73">
        <v>4.7972089999999996</v>
      </c>
      <c r="Y73">
        <v>4.8337079999999997</v>
      </c>
      <c r="Z73">
        <v>4.8715539999999997</v>
      </c>
      <c r="AA73">
        <v>4.9099950000000003</v>
      </c>
      <c r="AB73">
        <v>4.9473750000000001</v>
      </c>
      <c r="AC73">
        <v>4.9873750000000001</v>
      </c>
      <c r="AD73">
        <v>5.0286</v>
      </c>
      <c r="AE73" t="s">
        <v>1462</v>
      </c>
    </row>
    <row r="74" spans="1:31" x14ac:dyDescent="0.25">
      <c r="A74" t="s">
        <v>790</v>
      </c>
    </row>
    <row r="75" spans="1:31" x14ac:dyDescent="0.25">
      <c r="A75" t="s">
        <v>972</v>
      </c>
      <c r="B75" t="s">
        <v>1675</v>
      </c>
      <c r="C75" t="s">
        <v>1682</v>
      </c>
      <c r="D75" t="s">
        <v>696</v>
      </c>
      <c r="E75">
        <v>7.5756969999999999</v>
      </c>
      <c r="F75">
        <v>7.6766719999999999</v>
      </c>
      <c r="G75">
        <v>7.3610790000000001</v>
      </c>
      <c r="H75">
        <v>7.0665880000000003</v>
      </c>
      <c r="I75">
        <v>7.2056069999999997</v>
      </c>
      <c r="J75">
        <v>7.410806</v>
      </c>
      <c r="K75">
        <v>7.6061810000000003</v>
      </c>
      <c r="L75">
        <v>7.7338190000000004</v>
      </c>
      <c r="M75">
        <v>7.8993209999999996</v>
      </c>
      <c r="N75">
        <v>8.0654649999999997</v>
      </c>
      <c r="O75">
        <v>8.1901670000000006</v>
      </c>
      <c r="P75">
        <v>8.2996639999999999</v>
      </c>
      <c r="Q75">
        <v>8.4544460000000008</v>
      </c>
      <c r="R75">
        <v>8.5862890000000007</v>
      </c>
      <c r="S75">
        <v>8.7538090000000004</v>
      </c>
      <c r="T75">
        <v>8.9322119999999998</v>
      </c>
      <c r="U75">
        <v>9.0271760000000008</v>
      </c>
      <c r="V75">
        <v>9.0781360000000006</v>
      </c>
      <c r="W75">
        <v>9.0931230000000003</v>
      </c>
      <c r="X75">
        <v>9.1263780000000008</v>
      </c>
      <c r="Y75">
        <v>9.0851469999999992</v>
      </c>
      <c r="Z75">
        <v>9.2420410000000004</v>
      </c>
      <c r="AA75">
        <v>9.3901280000000007</v>
      </c>
      <c r="AB75">
        <v>9.5495380000000001</v>
      </c>
      <c r="AC75">
        <v>9.6478370000000009</v>
      </c>
      <c r="AD75">
        <v>9.7813529999999993</v>
      </c>
      <c r="AE75" t="s">
        <v>1524</v>
      </c>
    </row>
    <row r="76" spans="1:31" x14ac:dyDescent="0.25">
      <c r="A76" t="s">
        <v>975</v>
      </c>
      <c r="B76" t="s">
        <v>1678</v>
      </c>
      <c r="C76" t="s">
        <v>1683</v>
      </c>
      <c r="D76" t="s">
        <v>696</v>
      </c>
      <c r="E76">
        <v>1.885108</v>
      </c>
      <c r="F76">
        <v>1.9838549999999999</v>
      </c>
      <c r="G76">
        <v>2.050189</v>
      </c>
      <c r="H76">
        <v>2.1589200000000002</v>
      </c>
      <c r="I76">
        <v>2.2577430000000001</v>
      </c>
      <c r="J76">
        <v>2.356252</v>
      </c>
      <c r="K76">
        <v>2.456394</v>
      </c>
      <c r="L76">
        <v>2.5561229999999999</v>
      </c>
      <c r="M76">
        <v>2.6559279999999998</v>
      </c>
      <c r="N76">
        <v>2.7557670000000001</v>
      </c>
      <c r="O76">
        <v>2.857027</v>
      </c>
      <c r="P76">
        <v>2.9603160000000002</v>
      </c>
      <c r="Q76">
        <v>3.066354</v>
      </c>
      <c r="R76">
        <v>3.1712289999999999</v>
      </c>
      <c r="S76">
        <v>3.2758080000000001</v>
      </c>
      <c r="T76">
        <v>3.3815460000000002</v>
      </c>
      <c r="U76">
        <v>3.4902449999999998</v>
      </c>
      <c r="V76">
        <v>3.5992500000000001</v>
      </c>
      <c r="W76">
        <v>3.7081409999999999</v>
      </c>
      <c r="X76">
        <v>3.8129460000000002</v>
      </c>
      <c r="Y76">
        <v>3.9204379999999999</v>
      </c>
      <c r="Z76">
        <v>4.0320369999999999</v>
      </c>
      <c r="AA76">
        <v>4.1466729999999998</v>
      </c>
      <c r="AB76">
        <v>4.2605599999999999</v>
      </c>
      <c r="AC76">
        <v>4.3801569999999996</v>
      </c>
      <c r="AD76">
        <v>4.5049029999999997</v>
      </c>
      <c r="AE76" t="s">
        <v>1471</v>
      </c>
    </row>
    <row r="77" spans="1:31" x14ac:dyDescent="0.25">
      <c r="A77" t="s">
        <v>978</v>
      </c>
      <c r="B77" t="s">
        <v>1680</v>
      </c>
      <c r="C77" t="s">
        <v>1684</v>
      </c>
      <c r="D77" t="s">
        <v>696</v>
      </c>
      <c r="E77">
        <v>4.0525450000000003</v>
      </c>
      <c r="F77">
        <v>4.1603700000000003</v>
      </c>
      <c r="G77">
        <v>4.2417769999999999</v>
      </c>
      <c r="H77">
        <v>4.3943490000000001</v>
      </c>
      <c r="I77">
        <v>4.5438989999999997</v>
      </c>
      <c r="J77">
        <v>4.6960709999999999</v>
      </c>
      <c r="K77">
        <v>4.8517109999999999</v>
      </c>
      <c r="L77">
        <v>5.009506</v>
      </c>
      <c r="M77">
        <v>5.1696499999999999</v>
      </c>
      <c r="N77">
        <v>5.3285210000000003</v>
      </c>
      <c r="O77">
        <v>5.489808</v>
      </c>
      <c r="P77">
        <v>5.6550799999999999</v>
      </c>
      <c r="Q77">
        <v>5.8196560000000002</v>
      </c>
      <c r="R77">
        <v>5.9844049999999998</v>
      </c>
      <c r="S77">
        <v>6.1517010000000001</v>
      </c>
      <c r="T77">
        <v>6.3234529999999998</v>
      </c>
      <c r="U77">
        <v>6.5016290000000003</v>
      </c>
      <c r="V77">
        <v>6.6783929999999998</v>
      </c>
      <c r="W77">
        <v>6.8579100000000004</v>
      </c>
      <c r="X77">
        <v>7.0376219999999998</v>
      </c>
      <c r="Y77">
        <v>7.2197750000000003</v>
      </c>
      <c r="Z77">
        <v>7.408093</v>
      </c>
      <c r="AA77">
        <v>7.6021229999999997</v>
      </c>
      <c r="AB77">
        <v>7.8002039999999999</v>
      </c>
      <c r="AC77">
        <v>8.0060420000000008</v>
      </c>
      <c r="AD77">
        <v>8.2166180000000004</v>
      </c>
      <c r="AE77" t="s">
        <v>1478</v>
      </c>
    </row>
    <row r="78" spans="1:31" x14ac:dyDescent="0.25">
      <c r="A78" t="s">
        <v>984</v>
      </c>
    </row>
    <row r="79" spans="1:31" x14ac:dyDescent="0.25">
      <c r="A79" t="s">
        <v>985</v>
      </c>
      <c r="B79" t="s">
        <v>1685</v>
      </c>
      <c r="C79" t="s">
        <v>1686</v>
      </c>
      <c r="D79" t="s">
        <v>988</v>
      </c>
      <c r="E79">
        <v>0.562558</v>
      </c>
      <c r="F79">
        <v>0.53854900000000006</v>
      </c>
      <c r="G79">
        <v>0.41991800000000001</v>
      </c>
      <c r="H79">
        <v>0.39266800000000002</v>
      </c>
      <c r="I79">
        <v>0.38517499999999999</v>
      </c>
      <c r="J79">
        <v>0.39200699999999999</v>
      </c>
      <c r="K79">
        <v>0.35494999999999999</v>
      </c>
      <c r="L79">
        <v>0.29848000000000002</v>
      </c>
      <c r="M79">
        <v>0.29836200000000002</v>
      </c>
      <c r="N79">
        <v>0.27389400000000003</v>
      </c>
      <c r="O79">
        <v>0.27241900000000002</v>
      </c>
      <c r="P79">
        <v>0.27418199999999998</v>
      </c>
      <c r="Q79">
        <v>0.272621</v>
      </c>
      <c r="R79">
        <v>0.27530399999999999</v>
      </c>
      <c r="S79">
        <v>0.273974</v>
      </c>
      <c r="T79">
        <v>0.26032899999999998</v>
      </c>
      <c r="U79">
        <v>0.25454199999999999</v>
      </c>
      <c r="V79">
        <v>0.26883800000000002</v>
      </c>
      <c r="W79">
        <v>0.26928400000000002</v>
      </c>
      <c r="X79">
        <v>0.26736599999999999</v>
      </c>
      <c r="Y79">
        <v>0.26427200000000001</v>
      </c>
      <c r="Z79">
        <v>0.26840900000000001</v>
      </c>
      <c r="AA79">
        <v>0.27828000000000003</v>
      </c>
      <c r="AB79">
        <v>0.28567999999999999</v>
      </c>
      <c r="AC79">
        <v>0.28985</v>
      </c>
      <c r="AD79">
        <v>0.28264800000000001</v>
      </c>
      <c r="AE79" t="s">
        <v>1600</v>
      </c>
    </row>
    <row r="80" spans="1:31" x14ac:dyDescent="0.25">
      <c r="A80" t="s">
        <v>989</v>
      </c>
      <c r="B80" t="s">
        <v>1687</v>
      </c>
      <c r="C80" t="s">
        <v>1688</v>
      </c>
      <c r="D80" t="s">
        <v>988</v>
      </c>
      <c r="E80">
        <v>0.73495600000000005</v>
      </c>
      <c r="F80">
        <v>0.72677800000000004</v>
      </c>
      <c r="G80">
        <v>0.62371200000000004</v>
      </c>
      <c r="H80">
        <v>0.56873700000000005</v>
      </c>
      <c r="I80">
        <v>0.52408100000000002</v>
      </c>
      <c r="J80">
        <v>0.50573100000000004</v>
      </c>
      <c r="K80">
        <v>0.43643100000000001</v>
      </c>
      <c r="L80">
        <v>0.41773199999999999</v>
      </c>
      <c r="M80">
        <v>0.413829</v>
      </c>
      <c r="N80">
        <v>0.40264</v>
      </c>
      <c r="O80">
        <v>0.39099099999999998</v>
      </c>
      <c r="P80">
        <v>0.38928099999999999</v>
      </c>
      <c r="Q80">
        <v>0.38592399999999999</v>
      </c>
      <c r="R80">
        <v>0.379861</v>
      </c>
      <c r="S80">
        <v>0.37503199999999998</v>
      </c>
      <c r="T80">
        <v>0.36913099999999999</v>
      </c>
      <c r="U80">
        <v>0.37013400000000002</v>
      </c>
      <c r="V80">
        <v>0.37051000000000001</v>
      </c>
      <c r="W80">
        <v>0.36796299999999998</v>
      </c>
      <c r="X80">
        <v>0.363487</v>
      </c>
      <c r="Y80">
        <v>0.35633199999999998</v>
      </c>
      <c r="Z80">
        <v>0.35701300000000002</v>
      </c>
      <c r="AA80">
        <v>0.35734700000000003</v>
      </c>
      <c r="AB80">
        <v>0.35760999999999998</v>
      </c>
      <c r="AC80">
        <v>0.351325</v>
      </c>
      <c r="AD80">
        <v>0.28704600000000002</v>
      </c>
      <c r="AE80" t="s">
        <v>1689</v>
      </c>
    </row>
    <row r="81" spans="1:31" x14ac:dyDescent="0.25">
      <c r="A81" t="s">
        <v>992</v>
      </c>
      <c r="B81" t="s">
        <v>1690</v>
      </c>
      <c r="C81" t="s">
        <v>1691</v>
      </c>
      <c r="D81" t="s">
        <v>995</v>
      </c>
      <c r="E81">
        <v>3.026157</v>
      </c>
      <c r="F81">
        <v>2.861408</v>
      </c>
      <c r="G81">
        <v>2.6172870000000001</v>
      </c>
      <c r="H81">
        <v>2.3480349999999999</v>
      </c>
      <c r="I81">
        <v>2.2784599999999999</v>
      </c>
      <c r="J81">
        <v>2.27203</v>
      </c>
      <c r="K81">
        <v>1.921645</v>
      </c>
      <c r="L81">
        <v>1.719066</v>
      </c>
      <c r="M81">
        <v>1.6432279999999999</v>
      </c>
      <c r="N81">
        <v>1.54498</v>
      </c>
      <c r="O81">
        <v>1.5316559999999999</v>
      </c>
      <c r="P81">
        <v>1.5054940000000001</v>
      </c>
      <c r="Q81">
        <v>1.4747870000000001</v>
      </c>
      <c r="R81">
        <v>1.463695</v>
      </c>
      <c r="S81">
        <v>1.456415</v>
      </c>
      <c r="T81">
        <v>1.367021</v>
      </c>
      <c r="U81">
        <v>1.318192</v>
      </c>
      <c r="V81">
        <v>1.2793669999999999</v>
      </c>
      <c r="W81">
        <v>1.2459579999999999</v>
      </c>
      <c r="X81">
        <v>1.2167269999999999</v>
      </c>
      <c r="Y81">
        <v>1.187961</v>
      </c>
      <c r="Z81">
        <v>1.161964</v>
      </c>
      <c r="AA81">
        <v>1.1638310000000001</v>
      </c>
      <c r="AB81">
        <v>1.1563909999999999</v>
      </c>
      <c r="AC81">
        <v>1.1179049999999999</v>
      </c>
      <c r="AD81">
        <v>1.054036</v>
      </c>
      <c r="AE81" t="s">
        <v>1457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E63"/>
  <sheetViews>
    <sheetView topLeftCell="A87" workbookViewId="0">
      <selection activeCell="N103" sqref="N103"/>
    </sheetView>
  </sheetViews>
  <sheetFormatPr defaultRowHeight="15" x14ac:dyDescent="0.25"/>
  <sheetData>
    <row r="1" spans="1:31" x14ac:dyDescent="0.25">
      <c r="A1" t="s">
        <v>1148</v>
      </c>
    </row>
    <row r="2" spans="1:31" x14ac:dyDescent="0.25">
      <c r="A2" t="s">
        <v>1692</v>
      </c>
    </row>
    <row r="3" spans="1:31" x14ac:dyDescent="0.25">
      <c r="A3" t="s">
        <v>1693</v>
      </c>
    </row>
    <row r="4" spans="1:31" x14ac:dyDescent="0.25">
      <c r="A4" t="s">
        <v>575</v>
      </c>
    </row>
    <row r="5" spans="1:31" x14ac:dyDescent="0.25">
      <c r="B5" t="s">
        <v>576</v>
      </c>
      <c r="C5" t="s">
        <v>577</v>
      </c>
      <c r="D5" t="s">
        <v>578</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1430</v>
      </c>
    </row>
    <row r="6" spans="1:31" x14ac:dyDescent="0.25">
      <c r="A6" t="s">
        <v>611</v>
      </c>
    </row>
    <row r="7" spans="1:31" x14ac:dyDescent="0.25">
      <c r="A7" t="s">
        <v>1151</v>
      </c>
      <c r="B7" t="s">
        <v>1694</v>
      </c>
      <c r="C7" t="s">
        <v>1695</v>
      </c>
      <c r="D7" t="s">
        <v>1154</v>
      </c>
      <c r="E7">
        <v>13.616186000000001</v>
      </c>
      <c r="F7">
        <v>13.503263</v>
      </c>
      <c r="G7">
        <v>13.553995</v>
      </c>
      <c r="H7">
        <v>13.583399999999999</v>
      </c>
      <c r="I7">
        <v>13.504898000000001</v>
      </c>
      <c r="J7">
        <v>13.619934000000001</v>
      </c>
      <c r="K7">
        <v>13.620559</v>
      </c>
      <c r="L7">
        <v>13.555235</v>
      </c>
      <c r="M7">
        <v>13.332006</v>
      </c>
      <c r="N7">
        <v>13.214109000000001</v>
      </c>
      <c r="O7">
        <v>13.0672</v>
      </c>
      <c r="P7">
        <v>13.008153999999999</v>
      </c>
      <c r="Q7">
        <v>12.986770999999999</v>
      </c>
      <c r="R7">
        <v>12.899342000000001</v>
      </c>
      <c r="S7">
        <v>12.887007000000001</v>
      </c>
      <c r="T7">
        <v>13.019912</v>
      </c>
      <c r="U7">
        <v>13.146523</v>
      </c>
      <c r="V7">
        <v>13.185846</v>
      </c>
      <c r="W7">
        <v>13.260833</v>
      </c>
      <c r="X7">
        <v>13.291046</v>
      </c>
      <c r="Y7">
        <v>13.259383</v>
      </c>
      <c r="Z7">
        <v>13.181393999999999</v>
      </c>
      <c r="AA7">
        <v>13.106277</v>
      </c>
      <c r="AB7">
        <v>13.008148</v>
      </c>
      <c r="AC7">
        <v>12.870088000000001</v>
      </c>
      <c r="AD7">
        <v>12.677393</v>
      </c>
      <c r="AE7" t="s">
        <v>1433</v>
      </c>
    </row>
    <row r="8" spans="1:31" x14ac:dyDescent="0.25">
      <c r="A8" t="s">
        <v>1155</v>
      </c>
      <c r="B8" t="s">
        <v>1696</v>
      </c>
      <c r="C8" t="s">
        <v>1697</v>
      </c>
      <c r="D8" t="s">
        <v>1154</v>
      </c>
      <c r="E8">
        <v>0.42171700000000001</v>
      </c>
      <c r="F8">
        <v>0.41914800000000002</v>
      </c>
      <c r="G8">
        <v>0.473383</v>
      </c>
      <c r="H8">
        <v>0.50548999999999999</v>
      </c>
      <c r="I8">
        <v>0.50422299999999998</v>
      </c>
      <c r="J8">
        <v>0.54649899999999996</v>
      </c>
      <c r="K8">
        <v>0.58238000000000001</v>
      </c>
      <c r="L8">
        <v>0.56406400000000001</v>
      </c>
      <c r="M8">
        <v>0.54721299999999995</v>
      </c>
      <c r="N8">
        <v>0.53168300000000002</v>
      </c>
      <c r="O8">
        <v>0.51445300000000005</v>
      </c>
      <c r="P8">
        <v>0.46321800000000002</v>
      </c>
      <c r="Q8">
        <v>0.41775099999999998</v>
      </c>
      <c r="R8">
        <v>0.37706099999999998</v>
      </c>
      <c r="S8">
        <v>0.32734600000000003</v>
      </c>
      <c r="T8">
        <v>0.29202600000000001</v>
      </c>
      <c r="U8">
        <v>0.265403</v>
      </c>
      <c r="V8">
        <v>0.243284</v>
      </c>
      <c r="W8">
        <v>0.223828</v>
      </c>
      <c r="X8">
        <v>0.20666499999999999</v>
      </c>
      <c r="Y8">
        <v>0.19148100000000001</v>
      </c>
      <c r="Z8">
        <v>0.157969</v>
      </c>
      <c r="AA8">
        <v>0.146645</v>
      </c>
      <c r="AB8">
        <v>0.13658100000000001</v>
      </c>
      <c r="AC8">
        <v>0.121207</v>
      </c>
      <c r="AD8">
        <v>9.8794999999999994E-2</v>
      </c>
      <c r="AE8" t="s">
        <v>1698</v>
      </c>
    </row>
    <row r="9" spans="1:31" x14ac:dyDescent="0.25">
      <c r="A9" t="s">
        <v>1158</v>
      </c>
      <c r="B9" t="s">
        <v>1699</v>
      </c>
      <c r="C9" t="s">
        <v>1700</v>
      </c>
      <c r="D9" t="s">
        <v>1154</v>
      </c>
      <c r="E9">
        <v>13.194468000000001</v>
      </c>
      <c r="F9">
        <v>13.084115000000001</v>
      </c>
      <c r="G9">
        <v>13.080612</v>
      </c>
      <c r="H9">
        <v>13.077909</v>
      </c>
      <c r="I9">
        <v>13.000674999999999</v>
      </c>
      <c r="J9">
        <v>13.073435999999999</v>
      </c>
      <c r="K9">
        <v>13.038178</v>
      </c>
      <c r="L9">
        <v>12.991171</v>
      </c>
      <c r="M9">
        <v>12.784793000000001</v>
      </c>
      <c r="N9">
        <v>12.682426</v>
      </c>
      <c r="O9">
        <v>12.552747</v>
      </c>
      <c r="P9">
        <v>12.544936</v>
      </c>
      <c r="Q9">
        <v>12.569019000000001</v>
      </c>
      <c r="R9">
        <v>12.522282000000001</v>
      </c>
      <c r="S9">
        <v>12.559659999999999</v>
      </c>
      <c r="T9">
        <v>12.727886</v>
      </c>
      <c r="U9">
        <v>12.881121</v>
      </c>
      <c r="V9">
        <v>12.942562000000001</v>
      </c>
      <c r="W9">
        <v>13.037005000000001</v>
      </c>
      <c r="X9">
        <v>13.084381</v>
      </c>
      <c r="Y9">
        <v>13.067902999999999</v>
      </c>
      <c r="Z9">
        <v>13.023424</v>
      </c>
      <c r="AA9">
        <v>12.959633</v>
      </c>
      <c r="AB9">
        <v>12.871568</v>
      </c>
      <c r="AC9">
        <v>12.74888</v>
      </c>
      <c r="AD9">
        <v>12.578598</v>
      </c>
      <c r="AE9" t="s">
        <v>1701</v>
      </c>
    </row>
    <row r="10" spans="1:31" x14ac:dyDescent="0.25">
      <c r="A10" t="s">
        <v>766</v>
      </c>
      <c r="B10" t="s">
        <v>1702</v>
      </c>
      <c r="C10" t="s">
        <v>1703</v>
      </c>
      <c r="D10" t="s">
        <v>1154</v>
      </c>
      <c r="E10">
        <v>2.14</v>
      </c>
      <c r="F10">
        <v>1.887</v>
      </c>
      <c r="G10">
        <v>2.3029410000000001</v>
      </c>
      <c r="H10">
        <v>2.4437319999999998</v>
      </c>
      <c r="I10">
        <v>2.6674120000000001</v>
      </c>
      <c r="J10">
        <v>2.645111</v>
      </c>
      <c r="K10">
        <v>2.6235019999999998</v>
      </c>
      <c r="L10">
        <v>2.8934039999999999</v>
      </c>
      <c r="M10">
        <v>3.0684469999999999</v>
      </c>
      <c r="N10">
        <v>3.112587</v>
      </c>
      <c r="O10">
        <v>3.2941289999999999</v>
      </c>
      <c r="P10">
        <v>3.3004769999999999</v>
      </c>
      <c r="Q10">
        <v>3.3318219999999998</v>
      </c>
      <c r="R10">
        <v>3.5107080000000002</v>
      </c>
      <c r="S10">
        <v>3.4209870000000002</v>
      </c>
      <c r="T10">
        <v>3.4258649999999999</v>
      </c>
      <c r="U10">
        <v>3.3508580000000001</v>
      </c>
      <c r="V10">
        <v>3.3651559999999998</v>
      </c>
      <c r="W10">
        <v>3.2925990000000001</v>
      </c>
      <c r="X10">
        <v>3.241457</v>
      </c>
      <c r="Y10">
        <v>3.2440910000000001</v>
      </c>
      <c r="Z10">
        <v>3.198032</v>
      </c>
      <c r="AA10">
        <v>3.3395280000000001</v>
      </c>
      <c r="AB10">
        <v>3.4034550000000001</v>
      </c>
      <c r="AC10">
        <v>3.5932210000000002</v>
      </c>
      <c r="AD10">
        <v>3.7065779999999999</v>
      </c>
      <c r="AE10" t="s">
        <v>1668</v>
      </c>
    </row>
    <row r="11" spans="1:31" x14ac:dyDescent="0.25">
      <c r="A11" t="s">
        <v>1163</v>
      </c>
      <c r="B11" t="s">
        <v>1704</v>
      </c>
      <c r="C11" t="s">
        <v>1705</v>
      </c>
      <c r="D11" t="s">
        <v>1154</v>
      </c>
      <c r="E11">
        <v>6.0030000000000001</v>
      </c>
      <c r="F11">
        <v>5.7</v>
      </c>
      <c r="G11">
        <v>6.2876770000000004</v>
      </c>
      <c r="H11">
        <v>6.3458839999999999</v>
      </c>
      <c r="I11">
        <v>6.5590349999999997</v>
      </c>
      <c r="J11">
        <v>6.5935819999999996</v>
      </c>
      <c r="K11">
        <v>6.5354530000000004</v>
      </c>
      <c r="L11">
        <v>6.7057339999999996</v>
      </c>
      <c r="M11">
        <v>6.8082909999999996</v>
      </c>
      <c r="N11">
        <v>6.9581270000000002</v>
      </c>
      <c r="O11">
        <v>7.0516209999999999</v>
      </c>
      <c r="P11">
        <v>6.9393589999999996</v>
      </c>
      <c r="Q11">
        <v>6.942672</v>
      </c>
      <c r="R11">
        <v>7.1394599999999997</v>
      </c>
      <c r="S11">
        <v>7.1108750000000001</v>
      </c>
      <c r="T11">
        <v>6.9852910000000001</v>
      </c>
      <c r="U11">
        <v>6.821885</v>
      </c>
      <c r="V11">
        <v>6.7432319999999999</v>
      </c>
      <c r="W11">
        <v>6.6827649999999998</v>
      </c>
      <c r="X11">
        <v>6.6415689999999996</v>
      </c>
      <c r="Y11">
        <v>6.8701290000000004</v>
      </c>
      <c r="Z11">
        <v>7.1283560000000001</v>
      </c>
      <c r="AA11">
        <v>7.2867069999999998</v>
      </c>
      <c r="AB11">
        <v>7.2424739999999996</v>
      </c>
      <c r="AC11">
        <v>7.2204629999999996</v>
      </c>
      <c r="AD11">
        <v>7.4662850000000001</v>
      </c>
      <c r="AE11" t="s">
        <v>1462</v>
      </c>
    </row>
    <row r="12" spans="1:31" x14ac:dyDescent="0.25">
      <c r="A12" t="s">
        <v>479</v>
      </c>
      <c r="B12" t="s">
        <v>1706</v>
      </c>
      <c r="C12" t="s">
        <v>1707</v>
      </c>
      <c r="D12" t="s">
        <v>1154</v>
      </c>
      <c r="E12">
        <v>3.863</v>
      </c>
      <c r="F12">
        <v>3.8130000000000002</v>
      </c>
      <c r="G12">
        <v>3.9847359999999998</v>
      </c>
      <c r="H12">
        <v>3.9021530000000002</v>
      </c>
      <c r="I12">
        <v>3.8916230000000001</v>
      </c>
      <c r="J12">
        <v>3.9484710000000001</v>
      </c>
      <c r="K12">
        <v>3.9119510000000002</v>
      </c>
      <c r="L12">
        <v>3.8123300000000002</v>
      </c>
      <c r="M12">
        <v>3.7398449999999999</v>
      </c>
      <c r="N12">
        <v>3.8455400000000002</v>
      </c>
      <c r="O12">
        <v>3.7574930000000002</v>
      </c>
      <c r="P12">
        <v>3.6388829999999999</v>
      </c>
      <c r="Q12">
        <v>3.6108500000000001</v>
      </c>
      <c r="R12">
        <v>3.628752</v>
      </c>
      <c r="S12">
        <v>3.6898879999999998</v>
      </c>
      <c r="T12">
        <v>3.5594269999999999</v>
      </c>
      <c r="U12">
        <v>3.4710260000000002</v>
      </c>
      <c r="V12">
        <v>3.3780760000000001</v>
      </c>
      <c r="W12">
        <v>3.3901650000000001</v>
      </c>
      <c r="X12">
        <v>3.400112</v>
      </c>
      <c r="Y12">
        <v>3.6260379999999999</v>
      </c>
      <c r="Z12">
        <v>3.9303240000000002</v>
      </c>
      <c r="AA12">
        <v>3.9471790000000002</v>
      </c>
      <c r="AB12">
        <v>3.839019</v>
      </c>
      <c r="AC12">
        <v>3.6272410000000002</v>
      </c>
      <c r="AD12">
        <v>3.7597070000000001</v>
      </c>
      <c r="AE12" t="s">
        <v>1489</v>
      </c>
    </row>
    <row r="13" spans="1:31" x14ac:dyDescent="0.25">
      <c r="A13" t="s">
        <v>1168</v>
      </c>
      <c r="B13" t="s">
        <v>1708</v>
      </c>
      <c r="C13" t="s">
        <v>1709</v>
      </c>
      <c r="D13" t="s">
        <v>1154</v>
      </c>
      <c r="E13">
        <v>0.496</v>
      </c>
      <c r="F13">
        <v>0.46800000000000003</v>
      </c>
      <c r="G13">
        <v>0.10548</v>
      </c>
      <c r="H13">
        <v>7.0080000000000003E-2</v>
      </c>
      <c r="I13">
        <v>0.06</v>
      </c>
      <c r="J13">
        <v>0.06</v>
      </c>
      <c r="K13">
        <v>0.06</v>
      </c>
      <c r="L13">
        <v>0</v>
      </c>
      <c r="M13">
        <v>0</v>
      </c>
      <c r="N13">
        <v>0</v>
      </c>
      <c r="O13">
        <v>0</v>
      </c>
      <c r="P13">
        <v>0</v>
      </c>
      <c r="Q13">
        <v>0</v>
      </c>
      <c r="R13">
        <v>0</v>
      </c>
      <c r="S13">
        <v>0</v>
      </c>
      <c r="T13">
        <v>0</v>
      </c>
      <c r="U13">
        <v>0</v>
      </c>
      <c r="V13">
        <v>0</v>
      </c>
      <c r="W13">
        <v>0</v>
      </c>
      <c r="X13">
        <v>0</v>
      </c>
      <c r="Y13">
        <v>0</v>
      </c>
      <c r="Z13">
        <v>0</v>
      </c>
      <c r="AA13">
        <v>0</v>
      </c>
      <c r="AB13">
        <v>0</v>
      </c>
      <c r="AC13">
        <v>0</v>
      </c>
      <c r="AD13">
        <v>0</v>
      </c>
      <c r="AE13" t="s">
        <v>1710</v>
      </c>
    </row>
    <row r="14" spans="1:31" x14ac:dyDescent="0.25">
      <c r="A14" t="s">
        <v>1171</v>
      </c>
      <c r="B14" t="s">
        <v>1711</v>
      </c>
      <c r="C14" t="s">
        <v>1712</v>
      </c>
      <c r="D14" t="s">
        <v>1154</v>
      </c>
      <c r="E14">
        <v>16.252185999999998</v>
      </c>
      <c r="F14">
        <v>15.858263000000001</v>
      </c>
      <c r="G14">
        <v>15.962417</v>
      </c>
      <c r="H14">
        <v>16.097211999999999</v>
      </c>
      <c r="I14">
        <v>16.232309000000001</v>
      </c>
      <c r="J14">
        <v>16.325044999999999</v>
      </c>
      <c r="K14">
        <v>16.30406</v>
      </c>
      <c r="L14">
        <v>16.448639</v>
      </c>
      <c r="M14">
        <v>16.400452000000001</v>
      </c>
      <c r="N14">
        <v>16.326695999999998</v>
      </c>
      <c r="O14">
        <v>16.361328</v>
      </c>
      <c r="P14">
        <v>16.308630000000001</v>
      </c>
      <c r="Q14">
        <v>16.318591999999999</v>
      </c>
      <c r="R14">
        <v>16.410049000000001</v>
      </c>
      <c r="S14">
        <v>16.307994999999998</v>
      </c>
      <c r="T14">
        <v>16.445775999999999</v>
      </c>
      <c r="U14">
        <v>16.497381000000001</v>
      </c>
      <c r="V14">
        <v>16.551003000000001</v>
      </c>
      <c r="W14">
        <v>16.553432000000001</v>
      </c>
      <c r="X14">
        <v>16.532502999999998</v>
      </c>
      <c r="Y14">
        <v>16.503473</v>
      </c>
      <c r="Z14">
        <v>16.379425000000001</v>
      </c>
      <c r="AA14">
        <v>16.445805</v>
      </c>
      <c r="AB14">
        <v>16.411604000000001</v>
      </c>
      <c r="AC14">
        <v>16.463308000000001</v>
      </c>
      <c r="AD14">
        <v>16.383970000000001</v>
      </c>
      <c r="AE14" t="s">
        <v>1508</v>
      </c>
    </row>
    <row r="15" spans="1:31" x14ac:dyDescent="0.25">
      <c r="A15" t="s">
        <v>1174</v>
      </c>
      <c r="B15" t="s">
        <v>1713</v>
      </c>
      <c r="C15" t="s">
        <v>1714</v>
      </c>
      <c r="D15" t="s">
        <v>1154</v>
      </c>
      <c r="E15">
        <v>-5.0780000000000003</v>
      </c>
      <c r="F15">
        <v>-5.0430000000000001</v>
      </c>
      <c r="G15">
        <v>-6.1543029999999996</v>
      </c>
      <c r="H15">
        <v>-6.2844239999999996</v>
      </c>
      <c r="I15">
        <v>-6.617184</v>
      </c>
      <c r="J15">
        <v>-6.7466949999999999</v>
      </c>
      <c r="K15">
        <v>-7.2424540000000004</v>
      </c>
      <c r="L15">
        <v>-7.8400259999999999</v>
      </c>
      <c r="M15">
        <v>-8.2622269999999993</v>
      </c>
      <c r="N15">
        <v>-8.4756429999999998</v>
      </c>
      <c r="O15">
        <v>-8.7512120000000007</v>
      </c>
      <c r="P15">
        <v>-8.8354440000000007</v>
      </c>
      <c r="Q15">
        <v>-9.0473549999999996</v>
      </c>
      <c r="R15">
        <v>-9.2715189999999996</v>
      </c>
      <c r="S15">
        <v>-9.3319229999999997</v>
      </c>
      <c r="T15">
        <v>-9.6797280000000008</v>
      </c>
      <c r="U15">
        <v>-9.9384789999999992</v>
      </c>
      <c r="V15">
        <v>-10.085566999999999</v>
      </c>
      <c r="W15">
        <v>-10.14368</v>
      </c>
      <c r="X15">
        <v>-10.06113</v>
      </c>
      <c r="Y15">
        <v>-9.8806670000000008</v>
      </c>
      <c r="Z15">
        <v>-9.6059599999999996</v>
      </c>
      <c r="AA15">
        <v>-9.6631230000000006</v>
      </c>
      <c r="AB15">
        <v>-9.6629889999999996</v>
      </c>
      <c r="AC15">
        <v>-9.7676490000000005</v>
      </c>
      <c r="AD15">
        <v>-9.6366359999999993</v>
      </c>
      <c r="AE15" t="s">
        <v>1715</v>
      </c>
    </row>
    <row r="16" spans="1:31" x14ac:dyDescent="0.25">
      <c r="A16" t="s">
        <v>1177</v>
      </c>
      <c r="B16" t="s">
        <v>1716</v>
      </c>
      <c r="C16" t="s">
        <v>1717</v>
      </c>
      <c r="D16" t="s">
        <v>1154</v>
      </c>
      <c r="E16">
        <v>0.76200000000000001</v>
      </c>
      <c r="F16">
        <v>0.72099999999999997</v>
      </c>
      <c r="G16">
        <v>0.74873100000000004</v>
      </c>
      <c r="H16">
        <v>0.749807</v>
      </c>
      <c r="I16">
        <v>0.74310100000000001</v>
      </c>
      <c r="J16">
        <v>0.75828799999999996</v>
      </c>
      <c r="K16">
        <v>0.76739599999999997</v>
      </c>
      <c r="L16">
        <v>0.76812499999999995</v>
      </c>
      <c r="M16">
        <v>0.770262</v>
      </c>
      <c r="N16">
        <v>0.76684200000000002</v>
      </c>
      <c r="O16">
        <v>0.76708299999999996</v>
      </c>
      <c r="P16">
        <v>0.76821300000000003</v>
      </c>
      <c r="Q16">
        <v>0.77239400000000002</v>
      </c>
      <c r="R16">
        <v>0.77381200000000006</v>
      </c>
      <c r="S16">
        <v>0.77642999999999995</v>
      </c>
      <c r="T16">
        <v>0.78148700000000004</v>
      </c>
      <c r="U16">
        <v>0.78290300000000002</v>
      </c>
      <c r="V16">
        <v>0.78539199999999998</v>
      </c>
      <c r="W16">
        <v>0.78718500000000002</v>
      </c>
      <c r="X16">
        <v>0.78584399999999999</v>
      </c>
      <c r="Y16">
        <v>0.79806600000000005</v>
      </c>
      <c r="Z16">
        <v>0.78807400000000005</v>
      </c>
      <c r="AA16">
        <v>0.78882099999999999</v>
      </c>
      <c r="AB16">
        <v>0.81878200000000001</v>
      </c>
      <c r="AC16">
        <v>0.81432000000000004</v>
      </c>
      <c r="AD16">
        <v>0.79044899999999996</v>
      </c>
      <c r="AE16" t="s">
        <v>1445</v>
      </c>
    </row>
    <row r="17" spans="1:31" x14ac:dyDescent="0.25">
      <c r="A17" t="s">
        <v>1180</v>
      </c>
      <c r="B17" t="s">
        <v>1718</v>
      </c>
      <c r="C17" t="s">
        <v>1719</v>
      </c>
      <c r="D17" t="s">
        <v>1154</v>
      </c>
      <c r="E17">
        <v>0.40600000000000003</v>
      </c>
      <c r="F17">
        <v>0.41</v>
      </c>
      <c r="G17">
        <v>0.42513499999999999</v>
      </c>
      <c r="H17">
        <v>0.42376799999999998</v>
      </c>
      <c r="I17">
        <v>0.42240100000000003</v>
      </c>
      <c r="J17">
        <v>0.42103400000000002</v>
      </c>
      <c r="K17">
        <v>0.41966599999999998</v>
      </c>
      <c r="L17">
        <v>0.41829899999999998</v>
      </c>
      <c r="M17">
        <v>0.41693200000000002</v>
      </c>
      <c r="N17">
        <v>0.41556399999999999</v>
      </c>
      <c r="O17">
        <v>0.41419699999999998</v>
      </c>
      <c r="P17">
        <v>0.41282999999999997</v>
      </c>
      <c r="Q17">
        <v>0.41146199999999999</v>
      </c>
      <c r="R17">
        <v>0.41009499999999999</v>
      </c>
      <c r="S17">
        <v>0.40872799999999998</v>
      </c>
      <c r="T17">
        <v>0.40736</v>
      </c>
      <c r="U17">
        <v>0.40572399999999997</v>
      </c>
      <c r="V17">
        <v>0.40435700000000002</v>
      </c>
      <c r="W17">
        <v>0.40299000000000001</v>
      </c>
      <c r="X17">
        <v>0.40162199999999998</v>
      </c>
      <c r="Y17">
        <v>0.40025500000000003</v>
      </c>
      <c r="Z17">
        <v>0.39888800000000002</v>
      </c>
      <c r="AA17">
        <v>0.392961</v>
      </c>
      <c r="AB17">
        <v>0.39615299999999998</v>
      </c>
      <c r="AC17">
        <v>0.39478600000000003</v>
      </c>
      <c r="AD17">
        <v>0.393148</v>
      </c>
      <c r="AE17" t="s">
        <v>1489</v>
      </c>
    </row>
    <row r="18" spans="1:31" x14ac:dyDescent="0.25">
      <c r="A18" t="s">
        <v>1183</v>
      </c>
      <c r="B18" t="s">
        <v>1720</v>
      </c>
      <c r="C18" t="s">
        <v>1721</v>
      </c>
      <c r="D18" t="s">
        <v>1154</v>
      </c>
      <c r="E18">
        <v>0.51500000000000001</v>
      </c>
      <c r="F18">
        <v>0.51500000000000001</v>
      </c>
      <c r="G18">
        <v>0.50037500000000001</v>
      </c>
      <c r="H18">
        <v>0.45868700000000001</v>
      </c>
      <c r="I18">
        <v>0.42365900000000001</v>
      </c>
      <c r="J18">
        <v>0.40149699999999999</v>
      </c>
      <c r="K18">
        <v>0.36835800000000002</v>
      </c>
      <c r="L18">
        <v>0.34271499999999999</v>
      </c>
      <c r="M18">
        <v>0.32136999999999999</v>
      </c>
      <c r="N18">
        <v>0.30198599999999998</v>
      </c>
      <c r="O18">
        <v>0.28581899999999999</v>
      </c>
      <c r="P18">
        <v>0.27650599999999997</v>
      </c>
      <c r="Q18">
        <v>0.27436100000000002</v>
      </c>
      <c r="R18">
        <v>0.270318</v>
      </c>
      <c r="S18">
        <v>0.26613599999999998</v>
      </c>
      <c r="T18">
        <v>0.26330300000000001</v>
      </c>
      <c r="U18">
        <v>0.25873800000000002</v>
      </c>
      <c r="V18">
        <v>0.25725199999999998</v>
      </c>
      <c r="W18">
        <v>0.25798399999999999</v>
      </c>
      <c r="X18">
        <v>0.25752199999999997</v>
      </c>
      <c r="Y18">
        <v>0.25883299999999998</v>
      </c>
      <c r="Z18">
        <v>0.25537199999999999</v>
      </c>
      <c r="AA18">
        <v>0.25627899999999998</v>
      </c>
      <c r="AB18">
        <v>0.25855</v>
      </c>
      <c r="AC18">
        <v>0.26473799999999997</v>
      </c>
      <c r="AD18">
        <v>0.27007199999999998</v>
      </c>
      <c r="AE18" t="s">
        <v>1722</v>
      </c>
    </row>
    <row r="19" spans="1:31" x14ac:dyDescent="0.25">
      <c r="A19" t="s">
        <v>479</v>
      </c>
      <c r="B19" t="s">
        <v>1723</v>
      </c>
      <c r="C19" t="s">
        <v>1724</v>
      </c>
      <c r="D19" t="s">
        <v>1154</v>
      </c>
      <c r="E19">
        <v>6.7610000000000001</v>
      </c>
      <c r="F19">
        <v>6.6890000000000001</v>
      </c>
      <c r="G19">
        <v>7.8285439999999999</v>
      </c>
      <c r="H19">
        <v>7.9166869999999996</v>
      </c>
      <c r="I19">
        <v>8.2063439999999996</v>
      </c>
      <c r="J19">
        <v>8.3275140000000007</v>
      </c>
      <c r="K19">
        <v>8.7978729999999992</v>
      </c>
      <c r="L19">
        <v>9.3691650000000006</v>
      </c>
      <c r="M19">
        <v>9.7707899999999999</v>
      </c>
      <c r="N19">
        <v>9.9600360000000006</v>
      </c>
      <c r="O19">
        <v>10.218311</v>
      </c>
      <c r="P19">
        <v>10.292994</v>
      </c>
      <c r="Q19">
        <v>10.505571</v>
      </c>
      <c r="R19">
        <v>10.725744000000001</v>
      </c>
      <c r="S19">
        <v>10.783215999999999</v>
      </c>
      <c r="T19">
        <v>11.131876999999999</v>
      </c>
      <c r="U19">
        <v>11.385845</v>
      </c>
      <c r="V19">
        <v>11.532567</v>
      </c>
      <c r="W19">
        <v>11.591837999999999</v>
      </c>
      <c r="X19">
        <v>11.506118000000001</v>
      </c>
      <c r="Y19">
        <v>11.337821</v>
      </c>
      <c r="Z19">
        <v>11.048292999999999</v>
      </c>
      <c r="AA19">
        <v>11.101184999999999</v>
      </c>
      <c r="AB19">
        <v>11.136474</v>
      </c>
      <c r="AC19">
        <v>11.241491999999999</v>
      </c>
      <c r="AD19">
        <v>11.090304</v>
      </c>
      <c r="AE19" t="s">
        <v>1670</v>
      </c>
    </row>
    <row r="20" spans="1:31" x14ac:dyDescent="0.25">
      <c r="A20" t="s">
        <v>1188</v>
      </c>
      <c r="B20" t="s">
        <v>1725</v>
      </c>
      <c r="C20" t="s">
        <v>1726</v>
      </c>
      <c r="D20" t="s">
        <v>1154</v>
      </c>
      <c r="E20">
        <v>0.995</v>
      </c>
      <c r="F20">
        <v>0.97</v>
      </c>
      <c r="G20">
        <v>0.87225699999999995</v>
      </c>
      <c r="H20">
        <v>0.90325100000000003</v>
      </c>
      <c r="I20">
        <v>0.90722100000000006</v>
      </c>
      <c r="J20">
        <v>0.90905999999999998</v>
      </c>
      <c r="K20">
        <v>0.88808200000000004</v>
      </c>
      <c r="L20">
        <v>0.88859600000000005</v>
      </c>
      <c r="M20">
        <v>0.87773999999999996</v>
      </c>
      <c r="N20">
        <v>0.88812400000000002</v>
      </c>
      <c r="O20">
        <v>0.87939800000000001</v>
      </c>
      <c r="P20">
        <v>0.88888199999999995</v>
      </c>
      <c r="Q20">
        <v>0.88324999999999998</v>
      </c>
      <c r="R20">
        <v>0.87400900000000004</v>
      </c>
      <c r="S20">
        <v>0.86544900000000002</v>
      </c>
      <c r="T20">
        <v>0.86000399999999999</v>
      </c>
      <c r="U20">
        <v>0.85025300000000004</v>
      </c>
      <c r="V20">
        <v>0.84628599999999998</v>
      </c>
      <c r="W20">
        <v>0.848769</v>
      </c>
      <c r="X20">
        <v>0.84789400000000004</v>
      </c>
      <c r="Y20">
        <v>0.84363299999999997</v>
      </c>
      <c r="Z20">
        <v>0.84043800000000002</v>
      </c>
      <c r="AA20">
        <v>0.85125799999999996</v>
      </c>
      <c r="AB20">
        <v>0.84079999999999999</v>
      </c>
      <c r="AC20">
        <v>0.83803000000000005</v>
      </c>
      <c r="AD20">
        <v>0.837422</v>
      </c>
      <c r="AE20" t="s">
        <v>1587</v>
      </c>
    </row>
    <row r="21" spans="1:31" x14ac:dyDescent="0.25">
      <c r="A21" t="s">
        <v>1191</v>
      </c>
      <c r="B21" t="s">
        <v>1727</v>
      </c>
      <c r="C21" t="s">
        <v>1728</v>
      </c>
      <c r="D21" t="s">
        <v>1154</v>
      </c>
      <c r="E21">
        <v>-2.4E-2</v>
      </c>
      <c r="F21">
        <v>1.0999999999999999E-2</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1710</v>
      </c>
    </row>
    <row r="22" spans="1:31" x14ac:dyDescent="0.25">
      <c r="A22" t="s">
        <v>584</v>
      </c>
      <c r="B22" t="s">
        <v>1729</v>
      </c>
      <c r="C22" t="s">
        <v>1730</v>
      </c>
      <c r="D22" t="s">
        <v>1154</v>
      </c>
      <c r="E22">
        <v>7.3878310000000003</v>
      </c>
      <c r="F22">
        <v>7.5447040000000003</v>
      </c>
      <c r="G22">
        <v>8.3527830000000005</v>
      </c>
      <c r="H22">
        <v>8.2731560000000002</v>
      </c>
      <c r="I22">
        <v>8.2951029999999992</v>
      </c>
      <c r="J22">
        <v>8.3388279999999995</v>
      </c>
      <c r="K22">
        <v>8.7453800000000008</v>
      </c>
      <c r="L22">
        <v>9.1327400000000001</v>
      </c>
      <c r="M22">
        <v>9.5002010000000006</v>
      </c>
      <c r="N22">
        <v>9.7617130000000003</v>
      </c>
      <c r="O22">
        <v>9.9610020000000006</v>
      </c>
      <c r="P22">
        <v>10.069178000000001</v>
      </c>
      <c r="Q22">
        <v>10.239243999999999</v>
      </c>
      <c r="R22">
        <v>10.420362000000001</v>
      </c>
      <c r="S22">
        <v>10.576907</v>
      </c>
      <c r="T22">
        <v>10.837624</v>
      </c>
      <c r="U22">
        <v>11.068386</v>
      </c>
      <c r="V22">
        <v>11.195584999999999</v>
      </c>
      <c r="W22">
        <v>11.252428</v>
      </c>
      <c r="X22">
        <v>11.205052</v>
      </c>
      <c r="Y22">
        <v>11.08812</v>
      </c>
      <c r="Z22">
        <v>10.990689</v>
      </c>
      <c r="AA22">
        <v>11.012233</v>
      </c>
      <c r="AB22">
        <v>11.081659999999999</v>
      </c>
      <c r="AC22">
        <v>11.121471</v>
      </c>
      <c r="AD22">
        <v>11.096715</v>
      </c>
      <c r="AE22" t="s">
        <v>1731</v>
      </c>
    </row>
    <row r="23" spans="1:31" x14ac:dyDescent="0.25">
      <c r="A23" t="s">
        <v>1198</v>
      </c>
      <c r="B23" t="s">
        <v>1732</v>
      </c>
      <c r="C23" t="s">
        <v>1733</v>
      </c>
      <c r="D23" t="s">
        <v>1154</v>
      </c>
      <c r="E23">
        <v>1.1550750000000001</v>
      </c>
      <c r="F23">
        <v>1.1693770000000001</v>
      </c>
      <c r="G23">
        <v>1.1981139999999999</v>
      </c>
      <c r="H23">
        <v>1.2019390000000001</v>
      </c>
      <c r="I23">
        <v>1.195983</v>
      </c>
      <c r="J23">
        <v>1.1571400000000001</v>
      </c>
      <c r="K23">
        <v>1.154625</v>
      </c>
      <c r="L23">
        <v>1.1526799999999999</v>
      </c>
      <c r="M23">
        <v>1.1504829999999999</v>
      </c>
      <c r="N23">
        <v>1.1492199999999999</v>
      </c>
      <c r="O23">
        <v>1.1480440000000001</v>
      </c>
      <c r="P23">
        <v>1.144371</v>
      </c>
      <c r="Q23">
        <v>1.1441159999999999</v>
      </c>
      <c r="R23">
        <v>1.1417839999999999</v>
      </c>
      <c r="S23">
        <v>1.1401159999999999</v>
      </c>
      <c r="T23">
        <v>1.141351</v>
      </c>
      <c r="U23">
        <v>1.1404860000000001</v>
      </c>
      <c r="V23">
        <v>1.144463</v>
      </c>
      <c r="W23">
        <v>1.1476770000000001</v>
      </c>
      <c r="X23">
        <v>1.1464540000000001</v>
      </c>
      <c r="Y23">
        <v>1.1457349999999999</v>
      </c>
      <c r="Z23">
        <v>1.1452580000000001</v>
      </c>
      <c r="AA23">
        <v>1.1447879999999999</v>
      </c>
      <c r="AB23">
        <v>1.146579</v>
      </c>
      <c r="AC23">
        <v>1.157098</v>
      </c>
      <c r="AD23">
        <v>1.157349</v>
      </c>
      <c r="AE23" t="s">
        <v>1508</v>
      </c>
    </row>
    <row r="24" spans="1:31" x14ac:dyDescent="0.25">
      <c r="A24" t="s">
        <v>1201</v>
      </c>
      <c r="B24" t="s">
        <v>1734</v>
      </c>
      <c r="C24" t="s">
        <v>1735</v>
      </c>
      <c r="D24" t="s">
        <v>1154</v>
      </c>
      <c r="E24">
        <v>0.90377700000000005</v>
      </c>
      <c r="F24">
        <v>0.90229899999999996</v>
      </c>
      <c r="G24">
        <v>0.91396999999999995</v>
      </c>
      <c r="H24">
        <v>0.90899700000000005</v>
      </c>
      <c r="I24">
        <v>0.902007</v>
      </c>
      <c r="J24">
        <v>0.89448700000000003</v>
      </c>
      <c r="K24">
        <v>0.88721099999999997</v>
      </c>
      <c r="L24">
        <v>0.88201600000000002</v>
      </c>
      <c r="M24">
        <v>0.87607800000000002</v>
      </c>
      <c r="N24">
        <v>0.87437600000000004</v>
      </c>
      <c r="O24">
        <v>0.87193200000000004</v>
      </c>
      <c r="P24">
        <v>0.86660700000000002</v>
      </c>
      <c r="Q24">
        <v>0.86141299999999998</v>
      </c>
      <c r="R24">
        <v>0.85756100000000002</v>
      </c>
      <c r="S24">
        <v>0.85386899999999999</v>
      </c>
      <c r="T24">
        <v>0.85180900000000004</v>
      </c>
      <c r="U24">
        <v>0.849796</v>
      </c>
      <c r="V24">
        <v>0.84617799999999999</v>
      </c>
      <c r="W24">
        <v>0.84500500000000001</v>
      </c>
      <c r="X24">
        <v>0.84295399999999998</v>
      </c>
      <c r="Y24">
        <v>0.84170400000000001</v>
      </c>
      <c r="Z24">
        <v>0.83968500000000001</v>
      </c>
      <c r="AA24">
        <v>0.838472</v>
      </c>
      <c r="AB24">
        <v>0.83525799999999994</v>
      </c>
      <c r="AC24">
        <v>0.83192600000000005</v>
      </c>
      <c r="AD24">
        <v>0.83038599999999996</v>
      </c>
      <c r="AE24" t="s">
        <v>1433</v>
      </c>
    </row>
    <row r="25" spans="1:31" x14ac:dyDescent="0.25">
      <c r="A25" t="s">
        <v>1204</v>
      </c>
      <c r="B25" t="s">
        <v>1736</v>
      </c>
      <c r="C25" t="s">
        <v>1737</v>
      </c>
      <c r="D25" t="s">
        <v>1154</v>
      </c>
      <c r="E25">
        <v>1.0394559999999999</v>
      </c>
      <c r="F25">
        <v>1.0423819999999999</v>
      </c>
      <c r="G25">
        <v>1.0351980000000001</v>
      </c>
      <c r="H25">
        <v>1.039676</v>
      </c>
      <c r="I25">
        <v>1.035987</v>
      </c>
      <c r="J25">
        <v>1.0379890000000001</v>
      </c>
      <c r="K25">
        <v>1.034305</v>
      </c>
      <c r="L25">
        <v>1.032789</v>
      </c>
      <c r="M25">
        <v>1.030616</v>
      </c>
      <c r="N25">
        <v>1.0327759999999999</v>
      </c>
      <c r="O25">
        <v>1.034292</v>
      </c>
      <c r="P25">
        <v>1.0405899999999999</v>
      </c>
      <c r="Q25">
        <v>1.039752</v>
      </c>
      <c r="R25">
        <v>1.04036</v>
      </c>
      <c r="S25">
        <v>1.041229</v>
      </c>
      <c r="T25">
        <v>1.0438590000000001</v>
      </c>
      <c r="U25">
        <v>1.046651</v>
      </c>
      <c r="V25">
        <v>1.056724</v>
      </c>
      <c r="W25">
        <v>1.060819</v>
      </c>
      <c r="X25">
        <v>1.064154</v>
      </c>
      <c r="Y25">
        <v>1.065086</v>
      </c>
      <c r="Z25">
        <v>1.065056</v>
      </c>
      <c r="AA25">
        <v>1.0730299999999999</v>
      </c>
      <c r="AB25">
        <v>1.079418</v>
      </c>
      <c r="AC25">
        <v>1.082192</v>
      </c>
      <c r="AD25">
        <v>1.086919</v>
      </c>
      <c r="AE25" t="s">
        <v>1738</v>
      </c>
    </row>
    <row r="26" spans="1:31" x14ac:dyDescent="0.25">
      <c r="A26" t="s">
        <v>766</v>
      </c>
      <c r="B26" t="s">
        <v>1739</v>
      </c>
      <c r="C26" t="s">
        <v>1740</v>
      </c>
      <c r="D26" t="s">
        <v>1154</v>
      </c>
      <c r="E26">
        <v>-0.13567899999999999</v>
      </c>
      <c r="F26">
        <v>-0.14008300000000001</v>
      </c>
      <c r="G26">
        <v>-0.121227</v>
      </c>
      <c r="H26">
        <v>-0.13067799999999999</v>
      </c>
      <c r="I26">
        <v>-0.13397999999999999</v>
      </c>
      <c r="J26">
        <v>-0.14350099999999999</v>
      </c>
      <c r="K26">
        <v>-0.147094</v>
      </c>
      <c r="L26">
        <v>-0.15077299999999999</v>
      </c>
      <c r="M26">
        <v>-0.15453800000000001</v>
      </c>
      <c r="N26">
        <v>-0.15840000000000001</v>
      </c>
      <c r="O26">
        <v>-0.16236</v>
      </c>
      <c r="P26">
        <v>-0.173982</v>
      </c>
      <c r="Q26">
        <v>-0.178339</v>
      </c>
      <c r="R26">
        <v>-0.18279899999999999</v>
      </c>
      <c r="S26">
        <v>-0.187361</v>
      </c>
      <c r="T26">
        <v>-0.19205</v>
      </c>
      <c r="U26">
        <v>-0.196854</v>
      </c>
      <c r="V26">
        <v>-0.21054700000000001</v>
      </c>
      <c r="W26">
        <v>-0.215813</v>
      </c>
      <c r="X26">
        <v>-0.22120000000000001</v>
      </c>
      <c r="Y26">
        <v>-0.223382</v>
      </c>
      <c r="Z26">
        <v>-0.22536999999999999</v>
      </c>
      <c r="AA26">
        <v>-0.23455799999999999</v>
      </c>
      <c r="AB26">
        <v>-0.24415999999999999</v>
      </c>
      <c r="AC26">
        <v>-0.25026700000000002</v>
      </c>
      <c r="AD26">
        <v>-0.25653300000000001</v>
      </c>
      <c r="AE26" t="s">
        <v>1715</v>
      </c>
    </row>
    <row r="27" spans="1:31" x14ac:dyDescent="0.25">
      <c r="A27" t="s">
        <v>1209</v>
      </c>
      <c r="B27" t="s">
        <v>1741</v>
      </c>
      <c r="C27" t="s">
        <v>1742</v>
      </c>
      <c r="D27" t="s">
        <v>1154</v>
      </c>
      <c r="E27">
        <v>7.5655E-2</v>
      </c>
      <c r="F27">
        <v>9.1178999999999996E-2</v>
      </c>
      <c r="G27">
        <v>8.7079000000000004E-2</v>
      </c>
      <c r="H27">
        <v>8.9688000000000004E-2</v>
      </c>
      <c r="I27">
        <v>9.1326000000000004E-2</v>
      </c>
      <c r="J27">
        <v>7.5309000000000001E-2</v>
      </c>
      <c r="K27">
        <v>7.8938999999999995E-2</v>
      </c>
      <c r="L27">
        <v>8.0518999999999993E-2</v>
      </c>
      <c r="M27">
        <v>8.4283999999999998E-2</v>
      </c>
      <c r="N27">
        <v>8.5764999999999994E-2</v>
      </c>
      <c r="O27">
        <v>8.7006E-2</v>
      </c>
      <c r="P27">
        <v>8.1547999999999995E-2</v>
      </c>
      <c r="Q27">
        <v>8.5474999999999995E-2</v>
      </c>
      <c r="R27">
        <v>8.4613999999999995E-2</v>
      </c>
      <c r="S27">
        <v>8.3274000000000001E-2</v>
      </c>
      <c r="T27">
        <v>8.1909999999999997E-2</v>
      </c>
      <c r="U27">
        <v>8.0405000000000004E-2</v>
      </c>
      <c r="V27">
        <v>7.8911999999999996E-2</v>
      </c>
      <c r="W27">
        <v>7.7352000000000004E-2</v>
      </c>
      <c r="X27">
        <v>7.5725000000000001E-2</v>
      </c>
      <c r="Y27">
        <v>7.4029999999999999E-2</v>
      </c>
      <c r="Z27">
        <v>7.2264999999999996E-2</v>
      </c>
      <c r="AA27">
        <v>7.0689000000000002E-2</v>
      </c>
      <c r="AB27">
        <v>6.8779000000000007E-2</v>
      </c>
      <c r="AC27">
        <v>6.6795999999999994E-2</v>
      </c>
      <c r="AD27">
        <v>6.4736000000000002E-2</v>
      </c>
      <c r="AE27" t="s">
        <v>1743</v>
      </c>
    </row>
    <row r="28" spans="1:31" x14ac:dyDescent="0.25">
      <c r="A28" t="s">
        <v>1204</v>
      </c>
      <c r="B28" t="s">
        <v>1744</v>
      </c>
      <c r="C28" t="s">
        <v>1745</v>
      </c>
      <c r="D28" t="s">
        <v>1154</v>
      </c>
      <c r="E28">
        <v>7.9011999999999999E-2</v>
      </c>
      <c r="F28">
        <v>9.3855999999999995E-2</v>
      </c>
      <c r="G28">
        <v>9.0242000000000003E-2</v>
      </c>
      <c r="H28">
        <v>9.2868999999999993E-2</v>
      </c>
      <c r="I28">
        <v>9.4115000000000004E-2</v>
      </c>
      <c r="J28">
        <v>7.8113000000000002E-2</v>
      </c>
      <c r="K28">
        <v>8.1756999999999996E-2</v>
      </c>
      <c r="L28">
        <v>8.3349999999999994E-2</v>
      </c>
      <c r="M28">
        <v>8.7129999999999999E-2</v>
      </c>
      <c r="N28">
        <v>8.8624999999999995E-2</v>
      </c>
      <c r="O28">
        <v>8.9880000000000002E-2</v>
      </c>
      <c r="P28">
        <v>8.4436999999999998E-2</v>
      </c>
      <c r="Q28">
        <v>8.8377999999999998E-2</v>
      </c>
      <c r="R28">
        <v>8.7531999999999999E-2</v>
      </c>
      <c r="S28">
        <v>8.6206000000000005E-2</v>
      </c>
      <c r="T28">
        <v>8.4857000000000002E-2</v>
      </c>
      <c r="U28">
        <v>8.3366999999999997E-2</v>
      </c>
      <c r="V28">
        <v>8.1888000000000002E-2</v>
      </c>
      <c r="W28">
        <v>8.0342999999999998E-2</v>
      </c>
      <c r="X28">
        <v>7.8731999999999996E-2</v>
      </c>
      <c r="Y28">
        <v>7.7050999999999994E-2</v>
      </c>
      <c r="Z28">
        <v>7.5301000000000007E-2</v>
      </c>
      <c r="AA28">
        <v>7.374E-2</v>
      </c>
      <c r="AB28">
        <v>7.1845999999999993E-2</v>
      </c>
      <c r="AC28">
        <v>6.9877999999999996E-2</v>
      </c>
      <c r="AD28">
        <v>6.7834000000000005E-2</v>
      </c>
      <c r="AE28" t="s">
        <v>1743</v>
      </c>
    </row>
    <row r="29" spans="1:31" x14ac:dyDescent="0.25">
      <c r="A29" t="s">
        <v>766</v>
      </c>
      <c r="B29" t="s">
        <v>1746</v>
      </c>
      <c r="C29" t="s">
        <v>1747</v>
      </c>
      <c r="D29" t="s">
        <v>1154</v>
      </c>
      <c r="E29">
        <v>-3.3570000000000002E-3</v>
      </c>
      <c r="F29">
        <v>-2.676E-3</v>
      </c>
      <c r="G29">
        <v>-3.163E-3</v>
      </c>
      <c r="H29">
        <v>-3.1800000000000001E-3</v>
      </c>
      <c r="I29">
        <v>-2.7889999999999998E-3</v>
      </c>
      <c r="J29">
        <v>-2.8029999999999999E-3</v>
      </c>
      <c r="K29">
        <v>-2.8170000000000001E-3</v>
      </c>
      <c r="L29">
        <v>-2.8310000000000002E-3</v>
      </c>
      <c r="M29">
        <v>-2.846E-3</v>
      </c>
      <c r="N29">
        <v>-2.8600000000000001E-3</v>
      </c>
      <c r="O29">
        <v>-2.8739999999999998E-3</v>
      </c>
      <c r="P29">
        <v>-2.8890000000000001E-3</v>
      </c>
      <c r="Q29">
        <v>-2.9030000000000002E-3</v>
      </c>
      <c r="R29">
        <v>-2.9169999999999999E-3</v>
      </c>
      <c r="S29">
        <v>-2.9320000000000001E-3</v>
      </c>
      <c r="T29">
        <v>-2.947E-3</v>
      </c>
      <c r="U29">
        <v>-2.9610000000000001E-3</v>
      </c>
      <c r="V29">
        <v>-2.9759999999999999E-3</v>
      </c>
      <c r="W29">
        <v>-2.9910000000000002E-3</v>
      </c>
      <c r="X29">
        <v>-3.006E-3</v>
      </c>
      <c r="Y29">
        <v>-3.0209999999999998E-3</v>
      </c>
      <c r="Z29">
        <v>-3.0360000000000001E-3</v>
      </c>
      <c r="AA29">
        <v>-3.0509999999999999E-3</v>
      </c>
      <c r="AB29">
        <v>-3.0669999999999998E-3</v>
      </c>
      <c r="AC29">
        <v>-3.0820000000000001E-3</v>
      </c>
      <c r="AD29">
        <v>-3.0969999999999999E-3</v>
      </c>
      <c r="AE29" t="s">
        <v>1433</v>
      </c>
    </row>
    <row r="30" spans="1:31" x14ac:dyDescent="0.25">
      <c r="A30" t="s">
        <v>1216</v>
      </c>
      <c r="B30" t="s">
        <v>1748</v>
      </c>
      <c r="C30" t="s">
        <v>1749</v>
      </c>
      <c r="D30" t="s">
        <v>1154</v>
      </c>
      <c r="E30">
        <v>0.15112600000000001</v>
      </c>
      <c r="F30">
        <v>0.14815999999999999</v>
      </c>
      <c r="G30">
        <v>0.160195</v>
      </c>
      <c r="H30">
        <v>0.16625200000000001</v>
      </c>
      <c r="I30">
        <v>0.16565299999999999</v>
      </c>
      <c r="J30">
        <v>0.155664</v>
      </c>
      <c r="K30">
        <v>0.15637599999999999</v>
      </c>
      <c r="L30">
        <v>0.15760399999999999</v>
      </c>
      <c r="M30">
        <v>0.157359</v>
      </c>
      <c r="N30">
        <v>0.15653800000000001</v>
      </c>
      <c r="O30">
        <v>0.156393</v>
      </c>
      <c r="P30">
        <v>0.16359599999999999</v>
      </c>
      <c r="Q30">
        <v>0.16345599999999999</v>
      </c>
      <c r="R30">
        <v>0.165294</v>
      </c>
      <c r="S30">
        <v>0.16896800000000001</v>
      </c>
      <c r="T30">
        <v>0.17361399999999999</v>
      </c>
      <c r="U30">
        <v>0.176064</v>
      </c>
      <c r="V30">
        <v>0.18315999999999999</v>
      </c>
      <c r="W30">
        <v>0.18711800000000001</v>
      </c>
      <c r="X30">
        <v>0.18951299999999999</v>
      </c>
      <c r="Y30">
        <v>0.19168499999999999</v>
      </c>
      <c r="Z30">
        <v>0.19491600000000001</v>
      </c>
      <c r="AA30">
        <v>0.19714599999999999</v>
      </c>
      <c r="AB30">
        <v>0.20394399999999999</v>
      </c>
      <c r="AC30">
        <v>0.21945200000000001</v>
      </c>
      <c r="AD30">
        <v>0.223215</v>
      </c>
      <c r="AE30" t="s">
        <v>1731</v>
      </c>
    </row>
    <row r="31" spans="1:31" x14ac:dyDescent="0.25">
      <c r="A31" t="s">
        <v>1204</v>
      </c>
      <c r="B31" t="s">
        <v>1750</v>
      </c>
      <c r="C31" t="s">
        <v>1751</v>
      </c>
      <c r="D31" t="s">
        <v>1154</v>
      </c>
      <c r="E31">
        <v>0.18034600000000001</v>
      </c>
      <c r="F31">
        <v>0.181316</v>
      </c>
      <c r="G31">
        <v>0.19270100000000001</v>
      </c>
      <c r="H31">
        <v>0.19916500000000001</v>
      </c>
      <c r="I31">
        <v>0.19897699999999999</v>
      </c>
      <c r="J31">
        <v>0.18940499999999999</v>
      </c>
      <c r="K31">
        <v>0.19053800000000001</v>
      </c>
      <c r="L31">
        <v>0.192194</v>
      </c>
      <c r="M31">
        <v>0.192381</v>
      </c>
      <c r="N31">
        <v>0.191998</v>
      </c>
      <c r="O31">
        <v>0.19229599999999999</v>
      </c>
      <c r="P31">
        <v>0.19994799999999999</v>
      </c>
      <c r="Q31">
        <v>0.200262</v>
      </c>
      <c r="R31">
        <v>0.20255999999999999</v>
      </c>
      <c r="S31">
        <v>0.20669999999999999</v>
      </c>
      <c r="T31">
        <v>0.21181800000000001</v>
      </c>
      <c r="U31">
        <v>0.21474499999999999</v>
      </c>
      <c r="V31">
        <v>0.22232499999999999</v>
      </c>
      <c r="W31">
        <v>0.226772</v>
      </c>
      <c r="X31">
        <v>0.22966300000000001</v>
      </c>
      <c r="Y31">
        <v>0.23233699999999999</v>
      </c>
      <c r="Z31">
        <v>0.23607600000000001</v>
      </c>
      <c r="AA31">
        <v>0.23882</v>
      </c>
      <c r="AB31">
        <v>0.24614</v>
      </c>
      <c r="AC31">
        <v>0.26217499999999999</v>
      </c>
      <c r="AD31">
        <v>0.26647199999999999</v>
      </c>
      <c r="AE31" t="s">
        <v>1731</v>
      </c>
    </row>
    <row r="32" spans="1:31" x14ac:dyDescent="0.25">
      <c r="A32" t="s">
        <v>766</v>
      </c>
      <c r="B32" t="s">
        <v>1752</v>
      </c>
      <c r="C32" t="s">
        <v>1753</v>
      </c>
      <c r="D32" t="s">
        <v>1154</v>
      </c>
      <c r="E32">
        <v>-2.9219999999999999E-2</v>
      </c>
      <c r="F32">
        <v>-3.3156999999999999E-2</v>
      </c>
      <c r="G32">
        <v>-3.2507000000000001E-2</v>
      </c>
      <c r="H32">
        <v>-3.2912999999999998E-2</v>
      </c>
      <c r="I32">
        <v>-3.3323999999999999E-2</v>
      </c>
      <c r="J32">
        <v>-3.3741E-2</v>
      </c>
      <c r="K32">
        <v>-3.4162999999999999E-2</v>
      </c>
      <c r="L32">
        <v>-3.4590000000000003E-2</v>
      </c>
      <c r="M32">
        <v>-3.5021999999999998E-2</v>
      </c>
      <c r="N32">
        <v>-3.5459999999999998E-2</v>
      </c>
      <c r="O32">
        <v>-3.5902999999999997E-2</v>
      </c>
      <c r="P32">
        <v>-3.6352000000000002E-2</v>
      </c>
      <c r="Q32">
        <v>-3.6805999999999998E-2</v>
      </c>
      <c r="R32">
        <v>-3.7266000000000001E-2</v>
      </c>
      <c r="S32">
        <v>-3.7732000000000002E-2</v>
      </c>
      <c r="T32">
        <v>-3.8204000000000002E-2</v>
      </c>
      <c r="U32">
        <v>-3.8681E-2</v>
      </c>
      <c r="V32">
        <v>-3.9164999999999998E-2</v>
      </c>
      <c r="W32">
        <v>-3.9654000000000002E-2</v>
      </c>
      <c r="X32">
        <v>-4.0149999999999998E-2</v>
      </c>
      <c r="Y32">
        <v>-4.0652000000000001E-2</v>
      </c>
      <c r="Z32">
        <v>-4.1160000000000002E-2</v>
      </c>
      <c r="AA32">
        <v>-4.1674999999999997E-2</v>
      </c>
      <c r="AB32">
        <v>-4.2195999999999997E-2</v>
      </c>
      <c r="AC32">
        <v>-4.2722999999999997E-2</v>
      </c>
      <c r="AD32">
        <v>-4.3256999999999997E-2</v>
      </c>
      <c r="AE32" t="s">
        <v>1731</v>
      </c>
    </row>
    <row r="33" spans="1:31" x14ac:dyDescent="0.25">
      <c r="A33" t="s">
        <v>1223</v>
      </c>
      <c r="B33" t="s">
        <v>1754</v>
      </c>
      <c r="C33" t="s">
        <v>1755</v>
      </c>
      <c r="D33" t="s">
        <v>1154</v>
      </c>
      <c r="E33">
        <v>2.4516E-2</v>
      </c>
      <c r="F33">
        <v>2.7739E-2</v>
      </c>
      <c r="G33">
        <v>3.687E-2</v>
      </c>
      <c r="H33">
        <v>3.7002E-2</v>
      </c>
      <c r="I33">
        <v>3.6998000000000003E-2</v>
      </c>
      <c r="J33">
        <v>3.1678999999999999E-2</v>
      </c>
      <c r="K33">
        <v>3.2099000000000003E-2</v>
      </c>
      <c r="L33">
        <v>3.2541E-2</v>
      </c>
      <c r="M33">
        <v>3.2761999999999999E-2</v>
      </c>
      <c r="N33">
        <v>3.2541E-2</v>
      </c>
      <c r="O33">
        <v>3.2711999999999998E-2</v>
      </c>
      <c r="P33">
        <v>3.2620000000000003E-2</v>
      </c>
      <c r="Q33">
        <v>3.3772000000000003E-2</v>
      </c>
      <c r="R33">
        <v>3.4313999999999997E-2</v>
      </c>
      <c r="S33">
        <v>3.4005000000000001E-2</v>
      </c>
      <c r="T33">
        <v>3.4018E-2</v>
      </c>
      <c r="U33">
        <v>3.422E-2</v>
      </c>
      <c r="V33">
        <v>3.6213000000000002E-2</v>
      </c>
      <c r="W33">
        <v>3.8202E-2</v>
      </c>
      <c r="X33">
        <v>3.8261000000000003E-2</v>
      </c>
      <c r="Y33">
        <v>3.8316000000000003E-2</v>
      </c>
      <c r="Z33">
        <v>3.8392000000000003E-2</v>
      </c>
      <c r="AA33">
        <v>3.8481000000000001E-2</v>
      </c>
      <c r="AB33">
        <v>3.8596999999999999E-2</v>
      </c>
      <c r="AC33">
        <v>3.8925000000000001E-2</v>
      </c>
      <c r="AD33">
        <v>3.9011999999999998E-2</v>
      </c>
      <c r="AE33" t="s">
        <v>1672</v>
      </c>
    </row>
    <row r="34" spans="1:31" x14ac:dyDescent="0.25">
      <c r="A34" t="s">
        <v>1204</v>
      </c>
      <c r="B34" t="s">
        <v>1756</v>
      </c>
      <c r="C34" t="s">
        <v>1757</v>
      </c>
      <c r="D34" t="s">
        <v>1154</v>
      </c>
      <c r="E34">
        <v>2.4516E-2</v>
      </c>
      <c r="F34">
        <v>2.7739E-2</v>
      </c>
      <c r="G34">
        <v>3.687E-2</v>
      </c>
      <c r="H34">
        <v>3.7002E-2</v>
      </c>
      <c r="I34">
        <v>3.6998000000000003E-2</v>
      </c>
      <c r="J34">
        <v>3.1678999999999999E-2</v>
      </c>
      <c r="K34">
        <v>3.2099000000000003E-2</v>
      </c>
      <c r="L34">
        <v>3.2541E-2</v>
      </c>
      <c r="M34">
        <v>3.2761999999999999E-2</v>
      </c>
      <c r="N34">
        <v>3.2541E-2</v>
      </c>
      <c r="O34">
        <v>3.2711999999999998E-2</v>
      </c>
      <c r="P34">
        <v>3.2620000000000003E-2</v>
      </c>
      <c r="Q34">
        <v>3.3772000000000003E-2</v>
      </c>
      <c r="R34">
        <v>3.4313999999999997E-2</v>
      </c>
      <c r="S34">
        <v>3.4005000000000001E-2</v>
      </c>
      <c r="T34">
        <v>3.4018E-2</v>
      </c>
      <c r="U34">
        <v>3.422E-2</v>
      </c>
      <c r="V34">
        <v>3.6213000000000002E-2</v>
      </c>
      <c r="W34">
        <v>3.8202E-2</v>
      </c>
      <c r="X34">
        <v>3.8261000000000003E-2</v>
      </c>
      <c r="Y34">
        <v>3.8316000000000003E-2</v>
      </c>
      <c r="Z34">
        <v>3.8392000000000003E-2</v>
      </c>
      <c r="AA34">
        <v>3.8481000000000001E-2</v>
      </c>
      <c r="AB34">
        <v>3.8596999999999999E-2</v>
      </c>
      <c r="AC34">
        <v>3.8925000000000001E-2</v>
      </c>
      <c r="AD34">
        <v>3.9011999999999998E-2</v>
      </c>
      <c r="AE34" t="s">
        <v>1672</v>
      </c>
    </row>
    <row r="35" spans="1:31" x14ac:dyDescent="0.25">
      <c r="A35" t="s">
        <v>766</v>
      </c>
      <c r="B35" t="s">
        <v>1758</v>
      </c>
      <c r="C35" t="s">
        <v>1759</v>
      </c>
      <c r="D35" t="s">
        <v>1154</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863</v>
      </c>
    </row>
    <row r="36" spans="1:31" x14ac:dyDescent="0.25">
      <c r="A36" t="s">
        <v>1230</v>
      </c>
      <c r="B36" t="s">
        <v>1760</v>
      </c>
      <c r="C36" t="s">
        <v>1761</v>
      </c>
      <c r="D36" t="s">
        <v>1154</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863</v>
      </c>
    </row>
    <row r="37" spans="1:31" x14ac:dyDescent="0.25">
      <c r="A37" t="s">
        <v>605</v>
      </c>
      <c r="B37" t="s">
        <v>1762</v>
      </c>
      <c r="C37" t="s">
        <v>1763</v>
      </c>
      <c r="D37" t="s">
        <v>1154</v>
      </c>
      <c r="E37">
        <v>0.22</v>
      </c>
      <c r="F37">
        <v>0.22</v>
      </c>
      <c r="G37">
        <v>0.19409599999999999</v>
      </c>
      <c r="H37">
        <v>0.19625999999999999</v>
      </c>
      <c r="I37">
        <v>0.20191400000000001</v>
      </c>
      <c r="J37">
        <v>0.19958600000000001</v>
      </c>
      <c r="K37">
        <v>0.19247700000000001</v>
      </c>
      <c r="L37">
        <v>0.190529</v>
      </c>
      <c r="M37">
        <v>0.19142000000000001</v>
      </c>
      <c r="N37">
        <v>0.19925999999999999</v>
      </c>
      <c r="O37">
        <v>0.20169100000000001</v>
      </c>
      <c r="P37">
        <v>0.20041400000000001</v>
      </c>
      <c r="Q37">
        <v>0.20613799999999999</v>
      </c>
      <c r="R37">
        <v>0.20798</v>
      </c>
      <c r="S37">
        <v>0.20880399999999999</v>
      </c>
      <c r="T37">
        <v>0.20646200000000001</v>
      </c>
      <c r="U37">
        <v>0.206174</v>
      </c>
      <c r="V37">
        <v>0.204788</v>
      </c>
      <c r="W37">
        <v>0.20613100000000001</v>
      </c>
      <c r="X37">
        <v>0.21301800000000001</v>
      </c>
      <c r="Y37">
        <v>0.215639</v>
      </c>
      <c r="Z37">
        <v>0.21529799999999999</v>
      </c>
      <c r="AA37">
        <v>0.21607199999999999</v>
      </c>
      <c r="AB37">
        <v>0.21565599999999999</v>
      </c>
      <c r="AC37">
        <v>0.21548999999999999</v>
      </c>
      <c r="AD37">
        <v>0.214924</v>
      </c>
      <c r="AE37" t="s">
        <v>1489</v>
      </c>
    </row>
    <row r="38" spans="1:31" x14ac:dyDescent="0.25">
      <c r="A38" t="s">
        <v>1235</v>
      </c>
      <c r="B38" t="s">
        <v>1764</v>
      </c>
      <c r="C38" t="s">
        <v>1765</v>
      </c>
      <c r="D38" t="s">
        <v>1154</v>
      </c>
      <c r="E38">
        <v>20.908092</v>
      </c>
      <c r="F38">
        <v>20.730345</v>
      </c>
      <c r="G38">
        <v>20.425363999999998</v>
      </c>
      <c r="H38">
        <v>20.387395999999999</v>
      </c>
      <c r="I38">
        <v>20.215347000000001</v>
      </c>
      <c r="J38">
        <v>20.182963999999998</v>
      </c>
      <c r="K38">
        <v>20.042171</v>
      </c>
      <c r="L38">
        <v>19.973158000000002</v>
      </c>
      <c r="M38">
        <v>19.858067999999999</v>
      </c>
      <c r="N38">
        <v>19.849371000000001</v>
      </c>
      <c r="O38">
        <v>19.800250999999999</v>
      </c>
      <c r="P38">
        <v>19.776031</v>
      </c>
      <c r="Q38">
        <v>19.743986</v>
      </c>
      <c r="R38">
        <v>19.782665000000001</v>
      </c>
      <c r="S38">
        <v>19.767348999999999</v>
      </c>
      <c r="T38">
        <v>19.811489000000002</v>
      </c>
      <c r="U38">
        <v>19.824200000000001</v>
      </c>
      <c r="V38">
        <v>19.856556000000001</v>
      </c>
      <c r="W38">
        <v>19.864757999999998</v>
      </c>
      <c r="X38">
        <v>19.883793000000001</v>
      </c>
      <c r="Y38">
        <v>19.915934</v>
      </c>
      <c r="Z38">
        <v>19.965149</v>
      </c>
      <c r="AA38">
        <v>20.007031999999999</v>
      </c>
      <c r="AB38">
        <v>20.03331</v>
      </c>
      <c r="AC38">
        <v>20.027750000000001</v>
      </c>
      <c r="AD38">
        <v>20.053744999999999</v>
      </c>
      <c r="AE38" t="s">
        <v>1701</v>
      </c>
    </row>
    <row r="39" spans="1:31" x14ac:dyDescent="0.25">
      <c r="A39" t="s">
        <v>1238</v>
      </c>
    </row>
    <row r="40" spans="1:31" x14ac:dyDescent="0.25">
      <c r="A40" t="s">
        <v>1239</v>
      </c>
    </row>
    <row r="41" spans="1:31" x14ac:dyDescent="0.25">
      <c r="A41" t="s">
        <v>1240</v>
      </c>
      <c r="B41" t="s">
        <v>1766</v>
      </c>
      <c r="C41" t="s">
        <v>1767</v>
      </c>
      <c r="D41" t="s">
        <v>1154</v>
      </c>
      <c r="E41">
        <v>3.798</v>
      </c>
      <c r="F41">
        <v>3.7690000000000001</v>
      </c>
      <c r="G41">
        <v>3.8961730000000001</v>
      </c>
      <c r="H41">
        <v>3.8279329999999998</v>
      </c>
      <c r="I41">
        <v>3.752488</v>
      </c>
      <c r="J41">
        <v>3.7490269999999999</v>
      </c>
      <c r="K41">
        <v>3.769584</v>
      </c>
      <c r="L41">
        <v>3.7829359999999999</v>
      </c>
      <c r="M41">
        <v>3.8158799999999999</v>
      </c>
      <c r="N41">
        <v>3.8449559999999998</v>
      </c>
      <c r="O41">
        <v>3.900725</v>
      </c>
      <c r="P41">
        <v>3.950129</v>
      </c>
      <c r="Q41">
        <v>3.9766210000000002</v>
      </c>
      <c r="R41">
        <v>4.0268670000000002</v>
      </c>
      <c r="S41">
        <v>4.088463</v>
      </c>
      <c r="T41">
        <v>4.1433150000000003</v>
      </c>
      <c r="U41">
        <v>4.2148399999999997</v>
      </c>
      <c r="V41">
        <v>4.2884880000000001</v>
      </c>
      <c r="W41">
        <v>4.3588889999999996</v>
      </c>
      <c r="X41">
        <v>4.4208080000000001</v>
      </c>
      <c r="Y41">
        <v>4.4891040000000002</v>
      </c>
      <c r="Z41">
        <v>4.5656699999999999</v>
      </c>
      <c r="AA41">
        <v>4.6483629999999998</v>
      </c>
      <c r="AB41">
        <v>4.7218359999999997</v>
      </c>
      <c r="AC41">
        <v>4.7742969999999998</v>
      </c>
      <c r="AD41">
        <v>4.8458249999999996</v>
      </c>
      <c r="AE41" t="s">
        <v>1524</v>
      </c>
    </row>
    <row r="42" spans="1:31" x14ac:dyDescent="0.25">
      <c r="A42" t="s">
        <v>1243</v>
      </c>
      <c r="B42" t="s">
        <v>1768</v>
      </c>
      <c r="C42" t="s">
        <v>1769</v>
      </c>
      <c r="D42" t="s">
        <v>1154</v>
      </c>
      <c r="E42">
        <v>8.8940000000000001</v>
      </c>
      <c r="F42">
        <v>8.8529999999999998</v>
      </c>
      <c r="G42">
        <v>8.8251089999999994</v>
      </c>
      <c r="H42">
        <v>8.7202809999999999</v>
      </c>
      <c r="I42">
        <v>8.5965109999999996</v>
      </c>
      <c r="J42">
        <v>8.4690560000000001</v>
      </c>
      <c r="K42">
        <v>8.3461800000000004</v>
      </c>
      <c r="L42">
        <v>8.2442729999999997</v>
      </c>
      <c r="M42">
        <v>8.1368030000000005</v>
      </c>
      <c r="N42">
        <v>8.0697220000000005</v>
      </c>
      <c r="O42">
        <v>7.9967579999999998</v>
      </c>
      <c r="P42">
        <v>7.907896</v>
      </c>
      <c r="Q42">
        <v>7.8196190000000003</v>
      </c>
      <c r="R42">
        <v>7.7458580000000001</v>
      </c>
      <c r="S42">
        <v>7.6745939999999999</v>
      </c>
      <c r="T42">
        <v>7.6185809999999998</v>
      </c>
      <c r="U42">
        <v>7.5669190000000004</v>
      </c>
      <c r="V42">
        <v>7.502904</v>
      </c>
      <c r="W42">
        <v>7.4592890000000001</v>
      </c>
      <c r="X42">
        <v>7.4087839999999998</v>
      </c>
      <c r="Y42">
        <v>7.3651410000000004</v>
      </c>
      <c r="Z42">
        <v>7.315321</v>
      </c>
      <c r="AA42">
        <v>7.2743330000000004</v>
      </c>
      <c r="AB42">
        <v>7.216018</v>
      </c>
      <c r="AC42">
        <v>7.1564269999999999</v>
      </c>
      <c r="AD42">
        <v>7.1130870000000002</v>
      </c>
      <c r="AE42" t="s">
        <v>1677</v>
      </c>
    </row>
    <row r="43" spans="1:31" x14ac:dyDescent="0.25">
      <c r="A43" t="s">
        <v>1246</v>
      </c>
      <c r="B43" t="s">
        <v>1770</v>
      </c>
      <c r="C43" t="s">
        <v>1771</v>
      </c>
      <c r="D43" t="s">
        <v>1154</v>
      </c>
      <c r="E43">
        <v>2.7140999999999998E-2</v>
      </c>
      <c r="F43">
        <v>2.1672E-2</v>
      </c>
      <c r="G43">
        <v>2.0559000000000001E-2</v>
      </c>
      <c r="H43">
        <v>1.9247E-2</v>
      </c>
      <c r="I43">
        <v>1.7691999999999999E-2</v>
      </c>
      <c r="J43">
        <v>1.8367000000000001E-2</v>
      </c>
      <c r="K43">
        <v>1.5765000000000001E-2</v>
      </c>
      <c r="L43">
        <v>1.4414E-2</v>
      </c>
      <c r="M43">
        <v>1.3132E-2</v>
      </c>
      <c r="N43">
        <v>1.2179000000000001E-2</v>
      </c>
      <c r="O43">
        <v>1.0951000000000001E-2</v>
      </c>
      <c r="P43">
        <v>9.9179999999999997E-3</v>
      </c>
      <c r="Q43">
        <v>8.8990000000000007E-3</v>
      </c>
      <c r="R43">
        <v>8.0770000000000008E-3</v>
      </c>
      <c r="S43">
        <v>7.365E-3</v>
      </c>
      <c r="T43">
        <v>6.8139999999999997E-3</v>
      </c>
      <c r="U43">
        <v>6.1900000000000002E-3</v>
      </c>
      <c r="V43">
        <v>5.8269999999999997E-3</v>
      </c>
      <c r="W43">
        <v>5.4720000000000003E-3</v>
      </c>
      <c r="X43">
        <v>5.2269999999999999E-3</v>
      </c>
      <c r="Y43">
        <v>4.7320000000000001E-3</v>
      </c>
      <c r="Z43">
        <v>4.5539999999999999E-3</v>
      </c>
      <c r="AA43">
        <v>4.5129999999999997E-3</v>
      </c>
      <c r="AB43">
        <v>4.646E-3</v>
      </c>
      <c r="AC43">
        <v>4.3049999999999998E-3</v>
      </c>
      <c r="AD43">
        <v>4.1000000000000003E-3</v>
      </c>
      <c r="AE43" t="s">
        <v>1772</v>
      </c>
    </row>
    <row r="44" spans="1:31" x14ac:dyDescent="0.25">
      <c r="A44" t="s">
        <v>1249</v>
      </c>
      <c r="B44" t="s">
        <v>1773</v>
      </c>
      <c r="C44" t="s">
        <v>1774</v>
      </c>
      <c r="D44" t="s">
        <v>1154</v>
      </c>
      <c r="E44">
        <v>1.7190000000000001</v>
      </c>
      <c r="F44">
        <v>1.7430000000000001</v>
      </c>
      <c r="G44">
        <v>1.756775</v>
      </c>
      <c r="H44">
        <v>1.755207</v>
      </c>
      <c r="I44">
        <v>1.761509</v>
      </c>
      <c r="J44">
        <v>1.7732840000000001</v>
      </c>
      <c r="K44">
        <v>1.783744</v>
      </c>
      <c r="L44">
        <v>1.7990699999999999</v>
      </c>
      <c r="M44">
        <v>1.8155250000000001</v>
      </c>
      <c r="N44">
        <v>1.8356870000000001</v>
      </c>
      <c r="O44">
        <v>1.8597870000000001</v>
      </c>
      <c r="P44">
        <v>1.8768309999999999</v>
      </c>
      <c r="Q44">
        <v>1.8954899999999999</v>
      </c>
      <c r="R44">
        <v>1.9133789999999999</v>
      </c>
      <c r="S44">
        <v>1.930626</v>
      </c>
      <c r="T44">
        <v>1.948067</v>
      </c>
      <c r="U44">
        <v>1.9633020000000001</v>
      </c>
      <c r="V44">
        <v>1.9800219999999999</v>
      </c>
      <c r="W44">
        <v>1.997374</v>
      </c>
      <c r="X44">
        <v>2.014205</v>
      </c>
      <c r="Y44">
        <v>2.0309469999999998</v>
      </c>
      <c r="Z44">
        <v>2.0459019999999999</v>
      </c>
      <c r="AA44">
        <v>2.058538</v>
      </c>
      <c r="AB44">
        <v>2.0711200000000001</v>
      </c>
      <c r="AC44">
        <v>2.0816539999999999</v>
      </c>
      <c r="AD44">
        <v>2.0930460000000002</v>
      </c>
      <c r="AE44" t="s">
        <v>1481</v>
      </c>
    </row>
    <row r="45" spans="1:31" x14ac:dyDescent="0.25">
      <c r="A45" t="s">
        <v>1252</v>
      </c>
      <c r="B45" t="s">
        <v>1775</v>
      </c>
      <c r="C45" t="s">
        <v>1776</v>
      </c>
      <c r="D45" t="s">
        <v>1154</v>
      </c>
      <c r="E45">
        <v>4.07</v>
      </c>
      <c r="F45">
        <v>4.157</v>
      </c>
      <c r="G45">
        <v>4.1973880000000001</v>
      </c>
      <c r="H45">
        <v>4.1751430000000003</v>
      </c>
      <c r="I45">
        <v>4.1615250000000001</v>
      </c>
      <c r="J45">
        <v>4.1616280000000003</v>
      </c>
      <c r="K45">
        <v>4.142385</v>
      </c>
      <c r="L45">
        <v>4.1302500000000002</v>
      </c>
      <c r="M45">
        <v>4.1072179999999996</v>
      </c>
      <c r="N45">
        <v>4.0896350000000004</v>
      </c>
      <c r="O45">
        <v>4.0758169999999998</v>
      </c>
      <c r="P45">
        <v>4.0617539999999996</v>
      </c>
      <c r="Q45">
        <v>4.0492559999999997</v>
      </c>
      <c r="R45">
        <v>4.0361399999999996</v>
      </c>
      <c r="S45">
        <v>4.0244530000000003</v>
      </c>
      <c r="T45">
        <v>4.0141730000000004</v>
      </c>
      <c r="U45">
        <v>4.0025069999999996</v>
      </c>
      <c r="V45">
        <v>3.9902899999999999</v>
      </c>
      <c r="W45">
        <v>3.9771570000000001</v>
      </c>
      <c r="X45">
        <v>3.9656210000000001</v>
      </c>
      <c r="Y45">
        <v>3.9597129999999998</v>
      </c>
      <c r="Z45">
        <v>3.9569459999999999</v>
      </c>
      <c r="AA45">
        <v>3.95587</v>
      </c>
      <c r="AB45">
        <v>3.9497879999999999</v>
      </c>
      <c r="AC45">
        <v>3.942285</v>
      </c>
      <c r="AD45">
        <v>3.9346610000000002</v>
      </c>
      <c r="AE45" t="s">
        <v>1489</v>
      </c>
    </row>
    <row r="46" spans="1:31" x14ac:dyDescent="0.25">
      <c r="A46" t="s">
        <v>1258</v>
      </c>
      <c r="B46" t="s">
        <v>1777</v>
      </c>
      <c r="C46" t="s">
        <v>1778</v>
      </c>
      <c r="D46" t="s">
        <v>1154</v>
      </c>
      <c r="E46">
        <v>0.28699999999999998</v>
      </c>
      <c r="F46">
        <v>0.27800000000000002</v>
      </c>
      <c r="G46">
        <v>0.28300999999999998</v>
      </c>
      <c r="H46">
        <v>0.29019400000000001</v>
      </c>
      <c r="I46">
        <v>0.29148200000000002</v>
      </c>
      <c r="J46">
        <v>0.29436200000000001</v>
      </c>
      <c r="K46">
        <v>0.29425899999999999</v>
      </c>
      <c r="L46">
        <v>0.296761</v>
      </c>
      <c r="M46">
        <v>0.29988900000000002</v>
      </c>
      <c r="N46">
        <v>0.30327599999999999</v>
      </c>
      <c r="O46">
        <v>0.30594300000000002</v>
      </c>
      <c r="P46">
        <v>0.30868400000000001</v>
      </c>
      <c r="Q46">
        <v>0.31042700000000001</v>
      </c>
      <c r="R46">
        <v>0.31212400000000001</v>
      </c>
      <c r="S46">
        <v>0.31364500000000001</v>
      </c>
      <c r="T46">
        <v>0.31460100000000002</v>
      </c>
      <c r="U46">
        <v>0.314411</v>
      </c>
      <c r="V46">
        <v>0.315415</v>
      </c>
      <c r="W46">
        <v>0.31645800000000002</v>
      </c>
      <c r="X46">
        <v>0.317274</v>
      </c>
      <c r="Y46">
        <v>0.31839000000000001</v>
      </c>
      <c r="Z46">
        <v>0.321135</v>
      </c>
      <c r="AA46">
        <v>0.323714</v>
      </c>
      <c r="AB46">
        <v>0.32621299999999998</v>
      </c>
      <c r="AC46">
        <v>0.328903</v>
      </c>
      <c r="AD46">
        <v>0.33185500000000001</v>
      </c>
      <c r="AE46" t="s">
        <v>1642</v>
      </c>
    </row>
    <row r="47" spans="1:31" x14ac:dyDescent="0.25">
      <c r="A47" t="s">
        <v>605</v>
      </c>
      <c r="B47" t="s">
        <v>1779</v>
      </c>
      <c r="C47" t="s">
        <v>1780</v>
      </c>
      <c r="D47" t="s">
        <v>1154</v>
      </c>
      <c r="E47">
        <v>1.6990000000000001</v>
      </c>
      <c r="F47">
        <v>1.645</v>
      </c>
      <c r="G47">
        <v>1.5516430000000001</v>
      </c>
      <c r="H47">
        <v>1.6962250000000001</v>
      </c>
      <c r="I47">
        <v>1.7037439999999999</v>
      </c>
      <c r="J47">
        <v>1.7178439999999999</v>
      </c>
      <c r="K47">
        <v>1.714189</v>
      </c>
      <c r="L47">
        <v>1.7265710000000001</v>
      </c>
      <c r="M47">
        <v>1.733493</v>
      </c>
      <c r="N47">
        <v>1.7414590000000001</v>
      </c>
      <c r="O47">
        <v>1.7435259999999999</v>
      </c>
      <c r="P47">
        <v>1.74858</v>
      </c>
      <c r="Q47">
        <v>1.7588889999999999</v>
      </c>
      <c r="R47">
        <v>1.76068</v>
      </c>
      <c r="S47">
        <v>1.7643089999999999</v>
      </c>
      <c r="T47">
        <v>1.7732749999999999</v>
      </c>
      <c r="U47">
        <v>1.777622</v>
      </c>
      <c r="V47">
        <v>1.781215</v>
      </c>
      <c r="W47">
        <v>1.78718</v>
      </c>
      <c r="X47">
        <v>1.787134</v>
      </c>
      <c r="Y47">
        <v>1.789544</v>
      </c>
      <c r="Z47">
        <v>1.7831600000000001</v>
      </c>
      <c r="AA47">
        <v>1.794122</v>
      </c>
      <c r="AB47">
        <v>1.789002</v>
      </c>
      <c r="AC47">
        <v>1.793979</v>
      </c>
      <c r="AD47">
        <v>1.787658</v>
      </c>
      <c r="AE47" t="s">
        <v>1738</v>
      </c>
    </row>
    <row r="48" spans="1:31" x14ac:dyDescent="0.25">
      <c r="A48" t="s">
        <v>1263</v>
      </c>
    </row>
    <row r="49" spans="1:31" x14ac:dyDescent="0.25">
      <c r="A49" t="s">
        <v>1264</v>
      </c>
      <c r="B49" t="s">
        <v>1781</v>
      </c>
      <c r="C49" t="s">
        <v>1782</v>
      </c>
      <c r="D49" t="s">
        <v>1154</v>
      </c>
      <c r="E49">
        <v>1.137202</v>
      </c>
      <c r="F49">
        <v>1.1296459999999999</v>
      </c>
      <c r="G49">
        <v>1.1215599999999999</v>
      </c>
      <c r="H49">
        <v>1.122946</v>
      </c>
      <c r="I49">
        <v>1.1212899999999999</v>
      </c>
      <c r="J49">
        <v>1.120025</v>
      </c>
      <c r="K49">
        <v>1.1175679999999999</v>
      </c>
      <c r="L49">
        <v>1.1150310000000001</v>
      </c>
      <c r="M49">
        <v>1.1119129999999999</v>
      </c>
      <c r="N49">
        <v>1.1101369999999999</v>
      </c>
      <c r="O49">
        <v>1.1090549999999999</v>
      </c>
      <c r="P49">
        <v>1.1088009999999999</v>
      </c>
      <c r="Q49">
        <v>1.1086990000000001</v>
      </c>
      <c r="R49">
        <v>1.108622</v>
      </c>
      <c r="S49">
        <v>1.1086689999999999</v>
      </c>
      <c r="T49">
        <v>1.1087959999999999</v>
      </c>
      <c r="U49">
        <v>1.1088579999999999</v>
      </c>
      <c r="V49">
        <v>1.109289</v>
      </c>
      <c r="W49">
        <v>1.109931</v>
      </c>
      <c r="X49">
        <v>1.1108089999999999</v>
      </c>
      <c r="Y49">
        <v>1.111699</v>
      </c>
      <c r="Z49">
        <v>1.112584</v>
      </c>
      <c r="AA49">
        <v>1.1132139999999999</v>
      </c>
      <c r="AB49">
        <v>1.1138509999999999</v>
      </c>
      <c r="AC49">
        <v>1.114479</v>
      </c>
      <c r="AD49">
        <v>1.1154120000000001</v>
      </c>
      <c r="AE49" t="s">
        <v>1489</v>
      </c>
    </row>
    <row r="50" spans="1:31" x14ac:dyDescent="0.25">
      <c r="A50" t="s">
        <v>943</v>
      </c>
      <c r="B50" t="s">
        <v>1783</v>
      </c>
      <c r="C50" t="s">
        <v>1784</v>
      </c>
      <c r="D50" t="s">
        <v>1154</v>
      </c>
      <c r="E50">
        <v>5.4932619999999996</v>
      </c>
      <c r="F50">
        <v>5.4512239999999998</v>
      </c>
      <c r="G50">
        <v>5.5942639999999999</v>
      </c>
      <c r="H50">
        <v>5.6724439999999996</v>
      </c>
      <c r="I50">
        <v>5.6133579999999998</v>
      </c>
      <c r="J50">
        <v>5.6345700000000001</v>
      </c>
      <c r="K50">
        <v>5.6610550000000002</v>
      </c>
      <c r="L50">
        <v>5.7011099999999999</v>
      </c>
      <c r="M50">
        <v>5.7494769999999997</v>
      </c>
      <c r="N50">
        <v>5.793717</v>
      </c>
      <c r="O50">
        <v>5.8595839999999999</v>
      </c>
      <c r="P50">
        <v>5.9198550000000001</v>
      </c>
      <c r="Q50">
        <v>5.9622989999999998</v>
      </c>
      <c r="R50">
        <v>6.0222059999999997</v>
      </c>
      <c r="S50">
        <v>6.0934759999999999</v>
      </c>
      <c r="T50">
        <v>6.162458</v>
      </c>
      <c r="U50">
        <v>6.2429230000000002</v>
      </c>
      <c r="V50">
        <v>6.3245189999999996</v>
      </c>
      <c r="W50">
        <v>6.4030860000000001</v>
      </c>
      <c r="X50">
        <v>6.4698640000000003</v>
      </c>
      <c r="Y50">
        <v>6.5457080000000003</v>
      </c>
      <c r="Z50">
        <v>6.6215570000000001</v>
      </c>
      <c r="AA50">
        <v>6.719112</v>
      </c>
      <c r="AB50">
        <v>6.7931939999999997</v>
      </c>
      <c r="AC50">
        <v>6.8547529999999997</v>
      </c>
      <c r="AD50">
        <v>6.9248779999999996</v>
      </c>
      <c r="AE50" t="s">
        <v>1462</v>
      </c>
    </row>
    <row r="51" spans="1:31" x14ac:dyDescent="0.25">
      <c r="A51" t="s">
        <v>946</v>
      </c>
      <c r="B51" t="s">
        <v>1785</v>
      </c>
      <c r="C51" t="s">
        <v>1786</v>
      </c>
      <c r="D51" t="s">
        <v>1154</v>
      </c>
      <c r="E51">
        <v>13.816731000000001</v>
      </c>
      <c r="F51">
        <v>13.75179</v>
      </c>
      <c r="G51">
        <v>13.692556</v>
      </c>
      <c r="H51">
        <v>13.572571999999999</v>
      </c>
      <c r="I51">
        <v>13.439247999999999</v>
      </c>
      <c r="J51">
        <v>13.316241</v>
      </c>
      <c r="K51">
        <v>13.181407</v>
      </c>
      <c r="L51">
        <v>13.076739999999999</v>
      </c>
      <c r="M51">
        <v>12.963618</v>
      </c>
      <c r="N51">
        <v>12.898384999999999</v>
      </c>
      <c r="O51">
        <v>12.834669</v>
      </c>
      <c r="P51">
        <v>12.746928</v>
      </c>
      <c r="Q51">
        <v>12.661993000000001</v>
      </c>
      <c r="R51">
        <v>12.590859</v>
      </c>
      <c r="S51">
        <v>12.522244000000001</v>
      </c>
      <c r="T51">
        <v>12.471285</v>
      </c>
      <c r="U51">
        <v>12.421424</v>
      </c>
      <c r="V51">
        <v>12.361376</v>
      </c>
      <c r="W51">
        <v>12.322305</v>
      </c>
      <c r="X51">
        <v>12.277226000000001</v>
      </c>
      <c r="Y51">
        <v>12.243107</v>
      </c>
      <c r="Z51">
        <v>12.202766</v>
      </c>
      <c r="AA51">
        <v>12.170493</v>
      </c>
      <c r="AB51">
        <v>12.116129000000001</v>
      </c>
      <c r="AC51">
        <v>12.057556999999999</v>
      </c>
      <c r="AD51">
        <v>12.015836999999999</v>
      </c>
      <c r="AE51" t="s">
        <v>1743</v>
      </c>
    </row>
    <row r="52" spans="1:31" x14ac:dyDescent="0.25">
      <c r="A52" t="s">
        <v>1271</v>
      </c>
      <c r="B52" t="s">
        <v>1787</v>
      </c>
      <c r="C52" t="s">
        <v>1788</v>
      </c>
      <c r="D52" t="s">
        <v>1154</v>
      </c>
      <c r="E52">
        <v>6.2837000000000004E-2</v>
      </c>
      <c r="F52">
        <v>6.0683000000000001E-2</v>
      </c>
      <c r="G52">
        <v>5.6476999999999999E-2</v>
      </c>
      <c r="H52">
        <v>5.2176E-2</v>
      </c>
      <c r="I52">
        <v>5.0312999999999997E-2</v>
      </c>
      <c r="J52">
        <v>4.9542999999999997E-2</v>
      </c>
      <c r="K52">
        <v>4.5453E-2</v>
      </c>
      <c r="L52">
        <v>4.3708999999999998E-2</v>
      </c>
      <c r="M52">
        <v>4.2324000000000001E-2</v>
      </c>
      <c r="N52">
        <v>4.1028000000000002E-2</v>
      </c>
      <c r="O52">
        <v>3.9549000000000001E-2</v>
      </c>
      <c r="P52">
        <v>3.8549E-2</v>
      </c>
      <c r="Q52">
        <v>3.7303999999999997E-2</v>
      </c>
      <c r="R52">
        <v>3.5825999999999997E-2</v>
      </c>
      <c r="S52">
        <v>3.4762000000000001E-2</v>
      </c>
      <c r="T52">
        <v>3.3465000000000002E-2</v>
      </c>
      <c r="U52">
        <v>3.1273000000000002E-2</v>
      </c>
      <c r="V52">
        <v>2.8655E-2</v>
      </c>
      <c r="W52">
        <v>2.6335000000000001E-2</v>
      </c>
      <c r="X52">
        <v>2.3717999999999999E-2</v>
      </c>
      <c r="Y52">
        <v>2.1392000000000001E-2</v>
      </c>
      <c r="Z52">
        <v>2.1285999999999999E-2</v>
      </c>
      <c r="AA52">
        <v>2.0930000000000001E-2</v>
      </c>
      <c r="AB52">
        <v>2.0920000000000001E-2</v>
      </c>
      <c r="AC52">
        <v>2.0698999999999999E-2</v>
      </c>
      <c r="AD52">
        <v>2.0787E-2</v>
      </c>
      <c r="AE52" t="s">
        <v>1789</v>
      </c>
    </row>
    <row r="53" spans="1:31" x14ac:dyDescent="0.25">
      <c r="A53" t="s">
        <v>1274</v>
      </c>
      <c r="B53" t="s">
        <v>1790</v>
      </c>
      <c r="C53" t="s">
        <v>1791</v>
      </c>
      <c r="D53" t="s">
        <v>1154</v>
      </c>
      <c r="E53">
        <v>-6.0252E-2</v>
      </c>
      <c r="F53">
        <v>5.1847999999999998E-2</v>
      </c>
      <c r="G53">
        <v>4.0821999999999997E-2</v>
      </c>
      <c r="H53">
        <v>3.9845999999999999E-2</v>
      </c>
      <c r="I53">
        <v>3.9298E-2</v>
      </c>
      <c r="J53">
        <v>3.9219999999999998E-2</v>
      </c>
      <c r="K53">
        <v>3.8518999999999998E-2</v>
      </c>
      <c r="L53">
        <v>3.7769999999999998E-2</v>
      </c>
      <c r="M53">
        <v>3.6856E-2</v>
      </c>
      <c r="N53">
        <v>3.5735999999999997E-2</v>
      </c>
      <c r="O53">
        <v>3.4776000000000001E-2</v>
      </c>
      <c r="P53">
        <v>3.3959999999999997E-2</v>
      </c>
      <c r="Q53">
        <v>3.3223999999999997E-2</v>
      </c>
      <c r="R53">
        <v>3.2403000000000001E-2</v>
      </c>
      <c r="S53">
        <v>3.1627000000000002E-2</v>
      </c>
      <c r="T53">
        <v>3.0818999999999999E-2</v>
      </c>
      <c r="U53">
        <v>2.9961000000000002E-2</v>
      </c>
      <c r="V53">
        <v>2.9205999999999999E-2</v>
      </c>
      <c r="W53">
        <v>2.8070000000000001E-2</v>
      </c>
      <c r="X53">
        <v>2.7302E-2</v>
      </c>
      <c r="Y53">
        <v>2.6638999999999999E-2</v>
      </c>
      <c r="Z53">
        <v>2.6186000000000001E-2</v>
      </c>
      <c r="AA53">
        <v>2.5765E-2</v>
      </c>
      <c r="AB53">
        <v>2.5329999999999998E-2</v>
      </c>
      <c r="AC53">
        <v>2.4927000000000001E-2</v>
      </c>
      <c r="AD53">
        <v>2.4423E-2</v>
      </c>
      <c r="AE53" t="s">
        <v>863</v>
      </c>
    </row>
    <row r="54" spans="1:31" x14ac:dyDescent="0.25">
      <c r="A54" t="s">
        <v>608</v>
      </c>
      <c r="B54" t="s">
        <v>1792</v>
      </c>
      <c r="C54" t="s">
        <v>1793</v>
      </c>
      <c r="D54" t="s">
        <v>1154</v>
      </c>
      <c r="E54">
        <v>20.467001</v>
      </c>
      <c r="F54">
        <v>20.445</v>
      </c>
      <c r="G54">
        <v>20.510097999999999</v>
      </c>
      <c r="H54">
        <v>20.464981000000002</v>
      </c>
      <c r="I54">
        <v>20.267261999999999</v>
      </c>
      <c r="J54">
        <v>20.165199000000001</v>
      </c>
      <c r="K54">
        <v>20.050343000000002</v>
      </c>
      <c r="L54">
        <v>19.979859999999999</v>
      </c>
      <c r="M54">
        <v>19.908805999999998</v>
      </c>
      <c r="N54">
        <v>19.884734999999999</v>
      </c>
      <c r="O54">
        <v>19.882556999999998</v>
      </c>
      <c r="P54">
        <v>19.853874000000001</v>
      </c>
      <c r="Q54">
        <v>19.810300999999999</v>
      </c>
      <c r="R54">
        <v>19.795048000000001</v>
      </c>
      <c r="S54">
        <v>19.796088999999998</v>
      </c>
      <c r="T54">
        <v>19.812014000000001</v>
      </c>
      <c r="U54">
        <v>19.839601999999999</v>
      </c>
      <c r="V54">
        <v>19.858333999999999</v>
      </c>
      <c r="W54">
        <v>19.896346999999999</v>
      </c>
      <c r="X54">
        <v>19.913827999999999</v>
      </c>
      <c r="Y54">
        <v>19.952839000000001</v>
      </c>
      <c r="Z54">
        <v>19.988133999999999</v>
      </c>
      <c r="AA54">
        <v>20.054936999999999</v>
      </c>
      <c r="AB54">
        <v>20.073975000000001</v>
      </c>
      <c r="AC54">
        <v>20.077546999999999</v>
      </c>
      <c r="AD54">
        <v>20.106133</v>
      </c>
      <c r="AE54" t="s">
        <v>1489</v>
      </c>
    </row>
    <row r="55" spans="1:31" x14ac:dyDescent="0.25">
      <c r="A55" t="s">
        <v>632</v>
      </c>
      <c r="B55" t="s">
        <v>1794</v>
      </c>
      <c r="C55" t="s">
        <v>1795</v>
      </c>
      <c r="D55" t="s">
        <v>1154</v>
      </c>
      <c r="E55">
        <v>0.44109199999999998</v>
      </c>
      <c r="F55">
        <v>0.28534500000000002</v>
      </c>
      <c r="G55">
        <v>-8.4734000000000004E-2</v>
      </c>
      <c r="H55">
        <v>-7.7585000000000001E-2</v>
      </c>
      <c r="I55">
        <v>-5.1914000000000002E-2</v>
      </c>
      <c r="J55">
        <v>1.7765E-2</v>
      </c>
      <c r="K55">
        <v>-8.1709999999999994E-3</v>
      </c>
      <c r="L55">
        <v>-6.7019999999999996E-3</v>
      </c>
      <c r="M55">
        <v>-5.0736999999999997E-2</v>
      </c>
      <c r="N55">
        <v>-3.5364E-2</v>
      </c>
      <c r="O55">
        <v>-8.2306000000000004E-2</v>
      </c>
      <c r="P55">
        <v>-7.7842999999999996E-2</v>
      </c>
      <c r="Q55">
        <v>-6.6314999999999999E-2</v>
      </c>
      <c r="R55">
        <v>-1.2383E-2</v>
      </c>
      <c r="S55">
        <v>-2.8740000000000002E-2</v>
      </c>
      <c r="T55">
        <v>-5.2499999999999997E-4</v>
      </c>
      <c r="U55">
        <v>-1.5402000000000001E-2</v>
      </c>
      <c r="V55">
        <v>-1.7780000000000001E-3</v>
      </c>
      <c r="W55">
        <v>-3.159E-2</v>
      </c>
      <c r="X55">
        <v>-3.0034999999999999E-2</v>
      </c>
      <c r="Y55">
        <v>-3.6905E-2</v>
      </c>
      <c r="Z55">
        <v>-2.2984999999999998E-2</v>
      </c>
      <c r="AA55">
        <v>-4.7905000000000003E-2</v>
      </c>
      <c r="AB55">
        <v>-4.0665E-2</v>
      </c>
      <c r="AC55">
        <v>-4.9797000000000001E-2</v>
      </c>
      <c r="AD55">
        <v>-5.2387000000000003E-2</v>
      </c>
      <c r="AE55" t="s">
        <v>863</v>
      </c>
    </row>
    <row r="56" spans="1:31" x14ac:dyDescent="0.25">
      <c r="A56" t="s">
        <v>1281</v>
      </c>
      <c r="B56" t="s">
        <v>1796</v>
      </c>
      <c r="C56" t="s">
        <v>1797</v>
      </c>
      <c r="D56" t="s">
        <v>1154</v>
      </c>
      <c r="E56">
        <v>18.153998999999999</v>
      </c>
      <c r="F56">
        <v>17.917998999999998</v>
      </c>
      <c r="G56">
        <v>17.870977</v>
      </c>
      <c r="H56">
        <v>17.906637</v>
      </c>
      <c r="I56">
        <v>17.942297</v>
      </c>
      <c r="J56">
        <v>17.937080000000002</v>
      </c>
      <c r="K56">
        <v>17.930948000000001</v>
      </c>
      <c r="L56">
        <v>17.924816</v>
      </c>
      <c r="M56">
        <v>17.918686000000001</v>
      </c>
      <c r="N56">
        <v>17.912554</v>
      </c>
      <c r="O56">
        <v>17.906421999999999</v>
      </c>
      <c r="P56">
        <v>17.900289999999998</v>
      </c>
      <c r="Q56">
        <v>17.894158999999998</v>
      </c>
      <c r="R56">
        <v>17.888027000000001</v>
      </c>
      <c r="S56">
        <v>17.881895</v>
      </c>
      <c r="T56">
        <v>17.879864000000001</v>
      </c>
      <c r="U56">
        <v>17.869633</v>
      </c>
      <c r="V56">
        <v>17.867601000000001</v>
      </c>
      <c r="W56">
        <v>17.865570000000002</v>
      </c>
      <c r="X56">
        <v>17.863538999999999</v>
      </c>
      <c r="Y56">
        <v>17.861507</v>
      </c>
      <c r="Z56">
        <v>17.859476000000001</v>
      </c>
      <c r="AA56">
        <v>17.857444999999998</v>
      </c>
      <c r="AB56">
        <v>17.855412999999999</v>
      </c>
      <c r="AC56">
        <v>17.853382</v>
      </c>
      <c r="AD56">
        <v>17.851351000000001</v>
      </c>
      <c r="AE56" t="s">
        <v>1489</v>
      </c>
    </row>
    <row r="57" spans="1:31" x14ac:dyDescent="0.25">
      <c r="A57" t="s">
        <v>1284</v>
      </c>
      <c r="B57" t="s">
        <v>1798</v>
      </c>
      <c r="C57" t="s">
        <v>1799</v>
      </c>
      <c r="D57" t="s">
        <v>1287</v>
      </c>
      <c r="E57">
        <v>91.444999999999993</v>
      </c>
      <c r="F57">
        <v>91.504997000000003</v>
      </c>
      <c r="G57">
        <v>90.368729000000002</v>
      </c>
      <c r="H57">
        <v>90.898116999999999</v>
      </c>
      <c r="I57">
        <v>91.330421000000001</v>
      </c>
      <c r="J57">
        <v>91.468474999999998</v>
      </c>
      <c r="K57">
        <v>91.524651000000006</v>
      </c>
      <c r="L57">
        <v>92.350776999999994</v>
      </c>
      <c r="M57">
        <v>92.356742999999994</v>
      </c>
      <c r="N57">
        <v>91.880393999999995</v>
      </c>
      <c r="O57">
        <v>92.364822000000004</v>
      </c>
      <c r="P57">
        <v>92.071228000000005</v>
      </c>
      <c r="Q57">
        <v>92.082069000000004</v>
      </c>
      <c r="R57">
        <v>92.325890000000001</v>
      </c>
      <c r="S57">
        <v>91.872497999999993</v>
      </c>
      <c r="T57">
        <v>92.488686000000001</v>
      </c>
      <c r="U57">
        <v>92.910843</v>
      </c>
      <c r="V57">
        <v>93.142143000000004</v>
      </c>
      <c r="W57">
        <v>93.318573000000001</v>
      </c>
      <c r="X57">
        <v>93.205192999999994</v>
      </c>
      <c r="Y57">
        <v>93.089348000000001</v>
      </c>
      <c r="Z57">
        <v>92.322440999999998</v>
      </c>
      <c r="AA57">
        <v>92.819664000000003</v>
      </c>
      <c r="AB57">
        <v>92.606269999999995</v>
      </c>
      <c r="AC57">
        <v>92.952361999999994</v>
      </c>
      <c r="AD57">
        <v>92.529754999999994</v>
      </c>
      <c r="AE57" t="s">
        <v>1508</v>
      </c>
    </row>
    <row r="58" spans="1:31" x14ac:dyDescent="0.25">
      <c r="A58" t="s">
        <v>1099</v>
      </c>
      <c r="B58" t="s">
        <v>1800</v>
      </c>
      <c r="C58" t="s">
        <v>1801</v>
      </c>
      <c r="D58" t="s">
        <v>1154</v>
      </c>
      <c r="E58">
        <v>7.6555679999999997</v>
      </c>
      <c r="F58">
        <v>7.3079080000000003</v>
      </c>
      <c r="G58">
        <v>7.9730540000000003</v>
      </c>
      <c r="H58">
        <v>7.9892849999999997</v>
      </c>
      <c r="I58">
        <v>8.1599140000000006</v>
      </c>
      <c r="J58">
        <v>8.1801589999999997</v>
      </c>
      <c r="K58">
        <v>8.096698</v>
      </c>
      <c r="L58">
        <v>8.240767</v>
      </c>
      <c r="M58">
        <v>8.3228170000000006</v>
      </c>
      <c r="N58">
        <v>8.4485499999999991</v>
      </c>
      <c r="O58">
        <v>8.5248200000000001</v>
      </c>
      <c r="P58">
        <v>8.4030799999999992</v>
      </c>
      <c r="Q58">
        <v>8.407133</v>
      </c>
      <c r="R58">
        <v>8.6000019999999999</v>
      </c>
      <c r="S58">
        <v>8.5685590000000005</v>
      </c>
      <c r="T58">
        <v>8.4439060000000001</v>
      </c>
      <c r="U58">
        <v>8.2757919999999991</v>
      </c>
      <c r="V58">
        <v>8.1968499999999995</v>
      </c>
      <c r="W58">
        <v>8.1376179999999998</v>
      </c>
      <c r="X58">
        <v>8.0933299999999999</v>
      </c>
      <c r="Y58">
        <v>8.3341349999999998</v>
      </c>
      <c r="Z58">
        <v>8.5776210000000006</v>
      </c>
      <c r="AA58">
        <v>8.7317830000000001</v>
      </c>
      <c r="AB58">
        <v>8.7230539999999994</v>
      </c>
      <c r="AC58">
        <v>8.7014870000000002</v>
      </c>
      <c r="AD58">
        <v>8.9272170000000006</v>
      </c>
      <c r="AE58" t="s">
        <v>1642</v>
      </c>
    </row>
    <row r="59" spans="1:31" x14ac:dyDescent="0.25">
      <c r="A59" t="s">
        <v>1101</v>
      </c>
      <c r="B59" t="s">
        <v>1802</v>
      </c>
      <c r="C59" t="s">
        <v>1803</v>
      </c>
      <c r="D59" t="s">
        <v>1154</v>
      </c>
      <c r="E59">
        <v>10.761825</v>
      </c>
      <c r="F59">
        <v>10.639824000000001</v>
      </c>
      <c r="G59">
        <v>11.981312000000001</v>
      </c>
      <c r="H59">
        <v>11.99675</v>
      </c>
      <c r="I59">
        <v>12.279778</v>
      </c>
      <c r="J59">
        <v>12.461786999999999</v>
      </c>
      <c r="K59">
        <v>12.899724000000001</v>
      </c>
      <c r="L59">
        <v>13.375583000000001</v>
      </c>
      <c r="M59">
        <v>13.709002</v>
      </c>
      <c r="N59">
        <v>14.008327</v>
      </c>
      <c r="O59">
        <v>14.183042</v>
      </c>
      <c r="P59">
        <v>14.151270999999999</v>
      </c>
      <c r="Q59">
        <v>14.340714</v>
      </c>
      <c r="R59">
        <v>14.583797000000001</v>
      </c>
      <c r="S59">
        <v>14.707520000000001</v>
      </c>
      <c r="T59">
        <v>14.930968999999999</v>
      </c>
      <c r="U59">
        <v>15.10191</v>
      </c>
      <c r="V59">
        <v>15.169949000000001</v>
      </c>
      <c r="W59">
        <v>15.247157</v>
      </c>
      <c r="X59">
        <v>15.177358</v>
      </c>
      <c r="Y59">
        <v>15.237766000000001</v>
      </c>
      <c r="Z59">
        <v>15.255115999999999</v>
      </c>
      <c r="AA59">
        <v>15.334662</v>
      </c>
      <c r="AB59">
        <v>15.272010999999999</v>
      </c>
      <c r="AC59">
        <v>15.171984</v>
      </c>
      <c r="AD59">
        <v>15.160163000000001</v>
      </c>
      <c r="AE59" t="s">
        <v>1516</v>
      </c>
    </row>
    <row r="60" spans="1:31" x14ac:dyDescent="0.25">
      <c r="A60" t="s">
        <v>1103</v>
      </c>
      <c r="B60" t="s">
        <v>1804</v>
      </c>
      <c r="C60" t="s">
        <v>1805</v>
      </c>
      <c r="D60" t="s">
        <v>1154</v>
      </c>
      <c r="E60">
        <v>-3.1062560000000001</v>
      </c>
      <c r="F60">
        <v>-3.3319160000000001</v>
      </c>
      <c r="G60">
        <v>-4.0082579999999997</v>
      </c>
      <c r="H60">
        <v>-4.0074649999999998</v>
      </c>
      <c r="I60">
        <v>-4.1198639999999997</v>
      </c>
      <c r="J60">
        <v>-4.2816289999999997</v>
      </c>
      <c r="K60">
        <v>-4.803026</v>
      </c>
      <c r="L60">
        <v>-5.1348159999999998</v>
      </c>
      <c r="M60">
        <v>-5.3861850000000002</v>
      </c>
      <c r="N60">
        <v>-5.5597760000000003</v>
      </c>
      <c r="O60">
        <v>-5.6582210000000002</v>
      </c>
      <c r="P60">
        <v>-5.7481910000000003</v>
      </c>
      <c r="Q60">
        <v>-5.9335800000000001</v>
      </c>
      <c r="R60">
        <v>-5.9837939999999996</v>
      </c>
      <c r="S60">
        <v>-6.1389610000000001</v>
      </c>
      <c r="T60">
        <v>-6.487063</v>
      </c>
      <c r="U60">
        <v>-6.8261180000000001</v>
      </c>
      <c r="V60">
        <v>-6.9730990000000004</v>
      </c>
      <c r="W60">
        <v>-7.1095389999999998</v>
      </c>
      <c r="X60">
        <v>-7.0840269999999999</v>
      </c>
      <c r="Y60">
        <v>-6.9036309999999999</v>
      </c>
      <c r="Z60">
        <v>-6.6774950000000004</v>
      </c>
      <c r="AA60">
        <v>-6.6028799999999999</v>
      </c>
      <c r="AB60">
        <v>-6.5489569999999997</v>
      </c>
      <c r="AC60">
        <v>-6.4704969999999999</v>
      </c>
      <c r="AD60">
        <v>-6.232945</v>
      </c>
      <c r="AE60" t="s">
        <v>1573</v>
      </c>
    </row>
    <row r="61" spans="1:31" x14ac:dyDescent="0.25">
      <c r="A61" t="s">
        <v>1294</v>
      </c>
      <c r="B61" t="s">
        <v>1806</v>
      </c>
      <c r="C61" t="s">
        <v>1807</v>
      </c>
      <c r="D61" t="s">
        <v>1287</v>
      </c>
      <c r="E61">
        <v>-14.856714999999999</v>
      </c>
      <c r="F61">
        <v>-16.072651</v>
      </c>
      <c r="G61">
        <v>-19.623926000000001</v>
      </c>
      <c r="H61">
        <v>-19.656576000000001</v>
      </c>
      <c r="I61">
        <v>-20.379892000000002</v>
      </c>
      <c r="J61">
        <v>-21.214072999999999</v>
      </c>
      <c r="K61">
        <v>-23.964601999999999</v>
      </c>
      <c r="L61">
        <v>-25.708590000000001</v>
      </c>
      <c r="M61">
        <v>-27.123408999999999</v>
      </c>
      <c r="N61">
        <v>-28.009834000000001</v>
      </c>
      <c r="O61">
        <v>-28.576511</v>
      </c>
      <c r="P61">
        <v>-29.06645</v>
      </c>
      <c r="Q61">
        <v>-30.052599000000001</v>
      </c>
      <c r="R61">
        <v>-30.247658000000001</v>
      </c>
      <c r="S61">
        <v>-31.056061</v>
      </c>
      <c r="T61">
        <v>-32.743941999999997</v>
      </c>
      <c r="U61">
        <v>-34.433258000000002</v>
      </c>
      <c r="V61">
        <v>-35.117359</v>
      </c>
      <c r="W61">
        <v>-35.789710999999997</v>
      </c>
      <c r="X61">
        <v>-35.627147999999998</v>
      </c>
      <c r="Y61">
        <v>-34.66386</v>
      </c>
      <c r="Z61">
        <v>-33.445751000000001</v>
      </c>
      <c r="AA61">
        <v>-33.002791999999999</v>
      </c>
      <c r="AB61">
        <v>-32.690327000000003</v>
      </c>
      <c r="AC61">
        <v>-32.307667000000002</v>
      </c>
      <c r="AD61">
        <v>-31.081205000000001</v>
      </c>
      <c r="AE61" t="s">
        <v>1545</v>
      </c>
    </row>
    <row r="62" spans="1:31" x14ac:dyDescent="0.25">
      <c r="A62" t="s">
        <v>1106</v>
      </c>
    </row>
    <row r="63" spans="1:31" x14ac:dyDescent="0.25">
      <c r="A63" t="s">
        <v>1808</v>
      </c>
      <c r="B63" t="s">
        <v>1809</v>
      </c>
      <c r="C63" t="s">
        <v>1810</v>
      </c>
      <c r="D63" t="s">
        <v>1811</v>
      </c>
      <c r="E63">
        <v>167.413757</v>
      </c>
      <c r="F63">
        <v>122.702026</v>
      </c>
      <c r="G63">
        <v>143.79570000000001</v>
      </c>
      <c r="H63">
        <v>155.53671299999999</v>
      </c>
      <c r="I63">
        <v>167.11918600000001</v>
      </c>
      <c r="J63">
        <v>164.165085</v>
      </c>
      <c r="K63">
        <v>174.376633</v>
      </c>
      <c r="L63">
        <v>179.52383399999999</v>
      </c>
      <c r="M63">
        <v>187.70056199999999</v>
      </c>
      <c r="N63">
        <v>194.997772</v>
      </c>
      <c r="O63">
        <v>200.701111</v>
      </c>
      <c r="P63">
        <v>200.98414600000001</v>
      </c>
      <c r="Q63">
        <v>204.59330700000001</v>
      </c>
      <c r="R63">
        <v>214.21083100000001</v>
      </c>
      <c r="S63">
        <v>216.66130100000001</v>
      </c>
      <c r="T63">
        <v>215.069717</v>
      </c>
      <c r="U63">
        <v>212.894363</v>
      </c>
      <c r="V63">
        <v>214.06109599999999</v>
      </c>
      <c r="W63">
        <v>215.301941</v>
      </c>
      <c r="X63">
        <v>216.99754300000001</v>
      </c>
      <c r="Y63">
        <v>228.29510500000001</v>
      </c>
      <c r="Z63">
        <v>240.04969800000001</v>
      </c>
      <c r="AA63">
        <v>248.04544100000001</v>
      </c>
      <c r="AB63">
        <v>251.115906</v>
      </c>
      <c r="AC63">
        <v>253.476685</v>
      </c>
      <c r="AD63">
        <v>264.33990499999999</v>
      </c>
      <c r="AE63" t="s">
        <v>1812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121"/>
  <sheetViews>
    <sheetView zoomScale="90" zoomScaleNormal="90" workbookViewId="0">
      <selection activeCell="I1" sqref="I1"/>
    </sheetView>
  </sheetViews>
  <sheetFormatPr defaultColWidth="8.7109375" defaultRowHeight="15" x14ac:dyDescent="0.25"/>
  <cols>
    <col min="1" max="2" width="33" customWidth="1"/>
    <col min="3" max="3" width="5.28515625" customWidth="1"/>
    <col min="4" max="4" width="13" bestFit="1" customWidth="1"/>
    <col min="5" max="5" width="12.28515625" bestFit="1" customWidth="1"/>
    <col min="6" max="6" width="9.5703125" bestFit="1" customWidth="1"/>
    <col min="7" max="7" width="10.5703125" bestFit="1" customWidth="1"/>
    <col min="8" max="26" width="9.5703125" bestFit="1" customWidth="1"/>
    <col min="27" max="27" width="12.28515625" bestFit="1" customWidth="1"/>
    <col min="28" max="36" width="9.5703125" bestFit="1" customWidth="1"/>
  </cols>
  <sheetData>
    <row r="1" spans="1:36" x14ac:dyDescent="0.25">
      <c r="A1" s="12" t="s">
        <v>1301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1302</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11</v>
      </c>
      <c r="B3" t="s">
        <v>5</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1303</v>
      </c>
      <c r="B4" t="s">
        <v>1304</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1305</v>
      </c>
      <c r="D5">
        <f>'Subsidies Paid'!L8*'Monetizing Tax Credit Penalty'!$A$30</f>
        <v>0.20099999999999998</v>
      </c>
      <c r="E5">
        <f>'Subsidies Paid'!M8*'Monetizing Tax Credit Penalty'!$A$30</f>
        <v>0.17419999999999999</v>
      </c>
      <c r="F5" s="121">
        <v>0</v>
      </c>
      <c r="G5" s="121">
        <v>0</v>
      </c>
      <c r="H5" s="121">
        <v>0</v>
      </c>
      <c r="I5" s="121">
        <v>0</v>
      </c>
      <c r="J5" s="121">
        <v>0</v>
      </c>
      <c r="K5" s="121">
        <v>0</v>
      </c>
      <c r="L5" s="121">
        <v>0</v>
      </c>
      <c r="M5" s="121">
        <v>0</v>
      </c>
      <c r="N5" s="121">
        <v>0</v>
      </c>
      <c r="O5" s="121">
        <v>0</v>
      </c>
      <c r="P5" s="121">
        <v>0</v>
      </c>
      <c r="Q5" s="121">
        <v>0</v>
      </c>
      <c r="R5" s="121">
        <v>0</v>
      </c>
      <c r="S5" s="121">
        <v>0</v>
      </c>
      <c r="T5" s="121">
        <v>0</v>
      </c>
      <c r="U5" s="121">
        <v>0</v>
      </c>
      <c r="V5" s="121">
        <v>0</v>
      </c>
      <c r="W5" s="121">
        <v>0</v>
      </c>
      <c r="X5" s="121">
        <v>0</v>
      </c>
      <c r="Y5" s="121">
        <v>0</v>
      </c>
      <c r="Z5" s="121">
        <v>0</v>
      </c>
      <c r="AA5" s="121">
        <v>0</v>
      </c>
      <c r="AB5" s="121">
        <v>0</v>
      </c>
      <c r="AC5" s="121">
        <v>0</v>
      </c>
      <c r="AD5" s="121">
        <v>0</v>
      </c>
      <c r="AE5" s="121">
        <v>0</v>
      </c>
      <c r="AF5" s="121">
        <v>0</v>
      </c>
      <c r="AG5" s="121">
        <v>0</v>
      </c>
    </row>
    <row r="6" spans="1:36" x14ac:dyDescent="0.25">
      <c r="C6" s="463" t="s">
        <v>1306</v>
      </c>
      <c r="D6" s="462"/>
      <c r="E6" s="462"/>
      <c r="F6" s="462"/>
      <c r="G6" s="462"/>
      <c r="H6" s="462"/>
    </row>
    <row r="7" spans="1:36" x14ac:dyDescent="0.25">
      <c r="A7" t="s">
        <v>1307</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1308</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11</v>
      </c>
      <c r="B10" t="s">
        <v>5</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1309</v>
      </c>
      <c r="B11" t="s">
        <v>1304</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1310</v>
      </c>
      <c r="D12">
        <f>'Subsidies Paid'!N9*'Monetizing Tax Credit Penalty'!$A$30</f>
        <v>0.20099999999999998</v>
      </c>
      <c r="E12">
        <f>'Subsidies Paid'!O9*'Monetizing Tax Credit Penalty'!$A$30</f>
        <v>0.20099999999999998</v>
      </c>
      <c r="F12" s="121">
        <v>0</v>
      </c>
      <c r="G12" s="121">
        <v>0</v>
      </c>
      <c r="H12" s="121">
        <v>0</v>
      </c>
      <c r="I12" s="121">
        <v>0</v>
      </c>
      <c r="J12" s="121">
        <v>0</v>
      </c>
      <c r="K12" s="121">
        <v>0</v>
      </c>
      <c r="L12" s="121">
        <v>0</v>
      </c>
      <c r="M12" s="121">
        <v>0</v>
      </c>
      <c r="N12" s="121">
        <v>0</v>
      </c>
      <c r="O12" s="121">
        <v>0</v>
      </c>
      <c r="P12" s="121">
        <v>0</v>
      </c>
      <c r="Q12" s="121">
        <v>0</v>
      </c>
      <c r="R12" s="121">
        <v>0</v>
      </c>
      <c r="S12" s="121">
        <v>0</v>
      </c>
      <c r="T12" s="121">
        <v>0</v>
      </c>
      <c r="U12" s="121">
        <v>0</v>
      </c>
      <c r="V12" s="121">
        <v>0</v>
      </c>
      <c r="W12" s="121">
        <v>0</v>
      </c>
      <c r="X12" s="121">
        <v>0</v>
      </c>
      <c r="Y12" s="121">
        <v>0</v>
      </c>
      <c r="Z12" s="121">
        <v>0</v>
      </c>
      <c r="AA12" s="121">
        <v>0</v>
      </c>
      <c r="AB12" s="121">
        <v>0</v>
      </c>
      <c r="AC12" s="121">
        <v>0</v>
      </c>
      <c r="AD12" s="121">
        <v>0</v>
      </c>
      <c r="AE12" s="121">
        <v>0</v>
      </c>
      <c r="AF12" s="121">
        <v>0</v>
      </c>
      <c r="AG12" s="121">
        <v>0</v>
      </c>
    </row>
    <row r="13" spans="1:36" x14ac:dyDescent="0.25">
      <c r="I13" s="461" t="s">
        <v>1311</v>
      </c>
      <c r="J13" s="462"/>
      <c r="K13" s="462"/>
    </row>
    <row r="14" spans="1:36" x14ac:dyDescent="0.25">
      <c r="A14" t="s">
        <v>1312</v>
      </c>
      <c r="C14" s="20"/>
      <c r="D14" s="20">
        <f t="shared" ref="D14:AG14" si="1">D12*D11</f>
        <v>794898.72</v>
      </c>
      <c r="E14" s="20">
        <f t="shared" si="1"/>
        <v>751452.57</v>
      </c>
      <c r="F14" s="20">
        <f t="shared" si="1"/>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1313</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11</v>
      </c>
      <c r="B17" t="s">
        <v>5</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1314</v>
      </c>
      <c r="B18" t="s">
        <v>1304</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1315</v>
      </c>
      <c r="D19">
        <f>'Subsidies Paid'!L8*'Monetizing Tax Credit Penalty'!$A$30</f>
        <v>0.20099999999999998</v>
      </c>
      <c r="E19">
        <f>'Subsidies Paid'!M8*'Monetizing Tax Credit Penalty'!$A$30</f>
        <v>0.17419999999999999</v>
      </c>
      <c r="F19" s="121">
        <v>0</v>
      </c>
      <c r="G19" s="121">
        <v>0</v>
      </c>
      <c r="H19" s="121">
        <v>0</v>
      </c>
      <c r="I19" s="121">
        <v>0</v>
      </c>
      <c r="J19" s="121">
        <v>0</v>
      </c>
      <c r="K19" s="121">
        <v>0</v>
      </c>
      <c r="L19" s="121">
        <v>0</v>
      </c>
      <c r="M19" s="121">
        <v>0</v>
      </c>
      <c r="N19" s="121">
        <v>0</v>
      </c>
      <c r="O19" s="121">
        <v>0</v>
      </c>
      <c r="P19" s="121">
        <v>0</v>
      </c>
      <c r="Q19" s="121">
        <v>0</v>
      </c>
      <c r="R19" s="121">
        <v>0</v>
      </c>
      <c r="S19" s="121">
        <v>0</v>
      </c>
      <c r="T19" s="121">
        <v>0</v>
      </c>
      <c r="U19" s="121">
        <v>0</v>
      </c>
      <c r="V19" s="121">
        <v>0</v>
      </c>
      <c r="W19" s="121">
        <v>0</v>
      </c>
      <c r="X19" s="121">
        <v>0</v>
      </c>
      <c r="Y19" s="121">
        <v>0</v>
      </c>
      <c r="Z19" s="121">
        <v>0</v>
      </c>
      <c r="AA19" s="121">
        <v>0</v>
      </c>
      <c r="AB19" s="121">
        <v>0</v>
      </c>
      <c r="AC19" s="121">
        <v>0</v>
      </c>
      <c r="AD19" s="121">
        <v>0</v>
      </c>
      <c r="AE19" s="121">
        <v>0</v>
      </c>
      <c r="AF19" s="121">
        <v>0</v>
      </c>
      <c r="AG19" s="121">
        <v>0</v>
      </c>
    </row>
    <row r="20" spans="1:35" x14ac:dyDescent="0.25">
      <c r="C20" s="34"/>
      <c r="D20" s="463" t="s">
        <v>1306</v>
      </c>
      <c r="E20" s="462"/>
      <c r="F20" s="462"/>
      <c r="G20" s="462"/>
      <c r="H20" s="462"/>
      <c r="I20" s="462"/>
    </row>
    <row r="21" spans="1:35" x14ac:dyDescent="0.25">
      <c r="A21" t="s">
        <v>1316</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 t="shared" si="2"/>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1317</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11</v>
      </c>
      <c r="B24" t="s">
        <v>5</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1318</v>
      </c>
      <c r="B25" t="s">
        <v>1304</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1319</v>
      </c>
      <c r="D26">
        <f>'Subsidies Paid'!N13*'Monetizing Tax Credit Penalty'!$A$30</f>
        <v>6.699999999999999E-2</v>
      </c>
      <c r="E26">
        <f>'Subsidies Paid'!O13*'Monetizing Tax Credit Penalty'!$A$30</f>
        <v>6.699999999999999E-2</v>
      </c>
      <c r="F26" s="121">
        <v>0</v>
      </c>
      <c r="G26" s="121">
        <v>0</v>
      </c>
      <c r="H26" s="121">
        <v>0</v>
      </c>
      <c r="I26" s="121">
        <v>0</v>
      </c>
      <c r="J26" s="121">
        <v>0</v>
      </c>
      <c r="K26" s="121">
        <v>0</v>
      </c>
      <c r="L26" s="121">
        <v>0</v>
      </c>
      <c r="M26" s="121">
        <v>0</v>
      </c>
      <c r="N26" s="121">
        <v>0</v>
      </c>
      <c r="O26" s="121">
        <v>0</v>
      </c>
      <c r="P26" s="121">
        <v>0</v>
      </c>
      <c r="Q26" s="121">
        <v>0</v>
      </c>
      <c r="R26" s="121">
        <v>0</v>
      </c>
      <c r="S26" s="121">
        <v>0</v>
      </c>
      <c r="T26" s="121">
        <v>0</v>
      </c>
      <c r="U26" s="121">
        <v>0</v>
      </c>
      <c r="V26" s="121">
        <v>0</v>
      </c>
      <c r="W26" s="121">
        <v>0</v>
      </c>
      <c r="X26" s="121">
        <v>0</v>
      </c>
      <c r="Y26" s="121">
        <v>0</v>
      </c>
      <c r="Z26" s="121">
        <v>0</v>
      </c>
      <c r="AA26" s="121">
        <v>0</v>
      </c>
      <c r="AB26" s="121">
        <v>0</v>
      </c>
      <c r="AC26" s="121">
        <v>0</v>
      </c>
      <c r="AD26" s="121">
        <v>0</v>
      </c>
      <c r="AE26" s="121">
        <v>0</v>
      </c>
      <c r="AF26" s="121">
        <v>0</v>
      </c>
      <c r="AG26" s="121">
        <v>0</v>
      </c>
    </row>
    <row r="27" spans="1:35" x14ac:dyDescent="0.25">
      <c r="A27" t="s">
        <v>1320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1321</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396</v>
      </c>
      <c r="B30" t="s">
        <v>5</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1322</v>
      </c>
      <c r="B31" t="s">
        <v>1323</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1324</v>
      </c>
      <c r="B32" s="353" t="s">
        <v>1325</v>
      </c>
      <c r="C32" s="5"/>
      <c r="D32" s="354">
        <f>INDEX('AEO 2022 Table 8'!19:19,MATCH(Calculations!D30,'AEO 2022 Table 8'!13:13,0))*10^6</f>
        <v>937806519</v>
      </c>
      <c r="E32" s="354">
        <f>INDEX('AEO 2023 Table 8'!19:19,MATCH(Calculations!E30,'AEO 2023 Table 8'!13:13,0))*10^6</f>
        <v>832226318</v>
      </c>
      <c r="F32" s="354">
        <f>INDEX('AEO 2023 Table 8'!19:19,MATCH(Calculations!F30,'AEO 2023 Table 8'!13:13,0))*10^6</f>
        <v>783518738</v>
      </c>
      <c r="G32" s="354">
        <f>INDEX('AEO 2025 Table 8'!$9:$9,MATCH(G30,'AEO 2025 Table 8'!$5:$5,0))*10^6</f>
        <v>648301392</v>
      </c>
      <c r="H32" s="354">
        <f>INDEX('AEO 2026 Table 8'!$9:$9,MATCH(H30,'AEO 2026 Table 8'!$5:$5,0))*10^6</f>
        <v>728405518</v>
      </c>
      <c r="I32" s="354">
        <f>INDEX('AEO 2026 Table 8'!$9:$9,MATCH(I30,'AEO 2026 Table 8'!$5:$5,0))*10^6</f>
        <v>694149292</v>
      </c>
      <c r="J32" s="354">
        <f>INDEX('AEO 2026 Table 8'!$9:$9,MATCH(J30,'AEO 2026 Table 8'!$5:$5,0))*10^6</f>
        <v>643274048</v>
      </c>
      <c r="K32" s="354">
        <f>INDEX('AEO 2026 Table 8'!$9:$9,MATCH(K30,'AEO 2026 Table 8'!$5:$5,0))*10^6</f>
        <v>573496277</v>
      </c>
      <c r="L32" s="354">
        <f>INDEX('AEO 2026 Table 8'!$9:$9,MATCH(L30,'AEO 2026 Table 8'!$5:$5,0))*10^6</f>
        <v>562538330</v>
      </c>
      <c r="M32" s="354">
        <f>INDEX('AEO 2026 Table 8'!$9:$9,MATCH(M30,'AEO 2026 Table 8'!$5:$5,0))*10^6</f>
        <v>560416626</v>
      </c>
      <c r="N32" s="354">
        <f>INDEX('AEO 2026 Table 8'!$9:$9,MATCH(N30,'AEO 2026 Table 8'!$5:$5,0))*10^6</f>
        <v>468941650</v>
      </c>
      <c r="O32" s="354">
        <f>INDEX('AEO 2026 Table 8'!$9:$9,MATCH(O30,'AEO 2026 Table 8'!$5:$5,0))*10^6</f>
        <v>430845337</v>
      </c>
      <c r="P32" s="354">
        <f>INDEX('AEO 2026 Table 8'!$9:$9,MATCH(P30,'AEO 2026 Table 8'!$5:$5,0))*10^6</f>
        <v>414217590</v>
      </c>
      <c r="Q32" s="354">
        <f>INDEX('AEO 2026 Table 8'!$9:$9,MATCH(Q30,'AEO 2026 Table 8'!$5:$5,0))*10^6</f>
        <v>389484802</v>
      </c>
      <c r="R32" s="354">
        <f>INDEX('AEO 2026 Table 8'!$9:$9,MATCH(R30,'AEO 2026 Table 8'!$5:$5,0))*10^6</f>
        <v>386817017</v>
      </c>
      <c r="S32" s="354">
        <f>INDEX('AEO 2026 Table 8'!$9:$9,MATCH(S30,'AEO 2026 Table 8'!$5:$5,0))*10^6</f>
        <v>380599030</v>
      </c>
      <c r="T32" s="354">
        <f>INDEX('AEO 2026 Table 8'!$9:$9,MATCH(T30,'AEO 2026 Table 8'!$5:$5,0))*10^6</f>
        <v>374286621</v>
      </c>
      <c r="U32" s="354">
        <f>INDEX('AEO 2026 Table 8'!$9:$9,MATCH(U30,'AEO 2026 Table 8'!$5:$5,0))*10^6</f>
        <v>374099487</v>
      </c>
      <c r="V32" s="354">
        <f>INDEX('AEO 2026 Table 8'!$9:$9,MATCH(V30,'AEO 2026 Table 8'!$5:$5,0))*10^6</f>
        <v>372048798</v>
      </c>
      <c r="W32" s="354">
        <f>INDEX('AEO 2026 Table 8'!$9:$9,MATCH(W30,'AEO 2026 Table 8'!$5:$5,0))*10^6</f>
        <v>355629822</v>
      </c>
      <c r="X32" s="354">
        <f>INDEX('AEO 2026 Table 8'!$9:$9,MATCH(X30,'AEO 2026 Table 8'!$5:$5,0))*10^6</f>
        <v>346347260</v>
      </c>
      <c r="Y32" s="354">
        <f>INDEX('AEO 2026 Table 8'!$9:$9,MATCH(Y30,'AEO 2026 Table 8'!$5:$5,0))*10^6</f>
        <v>339163574</v>
      </c>
      <c r="Z32" s="354">
        <f>INDEX('AEO 2026 Table 8'!$9:$9,MATCH(Z30,'AEO 2026 Table 8'!$5:$5,0))*10^6</f>
        <v>328450043</v>
      </c>
      <c r="AA32" s="354">
        <f>INDEX('AEO 2026 Table 8'!$9:$9,MATCH(AA30,'AEO 2026 Table 8'!$5:$5,0))*10^6</f>
        <v>320954590</v>
      </c>
      <c r="AB32" s="354">
        <f>INDEX('AEO 2026 Table 8'!$9:$9,MATCH(AB30,'AEO 2026 Table 8'!$5:$5,0))*10^6</f>
        <v>315527191</v>
      </c>
      <c r="AC32" s="354">
        <f>INDEX('AEO 2026 Table 8'!$9:$9,MATCH(AC30,'AEO 2026 Table 8'!$5:$5,0))*10^6</f>
        <v>310027039</v>
      </c>
      <c r="AD32" s="354">
        <f>INDEX('AEO 2026 Table 8'!$9:$9,MATCH(AD30,'AEO 2026 Table 8'!$5:$5,0))*10^6</f>
        <v>312365631</v>
      </c>
      <c r="AE32" s="354">
        <f>INDEX('AEO 2026 Table 8'!$9:$9,MATCH(AE30,'AEO 2026 Table 8'!$5:$5,0))*10^6</f>
        <v>312918976</v>
      </c>
      <c r="AF32" s="354">
        <f>INDEX('AEO 2026 Table 8'!$9:$9,MATCH(AF30,'AEO 2026 Table 8'!$5:$5,0))*10^6</f>
        <v>302135345</v>
      </c>
      <c r="AG32" s="354">
        <f>INDEX('AEO 2026 Table 8'!$9:$9,MATCH(AG30,'AEO 2026 Table 8'!$5:$5,0))*10^6</f>
        <v>290591400</v>
      </c>
      <c r="AH32" s="5"/>
      <c r="AI32" s="5"/>
    </row>
    <row r="33" spans="1:35" x14ac:dyDescent="0.25">
      <c r="A33" t="s">
        <v>1326</v>
      </c>
      <c r="D33">
        <f>D31/D32</f>
        <v>0.31989540904438946</v>
      </c>
      <c r="E33">
        <f t="shared" ref="E33:AG33" si="5">D33</f>
        <v>0.31989540904438946</v>
      </c>
      <c r="F33">
        <f t="shared" si="5"/>
        <v>0.31989540904438946</v>
      </c>
      <c r="G33">
        <f t="shared" si="5"/>
        <v>0.31989540904438946</v>
      </c>
      <c r="H33">
        <f t="shared" si="5"/>
        <v>0.31989540904438946</v>
      </c>
      <c r="I33">
        <f t="shared" si="5"/>
        <v>0.31989540904438946</v>
      </c>
      <c r="J33">
        <f t="shared" si="5"/>
        <v>0.31989540904438946</v>
      </c>
      <c r="K33">
        <f t="shared" si="5"/>
        <v>0.31989540904438946</v>
      </c>
      <c r="L33">
        <f t="shared" si="5"/>
        <v>0.31989540904438946</v>
      </c>
      <c r="M33">
        <f t="shared" si="5"/>
        <v>0.31989540904438946</v>
      </c>
      <c r="N33">
        <f t="shared" si="5"/>
        <v>0.31989540904438946</v>
      </c>
      <c r="O33">
        <f t="shared" si="5"/>
        <v>0.31989540904438946</v>
      </c>
      <c r="P33">
        <f t="shared" si="5"/>
        <v>0.31989540904438946</v>
      </c>
      <c r="Q33">
        <f t="shared" si="5"/>
        <v>0.31989540904438946</v>
      </c>
      <c r="R33">
        <f t="shared" si="5"/>
        <v>0.31989540904438946</v>
      </c>
      <c r="S33">
        <f t="shared" si="5"/>
        <v>0.31989540904438946</v>
      </c>
      <c r="T33">
        <f t="shared" si="5"/>
        <v>0.31989540904438946</v>
      </c>
      <c r="U33">
        <f t="shared" si="5"/>
        <v>0.31989540904438946</v>
      </c>
      <c r="V33">
        <f t="shared" si="5"/>
        <v>0.31989540904438946</v>
      </c>
      <c r="W33">
        <f t="shared" si="5"/>
        <v>0.31989540904438946</v>
      </c>
      <c r="X33">
        <f t="shared" si="5"/>
        <v>0.31989540904438946</v>
      </c>
      <c r="Y33">
        <f t="shared" si="5"/>
        <v>0.31989540904438946</v>
      </c>
      <c r="Z33">
        <f t="shared" si="5"/>
        <v>0.31989540904438946</v>
      </c>
      <c r="AA33">
        <f t="shared" si="5"/>
        <v>0.31989540904438946</v>
      </c>
      <c r="AB33">
        <f t="shared" si="5"/>
        <v>0.31989540904438946</v>
      </c>
      <c r="AC33">
        <f t="shared" si="5"/>
        <v>0.31989540904438946</v>
      </c>
      <c r="AD33">
        <f t="shared" si="5"/>
        <v>0.31989540904438946</v>
      </c>
      <c r="AE33">
        <f t="shared" si="5"/>
        <v>0.31989540904438946</v>
      </c>
      <c r="AF33">
        <f t="shared" si="5"/>
        <v>0.31989540904438946</v>
      </c>
      <c r="AG33">
        <f t="shared" si="5"/>
        <v>0.31989540904438946</v>
      </c>
    </row>
    <row r="35" spans="1:35" x14ac:dyDescent="0.25">
      <c r="A35" s="10" t="s">
        <v>1327</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402</v>
      </c>
      <c r="B36" t="s">
        <v>5</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1328</v>
      </c>
      <c r="B37" t="s">
        <v>1323</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6">M37</f>
        <v>0</v>
      </c>
      <c r="O37" s="5">
        <f t="shared" si="6"/>
        <v>0</v>
      </c>
      <c r="P37" s="5">
        <f t="shared" si="6"/>
        <v>0</v>
      </c>
      <c r="Q37" s="5">
        <f t="shared" si="6"/>
        <v>0</v>
      </c>
      <c r="R37" s="5">
        <f t="shared" si="6"/>
        <v>0</v>
      </c>
      <c r="S37" s="5">
        <f t="shared" si="6"/>
        <v>0</v>
      </c>
      <c r="T37" s="5">
        <f t="shared" si="6"/>
        <v>0</v>
      </c>
      <c r="U37" s="5">
        <f t="shared" si="6"/>
        <v>0</v>
      </c>
      <c r="V37" s="5">
        <f t="shared" si="6"/>
        <v>0</v>
      </c>
      <c r="W37" s="5">
        <f t="shared" si="6"/>
        <v>0</v>
      </c>
      <c r="X37" s="5">
        <f t="shared" si="6"/>
        <v>0</v>
      </c>
      <c r="Y37" s="5">
        <f t="shared" si="6"/>
        <v>0</v>
      </c>
      <c r="Z37" s="5">
        <f t="shared" si="6"/>
        <v>0</v>
      </c>
      <c r="AA37" s="5">
        <f t="shared" si="6"/>
        <v>0</v>
      </c>
      <c r="AB37" s="5">
        <f t="shared" si="6"/>
        <v>0</v>
      </c>
      <c r="AC37" s="5">
        <f t="shared" si="6"/>
        <v>0</v>
      </c>
      <c r="AD37" s="5">
        <f t="shared" si="6"/>
        <v>0</v>
      </c>
      <c r="AE37" s="5">
        <f t="shared" si="6"/>
        <v>0</v>
      </c>
      <c r="AF37" s="5">
        <f t="shared" si="6"/>
        <v>0</v>
      </c>
      <c r="AG37" s="5">
        <f t="shared" si="6"/>
        <v>0</v>
      </c>
      <c r="AH37" s="5"/>
      <c r="AI37" s="5"/>
    </row>
    <row r="38" spans="1:35" x14ac:dyDescent="0.25">
      <c r="A38" t="s">
        <v>1329</v>
      </c>
      <c r="B38" s="353" t="s">
        <v>1325</v>
      </c>
      <c r="C38" s="5"/>
      <c r="D38" s="354">
        <f>INDEX('AEO 2022 Table 8'!22:22,MATCH(Calculations!D36,'AEO 2022 Table 8'!13:13,0))*10^6</f>
        <v>777682190</v>
      </c>
      <c r="E38" s="354">
        <f>INDEX('AEO 2023 Table 8'!22:22,MATCH(Calculations!E36,'AEO 2023 Table 8'!13:13,0))*10^6</f>
        <v>771984375</v>
      </c>
      <c r="F38" s="354">
        <f>INDEX('AEO 2023 Table 8'!22:22,MATCH(Calculations!F36,'AEO 2023 Table 8'!13:13,0))*10^6</f>
        <v>783715942</v>
      </c>
      <c r="G38" s="353">
        <f>INDEX('AEO 2025 Table 8'!12:12,MATCH(G36,'AEO 2025 Table 8'!5:5,0))*10^6</f>
        <v>777128174</v>
      </c>
      <c r="H38" s="353">
        <f>INDEX('AEO 2026 Table 8'!12:12,MATCH(H36,'AEO 2026 Table 8'!5:5,0))*10^6</f>
        <v>783916504</v>
      </c>
      <c r="I38" s="353">
        <f>INDEX('AEO 2026 Table 8'!12:12,MATCH(I36,'AEO 2026 Table 8'!5:5,0))*10^6</f>
        <v>801637695</v>
      </c>
      <c r="J38" s="353">
        <f>INDEX('AEO 2026 Table 8'!12:12,MATCH(J36,'AEO 2026 Table 8'!5:5,0))*10^6</f>
        <v>796726440</v>
      </c>
      <c r="K38" s="353">
        <f>INDEX('AEO 2026 Table 8'!12:12,MATCH(K36,'AEO 2026 Table 8'!5:5,0))*10^6</f>
        <v>800162598</v>
      </c>
      <c r="L38" s="353">
        <f>INDEX('AEO 2026 Table 8'!12:12,MATCH(L36,'AEO 2026 Table 8'!5:5,0))*10^6</f>
        <v>801051453</v>
      </c>
      <c r="M38" s="353">
        <f>INDEX('AEO 2026 Table 8'!12:12,MATCH(M36,'AEO 2026 Table 8'!5:5,0))*10^6</f>
        <v>801730347</v>
      </c>
      <c r="N38" s="353">
        <f>INDEX('AEO 2026 Table 8'!12:12,MATCH(N36,'AEO 2026 Table 8'!5:5,0))*10^6</f>
        <v>801744934</v>
      </c>
      <c r="O38" s="353">
        <f>INDEX('AEO 2026 Table 8'!12:12,MATCH(O36,'AEO 2026 Table 8'!5:5,0))*10^6</f>
        <v>801745361</v>
      </c>
      <c r="P38" s="353">
        <f>INDEX('AEO 2026 Table 8'!12:12,MATCH(P36,'AEO 2026 Table 8'!5:5,0))*10^6</f>
        <v>801718506</v>
      </c>
      <c r="Q38" s="353">
        <f>INDEX('AEO 2026 Table 8'!12:12,MATCH(Q36,'AEO 2026 Table 8'!5:5,0))*10^6</f>
        <v>801718506</v>
      </c>
      <c r="R38" s="353">
        <f>INDEX('AEO 2026 Table 8'!12:12,MATCH(R36,'AEO 2026 Table 8'!5:5,0))*10^6</f>
        <v>801718018</v>
      </c>
      <c r="S38" s="353">
        <f>INDEX('AEO 2026 Table 8'!12:12,MATCH(S36,'AEO 2026 Table 8'!5:5,0))*10^6</f>
        <v>801718079</v>
      </c>
      <c r="T38" s="353">
        <f>INDEX('AEO 2026 Table 8'!12:12,MATCH(T36,'AEO 2026 Table 8'!5:5,0))*10^6</f>
        <v>801470093</v>
      </c>
      <c r="U38" s="353">
        <f>INDEX('AEO 2026 Table 8'!12:12,MATCH(U36,'AEO 2026 Table 8'!5:5,0))*10^6</f>
        <v>801070557</v>
      </c>
      <c r="V38" s="353">
        <f>INDEX('AEO 2026 Table 8'!12:12,MATCH(V36,'AEO 2026 Table 8'!5:5,0))*10^6</f>
        <v>801272583</v>
      </c>
      <c r="W38" s="353">
        <f>INDEX('AEO 2026 Table 8'!12:12,MATCH(W36,'AEO 2026 Table 8'!5:5,0))*10^6</f>
        <v>800749268</v>
      </c>
      <c r="X38" s="353">
        <f>INDEX('AEO 2026 Table 8'!12:12,MATCH(X36,'AEO 2026 Table 8'!5:5,0))*10^6</f>
        <v>800198975</v>
      </c>
      <c r="Y38" s="353">
        <f>INDEX('AEO 2026 Table 8'!12:12,MATCH(Y36,'AEO 2026 Table 8'!5:5,0))*10^6</f>
        <v>801515015</v>
      </c>
      <c r="Z38" s="353">
        <f>INDEX('AEO 2026 Table 8'!12:12,MATCH(Z36,'AEO 2026 Table 8'!5:5,0))*10^6</f>
        <v>800940674</v>
      </c>
      <c r="AA38" s="353">
        <f>INDEX('AEO 2026 Table 8'!12:12,MATCH(AA36,'AEO 2026 Table 8'!5:5,0))*10^6</f>
        <v>801718079</v>
      </c>
      <c r="AB38" s="353">
        <f>INDEX('AEO 2026 Table 8'!12:12,MATCH(AB36,'AEO 2026 Table 8'!5:5,0))*10^6</f>
        <v>801718140</v>
      </c>
      <c r="AC38" s="353">
        <f>INDEX('AEO 2026 Table 8'!12:12,MATCH(AC36,'AEO 2026 Table 8'!5:5,0))*10^6</f>
        <v>801718079</v>
      </c>
      <c r="AD38" s="353">
        <f>INDEX('AEO 2026 Table 8'!12:12,MATCH(AD36,'AEO 2026 Table 8'!5:5,0))*10^6</f>
        <v>801718140</v>
      </c>
      <c r="AE38" s="353">
        <f>INDEX('AEO 2026 Table 8'!12:12,MATCH(AE36,'AEO 2026 Table 8'!5:5,0))*10^6</f>
        <v>801718140</v>
      </c>
      <c r="AF38" s="353">
        <f>INDEX('AEO 2026 Table 8'!12:12,MATCH(AF36,'AEO 2026 Table 8'!5:5,0))*10^6</f>
        <v>801718140</v>
      </c>
      <c r="AG38" s="353">
        <f>INDEX('AEO 2026 Table 8'!12:12,MATCH(AG36,'AEO 2026 Table 8'!5:5,0))*10^6</f>
        <v>801690796</v>
      </c>
      <c r="AH38" s="5"/>
      <c r="AI38" s="5"/>
    </row>
    <row r="39" spans="1:35" x14ac:dyDescent="0.25">
      <c r="A39" t="s">
        <v>1330</v>
      </c>
      <c r="D39">
        <f t="shared" ref="D39:AG39" si="7">D37/D38</f>
        <v>0</v>
      </c>
      <c r="E39">
        <f t="shared" si="7"/>
        <v>1.5544356062906066</v>
      </c>
      <c r="F39">
        <f t="shared" si="7"/>
        <v>1.5311670156123991</v>
      </c>
      <c r="G39">
        <f t="shared" si="7"/>
        <v>1.5441468217828376</v>
      </c>
      <c r="H39">
        <f t="shared" si="7"/>
        <v>1.5307752724644768</v>
      </c>
      <c r="I39">
        <f t="shared" si="7"/>
        <v>1.4969355950757779</v>
      </c>
      <c r="J39">
        <f t="shared" si="7"/>
        <v>0</v>
      </c>
      <c r="K39">
        <f t="shared" si="7"/>
        <v>0</v>
      </c>
      <c r="L39">
        <f t="shared" si="7"/>
        <v>0</v>
      </c>
      <c r="M39">
        <f t="shared" si="7"/>
        <v>0</v>
      </c>
      <c r="N39">
        <f t="shared" si="7"/>
        <v>0</v>
      </c>
      <c r="O39">
        <f t="shared" si="7"/>
        <v>0</v>
      </c>
      <c r="P39">
        <f t="shared" si="7"/>
        <v>0</v>
      </c>
      <c r="Q39">
        <f t="shared" si="7"/>
        <v>0</v>
      </c>
      <c r="R39">
        <f t="shared" si="7"/>
        <v>0</v>
      </c>
      <c r="S39">
        <f t="shared" si="7"/>
        <v>0</v>
      </c>
      <c r="T39">
        <f t="shared" si="7"/>
        <v>0</v>
      </c>
      <c r="U39">
        <f t="shared" si="7"/>
        <v>0</v>
      </c>
      <c r="V39">
        <f t="shared" si="7"/>
        <v>0</v>
      </c>
      <c r="W39">
        <f t="shared" si="7"/>
        <v>0</v>
      </c>
      <c r="X39">
        <f t="shared" si="7"/>
        <v>0</v>
      </c>
      <c r="Y39">
        <f t="shared" si="7"/>
        <v>0</v>
      </c>
      <c r="Z39">
        <f t="shared" si="7"/>
        <v>0</v>
      </c>
      <c r="AA39">
        <f t="shared" si="7"/>
        <v>0</v>
      </c>
      <c r="AB39">
        <f t="shared" si="7"/>
        <v>0</v>
      </c>
      <c r="AC39">
        <f t="shared" si="7"/>
        <v>0</v>
      </c>
      <c r="AD39">
        <f t="shared" si="7"/>
        <v>0</v>
      </c>
      <c r="AE39">
        <f t="shared" si="7"/>
        <v>0</v>
      </c>
      <c r="AF39">
        <f t="shared" si="7"/>
        <v>0</v>
      </c>
      <c r="AG39">
        <f t="shared" si="7"/>
        <v>0</v>
      </c>
    </row>
    <row r="41" spans="1:35" x14ac:dyDescent="0.25">
      <c r="A41" s="12" t="s">
        <v>1331</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590</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421</v>
      </c>
      <c r="B43" t="s">
        <v>5</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1332</v>
      </c>
      <c r="B44" t="s">
        <v>1323</v>
      </c>
      <c r="C44" s="5"/>
      <c r="D44" s="5">
        <f>'Subsidies Paid'!K15*10^9</f>
        <v>100000000</v>
      </c>
      <c r="E44" s="5">
        <f t="shared" ref="E44:AG44" si="8">D44</f>
        <v>100000000</v>
      </c>
      <c r="F44" s="5">
        <f t="shared" si="8"/>
        <v>100000000</v>
      </c>
      <c r="G44" s="5">
        <f t="shared" si="8"/>
        <v>100000000</v>
      </c>
      <c r="H44" s="5">
        <f t="shared" si="8"/>
        <v>100000000</v>
      </c>
      <c r="I44" s="5">
        <f t="shared" si="8"/>
        <v>100000000</v>
      </c>
      <c r="J44" s="5">
        <f t="shared" si="8"/>
        <v>100000000</v>
      </c>
      <c r="K44" s="5">
        <f t="shared" si="8"/>
        <v>100000000</v>
      </c>
      <c r="L44" s="5">
        <f t="shared" si="8"/>
        <v>100000000</v>
      </c>
      <c r="M44" s="5">
        <f t="shared" si="8"/>
        <v>100000000</v>
      </c>
      <c r="N44" s="5">
        <f t="shared" si="8"/>
        <v>100000000</v>
      </c>
      <c r="O44" s="5">
        <f t="shared" si="8"/>
        <v>100000000</v>
      </c>
      <c r="P44" s="5">
        <f t="shared" si="8"/>
        <v>100000000</v>
      </c>
      <c r="Q44" s="5">
        <f t="shared" si="8"/>
        <v>100000000</v>
      </c>
      <c r="R44" s="5">
        <f t="shared" si="8"/>
        <v>100000000</v>
      </c>
      <c r="S44" s="5">
        <f t="shared" si="8"/>
        <v>100000000</v>
      </c>
      <c r="T44" s="5">
        <f t="shared" si="8"/>
        <v>100000000</v>
      </c>
      <c r="U44" s="5">
        <f t="shared" si="8"/>
        <v>100000000</v>
      </c>
      <c r="V44" s="5">
        <f t="shared" si="8"/>
        <v>100000000</v>
      </c>
      <c r="W44" s="5">
        <f t="shared" si="8"/>
        <v>100000000</v>
      </c>
      <c r="X44" s="5">
        <f t="shared" si="8"/>
        <v>100000000</v>
      </c>
      <c r="Y44" s="5">
        <f t="shared" si="8"/>
        <v>100000000</v>
      </c>
      <c r="Z44" s="5">
        <f t="shared" si="8"/>
        <v>100000000</v>
      </c>
      <c r="AA44" s="5">
        <f t="shared" si="8"/>
        <v>100000000</v>
      </c>
      <c r="AB44" s="5">
        <f t="shared" si="8"/>
        <v>100000000</v>
      </c>
      <c r="AC44" s="5">
        <f t="shared" si="8"/>
        <v>100000000</v>
      </c>
      <c r="AD44" s="5">
        <f t="shared" si="8"/>
        <v>100000000</v>
      </c>
      <c r="AE44" s="5">
        <f t="shared" si="8"/>
        <v>100000000</v>
      </c>
      <c r="AF44" s="5">
        <f t="shared" si="8"/>
        <v>100000000</v>
      </c>
      <c r="AG44" s="5">
        <f t="shared" si="8"/>
        <v>100000000</v>
      </c>
      <c r="AH44" s="5"/>
      <c r="AI44" s="5"/>
    </row>
    <row r="45" spans="1:35" x14ac:dyDescent="0.25">
      <c r="A45" t="s">
        <v>1333</v>
      </c>
      <c r="B45" s="353" t="s">
        <v>1334</v>
      </c>
      <c r="C45" s="5"/>
      <c r="D45" s="354">
        <f>INDEX('AEO 2022 Table 1'!19:19,MATCH(Calculations!D43,'AEO 2022 Table 1'!13:13,0))*10^15</f>
        <v>1.3089978E+16</v>
      </c>
      <c r="E45" s="354">
        <f>INDEX('AEO 2023 Table 1'!19:19,MATCH(Calculations!E43,'AEO 2023 Table 1'!13:13,0))*10^15</f>
        <v>1.1789563E+16</v>
      </c>
      <c r="F45" s="354">
        <f>INDEX('AEO 2023 Table 1'!19:19,MATCH(Calculations!F43,'AEO 2023 Table 1'!13:13,0))*10^15</f>
        <v>1.1071955E+16</v>
      </c>
      <c r="G45" s="354">
        <f>INDEX('AEO 2025 Table 1'!10:10,MATCH(G43,'AEO 2025 Table 1'!5:5,0))*10^15</f>
        <v>1.026485E+16</v>
      </c>
      <c r="H45" s="354">
        <f>INDEX('AEO 2026 Table 1'!10:10,MATCH(H43,'AEO 2026 Table 1'!5:5,0))*10^15</f>
        <v>1.0763646E+16</v>
      </c>
      <c r="I45" s="354">
        <f>INDEX('AEO 2026 Table 1'!10:10,MATCH(I43,'AEO 2026 Table 1'!5:5,0))*10^15</f>
        <v>1.0497858E+16</v>
      </c>
      <c r="J45" s="354">
        <f>INDEX('AEO 2026 Table 1'!10:10,MATCH(J43,'AEO 2026 Table 1'!5:5,0))*10^15</f>
        <v>1.0141273E+16</v>
      </c>
      <c r="K45" s="354">
        <f>INDEX('AEO 2026 Table 1'!10:10,MATCH(K43,'AEO 2026 Table 1'!5:5,0))*10^15</f>
        <v>9522483000000000</v>
      </c>
      <c r="L45" s="354">
        <f>INDEX('AEO 2026 Table 1'!10:10,MATCH(L43,'AEO 2026 Table 1'!5:5,0))*10^15</f>
        <v>9294424000000000</v>
      </c>
      <c r="M45" s="354">
        <f>INDEX('AEO 2026 Table 1'!10:10,MATCH(M43,'AEO 2026 Table 1'!5:5,0))*10^15</f>
        <v>9396270000000000</v>
      </c>
      <c r="N45" s="354">
        <f>INDEX('AEO 2026 Table 1'!10:10,MATCH(N43,'AEO 2026 Table 1'!5:5,0))*10^15</f>
        <v>8459009000000000</v>
      </c>
      <c r="O45" s="354">
        <f>INDEX('AEO 2026 Table 1'!10:10,MATCH(O43,'AEO 2026 Table 1'!5:5,0))*10^15</f>
        <v>8232461000000001</v>
      </c>
      <c r="P45" s="354">
        <f>INDEX('AEO 2026 Table 1'!10:10,MATCH(P43,'AEO 2026 Table 1'!5:5,0))*10^15</f>
        <v>8093636999999999</v>
      </c>
      <c r="Q45" s="354">
        <f>INDEX('AEO 2026 Table 1'!10:10,MATCH(Q43,'AEO 2026 Table 1'!5:5,0))*10^15</f>
        <v>7822840000000000</v>
      </c>
      <c r="R45" s="354">
        <f>INDEX('AEO 2026 Table 1'!10:10,MATCH(R43,'AEO 2026 Table 1'!5:5,0))*10^15</f>
        <v>7805241000000000</v>
      </c>
      <c r="S45" s="354">
        <f>INDEX('AEO 2026 Table 1'!10:10,MATCH(S43,'AEO 2026 Table 1'!5:5,0))*10^15</f>
        <v>7667391000000000</v>
      </c>
      <c r="T45" s="354">
        <f>INDEX('AEO 2026 Table 1'!10:10,MATCH(T43,'AEO 2026 Table 1'!5:5,0))*10^15</f>
        <v>7643977000000000</v>
      </c>
      <c r="U45" s="354">
        <f>INDEX('AEO 2026 Table 1'!10:10,MATCH(U43,'AEO 2026 Table 1'!5:5,0))*10^15</f>
        <v>7652178000000000</v>
      </c>
      <c r="V45" s="354">
        <f>INDEX('AEO 2026 Table 1'!10:10,MATCH(V43,'AEO 2026 Table 1'!5:5,0))*10^15</f>
        <v>7588447000000000</v>
      </c>
      <c r="W45" s="354">
        <f>INDEX('AEO 2026 Table 1'!10:10,MATCH(W43,'AEO 2026 Table 1'!5:5,0))*10^15</f>
        <v>7438392000000000</v>
      </c>
      <c r="X45" s="354">
        <f>INDEX('AEO 2026 Table 1'!10:10,MATCH(X43,'AEO 2026 Table 1'!5:5,0))*10^15</f>
        <v>7274271000000000</v>
      </c>
      <c r="Y45" s="354">
        <f>INDEX('AEO 2026 Table 1'!10:10,MATCH(Y43,'AEO 2026 Table 1'!5:5,0))*10^15</f>
        <v>7150982000000000</v>
      </c>
      <c r="Z45" s="354">
        <f>INDEX('AEO 2026 Table 1'!10:10,MATCH(Z43,'AEO 2026 Table 1'!5:5,0))*10^15</f>
        <v>7076840000000000</v>
      </c>
      <c r="AA45" s="354">
        <f>INDEX('AEO 2026 Table 1'!10:10,MATCH(AA43,'AEO 2026 Table 1'!5:5,0))*10^15</f>
        <v>7009675000000000</v>
      </c>
      <c r="AB45" s="354">
        <f>INDEX('AEO 2026 Table 1'!10:10,MATCH(AB43,'AEO 2026 Table 1'!5:5,0))*10^15</f>
        <v>6930867000000000</v>
      </c>
      <c r="AC45" s="354">
        <f>INDEX('AEO 2026 Table 1'!10:10,MATCH(AC43,'AEO 2026 Table 1'!5:5,0))*10^15</f>
        <v>6866632000000000</v>
      </c>
      <c r="AD45" s="354">
        <f>INDEX('AEO 2026 Table 1'!10:10,MATCH(AD43,'AEO 2026 Table 1'!5:5,0))*10^15</f>
        <v>6879517000000000</v>
      </c>
      <c r="AE45" s="354">
        <f>INDEX('AEO 2026 Table 1'!10:10,MATCH(AE43,'AEO 2026 Table 1'!5:5,0))*10^15</f>
        <v>6854223000000000</v>
      </c>
      <c r="AF45" s="354">
        <f>INDEX('AEO 2026 Table 1'!10:10,MATCH(AF43,'AEO 2026 Table 1'!5:5,0))*10^15</f>
        <v>6756863000000000</v>
      </c>
      <c r="AG45" s="354">
        <f>INDEX('AEO 2026 Table 1'!10:10,MATCH(AG43,'AEO 2026 Table 1'!5:5,0))*10^15</f>
        <v>6497005000000000</v>
      </c>
      <c r="AH45" s="5"/>
      <c r="AI45" s="5"/>
    </row>
    <row r="46" spans="1:35" x14ac:dyDescent="0.25">
      <c r="A46" t="s">
        <v>1335</v>
      </c>
      <c r="D46">
        <f t="shared" ref="D46:AG46" si="9">D44/D45</f>
        <v>7.639432243507209E-9</v>
      </c>
      <c r="E46">
        <f t="shared" si="9"/>
        <v>8.4820785978241937E-9</v>
      </c>
      <c r="F46">
        <f t="shared" si="9"/>
        <v>9.0318286156329205E-9</v>
      </c>
      <c r="G46">
        <f t="shared" si="9"/>
        <v>9.7419835652737256E-9</v>
      </c>
      <c r="H46">
        <f t="shared" si="9"/>
        <v>9.290532223003246E-9</v>
      </c>
      <c r="I46">
        <f t="shared" si="9"/>
        <v>9.5257527773761083E-9</v>
      </c>
      <c r="J46">
        <f t="shared" si="9"/>
        <v>9.8606950034773748E-9</v>
      </c>
      <c r="K46">
        <f t="shared" si="9"/>
        <v>1.0501462696231644E-8</v>
      </c>
      <c r="L46">
        <f t="shared" si="9"/>
        <v>1.0759139027873055E-8</v>
      </c>
      <c r="M46">
        <f t="shared" si="9"/>
        <v>1.0642520915214228E-8</v>
      </c>
      <c r="N46">
        <f t="shared" si="9"/>
        <v>1.1821715758902728E-8</v>
      </c>
      <c r="O46">
        <f t="shared" si="9"/>
        <v>1.2147035983529103E-8</v>
      </c>
      <c r="P46">
        <f t="shared" si="9"/>
        <v>1.235538485355842E-8</v>
      </c>
      <c r="Q46">
        <f t="shared" si="9"/>
        <v>1.2783081336189927E-8</v>
      </c>
      <c r="R46">
        <f t="shared" si="9"/>
        <v>1.2811904206417201E-8</v>
      </c>
      <c r="S46">
        <f t="shared" si="9"/>
        <v>1.3042246052144726E-8</v>
      </c>
      <c r="T46">
        <f t="shared" si="9"/>
        <v>1.3082195302262161E-8</v>
      </c>
      <c r="U46">
        <f t="shared" si="9"/>
        <v>1.3068174838588438E-8</v>
      </c>
      <c r="V46">
        <f t="shared" si="9"/>
        <v>1.3177926919697798E-8</v>
      </c>
      <c r="W46">
        <f t="shared" si="9"/>
        <v>1.3443765803146702E-8</v>
      </c>
      <c r="X46">
        <f t="shared" si="9"/>
        <v>1.3747082010004851E-8</v>
      </c>
      <c r="Y46">
        <f t="shared" si="9"/>
        <v>1.3984093373469546E-8</v>
      </c>
      <c r="Z46">
        <f t="shared" si="9"/>
        <v>1.4130600663573007E-8</v>
      </c>
      <c r="AA46">
        <f t="shared" si="9"/>
        <v>1.426599664035779E-8</v>
      </c>
      <c r="AB46">
        <f t="shared" si="9"/>
        <v>1.4428209342352118E-8</v>
      </c>
      <c r="AC46">
        <f t="shared" si="9"/>
        <v>1.45631803189686E-8</v>
      </c>
      <c r="AD46">
        <f t="shared" si="9"/>
        <v>1.4535904192111161E-8</v>
      </c>
      <c r="AE46">
        <f t="shared" si="9"/>
        <v>1.4589545744280569E-8</v>
      </c>
      <c r="AF46">
        <f t="shared" si="9"/>
        <v>1.4799767288459157E-8</v>
      </c>
      <c r="AG46">
        <f t="shared" si="9"/>
        <v>1.5391707409798824E-8</v>
      </c>
    </row>
    <row r="48" spans="1:35" x14ac:dyDescent="0.25">
      <c r="A48" s="15" t="s">
        <v>417</v>
      </c>
    </row>
    <row r="49" spans="1:35" x14ac:dyDescent="0.25">
      <c r="A49" t="s">
        <v>1332</v>
      </c>
      <c r="B49" t="s">
        <v>1323</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1333</v>
      </c>
      <c r="B50" s="353" t="s">
        <v>1336</v>
      </c>
      <c r="C50" s="5"/>
      <c r="D50" s="354">
        <f>D45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1335</v>
      </c>
      <c r="C51" s="5"/>
      <c r="D51" s="5">
        <f>D49/D50</f>
        <v>4.0488990890588205E-9</v>
      </c>
      <c r="E51" s="5">
        <f t="shared" ref="E51:AG51" si="10">D51</f>
        <v>4.0488990890588205E-9</v>
      </c>
      <c r="F51">
        <f t="shared" si="10"/>
        <v>4.0488990890588205E-9</v>
      </c>
      <c r="G51">
        <f>F51</f>
        <v>4.0488990890588205E-9</v>
      </c>
      <c r="H51">
        <f t="shared" si="10"/>
        <v>4.0488990890588205E-9</v>
      </c>
      <c r="I51">
        <f t="shared" si="10"/>
        <v>4.0488990890588205E-9</v>
      </c>
      <c r="J51">
        <f t="shared" si="10"/>
        <v>4.0488990890588205E-9</v>
      </c>
      <c r="K51">
        <f t="shared" si="10"/>
        <v>4.0488990890588205E-9</v>
      </c>
      <c r="L51">
        <f t="shared" si="10"/>
        <v>4.0488990890588205E-9</v>
      </c>
      <c r="M51">
        <f t="shared" si="10"/>
        <v>4.0488990890588205E-9</v>
      </c>
      <c r="N51">
        <f t="shared" si="10"/>
        <v>4.0488990890588205E-9</v>
      </c>
      <c r="O51">
        <f t="shared" si="10"/>
        <v>4.0488990890588205E-9</v>
      </c>
      <c r="P51">
        <f t="shared" si="10"/>
        <v>4.0488990890588205E-9</v>
      </c>
      <c r="Q51">
        <f t="shared" si="10"/>
        <v>4.0488990890588205E-9</v>
      </c>
      <c r="R51">
        <f t="shared" si="10"/>
        <v>4.0488990890588205E-9</v>
      </c>
      <c r="S51">
        <f t="shared" si="10"/>
        <v>4.0488990890588205E-9</v>
      </c>
      <c r="T51">
        <f t="shared" si="10"/>
        <v>4.0488990890588205E-9</v>
      </c>
      <c r="U51">
        <f t="shared" si="10"/>
        <v>4.0488990890588205E-9</v>
      </c>
      <c r="V51">
        <f t="shared" si="10"/>
        <v>4.0488990890588205E-9</v>
      </c>
      <c r="W51">
        <f t="shared" si="10"/>
        <v>4.0488990890588205E-9</v>
      </c>
      <c r="X51">
        <f t="shared" si="10"/>
        <v>4.0488990890588205E-9</v>
      </c>
      <c r="Y51">
        <f t="shared" si="10"/>
        <v>4.0488990890588205E-9</v>
      </c>
      <c r="Z51">
        <f t="shared" si="10"/>
        <v>4.0488990890588205E-9</v>
      </c>
      <c r="AA51">
        <f t="shared" si="10"/>
        <v>4.0488990890588205E-9</v>
      </c>
      <c r="AB51">
        <f t="shared" si="10"/>
        <v>4.0488990890588205E-9</v>
      </c>
      <c r="AC51">
        <f t="shared" si="10"/>
        <v>4.0488990890588205E-9</v>
      </c>
      <c r="AD51">
        <f t="shared" si="10"/>
        <v>4.0488990890588205E-9</v>
      </c>
      <c r="AE51">
        <f t="shared" si="10"/>
        <v>4.0488990890588205E-9</v>
      </c>
      <c r="AF51">
        <f t="shared" si="10"/>
        <v>4.0488990890588205E-9</v>
      </c>
      <c r="AG51">
        <f t="shared" si="10"/>
        <v>4.0488990890588205E-9</v>
      </c>
    </row>
    <row r="53" spans="1:35" x14ac:dyDescent="0.25">
      <c r="A53" s="10" t="s">
        <v>617</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425</v>
      </c>
      <c r="B54" t="s">
        <v>5</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1337</v>
      </c>
      <c r="B55" t="s">
        <v>1323</v>
      </c>
      <c r="C55" s="5"/>
      <c r="D55" s="5">
        <f>'Subsidies Paid'!J17*10^9</f>
        <v>1620000000</v>
      </c>
      <c r="E55" s="5">
        <f t="shared" ref="E55:AG55" si="11">D55</f>
        <v>1620000000</v>
      </c>
      <c r="F55" s="5">
        <f t="shared" si="11"/>
        <v>1620000000</v>
      </c>
      <c r="G55" s="5">
        <f t="shared" si="11"/>
        <v>1620000000</v>
      </c>
      <c r="H55" s="5">
        <f t="shared" si="11"/>
        <v>1620000000</v>
      </c>
      <c r="I55" s="5">
        <f t="shared" si="11"/>
        <v>1620000000</v>
      </c>
      <c r="J55" s="5">
        <f t="shared" si="11"/>
        <v>1620000000</v>
      </c>
      <c r="K55" s="5">
        <f t="shared" si="11"/>
        <v>1620000000</v>
      </c>
      <c r="L55" s="5">
        <f t="shared" si="11"/>
        <v>1620000000</v>
      </c>
      <c r="M55" s="5">
        <f t="shared" si="11"/>
        <v>1620000000</v>
      </c>
      <c r="N55" s="5">
        <f t="shared" si="11"/>
        <v>1620000000</v>
      </c>
      <c r="O55" s="5">
        <f t="shared" si="11"/>
        <v>1620000000</v>
      </c>
      <c r="P55" s="5">
        <f t="shared" si="11"/>
        <v>1620000000</v>
      </c>
      <c r="Q55" s="5">
        <f t="shared" si="11"/>
        <v>1620000000</v>
      </c>
      <c r="R55" s="5">
        <f t="shared" si="11"/>
        <v>1620000000</v>
      </c>
      <c r="S55" s="5">
        <f t="shared" si="11"/>
        <v>1620000000</v>
      </c>
      <c r="T55" s="5">
        <f t="shared" si="11"/>
        <v>1620000000</v>
      </c>
      <c r="U55" s="5">
        <f t="shared" si="11"/>
        <v>1620000000</v>
      </c>
      <c r="V55" s="5">
        <f t="shared" si="11"/>
        <v>1620000000</v>
      </c>
      <c r="W55" s="5">
        <f t="shared" si="11"/>
        <v>1620000000</v>
      </c>
      <c r="X55" s="5">
        <f t="shared" si="11"/>
        <v>1620000000</v>
      </c>
      <c r="Y55" s="5">
        <f t="shared" si="11"/>
        <v>1620000000</v>
      </c>
      <c r="Z55" s="5">
        <f t="shared" si="11"/>
        <v>1620000000</v>
      </c>
      <c r="AA55" s="5">
        <f t="shared" si="11"/>
        <v>1620000000</v>
      </c>
      <c r="AB55" s="5">
        <f t="shared" si="11"/>
        <v>1620000000</v>
      </c>
      <c r="AC55" s="5">
        <f t="shared" si="11"/>
        <v>1620000000</v>
      </c>
      <c r="AD55" s="5">
        <f t="shared" si="11"/>
        <v>1620000000</v>
      </c>
      <c r="AE55" s="5">
        <f t="shared" si="11"/>
        <v>1620000000</v>
      </c>
      <c r="AF55" s="5">
        <f t="shared" si="11"/>
        <v>1620000000</v>
      </c>
      <c r="AG55" s="5">
        <f t="shared" si="11"/>
        <v>1620000000</v>
      </c>
      <c r="AH55" s="5"/>
      <c r="AI55" s="5"/>
    </row>
    <row r="56" spans="1:35" x14ac:dyDescent="0.25">
      <c r="A56" t="s">
        <v>1338</v>
      </c>
      <c r="B56" s="353" t="s">
        <v>1334</v>
      </c>
      <c r="C56" s="5"/>
      <c r="D56" s="354">
        <f>INDEX('AEO 2022 Table 1'!18:18,MATCH(Calculations!D43,'AEO 2022 Table 1'!13:13,0))*10^15</f>
        <v>3.5682777E+16</v>
      </c>
      <c r="E56" s="354">
        <f>INDEX('AEO 2023 Table 1'!18:18,MATCH(Calculations!E43,'AEO 2023 Table 1'!13:13,0))*10^15</f>
        <v>3.7814274E+16</v>
      </c>
      <c r="F56" s="354">
        <f>INDEX('AEO 2023 Table 1'!18:18,MATCH(Calculations!F43,'AEO 2023 Table 1'!13:13,0))*10^15</f>
        <v>3.7835823E+16</v>
      </c>
      <c r="G56" s="354">
        <f>INDEX('AEO 2025 Table 1'!9:9,MATCH(G54,'AEO 2025 Table 1'!5:5,0))*10^15</f>
        <v>3.9777958E+16</v>
      </c>
      <c r="H56" s="354">
        <f>INDEX('AEO 2026 Table 1'!9:9,MATCH(H54,'AEO 2026 Table 1'!5:5,0))*10^15</f>
        <v>4.0570412E+16</v>
      </c>
      <c r="I56" s="354">
        <f>INDEX('AEO 2026 Table 1'!9:9,MATCH(I54,'AEO 2026 Table 1'!5:5,0))*10^15</f>
        <v>4.0294426E+16</v>
      </c>
      <c r="J56" s="354">
        <f>INDEX('AEO 2026 Table 1'!9:9,MATCH(J54,'AEO 2026 Table 1'!5:5,0))*10^15</f>
        <v>3.9723049E+16</v>
      </c>
      <c r="K56" s="354">
        <f>INDEX('AEO 2026 Table 1'!9:9,MATCH(K54,'AEO 2026 Table 1'!5:5,0))*10^15</f>
        <v>4.0499924E+16</v>
      </c>
      <c r="L56" s="354">
        <f>INDEX('AEO 2026 Table 1'!9:9,MATCH(L54,'AEO 2026 Table 1'!5:5,0))*10^15</f>
        <v>4.0887131E+16</v>
      </c>
      <c r="M56" s="354">
        <f>INDEX('AEO 2026 Table 1'!9:9,MATCH(M54,'AEO 2026 Table 1'!5:5,0))*10^15</f>
        <v>4.2027294E+16</v>
      </c>
      <c r="N56" s="354">
        <f>INDEX('AEO 2026 Table 1'!9:9,MATCH(N54,'AEO 2026 Table 1'!5:5,0))*10^15</f>
        <v>4.3181034E+16</v>
      </c>
      <c r="O56" s="354">
        <f>INDEX('AEO 2026 Table 1'!9:9,MATCH(O54,'AEO 2026 Table 1'!5:5,0))*10^15</f>
        <v>4.425951E+16</v>
      </c>
      <c r="P56" s="354">
        <f>INDEX('AEO 2026 Table 1'!9:9,MATCH(P54,'AEO 2026 Table 1'!5:5,0))*10^15</f>
        <v>4.5101624E+16</v>
      </c>
      <c r="Q56" s="354">
        <f>INDEX('AEO 2026 Table 1'!9:9,MATCH(Q54,'AEO 2026 Table 1'!5:5,0))*10^15</f>
        <v>4.6168903E+16</v>
      </c>
      <c r="R56" s="354">
        <f>INDEX('AEO 2026 Table 1'!9:9,MATCH(R54,'AEO 2026 Table 1'!5:5,0))*10^15</f>
        <v>4.666502E+16</v>
      </c>
      <c r="S56" s="354">
        <f>INDEX('AEO 2026 Table 1'!9:9,MATCH(S54,'AEO 2026 Table 1'!5:5,0))*10^15</f>
        <v>4.7017208E+16</v>
      </c>
      <c r="T56" s="354">
        <f>INDEX('AEO 2026 Table 1'!9:9,MATCH(T54,'AEO 2026 Table 1'!5:5,0))*10^15</f>
        <v>4.7328976E+16</v>
      </c>
      <c r="U56" s="354">
        <f>INDEX('AEO 2026 Table 1'!9:9,MATCH(U54,'AEO 2026 Table 1'!5:5,0))*10^15</f>
        <v>4.7659122E+16</v>
      </c>
      <c r="V56" s="354">
        <f>INDEX('AEO 2026 Table 1'!9:9,MATCH(V54,'AEO 2026 Table 1'!5:5,0))*10^15</f>
        <v>4.7983776E+16</v>
      </c>
      <c r="W56" s="354">
        <f>INDEX('AEO 2026 Table 1'!9:9,MATCH(W54,'AEO 2026 Table 1'!5:5,0))*10^15</f>
        <v>4.8581455E+16</v>
      </c>
      <c r="X56" s="354">
        <f>INDEX('AEO 2026 Table 1'!9:9,MATCH(X54,'AEO 2026 Table 1'!5:5,0))*10^15</f>
        <v>4.9290066E+16</v>
      </c>
      <c r="Y56" s="354">
        <f>INDEX('AEO 2026 Table 1'!9:9,MATCH(Y54,'AEO 2026 Table 1'!5:5,0))*10^15</f>
        <v>4.9974457E+16</v>
      </c>
      <c r="Z56" s="354">
        <f>INDEX('AEO 2026 Table 1'!9:9,MATCH(Z54,'AEO 2026 Table 1'!5:5,0))*10^15</f>
        <v>5.0566368E+16</v>
      </c>
      <c r="AA56" s="354">
        <f>INDEX('AEO 2026 Table 1'!9:9,MATCH(AA54,'AEO 2026 Table 1'!5:5,0))*10^15</f>
        <v>5.111755E+16</v>
      </c>
      <c r="AB56" s="354">
        <f>INDEX('AEO 2026 Table 1'!9:9,MATCH(AB54,'AEO 2026 Table 1'!5:5,0))*10^15</f>
        <v>5.1666023E+16</v>
      </c>
      <c r="AC56" s="354">
        <f>INDEX('AEO 2026 Table 1'!9:9,MATCH(AC54,'AEO 2026 Table 1'!5:5,0))*10^15</f>
        <v>5.2372948E+16</v>
      </c>
      <c r="AD56" s="354">
        <f>INDEX('AEO 2026 Table 1'!9:9,MATCH(AD54,'AEO 2026 Table 1'!5:5,0))*10^15</f>
        <v>5.2807499E+16</v>
      </c>
      <c r="AE56" s="354">
        <f>INDEX('AEO 2026 Table 1'!9:9,MATCH(AE54,'AEO 2026 Table 1'!5:5,0))*10^15</f>
        <v>5.311705E+16</v>
      </c>
      <c r="AF56" s="354">
        <f>INDEX('AEO 2026 Table 1'!9:9,MATCH(AF54,'AEO 2026 Table 1'!5:5,0))*10^15</f>
        <v>5.3229816E+16</v>
      </c>
      <c r="AG56" s="354">
        <f>INDEX('AEO 2026 Table 1'!9:9,MATCH(AG54,'AEO 2026 Table 1'!5:5,0))*10^15</f>
        <v>5.3342106E+16</v>
      </c>
      <c r="AH56" s="5"/>
      <c r="AI56" s="5"/>
    </row>
    <row r="57" spans="1:35" x14ac:dyDescent="0.25">
      <c r="A57" t="s">
        <v>1339</v>
      </c>
      <c r="B57" s="353" t="s">
        <v>1334</v>
      </c>
      <c r="C57" s="5"/>
      <c r="D57" s="354">
        <f>SUM(INDEX('AEO 2022 Table 1'!16:17,0,MATCH(Calculations!D43,'AEO 2022 Table 1'!13:13,0)))*10^15</f>
        <v>3.0179702000000004E+16</v>
      </c>
      <c r="E57" s="354">
        <f>SUM(INDEX('AEO 2023 Table 1'!16:17,0,MATCH(Calculations!E43,'AEO 2023 Table 1'!13:13,0)))*10^15</f>
        <v>3.2355485E+16</v>
      </c>
      <c r="F57" s="354">
        <f>SUM(INDEX('AEO 2023 Table 1'!16:17,0,MATCH(Calculations!F43,'AEO 2023 Table 1'!13:13,0)))*10^15</f>
        <v>3.3740817E+16</v>
      </c>
      <c r="G57" s="354">
        <f>SUM(INDEX('AEO 2025 Table 1'!7:8,0,MATCH(G54,'AEO 2025 Table 1'!5:5,0)))*10^15</f>
        <v>3.640884E+16</v>
      </c>
      <c r="H57" s="354">
        <f>SUM(INDEX('AEO 2026 Table 1'!7:8,0,MATCH(H54,'AEO 2026 Table 1'!5:5,0)))*10^15</f>
        <v>3.7715253E+16</v>
      </c>
      <c r="I57" s="354">
        <f>SUM(INDEX('AEO 2026 Table 1'!7:8,0,MATCH(I54,'AEO 2026 Table 1'!5:5,0)))*10^15</f>
        <v>3.7636315E+16</v>
      </c>
      <c r="J57" s="354">
        <f>SUM(INDEX('AEO 2026 Table 1'!7:8,0,MATCH(J54,'AEO 2026 Table 1'!5:5,0)))*10^15</f>
        <v>3.8450747E+16</v>
      </c>
      <c r="K57" s="354">
        <f>SUM(INDEX('AEO 2026 Table 1'!7:8,0,MATCH(K54,'AEO 2026 Table 1'!5:5,0)))*10^15</f>
        <v>3.8395631E+16</v>
      </c>
      <c r="L57" s="354">
        <f>SUM(INDEX('AEO 2026 Table 1'!7:8,0,MATCH(L54,'AEO 2026 Table 1'!5:5,0)))*10^15</f>
        <v>3.8263945E+16</v>
      </c>
      <c r="M57" s="354">
        <f>SUM(INDEX('AEO 2026 Table 1'!7:8,0,MATCH(M54,'AEO 2026 Table 1'!5:5,0)))*10^15</f>
        <v>3.8528259E+16</v>
      </c>
      <c r="N57" s="354">
        <f>SUM(INDEX('AEO 2026 Table 1'!7:8,0,MATCH(N54,'AEO 2026 Table 1'!5:5,0)))*10^15</f>
        <v>3.9019022E+16</v>
      </c>
      <c r="O57" s="354">
        <f>SUM(INDEX('AEO 2026 Table 1'!7:8,0,MATCH(O54,'AEO 2026 Table 1'!5:5,0)))*10^15</f>
        <v>3.9348788E+16</v>
      </c>
      <c r="P57" s="354">
        <f>SUM(INDEX('AEO 2026 Table 1'!7:8,0,MATCH(P54,'AEO 2026 Table 1'!5:5,0)))*10^15</f>
        <v>3.934505E+16</v>
      </c>
      <c r="Q57" s="354">
        <f>SUM(INDEX('AEO 2026 Table 1'!7:8,0,MATCH(Q54,'AEO 2026 Table 1'!5:5,0)))*10^15</f>
        <v>3.9427683E+16</v>
      </c>
      <c r="R57" s="354">
        <f>SUM(INDEX('AEO 2026 Table 1'!7:8,0,MATCH(R54,'AEO 2026 Table 1'!5:5,0)))*10^15</f>
        <v>3.9367604E+16</v>
      </c>
      <c r="S57" s="354">
        <f>SUM(INDEX('AEO 2026 Table 1'!7:8,0,MATCH(S54,'AEO 2026 Table 1'!5:5,0)))*10^15</f>
        <v>3.9379238E+16</v>
      </c>
      <c r="T57" s="354">
        <f>SUM(INDEX('AEO 2026 Table 1'!7:8,0,MATCH(T54,'AEO 2026 Table 1'!5:5,0)))*10^15</f>
        <v>3.9547659E+16</v>
      </c>
      <c r="U57" s="354">
        <f>SUM(INDEX('AEO 2026 Table 1'!7:8,0,MATCH(U54,'AEO 2026 Table 1'!5:5,0)))*10^15</f>
        <v>3.9602912E+16</v>
      </c>
      <c r="V57" s="354">
        <f>SUM(INDEX('AEO 2026 Table 1'!7:8,0,MATCH(V54,'AEO 2026 Table 1'!5:5,0)))*10^15</f>
        <v>3.9773311E+16</v>
      </c>
      <c r="W57" s="354">
        <f>SUM(INDEX('AEO 2026 Table 1'!7:8,0,MATCH(W54,'AEO 2026 Table 1'!5:5,0)))*10^15</f>
        <v>4.0377613E+16</v>
      </c>
      <c r="X57" s="354">
        <f>SUM(INDEX('AEO 2026 Table 1'!7:8,0,MATCH(X54,'AEO 2026 Table 1'!5:5,0)))*10^15</f>
        <v>4.0927987E+16</v>
      </c>
      <c r="Y57" s="354">
        <f>SUM(INDEX('AEO 2026 Table 1'!7:8,0,MATCH(Y54,'AEO 2026 Table 1'!5:5,0)))*10^15</f>
        <v>4.1171949999999992E+16</v>
      </c>
      <c r="Z57" s="354">
        <f>SUM(INDEX('AEO 2026 Table 1'!7:8,0,MATCH(Z54,'AEO 2026 Table 1'!5:5,0)))*10^15</f>
        <v>4.1401308E+16</v>
      </c>
      <c r="AA57" s="354">
        <f>SUM(INDEX('AEO 2026 Table 1'!7:8,0,MATCH(AA54,'AEO 2026 Table 1'!5:5,0)))*10^15</f>
        <v>4.1404515E+16</v>
      </c>
      <c r="AB57" s="354">
        <f>SUM(INDEX('AEO 2026 Table 1'!7:8,0,MATCH(AB54,'AEO 2026 Table 1'!5:5,0)))*10^15</f>
        <v>4.119635E+16</v>
      </c>
      <c r="AC57" s="354">
        <f>SUM(INDEX('AEO 2026 Table 1'!7:8,0,MATCH(AC54,'AEO 2026 Table 1'!5:5,0)))*10^15</f>
        <v>4.0916967E+16</v>
      </c>
      <c r="AD57" s="354">
        <f>SUM(INDEX('AEO 2026 Table 1'!7:8,0,MATCH(AD54,'AEO 2026 Table 1'!5:5,0)))*10^15</f>
        <v>4.0793837E+16</v>
      </c>
      <c r="AE57" s="354">
        <f>SUM(INDEX('AEO 2026 Table 1'!7:8,0,MATCH(AE54,'AEO 2026 Table 1'!5:5,0)))*10^15</f>
        <v>4.0685696E+16</v>
      </c>
      <c r="AF57" s="354">
        <f>SUM(INDEX('AEO 2026 Table 1'!7:8,0,MATCH(AF54,'AEO 2026 Table 1'!5:5,0)))*10^15</f>
        <v>4.0453011E+16</v>
      </c>
      <c r="AG57" s="354">
        <f>SUM(INDEX('AEO 2026 Table 1'!7:8,0,MATCH(AG54,'AEO 2026 Table 1'!5:5,0)))*10^15</f>
        <v>4.0024468E+16</v>
      </c>
      <c r="AH57" s="5"/>
      <c r="AI57" s="5"/>
    </row>
    <row r="58" spans="1:35" x14ac:dyDescent="0.25">
      <c r="A58" t="s">
        <v>1340</v>
      </c>
      <c r="C58" s="5"/>
      <c r="D58" s="5">
        <f t="shared" ref="D58:AG58" si="12">D55*(D56/SUM(D56:D57))/D56</f>
        <v>2.4596705508154349E-8</v>
      </c>
      <c r="E58" s="5">
        <f t="shared" si="12"/>
        <v>2.3086868518388383E-8</v>
      </c>
      <c r="F58" s="5">
        <f t="shared" si="12"/>
        <v>2.2633082525248464E-8</v>
      </c>
      <c r="G58" s="5">
        <f t="shared" si="12"/>
        <v>2.1263526523322322E-8</v>
      </c>
      <c r="H58" s="5">
        <f t="shared" si="12"/>
        <v>2.0693443684741009E-8</v>
      </c>
      <c r="I58" s="5">
        <f t="shared" si="12"/>
        <v>2.0787688904433743E-8</v>
      </c>
      <c r="J58" s="5">
        <f t="shared" si="12"/>
        <v>2.0723056610939038E-8</v>
      </c>
      <c r="K58" s="5">
        <f t="shared" si="12"/>
        <v>2.0533476188867673E-8</v>
      </c>
      <c r="L58" s="5">
        <f t="shared" si="12"/>
        <v>2.0467188595136722E-8</v>
      </c>
      <c r="M58" s="5">
        <f t="shared" si="12"/>
        <v>2.0110345465569578E-8</v>
      </c>
      <c r="N58" s="5">
        <f t="shared" si="12"/>
        <v>1.9708015770694856E-8</v>
      </c>
      <c r="O58" s="5">
        <f t="shared" si="12"/>
        <v>1.9376067193713238E-8</v>
      </c>
      <c r="P58" s="5">
        <f t="shared" si="12"/>
        <v>1.9183704026046068E-8</v>
      </c>
      <c r="Q58" s="5">
        <f t="shared" si="12"/>
        <v>1.8925988473418787E-8</v>
      </c>
      <c r="R58" s="5">
        <f t="shared" si="12"/>
        <v>1.8830066138631317E-8</v>
      </c>
      <c r="S58" s="5">
        <f t="shared" si="12"/>
        <v>1.8750771299087926E-8</v>
      </c>
      <c r="T58" s="5">
        <f t="shared" si="12"/>
        <v>1.8647131072698661E-8</v>
      </c>
      <c r="U58" s="5">
        <f t="shared" si="12"/>
        <v>1.8564774687695226E-8</v>
      </c>
      <c r="V58" s="5">
        <f t="shared" si="12"/>
        <v>1.8460047562882301E-8</v>
      </c>
      <c r="W58" s="5">
        <f t="shared" si="12"/>
        <v>1.8210622440423948E-8</v>
      </c>
      <c r="X58" s="5">
        <f t="shared" si="12"/>
        <v>1.7956494804870149E-8</v>
      </c>
      <c r="Y58" s="5">
        <f t="shared" si="12"/>
        <v>1.7773602419676294E-8</v>
      </c>
      <c r="Z58" s="5">
        <f t="shared" si="12"/>
        <v>1.7614884603586154E-8</v>
      </c>
      <c r="AA58" s="5">
        <f t="shared" si="12"/>
        <v>1.7509336826842331E-8</v>
      </c>
      <c r="AB58" s="5">
        <f t="shared" si="12"/>
        <v>1.7445171253592668E-8</v>
      </c>
      <c r="AC58" s="5">
        <f t="shared" si="12"/>
        <v>1.7365221095978059E-8</v>
      </c>
      <c r="AD58" s="5">
        <f t="shared" si="12"/>
        <v>1.7307445269798288E-8</v>
      </c>
      <c r="AE58" s="5">
        <f t="shared" si="12"/>
        <v>1.7270283324115052E-8</v>
      </c>
      <c r="AF58" s="5">
        <f t="shared" si="12"/>
        <v>1.7292390205090631E-8</v>
      </c>
      <c r="AG58" s="5">
        <f t="shared" si="12"/>
        <v>1.7350963311559446E-8</v>
      </c>
      <c r="AH58" s="5"/>
      <c r="AI58" s="5"/>
    </row>
    <row r="60" spans="1:35" x14ac:dyDescent="0.25">
      <c r="A60" s="15" t="s">
        <v>426</v>
      </c>
    </row>
    <row r="61" spans="1:35" x14ac:dyDescent="0.25">
      <c r="A61" t="s">
        <v>1337</v>
      </c>
      <c r="B61" t="s">
        <v>1323</v>
      </c>
      <c r="C61" s="5"/>
      <c r="D61" s="5">
        <f>'Subsidies Paid'!J18*10^9</f>
        <v>140000000</v>
      </c>
      <c r="E61" s="5">
        <f t="shared" ref="E61:AG61" si="13">D61</f>
        <v>140000000</v>
      </c>
      <c r="F61" s="5">
        <f t="shared" si="13"/>
        <v>140000000</v>
      </c>
      <c r="G61" s="5">
        <f t="shared" si="13"/>
        <v>140000000</v>
      </c>
      <c r="H61" s="5">
        <f t="shared" si="13"/>
        <v>140000000</v>
      </c>
      <c r="I61" s="5">
        <f t="shared" si="13"/>
        <v>140000000</v>
      </c>
      <c r="J61" s="5">
        <f t="shared" si="13"/>
        <v>140000000</v>
      </c>
      <c r="K61" s="5">
        <f t="shared" si="13"/>
        <v>140000000</v>
      </c>
      <c r="L61" s="5">
        <f t="shared" si="13"/>
        <v>140000000</v>
      </c>
      <c r="M61" s="5">
        <f t="shared" si="13"/>
        <v>140000000</v>
      </c>
      <c r="N61" s="5">
        <f t="shared" si="13"/>
        <v>140000000</v>
      </c>
      <c r="O61" s="5">
        <f t="shared" si="13"/>
        <v>140000000</v>
      </c>
      <c r="P61" s="5">
        <f t="shared" si="13"/>
        <v>140000000</v>
      </c>
      <c r="Q61" s="5">
        <f t="shared" si="13"/>
        <v>140000000</v>
      </c>
      <c r="R61" s="5">
        <f t="shared" si="13"/>
        <v>140000000</v>
      </c>
      <c r="S61" s="5">
        <f t="shared" si="13"/>
        <v>140000000</v>
      </c>
      <c r="T61" s="5">
        <f t="shared" si="13"/>
        <v>140000000</v>
      </c>
      <c r="U61" s="5">
        <f t="shared" si="13"/>
        <v>140000000</v>
      </c>
      <c r="V61" s="5">
        <f t="shared" si="13"/>
        <v>140000000</v>
      </c>
      <c r="W61" s="5">
        <f t="shared" si="13"/>
        <v>140000000</v>
      </c>
      <c r="X61" s="5">
        <f t="shared" si="13"/>
        <v>140000000</v>
      </c>
      <c r="Y61" s="5">
        <f t="shared" si="13"/>
        <v>140000000</v>
      </c>
      <c r="Z61" s="5">
        <f t="shared" si="13"/>
        <v>140000000</v>
      </c>
      <c r="AA61" s="5">
        <f t="shared" si="13"/>
        <v>140000000</v>
      </c>
      <c r="AB61" s="5">
        <f t="shared" si="13"/>
        <v>140000000</v>
      </c>
      <c r="AC61" s="5">
        <f t="shared" si="13"/>
        <v>140000000</v>
      </c>
      <c r="AD61" s="5">
        <f t="shared" si="13"/>
        <v>140000000</v>
      </c>
      <c r="AE61" s="5">
        <f t="shared" si="13"/>
        <v>140000000</v>
      </c>
      <c r="AF61" s="5">
        <f t="shared" si="13"/>
        <v>140000000</v>
      </c>
      <c r="AG61" s="5">
        <f t="shared" si="13"/>
        <v>140000000</v>
      </c>
      <c r="AH61" s="5"/>
      <c r="AI61" s="5"/>
    </row>
    <row r="62" spans="1:35" x14ac:dyDescent="0.25">
      <c r="A62" t="s">
        <v>1338</v>
      </c>
      <c r="B62" s="353" t="s">
        <v>1341</v>
      </c>
      <c r="C62" s="5"/>
      <c r="D62" s="5">
        <f t="shared" ref="D62:AG62" si="14">D56</f>
        <v>3.5682777E+16</v>
      </c>
      <c r="E62" s="5">
        <f t="shared" si="14"/>
        <v>3.7814274E+16</v>
      </c>
      <c r="F62" s="5">
        <f t="shared" si="14"/>
        <v>3.7835823E+16</v>
      </c>
      <c r="G62" s="5">
        <f t="shared" si="14"/>
        <v>3.9777958E+16</v>
      </c>
      <c r="H62" s="5">
        <f t="shared" si="14"/>
        <v>4.0570412E+16</v>
      </c>
      <c r="I62" s="5">
        <f t="shared" si="14"/>
        <v>4.0294426E+16</v>
      </c>
      <c r="J62" s="5">
        <f t="shared" si="14"/>
        <v>3.9723049E+16</v>
      </c>
      <c r="K62" s="5">
        <f t="shared" si="14"/>
        <v>4.0499924E+16</v>
      </c>
      <c r="L62" s="5">
        <f t="shared" si="14"/>
        <v>4.0887131E+16</v>
      </c>
      <c r="M62" s="5">
        <f t="shared" si="14"/>
        <v>4.2027294E+16</v>
      </c>
      <c r="N62" s="5">
        <f t="shared" si="14"/>
        <v>4.3181034E+16</v>
      </c>
      <c r="O62" s="5">
        <f t="shared" si="14"/>
        <v>4.425951E+16</v>
      </c>
      <c r="P62" s="5">
        <f t="shared" si="14"/>
        <v>4.5101624E+16</v>
      </c>
      <c r="Q62" s="5">
        <f t="shared" si="14"/>
        <v>4.6168903E+16</v>
      </c>
      <c r="R62" s="5">
        <f t="shared" si="14"/>
        <v>4.666502E+16</v>
      </c>
      <c r="S62" s="5">
        <f t="shared" si="14"/>
        <v>4.7017208E+16</v>
      </c>
      <c r="T62" s="5">
        <f t="shared" si="14"/>
        <v>4.7328976E+16</v>
      </c>
      <c r="U62" s="5">
        <f t="shared" si="14"/>
        <v>4.7659122E+16</v>
      </c>
      <c r="V62" s="5">
        <f t="shared" si="14"/>
        <v>4.7983776E+16</v>
      </c>
      <c r="W62" s="5">
        <f t="shared" si="14"/>
        <v>4.8581455E+16</v>
      </c>
      <c r="X62" s="5">
        <f t="shared" si="14"/>
        <v>4.9290066E+16</v>
      </c>
      <c r="Y62" s="5">
        <f t="shared" si="14"/>
        <v>4.9974457E+16</v>
      </c>
      <c r="Z62" s="5">
        <f t="shared" si="14"/>
        <v>5.0566368E+16</v>
      </c>
      <c r="AA62" s="5">
        <f t="shared" si="14"/>
        <v>5.111755E+16</v>
      </c>
      <c r="AB62" s="5">
        <f t="shared" si="14"/>
        <v>5.1666023E+16</v>
      </c>
      <c r="AC62" s="5">
        <f t="shared" si="14"/>
        <v>5.2372948E+16</v>
      </c>
      <c r="AD62" s="5">
        <f t="shared" si="14"/>
        <v>5.2807499E+16</v>
      </c>
      <c r="AE62" s="5">
        <f t="shared" si="14"/>
        <v>5.311705E+16</v>
      </c>
      <c r="AF62" s="5">
        <f t="shared" si="14"/>
        <v>5.3229816E+16</v>
      </c>
      <c r="AG62" s="5">
        <f t="shared" si="14"/>
        <v>5.3342106E+16</v>
      </c>
      <c r="AH62" s="5"/>
      <c r="AI62" s="5"/>
    </row>
    <row r="63" spans="1:35" x14ac:dyDescent="0.25">
      <c r="A63" t="s">
        <v>1339</v>
      </c>
      <c r="B63" s="353" t="s">
        <v>1341</v>
      </c>
      <c r="C63" s="5"/>
      <c r="D63" s="5">
        <f t="shared" ref="D63:AG63" si="15">D57</f>
        <v>3.0179702000000004E+16</v>
      </c>
      <c r="E63" s="5">
        <f t="shared" si="15"/>
        <v>3.2355485E+16</v>
      </c>
      <c r="F63" s="5">
        <f t="shared" si="15"/>
        <v>3.3740817E+16</v>
      </c>
      <c r="G63" s="5">
        <f t="shared" si="15"/>
        <v>3.640884E+16</v>
      </c>
      <c r="H63" s="5">
        <f t="shared" si="15"/>
        <v>3.7715253E+16</v>
      </c>
      <c r="I63" s="5">
        <f t="shared" si="15"/>
        <v>3.7636315E+16</v>
      </c>
      <c r="J63" s="5">
        <f t="shared" si="15"/>
        <v>3.8450747E+16</v>
      </c>
      <c r="K63" s="5">
        <f t="shared" si="15"/>
        <v>3.8395631E+16</v>
      </c>
      <c r="L63" s="5">
        <f t="shared" si="15"/>
        <v>3.8263945E+16</v>
      </c>
      <c r="M63" s="5">
        <f t="shared" si="15"/>
        <v>3.8528259E+16</v>
      </c>
      <c r="N63" s="5">
        <f t="shared" si="15"/>
        <v>3.9019022E+16</v>
      </c>
      <c r="O63" s="5">
        <f t="shared" si="15"/>
        <v>3.9348788E+16</v>
      </c>
      <c r="P63" s="5">
        <f t="shared" si="15"/>
        <v>3.934505E+16</v>
      </c>
      <c r="Q63" s="5">
        <f t="shared" si="15"/>
        <v>3.9427683E+16</v>
      </c>
      <c r="R63" s="5">
        <f t="shared" si="15"/>
        <v>3.9367604E+16</v>
      </c>
      <c r="S63" s="5">
        <f t="shared" si="15"/>
        <v>3.9379238E+16</v>
      </c>
      <c r="T63" s="5">
        <f t="shared" si="15"/>
        <v>3.9547659E+16</v>
      </c>
      <c r="U63" s="5">
        <f t="shared" si="15"/>
        <v>3.9602912E+16</v>
      </c>
      <c r="V63" s="5">
        <f t="shared" si="15"/>
        <v>3.9773311E+16</v>
      </c>
      <c r="W63" s="5">
        <f t="shared" si="15"/>
        <v>4.0377613E+16</v>
      </c>
      <c r="X63" s="5">
        <f t="shared" si="15"/>
        <v>4.0927987E+16</v>
      </c>
      <c r="Y63" s="5">
        <f t="shared" si="15"/>
        <v>4.1171949999999992E+16</v>
      </c>
      <c r="Z63" s="5">
        <f t="shared" si="15"/>
        <v>4.1401308E+16</v>
      </c>
      <c r="AA63" s="5">
        <f t="shared" si="15"/>
        <v>4.1404515E+16</v>
      </c>
      <c r="AB63" s="5">
        <f t="shared" si="15"/>
        <v>4.119635E+16</v>
      </c>
      <c r="AC63" s="5">
        <f t="shared" si="15"/>
        <v>4.0916967E+16</v>
      </c>
      <c r="AD63" s="5">
        <f t="shared" si="15"/>
        <v>4.0793837E+16</v>
      </c>
      <c r="AE63" s="5">
        <f t="shared" si="15"/>
        <v>4.0685696E+16</v>
      </c>
      <c r="AF63" s="5">
        <f t="shared" si="15"/>
        <v>4.0453011E+16</v>
      </c>
      <c r="AG63" s="5">
        <f t="shared" si="15"/>
        <v>4.0024468E+16</v>
      </c>
      <c r="AH63" s="5"/>
      <c r="AI63" s="5"/>
    </row>
    <row r="64" spans="1:35" x14ac:dyDescent="0.25">
      <c r="A64" t="s">
        <v>1340</v>
      </c>
      <c r="C64" s="5"/>
      <c r="D64" s="5">
        <f t="shared" ref="D64:AG64" si="16">D61*(D62/SUM(D62:D63))/D62</f>
        <v>2.1256412167540793E-9</v>
      </c>
      <c r="E64" s="5">
        <f t="shared" si="16"/>
        <v>1.9951614768977616E-9</v>
      </c>
      <c r="F64" s="5">
        <f t="shared" si="16"/>
        <v>1.9559454034165337E-9</v>
      </c>
      <c r="G64" s="5">
        <f t="shared" si="16"/>
        <v>1.8375887118920525E-9</v>
      </c>
      <c r="H64" s="5">
        <f t="shared" si="16"/>
        <v>1.7883222937430501E-9</v>
      </c>
      <c r="I64" s="5">
        <f t="shared" si="16"/>
        <v>1.7964669423584718E-9</v>
      </c>
      <c r="J64" s="5">
        <f t="shared" si="16"/>
        <v>1.7908814355132503E-9</v>
      </c>
      <c r="K64" s="5">
        <f t="shared" si="16"/>
        <v>1.7744979422478238E-9</v>
      </c>
      <c r="L64" s="5">
        <f t="shared" si="16"/>
        <v>1.768769384764902E-9</v>
      </c>
      <c r="M64" s="5">
        <f t="shared" si="16"/>
        <v>1.7379310896171241E-9</v>
      </c>
      <c r="N64" s="5">
        <f t="shared" si="16"/>
        <v>1.7031618567267158E-9</v>
      </c>
      <c r="O64" s="5">
        <f t="shared" si="16"/>
        <v>1.6744749426665757E-9</v>
      </c>
      <c r="P64" s="5">
        <f t="shared" si="16"/>
        <v>1.6578509652138579E-9</v>
      </c>
      <c r="Q64" s="5">
        <f t="shared" si="16"/>
        <v>1.6355792507892778E-9</v>
      </c>
      <c r="R64" s="5">
        <f t="shared" si="16"/>
        <v>1.6272896663014718E-9</v>
      </c>
      <c r="S64" s="5">
        <f t="shared" si="16"/>
        <v>1.6204370258471046E-9</v>
      </c>
      <c r="T64" s="5">
        <f t="shared" si="16"/>
        <v>1.611480463072724E-9</v>
      </c>
      <c r="U64" s="5">
        <f t="shared" si="16"/>
        <v>1.604363244615637E-9</v>
      </c>
      <c r="V64" s="5">
        <f t="shared" si="16"/>
        <v>1.5953127523478531E-9</v>
      </c>
      <c r="W64" s="5">
        <f t="shared" si="16"/>
        <v>1.5737574948514523E-9</v>
      </c>
      <c r="X64" s="5">
        <f t="shared" si="16"/>
        <v>1.5517958473344573E-9</v>
      </c>
      <c r="Y64" s="5">
        <f t="shared" si="16"/>
        <v>1.5359903325646179E-9</v>
      </c>
      <c r="Z64" s="5">
        <f t="shared" si="16"/>
        <v>1.5222739780876923E-9</v>
      </c>
      <c r="AA64" s="5">
        <f t="shared" si="16"/>
        <v>1.5131525652826708E-9</v>
      </c>
      <c r="AB64" s="5">
        <f t="shared" si="16"/>
        <v>1.5076073922857861E-9</v>
      </c>
      <c r="AC64" s="5">
        <f t="shared" si="16"/>
        <v>1.5006981194055114E-9</v>
      </c>
      <c r="AD64" s="5">
        <f t="shared" si="16"/>
        <v>1.4957051467726915E-9</v>
      </c>
      <c r="AE64" s="5">
        <f t="shared" si="16"/>
        <v>1.4924936206025356E-9</v>
      </c>
      <c r="AF64" s="5">
        <f t="shared" si="16"/>
        <v>1.4944040917979556E-9</v>
      </c>
      <c r="AG64" s="5">
        <f t="shared" si="16"/>
        <v>1.4994659651964954E-9</v>
      </c>
      <c r="AH64" s="5"/>
      <c r="AI64" s="5"/>
    </row>
    <row r="66" spans="1:36" x14ac:dyDescent="0.25">
      <c r="A66" s="15" t="s">
        <v>427</v>
      </c>
    </row>
    <row r="67" spans="1:36" x14ac:dyDescent="0.25">
      <c r="A67" t="s">
        <v>1337</v>
      </c>
      <c r="B67" t="s">
        <v>1323</v>
      </c>
      <c r="C67" s="5"/>
      <c r="D67" s="5">
        <f>'Subsidies Paid'!K19*10^9</f>
        <v>1200000000</v>
      </c>
      <c r="E67" s="5">
        <f t="shared" ref="E67:AG67" si="17">D67</f>
        <v>1200000000</v>
      </c>
      <c r="F67" s="5">
        <f t="shared" si="17"/>
        <v>1200000000</v>
      </c>
      <c r="G67" s="5">
        <f t="shared" si="17"/>
        <v>1200000000</v>
      </c>
      <c r="H67" s="5">
        <f t="shared" si="17"/>
        <v>1200000000</v>
      </c>
      <c r="I67" s="5">
        <f t="shared" si="17"/>
        <v>1200000000</v>
      </c>
      <c r="J67" s="5">
        <f t="shared" si="17"/>
        <v>1200000000</v>
      </c>
      <c r="K67" s="5">
        <f t="shared" si="17"/>
        <v>1200000000</v>
      </c>
      <c r="L67" s="5">
        <f t="shared" si="17"/>
        <v>1200000000</v>
      </c>
      <c r="M67" s="5">
        <f t="shared" si="17"/>
        <v>1200000000</v>
      </c>
      <c r="N67" s="5">
        <f t="shared" si="17"/>
        <v>1200000000</v>
      </c>
      <c r="O67" s="5">
        <f t="shared" si="17"/>
        <v>1200000000</v>
      </c>
      <c r="P67" s="5">
        <f t="shared" si="17"/>
        <v>1200000000</v>
      </c>
      <c r="Q67" s="5">
        <f t="shared" si="17"/>
        <v>1200000000</v>
      </c>
      <c r="R67" s="5">
        <f t="shared" si="17"/>
        <v>1200000000</v>
      </c>
      <c r="S67" s="5">
        <f t="shared" si="17"/>
        <v>1200000000</v>
      </c>
      <c r="T67" s="5">
        <f t="shared" si="17"/>
        <v>1200000000</v>
      </c>
      <c r="U67" s="5">
        <f t="shared" si="17"/>
        <v>1200000000</v>
      </c>
      <c r="V67" s="5">
        <f t="shared" si="17"/>
        <v>1200000000</v>
      </c>
      <c r="W67" s="5">
        <f t="shared" si="17"/>
        <v>1200000000</v>
      </c>
      <c r="X67" s="5">
        <f t="shared" si="17"/>
        <v>1200000000</v>
      </c>
      <c r="Y67" s="5">
        <f t="shared" si="17"/>
        <v>1200000000</v>
      </c>
      <c r="Z67" s="5">
        <f t="shared" si="17"/>
        <v>1200000000</v>
      </c>
      <c r="AA67" s="5">
        <f t="shared" si="17"/>
        <v>1200000000</v>
      </c>
      <c r="AB67" s="5">
        <f t="shared" si="17"/>
        <v>1200000000</v>
      </c>
      <c r="AC67" s="5">
        <f t="shared" si="17"/>
        <v>1200000000</v>
      </c>
      <c r="AD67" s="5">
        <f t="shared" si="17"/>
        <v>1200000000</v>
      </c>
      <c r="AE67" s="5">
        <f t="shared" si="17"/>
        <v>1200000000</v>
      </c>
      <c r="AF67" s="5">
        <f t="shared" si="17"/>
        <v>1200000000</v>
      </c>
      <c r="AG67" s="5">
        <f t="shared" si="17"/>
        <v>1200000000</v>
      </c>
      <c r="AH67" s="5"/>
      <c r="AI67" s="5"/>
    </row>
    <row r="68" spans="1:36" x14ac:dyDescent="0.25">
      <c r="A68" t="s">
        <v>1338</v>
      </c>
      <c r="B68" s="353" t="s">
        <v>1341</v>
      </c>
      <c r="C68" s="5"/>
      <c r="D68" s="5">
        <f t="shared" ref="D68:AG68" si="18">D56</f>
        <v>3.5682777E+16</v>
      </c>
      <c r="E68" s="5">
        <f t="shared" si="18"/>
        <v>3.7814274E+16</v>
      </c>
      <c r="F68" s="5">
        <f t="shared" si="18"/>
        <v>3.7835823E+16</v>
      </c>
      <c r="G68" s="5">
        <f t="shared" si="18"/>
        <v>3.9777958E+16</v>
      </c>
      <c r="H68" s="5">
        <f t="shared" si="18"/>
        <v>4.0570412E+16</v>
      </c>
      <c r="I68" s="5">
        <f t="shared" si="18"/>
        <v>4.0294426E+16</v>
      </c>
      <c r="J68" s="5">
        <f t="shared" si="18"/>
        <v>3.9723049E+16</v>
      </c>
      <c r="K68" s="5">
        <f t="shared" si="18"/>
        <v>4.0499924E+16</v>
      </c>
      <c r="L68" s="5">
        <f t="shared" si="18"/>
        <v>4.0887131E+16</v>
      </c>
      <c r="M68" s="5">
        <f t="shared" si="18"/>
        <v>4.2027294E+16</v>
      </c>
      <c r="N68" s="5">
        <f t="shared" si="18"/>
        <v>4.3181034E+16</v>
      </c>
      <c r="O68" s="5">
        <f t="shared" si="18"/>
        <v>4.425951E+16</v>
      </c>
      <c r="P68" s="5">
        <f t="shared" si="18"/>
        <v>4.5101624E+16</v>
      </c>
      <c r="Q68" s="5">
        <f t="shared" si="18"/>
        <v>4.6168903E+16</v>
      </c>
      <c r="R68" s="5">
        <f t="shared" si="18"/>
        <v>4.666502E+16</v>
      </c>
      <c r="S68" s="5">
        <f t="shared" si="18"/>
        <v>4.7017208E+16</v>
      </c>
      <c r="T68" s="5">
        <f t="shared" si="18"/>
        <v>4.7328976E+16</v>
      </c>
      <c r="U68" s="5">
        <f t="shared" si="18"/>
        <v>4.7659122E+16</v>
      </c>
      <c r="V68" s="5">
        <f t="shared" si="18"/>
        <v>4.7983776E+16</v>
      </c>
      <c r="W68" s="5">
        <f t="shared" si="18"/>
        <v>4.8581455E+16</v>
      </c>
      <c r="X68" s="5">
        <f t="shared" si="18"/>
        <v>4.9290066E+16</v>
      </c>
      <c r="Y68" s="5">
        <f t="shared" si="18"/>
        <v>4.9974457E+16</v>
      </c>
      <c r="Z68" s="5">
        <f t="shared" si="18"/>
        <v>5.0566368E+16</v>
      </c>
      <c r="AA68" s="5">
        <f t="shared" si="18"/>
        <v>5.111755E+16</v>
      </c>
      <c r="AB68" s="5">
        <f t="shared" si="18"/>
        <v>5.1666023E+16</v>
      </c>
      <c r="AC68" s="5">
        <f t="shared" si="18"/>
        <v>5.2372948E+16</v>
      </c>
      <c r="AD68" s="5">
        <f t="shared" si="18"/>
        <v>5.2807499E+16</v>
      </c>
      <c r="AE68" s="5">
        <f t="shared" si="18"/>
        <v>5.311705E+16</v>
      </c>
      <c r="AF68" s="5">
        <f t="shared" si="18"/>
        <v>5.3229816E+16</v>
      </c>
      <c r="AG68" s="5">
        <f t="shared" si="18"/>
        <v>5.3342106E+16</v>
      </c>
      <c r="AH68" s="5"/>
      <c r="AI68" s="5"/>
    </row>
    <row r="69" spans="1:36" x14ac:dyDescent="0.25">
      <c r="A69" t="s">
        <v>1339</v>
      </c>
      <c r="B69" s="353" t="s">
        <v>1341</v>
      </c>
      <c r="C69" s="5"/>
      <c r="D69" s="5">
        <f t="shared" ref="D69:AG69" si="19">D57</f>
        <v>3.0179702000000004E+16</v>
      </c>
      <c r="E69" s="5">
        <f t="shared" si="19"/>
        <v>3.2355485E+16</v>
      </c>
      <c r="F69" s="5">
        <f t="shared" si="19"/>
        <v>3.3740817E+16</v>
      </c>
      <c r="G69" s="5">
        <f t="shared" si="19"/>
        <v>3.640884E+16</v>
      </c>
      <c r="H69" s="5">
        <f t="shared" si="19"/>
        <v>3.7715253E+16</v>
      </c>
      <c r="I69" s="5">
        <f t="shared" si="19"/>
        <v>3.7636315E+16</v>
      </c>
      <c r="J69" s="5">
        <f t="shared" si="19"/>
        <v>3.8450747E+16</v>
      </c>
      <c r="K69" s="5">
        <f t="shared" si="19"/>
        <v>3.8395631E+16</v>
      </c>
      <c r="L69" s="5">
        <f t="shared" si="19"/>
        <v>3.8263945E+16</v>
      </c>
      <c r="M69" s="5">
        <f t="shared" si="19"/>
        <v>3.8528259E+16</v>
      </c>
      <c r="N69" s="5">
        <f t="shared" si="19"/>
        <v>3.9019022E+16</v>
      </c>
      <c r="O69" s="5">
        <f t="shared" si="19"/>
        <v>3.9348788E+16</v>
      </c>
      <c r="P69" s="5">
        <f t="shared" si="19"/>
        <v>3.934505E+16</v>
      </c>
      <c r="Q69" s="5">
        <f t="shared" si="19"/>
        <v>3.9427683E+16</v>
      </c>
      <c r="R69" s="5">
        <f t="shared" si="19"/>
        <v>3.9367604E+16</v>
      </c>
      <c r="S69" s="5">
        <f t="shared" si="19"/>
        <v>3.9379238E+16</v>
      </c>
      <c r="T69" s="5">
        <f t="shared" si="19"/>
        <v>3.9547659E+16</v>
      </c>
      <c r="U69" s="5">
        <f t="shared" si="19"/>
        <v>3.9602912E+16</v>
      </c>
      <c r="V69" s="5">
        <f t="shared" si="19"/>
        <v>3.9773311E+16</v>
      </c>
      <c r="W69" s="5">
        <f t="shared" si="19"/>
        <v>4.0377613E+16</v>
      </c>
      <c r="X69" s="5">
        <f t="shared" si="19"/>
        <v>4.0927987E+16</v>
      </c>
      <c r="Y69" s="5">
        <f t="shared" si="19"/>
        <v>4.1171949999999992E+16</v>
      </c>
      <c r="Z69" s="5">
        <f t="shared" si="19"/>
        <v>4.1401308E+16</v>
      </c>
      <c r="AA69" s="5">
        <f t="shared" si="19"/>
        <v>4.1404515E+16</v>
      </c>
      <c r="AB69" s="5">
        <f t="shared" si="19"/>
        <v>4.119635E+16</v>
      </c>
      <c r="AC69" s="5">
        <f t="shared" si="19"/>
        <v>4.0916967E+16</v>
      </c>
      <c r="AD69" s="5">
        <f t="shared" si="19"/>
        <v>4.0793837E+16</v>
      </c>
      <c r="AE69" s="5">
        <f t="shared" si="19"/>
        <v>4.0685696E+16</v>
      </c>
      <c r="AF69" s="5">
        <f t="shared" si="19"/>
        <v>4.0453011E+16</v>
      </c>
      <c r="AG69" s="5">
        <f t="shared" si="19"/>
        <v>4.0024468E+16</v>
      </c>
      <c r="AH69" s="5"/>
      <c r="AI69" s="5"/>
    </row>
    <row r="70" spans="1:36" x14ac:dyDescent="0.25">
      <c r="A70" t="s">
        <v>1340</v>
      </c>
      <c r="C70" s="5"/>
      <c r="D70" s="5">
        <f t="shared" ref="D70:AG70" si="20">D67*(D68/SUM(D68:D69))/D68</f>
        <v>1.8219781857892108E-8</v>
      </c>
      <c r="E70" s="5">
        <f t="shared" si="20"/>
        <v>1.7101384087695103E-8</v>
      </c>
      <c r="F70" s="5">
        <f t="shared" si="20"/>
        <v>1.6765246314998861E-8</v>
      </c>
      <c r="G70" s="5">
        <f t="shared" si="20"/>
        <v>1.5750760387646166E-8</v>
      </c>
      <c r="H70" s="5">
        <f t="shared" si="20"/>
        <v>1.5328476803511858E-8</v>
      </c>
      <c r="I70" s="5">
        <f t="shared" si="20"/>
        <v>1.539828807735833E-8</v>
      </c>
      <c r="J70" s="5">
        <f t="shared" si="20"/>
        <v>1.535041230439929E-8</v>
      </c>
      <c r="K70" s="5">
        <f t="shared" si="20"/>
        <v>1.5209982362124203E-8</v>
      </c>
      <c r="L70" s="5">
        <f t="shared" si="20"/>
        <v>1.5160880440842017E-8</v>
      </c>
      <c r="M70" s="5">
        <f t="shared" si="20"/>
        <v>1.4896552196718208E-8</v>
      </c>
      <c r="N70" s="5">
        <f t="shared" si="20"/>
        <v>1.4598530200514706E-8</v>
      </c>
      <c r="O70" s="5">
        <f t="shared" si="20"/>
        <v>1.4352642365713507E-8</v>
      </c>
      <c r="P70" s="5">
        <f t="shared" si="20"/>
        <v>1.4210151130404497E-8</v>
      </c>
      <c r="Q70" s="5">
        <f t="shared" si="20"/>
        <v>1.4019250721050953E-8</v>
      </c>
      <c r="R70" s="5">
        <f t="shared" si="20"/>
        <v>1.3948197139726899E-8</v>
      </c>
      <c r="S70" s="5">
        <f t="shared" si="20"/>
        <v>1.3889460221546613E-8</v>
      </c>
      <c r="T70" s="5">
        <f t="shared" si="20"/>
        <v>1.3812689683480491E-8</v>
      </c>
      <c r="U70" s="5">
        <f t="shared" si="20"/>
        <v>1.3751684953848315E-8</v>
      </c>
      <c r="V70" s="5">
        <f t="shared" si="20"/>
        <v>1.3674109305838741E-8</v>
      </c>
      <c r="W70" s="5">
        <f t="shared" si="20"/>
        <v>1.348934995586959E-8</v>
      </c>
      <c r="X70" s="5">
        <f t="shared" si="20"/>
        <v>1.3301107262866778E-8</v>
      </c>
      <c r="Y70" s="5">
        <f t="shared" si="20"/>
        <v>1.3165631421982439E-8</v>
      </c>
      <c r="Z70" s="5">
        <f t="shared" si="20"/>
        <v>1.3048062669323079E-8</v>
      </c>
      <c r="AA70" s="5">
        <f t="shared" si="20"/>
        <v>1.2969879130994321E-8</v>
      </c>
      <c r="AB70" s="5">
        <f t="shared" si="20"/>
        <v>1.2922349076735309E-8</v>
      </c>
      <c r="AC70" s="5">
        <f t="shared" si="20"/>
        <v>1.2863126737761526E-8</v>
      </c>
      <c r="AD70" s="5">
        <f t="shared" si="20"/>
        <v>1.2820329829480212E-8</v>
      </c>
      <c r="AE70" s="5">
        <f t="shared" si="20"/>
        <v>1.2792802462307448E-8</v>
      </c>
      <c r="AF70" s="5">
        <f t="shared" si="20"/>
        <v>1.2809177929696765E-8</v>
      </c>
      <c r="AG70" s="5">
        <f t="shared" si="20"/>
        <v>1.2852565415969961E-8</v>
      </c>
      <c r="AH70" s="5"/>
      <c r="AI70" s="5"/>
    </row>
    <row r="72" spans="1:36" x14ac:dyDescent="0.25">
      <c r="A72" s="10" t="s">
        <v>1342</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421</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1343</v>
      </c>
      <c r="B74" t="s">
        <v>1323</v>
      </c>
      <c r="C74">
        <f>'Subsidies Paid'!J16*10^9</f>
        <v>1300000000</v>
      </c>
      <c r="D74">
        <f>'Subsidies Paid'!K16*10^9</f>
        <v>1300000000</v>
      </c>
      <c r="E74">
        <f t="shared" ref="E74:AH74" si="21">D74</f>
        <v>1300000000</v>
      </c>
      <c r="F74">
        <f t="shared" si="21"/>
        <v>1300000000</v>
      </c>
      <c r="G74">
        <f t="shared" si="21"/>
        <v>1300000000</v>
      </c>
      <c r="H74">
        <f t="shared" si="21"/>
        <v>1300000000</v>
      </c>
      <c r="I74">
        <f t="shared" si="21"/>
        <v>1300000000</v>
      </c>
      <c r="J74">
        <f t="shared" si="21"/>
        <v>1300000000</v>
      </c>
      <c r="K74">
        <f t="shared" si="21"/>
        <v>1300000000</v>
      </c>
      <c r="L74">
        <f t="shared" si="21"/>
        <v>1300000000</v>
      </c>
      <c r="M74">
        <f t="shared" si="21"/>
        <v>1300000000</v>
      </c>
      <c r="N74">
        <f t="shared" si="21"/>
        <v>1300000000</v>
      </c>
      <c r="O74">
        <f t="shared" si="21"/>
        <v>1300000000</v>
      </c>
      <c r="P74">
        <f t="shared" si="21"/>
        <v>1300000000</v>
      </c>
      <c r="Q74">
        <f t="shared" si="21"/>
        <v>1300000000</v>
      </c>
      <c r="R74">
        <f t="shared" si="21"/>
        <v>1300000000</v>
      </c>
      <c r="S74">
        <f t="shared" si="21"/>
        <v>1300000000</v>
      </c>
      <c r="T74">
        <f t="shared" si="21"/>
        <v>1300000000</v>
      </c>
      <c r="U74">
        <f t="shared" si="21"/>
        <v>1300000000</v>
      </c>
      <c r="V74">
        <f t="shared" si="21"/>
        <v>1300000000</v>
      </c>
      <c r="W74">
        <f t="shared" si="21"/>
        <v>1300000000</v>
      </c>
      <c r="X74">
        <f t="shared" si="21"/>
        <v>1300000000</v>
      </c>
      <c r="Y74">
        <f t="shared" si="21"/>
        <v>1300000000</v>
      </c>
      <c r="Z74">
        <f t="shared" si="21"/>
        <v>1300000000</v>
      </c>
      <c r="AA74">
        <f t="shared" si="21"/>
        <v>1300000000</v>
      </c>
      <c r="AB74">
        <f t="shared" si="21"/>
        <v>1300000000</v>
      </c>
      <c r="AC74">
        <f t="shared" si="21"/>
        <v>1300000000</v>
      </c>
      <c r="AD74">
        <f t="shared" si="21"/>
        <v>1300000000</v>
      </c>
      <c r="AE74">
        <f t="shared" si="21"/>
        <v>1300000000</v>
      </c>
      <c r="AF74">
        <f t="shared" si="21"/>
        <v>1300000000</v>
      </c>
      <c r="AG74">
        <f t="shared" si="21"/>
        <v>1300000000</v>
      </c>
      <c r="AH74">
        <f t="shared" si="21"/>
        <v>1300000000</v>
      </c>
    </row>
    <row r="75" spans="1:36" x14ac:dyDescent="0.25">
      <c r="A75" t="s">
        <v>1344</v>
      </c>
      <c r="B75" s="353" t="s">
        <v>1345</v>
      </c>
      <c r="C75" s="4"/>
      <c r="D75" s="4"/>
      <c r="E75" s="355">
        <f>INDEX('AEO 2022 Table 11'!16:16,MATCH(Calculations!E73,'AEO 2022 Table 11'!13:13,0))</f>
        <v>11.13137</v>
      </c>
      <c r="F75" s="355">
        <f>INDEX('AEO 2023 Table 11'!16:16,MATCH(Calculations!E43,'AEO 2023 Table 11'!13:13,0))</f>
        <v>11.828412999999999</v>
      </c>
      <c r="G75" s="355">
        <f>INDEX('AEO 2023 Table 11'!16:16,MATCH(Calculations!F43,'AEO 2023 Table 11'!13:13,0))</f>
        <v>12.317411</v>
      </c>
      <c r="H75" s="355">
        <f>INDEX('AEO 2023 Table 11'!16:16,MATCH(Calculations!G43,'AEO 2023 Table 11'!13:13,0))</f>
        <v>12.668136000000001</v>
      </c>
      <c r="I75" s="355">
        <f>INDEX('AEO 2026 Table 11'!7:7,MATCH(I73,'AEO 2026 Table 11'!5:5,0))</f>
        <v>13.616186000000001</v>
      </c>
      <c r="J75" s="355">
        <f>INDEX('AEO 2026 Table 11'!7:7,MATCH(J73,'AEO 2026 Table 11'!5:5,0))</f>
        <v>13.503263</v>
      </c>
      <c r="K75" s="355">
        <f>INDEX('AEO 2026 Table 11'!7:7,MATCH(K73,'AEO 2026 Table 11'!5:5,0))</f>
        <v>13.553995</v>
      </c>
      <c r="L75" s="355">
        <f>INDEX('AEO 2026 Table 11'!7:7,MATCH(L73,'AEO 2026 Table 11'!5:5,0))</f>
        <v>13.583399999999999</v>
      </c>
      <c r="M75" s="355">
        <f>INDEX('AEO 2026 Table 11'!7:7,MATCH(M73,'AEO 2026 Table 11'!5:5,0))</f>
        <v>13.504898000000001</v>
      </c>
      <c r="N75" s="355">
        <f>INDEX('AEO 2026 Table 11'!7:7,MATCH(N73,'AEO 2026 Table 11'!5:5,0))</f>
        <v>13.619934000000001</v>
      </c>
      <c r="O75" s="355">
        <f>INDEX('AEO 2026 Table 11'!7:7,MATCH(O73,'AEO 2026 Table 11'!5:5,0))</f>
        <v>13.620559</v>
      </c>
      <c r="P75" s="355">
        <f>INDEX('AEO 2026 Table 11'!7:7,MATCH(P73,'AEO 2026 Table 11'!5:5,0))</f>
        <v>13.555235</v>
      </c>
      <c r="Q75" s="355">
        <f>INDEX('AEO 2026 Table 11'!7:7,MATCH(Q73,'AEO 2026 Table 11'!5:5,0))</f>
        <v>13.332006</v>
      </c>
      <c r="R75" s="355">
        <f>INDEX('AEO 2026 Table 11'!7:7,MATCH(R73,'AEO 2026 Table 11'!5:5,0))</f>
        <v>13.214109000000001</v>
      </c>
      <c r="S75" s="355">
        <f>INDEX('AEO 2026 Table 11'!7:7,MATCH(S73,'AEO 2026 Table 11'!5:5,0))</f>
        <v>13.0672</v>
      </c>
      <c r="T75" s="355">
        <f>INDEX('AEO 2026 Table 11'!7:7,MATCH(T73,'AEO 2026 Table 11'!5:5,0))</f>
        <v>13.008153999999999</v>
      </c>
      <c r="U75" s="355">
        <f>INDEX('AEO 2026 Table 11'!7:7,MATCH(U73,'AEO 2026 Table 11'!5:5,0))</f>
        <v>12.986770999999999</v>
      </c>
      <c r="V75" s="355">
        <f>INDEX('AEO 2026 Table 11'!7:7,MATCH(V73,'AEO 2026 Table 11'!5:5,0))</f>
        <v>12.899342000000001</v>
      </c>
      <c r="W75" s="355">
        <f>INDEX('AEO 2026 Table 11'!7:7,MATCH(W73,'AEO 2026 Table 11'!5:5,0))</f>
        <v>12.887007000000001</v>
      </c>
      <c r="X75" s="355">
        <f>INDEX('AEO 2026 Table 11'!7:7,MATCH(X73,'AEO 2026 Table 11'!5:5,0))</f>
        <v>13.019912</v>
      </c>
      <c r="Y75" s="355">
        <f>INDEX('AEO 2026 Table 11'!7:7,MATCH(Y73,'AEO 2026 Table 11'!5:5,0))</f>
        <v>13.146523</v>
      </c>
      <c r="Z75" s="355">
        <f>INDEX('AEO 2026 Table 11'!7:7,MATCH(Z73,'AEO 2026 Table 11'!5:5,0))</f>
        <v>13.185846</v>
      </c>
      <c r="AA75" s="355">
        <f>INDEX('AEO 2026 Table 11'!7:7,MATCH(AA73,'AEO 2026 Table 11'!5:5,0))</f>
        <v>13.260833</v>
      </c>
      <c r="AB75" s="355">
        <f>INDEX('AEO 2026 Table 11'!7:7,MATCH(AB73,'AEO 2026 Table 11'!5:5,0))</f>
        <v>13.291046</v>
      </c>
      <c r="AC75" s="355">
        <f>INDEX('AEO 2026 Table 11'!7:7,MATCH(AC73,'AEO 2026 Table 11'!5:5,0))</f>
        <v>13.259383</v>
      </c>
      <c r="AD75" s="355">
        <f>INDEX('AEO 2026 Table 11'!7:7,MATCH(AD73,'AEO 2026 Table 11'!5:5,0))</f>
        <v>13.181393999999999</v>
      </c>
      <c r="AE75" s="355">
        <f>INDEX('AEO 2026 Table 11'!7:7,MATCH(AE73,'AEO 2026 Table 11'!5:5,0))</f>
        <v>13.106277</v>
      </c>
      <c r="AF75" s="355">
        <f>INDEX('AEO 2026 Table 11'!7:7,MATCH(AF73,'AEO 2026 Table 11'!5:5,0))</f>
        <v>13.008148</v>
      </c>
      <c r="AG75" s="355">
        <f>INDEX('AEO 2026 Table 11'!7:7,MATCH(AG73,'AEO 2026 Table 11'!5:5,0))</f>
        <v>12.870088000000001</v>
      </c>
      <c r="AH75" s="355">
        <f>INDEX('AEO 2025 Table 11'!7:7,MATCH(AH73,'AEO 2025 Table 11'!5:5,0))</f>
        <v>11.279612999999999</v>
      </c>
      <c r="AI75" s="4"/>
      <c r="AJ75" s="4"/>
    </row>
    <row r="76" spans="1:36" x14ac:dyDescent="0.25">
      <c r="A76" t="s">
        <v>1346</v>
      </c>
      <c r="B76" s="353" t="s">
        <v>1347</v>
      </c>
      <c r="C76">
        <f t="shared" ref="C76:AH76" si="22">5.751*10^6</f>
        <v>5751000</v>
      </c>
      <c r="D76">
        <f t="shared" si="22"/>
        <v>5751000</v>
      </c>
      <c r="E76">
        <f t="shared" si="22"/>
        <v>5751000</v>
      </c>
      <c r="F76">
        <f t="shared" si="22"/>
        <v>5751000</v>
      </c>
      <c r="G76">
        <f t="shared" si="22"/>
        <v>5751000</v>
      </c>
      <c r="H76">
        <f t="shared" si="22"/>
        <v>5751000</v>
      </c>
      <c r="I76">
        <f t="shared" si="22"/>
        <v>5751000</v>
      </c>
      <c r="J76">
        <f t="shared" si="22"/>
        <v>5751000</v>
      </c>
      <c r="K76">
        <f t="shared" si="22"/>
        <v>5751000</v>
      </c>
      <c r="L76">
        <f t="shared" si="22"/>
        <v>5751000</v>
      </c>
      <c r="M76">
        <f t="shared" si="22"/>
        <v>5751000</v>
      </c>
      <c r="N76">
        <f t="shared" si="22"/>
        <v>5751000</v>
      </c>
      <c r="O76">
        <f t="shared" si="22"/>
        <v>5751000</v>
      </c>
      <c r="P76">
        <f t="shared" si="22"/>
        <v>5751000</v>
      </c>
      <c r="Q76">
        <f t="shared" si="22"/>
        <v>5751000</v>
      </c>
      <c r="R76">
        <f t="shared" si="22"/>
        <v>5751000</v>
      </c>
      <c r="S76">
        <f t="shared" si="22"/>
        <v>5751000</v>
      </c>
      <c r="T76">
        <f t="shared" si="22"/>
        <v>5751000</v>
      </c>
      <c r="U76">
        <f t="shared" si="22"/>
        <v>5751000</v>
      </c>
      <c r="V76">
        <f t="shared" si="22"/>
        <v>5751000</v>
      </c>
      <c r="W76">
        <f t="shared" si="22"/>
        <v>5751000</v>
      </c>
      <c r="X76">
        <f t="shared" si="22"/>
        <v>5751000</v>
      </c>
      <c r="Y76">
        <f t="shared" si="22"/>
        <v>5751000</v>
      </c>
      <c r="Z76">
        <f t="shared" si="22"/>
        <v>5751000</v>
      </c>
      <c r="AA76">
        <f t="shared" si="22"/>
        <v>5751000</v>
      </c>
      <c r="AB76">
        <f t="shared" si="22"/>
        <v>5751000</v>
      </c>
      <c r="AC76">
        <f t="shared" si="22"/>
        <v>5751000</v>
      </c>
      <c r="AD76">
        <f t="shared" si="22"/>
        <v>5751000</v>
      </c>
      <c r="AE76">
        <f t="shared" si="22"/>
        <v>5751000</v>
      </c>
      <c r="AF76">
        <f t="shared" si="22"/>
        <v>5751000</v>
      </c>
      <c r="AG76">
        <f t="shared" si="22"/>
        <v>5751000</v>
      </c>
      <c r="AH76">
        <f t="shared" si="22"/>
        <v>5751000</v>
      </c>
    </row>
    <row r="77" spans="1:36" x14ac:dyDescent="0.25">
      <c r="A77" t="s">
        <v>1348</v>
      </c>
      <c r="B77" s="353" t="s">
        <v>1345</v>
      </c>
      <c r="C77" s="11"/>
      <c r="D77" s="11"/>
      <c r="E77" s="356">
        <f>(INDEX('AEO 2022 Table 11'!16:16,MATCH(Calculations!E73,'AEO 2022 Table 11'!13:13,0))-INDEX('AEO 2022 Table 11'!21:21,MATCH(Calculations!E73,'AEO 2022 Table 11'!13:13,0)))/INDEX('AEO 2022 Table 11'!23:23,MATCH(Calculations!E73,'AEO 2022 Table 11'!13:13,0))</f>
        <v>0.53645091974861669</v>
      </c>
      <c r="F77" s="356">
        <f>(INDEX('AEO 2023 Table 11'!16:16,MATCH(Calculations!E43,'AEO 2023 Table 11'!13:13,0))-INDEX('AEO 2023 Table 11'!21:21,MATCH(Calculations!E43,'AEO 2023 Table 11'!13:13,0)))/INDEX('AEO 2023 Table 11'!23:23,MATCH(Calculations!E43,'AEO 2023 Table 11'!13:13,0))</f>
        <v>0.54997072969670069</v>
      </c>
      <c r="G77" s="356">
        <f>(INDEX('AEO 2023 Table 11'!16:16,MATCH(Calculations!F43,'AEO 2023 Table 11'!13:13,0))-INDEX('AEO 2023 Table 11'!21:21,MATCH(Calculations!F43,'AEO 2023 Table 11'!13:13,0)))/INDEX('AEO 2023 Table 11'!23:23,MATCH(Calculations!F43,'AEO 2023 Table 11'!13:13,0))</f>
        <v>0.56102856350540731</v>
      </c>
      <c r="H77" s="356">
        <f>(INDEX('AEO 2023 Table 11'!16:16,MATCH(Calculations!G43,'AEO 2023 Table 11'!13:13,0))-INDEX('AEO 2023 Table 11'!21:21,MATCH(Calculations!G43,'AEO 2023 Table 11'!13:13,0)))/INDEX('AEO 2023 Table 11'!23:23,MATCH(Calculations!G43,'AEO 2023 Table 11'!13:13,0))</f>
        <v>0.5700150141357454</v>
      </c>
      <c r="I77" s="356">
        <f>(INDEX('AEO 2026 Table 11'!7:7,MATCH(I73,'AEO 2026 Table 11'!5:5,0))-INDEX('AEO 2026 Table 11'!12:12,MATCH(I73,'AEO 2026 Table 11'!5:5,0)))/INDEX('AEO 2026 Table 11'!14:14,MATCH(I73,'AEO 2026 Table 11'!5:5,0))</f>
        <v>0.60011533217746849</v>
      </c>
      <c r="J77" s="356">
        <f>(INDEX('AEO 2026 Table 11'!7:7,MATCH(J73,'AEO 2026 Table 11'!5:5,0))-INDEX('AEO 2026 Table 11'!12:12,MATCH(J73,'AEO 2026 Table 11'!5:5,0)))/INDEX('AEO 2026 Table 11'!14:14,MATCH(J73,'AEO 2026 Table 11'!5:5,0))</f>
        <v>0.61105450199684541</v>
      </c>
      <c r="K77" s="356">
        <f>(INDEX('AEO 2026 Table 11'!7:7,MATCH(K73,'AEO 2026 Table 11'!5:5,0))-INDEX('AEO 2026 Table 11'!12:12,MATCH(K73,'AEO 2026 Table 11'!5:5,0)))/INDEX('AEO 2026 Table 11'!14:14,MATCH(K73,'AEO 2026 Table 11'!5:5,0))</f>
        <v>0.59948684463010837</v>
      </c>
      <c r="L77" s="356">
        <f>(INDEX('AEO 2026 Table 11'!7:7,MATCH(L73,'AEO 2026 Table 11'!5:5,0))-INDEX('AEO 2026 Table 11'!12:12,MATCH(L73,'AEO 2026 Table 11'!5:5,0)))/INDEX('AEO 2026 Table 11'!14:14,MATCH(L73,'AEO 2026 Table 11'!5:5,0))</f>
        <v>0.60142383662462795</v>
      </c>
      <c r="M77" s="356">
        <f>(INDEX('AEO 2026 Table 11'!7:7,MATCH(M73,'AEO 2026 Table 11'!5:5,0))-INDEX('AEO 2026 Table 11'!12:12,MATCH(M73,'AEO 2026 Table 11'!5:5,0)))/INDEX('AEO 2026 Table 11'!14:14,MATCH(M73,'AEO 2026 Table 11'!5:5,0))</f>
        <v>0.59223090196225325</v>
      </c>
      <c r="N77" s="356">
        <f>(INDEX('AEO 2026 Table 11'!7:7,MATCH(N73,'AEO 2026 Table 11'!5:5,0))-INDEX('AEO 2026 Table 11'!12:12,MATCH(N73,'AEO 2026 Table 11'!5:5,0)))/INDEX('AEO 2026 Table 11'!14:14,MATCH(N73,'AEO 2026 Table 11'!5:5,0))</f>
        <v>0.59243101626978678</v>
      </c>
      <c r="O77" s="356">
        <f>(INDEX('AEO 2026 Table 11'!7:7,MATCH(O73,'AEO 2026 Table 11'!5:5,0))-INDEX('AEO 2026 Table 11'!12:12,MATCH(O73,'AEO 2026 Table 11'!5:5,0)))/INDEX('AEO 2026 Table 11'!14:14,MATCH(O73,'AEO 2026 Table 11'!5:5,0))</f>
        <v>0.59547180272889089</v>
      </c>
      <c r="P77" s="356">
        <f>(INDEX('AEO 2026 Table 11'!7:7,MATCH(P73,'AEO 2026 Table 11'!5:5,0))-INDEX('AEO 2026 Table 11'!12:12,MATCH(P73,'AEO 2026 Table 11'!5:5,0)))/INDEX('AEO 2026 Table 11'!14:14,MATCH(P73,'AEO 2026 Table 11'!5:5,0))</f>
        <v>0.59232286634778719</v>
      </c>
      <c r="Q77" s="356">
        <f>(INDEX('AEO 2026 Table 11'!7:7,MATCH(Q73,'AEO 2026 Table 11'!5:5,0))-INDEX('AEO 2026 Table 11'!12:12,MATCH(Q73,'AEO 2026 Table 11'!5:5,0)))/INDEX('AEO 2026 Table 11'!14:14,MATCH(Q73,'AEO 2026 Table 11'!5:5,0))</f>
        <v>0.5848717462177262</v>
      </c>
      <c r="R77" s="356">
        <f>(INDEX('AEO 2026 Table 11'!7:7,MATCH(R73,'AEO 2026 Table 11'!5:5,0))-INDEX('AEO 2026 Table 11'!12:12,MATCH(R73,'AEO 2026 Table 11'!5:5,0)))/INDEX('AEO 2026 Table 11'!14:14,MATCH(R73,'AEO 2026 Table 11'!5:5,0))</f>
        <v>0.57381903846314053</v>
      </c>
      <c r="S77" s="356">
        <f>(INDEX('AEO 2026 Table 11'!7:7,MATCH(S73,'AEO 2026 Table 11'!5:5,0))-INDEX('AEO 2026 Table 11'!12:12,MATCH(S73,'AEO 2026 Table 11'!5:5,0)))/INDEX('AEO 2026 Table 11'!14:14,MATCH(S73,'AEO 2026 Table 11'!5:5,0))</f>
        <v>0.56900680678243232</v>
      </c>
      <c r="T77" s="356">
        <f>(INDEX('AEO 2026 Table 11'!7:7,MATCH(T73,'AEO 2026 Table 11'!5:5,0))-INDEX('AEO 2026 Table 11'!12:12,MATCH(T73,'AEO 2026 Table 11'!5:5,0)))/INDEX('AEO 2026 Table 11'!14:14,MATCH(T73,'AEO 2026 Table 11'!5:5,0))</f>
        <v>0.57449773524814773</v>
      </c>
      <c r="U77" s="356">
        <f>(INDEX('AEO 2026 Table 11'!7:7,MATCH(U73,'AEO 2026 Table 11'!5:5,0))-INDEX('AEO 2026 Table 11'!12:12,MATCH(U73,'AEO 2026 Table 11'!5:5,0)))/INDEX('AEO 2026 Table 11'!14:14,MATCH(U73,'AEO 2026 Table 11'!5:5,0))</f>
        <v>0.57455453264595369</v>
      </c>
      <c r="V77" s="356">
        <f>(INDEX('AEO 2026 Table 11'!7:7,MATCH(V73,'AEO 2026 Table 11'!5:5,0))-INDEX('AEO 2026 Table 11'!12:12,MATCH(V73,'AEO 2026 Table 11'!5:5,0)))/INDEX('AEO 2026 Table 11'!14:14,MATCH(V73,'AEO 2026 Table 11'!5:5,0))</f>
        <v>0.56493371835757467</v>
      </c>
      <c r="W77" s="356">
        <f>(INDEX('AEO 2026 Table 11'!7:7,MATCH(W73,'AEO 2026 Table 11'!5:5,0))-INDEX('AEO 2026 Table 11'!12:12,MATCH(W73,'AEO 2026 Table 11'!5:5,0)))/INDEX('AEO 2026 Table 11'!14:14,MATCH(W73,'AEO 2026 Table 11'!5:5,0))</f>
        <v>0.56396381038870824</v>
      </c>
      <c r="X77" s="356">
        <f>(INDEX('AEO 2026 Table 11'!7:7,MATCH(X73,'AEO 2026 Table 11'!5:5,0))-INDEX('AEO 2026 Table 11'!12:12,MATCH(X73,'AEO 2026 Table 11'!5:5,0)))/INDEX('AEO 2026 Table 11'!14:14,MATCH(X73,'AEO 2026 Table 11'!5:5,0))</f>
        <v>0.57525318355302912</v>
      </c>
      <c r="Y77" s="356">
        <f>(INDEX('AEO 2026 Table 11'!7:7,MATCH(Y73,'AEO 2026 Table 11'!5:5,0))-INDEX('AEO 2026 Table 11'!12:12,MATCH(Y73,'AEO 2026 Table 11'!5:5,0)))/INDEX('AEO 2026 Table 11'!14:14,MATCH(Y73,'AEO 2026 Table 11'!5:5,0))</f>
        <v>0.58648684903379511</v>
      </c>
      <c r="Z77" s="356">
        <f>(INDEX('AEO 2026 Table 11'!7:7,MATCH(Z73,'AEO 2026 Table 11'!5:5,0))-INDEX('AEO 2026 Table 11'!12:12,MATCH(Z73,'AEO 2026 Table 11'!5:5,0)))/INDEX('AEO 2026 Table 11'!14:14,MATCH(Z73,'AEO 2026 Table 11'!5:5,0))</f>
        <v>0.59257858874172153</v>
      </c>
      <c r="AA77" s="356">
        <f>(INDEX('AEO 2026 Table 11'!7:7,MATCH(AA73,'AEO 2026 Table 11'!5:5,0))-INDEX('AEO 2026 Table 11'!12:12,MATCH(AA73,'AEO 2026 Table 11'!5:5,0)))/INDEX('AEO 2026 Table 11'!14:14,MATCH(AA73,'AEO 2026 Table 11'!5:5,0))</f>
        <v>0.59629133100616238</v>
      </c>
      <c r="AB77" s="356">
        <f>(INDEX('AEO 2026 Table 11'!7:7,MATCH(AB73,'AEO 2026 Table 11'!5:5,0))-INDEX('AEO 2026 Table 11'!12:12,MATCH(AB73,'AEO 2026 Table 11'!5:5,0)))/INDEX('AEO 2026 Table 11'!14:14,MATCH(AB73,'AEO 2026 Table 11'!5:5,0))</f>
        <v>0.59827202208885133</v>
      </c>
      <c r="AC77" s="356">
        <f>(INDEX('AEO 2026 Table 11'!7:7,MATCH(AC73,'AEO 2026 Table 11'!5:5,0))-INDEX('AEO 2026 Table 11'!12:12,MATCH(AC73,'AEO 2026 Table 11'!5:5,0)))/INDEX('AEO 2026 Table 11'!14:14,MATCH(AC73,'AEO 2026 Table 11'!5:5,0))</f>
        <v>0.58371622748739016</v>
      </c>
      <c r="AD77" s="356">
        <f>(INDEX('AEO 2026 Table 11'!7:7,MATCH(AD73,'AEO 2026 Table 11'!5:5,0))-INDEX('AEO 2026 Table 11'!12:12,MATCH(AD73,'AEO 2026 Table 11'!5:5,0)))/INDEX('AEO 2026 Table 11'!14:14,MATCH(AD73,'AEO 2026 Table 11'!5:5,0))</f>
        <v>0.56479821483354864</v>
      </c>
      <c r="AE77" s="356">
        <f>(INDEX('AEO 2026 Table 11'!7:7,MATCH(AE73,'AEO 2026 Table 11'!5:5,0))-INDEX('AEO 2026 Table 11'!12:12,MATCH(AE73,'AEO 2026 Table 11'!5:5,0)))/INDEX('AEO 2026 Table 11'!14:14,MATCH(AE73,'AEO 2026 Table 11'!5:5,0))</f>
        <v>0.55692609756713041</v>
      </c>
      <c r="AF77" s="356">
        <f>(INDEX('AEO 2026 Table 11'!7:7,MATCH(AF73,'AEO 2026 Table 11'!5:5,0))-INDEX('AEO 2026 Table 11'!12:12,MATCH(AF73,'AEO 2026 Table 11'!5:5,0)))/INDEX('AEO 2026 Table 11'!14:14,MATCH(AF73,'AEO 2026 Table 11'!5:5,0))</f>
        <v>0.55869791886277531</v>
      </c>
      <c r="AG77" s="356">
        <f>(INDEX('AEO 2026 Table 11'!7:7,MATCH(AG73,'AEO 2026 Table 11'!5:5,0))-INDEX('AEO 2026 Table 11'!12:12,MATCH(AG73,'AEO 2026 Table 11'!5:5,0)))/INDEX('AEO 2026 Table 11'!14:14,MATCH(AG73,'AEO 2026 Table 11'!5:5,0))</f>
        <v>0.56142100967800646</v>
      </c>
      <c r="AH77" s="356">
        <f>(INDEX('AEO 2025 Table 11'!7:7,MATCH(AH73,'AEO 2025 Table 11'!5:5,0))-INDEX('AEO 2025 Table 11'!12:12,MATCH(AH73,'AEO 2025 Table 11'!5:5,0)))/INDEX('AEO 2025 Table 11'!14:14,MATCH(AH73,'AEO 2025 Table 11'!5:5,0))</f>
        <v>0.47967019801089783</v>
      </c>
      <c r="AI77" s="11"/>
      <c r="AJ77" s="11"/>
    </row>
    <row r="78" spans="1:36" x14ac:dyDescent="0.25">
      <c r="A78" t="s">
        <v>1349</v>
      </c>
      <c r="E78">
        <f t="shared" ref="E78:AH78" si="23">E74/(E75*E76*10^6*365)*E77</f>
        <v>2.9846162265946587E-8</v>
      </c>
      <c r="F78">
        <f t="shared" si="23"/>
        <v>2.8795207777624858E-8</v>
      </c>
      <c r="G78">
        <f t="shared" si="23"/>
        <v>2.8208023726556365E-8</v>
      </c>
      <c r="H78">
        <f t="shared" si="23"/>
        <v>2.7866389184402128E-8</v>
      </c>
      <c r="I78">
        <f t="shared" si="23"/>
        <v>2.7295205444902705E-8</v>
      </c>
      <c r="J78">
        <f t="shared" si="23"/>
        <v>2.8025175569675576E-8</v>
      </c>
      <c r="K78">
        <f t="shared" si="23"/>
        <v>2.73917296335522E-8</v>
      </c>
      <c r="L78">
        <f t="shared" si="23"/>
        <v>2.7420746081304783E-8</v>
      </c>
      <c r="M78">
        <f t="shared" si="23"/>
        <v>2.7158568595041469E-8</v>
      </c>
      <c r="N78">
        <f t="shared" si="23"/>
        <v>2.6938282609618873E-8</v>
      </c>
      <c r="O78">
        <f t="shared" si="23"/>
        <v>2.7075307001861323E-8</v>
      </c>
      <c r="P78">
        <f t="shared" si="23"/>
        <v>2.7061917630946628E-8</v>
      </c>
      <c r="Q78">
        <f t="shared" si="23"/>
        <v>2.7168912927443984E-8</v>
      </c>
      <c r="R78">
        <f t="shared" si="23"/>
        <v>2.6893305711981272E-8</v>
      </c>
      <c r="S78">
        <f t="shared" si="23"/>
        <v>2.6967584219950984E-8</v>
      </c>
      <c r="T78">
        <f t="shared" si="23"/>
        <v>2.7351413260734725E-8</v>
      </c>
      <c r="U78">
        <f t="shared" si="23"/>
        <v>2.7399156490166716E-8</v>
      </c>
      <c r="V78">
        <f t="shared" si="23"/>
        <v>2.7122958502404428E-8</v>
      </c>
      <c r="W78">
        <f t="shared" si="23"/>
        <v>2.7102308970190379E-8</v>
      </c>
      <c r="X78">
        <f t="shared" si="23"/>
        <v>2.736264664887633E-8</v>
      </c>
      <c r="Y78">
        <f t="shared" si="23"/>
        <v>2.7628320982488342E-8</v>
      </c>
      <c r="Z78">
        <f t="shared" si="23"/>
        <v>2.7832042336860716E-8</v>
      </c>
      <c r="AA78">
        <f t="shared" si="23"/>
        <v>2.7848051278754333E-8</v>
      </c>
      <c r="AB78">
        <f t="shared" si="23"/>
        <v>2.7877039657448731E-8</v>
      </c>
      <c r="AC78">
        <f t="shared" si="23"/>
        <v>2.7263748807884048E-8</v>
      </c>
      <c r="AD78">
        <f t="shared" si="23"/>
        <v>2.6536222138170534E-8</v>
      </c>
      <c r="AE78">
        <f t="shared" si="23"/>
        <v>2.6316331422418803E-8</v>
      </c>
      <c r="AF78">
        <f t="shared" si="23"/>
        <v>2.6599207929968883E-8</v>
      </c>
      <c r="AG78">
        <f t="shared" si="23"/>
        <v>2.7015578062304603E-8</v>
      </c>
      <c r="AH78">
        <f t="shared" si="23"/>
        <v>2.6336354378072695E-8</v>
      </c>
    </row>
    <row r="80" spans="1:36" x14ac:dyDescent="0.25">
      <c r="A80" s="15" t="s">
        <v>425</v>
      </c>
    </row>
    <row r="81" spans="1:36" x14ac:dyDescent="0.25">
      <c r="A81" t="s">
        <v>1350</v>
      </c>
      <c r="B81" t="s">
        <v>1323</v>
      </c>
      <c r="C81">
        <f>'Subsidies Paid'!J17*10^9</f>
        <v>1620000000</v>
      </c>
      <c r="D81">
        <f>'Subsidies Paid'!K17*10^9</f>
        <v>1620000000</v>
      </c>
      <c r="E81">
        <f t="shared" ref="E81:AH81" si="24">D81</f>
        <v>1620000000</v>
      </c>
      <c r="F81">
        <f t="shared" si="24"/>
        <v>1620000000</v>
      </c>
      <c r="G81">
        <f t="shared" si="24"/>
        <v>1620000000</v>
      </c>
      <c r="H81">
        <f t="shared" si="24"/>
        <v>1620000000</v>
      </c>
      <c r="I81">
        <f t="shared" si="24"/>
        <v>1620000000</v>
      </c>
      <c r="J81">
        <f t="shared" si="24"/>
        <v>1620000000</v>
      </c>
      <c r="K81">
        <f t="shared" si="24"/>
        <v>1620000000</v>
      </c>
      <c r="L81">
        <f t="shared" si="24"/>
        <v>1620000000</v>
      </c>
      <c r="M81">
        <f t="shared" si="24"/>
        <v>1620000000</v>
      </c>
      <c r="N81">
        <f t="shared" si="24"/>
        <v>1620000000</v>
      </c>
      <c r="O81">
        <f t="shared" si="24"/>
        <v>1620000000</v>
      </c>
      <c r="P81">
        <f t="shared" si="24"/>
        <v>1620000000</v>
      </c>
      <c r="Q81">
        <f t="shared" si="24"/>
        <v>1620000000</v>
      </c>
      <c r="R81">
        <f t="shared" si="24"/>
        <v>1620000000</v>
      </c>
      <c r="S81">
        <f t="shared" si="24"/>
        <v>1620000000</v>
      </c>
      <c r="T81">
        <f t="shared" si="24"/>
        <v>1620000000</v>
      </c>
      <c r="U81">
        <f t="shared" si="24"/>
        <v>1620000000</v>
      </c>
      <c r="V81">
        <f t="shared" si="24"/>
        <v>1620000000</v>
      </c>
      <c r="W81">
        <f t="shared" si="24"/>
        <v>1620000000</v>
      </c>
      <c r="X81">
        <f t="shared" si="24"/>
        <v>1620000000</v>
      </c>
      <c r="Y81">
        <f t="shared" si="24"/>
        <v>1620000000</v>
      </c>
      <c r="Z81">
        <f t="shared" si="24"/>
        <v>1620000000</v>
      </c>
      <c r="AA81">
        <f t="shared" si="24"/>
        <v>1620000000</v>
      </c>
      <c r="AB81">
        <f t="shared" si="24"/>
        <v>1620000000</v>
      </c>
      <c r="AC81">
        <f t="shared" si="24"/>
        <v>1620000000</v>
      </c>
      <c r="AD81">
        <f t="shared" si="24"/>
        <v>1620000000</v>
      </c>
      <c r="AE81">
        <f t="shared" si="24"/>
        <v>1620000000</v>
      </c>
      <c r="AF81">
        <f t="shared" si="24"/>
        <v>1620000000</v>
      </c>
      <c r="AG81">
        <f t="shared" si="24"/>
        <v>1620000000</v>
      </c>
      <c r="AH81">
        <f t="shared" si="24"/>
        <v>1620000000</v>
      </c>
    </row>
    <row r="82" spans="1:36" x14ac:dyDescent="0.25">
      <c r="A82" t="s">
        <v>1351</v>
      </c>
      <c r="B82" s="353" t="s">
        <v>1341</v>
      </c>
      <c r="C82" s="11"/>
      <c r="D82" s="11"/>
      <c r="E82" s="356">
        <f>INDEX('AEO 2022 Table 1'!16:16,MATCH(Calculations!E73,'AEO 2022 Table 1'!13:13,0))/SUM(INDEX('AEO 2022 Table 1'!16:18,0,MATCH(Calculations!D43,'AEO 2022 Table 1'!13:13,0)))</f>
        <v>0.35184656502224881</v>
      </c>
      <c r="F82" s="356">
        <f>INDEX('AEO 2023 Table 1'!16:16,MATCH(Calculations!E43,'AEO 2023 Table 1'!13:13,0))/SUM(INDEX('AEO 2023 Table 1'!16:18,0,MATCH(Calculations!E43,'AEO 2023 Table 1'!13:13,0)))</f>
        <v>0.35039299479423891</v>
      </c>
      <c r="G82" s="356">
        <f>INDEX('AEO 2023 Table 1'!16:16,MATCH(Calculations!F43,'AEO 2023 Table 1'!13:13,0))/SUM(INDEX('AEO 2023 Table 1'!16:18,0,MATCH(Calculations!F43,'AEO 2023 Table 1'!13:13,0)))</f>
        <v>0.3572556772712438</v>
      </c>
      <c r="H82" s="356">
        <f>INDEX('AEO 2023 Table 1'!16:16,MATCH(Calculations!G43,'AEO 2023 Table 1'!13:13,0))/SUM(INDEX('AEO 2023 Table 1'!16:18,0,MATCH(Calculations!G43,'AEO 2023 Table 1'!13:13,0)))</f>
        <v>0.36762213497827889</v>
      </c>
      <c r="I82" s="356">
        <f>INDEX('AEO 2026 Table 1'!7:7,MATCH(I73,'AEO 2026 Table 1'!5:5,0))/SUM(INDEX('AEO 2026 Table 1'!7:9,0,MATCH(I73,'AEO 2026 Table 1'!5:5,0)))</f>
        <v>0.35889354711363824</v>
      </c>
      <c r="J82" s="356">
        <f>INDEX('AEO 2026 Table 1'!7:7,MATCH(J73,'AEO 2026 Table 1'!5:5,0))/SUM(INDEX('AEO 2026 Table 1'!7:9,0,MATCH(J73,'AEO 2026 Table 1'!5:5,0)))</f>
        <v>0.35723399576041498</v>
      </c>
      <c r="K82" s="356">
        <f>INDEX('AEO 2026 Table 1'!7:7,MATCH(K73,'AEO 2026 Table 1'!5:5,0))/SUM(INDEX('AEO 2026 Table 1'!7:9,0,MATCH(K73,'AEO 2026 Table 1'!5:5,0)))</f>
        <v>0.35733777083052221</v>
      </c>
      <c r="L82" s="356">
        <f>INDEX('AEO 2026 Table 1'!7:7,MATCH(L73,'AEO 2026 Table 1'!5:5,0))/SUM(INDEX('AEO 2026 Table 1'!7:9,0,MATCH(L73,'AEO 2026 Table 1'!5:5,0)))</f>
        <v>0.35473756411245222</v>
      </c>
      <c r="M82" s="356">
        <f>INDEX('AEO 2026 Table 1'!7:7,MATCH(M73,'AEO 2026 Table 1'!5:5,0))/SUM(INDEX('AEO 2026 Table 1'!7:9,0,MATCH(M73,'AEO 2026 Table 1'!5:5,0)))</f>
        <v>0.35141532377904761</v>
      </c>
      <c r="N82" s="356">
        <f>INDEX('AEO 2026 Table 1'!7:7,MATCH(N73,'AEO 2026 Table 1'!5:5,0))/SUM(INDEX('AEO 2026 Table 1'!7:9,0,MATCH(N73,'AEO 2026 Table 1'!5:5,0)))</f>
        <v>0.34809606483615102</v>
      </c>
      <c r="O82" s="356">
        <f>INDEX('AEO 2026 Table 1'!7:7,MATCH(O73,'AEO 2026 Table 1'!5:5,0))/SUM(INDEX('AEO 2026 Table 1'!7:9,0,MATCH(O73,'AEO 2026 Table 1'!5:5,0)))</f>
        <v>0.34099147085739218</v>
      </c>
      <c r="P82" s="356">
        <f>INDEX('AEO 2026 Table 1'!7:7,MATCH(P73,'AEO 2026 Table 1'!5:5,0))/SUM(INDEX('AEO 2026 Table 1'!7:9,0,MATCH(P73,'AEO 2026 Table 1'!5:5,0)))</f>
        <v>0.33349290282167932</v>
      </c>
      <c r="Q82" s="356">
        <f>INDEX('AEO 2026 Table 1'!7:7,MATCH(Q73,'AEO 2026 Table 1'!5:5,0))/SUM(INDEX('AEO 2026 Table 1'!7:9,0,MATCH(Q73,'AEO 2026 Table 1'!5:5,0)))</f>
        <v>0.32464236542933589</v>
      </c>
      <c r="R82" s="356">
        <f>INDEX('AEO 2026 Table 1'!7:7,MATCH(R73,'AEO 2026 Table 1'!5:5,0))/SUM(INDEX('AEO 2026 Table 1'!7:9,0,MATCH(R73,'AEO 2026 Table 1'!5:5,0)))</f>
        <v>0.31733042483727092</v>
      </c>
      <c r="S82" s="356">
        <f>INDEX('AEO 2026 Table 1'!7:7,MATCH(S73,'AEO 2026 Table 1'!5:5,0))/SUM(INDEX('AEO 2026 Table 1'!7:9,0,MATCH(S73,'AEO 2026 Table 1'!5:5,0)))</f>
        <v>0.31210397581271032</v>
      </c>
      <c r="T82" s="356">
        <f>INDEX('AEO 2026 Table 1'!7:7,MATCH(T73,'AEO 2026 Table 1'!5:5,0))/SUM(INDEX('AEO 2026 Table 1'!7:9,0,MATCH(T73,'AEO 2026 Table 1'!5:5,0)))</f>
        <v>0.30929478279696831</v>
      </c>
      <c r="U82" s="356">
        <f>INDEX('AEO 2026 Table 1'!7:7,MATCH(U73,'AEO 2026 Table 1'!5:5,0))/SUM(INDEX('AEO 2026 Table 1'!7:9,0,MATCH(U73,'AEO 2026 Table 1'!5:5,0)))</f>
        <v>0.30697918951395853</v>
      </c>
      <c r="V82" s="356">
        <f>INDEX('AEO 2026 Table 1'!7:7,MATCH(V73,'AEO 2026 Table 1'!5:5,0))/SUM(INDEX('AEO 2026 Table 1'!7:9,0,MATCH(V73,'AEO 2026 Table 1'!5:5,0)))</f>
        <v>0.30343992440057033</v>
      </c>
      <c r="W82" s="356">
        <f>INDEX('AEO 2026 Table 1'!7:7,MATCH(W73,'AEO 2026 Table 1'!5:5,0))/SUM(INDEX('AEO 2026 Table 1'!7:9,0,MATCH(W73,'AEO 2026 Table 1'!5:5,0)))</f>
        <v>0.30133513889311297</v>
      </c>
      <c r="X82" s="356">
        <f>INDEX('AEO 2026 Table 1'!7:7,MATCH(X73,'AEO 2026 Table 1'!5:5,0))/SUM(INDEX('AEO 2026 Table 1'!7:9,0,MATCH(X73,'AEO 2026 Table 1'!5:5,0)))</f>
        <v>0.30028034916013285</v>
      </c>
      <c r="Y82" s="356">
        <f>INDEX('AEO 2026 Table 1'!7:7,MATCH(Y73,'AEO 2026 Table 1'!5:5,0))/SUM(INDEX('AEO 2026 Table 1'!7:9,0,MATCH(Y73,'AEO 2026 Table 1'!5:5,0)))</f>
        <v>0.29893229905992319</v>
      </c>
      <c r="Z82" s="356">
        <f>INDEX('AEO 2026 Table 1'!7:7,MATCH(Z73,'AEO 2026 Table 1'!5:5,0))/SUM(INDEX('AEO 2026 Table 1'!7:9,0,MATCH(Z73,'AEO 2026 Table 1'!5:5,0)))</f>
        <v>0.29675967369728573</v>
      </c>
      <c r="AA82" s="356">
        <f>INDEX('AEO 2026 Table 1'!7:7,MATCH(AA73,'AEO 2026 Table 1'!5:5,0))/SUM(INDEX('AEO 2026 Table 1'!7:9,0,MATCH(AA73,'AEO 2026 Table 1'!5:5,0)))</f>
        <v>0.29578693496615049</v>
      </c>
      <c r="AB82" s="356">
        <f>INDEX('AEO 2026 Table 1'!7:7,MATCH(AB73,'AEO 2026 Table 1'!5:5,0))/SUM(INDEX('AEO 2026 Table 1'!7:9,0,MATCH(AB73,'AEO 2026 Table 1'!5:5,0)))</f>
        <v>0.29468319800255216</v>
      </c>
      <c r="AC82" s="356">
        <f>INDEX('AEO 2026 Table 1'!7:7,MATCH(AC73,'AEO 2026 Table 1'!5:5,0))/SUM(INDEX('AEO 2026 Table 1'!7:9,0,MATCH(AC73,'AEO 2026 Table 1'!5:5,0)))</f>
        <v>0.29291854301418724</v>
      </c>
      <c r="AD82" s="356">
        <f>INDEX('AEO 2026 Table 1'!7:7,MATCH(AD73,'AEO 2026 Table 1'!5:5,0))/SUM(INDEX('AEO 2026 Table 1'!7:9,0,MATCH(AD73,'AEO 2026 Table 1'!5:5,0)))</f>
        <v>0.28986722734177645</v>
      </c>
      <c r="AE82" s="356">
        <f>INDEX('AEO 2026 Table 1'!7:7,MATCH(AE73,'AEO 2026 Table 1'!5:5,0))/SUM(INDEX('AEO 2026 Table 1'!7:9,0,MATCH(AE73,'AEO 2026 Table 1'!5:5,0)))</f>
        <v>0.28722455414525278</v>
      </c>
      <c r="AF82" s="356">
        <f>INDEX('AEO 2026 Table 1'!7:7,MATCH(AF73,'AEO 2026 Table 1'!5:5,0))/SUM(INDEX('AEO 2026 Table 1'!7:9,0,MATCH(AF73,'AEO 2026 Table 1'!5:5,0)))</f>
        <v>0.28444528692155774</v>
      </c>
      <c r="AG82" s="356">
        <f>INDEX('AEO 2026 Table 1'!7:7,MATCH(AG73,'AEO 2026 Table 1'!5:5,0))/SUM(INDEX('AEO 2026 Table 1'!7:9,0,MATCH(AG73,'AEO 2026 Table 1'!5:5,0)))</f>
        <v>0.28174115625268226</v>
      </c>
      <c r="AH82" s="356">
        <f>INDEX('AEO 2025 Table 1'!7:7,MATCH(AH73,'AEO 2025 Table 1'!5:5,0))/SUM(INDEX('AEO 2025 Table 1'!7:9,0,MATCH(AH73,'AEO 2025 Table 1'!5:5,0)))</f>
        <v>0.28723319216907817</v>
      </c>
      <c r="AI82" s="11"/>
      <c r="AJ82" s="11"/>
    </row>
    <row r="83" spans="1:36" x14ac:dyDescent="0.25">
      <c r="A83" t="s">
        <v>1344</v>
      </c>
      <c r="B83" s="353" t="s">
        <v>1345</v>
      </c>
      <c r="C83" s="4"/>
      <c r="D83" s="4"/>
      <c r="E83" s="4">
        <f t="shared" ref="E83:AH83" si="25">E75</f>
        <v>11.13137</v>
      </c>
      <c r="F83" s="4">
        <f t="shared" si="25"/>
        <v>11.828412999999999</v>
      </c>
      <c r="G83" s="4">
        <f t="shared" si="25"/>
        <v>12.317411</v>
      </c>
      <c r="H83" s="4">
        <f t="shared" si="25"/>
        <v>12.668136000000001</v>
      </c>
      <c r="I83" s="4">
        <f t="shared" si="25"/>
        <v>13.616186000000001</v>
      </c>
      <c r="J83" s="4">
        <f t="shared" si="25"/>
        <v>13.503263</v>
      </c>
      <c r="K83" s="4">
        <f t="shared" si="25"/>
        <v>13.553995</v>
      </c>
      <c r="L83" s="4">
        <f t="shared" si="25"/>
        <v>13.583399999999999</v>
      </c>
      <c r="M83" s="4">
        <f t="shared" si="25"/>
        <v>13.504898000000001</v>
      </c>
      <c r="N83" s="4">
        <f t="shared" si="25"/>
        <v>13.619934000000001</v>
      </c>
      <c r="O83" s="4">
        <f t="shared" si="25"/>
        <v>13.620559</v>
      </c>
      <c r="P83" s="4">
        <f t="shared" si="25"/>
        <v>13.555235</v>
      </c>
      <c r="Q83" s="4">
        <f t="shared" si="25"/>
        <v>13.332006</v>
      </c>
      <c r="R83" s="4">
        <f t="shared" si="25"/>
        <v>13.214109000000001</v>
      </c>
      <c r="S83" s="4">
        <f t="shared" si="25"/>
        <v>13.0672</v>
      </c>
      <c r="T83" s="4">
        <f t="shared" si="25"/>
        <v>13.008153999999999</v>
      </c>
      <c r="U83" s="4">
        <f t="shared" si="25"/>
        <v>12.986770999999999</v>
      </c>
      <c r="V83" s="4">
        <f t="shared" si="25"/>
        <v>12.899342000000001</v>
      </c>
      <c r="W83" s="4">
        <f t="shared" si="25"/>
        <v>12.887007000000001</v>
      </c>
      <c r="X83" s="4">
        <f t="shared" si="25"/>
        <v>13.019912</v>
      </c>
      <c r="Y83" s="4">
        <f t="shared" si="25"/>
        <v>13.146523</v>
      </c>
      <c r="Z83" s="4">
        <f t="shared" si="25"/>
        <v>13.185846</v>
      </c>
      <c r="AA83" s="4">
        <f t="shared" si="25"/>
        <v>13.260833</v>
      </c>
      <c r="AB83" s="4">
        <f t="shared" si="25"/>
        <v>13.291046</v>
      </c>
      <c r="AC83" s="4">
        <f t="shared" si="25"/>
        <v>13.259383</v>
      </c>
      <c r="AD83" s="4">
        <f t="shared" si="25"/>
        <v>13.181393999999999</v>
      </c>
      <c r="AE83" s="4">
        <f t="shared" si="25"/>
        <v>13.106277</v>
      </c>
      <c r="AF83" s="4">
        <f t="shared" si="25"/>
        <v>13.008148</v>
      </c>
      <c r="AG83" s="4">
        <f t="shared" si="25"/>
        <v>12.870088000000001</v>
      </c>
      <c r="AH83" s="4">
        <f t="shared" si="25"/>
        <v>11.279612999999999</v>
      </c>
      <c r="AI83" s="4"/>
      <c r="AJ83" s="4"/>
    </row>
    <row r="84" spans="1:36" x14ac:dyDescent="0.25">
      <c r="A84" t="s">
        <v>1346</v>
      </c>
      <c r="B84" s="353" t="s">
        <v>1347</v>
      </c>
      <c r="C84">
        <f>C76</f>
        <v>5751000</v>
      </c>
      <c r="D84">
        <f>D76</f>
        <v>5751000</v>
      </c>
      <c r="E84">
        <f t="shared" ref="E84:AH84" si="26">E76</f>
        <v>5751000</v>
      </c>
      <c r="F84">
        <f t="shared" si="26"/>
        <v>5751000</v>
      </c>
      <c r="G84">
        <f t="shared" si="26"/>
        <v>5751000</v>
      </c>
      <c r="H84">
        <f t="shared" si="26"/>
        <v>5751000</v>
      </c>
      <c r="I84">
        <f t="shared" si="26"/>
        <v>5751000</v>
      </c>
      <c r="J84">
        <f t="shared" si="26"/>
        <v>5751000</v>
      </c>
      <c r="K84">
        <f t="shared" si="26"/>
        <v>5751000</v>
      </c>
      <c r="L84">
        <f t="shared" si="26"/>
        <v>5751000</v>
      </c>
      <c r="M84">
        <f t="shared" si="26"/>
        <v>5751000</v>
      </c>
      <c r="N84">
        <f t="shared" si="26"/>
        <v>5751000</v>
      </c>
      <c r="O84">
        <f t="shared" si="26"/>
        <v>5751000</v>
      </c>
      <c r="P84">
        <f t="shared" si="26"/>
        <v>5751000</v>
      </c>
      <c r="Q84">
        <f t="shared" si="26"/>
        <v>5751000</v>
      </c>
      <c r="R84">
        <f t="shared" si="26"/>
        <v>5751000</v>
      </c>
      <c r="S84">
        <f t="shared" si="26"/>
        <v>5751000</v>
      </c>
      <c r="T84">
        <f t="shared" si="26"/>
        <v>5751000</v>
      </c>
      <c r="U84">
        <f t="shared" si="26"/>
        <v>5751000</v>
      </c>
      <c r="V84">
        <f t="shared" si="26"/>
        <v>5751000</v>
      </c>
      <c r="W84">
        <f t="shared" si="26"/>
        <v>5751000</v>
      </c>
      <c r="X84">
        <f t="shared" si="26"/>
        <v>5751000</v>
      </c>
      <c r="Y84">
        <f t="shared" si="26"/>
        <v>5751000</v>
      </c>
      <c r="Z84">
        <f t="shared" si="26"/>
        <v>5751000</v>
      </c>
      <c r="AA84">
        <f t="shared" si="26"/>
        <v>5751000</v>
      </c>
      <c r="AB84">
        <f t="shared" si="26"/>
        <v>5751000</v>
      </c>
      <c r="AC84">
        <f t="shared" si="26"/>
        <v>5751000</v>
      </c>
      <c r="AD84">
        <f t="shared" si="26"/>
        <v>5751000</v>
      </c>
      <c r="AE84">
        <f t="shared" si="26"/>
        <v>5751000</v>
      </c>
      <c r="AF84">
        <f t="shared" si="26"/>
        <v>5751000</v>
      </c>
      <c r="AG84">
        <f t="shared" si="26"/>
        <v>5751000</v>
      </c>
      <c r="AH84">
        <f t="shared" si="26"/>
        <v>5751000</v>
      </c>
    </row>
    <row r="85" spans="1:36" x14ac:dyDescent="0.25">
      <c r="A85" t="s">
        <v>1348</v>
      </c>
      <c r="B85" s="353" t="s">
        <v>1345</v>
      </c>
      <c r="C85" s="11"/>
      <c r="D85" s="11"/>
      <c r="E85" s="11">
        <f t="shared" ref="E85:AH85" si="27">E77</f>
        <v>0.53645091974861669</v>
      </c>
      <c r="F85" s="11">
        <f t="shared" si="27"/>
        <v>0.54997072969670069</v>
      </c>
      <c r="G85" s="11">
        <f t="shared" si="27"/>
        <v>0.56102856350540731</v>
      </c>
      <c r="H85" s="11">
        <f t="shared" si="27"/>
        <v>0.5700150141357454</v>
      </c>
      <c r="I85" s="11">
        <f t="shared" si="27"/>
        <v>0.60011533217746849</v>
      </c>
      <c r="J85" s="11">
        <f t="shared" si="27"/>
        <v>0.61105450199684541</v>
      </c>
      <c r="K85" s="11">
        <f t="shared" si="27"/>
        <v>0.59948684463010837</v>
      </c>
      <c r="L85" s="11">
        <f t="shared" si="27"/>
        <v>0.60142383662462795</v>
      </c>
      <c r="M85" s="11">
        <f t="shared" si="27"/>
        <v>0.59223090196225325</v>
      </c>
      <c r="N85" s="11">
        <f t="shared" si="27"/>
        <v>0.59243101626978678</v>
      </c>
      <c r="O85" s="11">
        <f t="shared" si="27"/>
        <v>0.59547180272889089</v>
      </c>
      <c r="P85" s="11">
        <f t="shared" si="27"/>
        <v>0.59232286634778719</v>
      </c>
      <c r="Q85" s="11">
        <f t="shared" si="27"/>
        <v>0.5848717462177262</v>
      </c>
      <c r="R85" s="11">
        <f t="shared" si="27"/>
        <v>0.57381903846314053</v>
      </c>
      <c r="S85" s="11">
        <f t="shared" si="27"/>
        <v>0.56900680678243232</v>
      </c>
      <c r="T85" s="11">
        <f t="shared" si="27"/>
        <v>0.57449773524814773</v>
      </c>
      <c r="U85" s="11">
        <f t="shared" si="27"/>
        <v>0.57455453264595369</v>
      </c>
      <c r="V85" s="11">
        <f t="shared" si="27"/>
        <v>0.56493371835757467</v>
      </c>
      <c r="W85" s="11">
        <f t="shared" si="27"/>
        <v>0.56396381038870824</v>
      </c>
      <c r="X85" s="11">
        <f t="shared" si="27"/>
        <v>0.57525318355302912</v>
      </c>
      <c r="Y85" s="11">
        <f t="shared" si="27"/>
        <v>0.58648684903379511</v>
      </c>
      <c r="Z85" s="11">
        <f t="shared" si="27"/>
        <v>0.59257858874172153</v>
      </c>
      <c r="AA85" s="11">
        <f t="shared" si="27"/>
        <v>0.59629133100616238</v>
      </c>
      <c r="AB85" s="11">
        <f t="shared" si="27"/>
        <v>0.59827202208885133</v>
      </c>
      <c r="AC85" s="11">
        <f t="shared" si="27"/>
        <v>0.58371622748739016</v>
      </c>
      <c r="AD85" s="11">
        <f t="shared" si="27"/>
        <v>0.56479821483354864</v>
      </c>
      <c r="AE85" s="11">
        <f t="shared" si="27"/>
        <v>0.55692609756713041</v>
      </c>
      <c r="AF85" s="11">
        <f t="shared" si="27"/>
        <v>0.55869791886277531</v>
      </c>
      <c r="AG85" s="11">
        <f t="shared" si="27"/>
        <v>0.56142100967800646</v>
      </c>
      <c r="AH85" s="11">
        <f t="shared" si="27"/>
        <v>0.47967019801089783</v>
      </c>
      <c r="AI85" s="11"/>
      <c r="AJ85" s="11"/>
    </row>
    <row r="86" spans="1:36" x14ac:dyDescent="0.25">
      <c r="A86" t="s">
        <v>1349</v>
      </c>
      <c r="E86">
        <f t="shared" ref="E86:AH86" si="28">(E81*E82)/(E83*10^6*E84*365)*E85</f>
        <v>1.3086197591722575E-8</v>
      </c>
      <c r="F86">
        <f t="shared" si="28"/>
        <v>1.2573242556967248E-8</v>
      </c>
      <c r="G86">
        <f t="shared" si="28"/>
        <v>1.2558086250677707E-8</v>
      </c>
      <c r="H86">
        <f t="shared" si="28"/>
        <v>1.276597569806997E-8</v>
      </c>
      <c r="I86">
        <f t="shared" si="28"/>
        <v>1.2207414172409946E-8</v>
      </c>
      <c r="J86">
        <f t="shared" si="28"/>
        <v>1.2475925869262031E-8</v>
      </c>
      <c r="K86">
        <f t="shared" si="28"/>
        <v>1.2197477971109506E-8</v>
      </c>
      <c r="L86">
        <f t="shared" si="28"/>
        <v>1.2121548651588897E-8</v>
      </c>
      <c r="M86">
        <f t="shared" si="28"/>
        <v>1.1893214019574767E-8</v>
      </c>
      <c r="N86">
        <f t="shared" si="28"/>
        <v>1.1685321903969976E-8</v>
      </c>
      <c r="O86">
        <f t="shared" si="28"/>
        <v>1.1505051529798329E-8</v>
      </c>
      <c r="P86">
        <f t="shared" si="28"/>
        <v>1.1246485458460177E-8</v>
      </c>
      <c r="Q86">
        <f t="shared" si="28"/>
        <v>1.0991301428794389E-8</v>
      </c>
      <c r="R86">
        <f t="shared" si="28"/>
        <v>1.0634756835012174E-8</v>
      </c>
      <c r="S86">
        <f t="shared" si="28"/>
        <v>1.0488490930799625E-8</v>
      </c>
      <c r="T86">
        <f t="shared" si="28"/>
        <v>1.0542024666418374E-8</v>
      </c>
      <c r="U86">
        <f t="shared" si="28"/>
        <v>1.0481363678001801E-8</v>
      </c>
      <c r="V86">
        <f t="shared" si="28"/>
        <v>1.025608102579449E-8</v>
      </c>
      <c r="W86">
        <f t="shared" si="28"/>
        <v>1.0177186477944103E-8</v>
      </c>
      <c r="X86">
        <f t="shared" si="28"/>
        <v>1.0238979573280981E-8</v>
      </c>
      <c r="Y86">
        <f t="shared" si="28"/>
        <v>1.0291981513035712E-8</v>
      </c>
      <c r="Z86">
        <f t="shared" si="28"/>
        <v>1.0292517722761263E-8</v>
      </c>
      <c r="AA86">
        <f t="shared" si="28"/>
        <v>1.0264681051297806E-8</v>
      </c>
      <c r="AB86">
        <f t="shared" si="28"/>
        <v>1.0237023245618124E-8</v>
      </c>
      <c r="AC86">
        <f t="shared" si="28"/>
        <v>9.9518563663188409E-9</v>
      </c>
      <c r="AD86">
        <f t="shared" si="28"/>
        <v>9.5853918763180576E-9</v>
      </c>
      <c r="AE86">
        <f t="shared" si="28"/>
        <v>9.4192987895842881E-9</v>
      </c>
      <c r="AF86">
        <f t="shared" si="28"/>
        <v>9.4284240900556922E-9</v>
      </c>
      <c r="AG86">
        <f t="shared" si="28"/>
        <v>9.4849756339811064E-9</v>
      </c>
      <c r="AH86">
        <f t="shared" si="28"/>
        <v>9.4267490182600253E-9</v>
      </c>
    </row>
    <row r="88" spans="1:36" x14ac:dyDescent="0.25">
      <c r="A88" s="15" t="s">
        <v>426</v>
      </c>
    </row>
    <row r="89" spans="1:36" x14ac:dyDescent="0.25">
      <c r="A89" t="s">
        <v>1350</v>
      </c>
      <c r="B89" t="s">
        <v>1323</v>
      </c>
      <c r="C89">
        <f>'Subsidies Paid'!J18*10^9</f>
        <v>140000000</v>
      </c>
      <c r="D89">
        <f>'Subsidies Paid'!K18*10^9</f>
        <v>140000000</v>
      </c>
      <c r="E89">
        <f t="shared" ref="E89:AH89" si="29">D89</f>
        <v>140000000</v>
      </c>
      <c r="F89">
        <f t="shared" si="29"/>
        <v>140000000</v>
      </c>
      <c r="G89">
        <f t="shared" si="29"/>
        <v>140000000</v>
      </c>
      <c r="H89">
        <f t="shared" si="29"/>
        <v>140000000</v>
      </c>
      <c r="I89">
        <f t="shared" si="29"/>
        <v>140000000</v>
      </c>
      <c r="J89">
        <f t="shared" si="29"/>
        <v>140000000</v>
      </c>
      <c r="K89">
        <f t="shared" si="29"/>
        <v>140000000</v>
      </c>
      <c r="L89">
        <f t="shared" si="29"/>
        <v>140000000</v>
      </c>
      <c r="M89">
        <f t="shared" si="29"/>
        <v>140000000</v>
      </c>
      <c r="N89">
        <f t="shared" si="29"/>
        <v>140000000</v>
      </c>
      <c r="O89">
        <f t="shared" si="29"/>
        <v>140000000</v>
      </c>
      <c r="P89">
        <f t="shared" si="29"/>
        <v>140000000</v>
      </c>
      <c r="Q89">
        <f t="shared" si="29"/>
        <v>140000000</v>
      </c>
      <c r="R89">
        <f t="shared" si="29"/>
        <v>140000000</v>
      </c>
      <c r="S89">
        <f t="shared" si="29"/>
        <v>140000000</v>
      </c>
      <c r="T89">
        <f t="shared" si="29"/>
        <v>140000000</v>
      </c>
      <c r="U89">
        <f t="shared" si="29"/>
        <v>140000000</v>
      </c>
      <c r="V89">
        <f t="shared" si="29"/>
        <v>140000000</v>
      </c>
      <c r="W89">
        <f t="shared" si="29"/>
        <v>140000000</v>
      </c>
      <c r="X89">
        <f t="shared" si="29"/>
        <v>140000000</v>
      </c>
      <c r="Y89">
        <f t="shared" si="29"/>
        <v>140000000</v>
      </c>
      <c r="Z89">
        <f t="shared" si="29"/>
        <v>140000000</v>
      </c>
      <c r="AA89">
        <f t="shared" si="29"/>
        <v>140000000</v>
      </c>
      <c r="AB89">
        <f t="shared" si="29"/>
        <v>140000000</v>
      </c>
      <c r="AC89">
        <f t="shared" si="29"/>
        <v>140000000</v>
      </c>
      <c r="AD89">
        <f t="shared" si="29"/>
        <v>140000000</v>
      </c>
      <c r="AE89">
        <f t="shared" si="29"/>
        <v>140000000</v>
      </c>
      <c r="AF89">
        <f t="shared" si="29"/>
        <v>140000000</v>
      </c>
      <c r="AG89">
        <f t="shared" si="29"/>
        <v>140000000</v>
      </c>
      <c r="AH89">
        <f t="shared" si="29"/>
        <v>140000000</v>
      </c>
    </row>
    <row r="90" spans="1:36" x14ac:dyDescent="0.25">
      <c r="A90" t="s">
        <v>1351</v>
      </c>
      <c r="B90" s="353" t="s">
        <v>1341</v>
      </c>
      <c r="C90" s="11"/>
      <c r="D90" s="11"/>
      <c r="E90" s="11">
        <f t="shared" ref="E90:AH90" si="30">E82</f>
        <v>0.35184656502224881</v>
      </c>
      <c r="F90" s="11">
        <f t="shared" si="30"/>
        <v>0.35039299479423891</v>
      </c>
      <c r="G90" s="11">
        <f t="shared" si="30"/>
        <v>0.3572556772712438</v>
      </c>
      <c r="H90" s="11">
        <f t="shared" si="30"/>
        <v>0.36762213497827889</v>
      </c>
      <c r="I90" s="11">
        <f t="shared" si="30"/>
        <v>0.35889354711363824</v>
      </c>
      <c r="J90" s="11">
        <f t="shared" si="30"/>
        <v>0.35723399576041498</v>
      </c>
      <c r="K90" s="11">
        <f t="shared" si="30"/>
        <v>0.35733777083052221</v>
      </c>
      <c r="L90" s="11">
        <f t="shared" si="30"/>
        <v>0.35473756411245222</v>
      </c>
      <c r="M90" s="11">
        <f t="shared" si="30"/>
        <v>0.35141532377904761</v>
      </c>
      <c r="N90" s="11">
        <f t="shared" si="30"/>
        <v>0.34809606483615102</v>
      </c>
      <c r="O90" s="11">
        <f t="shared" si="30"/>
        <v>0.34099147085739218</v>
      </c>
      <c r="P90" s="11">
        <f t="shared" si="30"/>
        <v>0.33349290282167932</v>
      </c>
      <c r="Q90" s="11">
        <f t="shared" si="30"/>
        <v>0.32464236542933589</v>
      </c>
      <c r="R90" s="11">
        <f t="shared" si="30"/>
        <v>0.31733042483727092</v>
      </c>
      <c r="S90" s="11">
        <f t="shared" si="30"/>
        <v>0.31210397581271032</v>
      </c>
      <c r="T90" s="11">
        <f t="shared" si="30"/>
        <v>0.30929478279696831</v>
      </c>
      <c r="U90" s="11">
        <f t="shared" si="30"/>
        <v>0.30697918951395853</v>
      </c>
      <c r="V90" s="11">
        <f t="shared" si="30"/>
        <v>0.30343992440057033</v>
      </c>
      <c r="W90" s="11">
        <f t="shared" si="30"/>
        <v>0.30133513889311297</v>
      </c>
      <c r="X90" s="11">
        <f t="shared" si="30"/>
        <v>0.30028034916013285</v>
      </c>
      <c r="Y90" s="11">
        <f t="shared" si="30"/>
        <v>0.29893229905992319</v>
      </c>
      <c r="Z90" s="11">
        <f t="shared" si="30"/>
        <v>0.29675967369728573</v>
      </c>
      <c r="AA90" s="11">
        <f t="shared" si="30"/>
        <v>0.29578693496615049</v>
      </c>
      <c r="AB90" s="11">
        <f t="shared" si="30"/>
        <v>0.29468319800255216</v>
      </c>
      <c r="AC90" s="11">
        <f t="shared" si="30"/>
        <v>0.29291854301418724</v>
      </c>
      <c r="AD90" s="11">
        <f t="shared" si="30"/>
        <v>0.28986722734177645</v>
      </c>
      <c r="AE90" s="11">
        <f t="shared" si="30"/>
        <v>0.28722455414525278</v>
      </c>
      <c r="AF90" s="11">
        <f t="shared" si="30"/>
        <v>0.28444528692155774</v>
      </c>
      <c r="AG90" s="11">
        <f t="shared" si="30"/>
        <v>0.28174115625268226</v>
      </c>
      <c r="AH90" s="11">
        <f t="shared" si="30"/>
        <v>0.28723319216907817</v>
      </c>
      <c r="AI90" s="11"/>
      <c r="AJ90" s="11"/>
    </row>
    <row r="91" spans="1:36" x14ac:dyDescent="0.25">
      <c r="A91" t="s">
        <v>1344</v>
      </c>
      <c r="B91" s="353" t="s">
        <v>1345</v>
      </c>
      <c r="C91" s="4"/>
      <c r="D91" s="4"/>
      <c r="E91" s="4">
        <f t="shared" ref="E91:AH91" si="31">E83</f>
        <v>11.13137</v>
      </c>
      <c r="F91" s="4">
        <f t="shared" si="31"/>
        <v>11.828412999999999</v>
      </c>
      <c r="G91" s="4">
        <f t="shared" si="31"/>
        <v>12.317411</v>
      </c>
      <c r="H91" s="4">
        <f t="shared" si="31"/>
        <v>12.668136000000001</v>
      </c>
      <c r="I91" s="4">
        <f t="shared" si="31"/>
        <v>13.616186000000001</v>
      </c>
      <c r="J91" s="4">
        <f t="shared" si="31"/>
        <v>13.503263</v>
      </c>
      <c r="K91" s="4">
        <f t="shared" si="31"/>
        <v>13.553995</v>
      </c>
      <c r="L91" s="4">
        <f t="shared" si="31"/>
        <v>13.583399999999999</v>
      </c>
      <c r="M91" s="4">
        <f t="shared" si="31"/>
        <v>13.504898000000001</v>
      </c>
      <c r="N91" s="4">
        <f t="shared" si="31"/>
        <v>13.619934000000001</v>
      </c>
      <c r="O91" s="4">
        <f t="shared" si="31"/>
        <v>13.620559</v>
      </c>
      <c r="P91" s="4">
        <f t="shared" si="31"/>
        <v>13.555235</v>
      </c>
      <c r="Q91" s="4">
        <f t="shared" si="31"/>
        <v>13.332006</v>
      </c>
      <c r="R91" s="4">
        <f t="shared" si="31"/>
        <v>13.214109000000001</v>
      </c>
      <c r="S91" s="4">
        <f t="shared" si="31"/>
        <v>13.0672</v>
      </c>
      <c r="T91" s="4">
        <f t="shared" si="31"/>
        <v>13.008153999999999</v>
      </c>
      <c r="U91" s="4">
        <f t="shared" si="31"/>
        <v>12.986770999999999</v>
      </c>
      <c r="V91" s="4">
        <f t="shared" si="31"/>
        <v>12.899342000000001</v>
      </c>
      <c r="W91" s="4">
        <f t="shared" si="31"/>
        <v>12.887007000000001</v>
      </c>
      <c r="X91" s="4">
        <f t="shared" si="31"/>
        <v>13.019912</v>
      </c>
      <c r="Y91" s="4">
        <f t="shared" si="31"/>
        <v>13.146523</v>
      </c>
      <c r="Z91" s="4">
        <f t="shared" si="31"/>
        <v>13.185846</v>
      </c>
      <c r="AA91" s="4">
        <f t="shared" si="31"/>
        <v>13.260833</v>
      </c>
      <c r="AB91" s="4">
        <f t="shared" si="31"/>
        <v>13.291046</v>
      </c>
      <c r="AC91" s="4">
        <f t="shared" si="31"/>
        <v>13.259383</v>
      </c>
      <c r="AD91" s="4">
        <f t="shared" si="31"/>
        <v>13.181393999999999</v>
      </c>
      <c r="AE91" s="4">
        <f t="shared" si="31"/>
        <v>13.106277</v>
      </c>
      <c r="AF91" s="4">
        <f t="shared" si="31"/>
        <v>13.008148</v>
      </c>
      <c r="AG91" s="4">
        <f t="shared" si="31"/>
        <v>12.870088000000001</v>
      </c>
      <c r="AH91" s="4">
        <f t="shared" si="31"/>
        <v>11.279612999999999</v>
      </c>
      <c r="AI91" s="4"/>
      <c r="AJ91" s="4"/>
    </row>
    <row r="92" spans="1:36" x14ac:dyDescent="0.25">
      <c r="A92" t="s">
        <v>1346</v>
      </c>
      <c r="B92" s="353" t="s">
        <v>1347</v>
      </c>
      <c r="C92">
        <f>C84</f>
        <v>5751000</v>
      </c>
      <c r="D92">
        <f>D84</f>
        <v>5751000</v>
      </c>
      <c r="E92">
        <f t="shared" ref="E92:AH92" si="32">E84</f>
        <v>5751000</v>
      </c>
      <c r="F92">
        <f t="shared" si="32"/>
        <v>5751000</v>
      </c>
      <c r="G92">
        <f t="shared" si="32"/>
        <v>5751000</v>
      </c>
      <c r="H92">
        <f t="shared" si="32"/>
        <v>5751000</v>
      </c>
      <c r="I92">
        <f t="shared" si="32"/>
        <v>5751000</v>
      </c>
      <c r="J92">
        <f t="shared" si="32"/>
        <v>5751000</v>
      </c>
      <c r="K92">
        <f t="shared" si="32"/>
        <v>5751000</v>
      </c>
      <c r="L92">
        <f t="shared" si="32"/>
        <v>5751000</v>
      </c>
      <c r="M92">
        <f t="shared" si="32"/>
        <v>5751000</v>
      </c>
      <c r="N92">
        <f t="shared" si="32"/>
        <v>5751000</v>
      </c>
      <c r="O92">
        <f t="shared" si="32"/>
        <v>5751000</v>
      </c>
      <c r="P92">
        <f t="shared" si="32"/>
        <v>5751000</v>
      </c>
      <c r="Q92">
        <f t="shared" si="32"/>
        <v>5751000</v>
      </c>
      <c r="R92">
        <f t="shared" si="32"/>
        <v>5751000</v>
      </c>
      <c r="S92">
        <f t="shared" si="32"/>
        <v>5751000</v>
      </c>
      <c r="T92">
        <f t="shared" si="32"/>
        <v>5751000</v>
      </c>
      <c r="U92">
        <f t="shared" si="32"/>
        <v>5751000</v>
      </c>
      <c r="V92">
        <f t="shared" si="32"/>
        <v>5751000</v>
      </c>
      <c r="W92">
        <f t="shared" si="32"/>
        <v>5751000</v>
      </c>
      <c r="X92">
        <f t="shared" si="32"/>
        <v>5751000</v>
      </c>
      <c r="Y92">
        <f t="shared" si="32"/>
        <v>5751000</v>
      </c>
      <c r="Z92">
        <f t="shared" si="32"/>
        <v>5751000</v>
      </c>
      <c r="AA92">
        <f t="shared" si="32"/>
        <v>5751000</v>
      </c>
      <c r="AB92">
        <f t="shared" si="32"/>
        <v>5751000</v>
      </c>
      <c r="AC92">
        <f t="shared" si="32"/>
        <v>5751000</v>
      </c>
      <c r="AD92">
        <f t="shared" si="32"/>
        <v>5751000</v>
      </c>
      <c r="AE92">
        <f t="shared" si="32"/>
        <v>5751000</v>
      </c>
      <c r="AF92">
        <f t="shared" si="32"/>
        <v>5751000</v>
      </c>
      <c r="AG92">
        <f t="shared" si="32"/>
        <v>5751000</v>
      </c>
      <c r="AH92">
        <f t="shared" si="32"/>
        <v>5751000</v>
      </c>
    </row>
    <row r="93" spans="1:36" x14ac:dyDescent="0.25">
      <c r="A93" t="s">
        <v>1348</v>
      </c>
      <c r="B93" s="353" t="s">
        <v>1345</v>
      </c>
      <c r="C93" s="11"/>
      <c r="D93" s="11"/>
      <c r="E93" s="11">
        <f t="shared" ref="E93:AH93" si="33">E85</f>
        <v>0.53645091974861669</v>
      </c>
      <c r="F93" s="11">
        <f t="shared" si="33"/>
        <v>0.54997072969670069</v>
      </c>
      <c r="G93" s="11">
        <f t="shared" si="33"/>
        <v>0.56102856350540731</v>
      </c>
      <c r="H93" s="11">
        <f t="shared" si="33"/>
        <v>0.5700150141357454</v>
      </c>
      <c r="I93" s="11">
        <f t="shared" si="33"/>
        <v>0.60011533217746849</v>
      </c>
      <c r="J93" s="11">
        <f t="shared" si="33"/>
        <v>0.61105450199684541</v>
      </c>
      <c r="K93" s="11">
        <f t="shared" si="33"/>
        <v>0.59948684463010837</v>
      </c>
      <c r="L93" s="11">
        <f t="shared" si="33"/>
        <v>0.60142383662462795</v>
      </c>
      <c r="M93" s="11">
        <f t="shared" si="33"/>
        <v>0.59223090196225325</v>
      </c>
      <c r="N93" s="11">
        <f t="shared" si="33"/>
        <v>0.59243101626978678</v>
      </c>
      <c r="O93" s="11">
        <f t="shared" si="33"/>
        <v>0.59547180272889089</v>
      </c>
      <c r="P93" s="11">
        <f t="shared" si="33"/>
        <v>0.59232286634778719</v>
      </c>
      <c r="Q93" s="11">
        <f t="shared" si="33"/>
        <v>0.5848717462177262</v>
      </c>
      <c r="R93" s="11">
        <f t="shared" si="33"/>
        <v>0.57381903846314053</v>
      </c>
      <c r="S93" s="11">
        <f t="shared" si="33"/>
        <v>0.56900680678243232</v>
      </c>
      <c r="T93" s="11">
        <f t="shared" si="33"/>
        <v>0.57449773524814773</v>
      </c>
      <c r="U93" s="11">
        <f t="shared" si="33"/>
        <v>0.57455453264595369</v>
      </c>
      <c r="V93" s="11">
        <f t="shared" si="33"/>
        <v>0.56493371835757467</v>
      </c>
      <c r="W93" s="11">
        <f t="shared" si="33"/>
        <v>0.56396381038870824</v>
      </c>
      <c r="X93" s="11">
        <f t="shared" si="33"/>
        <v>0.57525318355302912</v>
      </c>
      <c r="Y93" s="11">
        <f t="shared" si="33"/>
        <v>0.58648684903379511</v>
      </c>
      <c r="Z93" s="11">
        <f t="shared" si="33"/>
        <v>0.59257858874172153</v>
      </c>
      <c r="AA93" s="11">
        <f t="shared" si="33"/>
        <v>0.59629133100616238</v>
      </c>
      <c r="AB93" s="11">
        <f t="shared" si="33"/>
        <v>0.59827202208885133</v>
      </c>
      <c r="AC93" s="11">
        <f t="shared" si="33"/>
        <v>0.58371622748739016</v>
      </c>
      <c r="AD93" s="11">
        <f t="shared" si="33"/>
        <v>0.56479821483354864</v>
      </c>
      <c r="AE93" s="11">
        <f t="shared" si="33"/>
        <v>0.55692609756713041</v>
      </c>
      <c r="AF93" s="11">
        <f t="shared" si="33"/>
        <v>0.55869791886277531</v>
      </c>
      <c r="AG93" s="11">
        <f t="shared" si="33"/>
        <v>0.56142100967800646</v>
      </c>
      <c r="AH93" s="11">
        <f t="shared" si="33"/>
        <v>0.47967019801089783</v>
      </c>
      <c r="AI93" s="11"/>
      <c r="AJ93" s="11"/>
    </row>
    <row r="94" spans="1:36" x14ac:dyDescent="0.25">
      <c r="A94" t="s">
        <v>1349</v>
      </c>
      <c r="E94">
        <f t="shared" ref="E94:AH94" si="34">(E89*E90)/(E91*10^6*E92*365)*E93</f>
        <v>1.1309059647167658E-9</v>
      </c>
      <c r="F94">
        <f t="shared" si="34"/>
        <v>1.0865765172687743E-9</v>
      </c>
      <c r="G94">
        <f t="shared" si="34"/>
        <v>1.0852667130215302E-9</v>
      </c>
      <c r="H94">
        <f t="shared" si="34"/>
        <v>1.1032324677344416E-9</v>
      </c>
      <c r="I94">
        <f t="shared" si="34"/>
        <v>1.0549617186033288E-9</v>
      </c>
      <c r="J94">
        <f t="shared" si="34"/>
        <v>1.0781664331461013E-9</v>
      </c>
      <c r="K94">
        <f t="shared" si="34"/>
        <v>1.0541030345403278E-9</v>
      </c>
      <c r="L94">
        <f t="shared" si="34"/>
        <v>1.0475412414953368E-9</v>
      </c>
      <c r="M94">
        <f t="shared" si="34"/>
        <v>1.027808618975597E-9</v>
      </c>
      <c r="N94">
        <f t="shared" si="34"/>
        <v>1.0098426336764177E-9</v>
      </c>
      <c r="O94">
        <f t="shared" si="34"/>
        <v>9.9426371245170752E-10</v>
      </c>
      <c r="P94">
        <f t="shared" si="34"/>
        <v>9.7191849641013853E-10</v>
      </c>
      <c r="Q94">
        <f t="shared" si="34"/>
        <v>9.4986555557482363E-10</v>
      </c>
      <c r="R94">
        <f t="shared" si="34"/>
        <v>9.1905305981586683E-10</v>
      </c>
      <c r="S94">
        <f t="shared" si="34"/>
        <v>9.0641279648885646E-10</v>
      </c>
      <c r="T94">
        <f t="shared" si="34"/>
        <v>9.1103916870282241E-10</v>
      </c>
      <c r="U94">
        <f t="shared" si="34"/>
        <v>9.057968610618841E-10</v>
      </c>
      <c r="V94">
        <f t="shared" si="34"/>
        <v>8.8632798988347447E-10</v>
      </c>
      <c r="W94">
        <f t="shared" si="34"/>
        <v>8.7950994253837921E-10</v>
      </c>
      <c r="X94">
        <f t="shared" si="34"/>
        <v>8.8485008657983801E-10</v>
      </c>
      <c r="Y94">
        <f t="shared" si="34"/>
        <v>8.8943050112654312E-10</v>
      </c>
      <c r="Z94">
        <f t="shared" si="34"/>
        <v>8.8947684023862765E-10</v>
      </c>
      <c r="AA94">
        <f t="shared" si="34"/>
        <v>8.87071201964008E-10</v>
      </c>
      <c r="AB94">
        <f t="shared" si="34"/>
        <v>8.846810212262575E-10</v>
      </c>
      <c r="AC94">
        <f t="shared" si="34"/>
        <v>8.6003696992878865E-10</v>
      </c>
      <c r="AD94">
        <f t="shared" si="34"/>
        <v>8.2836719918798031E-10</v>
      </c>
      <c r="AE94">
        <f t="shared" si="34"/>
        <v>8.1401347564308654E-10</v>
      </c>
      <c r="AF94">
        <f t="shared" si="34"/>
        <v>8.1480208185666466E-10</v>
      </c>
      <c r="AG94">
        <f t="shared" si="34"/>
        <v>8.1968925231935494E-10</v>
      </c>
      <c r="AH94">
        <f t="shared" si="34"/>
        <v>8.1465732256568121E-10</v>
      </c>
    </row>
    <row r="96" spans="1:36" x14ac:dyDescent="0.25">
      <c r="A96" s="15" t="s">
        <v>427</v>
      </c>
    </row>
    <row r="97" spans="1:36" x14ac:dyDescent="0.25">
      <c r="A97" t="s">
        <v>1350</v>
      </c>
      <c r="B97" t="s">
        <v>1323</v>
      </c>
      <c r="C97">
        <f>'Subsidies Paid'!J19*10^9</f>
        <v>1200000000</v>
      </c>
      <c r="D97">
        <f>'Subsidies Paid'!K19*10^9</f>
        <v>1200000000</v>
      </c>
      <c r="E97">
        <f t="shared" ref="E97:AH97" si="35">D97</f>
        <v>1200000000</v>
      </c>
      <c r="F97">
        <f t="shared" si="35"/>
        <v>1200000000</v>
      </c>
      <c r="G97">
        <f t="shared" si="35"/>
        <v>1200000000</v>
      </c>
      <c r="H97">
        <f t="shared" si="35"/>
        <v>1200000000</v>
      </c>
      <c r="I97">
        <f t="shared" si="35"/>
        <v>1200000000</v>
      </c>
      <c r="J97">
        <f t="shared" si="35"/>
        <v>1200000000</v>
      </c>
      <c r="K97">
        <f t="shared" si="35"/>
        <v>1200000000</v>
      </c>
      <c r="L97">
        <f t="shared" si="35"/>
        <v>1200000000</v>
      </c>
      <c r="M97">
        <f t="shared" si="35"/>
        <v>1200000000</v>
      </c>
      <c r="N97">
        <f t="shared" si="35"/>
        <v>1200000000</v>
      </c>
      <c r="O97">
        <f t="shared" si="35"/>
        <v>1200000000</v>
      </c>
      <c r="P97">
        <f t="shared" si="35"/>
        <v>1200000000</v>
      </c>
      <c r="Q97">
        <f t="shared" si="35"/>
        <v>1200000000</v>
      </c>
      <c r="R97">
        <f t="shared" si="35"/>
        <v>1200000000</v>
      </c>
      <c r="S97">
        <f t="shared" si="35"/>
        <v>1200000000</v>
      </c>
      <c r="T97">
        <f t="shared" si="35"/>
        <v>1200000000</v>
      </c>
      <c r="U97">
        <f t="shared" si="35"/>
        <v>1200000000</v>
      </c>
      <c r="V97">
        <f t="shared" si="35"/>
        <v>1200000000</v>
      </c>
      <c r="W97">
        <f t="shared" si="35"/>
        <v>1200000000</v>
      </c>
      <c r="X97">
        <f t="shared" si="35"/>
        <v>1200000000</v>
      </c>
      <c r="Y97">
        <f t="shared" si="35"/>
        <v>1200000000</v>
      </c>
      <c r="Z97">
        <f t="shared" si="35"/>
        <v>1200000000</v>
      </c>
      <c r="AA97">
        <f t="shared" si="35"/>
        <v>1200000000</v>
      </c>
      <c r="AB97">
        <f t="shared" si="35"/>
        <v>1200000000</v>
      </c>
      <c r="AC97">
        <f t="shared" si="35"/>
        <v>1200000000</v>
      </c>
      <c r="AD97">
        <f t="shared" si="35"/>
        <v>1200000000</v>
      </c>
      <c r="AE97">
        <f t="shared" si="35"/>
        <v>1200000000</v>
      </c>
      <c r="AF97">
        <f t="shared" si="35"/>
        <v>1200000000</v>
      </c>
      <c r="AG97">
        <f t="shared" si="35"/>
        <v>1200000000</v>
      </c>
      <c r="AH97">
        <f t="shared" si="35"/>
        <v>1200000000</v>
      </c>
    </row>
    <row r="98" spans="1:36" x14ac:dyDescent="0.25">
      <c r="A98" t="s">
        <v>1351</v>
      </c>
      <c r="B98" s="353" t="s">
        <v>1341</v>
      </c>
      <c r="C98" s="11"/>
      <c r="D98" s="11"/>
      <c r="E98" s="11">
        <f t="shared" ref="E98:AH98" si="36">E90</f>
        <v>0.35184656502224881</v>
      </c>
      <c r="F98" s="11">
        <f t="shared" si="36"/>
        <v>0.35039299479423891</v>
      </c>
      <c r="G98" s="11">
        <f t="shared" si="36"/>
        <v>0.3572556772712438</v>
      </c>
      <c r="H98" s="11">
        <f t="shared" si="36"/>
        <v>0.36762213497827889</v>
      </c>
      <c r="I98" s="11">
        <f t="shared" si="36"/>
        <v>0.35889354711363824</v>
      </c>
      <c r="J98" s="11">
        <f t="shared" si="36"/>
        <v>0.35723399576041498</v>
      </c>
      <c r="K98" s="11">
        <f t="shared" si="36"/>
        <v>0.35733777083052221</v>
      </c>
      <c r="L98" s="11">
        <f t="shared" si="36"/>
        <v>0.35473756411245222</v>
      </c>
      <c r="M98" s="11">
        <f t="shared" si="36"/>
        <v>0.35141532377904761</v>
      </c>
      <c r="N98" s="11">
        <f t="shared" si="36"/>
        <v>0.34809606483615102</v>
      </c>
      <c r="O98" s="11">
        <f t="shared" si="36"/>
        <v>0.34099147085739218</v>
      </c>
      <c r="P98" s="11">
        <f t="shared" si="36"/>
        <v>0.33349290282167932</v>
      </c>
      <c r="Q98" s="11">
        <f t="shared" si="36"/>
        <v>0.32464236542933589</v>
      </c>
      <c r="R98" s="11">
        <f t="shared" si="36"/>
        <v>0.31733042483727092</v>
      </c>
      <c r="S98" s="11">
        <f t="shared" si="36"/>
        <v>0.31210397581271032</v>
      </c>
      <c r="T98" s="11">
        <f t="shared" si="36"/>
        <v>0.30929478279696831</v>
      </c>
      <c r="U98" s="11">
        <f t="shared" si="36"/>
        <v>0.30697918951395853</v>
      </c>
      <c r="V98" s="11">
        <f t="shared" si="36"/>
        <v>0.30343992440057033</v>
      </c>
      <c r="W98" s="11">
        <f t="shared" si="36"/>
        <v>0.30133513889311297</v>
      </c>
      <c r="X98" s="11">
        <f t="shared" si="36"/>
        <v>0.30028034916013285</v>
      </c>
      <c r="Y98" s="11">
        <f t="shared" si="36"/>
        <v>0.29893229905992319</v>
      </c>
      <c r="Z98" s="11">
        <f t="shared" si="36"/>
        <v>0.29675967369728573</v>
      </c>
      <c r="AA98" s="11">
        <f t="shared" si="36"/>
        <v>0.29578693496615049</v>
      </c>
      <c r="AB98" s="11">
        <f t="shared" si="36"/>
        <v>0.29468319800255216</v>
      </c>
      <c r="AC98" s="11">
        <f t="shared" si="36"/>
        <v>0.29291854301418724</v>
      </c>
      <c r="AD98" s="11">
        <f t="shared" si="36"/>
        <v>0.28986722734177645</v>
      </c>
      <c r="AE98" s="11">
        <f t="shared" si="36"/>
        <v>0.28722455414525278</v>
      </c>
      <c r="AF98" s="11">
        <f t="shared" si="36"/>
        <v>0.28444528692155774</v>
      </c>
      <c r="AG98" s="11">
        <f t="shared" si="36"/>
        <v>0.28174115625268226</v>
      </c>
      <c r="AH98" s="11">
        <f t="shared" si="36"/>
        <v>0.28723319216907817</v>
      </c>
      <c r="AI98" s="11"/>
      <c r="AJ98" s="11"/>
    </row>
    <row r="99" spans="1:36" x14ac:dyDescent="0.25">
      <c r="A99" t="s">
        <v>1344</v>
      </c>
      <c r="B99" s="353" t="s">
        <v>1345</v>
      </c>
      <c r="C99" s="4"/>
      <c r="D99" s="4"/>
      <c r="E99" s="4">
        <f t="shared" ref="E99:AH99" si="37">E91</f>
        <v>11.13137</v>
      </c>
      <c r="F99" s="4">
        <f t="shared" si="37"/>
        <v>11.828412999999999</v>
      </c>
      <c r="G99" s="4">
        <f t="shared" si="37"/>
        <v>12.317411</v>
      </c>
      <c r="H99" s="4">
        <f t="shared" si="37"/>
        <v>12.668136000000001</v>
      </c>
      <c r="I99" s="4">
        <f t="shared" si="37"/>
        <v>13.616186000000001</v>
      </c>
      <c r="J99" s="4">
        <f t="shared" si="37"/>
        <v>13.503263</v>
      </c>
      <c r="K99" s="4">
        <f t="shared" si="37"/>
        <v>13.553995</v>
      </c>
      <c r="L99" s="4">
        <f t="shared" si="37"/>
        <v>13.583399999999999</v>
      </c>
      <c r="M99" s="4">
        <f t="shared" si="37"/>
        <v>13.504898000000001</v>
      </c>
      <c r="N99" s="4">
        <f t="shared" si="37"/>
        <v>13.619934000000001</v>
      </c>
      <c r="O99" s="4">
        <f t="shared" si="37"/>
        <v>13.620559</v>
      </c>
      <c r="P99" s="4">
        <f t="shared" si="37"/>
        <v>13.555235</v>
      </c>
      <c r="Q99" s="4">
        <f t="shared" si="37"/>
        <v>13.332006</v>
      </c>
      <c r="R99" s="4">
        <f t="shared" si="37"/>
        <v>13.214109000000001</v>
      </c>
      <c r="S99" s="4">
        <f t="shared" si="37"/>
        <v>13.0672</v>
      </c>
      <c r="T99" s="4">
        <f t="shared" si="37"/>
        <v>13.008153999999999</v>
      </c>
      <c r="U99" s="4">
        <f t="shared" si="37"/>
        <v>12.986770999999999</v>
      </c>
      <c r="V99" s="4">
        <f t="shared" si="37"/>
        <v>12.899342000000001</v>
      </c>
      <c r="W99" s="4">
        <f t="shared" si="37"/>
        <v>12.887007000000001</v>
      </c>
      <c r="X99" s="4">
        <f t="shared" si="37"/>
        <v>13.019912</v>
      </c>
      <c r="Y99" s="4">
        <f t="shared" si="37"/>
        <v>13.146523</v>
      </c>
      <c r="Z99" s="4">
        <f t="shared" si="37"/>
        <v>13.185846</v>
      </c>
      <c r="AA99" s="4">
        <f t="shared" si="37"/>
        <v>13.260833</v>
      </c>
      <c r="AB99" s="4">
        <f t="shared" si="37"/>
        <v>13.291046</v>
      </c>
      <c r="AC99" s="4">
        <f t="shared" si="37"/>
        <v>13.259383</v>
      </c>
      <c r="AD99" s="4">
        <f t="shared" si="37"/>
        <v>13.181393999999999</v>
      </c>
      <c r="AE99" s="4">
        <f t="shared" si="37"/>
        <v>13.106277</v>
      </c>
      <c r="AF99" s="4">
        <f t="shared" si="37"/>
        <v>13.008148</v>
      </c>
      <c r="AG99" s="4">
        <f t="shared" si="37"/>
        <v>12.870088000000001</v>
      </c>
      <c r="AH99" s="4">
        <f t="shared" si="37"/>
        <v>11.279612999999999</v>
      </c>
      <c r="AI99" s="4"/>
      <c r="AJ99" s="4"/>
    </row>
    <row r="100" spans="1:36" x14ac:dyDescent="0.25">
      <c r="A100" t="s">
        <v>1346</v>
      </c>
      <c r="B100" s="353" t="s">
        <v>1347</v>
      </c>
      <c r="C100">
        <f>C92</f>
        <v>5751000</v>
      </c>
      <c r="D100">
        <f>D92</f>
        <v>5751000</v>
      </c>
      <c r="E100">
        <f t="shared" ref="E100:AH100" si="38">E92</f>
        <v>5751000</v>
      </c>
      <c r="F100">
        <f t="shared" si="38"/>
        <v>5751000</v>
      </c>
      <c r="G100">
        <f t="shared" si="38"/>
        <v>5751000</v>
      </c>
      <c r="H100">
        <f t="shared" si="38"/>
        <v>5751000</v>
      </c>
      <c r="I100">
        <f t="shared" si="38"/>
        <v>5751000</v>
      </c>
      <c r="J100">
        <f t="shared" si="38"/>
        <v>5751000</v>
      </c>
      <c r="K100">
        <f t="shared" si="38"/>
        <v>5751000</v>
      </c>
      <c r="L100">
        <f t="shared" si="38"/>
        <v>5751000</v>
      </c>
      <c r="M100">
        <f t="shared" si="38"/>
        <v>5751000</v>
      </c>
      <c r="N100">
        <f t="shared" si="38"/>
        <v>5751000</v>
      </c>
      <c r="O100">
        <f t="shared" si="38"/>
        <v>5751000</v>
      </c>
      <c r="P100">
        <f t="shared" si="38"/>
        <v>5751000</v>
      </c>
      <c r="Q100">
        <f t="shared" si="38"/>
        <v>5751000</v>
      </c>
      <c r="R100">
        <f t="shared" si="38"/>
        <v>5751000</v>
      </c>
      <c r="S100">
        <f t="shared" si="38"/>
        <v>5751000</v>
      </c>
      <c r="T100">
        <f t="shared" si="38"/>
        <v>5751000</v>
      </c>
      <c r="U100">
        <f t="shared" si="38"/>
        <v>5751000</v>
      </c>
      <c r="V100">
        <f t="shared" si="38"/>
        <v>5751000</v>
      </c>
      <c r="W100">
        <f t="shared" si="38"/>
        <v>5751000</v>
      </c>
      <c r="X100">
        <f t="shared" si="38"/>
        <v>5751000</v>
      </c>
      <c r="Y100">
        <f t="shared" si="38"/>
        <v>5751000</v>
      </c>
      <c r="Z100">
        <f t="shared" si="38"/>
        <v>5751000</v>
      </c>
      <c r="AA100">
        <f t="shared" si="38"/>
        <v>5751000</v>
      </c>
      <c r="AB100">
        <f t="shared" si="38"/>
        <v>5751000</v>
      </c>
      <c r="AC100">
        <f t="shared" si="38"/>
        <v>5751000</v>
      </c>
      <c r="AD100">
        <f t="shared" si="38"/>
        <v>5751000</v>
      </c>
      <c r="AE100">
        <f t="shared" si="38"/>
        <v>5751000</v>
      </c>
      <c r="AF100">
        <f t="shared" si="38"/>
        <v>5751000</v>
      </c>
      <c r="AG100">
        <f t="shared" si="38"/>
        <v>5751000</v>
      </c>
      <c r="AH100">
        <f t="shared" si="38"/>
        <v>5751000</v>
      </c>
    </row>
    <row r="101" spans="1:36" x14ac:dyDescent="0.25">
      <c r="A101" t="s">
        <v>1348</v>
      </c>
      <c r="B101" s="353" t="s">
        <v>1345</v>
      </c>
      <c r="C101" s="11"/>
      <c r="D101" s="11"/>
      <c r="E101" s="11">
        <f t="shared" ref="E101:AH101" si="39">E93</f>
        <v>0.53645091974861669</v>
      </c>
      <c r="F101" s="11">
        <f t="shared" si="39"/>
        <v>0.54997072969670069</v>
      </c>
      <c r="G101" s="11">
        <f t="shared" si="39"/>
        <v>0.56102856350540731</v>
      </c>
      <c r="H101" s="11">
        <f t="shared" si="39"/>
        <v>0.5700150141357454</v>
      </c>
      <c r="I101" s="11">
        <f t="shared" si="39"/>
        <v>0.60011533217746849</v>
      </c>
      <c r="J101" s="11">
        <f t="shared" si="39"/>
        <v>0.61105450199684541</v>
      </c>
      <c r="K101" s="11">
        <f t="shared" si="39"/>
        <v>0.59948684463010837</v>
      </c>
      <c r="L101" s="11">
        <f t="shared" si="39"/>
        <v>0.60142383662462795</v>
      </c>
      <c r="M101" s="11">
        <f t="shared" si="39"/>
        <v>0.59223090196225325</v>
      </c>
      <c r="N101" s="11">
        <f t="shared" si="39"/>
        <v>0.59243101626978678</v>
      </c>
      <c r="O101" s="11">
        <f t="shared" si="39"/>
        <v>0.59547180272889089</v>
      </c>
      <c r="P101" s="11">
        <f t="shared" si="39"/>
        <v>0.59232286634778719</v>
      </c>
      <c r="Q101" s="11">
        <f t="shared" si="39"/>
        <v>0.5848717462177262</v>
      </c>
      <c r="R101" s="11">
        <f t="shared" si="39"/>
        <v>0.57381903846314053</v>
      </c>
      <c r="S101" s="11">
        <f t="shared" si="39"/>
        <v>0.56900680678243232</v>
      </c>
      <c r="T101" s="11">
        <f t="shared" si="39"/>
        <v>0.57449773524814773</v>
      </c>
      <c r="U101" s="11">
        <f t="shared" si="39"/>
        <v>0.57455453264595369</v>
      </c>
      <c r="V101" s="11">
        <f t="shared" si="39"/>
        <v>0.56493371835757467</v>
      </c>
      <c r="W101" s="11">
        <f t="shared" si="39"/>
        <v>0.56396381038870824</v>
      </c>
      <c r="X101" s="11">
        <f t="shared" si="39"/>
        <v>0.57525318355302912</v>
      </c>
      <c r="Y101" s="11">
        <f t="shared" si="39"/>
        <v>0.58648684903379511</v>
      </c>
      <c r="Z101" s="11">
        <f t="shared" si="39"/>
        <v>0.59257858874172153</v>
      </c>
      <c r="AA101" s="11">
        <f t="shared" si="39"/>
        <v>0.59629133100616238</v>
      </c>
      <c r="AB101" s="11">
        <f t="shared" si="39"/>
        <v>0.59827202208885133</v>
      </c>
      <c r="AC101" s="11">
        <f t="shared" si="39"/>
        <v>0.58371622748739016</v>
      </c>
      <c r="AD101" s="11">
        <f t="shared" si="39"/>
        <v>0.56479821483354864</v>
      </c>
      <c r="AE101" s="11">
        <f t="shared" si="39"/>
        <v>0.55692609756713041</v>
      </c>
      <c r="AF101" s="11">
        <f t="shared" si="39"/>
        <v>0.55869791886277531</v>
      </c>
      <c r="AG101" s="11">
        <f t="shared" si="39"/>
        <v>0.56142100967800646</v>
      </c>
      <c r="AH101" s="11">
        <f t="shared" si="39"/>
        <v>0.47967019801089783</v>
      </c>
      <c r="AI101" s="11"/>
      <c r="AJ101" s="11"/>
    </row>
    <row r="102" spans="1:36" x14ac:dyDescent="0.25">
      <c r="A102" t="s">
        <v>1349</v>
      </c>
      <c r="E102">
        <f t="shared" ref="E102:AH102" si="40">(E97*E98)/(E99*10^6*E100*365)*E101</f>
        <v>9.6934796975722764E-9</v>
      </c>
      <c r="F102">
        <f t="shared" si="40"/>
        <v>9.3135130051609239E-9</v>
      </c>
      <c r="G102">
        <f t="shared" si="40"/>
        <v>9.3022861116131159E-9</v>
      </c>
      <c r="H102">
        <f t="shared" si="40"/>
        <v>9.4562782948666427E-9</v>
      </c>
      <c r="I102">
        <f t="shared" si="40"/>
        <v>9.0425290165999605E-9</v>
      </c>
      <c r="J102">
        <f t="shared" si="40"/>
        <v>9.2414265698237268E-9</v>
      </c>
      <c r="K102">
        <f t="shared" si="40"/>
        <v>9.0351688674885234E-9</v>
      </c>
      <c r="L102">
        <f t="shared" si="40"/>
        <v>8.9789249271028868E-9</v>
      </c>
      <c r="M102">
        <f t="shared" si="40"/>
        <v>8.809788162647974E-9</v>
      </c>
      <c r="N102">
        <f t="shared" si="40"/>
        <v>8.6557940029407234E-9</v>
      </c>
      <c r="O102">
        <f t="shared" si="40"/>
        <v>8.5222603924432059E-9</v>
      </c>
      <c r="P102">
        <f t="shared" si="40"/>
        <v>8.3307299692297599E-9</v>
      </c>
      <c r="Q102">
        <f t="shared" si="40"/>
        <v>8.1417047620699171E-9</v>
      </c>
      <c r="R102">
        <f t="shared" si="40"/>
        <v>7.8775976555645741E-9</v>
      </c>
      <c r="S102">
        <f t="shared" si="40"/>
        <v>7.7692525413330549E-9</v>
      </c>
      <c r="T102">
        <f t="shared" si="40"/>
        <v>7.8089071603099064E-9</v>
      </c>
      <c r="U102">
        <f t="shared" si="40"/>
        <v>7.7639730948161507E-9</v>
      </c>
      <c r="V102">
        <f t="shared" si="40"/>
        <v>7.5970970561440681E-9</v>
      </c>
      <c r="W102">
        <f t="shared" si="40"/>
        <v>7.5386566503289659E-9</v>
      </c>
      <c r="X102">
        <f t="shared" si="40"/>
        <v>7.5844293135414676E-9</v>
      </c>
      <c r="Y102">
        <f t="shared" si="40"/>
        <v>7.6236900096560844E-9</v>
      </c>
      <c r="Z102">
        <f t="shared" si="40"/>
        <v>7.6240872020453801E-9</v>
      </c>
      <c r="AA102">
        <f t="shared" si="40"/>
        <v>7.6034674454057822E-9</v>
      </c>
      <c r="AB102">
        <f t="shared" si="40"/>
        <v>7.5829801819393495E-9</v>
      </c>
      <c r="AC102">
        <f t="shared" si="40"/>
        <v>7.3717454565324733E-9</v>
      </c>
      <c r="AD102">
        <f t="shared" si="40"/>
        <v>7.1002902787541172E-9</v>
      </c>
      <c r="AE102">
        <f t="shared" si="40"/>
        <v>6.9772583626550278E-9</v>
      </c>
      <c r="AF102">
        <f t="shared" si="40"/>
        <v>6.9840178444856978E-9</v>
      </c>
      <c r="AG102">
        <f t="shared" si="40"/>
        <v>7.0259078770230418E-9</v>
      </c>
      <c r="AH102">
        <f t="shared" si="40"/>
        <v>6.9827770505629829E-9</v>
      </c>
    </row>
    <row r="104" spans="1:36" x14ac:dyDescent="0.25">
      <c r="A104" s="15" t="s">
        <v>429</v>
      </c>
    </row>
    <row r="105" spans="1:36" x14ac:dyDescent="0.25">
      <c r="A105" t="s">
        <v>1343</v>
      </c>
      <c r="B105" t="s">
        <v>1352</v>
      </c>
      <c r="E105">
        <f>'Subsidies Paid'!H20</f>
        <v>10000000</v>
      </c>
    </row>
    <row r="106" spans="1:36" x14ac:dyDescent="0.25">
      <c r="A106" t="s">
        <v>1344</v>
      </c>
      <c r="B106" s="353" t="s">
        <v>1345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1346</v>
      </c>
      <c r="B107" s="353" t="s">
        <v>1347</v>
      </c>
      <c r="E107">
        <f>5.751*10^6</f>
        <v>5751000</v>
      </c>
      <c r="AA107" s="5"/>
      <c r="AB107" s="5"/>
      <c r="AC107" s="5"/>
      <c r="AD107" s="5"/>
      <c r="AE107" s="5"/>
      <c r="AF107" s="5"/>
      <c r="AG107" s="5"/>
      <c r="AH107" s="5"/>
      <c r="AI107" s="5"/>
      <c r="AJ107" s="5"/>
    </row>
    <row r="108" spans="1:36" x14ac:dyDescent="0.25">
      <c r="A108" t="s">
        <v>1348</v>
      </c>
      <c r="B108" s="353" t="s">
        <v>1345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1349</v>
      </c>
      <c r="E109">
        <f>E105/(E106*10^6*E107*365)*E108</f>
        <v>2.2958586358420456E-10</v>
      </c>
      <c r="F109">
        <f t="shared" ref="F109:AH109" si="41">E109</f>
        <v>2.2958586358420456E-10</v>
      </c>
      <c r="G109">
        <f t="shared" si="41"/>
        <v>2.2958586358420456E-10</v>
      </c>
      <c r="H109">
        <f t="shared" si="41"/>
        <v>2.2958586358420456E-10</v>
      </c>
      <c r="I109">
        <f t="shared" si="41"/>
        <v>2.2958586358420456E-10</v>
      </c>
      <c r="J109">
        <f t="shared" si="41"/>
        <v>2.2958586358420456E-10</v>
      </c>
      <c r="K109">
        <f t="shared" si="41"/>
        <v>2.2958586358420456E-10</v>
      </c>
      <c r="L109">
        <f t="shared" si="41"/>
        <v>2.2958586358420456E-10</v>
      </c>
      <c r="M109">
        <f t="shared" si="41"/>
        <v>2.2958586358420456E-10</v>
      </c>
      <c r="N109">
        <f t="shared" si="41"/>
        <v>2.2958586358420456E-10</v>
      </c>
      <c r="O109">
        <f t="shared" si="41"/>
        <v>2.2958586358420456E-10</v>
      </c>
      <c r="P109">
        <f t="shared" si="41"/>
        <v>2.2958586358420456E-10</v>
      </c>
      <c r="Q109">
        <f t="shared" si="41"/>
        <v>2.2958586358420456E-10</v>
      </c>
      <c r="R109">
        <f t="shared" si="41"/>
        <v>2.2958586358420456E-10</v>
      </c>
      <c r="S109">
        <f t="shared" si="41"/>
        <v>2.2958586358420456E-10</v>
      </c>
      <c r="T109">
        <f t="shared" si="41"/>
        <v>2.2958586358420456E-10</v>
      </c>
      <c r="U109">
        <f t="shared" si="41"/>
        <v>2.2958586358420456E-10</v>
      </c>
      <c r="V109">
        <f t="shared" si="41"/>
        <v>2.2958586358420456E-10</v>
      </c>
      <c r="W109">
        <f t="shared" si="41"/>
        <v>2.2958586358420456E-10</v>
      </c>
      <c r="X109">
        <f t="shared" si="41"/>
        <v>2.2958586358420456E-10</v>
      </c>
      <c r="Y109">
        <f t="shared" si="41"/>
        <v>2.2958586358420456E-10</v>
      </c>
      <c r="Z109">
        <f t="shared" si="41"/>
        <v>2.2958586358420456E-10</v>
      </c>
      <c r="AA109">
        <f t="shared" si="41"/>
        <v>2.2958586358420456E-10</v>
      </c>
      <c r="AB109">
        <f t="shared" si="41"/>
        <v>2.2958586358420456E-10</v>
      </c>
      <c r="AC109">
        <f t="shared" si="41"/>
        <v>2.2958586358420456E-10</v>
      </c>
      <c r="AD109">
        <f t="shared" si="41"/>
        <v>2.2958586358420456E-10</v>
      </c>
      <c r="AE109">
        <f t="shared" si="41"/>
        <v>2.2958586358420456E-10</v>
      </c>
      <c r="AF109">
        <f t="shared" si="41"/>
        <v>2.2958586358420456E-10</v>
      </c>
      <c r="AG109">
        <f t="shared" si="41"/>
        <v>2.2958586358420456E-10</v>
      </c>
      <c r="AH109">
        <f t="shared" si="41"/>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I13:K13"/>
    <mergeCell ref="C6:H6"/>
    <mergeCell ref="D20:I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
  <sheetViews>
    <sheetView workbookViewId="0">
      <selection activeCell="D10" sqref="D10"/>
    </sheetView>
  </sheetViews>
  <sheetFormatPr defaultRowHeight="15" x14ac:dyDescent="0.25"/>
  <cols>
    <col min="1" max="1" width="27.28515625" customWidth="1"/>
    <col min="2" max="2" width="12.5703125" bestFit="1" customWidth="1"/>
  </cols>
  <sheetData>
    <row r="1" spans="1:2" x14ac:dyDescent="0.25">
      <c r="A1" t="s">
        <v>1353</v>
      </c>
      <c r="B1">
        <v>10</v>
      </c>
    </row>
    <row r="2" spans="1:2" ht="29.1" customHeight="1" x14ac:dyDescent="0.25">
      <c r="A2" s="35" t="s">
        <v>1354</v>
      </c>
      <c r="B2">
        <v>30</v>
      </c>
    </row>
    <row r="3" spans="1:2" ht="29.1" customHeight="1" x14ac:dyDescent="0.25">
      <c r="A3" s="35" t="s">
        <v>1355</v>
      </c>
      <c r="B3">
        <v>0.39100000000000001</v>
      </c>
    </row>
    <row r="4" spans="1:2" ht="29.1" customHeight="1" x14ac:dyDescent="0.25">
      <c r="A4" s="35" t="s">
        <v>1356</v>
      </c>
      <c r="B4">
        <v>0.48799999999999999</v>
      </c>
    </row>
    <row r="5" spans="1:2" x14ac:dyDescent="0.25">
      <c r="A5" s="35" t="s">
        <v>131</v>
      </c>
      <c r="B5">
        <v>0.03</v>
      </c>
    </row>
    <row r="6" spans="1:2" x14ac:dyDescent="0.25">
      <c r="A6" s="35" t="s">
        <v>1357</v>
      </c>
      <c r="B6">
        <v>8760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9:A30"/>
  <sheetViews>
    <sheetView workbookViewId="0">
      <selection activeCell="A30" sqref="A30"/>
    </sheetView>
  </sheetViews>
  <sheetFormatPr defaultRowHeight="15" x14ac:dyDescent="0.25"/>
  <sheetData>
    <row r="29" spans="1:1" x14ac:dyDescent="0.25">
      <c r="A29" t="s">
        <v>1358</v>
      </c>
    </row>
    <row r="30" spans="1:1" x14ac:dyDescent="0.25">
      <c r="A30">
        <f>1-0.33</f>
        <v>0.66999999999999993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B22"/>
  <sheetViews>
    <sheetView workbookViewId="0">
      <selection activeCell="B1" sqref="B1:D1048576"/>
    </sheetView>
  </sheetViews>
  <sheetFormatPr defaultColWidth="9.28515625" defaultRowHeight="15" x14ac:dyDescent="0.25"/>
  <cols>
    <col min="1" max="1" width="26.5703125" customWidth="1"/>
  </cols>
  <sheetData>
    <row r="1" spans="1:28"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1359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1360</v>
      </c>
      <c r="B3">
        <f>SUM(Calculations!G46,Calculations!G51)</f>
        <v>1.3790882654332546E-8</v>
      </c>
      <c r="C3">
        <f>SUM(Calculations!H46,Calculations!H51)</f>
        <v>1.3339431312062067E-8</v>
      </c>
      <c r="D3">
        <f>SUM(Calculations!I46,Calculations!I51)</f>
        <v>1.3574651866434929E-8</v>
      </c>
      <c r="E3">
        <f>SUM(Calculations!J46,Calculations!J51)</f>
        <v>1.3909594092536195E-8</v>
      </c>
      <c r="F3">
        <f>SUM(Calculations!K46,Calculations!K51)</f>
        <v>1.4550361785290465E-8</v>
      </c>
      <c r="G3">
        <f>SUM(Calculations!L46,Calculations!L51)</f>
        <v>1.4808038116931876E-8</v>
      </c>
      <c r="H3">
        <f>SUM(Calculations!M46,Calculations!M51)</f>
        <v>1.4691420004273048E-8</v>
      </c>
      <c r="I3">
        <f>SUM(Calculations!N46,Calculations!N51)</f>
        <v>1.5870614847961547E-8</v>
      </c>
      <c r="J3">
        <f>SUM(Calculations!O46,Calculations!O51)</f>
        <v>1.6195935072587922E-8</v>
      </c>
      <c r="K3">
        <f>SUM(Calculations!P46,Calculations!P51)</f>
        <v>1.6404283942617241E-8</v>
      </c>
      <c r="L3">
        <f>SUM(Calculations!Q46,Calculations!Q51)</f>
        <v>1.6831980425248747E-8</v>
      </c>
      <c r="M3">
        <f>SUM(Calculations!R46,Calculations!R51)</f>
        <v>1.6860803295476023E-8</v>
      </c>
      <c r="N3">
        <f>SUM(Calculations!S46,Calculations!S51)</f>
        <v>1.7091145141203546E-8</v>
      </c>
      <c r="O3">
        <f>SUM(Calculations!T46,Calculations!T51)</f>
        <v>1.7131094391320983E-8</v>
      </c>
      <c r="P3">
        <f>SUM(Calculations!U46,Calculations!U51)</f>
        <v>1.7117073927647257E-8</v>
      </c>
      <c r="Q3">
        <f>SUM(Calculations!V46,Calculations!V51)</f>
        <v>1.7226826008756617E-8</v>
      </c>
      <c r="R3">
        <f>SUM(Calculations!W46,Calculations!W51)</f>
        <v>1.7492664892205521E-8</v>
      </c>
      <c r="S3">
        <f>SUM(Calculations!X46,Calculations!X51)</f>
        <v>1.7795981099063673E-8</v>
      </c>
      <c r="T3">
        <f>SUM(Calculations!Y46,Calculations!Y51)</f>
        <v>1.8032992462528367E-8</v>
      </c>
      <c r="U3">
        <f>SUM(Calculations!Z46,Calculations!Z51)</f>
        <v>1.8179499752631827E-8</v>
      </c>
      <c r="V3">
        <f>SUM(Calculations!AA46,Calculations!AA51)</f>
        <v>1.8314895729416611E-8</v>
      </c>
      <c r="W3">
        <f>SUM(Calculations!AB46,Calculations!AB51)</f>
        <v>1.8477108431410938E-8</v>
      </c>
      <c r="X3">
        <f>SUM(Calculations!AC46,Calculations!AC51)</f>
        <v>1.8612079408027421E-8</v>
      </c>
      <c r="Y3">
        <f>SUM(Calculations!AD46,Calculations!AD51)</f>
        <v>1.8584803281169984E-8</v>
      </c>
      <c r="Z3">
        <f>SUM(Calculations!AE46,Calculations!AE51)</f>
        <v>1.863844483333939E-8</v>
      </c>
      <c r="AA3">
        <f>SUM(Calculations!AF46,Calculations!AF51)</f>
        <v>1.8848666377517977E-8</v>
      </c>
      <c r="AB3">
        <f>SUM(Calculations!AG46,Calculations!AG51)</f>
        <v>1.9440606498857644E-8</v>
      </c>
    </row>
    <row r="4" spans="1:28" x14ac:dyDescent="0.25">
      <c r="A4" t="s">
        <v>1361</v>
      </c>
      <c r="B4">
        <f>SUM(Calculations!G58,Calculations!G64,Calculations!G70)</f>
        <v>3.8851875622860542E-8</v>
      </c>
      <c r="C4">
        <f>SUM(Calculations!H58,Calculations!H64,Calculations!H70)</f>
        <v>3.7810242781995915E-8</v>
      </c>
      <c r="D4">
        <f>SUM(Calculations!I58,Calculations!I64,Calculations!I70)</f>
        <v>3.7982443924150547E-8</v>
      </c>
      <c r="E4">
        <f>SUM(Calculations!J58,Calculations!J64,Calculations!J70)</f>
        <v>3.7864350350851582E-8</v>
      </c>
      <c r="F4">
        <f>SUM(Calculations!K58,Calculations!K64,Calculations!K70)</f>
        <v>3.7517956493239704E-8</v>
      </c>
      <c r="G4">
        <f>SUM(Calculations!L58,Calculations!L64,Calculations!L70)</f>
        <v>3.739683842074364E-8</v>
      </c>
      <c r="H4">
        <f>SUM(Calculations!M58,Calculations!M64,Calculations!M70)</f>
        <v>3.6744828751904914E-8</v>
      </c>
      <c r="I4">
        <f>SUM(Calculations!N58,Calculations!N64,Calculations!N70)</f>
        <v>3.6009707827936277E-8</v>
      </c>
      <c r="J4">
        <f>SUM(Calculations!O58,Calculations!O64,Calculations!O70)</f>
        <v>3.540318450209332E-8</v>
      </c>
      <c r="K4">
        <f>SUM(Calculations!P58,Calculations!P64,Calculations!P70)</f>
        <v>3.5051706121664425E-8</v>
      </c>
      <c r="L4">
        <f>SUM(Calculations!Q58,Calculations!Q64,Calculations!Q70)</f>
        <v>3.4580818445259014E-8</v>
      </c>
      <c r="M4">
        <f>SUM(Calculations!R58,Calculations!R64,Calculations!R70)</f>
        <v>3.4405552944659688E-8</v>
      </c>
      <c r="N4">
        <f>SUM(Calculations!S58,Calculations!S64,Calculations!S70)</f>
        <v>3.4260668546481641E-8</v>
      </c>
      <c r="O4">
        <f>SUM(Calculations!T58,Calculations!T64,Calculations!T70)</f>
        <v>3.4071301219251879E-8</v>
      </c>
      <c r="P4">
        <f>SUM(Calculations!U58,Calculations!U64,Calculations!U70)</f>
        <v>3.3920822886159178E-8</v>
      </c>
      <c r="Q4">
        <f>SUM(Calculations!V58,Calculations!V64,Calculations!V70)</f>
        <v>3.37294696210689E-8</v>
      </c>
      <c r="R4">
        <f>SUM(Calculations!W58,Calculations!W64,Calculations!W70)</f>
        <v>3.3273729891144987E-8</v>
      </c>
      <c r="S4">
        <f>SUM(Calculations!X58,Calculations!X64,Calculations!X70)</f>
        <v>3.2809397915071382E-8</v>
      </c>
      <c r="T4">
        <f>SUM(Calculations!Y58,Calculations!Y64,Calculations!Y70)</f>
        <v>3.2475224174223351E-8</v>
      </c>
      <c r="U4">
        <f>SUM(Calculations!Z58,Calculations!Z64,Calculations!Z70)</f>
        <v>3.2185221250996927E-8</v>
      </c>
      <c r="V4">
        <f>SUM(Calculations!AA58,Calculations!AA64,Calculations!AA70)</f>
        <v>3.1992368523119327E-8</v>
      </c>
      <c r="W4">
        <f>SUM(Calculations!AB58,Calculations!AB64,Calculations!AB70)</f>
        <v>3.1875127722613763E-8</v>
      </c>
      <c r="X4">
        <f>SUM(Calculations!AC58,Calculations!AC64,Calculations!AC70)</f>
        <v>3.1729045953145096E-8</v>
      </c>
      <c r="Y4">
        <f>SUM(Calculations!AD58,Calculations!AD64,Calculations!AD70)</f>
        <v>3.1623480246051192E-8</v>
      </c>
      <c r="Z4">
        <f>SUM(Calculations!AE58,Calculations!AE64,Calculations!AE70)</f>
        <v>3.1555579407025036E-8</v>
      </c>
      <c r="AA4">
        <f>SUM(Calculations!AF58,Calculations!AF64,Calculations!AF70)</f>
        <v>3.1595972226585355E-8</v>
      </c>
      <c r="AB4">
        <f>SUM(Calculations!AG58,Calculations!AG64,Calculations!AG70)</f>
        <v>3.1702994692725905E-8</v>
      </c>
    </row>
    <row r="5" spans="1:28"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138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1362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1363</v>
      </c>
      <c r="B10">
        <f>SUM(Calculations!H$78,Calculations!H$86,Calculations!H$94,Calculations!H$102,Calculations!H$109)</f>
        <v>5.1421461508657386E-8</v>
      </c>
      <c r="C10">
        <f>SUM(Calculations!I$78,Calculations!I$86,Calculations!I$94,Calculations!I$102,Calculations!I$109)</f>
        <v>4.982969621610014E-8</v>
      </c>
      <c r="D10">
        <f>SUM(Calculations!J$78,Calculations!J$86,Calculations!J$94,Calculations!J$102,Calculations!J$109)</f>
        <v>5.1050280305491631E-8</v>
      </c>
      <c r="E10">
        <f>SUM(Calculations!K$78,Calculations!K$86,Calculations!K$94,Calculations!K$102,Calculations!K$109)</f>
        <v>4.9908065370274759E-8</v>
      </c>
      <c r="F10">
        <f>SUM(Calculations!L$78,Calculations!L$86,Calculations!L$94,Calculations!L$102,Calculations!L$109)</f>
        <v>4.9798346765076109E-8</v>
      </c>
      <c r="G10">
        <f>SUM(Calculations!M$78,Calculations!M$86,Calculations!M$94,Calculations!M$102,Calculations!M$109)</f>
        <v>4.9118965259824012E-8</v>
      </c>
      <c r="H10">
        <f>SUM(Calculations!N$78,Calculations!N$86,Calculations!N$94,Calculations!N$102,Calculations!N$109)</f>
        <v>4.8518827013790186E-8</v>
      </c>
      <c r="I10">
        <f>SUM(Calculations!O$78,Calculations!O$86,Calculations!O$94,Calculations!O$102,Calculations!O$109)</f>
        <v>4.8326468500138772E-8</v>
      </c>
      <c r="J10">
        <f>SUM(Calculations!P$78,Calculations!P$86,Calculations!P$94,Calculations!P$102,Calculations!P$109)</f>
        <v>4.7840637418630905E-8</v>
      </c>
      <c r="K10">
        <f>SUM(Calculations!Q$78,Calculations!Q$86,Calculations!Q$94,Calculations!Q$102,Calculations!Q$109)</f>
        <v>4.7481370537467319E-8</v>
      </c>
      <c r="L10">
        <f>SUM(Calculations!R$78,Calculations!R$86,Calculations!R$94,Calculations!R$102,Calculations!R$109)</f>
        <v>4.6554299125958088E-8</v>
      </c>
      <c r="M10">
        <f>SUM(Calculations!S$78,Calculations!S$86,Calculations!S$94,Calculations!S$102,Calculations!S$109)</f>
        <v>4.6361326352156726E-8</v>
      </c>
      <c r="N10">
        <f>SUM(Calculations!T$78,Calculations!T$86,Calculations!T$94,Calculations!T$102,Calculations!T$109)</f>
        <v>4.6842970119750026E-8</v>
      </c>
      <c r="O10">
        <f>SUM(Calculations!U$78,Calculations!U$86,Calculations!U$94,Calculations!U$102,Calculations!U$109)</f>
        <v>4.6779875987630758E-8</v>
      </c>
      <c r="P10">
        <f>SUM(Calculations!V$78,Calculations!V$86,Calculations!V$94,Calculations!V$102,Calculations!V$109)</f>
        <v>4.609205043781066E-8</v>
      </c>
      <c r="Q10">
        <f>SUM(Calculations!W$78,Calculations!W$86,Calculations!W$94,Calculations!W$102,Calculations!W$109)</f>
        <v>4.5927247904586031E-8</v>
      </c>
      <c r="R10">
        <f>SUM(Calculations!X$78,Calculations!X$86,Calculations!X$94,Calculations!X$102,Calculations!X$109)</f>
        <v>4.6300491485862822E-8</v>
      </c>
      <c r="S10">
        <f>SUM(Calculations!Y$78,Calculations!Y$86,Calculations!Y$94,Calculations!Y$102,Calculations!Y$109)</f>
        <v>4.6663008869890887E-8</v>
      </c>
      <c r="T10">
        <f>SUM(Calculations!Z$78,Calculations!Z$86,Calculations!Z$94,Calculations!Z$102,Calculations!Z$109)</f>
        <v>4.686770996549019E-8</v>
      </c>
      <c r="U10">
        <f>SUM(Calculations!AA$78,Calculations!AA$86,Calculations!AA$94,Calculations!AA$102,Calculations!AA$109)</f>
        <v>4.6832856841006129E-8</v>
      </c>
      <c r="V10">
        <f>SUM(Calculations!AB$78,Calculations!AB$86,Calculations!AB$94,Calculations!AB$102,Calculations!AB$109)</f>
        <v>4.681130996981667E-8</v>
      </c>
      <c r="W10">
        <f>SUM(Calculations!AC$78,Calculations!AC$86,Calculations!AC$94,Calculations!AC$102,Calculations!AC$109)</f>
        <v>4.567697346424835E-8</v>
      </c>
      <c r="X10">
        <f>SUM(Calculations!AD$78,Calculations!AD$86,Calculations!AD$94,Calculations!AD$102,Calculations!AD$109)</f>
        <v>4.427985735601489E-8</v>
      </c>
      <c r="Y10">
        <f>SUM(Calculations!AE$78,Calculations!AE$86,Calculations!AE$94,Calculations!AE$102,Calculations!AE$109)</f>
        <v>4.3756487913885404E-8</v>
      </c>
      <c r="Z10">
        <f>SUM(Calculations!AF$78,Calculations!AF$86,Calculations!AF$94,Calculations!AF$102,Calculations!AF$109)</f>
        <v>4.4056037809951131E-8</v>
      </c>
      <c r="AA10">
        <f>SUM(Calculations!AG$78,Calculations!AG$86,Calculations!AG$94,Calculations!AG$102,Calculations!AG$109)</f>
        <v>4.457573668921231E-8</v>
      </c>
      <c r="AB10">
        <f>SUM(Calculations!AH$78,Calculations!AH$86,Calculations!AH$94,Calculations!AH$102,Calculations!AH$109)</f>
        <v>4.3790123633045591E-8</v>
      </c>
    </row>
    <row r="11" spans="1:28" x14ac:dyDescent="0.25">
      <c r="A11" t="s">
        <v>1364</v>
      </c>
      <c r="B11">
        <f>SUM(Calculations!H$78,Calculations!H$86,Calculations!H$94,Calculations!H$102,Calculations!H$109)</f>
        <v>5.1421461508657386E-8</v>
      </c>
      <c r="C11">
        <f>SUM(Calculations!I$78,Calculations!I$86,Calculations!I$94,Calculations!I$102,Calculations!I$109)</f>
        <v>4.982969621610014E-8</v>
      </c>
      <c r="D11">
        <f>SUM(Calculations!J$78,Calculations!J$86,Calculations!J$94,Calculations!J$102,Calculations!J$109)</f>
        <v>5.1050280305491631E-8</v>
      </c>
      <c r="E11">
        <f>SUM(Calculations!K$78,Calculations!K$86,Calculations!K$94,Calculations!K$102,Calculations!K$109)</f>
        <v>4.9908065370274759E-8</v>
      </c>
      <c r="F11">
        <f>SUM(Calculations!L$78,Calculations!L$86,Calculations!L$94,Calculations!L$102,Calculations!L$109)</f>
        <v>4.9798346765076109E-8</v>
      </c>
      <c r="G11">
        <f>SUM(Calculations!M$78,Calculations!M$86,Calculations!M$94,Calculations!M$102,Calculations!M$109)</f>
        <v>4.9118965259824012E-8</v>
      </c>
      <c r="H11">
        <f>SUM(Calculations!N$78,Calculations!N$86,Calculations!N$94,Calculations!N$102,Calculations!N$109)</f>
        <v>4.8518827013790186E-8</v>
      </c>
      <c r="I11">
        <f>SUM(Calculations!O$78,Calculations!O$86,Calculations!O$94,Calculations!O$102,Calculations!O$109)</f>
        <v>4.8326468500138772E-8</v>
      </c>
      <c r="J11">
        <f>SUM(Calculations!P$78,Calculations!P$86,Calculations!P$94,Calculations!P$102,Calculations!P$109)</f>
        <v>4.7840637418630905E-8</v>
      </c>
      <c r="K11">
        <f>SUM(Calculations!Q$78,Calculations!Q$86,Calculations!Q$94,Calculations!Q$102,Calculations!Q$109)</f>
        <v>4.7481370537467319E-8</v>
      </c>
      <c r="L11">
        <f>SUM(Calculations!R$78,Calculations!R$86,Calculations!R$94,Calculations!R$102,Calculations!R$109)</f>
        <v>4.6554299125958088E-8</v>
      </c>
      <c r="M11">
        <f>SUM(Calculations!S$78,Calculations!S$86,Calculations!S$94,Calculations!S$102,Calculations!S$109)</f>
        <v>4.6361326352156726E-8</v>
      </c>
      <c r="N11">
        <f>SUM(Calculations!T$78,Calculations!T$86,Calculations!T$94,Calculations!T$102,Calculations!T$109)</f>
        <v>4.6842970119750026E-8</v>
      </c>
      <c r="O11">
        <f>SUM(Calculations!U$78,Calculations!U$86,Calculations!U$94,Calculations!U$102,Calculations!U$109)</f>
        <v>4.6779875987630758E-8</v>
      </c>
      <c r="P11">
        <f>SUM(Calculations!V$78,Calculations!V$86,Calculations!V$94,Calculations!V$102,Calculations!V$109)</f>
        <v>4.609205043781066E-8</v>
      </c>
      <c r="Q11">
        <f>SUM(Calculations!W$78,Calculations!W$86,Calculations!W$94,Calculations!W$102,Calculations!W$109)</f>
        <v>4.5927247904586031E-8</v>
      </c>
      <c r="R11">
        <f>SUM(Calculations!X$78,Calculations!X$86,Calculations!X$94,Calculations!X$102,Calculations!X$109)</f>
        <v>4.6300491485862822E-8</v>
      </c>
      <c r="S11">
        <f>SUM(Calculations!Y$78,Calculations!Y$86,Calculations!Y$94,Calculations!Y$102,Calculations!Y$109)</f>
        <v>4.6663008869890887E-8</v>
      </c>
      <c r="T11">
        <f>SUM(Calculations!Z$78,Calculations!Z$86,Calculations!Z$94,Calculations!Z$102,Calculations!Z$109)</f>
        <v>4.686770996549019E-8</v>
      </c>
      <c r="U11">
        <f>SUM(Calculations!AA$78,Calculations!AA$86,Calculations!AA$94,Calculations!AA$102,Calculations!AA$109)</f>
        <v>4.6832856841006129E-8</v>
      </c>
      <c r="V11">
        <f>SUM(Calculations!AB$78,Calculations!AB$86,Calculations!AB$94,Calculations!AB$102,Calculations!AB$109)</f>
        <v>4.681130996981667E-8</v>
      </c>
      <c r="W11">
        <f>SUM(Calculations!AC$78,Calculations!AC$86,Calculations!AC$94,Calculations!AC$102,Calculations!AC$109)</f>
        <v>4.567697346424835E-8</v>
      </c>
      <c r="X11">
        <f>SUM(Calculations!AD$78,Calculations!AD$86,Calculations!AD$94,Calculations!AD$102,Calculations!AD$109)</f>
        <v>4.427985735601489E-8</v>
      </c>
      <c r="Y11">
        <f>SUM(Calculations!AE$78,Calculations!AE$86,Calculations!AE$94,Calculations!AE$102,Calculations!AE$109)</f>
        <v>4.3756487913885404E-8</v>
      </c>
      <c r="Z11">
        <f>SUM(Calculations!AF$78,Calculations!AF$86,Calculations!AF$94,Calculations!AF$102,Calculations!AF$109)</f>
        <v>4.4056037809951131E-8</v>
      </c>
      <c r="AA11">
        <f>SUM(Calculations!AG$78,Calculations!AG$86,Calculations!AG$94,Calculations!AG$102,Calculations!AG$109)</f>
        <v>4.457573668921231E-8</v>
      </c>
      <c r="AB11">
        <f>SUM(Calculations!AH$78,Calculations!AH$86,Calculations!AH$94,Calculations!AH$102,Calculations!AH$109)</f>
        <v>4.3790123633045591E-8</v>
      </c>
    </row>
    <row r="12" spans="1:28" x14ac:dyDescent="0.25">
      <c r="A12" t="s">
        <v>1365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1366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1367</v>
      </c>
      <c r="B14">
        <f>SUM(Calculations!H$78,Calculations!H$86,Calculations!H$94,Calculations!H$102,Calculations!H$109)</f>
        <v>5.1421461508657386E-8</v>
      </c>
      <c r="C14">
        <f>SUM(Calculations!I$78,Calculations!I$86,Calculations!I$94,Calculations!I$102,Calculations!I$109)</f>
        <v>4.982969621610014E-8</v>
      </c>
      <c r="D14">
        <f>SUM(Calculations!J$78,Calculations!J$86,Calculations!J$94,Calculations!J$102,Calculations!J$109)</f>
        <v>5.1050280305491631E-8</v>
      </c>
      <c r="E14">
        <f>SUM(Calculations!K$78,Calculations!K$86,Calculations!K$94,Calculations!K$102,Calculations!K$109)</f>
        <v>4.9908065370274759E-8</v>
      </c>
      <c r="F14">
        <f>SUM(Calculations!L$78,Calculations!L$86,Calculations!L$94,Calculations!L$102,Calculations!L$109)</f>
        <v>4.9798346765076109E-8</v>
      </c>
      <c r="G14">
        <f>SUM(Calculations!M$78,Calculations!M$86,Calculations!M$94,Calculations!M$102,Calculations!M$109)</f>
        <v>4.9118965259824012E-8</v>
      </c>
      <c r="H14">
        <f>SUM(Calculations!N$78,Calculations!N$86,Calculations!N$94,Calculations!N$102,Calculations!N$109)</f>
        <v>4.8518827013790186E-8</v>
      </c>
      <c r="I14">
        <f>SUM(Calculations!O$78,Calculations!O$86,Calculations!O$94,Calculations!O$102,Calculations!O$109)</f>
        <v>4.8326468500138772E-8</v>
      </c>
      <c r="J14">
        <f>SUM(Calculations!P$78,Calculations!P$86,Calculations!P$94,Calculations!P$102,Calculations!P$109)</f>
        <v>4.7840637418630905E-8</v>
      </c>
      <c r="K14">
        <f>SUM(Calculations!Q$78,Calculations!Q$86,Calculations!Q$94,Calculations!Q$102,Calculations!Q$109)</f>
        <v>4.7481370537467319E-8</v>
      </c>
      <c r="L14">
        <f>SUM(Calculations!R$78,Calculations!R$86,Calculations!R$94,Calculations!R$102,Calculations!R$109)</f>
        <v>4.6554299125958088E-8</v>
      </c>
      <c r="M14">
        <f>SUM(Calculations!S$78,Calculations!S$86,Calculations!S$94,Calculations!S$102,Calculations!S$109)</f>
        <v>4.6361326352156726E-8</v>
      </c>
      <c r="N14">
        <f>SUM(Calculations!T$78,Calculations!T$86,Calculations!T$94,Calculations!T$102,Calculations!T$109)</f>
        <v>4.6842970119750026E-8</v>
      </c>
      <c r="O14">
        <f>SUM(Calculations!U$78,Calculations!U$86,Calculations!U$94,Calculations!U$102,Calculations!U$109)</f>
        <v>4.6779875987630758E-8</v>
      </c>
      <c r="P14">
        <f>SUM(Calculations!V$78,Calculations!V$86,Calculations!V$94,Calculations!V$102,Calculations!V$109)</f>
        <v>4.609205043781066E-8</v>
      </c>
      <c r="Q14">
        <f>SUM(Calculations!W$78,Calculations!W$86,Calculations!W$94,Calculations!W$102,Calculations!W$109)</f>
        <v>4.5927247904586031E-8</v>
      </c>
      <c r="R14">
        <f>SUM(Calculations!X$78,Calculations!X$86,Calculations!X$94,Calculations!X$102,Calculations!X$109)</f>
        <v>4.6300491485862822E-8</v>
      </c>
      <c r="S14">
        <f>SUM(Calculations!Y$78,Calculations!Y$86,Calculations!Y$94,Calculations!Y$102,Calculations!Y$109)</f>
        <v>4.6663008869890887E-8</v>
      </c>
      <c r="T14">
        <f>SUM(Calculations!Z$78,Calculations!Z$86,Calculations!Z$94,Calculations!Z$102,Calculations!Z$109)</f>
        <v>4.686770996549019E-8</v>
      </c>
      <c r="U14">
        <f>SUM(Calculations!AA$78,Calculations!AA$86,Calculations!AA$94,Calculations!AA$102,Calculations!AA$109)</f>
        <v>4.6832856841006129E-8</v>
      </c>
      <c r="V14">
        <f>SUM(Calculations!AB$78,Calculations!AB$86,Calculations!AB$94,Calculations!AB$102,Calculations!AB$109)</f>
        <v>4.681130996981667E-8</v>
      </c>
      <c r="W14">
        <f>SUM(Calculations!AC$78,Calculations!AC$86,Calculations!AC$94,Calculations!AC$102,Calculations!AC$109)</f>
        <v>4.567697346424835E-8</v>
      </c>
      <c r="X14">
        <f>SUM(Calculations!AD$78,Calculations!AD$86,Calculations!AD$94,Calculations!AD$102,Calculations!AD$109)</f>
        <v>4.427985735601489E-8</v>
      </c>
      <c r="Y14">
        <f>SUM(Calculations!AE$78,Calculations!AE$86,Calculations!AE$94,Calculations!AE$102,Calculations!AE$109)</f>
        <v>4.3756487913885404E-8</v>
      </c>
      <c r="Z14">
        <f>SUM(Calculations!AF$78,Calculations!AF$86,Calculations!AF$94,Calculations!AF$102,Calculations!AF$109)</f>
        <v>4.4056037809951131E-8</v>
      </c>
      <c r="AA14">
        <f>SUM(Calculations!AG$78,Calculations!AG$86,Calculations!AG$94,Calculations!AG$102,Calculations!AG$109)</f>
        <v>4.457573668921231E-8</v>
      </c>
      <c r="AB14">
        <f>SUM(Calculations!AH$78,Calculations!AH$86,Calculations!AH$94,Calculations!AH$102,Calculations!AH$109)</f>
        <v>4.3790123633045591E-8</v>
      </c>
    </row>
    <row r="15" spans="1:28" x14ac:dyDescent="0.25">
      <c r="A15" t="s">
        <v>1368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151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1369</v>
      </c>
      <c r="B17">
        <f t="shared" ref="B17:AB17" si="0">B3</f>
        <v>1.3790882654332546E-8</v>
      </c>
      <c r="C17">
        <f t="shared" si="0"/>
        <v>1.3339431312062067E-8</v>
      </c>
      <c r="D17">
        <f t="shared" si="0"/>
        <v>1.3574651866434929E-8</v>
      </c>
      <c r="E17">
        <f t="shared" si="0"/>
        <v>1.3909594092536195E-8</v>
      </c>
      <c r="F17">
        <f t="shared" si="0"/>
        <v>1.4550361785290465E-8</v>
      </c>
      <c r="G17">
        <f t="shared" si="0"/>
        <v>1.4808038116931876E-8</v>
      </c>
      <c r="H17">
        <f t="shared" si="0"/>
        <v>1.4691420004273048E-8</v>
      </c>
      <c r="I17">
        <f t="shared" si="0"/>
        <v>1.5870614847961547E-8</v>
      </c>
      <c r="J17">
        <f t="shared" si="0"/>
        <v>1.6195935072587922E-8</v>
      </c>
      <c r="K17">
        <f t="shared" si="0"/>
        <v>1.6404283942617241E-8</v>
      </c>
      <c r="L17">
        <f t="shared" si="0"/>
        <v>1.6831980425248747E-8</v>
      </c>
      <c r="M17">
        <f t="shared" si="0"/>
        <v>1.6860803295476023E-8</v>
      </c>
      <c r="N17">
        <f t="shared" si="0"/>
        <v>1.7091145141203546E-8</v>
      </c>
      <c r="O17">
        <f t="shared" si="0"/>
        <v>1.7131094391320983E-8</v>
      </c>
      <c r="P17">
        <f t="shared" si="0"/>
        <v>1.7117073927647257E-8</v>
      </c>
      <c r="Q17">
        <f t="shared" si="0"/>
        <v>1.7226826008756617E-8</v>
      </c>
      <c r="R17">
        <f t="shared" si="0"/>
        <v>1.7492664892205521E-8</v>
      </c>
      <c r="S17">
        <f t="shared" si="0"/>
        <v>1.7795981099063673E-8</v>
      </c>
      <c r="T17">
        <f t="shared" si="0"/>
        <v>1.8032992462528367E-8</v>
      </c>
      <c r="U17">
        <f t="shared" si="0"/>
        <v>1.8179499752631827E-8</v>
      </c>
      <c r="V17">
        <f t="shared" si="0"/>
        <v>1.8314895729416611E-8</v>
      </c>
      <c r="W17">
        <f t="shared" si="0"/>
        <v>1.8477108431410938E-8</v>
      </c>
      <c r="X17">
        <f t="shared" si="0"/>
        <v>1.8612079408027421E-8</v>
      </c>
      <c r="Y17">
        <f t="shared" si="0"/>
        <v>1.8584803281169984E-8</v>
      </c>
      <c r="Z17">
        <f t="shared" si="0"/>
        <v>1.863844483333939E-8</v>
      </c>
      <c r="AA17">
        <f t="shared" si="0"/>
        <v>1.8848666377517977E-8</v>
      </c>
      <c r="AB17">
        <f t="shared" si="0"/>
        <v>1.9440606498857644E-8</v>
      </c>
    </row>
    <row r="18" spans="1:28" x14ac:dyDescent="0.25">
      <c r="A18" t="s">
        <v>1370</v>
      </c>
      <c r="B18">
        <f>SUM(Calculations!H$78,Calculations!H$86,Calculations!H$94,Calculations!H$102,Calculations!H$109)</f>
        <v>5.1421461508657386E-8</v>
      </c>
      <c r="C18">
        <f>SUM(Calculations!I$78,Calculations!I$86,Calculations!I$94,Calculations!I$102,Calculations!I$109)</f>
        <v>4.982969621610014E-8</v>
      </c>
      <c r="D18">
        <f>SUM(Calculations!J$78,Calculations!J$86,Calculations!J$94,Calculations!J$102,Calculations!J$109)</f>
        <v>5.1050280305491631E-8</v>
      </c>
      <c r="E18">
        <f>SUM(Calculations!K$78,Calculations!K$86,Calculations!K$94,Calculations!K$102,Calculations!K$109)</f>
        <v>4.9908065370274759E-8</v>
      </c>
      <c r="F18">
        <f>SUM(Calculations!L$78,Calculations!L$86,Calculations!L$94,Calculations!L$102,Calculations!L$109)</f>
        <v>4.9798346765076109E-8</v>
      </c>
      <c r="G18">
        <f>SUM(Calculations!M$78,Calculations!M$86,Calculations!M$94,Calculations!M$102,Calculations!M$109)</f>
        <v>4.9118965259824012E-8</v>
      </c>
      <c r="H18">
        <f>SUM(Calculations!N$78,Calculations!N$86,Calculations!N$94,Calculations!N$102,Calculations!N$109)</f>
        <v>4.8518827013790186E-8</v>
      </c>
      <c r="I18">
        <f>SUM(Calculations!O$78,Calculations!O$86,Calculations!O$94,Calculations!O$102,Calculations!O$109)</f>
        <v>4.8326468500138772E-8</v>
      </c>
      <c r="J18">
        <f>SUM(Calculations!P$78,Calculations!P$86,Calculations!P$94,Calculations!P$102,Calculations!P$109)</f>
        <v>4.7840637418630905E-8</v>
      </c>
      <c r="K18">
        <f>SUM(Calculations!Q$78,Calculations!Q$86,Calculations!Q$94,Calculations!Q$102,Calculations!Q$109)</f>
        <v>4.7481370537467319E-8</v>
      </c>
      <c r="L18">
        <f>SUM(Calculations!R$78,Calculations!R$86,Calculations!R$94,Calculations!R$102,Calculations!R$109)</f>
        <v>4.6554299125958088E-8</v>
      </c>
      <c r="M18">
        <f>SUM(Calculations!S$78,Calculations!S$86,Calculations!S$94,Calculations!S$102,Calculations!S$109)</f>
        <v>4.6361326352156726E-8</v>
      </c>
      <c r="N18">
        <f>SUM(Calculations!T$78,Calculations!T$86,Calculations!T$94,Calculations!T$102,Calculations!T$109)</f>
        <v>4.6842970119750026E-8</v>
      </c>
      <c r="O18">
        <f>SUM(Calculations!U$78,Calculations!U$86,Calculations!U$94,Calculations!U$102,Calculations!U$109)</f>
        <v>4.6779875987630758E-8</v>
      </c>
      <c r="P18">
        <f>SUM(Calculations!V$78,Calculations!V$86,Calculations!V$94,Calculations!V$102,Calculations!V$109)</f>
        <v>4.609205043781066E-8</v>
      </c>
      <c r="Q18">
        <f>SUM(Calculations!W$78,Calculations!W$86,Calculations!W$94,Calculations!W$102,Calculations!W$109)</f>
        <v>4.5927247904586031E-8</v>
      </c>
      <c r="R18">
        <f>SUM(Calculations!X$78,Calculations!X$86,Calculations!X$94,Calculations!X$102,Calculations!X$109)</f>
        <v>4.6300491485862822E-8</v>
      </c>
      <c r="S18">
        <f>SUM(Calculations!Y$78,Calculations!Y$86,Calculations!Y$94,Calculations!Y$102,Calculations!Y$109)</f>
        <v>4.6663008869890887E-8</v>
      </c>
      <c r="T18">
        <f>SUM(Calculations!Z$78,Calculations!Z$86,Calculations!Z$94,Calculations!Z$102,Calculations!Z$109)</f>
        <v>4.686770996549019E-8</v>
      </c>
      <c r="U18">
        <f>SUM(Calculations!AA$78,Calculations!AA$86,Calculations!AA$94,Calculations!AA$102,Calculations!AA$109)</f>
        <v>4.6832856841006129E-8</v>
      </c>
      <c r="V18">
        <f>SUM(Calculations!AB$78,Calculations!AB$86,Calculations!AB$94,Calculations!AB$102,Calculations!AB$109)</f>
        <v>4.681130996981667E-8</v>
      </c>
      <c r="W18">
        <f>SUM(Calculations!AC$78,Calculations!AC$86,Calculations!AC$94,Calculations!AC$102,Calculations!AC$109)</f>
        <v>4.567697346424835E-8</v>
      </c>
      <c r="X18">
        <f>SUM(Calculations!AD$78,Calculations!AD$86,Calculations!AD$94,Calculations!AD$102,Calculations!AD$109)</f>
        <v>4.427985735601489E-8</v>
      </c>
      <c r="Y18">
        <f>SUM(Calculations!AE$78,Calculations!AE$86,Calculations!AE$94,Calculations!AE$102,Calculations!AE$109)</f>
        <v>4.3756487913885404E-8</v>
      </c>
      <c r="Z18">
        <f>SUM(Calculations!AF$78,Calculations!AF$86,Calculations!AF$94,Calculations!AF$102,Calculations!AF$109)</f>
        <v>4.4056037809951131E-8</v>
      </c>
      <c r="AA18">
        <f>SUM(Calculations!AG$78,Calculations!AG$86,Calculations!AG$94,Calculations!AG$102,Calculations!AG$109)</f>
        <v>4.457573668921231E-8</v>
      </c>
      <c r="AB18">
        <f>SUM(Calculations!AH$78,Calculations!AH$86,Calculations!AH$94,Calculations!AH$102,Calculations!AH$109)</f>
        <v>4.3790123633045591E-8</v>
      </c>
    </row>
    <row r="19" spans="1:28" x14ac:dyDescent="0.25">
      <c r="A19" t="s">
        <v>1371</v>
      </c>
      <c r="B19">
        <f>SUM(Calculations!H$78,Calculations!H$86,Calculations!H$94,Calculations!H$102,Calculations!H$109)</f>
        <v>5.1421461508657386E-8</v>
      </c>
      <c r="C19">
        <f>SUM(Calculations!I$78,Calculations!I$86,Calculations!I$94,Calculations!I$102,Calculations!I$109)</f>
        <v>4.982969621610014E-8</v>
      </c>
      <c r="D19">
        <f>SUM(Calculations!J$78,Calculations!J$86,Calculations!J$94,Calculations!J$102,Calculations!J$109)</f>
        <v>5.1050280305491631E-8</v>
      </c>
      <c r="E19">
        <f>SUM(Calculations!K$78,Calculations!K$86,Calculations!K$94,Calculations!K$102,Calculations!K$109)</f>
        <v>4.9908065370274759E-8</v>
      </c>
      <c r="F19">
        <f>SUM(Calculations!L$78,Calculations!L$86,Calculations!L$94,Calculations!L$102,Calculations!L$109)</f>
        <v>4.9798346765076109E-8</v>
      </c>
      <c r="G19">
        <f>SUM(Calculations!M$78,Calculations!M$86,Calculations!M$94,Calculations!M$102,Calculations!M$109)</f>
        <v>4.9118965259824012E-8</v>
      </c>
      <c r="H19">
        <f>SUM(Calculations!N$78,Calculations!N$86,Calculations!N$94,Calculations!N$102,Calculations!N$109)</f>
        <v>4.8518827013790186E-8</v>
      </c>
      <c r="I19">
        <f>SUM(Calculations!O$78,Calculations!O$86,Calculations!O$94,Calculations!O$102,Calculations!O$109)</f>
        <v>4.8326468500138772E-8</v>
      </c>
      <c r="J19">
        <f>SUM(Calculations!P$78,Calculations!P$86,Calculations!P$94,Calculations!P$102,Calculations!P$109)</f>
        <v>4.7840637418630905E-8</v>
      </c>
      <c r="K19">
        <f>SUM(Calculations!Q$78,Calculations!Q$86,Calculations!Q$94,Calculations!Q$102,Calculations!Q$109)</f>
        <v>4.7481370537467319E-8</v>
      </c>
      <c r="L19">
        <f>SUM(Calculations!R$78,Calculations!R$86,Calculations!R$94,Calculations!R$102,Calculations!R$109)</f>
        <v>4.6554299125958088E-8</v>
      </c>
      <c r="M19">
        <f>SUM(Calculations!S$78,Calculations!S$86,Calculations!S$94,Calculations!S$102,Calculations!S$109)</f>
        <v>4.6361326352156726E-8</v>
      </c>
      <c r="N19">
        <f>SUM(Calculations!T$78,Calculations!T$86,Calculations!T$94,Calculations!T$102,Calculations!T$109)</f>
        <v>4.6842970119750026E-8</v>
      </c>
      <c r="O19">
        <f>SUM(Calculations!U$78,Calculations!U$86,Calculations!U$94,Calculations!U$102,Calculations!U$109)</f>
        <v>4.6779875987630758E-8</v>
      </c>
      <c r="P19">
        <f>SUM(Calculations!V$78,Calculations!V$86,Calculations!V$94,Calculations!V$102,Calculations!V$109)</f>
        <v>4.609205043781066E-8</v>
      </c>
      <c r="Q19">
        <f>SUM(Calculations!W$78,Calculations!W$86,Calculations!W$94,Calculations!W$102,Calculations!W$109)</f>
        <v>4.5927247904586031E-8</v>
      </c>
      <c r="R19">
        <f>SUM(Calculations!X$78,Calculations!X$86,Calculations!X$94,Calculations!X$102,Calculations!X$109)</f>
        <v>4.6300491485862822E-8</v>
      </c>
      <c r="S19">
        <f>SUM(Calculations!Y$78,Calculations!Y$86,Calculations!Y$94,Calculations!Y$102,Calculations!Y$109)</f>
        <v>4.6663008869890887E-8</v>
      </c>
      <c r="T19">
        <f>SUM(Calculations!Z$78,Calculations!Z$86,Calculations!Z$94,Calculations!Z$102,Calculations!Z$109)</f>
        <v>4.686770996549019E-8</v>
      </c>
      <c r="U19">
        <f>SUM(Calculations!AA$78,Calculations!AA$86,Calculations!AA$94,Calculations!AA$102,Calculations!AA$109)</f>
        <v>4.6832856841006129E-8</v>
      </c>
      <c r="V19">
        <f>SUM(Calculations!AB$78,Calculations!AB$86,Calculations!AB$94,Calculations!AB$102,Calculations!AB$109)</f>
        <v>4.681130996981667E-8</v>
      </c>
      <c r="W19">
        <f>SUM(Calculations!AC$78,Calculations!AC$86,Calculations!AC$94,Calculations!AC$102,Calculations!AC$109)</f>
        <v>4.567697346424835E-8</v>
      </c>
      <c r="X19">
        <f>SUM(Calculations!AD$78,Calculations!AD$86,Calculations!AD$94,Calculations!AD$102,Calculations!AD$109)</f>
        <v>4.427985735601489E-8</v>
      </c>
      <c r="Y19">
        <f>SUM(Calculations!AE$78,Calculations!AE$86,Calculations!AE$94,Calculations!AE$102,Calculations!AE$109)</f>
        <v>4.3756487913885404E-8</v>
      </c>
      <c r="Z19">
        <f>SUM(Calculations!AF$78,Calculations!AF$86,Calculations!AF$94,Calculations!AF$102,Calculations!AF$109)</f>
        <v>4.4056037809951131E-8</v>
      </c>
      <c r="AA19">
        <f>SUM(Calculations!AG$78,Calculations!AG$86,Calculations!AG$94,Calculations!AG$102,Calculations!AG$109)</f>
        <v>4.457573668921231E-8</v>
      </c>
      <c r="AB19">
        <f>SUM(Calculations!AH$78,Calculations!AH$86,Calculations!AH$94,Calculations!AH$102,Calculations!AH$109)</f>
        <v>4.3790123633045591E-8</v>
      </c>
    </row>
    <row r="20" spans="1:28" x14ac:dyDescent="0.25">
      <c r="A20" t="s">
        <v>1372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1373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122" t="s">
        <v>1374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D22"/>
  <sheetViews>
    <sheetView workbookViewId="0">
      <selection activeCell="A3" sqref="A3"/>
    </sheetView>
  </sheetViews>
  <sheetFormatPr defaultColWidth="9.28515625" defaultRowHeight="15" x14ac:dyDescent="0.25"/>
  <cols>
    <col min="1" max="1" width="26.5703125" customWidth="1"/>
  </cols>
  <sheetData>
    <row r="1" spans="1:30"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0" x14ac:dyDescent="0.25">
      <c r="A2" t="s">
        <v>1359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0" x14ac:dyDescent="0.25">
      <c r="A3" t="s">
        <v>1360</v>
      </c>
      <c r="B3" s="5">
        <f>SUM(Calculations!G46,Calculations!G51)</f>
        <v>1.3790882654332546E-8</v>
      </c>
      <c r="C3" s="5">
        <f>SUM(Calculations!H46,Calculations!H51)</f>
        <v>1.3339431312062067E-8</v>
      </c>
      <c r="D3" s="5">
        <f>SUM(Calculations!I46,Calculations!I51)</f>
        <v>1.3574651866434929E-8</v>
      </c>
      <c r="E3" s="5">
        <f>SUM(Calculations!J46,Calculations!J51)</f>
        <v>1.3909594092536195E-8</v>
      </c>
      <c r="F3" s="5">
        <f>SUM(Calculations!K46,Calculations!K51)</f>
        <v>1.4550361785290465E-8</v>
      </c>
      <c r="G3" s="5">
        <f>SUM(Calculations!L46,Calculations!L51)</f>
        <v>1.4808038116931876E-8</v>
      </c>
      <c r="H3" s="5">
        <f>SUM(Calculations!M46,Calculations!M51)</f>
        <v>1.4691420004273048E-8</v>
      </c>
      <c r="I3" s="5">
        <f>SUM(Calculations!N46,Calculations!N51)</f>
        <v>1.5870614847961547E-8</v>
      </c>
      <c r="J3" s="5">
        <f>SUM(Calculations!O46,Calculations!O51)</f>
        <v>1.6195935072587922E-8</v>
      </c>
      <c r="K3" s="5">
        <f>SUM(Calculations!P46,Calculations!P51)</f>
        <v>1.6404283942617241E-8</v>
      </c>
      <c r="L3" s="5">
        <f>SUM(Calculations!Q46,Calculations!Q51)</f>
        <v>1.6831980425248747E-8</v>
      </c>
      <c r="M3" s="5">
        <f>SUM(Calculations!R46,Calculations!R51)</f>
        <v>1.6860803295476023E-8</v>
      </c>
      <c r="N3" s="5">
        <f>SUM(Calculations!S46,Calculations!S51)</f>
        <v>1.7091145141203546E-8</v>
      </c>
      <c r="O3" s="5">
        <f>SUM(Calculations!T46,Calculations!T51)</f>
        <v>1.7131094391320983E-8</v>
      </c>
      <c r="P3" s="5">
        <f>SUM(Calculations!U46,Calculations!U51)</f>
        <v>1.7117073927647257E-8</v>
      </c>
      <c r="Q3" s="5">
        <f>SUM(Calculations!V46,Calculations!V51)</f>
        <v>1.7226826008756617E-8</v>
      </c>
      <c r="R3" s="5">
        <f>SUM(Calculations!W46,Calculations!W51)</f>
        <v>1.7492664892205521E-8</v>
      </c>
      <c r="S3" s="5">
        <f>SUM(Calculations!X46,Calculations!X51)</f>
        <v>1.7795981099063673E-8</v>
      </c>
      <c r="T3" s="5">
        <f>SUM(Calculations!Y46,Calculations!Y51)</f>
        <v>1.8032992462528367E-8</v>
      </c>
      <c r="U3" s="5">
        <f>SUM(Calculations!Z46,Calculations!Z51)</f>
        <v>1.8179499752631827E-8</v>
      </c>
      <c r="V3" s="5">
        <f>SUM(Calculations!AA46,Calculations!AA51)</f>
        <v>1.8314895729416611E-8</v>
      </c>
      <c r="W3" s="5">
        <f>SUM(Calculations!AB46,Calculations!AB51)</f>
        <v>1.8477108431410938E-8</v>
      </c>
      <c r="X3" s="5">
        <f>SUM(Calculations!AC46,Calculations!AC51)</f>
        <v>1.8612079408027421E-8</v>
      </c>
      <c r="Y3" s="5">
        <f>SUM(Calculations!AD46,Calculations!AD51)</f>
        <v>1.8584803281169984E-8</v>
      </c>
      <c r="Z3" s="5">
        <f>SUM(Calculations!AE46,Calculations!AE51)</f>
        <v>1.863844483333939E-8</v>
      </c>
      <c r="AA3" s="5">
        <f>SUM(Calculations!AF46,Calculations!AF51)</f>
        <v>1.8848666377517977E-8</v>
      </c>
      <c r="AB3" s="5">
        <f>SUM(Calculations!AG46,Calculations!AG51)</f>
        <v>1.9440606498857644E-8</v>
      </c>
      <c r="AC3" s="5"/>
      <c r="AD3" s="5"/>
    </row>
    <row r="4" spans="1:30" x14ac:dyDescent="0.25">
      <c r="A4" t="s">
        <v>1361</v>
      </c>
      <c r="B4" s="5">
        <f>SUM(Calculations!G58,Calculations!G64,Calculations!G70)</f>
        <v>3.8851875622860542E-8</v>
      </c>
      <c r="C4" s="5">
        <f>SUM(Calculations!H58,Calculations!H64,Calculations!H70)</f>
        <v>3.7810242781995915E-8</v>
      </c>
      <c r="D4" s="5">
        <f>SUM(Calculations!I58,Calculations!I64,Calculations!I70)</f>
        <v>3.7982443924150547E-8</v>
      </c>
      <c r="E4" s="5">
        <f>SUM(Calculations!J58,Calculations!J64,Calculations!J70)</f>
        <v>3.7864350350851582E-8</v>
      </c>
      <c r="F4" s="5">
        <f>SUM(Calculations!K58,Calculations!K64,Calculations!K70)</f>
        <v>3.7517956493239704E-8</v>
      </c>
      <c r="G4" s="5">
        <f>SUM(Calculations!L58,Calculations!L64,Calculations!L70)</f>
        <v>3.739683842074364E-8</v>
      </c>
      <c r="H4" s="5">
        <f>SUM(Calculations!M58,Calculations!M64,Calculations!M70)</f>
        <v>3.6744828751904914E-8</v>
      </c>
      <c r="I4" s="5">
        <f>SUM(Calculations!N58,Calculations!N64,Calculations!N70)</f>
        <v>3.6009707827936277E-8</v>
      </c>
      <c r="J4" s="5">
        <f>SUM(Calculations!O58,Calculations!O64,Calculations!O70)</f>
        <v>3.540318450209332E-8</v>
      </c>
      <c r="K4" s="5">
        <f>SUM(Calculations!P58,Calculations!P64,Calculations!P70)</f>
        <v>3.5051706121664425E-8</v>
      </c>
      <c r="L4" s="5">
        <f>SUM(Calculations!Q58,Calculations!Q64,Calculations!Q70)</f>
        <v>3.4580818445259014E-8</v>
      </c>
      <c r="M4" s="5">
        <f>SUM(Calculations!R58,Calculations!R64,Calculations!R70)</f>
        <v>3.4405552944659688E-8</v>
      </c>
      <c r="N4" s="5">
        <f>SUM(Calculations!S58,Calculations!S64,Calculations!S70)</f>
        <v>3.4260668546481641E-8</v>
      </c>
      <c r="O4" s="5">
        <f>SUM(Calculations!T58,Calculations!T64,Calculations!T70)</f>
        <v>3.4071301219251879E-8</v>
      </c>
      <c r="P4" s="5">
        <f>SUM(Calculations!U58,Calculations!U64,Calculations!U70)</f>
        <v>3.3920822886159178E-8</v>
      </c>
      <c r="Q4" s="5">
        <f>SUM(Calculations!V58,Calculations!V64,Calculations!V70)</f>
        <v>3.37294696210689E-8</v>
      </c>
      <c r="R4" s="5">
        <f>SUM(Calculations!W58,Calculations!W64,Calculations!W70)</f>
        <v>3.3273729891144987E-8</v>
      </c>
      <c r="S4" s="5">
        <f>SUM(Calculations!X58,Calculations!X64,Calculations!X70)</f>
        <v>3.2809397915071382E-8</v>
      </c>
      <c r="T4" s="5">
        <f>SUM(Calculations!Y58,Calculations!Y64,Calculations!Y70)</f>
        <v>3.2475224174223351E-8</v>
      </c>
      <c r="U4" s="5">
        <f>SUM(Calculations!Z58,Calculations!Z64,Calculations!Z70)</f>
        <v>3.2185221250996927E-8</v>
      </c>
      <c r="V4" s="5">
        <f>SUM(Calculations!AA58,Calculations!AA64,Calculations!AA70)</f>
        <v>3.1992368523119327E-8</v>
      </c>
      <c r="W4" s="5">
        <f>SUM(Calculations!AB58,Calculations!AB64,Calculations!AB70)</f>
        <v>3.1875127722613763E-8</v>
      </c>
      <c r="X4" s="5">
        <f>SUM(Calculations!AC58,Calculations!AC64,Calculations!AC70)</f>
        <v>3.1729045953145096E-8</v>
      </c>
      <c r="Y4" s="5">
        <f>SUM(Calculations!AD58,Calculations!AD64,Calculations!AD70)</f>
        <v>3.1623480246051192E-8</v>
      </c>
      <c r="Z4" s="5">
        <f>SUM(Calculations!AE58,Calculations!AE64,Calculations!AE70)</f>
        <v>3.1555579407025036E-8</v>
      </c>
      <c r="AA4" s="5">
        <f>SUM(Calculations!AF58,Calculations!AF64,Calculations!AF70)</f>
        <v>3.1595972226585355E-8</v>
      </c>
      <c r="AB4" s="5">
        <f>SUM(Calculations!AG58,Calculations!AG64,Calculations!AG70)</f>
        <v>3.1702994692725905E-8</v>
      </c>
      <c r="AC4" s="5"/>
      <c r="AD4" s="5"/>
    </row>
    <row r="5" spans="1:30"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0"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0" x14ac:dyDescent="0.25">
      <c r="A7" t="s">
        <v>138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30" x14ac:dyDescent="0.2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30" x14ac:dyDescent="0.25">
      <c r="A9" t="s">
        <v>1362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30" x14ac:dyDescent="0.25">
      <c r="A10" t="s">
        <v>1363</v>
      </c>
      <c r="B10" s="5">
        <f>SUM(Calculations!H$78,Calculations!H$86,Calculations!H$94,Calculations!H$102,Calculations!H$109)</f>
        <v>5.1421461508657386E-8</v>
      </c>
      <c r="C10" s="5">
        <f>SUM(Calculations!I$78,Calculations!I$86,Calculations!I$94,Calculations!I$102,Calculations!I$109)</f>
        <v>4.982969621610014E-8</v>
      </c>
      <c r="D10" s="5">
        <f>SUM(Calculations!J$78,Calculations!J$86,Calculations!J$94,Calculations!J$102,Calculations!J$109)</f>
        <v>5.1050280305491631E-8</v>
      </c>
      <c r="E10" s="5">
        <f>SUM(Calculations!K$78,Calculations!K$86,Calculations!K$94,Calculations!K$102,Calculations!K$109)</f>
        <v>4.9908065370274759E-8</v>
      </c>
      <c r="F10" s="5">
        <f>SUM(Calculations!L$78,Calculations!L$86,Calculations!L$94,Calculations!L$102,Calculations!L$109)</f>
        <v>4.9798346765076109E-8</v>
      </c>
      <c r="G10" s="5">
        <f>SUM(Calculations!M$78,Calculations!M$86,Calculations!M$94,Calculations!M$102,Calculations!M$109)</f>
        <v>4.9118965259824012E-8</v>
      </c>
      <c r="H10" s="5">
        <f>SUM(Calculations!N$78,Calculations!N$86,Calculations!N$94,Calculations!N$102,Calculations!N$109)</f>
        <v>4.8518827013790186E-8</v>
      </c>
      <c r="I10" s="5">
        <f>SUM(Calculations!O$78,Calculations!O$86,Calculations!O$94,Calculations!O$102,Calculations!O$109)</f>
        <v>4.8326468500138772E-8</v>
      </c>
      <c r="J10" s="5">
        <f>SUM(Calculations!P$78,Calculations!P$86,Calculations!P$94,Calculations!P$102,Calculations!P$109)</f>
        <v>4.7840637418630905E-8</v>
      </c>
      <c r="K10" s="5">
        <f>SUM(Calculations!Q$78,Calculations!Q$86,Calculations!Q$94,Calculations!Q$102,Calculations!Q$109)</f>
        <v>4.7481370537467319E-8</v>
      </c>
      <c r="L10" s="5">
        <f>SUM(Calculations!R$78,Calculations!R$86,Calculations!R$94,Calculations!R$102,Calculations!R$109)</f>
        <v>4.6554299125958088E-8</v>
      </c>
      <c r="M10" s="5">
        <f>SUM(Calculations!S$78,Calculations!S$86,Calculations!S$94,Calculations!S$102,Calculations!S$109)</f>
        <v>4.6361326352156726E-8</v>
      </c>
      <c r="N10" s="5">
        <f>SUM(Calculations!T$78,Calculations!T$86,Calculations!T$94,Calculations!T$102,Calculations!T$109)</f>
        <v>4.6842970119750026E-8</v>
      </c>
      <c r="O10" s="5">
        <f>SUM(Calculations!U$78,Calculations!U$86,Calculations!U$94,Calculations!U$102,Calculations!U$109)</f>
        <v>4.6779875987630758E-8</v>
      </c>
      <c r="P10" s="5">
        <f>SUM(Calculations!V$78,Calculations!V$86,Calculations!V$94,Calculations!V$102,Calculations!V$109)</f>
        <v>4.609205043781066E-8</v>
      </c>
      <c r="Q10" s="5">
        <f>SUM(Calculations!W$78,Calculations!W$86,Calculations!W$94,Calculations!W$102,Calculations!W$109)</f>
        <v>4.5927247904586031E-8</v>
      </c>
      <c r="R10" s="5">
        <f>SUM(Calculations!X$78,Calculations!X$86,Calculations!X$94,Calculations!X$102,Calculations!X$109)</f>
        <v>4.6300491485862822E-8</v>
      </c>
      <c r="S10" s="5">
        <f>SUM(Calculations!Y$78,Calculations!Y$86,Calculations!Y$94,Calculations!Y$102,Calculations!Y$109)</f>
        <v>4.6663008869890887E-8</v>
      </c>
      <c r="T10" s="5">
        <f>SUM(Calculations!Z$78,Calculations!Z$86,Calculations!Z$94,Calculations!Z$102,Calculations!Z$109)</f>
        <v>4.686770996549019E-8</v>
      </c>
      <c r="U10" s="5">
        <f>SUM(Calculations!AA$78,Calculations!AA$86,Calculations!AA$94,Calculations!AA$102,Calculations!AA$109)</f>
        <v>4.6832856841006129E-8</v>
      </c>
      <c r="V10" s="5">
        <f>SUM(Calculations!AB$78,Calculations!AB$86,Calculations!AB$94,Calculations!AB$102,Calculations!AB$109)</f>
        <v>4.681130996981667E-8</v>
      </c>
      <c r="W10" s="5">
        <f>SUM(Calculations!AC$78,Calculations!AC$86,Calculations!AC$94,Calculations!AC$102,Calculations!AC$109)</f>
        <v>4.567697346424835E-8</v>
      </c>
      <c r="X10" s="5">
        <f>SUM(Calculations!AD$78,Calculations!AD$86,Calculations!AD$94,Calculations!AD$102,Calculations!AD$109)</f>
        <v>4.427985735601489E-8</v>
      </c>
      <c r="Y10" s="5">
        <f>SUM(Calculations!AE$78,Calculations!AE$86,Calculations!AE$94,Calculations!AE$102,Calculations!AE$109)</f>
        <v>4.3756487913885404E-8</v>
      </c>
      <c r="Z10" s="5">
        <f>SUM(Calculations!AF$78,Calculations!AF$86,Calculations!AF$94,Calculations!AF$102,Calculations!AF$109)</f>
        <v>4.4056037809951131E-8</v>
      </c>
      <c r="AA10" s="5">
        <f>SUM(Calculations!AG$78,Calculations!AG$86,Calculations!AG$94,Calculations!AG$102,Calculations!AG$109)</f>
        <v>4.457573668921231E-8</v>
      </c>
      <c r="AB10" s="5">
        <f>SUM(Calculations!AH$78,Calculations!AH$86,Calculations!AH$94,Calculations!AH$102,Calculations!AH$109)</f>
        <v>4.3790123633045591E-8</v>
      </c>
      <c r="AC10" s="5"/>
      <c r="AD10" s="5"/>
    </row>
    <row r="11" spans="1:30" x14ac:dyDescent="0.25">
      <c r="A11" t="s">
        <v>1364</v>
      </c>
      <c r="B11" s="5">
        <f>SUM(Calculations!H$78,Calculations!H$86,Calculations!H$94,Calculations!H$102,Calculations!H$109)</f>
        <v>5.1421461508657386E-8</v>
      </c>
      <c r="C11" s="5">
        <f>SUM(Calculations!I$78,Calculations!I$86,Calculations!I$94,Calculations!I$102,Calculations!I$109)</f>
        <v>4.982969621610014E-8</v>
      </c>
      <c r="D11" s="5">
        <f>SUM(Calculations!J$78,Calculations!J$86,Calculations!J$94,Calculations!J$102,Calculations!J$109)</f>
        <v>5.1050280305491631E-8</v>
      </c>
      <c r="E11" s="5">
        <f>SUM(Calculations!K$78,Calculations!K$86,Calculations!K$94,Calculations!K$102,Calculations!K$109)</f>
        <v>4.9908065370274759E-8</v>
      </c>
      <c r="F11" s="5">
        <f>SUM(Calculations!L$78,Calculations!L$86,Calculations!L$94,Calculations!L$102,Calculations!L$109)</f>
        <v>4.9798346765076109E-8</v>
      </c>
      <c r="G11" s="5">
        <f>SUM(Calculations!M$78,Calculations!M$86,Calculations!M$94,Calculations!M$102,Calculations!M$109)</f>
        <v>4.9118965259824012E-8</v>
      </c>
      <c r="H11" s="5">
        <f>SUM(Calculations!N$78,Calculations!N$86,Calculations!N$94,Calculations!N$102,Calculations!N$109)</f>
        <v>4.8518827013790186E-8</v>
      </c>
      <c r="I11" s="5">
        <f>SUM(Calculations!O$78,Calculations!O$86,Calculations!O$94,Calculations!O$102,Calculations!O$109)</f>
        <v>4.8326468500138772E-8</v>
      </c>
      <c r="J11" s="5">
        <f>SUM(Calculations!P$78,Calculations!P$86,Calculations!P$94,Calculations!P$102,Calculations!P$109)</f>
        <v>4.7840637418630905E-8</v>
      </c>
      <c r="K11" s="5">
        <f>SUM(Calculations!Q$78,Calculations!Q$86,Calculations!Q$94,Calculations!Q$102,Calculations!Q$109)</f>
        <v>4.7481370537467319E-8</v>
      </c>
      <c r="L11" s="5">
        <f>SUM(Calculations!R$78,Calculations!R$86,Calculations!R$94,Calculations!R$102,Calculations!R$109)</f>
        <v>4.6554299125958088E-8</v>
      </c>
      <c r="M11" s="5">
        <f>SUM(Calculations!S$78,Calculations!S$86,Calculations!S$94,Calculations!S$102,Calculations!S$109)</f>
        <v>4.6361326352156726E-8</v>
      </c>
      <c r="N11" s="5">
        <f>SUM(Calculations!T$78,Calculations!T$86,Calculations!T$94,Calculations!T$102,Calculations!T$109)</f>
        <v>4.6842970119750026E-8</v>
      </c>
      <c r="O11" s="5">
        <f>SUM(Calculations!U$78,Calculations!U$86,Calculations!U$94,Calculations!U$102,Calculations!U$109)</f>
        <v>4.6779875987630758E-8</v>
      </c>
      <c r="P11" s="5">
        <f>SUM(Calculations!V$78,Calculations!V$86,Calculations!V$94,Calculations!V$102,Calculations!V$109)</f>
        <v>4.609205043781066E-8</v>
      </c>
      <c r="Q11" s="5">
        <f>SUM(Calculations!W$78,Calculations!W$86,Calculations!W$94,Calculations!W$102,Calculations!W$109)</f>
        <v>4.5927247904586031E-8</v>
      </c>
      <c r="R11" s="5">
        <f>SUM(Calculations!X$78,Calculations!X$86,Calculations!X$94,Calculations!X$102,Calculations!X$109)</f>
        <v>4.6300491485862822E-8</v>
      </c>
      <c r="S11" s="5">
        <f>SUM(Calculations!Y$78,Calculations!Y$86,Calculations!Y$94,Calculations!Y$102,Calculations!Y$109)</f>
        <v>4.6663008869890887E-8</v>
      </c>
      <c r="T11" s="5">
        <f>SUM(Calculations!Z$78,Calculations!Z$86,Calculations!Z$94,Calculations!Z$102,Calculations!Z$109)</f>
        <v>4.686770996549019E-8</v>
      </c>
      <c r="U11" s="5">
        <f>SUM(Calculations!AA$78,Calculations!AA$86,Calculations!AA$94,Calculations!AA$102,Calculations!AA$109)</f>
        <v>4.6832856841006129E-8</v>
      </c>
      <c r="V11" s="5">
        <f>SUM(Calculations!AB$78,Calculations!AB$86,Calculations!AB$94,Calculations!AB$102,Calculations!AB$109)</f>
        <v>4.681130996981667E-8</v>
      </c>
      <c r="W11" s="5">
        <f>SUM(Calculations!AC$78,Calculations!AC$86,Calculations!AC$94,Calculations!AC$102,Calculations!AC$109)</f>
        <v>4.567697346424835E-8</v>
      </c>
      <c r="X11" s="5">
        <f>SUM(Calculations!AD$78,Calculations!AD$86,Calculations!AD$94,Calculations!AD$102,Calculations!AD$109)</f>
        <v>4.427985735601489E-8</v>
      </c>
      <c r="Y11" s="5">
        <f>SUM(Calculations!AE$78,Calculations!AE$86,Calculations!AE$94,Calculations!AE$102,Calculations!AE$109)</f>
        <v>4.3756487913885404E-8</v>
      </c>
      <c r="Z11" s="5">
        <f>SUM(Calculations!AF$78,Calculations!AF$86,Calculations!AF$94,Calculations!AF$102,Calculations!AF$109)</f>
        <v>4.4056037809951131E-8</v>
      </c>
      <c r="AA11" s="5">
        <f>SUM(Calculations!AG$78,Calculations!AG$86,Calculations!AG$94,Calculations!AG$102,Calculations!AG$109)</f>
        <v>4.457573668921231E-8</v>
      </c>
      <c r="AB11" s="5">
        <f>SUM(Calculations!AH$78,Calculations!AH$86,Calculations!AH$94,Calculations!AH$102,Calculations!AH$109)</f>
        <v>4.3790123633045591E-8</v>
      </c>
      <c r="AC11" s="5"/>
      <c r="AD11" s="5"/>
    </row>
    <row r="12" spans="1:30" x14ac:dyDescent="0.25">
      <c r="A12" t="s">
        <v>1365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30" x14ac:dyDescent="0.25">
      <c r="A13" t="s">
        <v>1366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30" x14ac:dyDescent="0.25">
      <c r="A14" t="s">
        <v>1367</v>
      </c>
      <c r="B14" s="5">
        <f>SUM(Calculations!H$78,Calculations!H$86,Calculations!H$94,Calculations!H$102,Calculations!H$109)</f>
        <v>5.1421461508657386E-8</v>
      </c>
      <c r="C14" s="5">
        <f>SUM(Calculations!I$78,Calculations!I$86,Calculations!I$94,Calculations!I$102,Calculations!I$109)</f>
        <v>4.982969621610014E-8</v>
      </c>
      <c r="D14" s="5">
        <f>SUM(Calculations!J$78,Calculations!J$86,Calculations!J$94,Calculations!J$102,Calculations!J$109)</f>
        <v>5.1050280305491631E-8</v>
      </c>
      <c r="E14" s="5">
        <f>SUM(Calculations!K$78,Calculations!K$86,Calculations!K$94,Calculations!K$102,Calculations!K$109)</f>
        <v>4.9908065370274759E-8</v>
      </c>
      <c r="F14" s="5">
        <f>SUM(Calculations!L$78,Calculations!L$86,Calculations!L$94,Calculations!L$102,Calculations!L$109)</f>
        <v>4.9798346765076109E-8</v>
      </c>
      <c r="G14" s="5">
        <f>SUM(Calculations!M$78,Calculations!M$86,Calculations!M$94,Calculations!M$102,Calculations!M$109)</f>
        <v>4.9118965259824012E-8</v>
      </c>
      <c r="H14" s="5">
        <f>SUM(Calculations!N$78,Calculations!N$86,Calculations!N$94,Calculations!N$102,Calculations!N$109)</f>
        <v>4.8518827013790186E-8</v>
      </c>
      <c r="I14" s="5">
        <f>SUM(Calculations!O$78,Calculations!O$86,Calculations!O$94,Calculations!O$102,Calculations!O$109)</f>
        <v>4.8326468500138772E-8</v>
      </c>
      <c r="J14" s="5">
        <f>SUM(Calculations!P$78,Calculations!P$86,Calculations!P$94,Calculations!P$102,Calculations!P$109)</f>
        <v>4.7840637418630905E-8</v>
      </c>
      <c r="K14" s="5">
        <f>SUM(Calculations!Q$78,Calculations!Q$86,Calculations!Q$94,Calculations!Q$102,Calculations!Q$109)</f>
        <v>4.7481370537467319E-8</v>
      </c>
      <c r="L14" s="5">
        <f>SUM(Calculations!R$78,Calculations!R$86,Calculations!R$94,Calculations!R$102,Calculations!R$109)</f>
        <v>4.6554299125958088E-8</v>
      </c>
      <c r="M14" s="5">
        <f>SUM(Calculations!S$78,Calculations!S$86,Calculations!S$94,Calculations!S$102,Calculations!S$109)</f>
        <v>4.6361326352156726E-8</v>
      </c>
      <c r="N14" s="5">
        <f>SUM(Calculations!T$78,Calculations!T$86,Calculations!T$94,Calculations!T$102,Calculations!T$109)</f>
        <v>4.6842970119750026E-8</v>
      </c>
      <c r="O14" s="5">
        <f>SUM(Calculations!U$78,Calculations!U$86,Calculations!U$94,Calculations!U$102,Calculations!U$109)</f>
        <v>4.6779875987630758E-8</v>
      </c>
      <c r="P14" s="5">
        <f>SUM(Calculations!V$78,Calculations!V$86,Calculations!V$94,Calculations!V$102,Calculations!V$109)</f>
        <v>4.609205043781066E-8</v>
      </c>
      <c r="Q14" s="5">
        <f>SUM(Calculations!W$78,Calculations!W$86,Calculations!W$94,Calculations!W$102,Calculations!W$109)</f>
        <v>4.5927247904586031E-8</v>
      </c>
      <c r="R14" s="5">
        <f>SUM(Calculations!X$78,Calculations!X$86,Calculations!X$94,Calculations!X$102,Calculations!X$109)</f>
        <v>4.6300491485862822E-8</v>
      </c>
      <c r="S14" s="5">
        <f>SUM(Calculations!Y$78,Calculations!Y$86,Calculations!Y$94,Calculations!Y$102,Calculations!Y$109)</f>
        <v>4.6663008869890887E-8</v>
      </c>
      <c r="T14" s="5">
        <f>SUM(Calculations!Z$78,Calculations!Z$86,Calculations!Z$94,Calculations!Z$102,Calculations!Z$109)</f>
        <v>4.686770996549019E-8</v>
      </c>
      <c r="U14" s="5">
        <f>SUM(Calculations!AA$78,Calculations!AA$86,Calculations!AA$94,Calculations!AA$102,Calculations!AA$109)</f>
        <v>4.6832856841006129E-8</v>
      </c>
      <c r="V14" s="5">
        <f>SUM(Calculations!AB$78,Calculations!AB$86,Calculations!AB$94,Calculations!AB$102,Calculations!AB$109)</f>
        <v>4.681130996981667E-8</v>
      </c>
      <c r="W14" s="5">
        <f>SUM(Calculations!AC$78,Calculations!AC$86,Calculations!AC$94,Calculations!AC$102,Calculations!AC$109)</f>
        <v>4.567697346424835E-8</v>
      </c>
      <c r="X14" s="5">
        <f>SUM(Calculations!AD$78,Calculations!AD$86,Calculations!AD$94,Calculations!AD$102,Calculations!AD$109)</f>
        <v>4.427985735601489E-8</v>
      </c>
      <c r="Y14" s="5">
        <f>SUM(Calculations!AE$78,Calculations!AE$86,Calculations!AE$94,Calculations!AE$102,Calculations!AE$109)</f>
        <v>4.3756487913885404E-8</v>
      </c>
      <c r="Z14" s="5">
        <f>SUM(Calculations!AF$78,Calculations!AF$86,Calculations!AF$94,Calculations!AF$102,Calculations!AF$109)</f>
        <v>4.4056037809951131E-8</v>
      </c>
      <c r="AA14" s="5">
        <f>SUM(Calculations!AG$78,Calculations!AG$86,Calculations!AG$94,Calculations!AG$102,Calculations!AG$109)</f>
        <v>4.457573668921231E-8</v>
      </c>
      <c r="AB14" s="5">
        <f>SUM(Calculations!AH$78,Calculations!AH$86,Calculations!AH$94,Calculations!AH$102,Calculations!AH$109)</f>
        <v>4.3790123633045591E-8</v>
      </c>
      <c r="AC14" s="5"/>
      <c r="AD14" s="5"/>
    </row>
    <row r="15" spans="1:30" x14ac:dyDescent="0.25">
      <c r="A15" t="s">
        <v>1368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30" x14ac:dyDescent="0.25">
      <c r="A16" t="s">
        <v>151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30" x14ac:dyDescent="0.25">
      <c r="A17" t="s">
        <v>1369</v>
      </c>
      <c r="B17" s="5">
        <f t="shared" ref="B17:AB17" si="0">B3</f>
        <v>1.3790882654332546E-8</v>
      </c>
      <c r="C17" s="5">
        <f t="shared" si="0"/>
        <v>1.3339431312062067E-8</v>
      </c>
      <c r="D17" s="5">
        <f t="shared" si="0"/>
        <v>1.3574651866434929E-8</v>
      </c>
      <c r="E17" s="5">
        <f t="shared" si="0"/>
        <v>1.3909594092536195E-8</v>
      </c>
      <c r="F17" s="5">
        <f t="shared" si="0"/>
        <v>1.4550361785290465E-8</v>
      </c>
      <c r="G17" s="5">
        <f t="shared" si="0"/>
        <v>1.4808038116931876E-8</v>
      </c>
      <c r="H17" s="5">
        <f t="shared" si="0"/>
        <v>1.4691420004273048E-8</v>
      </c>
      <c r="I17" s="5">
        <f t="shared" si="0"/>
        <v>1.5870614847961547E-8</v>
      </c>
      <c r="J17" s="5">
        <f t="shared" si="0"/>
        <v>1.6195935072587922E-8</v>
      </c>
      <c r="K17" s="5">
        <f t="shared" si="0"/>
        <v>1.6404283942617241E-8</v>
      </c>
      <c r="L17" s="5">
        <f t="shared" si="0"/>
        <v>1.6831980425248747E-8</v>
      </c>
      <c r="M17" s="5">
        <f t="shared" si="0"/>
        <v>1.6860803295476023E-8</v>
      </c>
      <c r="N17" s="5">
        <f t="shared" si="0"/>
        <v>1.7091145141203546E-8</v>
      </c>
      <c r="O17" s="5">
        <f t="shared" si="0"/>
        <v>1.7131094391320983E-8</v>
      </c>
      <c r="P17" s="5">
        <f t="shared" si="0"/>
        <v>1.7117073927647257E-8</v>
      </c>
      <c r="Q17" s="5">
        <f t="shared" si="0"/>
        <v>1.7226826008756617E-8</v>
      </c>
      <c r="R17" s="5">
        <f t="shared" si="0"/>
        <v>1.7492664892205521E-8</v>
      </c>
      <c r="S17" s="5">
        <f t="shared" si="0"/>
        <v>1.7795981099063673E-8</v>
      </c>
      <c r="T17" s="5">
        <f t="shared" si="0"/>
        <v>1.8032992462528367E-8</v>
      </c>
      <c r="U17" s="5">
        <f t="shared" si="0"/>
        <v>1.8179499752631827E-8</v>
      </c>
      <c r="V17" s="5">
        <f t="shared" si="0"/>
        <v>1.8314895729416611E-8</v>
      </c>
      <c r="W17" s="5">
        <f t="shared" si="0"/>
        <v>1.8477108431410938E-8</v>
      </c>
      <c r="X17" s="5">
        <f t="shared" si="0"/>
        <v>1.8612079408027421E-8</v>
      </c>
      <c r="Y17" s="5">
        <f t="shared" si="0"/>
        <v>1.8584803281169984E-8</v>
      </c>
      <c r="Z17" s="5">
        <f t="shared" si="0"/>
        <v>1.863844483333939E-8</v>
      </c>
      <c r="AA17" s="5">
        <f t="shared" si="0"/>
        <v>1.8848666377517977E-8</v>
      </c>
      <c r="AB17" s="5">
        <f t="shared" si="0"/>
        <v>1.9440606498857644E-8</v>
      </c>
      <c r="AC17" s="5"/>
      <c r="AD17" s="5"/>
    </row>
    <row r="18" spans="1:30" x14ac:dyDescent="0.25">
      <c r="A18" t="s">
        <v>1375</v>
      </c>
      <c r="B18" s="5">
        <f>SUM(Calculations!H$78,Calculations!H$86,Calculations!H$94,Calculations!H$102,Calculations!H$109)</f>
        <v>5.1421461508657386E-8</v>
      </c>
      <c r="C18" s="5">
        <f>SUM(Calculations!I$78,Calculations!I$86,Calculations!I$94,Calculations!I$102,Calculations!I$109)</f>
        <v>4.982969621610014E-8</v>
      </c>
      <c r="D18" s="5">
        <f>SUM(Calculations!J$78,Calculations!J$86,Calculations!J$94,Calculations!J$102,Calculations!J$109)</f>
        <v>5.1050280305491631E-8</v>
      </c>
      <c r="E18" s="5">
        <f>SUM(Calculations!K$78,Calculations!K$86,Calculations!K$94,Calculations!K$102,Calculations!K$109)</f>
        <v>4.9908065370274759E-8</v>
      </c>
      <c r="F18" s="5">
        <f>SUM(Calculations!L$78,Calculations!L$86,Calculations!L$94,Calculations!L$102,Calculations!L$109)</f>
        <v>4.9798346765076109E-8</v>
      </c>
      <c r="G18" s="5">
        <f>SUM(Calculations!M$78,Calculations!M$86,Calculations!M$94,Calculations!M$102,Calculations!M$109)</f>
        <v>4.9118965259824012E-8</v>
      </c>
      <c r="H18" s="5">
        <f>SUM(Calculations!N$78,Calculations!N$86,Calculations!N$94,Calculations!N$102,Calculations!N$109)</f>
        <v>4.8518827013790186E-8</v>
      </c>
      <c r="I18" s="5">
        <f>SUM(Calculations!O$78,Calculations!O$86,Calculations!O$94,Calculations!O$102,Calculations!O$109)</f>
        <v>4.8326468500138772E-8</v>
      </c>
      <c r="J18" s="5">
        <f>SUM(Calculations!P$78,Calculations!P$86,Calculations!P$94,Calculations!P$102,Calculations!P$109)</f>
        <v>4.7840637418630905E-8</v>
      </c>
      <c r="K18" s="5">
        <f>SUM(Calculations!Q$78,Calculations!Q$86,Calculations!Q$94,Calculations!Q$102,Calculations!Q$109)</f>
        <v>4.7481370537467319E-8</v>
      </c>
      <c r="L18" s="5">
        <f>SUM(Calculations!R$78,Calculations!R$86,Calculations!R$94,Calculations!R$102,Calculations!R$109)</f>
        <v>4.6554299125958088E-8</v>
      </c>
      <c r="M18" s="5">
        <f>SUM(Calculations!S$78,Calculations!S$86,Calculations!S$94,Calculations!S$102,Calculations!S$109)</f>
        <v>4.6361326352156726E-8</v>
      </c>
      <c r="N18" s="5">
        <f>SUM(Calculations!T$78,Calculations!T$86,Calculations!T$94,Calculations!T$102,Calculations!T$109)</f>
        <v>4.6842970119750026E-8</v>
      </c>
      <c r="O18" s="5">
        <f>SUM(Calculations!U$78,Calculations!U$86,Calculations!U$94,Calculations!U$102,Calculations!U$109)</f>
        <v>4.6779875987630758E-8</v>
      </c>
      <c r="P18" s="5">
        <f>SUM(Calculations!V$78,Calculations!V$86,Calculations!V$94,Calculations!V$102,Calculations!V$109)</f>
        <v>4.609205043781066E-8</v>
      </c>
      <c r="Q18" s="5">
        <f>SUM(Calculations!W$78,Calculations!W$86,Calculations!W$94,Calculations!W$102,Calculations!W$109)</f>
        <v>4.5927247904586031E-8</v>
      </c>
      <c r="R18" s="5">
        <f>SUM(Calculations!X$78,Calculations!X$86,Calculations!X$94,Calculations!X$102,Calculations!X$109)</f>
        <v>4.6300491485862822E-8</v>
      </c>
      <c r="S18" s="5">
        <f>SUM(Calculations!Y$78,Calculations!Y$86,Calculations!Y$94,Calculations!Y$102,Calculations!Y$109)</f>
        <v>4.6663008869890887E-8</v>
      </c>
      <c r="T18" s="5">
        <f>SUM(Calculations!Z$78,Calculations!Z$86,Calculations!Z$94,Calculations!Z$102,Calculations!Z$109)</f>
        <v>4.686770996549019E-8</v>
      </c>
      <c r="U18" s="5">
        <f>SUM(Calculations!AA$78,Calculations!AA$86,Calculations!AA$94,Calculations!AA$102,Calculations!AA$109)</f>
        <v>4.6832856841006129E-8</v>
      </c>
      <c r="V18" s="5">
        <f>SUM(Calculations!AB$78,Calculations!AB$86,Calculations!AB$94,Calculations!AB$102,Calculations!AB$109)</f>
        <v>4.681130996981667E-8</v>
      </c>
      <c r="W18" s="5">
        <f>SUM(Calculations!AC$78,Calculations!AC$86,Calculations!AC$94,Calculations!AC$102,Calculations!AC$109)</f>
        <v>4.567697346424835E-8</v>
      </c>
      <c r="X18" s="5">
        <f>SUM(Calculations!AD$78,Calculations!AD$86,Calculations!AD$94,Calculations!AD$102,Calculations!AD$109)</f>
        <v>4.427985735601489E-8</v>
      </c>
      <c r="Y18" s="5">
        <f>SUM(Calculations!AE$78,Calculations!AE$86,Calculations!AE$94,Calculations!AE$102,Calculations!AE$109)</f>
        <v>4.3756487913885404E-8</v>
      </c>
      <c r="Z18" s="5">
        <f>SUM(Calculations!AF$78,Calculations!AF$86,Calculations!AF$94,Calculations!AF$102,Calculations!AF$109)</f>
        <v>4.4056037809951131E-8</v>
      </c>
      <c r="AA18" s="5">
        <f>SUM(Calculations!AG$78,Calculations!AG$86,Calculations!AG$94,Calculations!AG$102,Calculations!AG$109)</f>
        <v>4.457573668921231E-8</v>
      </c>
      <c r="AB18" s="5">
        <f>SUM(Calculations!AH$78,Calculations!AH$86,Calculations!AH$94,Calculations!AH$102,Calculations!AH$109)</f>
        <v>4.3790123633045591E-8</v>
      </c>
      <c r="AC18" s="5"/>
      <c r="AD18" s="5"/>
    </row>
    <row r="19" spans="1:30" x14ac:dyDescent="0.25">
      <c r="A19" t="s">
        <v>1376</v>
      </c>
      <c r="B19" s="5">
        <f>SUM(Calculations!H$78,Calculations!H$86,Calculations!H$94,Calculations!H$102,Calculations!H$109)</f>
        <v>5.1421461508657386E-8</v>
      </c>
      <c r="C19" s="5">
        <f>SUM(Calculations!I$78,Calculations!I$86,Calculations!I$94,Calculations!I$102,Calculations!I$109)</f>
        <v>4.982969621610014E-8</v>
      </c>
      <c r="D19" s="5">
        <f>SUM(Calculations!J$78,Calculations!J$86,Calculations!J$94,Calculations!J$102,Calculations!J$109)</f>
        <v>5.1050280305491631E-8</v>
      </c>
      <c r="E19" s="5">
        <f>SUM(Calculations!K$78,Calculations!K$86,Calculations!K$94,Calculations!K$102,Calculations!K$109)</f>
        <v>4.9908065370274759E-8</v>
      </c>
      <c r="F19" s="5">
        <f>SUM(Calculations!L$78,Calculations!L$86,Calculations!L$94,Calculations!L$102,Calculations!L$109)</f>
        <v>4.9798346765076109E-8</v>
      </c>
      <c r="G19" s="5">
        <f>SUM(Calculations!M$78,Calculations!M$86,Calculations!M$94,Calculations!M$102,Calculations!M$109)</f>
        <v>4.9118965259824012E-8</v>
      </c>
      <c r="H19" s="5">
        <f>SUM(Calculations!N$78,Calculations!N$86,Calculations!N$94,Calculations!N$102,Calculations!N$109)</f>
        <v>4.8518827013790186E-8</v>
      </c>
      <c r="I19" s="5">
        <f>SUM(Calculations!O$78,Calculations!O$86,Calculations!O$94,Calculations!O$102,Calculations!O$109)</f>
        <v>4.8326468500138772E-8</v>
      </c>
      <c r="J19" s="5">
        <f>SUM(Calculations!P$78,Calculations!P$86,Calculations!P$94,Calculations!P$102,Calculations!P$109)</f>
        <v>4.7840637418630905E-8</v>
      </c>
      <c r="K19" s="5">
        <f>SUM(Calculations!Q$78,Calculations!Q$86,Calculations!Q$94,Calculations!Q$102,Calculations!Q$109)</f>
        <v>4.7481370537467319E-8</v>
      </c>
      <c r="L19" s="5">
        <f>SUM(Calculations!R$78,Calculations!R$86,Calculations!R$94,Calculations!R$102,Calculations!R$109)</f>
        <v>4.6554299125958088E-8</v>
      </c>
      <c r="M19" s="5">
        <f>SUM(Calculations!S$78,Calculations!S$86,Calculations!S$94,Calculations!S$102,Calculations!S$109)</f>
        <v>4.6361326352156726E-8</v>
      </c>
      <c r="N19" s="5">
        <f>SUM(Calculations!T$78,Calculations!T$86,Calculations!T$94,Calculations!T$102,Calculations!T$109)</f>
        <v>4.6842970119750026E-8</v>
      </c>
      <c r="O19" s="5">
        <f>SUM(Calculations!U$78,Calculations!U$86,Calculations!U$94,Calculations!U$102,Calculations!U$109)</f>
        <v>4.6779875987630758E-8</v>
      </c>
      <c r="P19" s="5">
        <f>SUM(Calculations!V$78,Calculations!V$86,Calculations!V$94,Calculations!V$102,Calculations!V$109)</f>
        <v>4.609205043781066E-8</v>
      </c>
      <c r="Q19" s="5">
        <f>SUM(Calculations!W$78,Calculations!W$86,Calculations!W$94,Calculations!W$102,Calculations!W$109)</f>
        <v>4.5927247904586031E-8</v>
      </c>
      <c r="R19" s="5">
        <f>SUM(Calculations!X$78,Calculations!X$86,Calculations!X$94,Calculations!X$102,Calculations!X$109)</f>
        <v>4.6300491485862822E-8</v>
      </c>
      <c r="S19" s="5">
        <f>SUM(Calculations!Y$78,Calculations!Y$86,Calculations!Y$94,Calculations!Y$102,Calculations!Y$109)</f>
        <v>4.6663008869890887E-8</v>
      </c>
      <c r="T19" s="5">
        <f>SUM(Calculations!Z$78,Calculations!Z$86,Calculations!Z$94,Calculations!Z$102,Calculations!Z$109)</f>
        <v>4.686770996549019E-8</v>
      </c>
      <c r="U19" s="5">
        <f>SUM(Calculations!AA$78,Calculations!AA$86,Calculations!AA$94,Calculations!AA$102,Calculations!AA$109)</f>
        <v>4.6832856841006129E-8</v>
      </c>
      <c r="V19" s="5">
        <f>SUM(Calculations!AB$78,Calculations!AB$86,Calculations!AB$94,Calculations!AB$102,Calculations!AB$109)</f>
        <v>4.681130996981667E-8</v>
      </c>
      <c r="W19" s="5">
        <f>SUM(Calculations!AC$78,Calculations!AC$86,Calculations!AC$94,Calculations!AC$102,Calculations!AC$109)</f>
        <v>4.567697346424835E-8</v>
      </c>
      <c r="X19" s="5">
        <f>SUM(Calculations!AD$78,Calculations!AD$86,Calculations!AD$94,Calculations!AD$102,Calculations!AD$109)</f>
        <v>4.427985735601489E-8</v>
      </c>
      <c r="Y19" s="5">
        <f>SUM(Calculations!AE$78,Calculations!AE$86,Calculations!AE$94,Calculations!AE$102,Calculations!AE$109)</f>
        <v>4.3756487913885404E-8</v>
      </c>
      <c r="Z19" s="5">
        <f>SUM(Calculations!AF$78,Calculations!AF$86,Calculations!AF$94,Calculations!AF$102,Calculations!AF$109)</f>
        <v>4.4056037809951131E-8</v>
      </c>
      <c r="AA19" s="5">
        <f>SUM(Calculations!AG$78,Calculations!AG$86,Calculations!AG$94,Calculations!AG$102,Calculations!AG$109)</f>
        <v>4.457573668921231E-8</v>
      </c>
      <c r="AB19" s="5">
        <f>SUM(Calculations!AH$78,Calculations!AH$86,Calculations!AH$94,Calculations!AH$102,Calculations!AH$109)</f>
        <v>4.3790123633045591E-8</v>
      </c>
      <c r="AC19" s="5"/>
      <c r="AD19" s="5"/>
    </row>
    <row r="20" spans="1:30" x14ac:dyDescent="0.25">
      <c r="A20" t="s">
        <v>1372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30" x14ac:dyDescent="0.25">
      <c r="A21" t="s">
        <v>1373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30" x14ac:dyDescent="0.25">
      <c r="A22" s="122" t="s">
        <v>1374</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D22"/>
  <sheetViews>
    <sheetView workbookViewId="0">
      <selection activeCell="B1" sqref="B1"/>
    </sheetView>
  </sheetViews>
  <sheetFormatPr defaultColWidth="9.28515625" defaultRowHeight="15" x14ac:dyDescent="0.25"/>
  <cols>
    <col min="1" max="1" width="26.5703125" customWidth="1"/>
  </cols>
  <sheetData>
    <row r="1" spans="1:30"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0" x14ac:dyDescent="0.25">
      <c r="A2" t="s">
        <v>1359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0" x14ac:dyDescent="0.25">
      <c r="A3" t="s">
        <v>1360</v>
      </c>
      <c r="B3" s="5">
        <f>SUM(Calculations!G46,Calculations!G51)</f>
        <v>1.3790882654332546E-8</v>
      </c>
      <c r="C3" s="5">
        <f>SUM(Calculations!H46,Calculations!H51)</f>
        <v>1.3339431312062067E-8</v>
      </c>
      <c r="D3" s="5">
        <f>SUM(Calculations!I46,Calculations!I51)</f>
        <v>1.3574651866434929E-8</v>
      </c>
      <c r="E3" s="5">
        <f>SUM(Calculations!J46,Calculations!J51)</f>
        <v>1.3909594092536195E-8</v>
      </c>
      <c r="F3" s="5">
        <f>SUM(Calculations!K46,Calculations!K51)</f>
        <v>1.4550361785290465E-8</v>
      </c>
      <c r="G3" s="5">
        <f>SUM(Calculations!L46,Calculations!L51)</f>
        <v>1.4808038116931876E-8</v>
      </c>
      <c r="H3" s="5">
        <f>SUM(Calculations!M46,Calculations!M51)</f>
        <v>1.4691420004273048E-8</v>
      </c>
      <c r="I3" s="5">
        <f>SUM(Calculations!N46,Calculations!N51)</f>
        <v>1.5870614847961547E-8</v>
      </c>
      <c r="J3" s="5">
        <f>SUM(Calculations!O46,Calculations!O51)</f>
        <v>1.6195935072587922E-8</v>
      </c>
      <c r="K3" s="5">
        <f>SUM(Calculations!P46,Calculations!P51)</f>
        <v>1.6404283942617241E-8</v>
      </c>
      <c r="L3" s="5">
        <f>SUM(Calculations!Q46,Calculations!Q51)</f>
        <v>1.6831980425248747E-8</v>
      </c>
      <c r="M3" s="5">
        <f>SUM(Calculations!R46,Calculations!R51)</f>
        <v>1.6860803295476023E-8</v>
      </c>
      <c r="N3" s="5">
        <f>SUM(Calculations!S46,Calculations!S51)</f>
        <v>1.7091145141203546E-8</v>
      </c>
      <c r="O3" s="5">
        <f>SUM(Calculations!T46,Calculations!T51)</f>
        <v>1.7131094391320983E-8</v>
      </c>
      <c r="P3" s="5">
        <f>SUM(Calculations!U46,Calculations!U51)</f>
        <v>1.7117073927647257E-8</v>
      </c>
      <c r="Q3" s="5">
        <f>SUM(Calculations!V46,Calculations!V51)</f>
        <v>1.7226826008756617E-8</v>
      </c>
      <c r="R3" s="5">
        <f>SUM(Calculations!W46,Calculations!W51)</f>
        <v>1.7492664892205521E-8</v>
      </c>
      <c r="S3" s="5">
        <f>SUM(Calculations!X46,Calculations!X51)</f>
        <v>1.7795981099063673E-8</v>
      </c>
      <c r="T3" s="5">
        <f>SUM(Calculations!Y46,Calculations!Y51)</f>
        <v>1.8032992462528367E-8</v>
      </c>
      <c r="U3" s="5">
        <f>SUM(Calculations!Z46,Calculations!Z51)</f>
        <v>1.8179499752631827E-8</v>
      </c>
      <c r="V3" s="5">
        <f>SUM(Calculations!AA46,Calculations!AA51)</f>
        <v>1.8314895729416611E-8</v>
      </c>
      <c r="W3" s="5">
        <f>SUM(Calculations!AB46,Calculations!AB51)</f>
        <v>1.8477108431410938E-8</v>
      </c>
      <c r="X3" s="5">
        <f>SUM(Calculations!AC46,Calculations!AC51)</f>
        <v>1.8612079408027421E-8</v>
      </c>
      <c r="Y3" s="5">
        <f>SUM(Calculations!AD46,Calculations!AD51)</f>
        <v>1.8584803281169984E-8</v>
      </c>
      <c r="Z3" s="5">
        <f>SUM(Calculations!AE46,Calculations!AE51)</f>
        <v>1.863844483333939E-8</v>
      </c>
      <c r="AA3" s="5">
        <f>SUM(Calculations!AF46,Calculations!AF51)</f>
        <v>1.8848666377517977E-8</v>
      </c>
      <c r="AB3" s="5">
        <f>SUM(Calculations!AG46,Calculations!AG51)</f>
        <v>1.9440606498857644E-8</v>
      </c>
      <c r="AC3" s="5"/>
      <c r="AD3" s="5"/>
    </row>
    <row r="4" spans="1:30" x14ac:dyDescent="0.25">
      <c r="A4" t="s">
        <v>1361</v>
      </c>
      <c r="B4" s="5">
        <f>SUM(Calculations!G58,Calculations!G64,Calculations!G70)</f>
        <v>3.8851875622860542E-8</v>
      </c>
      <c r="C4" s="5">
        <f>SUM(Calculations!H58,Calculations!H64,Calculations!H70)</f>
        <v>3.7810242781995915E-8</v>
      </c>
      <c r="D4" s="5">
        <f>SUM(Calculations!I58,Calculations!I64,Calculations!I70)</f>
        <v>3.7982443924150547E-8</v>
      </c>
      <c r="E4" s="5">
        <f>SUM(Calculations!J58,Calculations!J64,Calculations!J70)</f>
        <v>3.7864350350851582E-8</v>
      </c>
      <c r="F4" s="5">
        <f>SUM(Calculations!K58,Calculations!K64,Calculations!K70)</f>
        <v>3.7517956493239704E-8</v>
      </c>
      <c r="G4" s="5">
        <f>SUM(Calculations!L58,Calculations!L64,Calculations!L70)</f>
        <v>3.739683842074364E-8</v>
      </c>
      <c r="H4" s="5">
        <f>SUM(Calculations!M58,Calculations!M64,Calculations!M70)</f>
        <v>3.6744828751904914E-8</v>
      </c>
      <c r="I4" s="5">
        <f>SUM(Calculations!N58,Calculations!N64,Calculations!N70)</f>
        <v>3.6009707827936277E-8</v>
      </c>
      <c r="J4" s="5">
        <f>SUM(Calculations!O58,Calculations!O64,Calculations!O70)</f>
        <v>3.540318450209332E-8</v>
      </c>
      <c r="K4" s="5">
        <f>SUM(Calculations!P58,Calculations!P64,Calculations!P70)</f>
        <v>3.5051706121664425E-8</v>
      </c>
      <c r="L4" s="5">
        <f>SUM(Calculations!Q58,Calculations!Q64,Calculations!Q70)</f>
        <v>3.4580818445259014E-8</v>
      </c>
      <c r="M4" s="5">
        <f>SUM(Calculations!R58,Calculations!R64,Calculations!R70)</f>
        <v>3.4405552944659688E-8</v>
      </c>
      <c r="N4" s="5">
        <f>SUM(Calculations!S58,Calculations!S64,Calculations!S70)</f>
        <v>3.4260668546481641E-8</v>
      </c>
      <c r="O4" s="5">
        <f>SUM(Calculations!T58,Calculations!T64,Calculations!T70)</f>
        <v>3.4071301219251879E-8</v>
      </c>
      <c r="P4" s="5">
        <f>SUM(Calculations!U58,Calculations!U64,Calculations!U70)</f>
        <v>3.3920822886159178E-8</v>
      </c>
      <c r="Q4" s="5">
        <f>SUM(Calculations!V58,Calculations!V64,Calculations!V70)</f>
        <v>3.37294696210689E-8</v>
      </c>
      <c r="R4" s="5">
        <f>SUM(Calculations!W58,Calculations!W64,Calculations!W70)</f>
        <v>3.3273729891144987E-8</v>
      </c>
      <c r="S4" s="5">
        <f>SUM(Calculations!X58,Calculations!X64,Calculations!X70)</f>
        <v>3.2809397915071382E-8</v>
      </c>
      <c r="T4" s="5">
        <f>SUM(Calculations!Y58,Calculations!Y64,Calculations!Y70)</f>
        <v>3.2475224174223351E-8</v>
      </c>
      <c r="U4" s="5">
        <f>SUM(Calculations!Z58,Calculations!Z64,Calculations!Z70)</f>
        <v>3.2185221250996927E-8</v>
      </c>
      <c r="V4" s="5">
        <f>SUM(Calculations!AA58,Calculations!AA64,Calculations!AA70)</f>
        <v>3.1992368523119327E-8</v>
      </c>
      <c r="W4" s="5">
        <f>SUM(Calculations!AB58,Calculations!AB64,Calculations!AB70)</f>
        <v>3.1875127722613763E-8</v>
      </c>
      <c r="X4" s="5">
        <f>SUM(Calculations!AC58,Calculations!AC64,Calculations!AC70)</f>
        <v>3.1729045953145096E-8</v>
      </c>
      <c r="Y4" s="5">
        <f>SUM(Calculations!AD58,Calculations!AD64,Calculations!AD70)</f>
        <v>3.1623480246051192E-8</v>
      </c>
      <c r="Z4" s="5">
        <f>SUM(Calculations!AE58,Calculations!AE64,Calculations!AE70)</f>
        <v>3.1555579407025036E-8</v>
      </c>
      <c r="AA4" s="5">
        <f>SUM(Calculations!AF58,Calculations!AF64,Calculations!AF70)</f>
        <v>3.1595972226585355E-8</v>
      </c>
      <c r="AB4" s="5">
        <f>SUM(Calculations!AG58,Calculations!AG64,Calculations!AG70)</f>
        <v>3.1702994692725905E-8</v>
      </c>
      <c r="AC4" s="5"/>
      <c r="AD4" s="5"/>
    </row>
    <row r="5" spans="1:30"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0"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0" x14ac:dyDescent="0.25">
      <c r="A7" t="s">
        <v>138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30" x14ac:dyDescent="0.2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30" x14ac:dyDescent="0.25">
      <c r="A9" t="s">
        <v>1362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30" x14ac:dyDescent="0.25">
      <c r="A10" t="s">
        <v>1363</v>
      </c>
      <c r="B10" s="5">
        <f>SUM(Calculations!H$78,Calculations!H$86,Calculations!H$94,Calculations!H$102,Calculations!H$109)</f>
        <v>5.1421461508657386E-8</v>
      </c>
      <c r="C10" s="5">
        <f>SUM(Calculations!I$78,Calculations!I$86,Calculations!I$94,Calculations!I$102,Calculations!I$109)</f>
        <v>4.982969621610014E-8</v>
      </c>
      <c r="D10" s="5">
        <f>SUM(Calculations!J$78,Calculations!J$86,Calculations!J$94,Calculations!J$102,Calculations!J$109)</f>
        <v>5.1050280305491631E-8</v>
      </c>
      <c r="E10" s="5">
        <f>SUM(Calculations!K$78,Calculations!K$86,Calculations!K$94,Calculations!K$102,Calculations!K$109)</f>
        <v>4.9908065370274759E-8</v>
      </c>
      <c r="F10" s="5">
        <f>SUM(Calculations!L$78,Calculations!L$86,Calculations!L$94,Calculations!L$102,Calculations!L$109)</f>
        <v>4.9798346765076109E-8</v>
      </c>
      <c r="G10" s="5">
        <f>SUM(Calculations!M$78,Calculations!M$86,Calculations!M$94,Calculations!M$102,Calculations!M$109)</f>
        <v>4.9118965259824012E-8</v>
      </c>
      <c r="H10" s="5">
        <f>SUM(Calculations!N$78,Calculations!N$86,Calculations!N$94,Calculations!N$102,Calculations!N$109)</f>
        <v>4.8518827013790186E-8</v>
      </c>
      <c r="I10" s="5">
        <f>SUM(Calculations!O$78,Calculations!O$86,Calculations!O$94,Calculations!O$102,Calculations!O$109)</f>
        <v>4.8326468500138772E-8</v>
      </c>
      <c r="J10" s="5">
        <f>SUM(Calculations!P$78,Calculations!P$86,Calculations!P$94,Calculations!P$102,Calculations!P$109)</f>
        <v>4.7840637418630905E-8</v>
      </c>
      <c r="K10" s="5">
        <f>SUM(Calculations!Q$78,Calculations!Q$86,Calculations!Q$94,Calculations!Q$102,Calculations!Q$109)</f>
        <v>4.7481370537467319E-8</v>
      </c>
      <c r="L10" s="5">
        <f>SUM(Calculations!R$78,Calculations!R$86,Calculations!R$94,Calculations!R$102,Calculations!R$109)</f>
        <v>4.6554299125958088E-8</v>
      </c>
      <c r="M10" s="5">
        <f>SUM(Calculations!S$78,Calculations!S$86,Calculations!S$94,Calculations!S$102,Calculations!S$109)</f>
        <v>4.6361326352156726E-8</v>
      </c>
      <c r="N10" s="5">
        <f>SUM(Calculations!T$78,Calculations!T$86,Calculations!T$94,Calculations!T$102,Calculations!T$109)</f>
        <v>4.6842970119750026E-8</v>
      </c>
      <c r="O10" s="5">
        <f>SUM(Calculations!U$78,Calculations!U$86,Calculations!U$94,Calculations!U$102,Calculations!U$109)</f>
        <v>4.6779875987630758E-8</v>
      </c>
      <c r="P10" s="5">
        <f>SUM(Calculations!V$78,Calculations!V$86,Calculations!V$94,Calculations!V$102,Calculations!V$109)</f>
        <v>4.609205043781066E-8</v>
      </c>
      <c r="Q10" s="5">
        <f>SUM(Calculations!W$78,Calculations!W$86,Calculations!W$94,Calculations!W$102,Calculations!W$109)</f>
        <v>4.5927247904586031E-8</v>
      </c>
      <c r="R10" s="5">
        <f>SUM(Calculations!X$78,Calculations!X$86,Calculations!X$94,Calculations!X$102,Calculations!X$109)</f>
        <v>4.6300491485862822E-8</v>
      </c>
      <c r="S10" s="5">
        <f>SUM(Calculations!Y$78,Calculations!Y$86,Calculations!Y$94,Calculations!Y$102,Calculations!Y$109)</f>
        <v>4.6663008869890887E-8</v>
      </c>
      <c r="T10" s="5">
        <f>SUM(Calculations!Z$78,Calculations!Z$86,Calculations!Z$94,Calculations!Z$102,Calculations!Z$109)</f>
        <v>4.686770996549019E-8</v>
      </c>
      <c r="U10" s="5">
        <f>SUM(Calculations!AA$78,Calculations!AA$86,Calculations!AA$94,Calculations!AA$102,Calculations!AA$109)</f>
        <v>4.6832856841006129E-8</v>
      </c>
      <c r="V10" s="5">
        <f>SUM(Calculations!AB$78,Calculations!AB$86,Calculations!AB$94,Calculations!AB$102,Calculations!AB$109)</f>
        <v>4.681130996981667E-8</v>
      </c>
      <c r="W10" s="5">
        <f>SUM(Calculations!AC$78,Calculations!AC$86,Calculations!AC$94,Calculations!AC$102,Calculations!AC$109)</f>
        <v>4.567697346424835E-8</v>
      </c>
      <c r="X10" s="5">
        <f>SUM(Calculations!AD$78,Calculations!AD$86,Calculations!AD$94,Calculations!AD$102,Calculations!AD$109)</f>
        <v>4.427985735601489E-8</v>
      </c>
      <c r="Y10" s="5">
        <f>SUM(Calculations!AE$78,Calculations!AE$86,Calculations!AE$94,Calculations!AE$102,Calculations!AE$109)</f>
        <v>4.3756487913885404E-8</v>
      </c>
      <c r="Z10" s="5">
        <f>SUM(Calculations!AF$78,Calculations!AF$86,Calculations!AF$94,Calculations!AF$102,Calculations!AF$109)</f>
        <v>4.4056037809951131E-8</v>
      </c>
      <c r="AA10" s="5">
        <f>SUM(Calculations!AG$78,Calculations!AG$86,Calculations!AG$94,Calculations!AG$102,Calculations!AG$109)</f>
        <v>4.457573668921231E-8</v>
      </c>
      <c r="AB10" s="5">
        <f>SUM(Calculations!AH$78,Calculations!AH$86,Calculations!AH$94,Calculations!AH$102,Calculations!AH$109)</f>
        <v>4.3790123633045591E-8</v>
      </c>
      <c r="AC10" s="5"/>
      <c r="AD10" s="5"/>
    </row>
    <row r="11" spans="1:30" x14ac:dyDescent="0.25">
      <c r="A11" t="s">
        <v>1364</v>
      </c>
      <c r="B11" s="5">
        <f>SUM(Calculations!H$78,Calculations!H$86,Calculations!H$94,Calculations!H$102,Calculations!H$109)</f>
        <v>5.1421461508657386E-8</v>
      </c>
      <c r="C11" s="5">
        <f>SUM(Calculations!I$78,Calculations!I$86,Calculations!I$94,Calculations!I$102,Calculations!I$109)</f>
        <v>4.982969621610014E-8</v>
      </c>
      <c r="D11" s="5">
        <f>SUM(Calculations!J$78,Calculations!J$86,Calculations!J$94,Calculations!J$102,Calculations!J$109)</f>
        <v>5.1050280305491631E-8</v>
      </c>
      <c r="E11" s="5">
        <f>SUM(Calculations!K$78,Calculations!K$86,Calculations!K$94,Calculations!K$102,Calculations!K$109)</f>
        <v>4.9908065370274759E-8</v>
      </c>
      <c r="F11" s="5">
        <f>SUM(Calculations!L$78,Calculations!L$86,Calculations!L$94,Calculations!L$102,Calculations!L$109)</f>
        <v>4.9798346765076109E-8</v>
      </c>
      <c r="G11" s="5">
        <f>SUM(Calculations!M$78,Calculations!M$86,Calculations!M$94,Calculations!M$102,Calculations!M$109)</f>
        <v>4.9118965259824012E-8</v>
      </c>
      <c r="H11" s="5">
        <f>SUM(Calculations!N$78,Calculations!N$86,Calculations!N$94,Calculations!N$102,Calculations!N$109)</f>
        <v>4.8518827013790186E-8</v>
      </c>
      <c r="I11" s="5">
        <f>SUM(Calculations!O$78,Calculations!O$86,Calculations!O$94,Calculations!O$102,Calculations!O$109)</f>
        <v>4.8326468500138772E-8</v>
      </c>
      <c r="J11" s="5">
        <f>SUM(Calculations!P$78,Calculations!P$86,Calculations!P$94,Calculations!P$102,Calculations!P$109)</f>
        <v>4.7840637418630905E-8</v>
      </c>
      <c r="K11" s="5">
        <f>SUM(Calculations!Q$78,Calculations!Q$86,Calculations!Q$94,Calculations!Q$102,Calculations!Q$109)</f>
        <v>4.7481370537467319E-8</v>
      </c>
      <c r="L11" s="5">
        <f>SUM(Calculations!R$78,Calculations!R$86,Calculations!R$94,Calculations!R$102,Calculations!R$109)</f>
        <v>4.6554299125958088E-8</v>
      </c>
      <c r="M11" s="5">
        <f>SUM(Calculations!S$78,Calculations!S$86,Calculations!S$94,Calculations!S$102,Calculations!S$109)</f>
        <v>4.6361326352156726E-8</v>
      </c>
      <c r="N11" s="5">
        <f>SUM(Calculations!T$78,Calculations!T$86,Calculations!T$94,Calculations!T$102,Calculations!T$109)</f>
        <v>4.6842970119750026E-8</v>
      </c>
      <c r="O11" s="5">
        <f>SUM(Calculations!U$78,Calculations!U$86,Calculations!U$94,Calculations!U$102,Calculations!U$109)</f>
        <v>4.6779875987630758E-8</v>
      </c>
      <c r="P11" s="5">
        <f>SUM(Calculations!V$78,Calculations!V$86,Calculations!V$94,Calculations!V$102,Calculations!V$109)</f>
        <v>4.609205043781066E-8</v>
      </c>
      <c r="Q11" s="5">
        <f>SUM(Calculations!W$78,Calculations!W$86,Calculations!W$94,Calculations!W$102,Calculations!W$109)</f>
        <v>4.5927247904586031E-8</v>
      </c>
      <c r="R11" s="5">
        <f>SUM(Calculations!X$78,Calculations!X$86,Calculations!X$94,Calculations!X$102,Calculations!X$109)</f>
        <v>4.6300491485862822E-8</v>
      </c>
      <c r="S11" s="5">
        <f>SUM(Calculations!Y$78,Calculations!Y$86,Calculations!Y$94,Calculations!Y$102,Calculations!Y$109)</f>
        <v>4.6663008869890887E-8</v>
      </c>
      <c r="T11" s="5">
        <f>SUM(Calculations!Z$78,Calculations!Z$86,Calculations!Z$94,Calculations!Z$102,Calculations!Z$109)</f>
        <v>4.686770996549019E-8</v>
      </c>
      <c r="U11" s="5">
        <f>SUM(Calculations!AA$78,Calculations!AA$86,Calculations!AA$94,Calculations!AA$102,Calculations!AA$109)</f>
        <v>4.6832856841006129E-8</v>
      </c>
      <c r="V11" s="5">
        <f>SUM(Calculations!AB$78,Calculations!AB$86,Calculations!AB$94,Calculations!AB$102,Calculations!AB$109)</f>
        <v>4.681130996981667E-8</v>
      </c>
      <c r="W11" s="5">
        <f>SUM(Calculations!AC$78,Calculations!AC$86,Calculations!AC$94,Calculations!AC$102,Calculations!AC$109)</f>
        <v>4.567697346424835E-8</v>
      </c>
      <c r="X11" s="5">
        <f>SUM(Calculations!AD$78,Calculations!AD$86,Calculations!AD$94,Calculations!AD$102,Calculations!AD$109)</f>
        <v>4.427985735601489E-8</v>
      </c>
      <c r="Y11" s="5">
        <f>SUM(Calculations!AE$78,Calculations!AE$86,Calculations!AE$94,Calculations!AE$102,Calculations!AE$109)</f>
        <v>4.3756487913885404E-8</v>
      </c>
      <c r="Z11" s="5">
        <f>SUM(Calculations!AF$78,Calculations!AF$86,Calculations!AF$94,Calculations!AF$102,Calculations!AF$109)</f>
        <v>4.4056037809951131E-8</v>
      </c>
      <c r="AA11" s="5">
        <f>SUM(Calculations!AG$78,Calculations!AG$86,Calculations!AG$94,Calculations!AG$102,Calculations!AG$109)</f>
        <v>4.457573668921231E-8</v>
      </c>
      <c r="AB11" s="5">
        <f>SUM(Calculations!AH$78,Calculations!AH$86,Calculations!AH$94,Calculations!AH$102,Calculations!AH$109)</f>
        <v>4.3790123633045591E-8</v>
      </c>
      <c r="AC11" s="5"/>
      <c r="AD11" s="5"/>
    </row>
    <row r="12" spans="1:30" x14ac:dyDescent="0.25">
      <c r="A12" t="s">
        <v>1365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30" x14ac:dyDescent="0.25">
      <c r="A13" t="s">
        <v>1366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30" x14ac:dyDescent="0.25">
      <c r="A14" t="s">
        <v>1367</v>
      </c>
      <c r="B14" s="5">
        <f>SUM(Calculations!H$78,Calculations!H$86,Calculations!H$94,Calculations!H$102,Calculations!H$109)</f>
        <v>5.1421461508657386E-8</v>
      </c>
      <c r="C14" s="5">
        <f>SUM(Calculations!I$78,Calculations!I$86,Calculations!I$94,Calculations!I$102,Calculations!I$109)</f>
        <v>4.982969621610014E-8</v>
      </c>
      <c r="D14" s="5">
        <f>SUM(Calculations!J$78,Calculations!J$86,Calculations!J$94,Calculations!J$102,Calculations!J$109)</f>
        <v>5.1050280305491631E-8</v>
      </c>
      <c r="E14" s="5">
        <f>SUM(Calculations!K$78,Calculations!K$86,Calculations!K$94,Calculations!K$102,Calculations!K$109)</f>
        <v>4.9908065370274759E-8</v>
      </c>
      <c r="F14" s="5">
        <f>SUM(Calculations!L$78,Calculations!L$86,Calculations!L$94,Calculations!L$102,Calculations!L$109)</f>
        <v>4.9798346765076109E-8</v>
      </c>
      <c r="G14" s="5">
        <f>SUM(Calculations!M$78,Calculations!M$86,Calculations!M$94,Calculations!M$102,Calculations!M$109)</f>
        <v>4.9118965259824012E-8</v>
      </c>
      <c r="H14" s="5">
        <f>SUM(Calculations!N$78,Calculations!N$86,Calculations!N$94,Calculations!N$102,Calculations!N$109)</f>
        <v>4.8518827013790186E-8</v>
      </c>
      <c r="I14" s="5">
        <f>SUM(Calculations!O$78,Calculations!O$86,Calculations!O$94,Calculations!O$102,Calculations!O$109)</f>
        <v>4.8326468500138772E-8</v>
      </c>
      <c r="J14" s="5">
        <f>SUM(Calculations!P$78,Calculations!P$86,Calculations!P$94,Calculations!P$102,Calculations!P$109)</f>
        <v>4.7840637418630905E-8</v>
      </c>
      <c r="K14" s="5">
        <f>SUM(Calculations!Q$78,Calculations!Q$86,Calculations!Q$94,Calculations!Q$102,Calculations!Q$109)</f>
        <v>4.7481370537467319E-8</v>
      </c>
      <c r="L14" s="5">
        <f>SUM(Calculations!R$78,Calculations!R$86,Calculations!R$94,Calculations!R$102,Calculations!R$109)</f>
        <v>4.6554299125958088E-8</v>
      </c>
      <c r="M14" s="5">
        <f>SUM(Calculations!S$78,Calculations!S$86,Calculations!S$94,Calculations!S$102,Calculations!S$109)</f>
        <v>4.6361326352156726E-8</v>
      </c>
      <c r="N14" s="5">
        <f>SUM(Calculations!T$78,Calculations!T$86,Calculations!T$94,Calculations!T$102,Calculations!T$109)</f>
        <v>4.6842970119750026E-8</v>
      </c>
      <c r="O14" s="5">
        <f>SUM(Calculations!U$78,Calculations!U$86,Calculations!U$94,Calculations!U$102,Calculations!U$109)</f>
        <v>4.6779875987630758E-8</v>
      </c>
      <c r="P14" s="5">
        <f>SUM(Calculations!V$78,Calculations!V$86,Calculations!V$94,Calculations!V$102,Calculations!V$109)</f>
        <v>4.609205043781066E-8</v>
      </c>
      <c r="Q14" s="5">
        <f>SUM(Calculations!W$78,Calculations!W$86,Calculations!W$94,Calculations!W$102,Calculations!W$109)</f>
        <v>4.5927247904586031E-8</v>
      </c>
      <c r="R14" s="5">
        <f>SUM(Calculations!X$78,Calculations!X$86,Calculations!X$94,Calculations!X$102,Calculations!X$109)</f>
        <v>4.6300491485862822E-8</v>
      </c>
      <c r="S14" s="5">
        <f>SUM(Calculations!Y$78,Calculations!Y$86,Calculations!Y$94,Calculations!Y$102,Calculations!Y$109)</f>
        <v>4.6663008869890887E-8</v>
      </c>
      <c r="T14" s="5">
        <f>SUM(Calculations!Z$78,Calculations!Z$86,Calculations!Z$94,Calculations!Z$102,Calculations!Z$109)</f>
        <v>4.686770996549019E-8</v>
      </c>
      <c r="U14" s="5">
        <f>SUM(Calculations!AA$78,Calculations!AA$86,Calculations!AA$94,Calculations!AA$102,Calculations!AA$109)</f>
        <v>4.6832856841006129E-8</v>
      </c>
      <c r="V14" s="5">
        <f>SUM(Calculations!AB$78,Calculations!AB$86,Calculations!AB$94,Calculations!AB$102,Calculations!AB$109)</f>
        <v>4.681130996981667E-8</v>
      </c>
      <c r="W14" s="5">
        <f>SUM(Calculations!AC$78,Calculations!AC$86,Calculations!AC$94,Calculations!AC$102,Calculations!AC$109)</f>
        <v>4.567697346424835E-8</v>
      </c>
      <c r="X14" s="5">
        <f>SUM(Calculations!AD$78,Calculations!AD$86,Calculations!AD$94,Calculations!AD$102,Calculations!AD$109)</f>
        <v>4.427985735601489E-8</v>
      </c>
      <c r="Y14" s="5">
        <f>SUM(Calculations!AE$78,Calculations!AE$86,Calculations!AE$94,Calculations!AE$102,Calculations!AE$109)</f>
        <v>4.3756487913885404E-8</v>
      </c>
      <c r="Z14" s="5">
        <f>SUM(Calculations!AF$78,Calculations!AF$86,Calculations!AF$94,Calculations!AF$102,Calculations!AF$109)</f>
        <v>4.4056037809951131E-8</v>
      </c>
      <c r="AA14" s="5">
        <f>SUM(Calculations!AG$78,Calculations!AG$86,Calculations!AG$94,Calculations!AG$102,Calculations!AG$109)</f>
        <v>4.457573668921231E-8</v>
      </c>
      <c r="AB14" s="5">
        <f>SUM(Calculations!AH$78,Calculations!AH$86,Calculations!AH$94,Calculations!AH$102,Calculations!AH$109)</f>
        <v>4.3790123633045591E-8</v>
      </c>
      <c r="AC14" s="5"/>
      <c r="AD14" s="5"/>
    </row>
    <row r="15" spans="1:30" x14ac:dyDescent="0.25">
      <c r="A15" t="s">
        <v>1368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30" x14ac:dyDescent="0.25">
      <c r="A16" t="s">
        <v>151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30" x14ac:dyDescent="0.25">
      <c r="A17" t="s">
        <v>1369</v>
      </c>
      <c r="B17" s="5">
        <f t="shared" ref="B17:AB17" si="0">B3</f>
        <v>1.3790882654332546E-8</v>
      </c>
      <c r="C17" s="5">
        <f t="shared" si="0"/>
        <v>1.3339431312062067E-8</v>
      </c>
      <c r="D17" s="5">
        <f t="shared" si="0"/>
        <v>1.3574651866434929E-8</v>
      </c>
      <c r="E17" s="5">
        <f t="shared" si="0"/>
        <v>1.3909594092536195E-8</v>
      </c>
      <c r="F17" s="5">
        <f t="shared" si="0"/>
        <v>1.4550361785290465E-8</v>
      </c>
      <c r="G17" s="5">
        <f t="shared" si="0"/>
        <v>1.4808038116931876E-8</v>
      </c>
      <c r="H17" s="5">
        <f t="shared" si="0"/>
        <v>1.4691420004273048E-8</v>
      </c>
      <c r="I17" s="5">
        <f t="shared" si="0"/>
        <v>1.5870614847961547E-8</v>
      </c>
      <c r="J17" s="5">
        <f t="shared" si="0"/>
        <v>1.6195935072587922E-8</v>
      </c>
      <c r="K17" s="5">
        <f t="shared" si="0"/>
        <v>1.6404283942617241E-8</v>
      </c>
      <c r="L17" s="5">
        <f t="shared" si="0"/>
        <v>1.6831980425248747E-8</v>
      </c>
      <c r="M17" s="5">
        <f t="shared" si="0"/>
        <v>1.6860803295476023E-8</v>
      </c>
      <c r="N17" s="5">
        <f t="shared" si="0"/>
        <v>1.7091145141203546E-8</v>
      </c>
      <c r="O17" s="5">
        <f t="shared" si="0"/>
        <v>1.7131094391320983E-8</v>
      </c>
      <c r="P17" s="5">
        <f t="shared" si="0"/>
        <v>1.7117073927647257E-8</v>
      </c>
      <c r="Q17" s="5">
        <f t="shared" si="0"/>
        <v>1.7226826008756617E-8</v>
      </c>
      <c r="R17" s="5">
        <f t="shared" si="0"/>
        <v>1.7492664892205521E-8</v>
      </c>
      <c r="S17" s="5">
        <f t="shared" si="0"/>
        <v>1.7795981099063673E-8</v>
      </c>
      <c r="T17" s="5">
        <f t="shared" si="0"/>
        <v>1.8032992462528367E-8</v>
      </c>
      <c r="U17" s="5">
        <f t="shared" si="0"/>
        <v>1.8179499752631827E-8</v>
      </c>
      <c r="V17" s="5">
        <f t="shared" si="0"/>
        <v>1.8314895729416611E-8</v>
      </c>
      <c r="W17" s="5">
        <f t="shared" si="0"/>
        <v>1.8477108431410938E-8</v>
      </c>
      <c r="X17" s="5">
        <f t="shared" si="0"/>
        <v>1.8612079408027421E-8</v>
      </c>
      <c r="Y17" s="5">
        <f t="shared" si="0"/>
        <v>1.8584803281169984E-8</v>
      </c>
      <c r="Z17" s="5">
        <f t="shared" si="0"/>
        <v>1.863844483333939E-8</v>
      </c>
      <c r="AA17" s="5">
        <f t="shared" si="0"/>
        <v>1.8848666377517977E-8</v>
      </c>
      <c r="AB17" s="5">
        <f t="shared" si="0"/>
        <v>1.9440606498857644E-8</v>
      </c>
      <c r="AC17" s="5"/>
      <c r="AD17" s="5"/>
    </row>
    <row r="18" spans="1:30" x14ac:dyDescent="0.25">
      <c r="A18" t="s">
        <v>1375</v>
      </c>
      <c r="B18" s="5">
        <f>SUM(Calculations!H$78,Calculations!H$86,Calculations!H$94,Calculations!H$102,Calculations!H$109)</f>
        <v>5.1421461508657386E-8</v>
      </c>
      <c r="C18" s="5">
        <f>SUM(Calculations!I$78,Calculations!I$86,Calculations!I$94,Calculations!I$102,Calculations!I$109)</f>
        <v>4.982969621610014E-8</v>
      </c>
      <c r="D18" s="5">
        <f>SUM(Calculations!J$78,Calculations!J$86,Calculations!J$94,Calculations!J$102,Calculations!J$109)</f>
        <v>5.1050280305491631E-8</v>
      </c>
      <c r="E18" s="5">
        <f>SUM(Calculations!K$78,Calculations!K$86,Calculations!K$94,Calculations!K$102,Calculations!K$109)</f>
        <v>4.9908065370274759E-8</v>
      </c>
      <c r="F18" s="5">
        <f>SUM(Calculations!L$78,Calculations!L$86,Calculations!L$94,Calculations!L$102,Calculations!L$109)</f>
        <v>4.9798346765076109E-8</v>
      </c>
      <c r="G18" s="5">
        <f>SUM(Calculations!M$78,Calculations!M$86,Calculations!M$94,Calculations!M$102,Calculations!M$109)</f>
        <v>4.9118965259824012E-8</v>
      </c>
      <c r="H18" s="5">
        <f>SUM(Calculations!N$78,Calculations!N$86,Calculations!N$94,Calculations!N$102,Calculations!N$109)</f>
        <v>4.8518827013790186E-8</v>
      </c>
      <c r="I18" s="5">
        <f>SUM(Calculations!O$78,Calculations!O$86,Calculations!O$94,Calculations!O$102,Calculations!O$109)</f>
        <v>4.8326468500138772E-8</v>
      </c>
      <c r="J18" s="5">
        <f>SUM(Calculations!P$78,Calculations!P$86,Calculations!P$94,Calculations!P$102,Calculations!P$109)</f>
        <v>4.7840637418630905E-8</v>
      </c>
      <c r="K18" s="5">
        <f>SUM(Calculations!Q$78,Calculations!Q$86,Calculations!Q$94,Calculations!Q$102,Calculations!Q$109)</f>
        <v>4.7481370537467319E-8</v>
      </c>
      <c r="L18" s="5">
        <f>SUM(Calculations!R$78,Calculations!R$86,Calculations!R$94,Calculations!R$102,Calculations!R$109)</f>
        <v>4.6554299125958088E-8</v>
      </c>
      <c r="M18" s="5">
        <f>SUM(Calculations!S$78,Calculations!S$86,Calculations!S$94,Calculations!S$102,Calculations!S$109)</f>
        <v>4.6361326352156726E-8</v>
      </c>
      <c r="N18" s="5">
        <f>SUM(Calculations!T$78,Calculations!T$86,Calculations!T$94,Calculations!T$102,Calculations!T$109)</f>
        <v>4.6842970119750026E-8</v>
      </c>
      <c r="O18" s="5">
        <f>SUM(Calculations!U$78,Calculations!U$86,Calculations!U$94,Calculations!U$102,Calculations!U$109)</f>
        <v>4.6779875987630758E-8</v>
      </c>
      <c r="P18" s="5">
        <f>SUM(Calculations!V$78,Calculations!V$86,Calculations!V$94,Calculations!V$102,Calculations!V$109)</f>
        <v>4.609205043781066E-8</v>
      </c>
      <c r="Q18" s="5">
        <f>SUM(Calculations!W$78,Calculations!W$86,Calculations!W$94,Calculations!W$102,Calculations!W$109)</f>
        <v>4.5927247904586031E-8</v>
      </c>
      <c r="R18" s="5">
        <f>SUM(Calculations!X$78,Calculations!X$86,Calculations!X$94,Calculations!X$102,Calculations!X$109)</f>
        <v>4.6300491485862822E-8</v>
      </c>
      <c r="S18" s="5">
        <f>SUM(Calculations!Y$78,Calculations!Y$86,Calculations!Y$94,Calculations!Y$102,Calculations!Y$109)</f>
        <v>4.6663008869890887E-8</v>
      </c>
      <c r="T18" s="5">
        <f>SUM(Calculations!Z$78,Calculations!Z$86,Calculations!Z$94,Calculations!Z$102,Calculations!Z$109)</f>
        <v>4.686770996549019E-8</v>
      </c>
      <c r="U18" s="5">
        <f>SUM(Calculations!AA$78,Calculations!AA$86,Calculations!AA$94,Calculations!AA$102,Calculations!AA$109)</f>
        <v>4.6832856841006129E-8</v>
      </c>
      <c r="V18" s="5">
        <f>SUM(Calculations!AB$78,Calculations!AB$86,Calculations!AB$94,Calculations!AB$102,Calculations!AB$109)</f>
        <v>4.681130996981667E-8</v>
      </c>
      <c r="W18" s="5">
        <f>SUM(Calculations!AC$78,Calculations!AC$86,Calculations!AC$94,Calculations!AC$102,Calculations!AC$109)</f>
        <v>4.567697346424835E-8</v>
      </c>
      <c r="X18" s="5">
        <f>SUM(Calculations!AD$78,Calculations!AD$86,Calculations!AD$94,Calculations!AD$102,Calculations!AD$109)</f>
        <v>4.427985735601489E-8</v>
      </c>
      <c r="Y18" s="5">
        <f>SUM(Calculations!AE$78,Calculations!AE$86,Calculations!AE$94,Calculations!AE$102,Calculations!AE$109)</f>
        <v>4.3756487913885404E-8</v>
      </c>
      <c r="Z18" s="5">
        <f>SUM(Calculations!AF$78,Calculations!AF$86,Calculations!AF$94,Calculations!AF$102,Calculations!AF$109)</f>
        <v>4.4056037809951131E-8</v>
      </c>
      <c r="AA18" s="5">
        <f>SUM(Calculations!AG$78,Calculations!AG$86,Calculations!AG$94,Calculations!AG$102,Calculations!AG$109)</f>
        <v>4.457573668921231E-8</v>
      </c>
      <c r="AB18" s="5">
        <f>SUM(Calculations!AH$78,Calculations!AH$86,Calculations!AH$94,Calculations!AH$102,Calculations!AH$109)</f>
        <v>4.3790123633045591E-8</v>
      </c>
      <c r="AC18" s="5"/>
      <c r="AD18" s="5"/>
    </row>
    <row r="19" spans="1:30" x14ac:dyDescent="0.25">
      <c r="A19" t="s">
        <v>1376</v>
      </c>
      <c r="B19" s="5">
        <f>SUM(Calculations!H$78,Calculations!H$86,Calculations!H$94,Calculations!H$102,Calculations!H$109)</f>
        <v>5.1421461508657386E-8</v>
      </c>
      <c r="C19" s="5">
        <f>SUM(Calculations!I$78,Calculations!I$86,Calculations!I$94,Calculations!I$102,Calculations!I$109)</f>
        <v>4.982969621610014E-8</v>
      </c>
      <c r="D19" s="5">
        <f>SUM(Calculations!J$78,Calculations!J$86,Calculations!J$94,Calculations!J$102,Calculations!J$109)</f>
        <v>5.1050280305491631E-8</v>
      </c>
      <c r="E19" s="5">
        <f>SUM(Calculations!K$78,Calculations!K$86,Calculations!K$94,Calculations!K$102,Calculations!K$109)</f>
        <v>4.9908065370274759E-8</v>
      </c>
      <c r="F19" s="5">
        <f>SUM(Calculations!L$78,Calculations!L$86,Calculations!L$94,Calculations!L$102,Calculations!L$109)</f>
        <v>4.9798346765076109E-8</v>
      </c>
      <c r="G19" s="5">
        <f>SUM(Calculations!M$78,Calculations!M$86,Calculations!M$94,Calculations!M$102,Calculations!M$109)</f>
        <v>4.9118965259824012E-8</v>
      </c>
      <c r="H19" s="5">
        <f>SUM(Calculations!N$78,Calculations!N$86,Calculations!N$94,Calculations!N$102,Calculations!N$109)</f>
        <v>4.8518827013790186E-8</v>
      </c>
      <c r="I19" s="5">
        <f>SUM(Calculations!O$78,Calculations!O$86,Calculations!O$94,Calculations!O$102,Calculations!O$109)</f>
        <v>4.8326468500138772E-8</v>
      </c>
      <c r="J19" s="5">
        <f>SUM(Calculations!P$78,Calculations!P$86,Calculations!P$94,Calculations!P$102,Calculations!P$109)</f>
        <v>4.7840637418630905E-8</v>
      </c>
      <c r="K19" s="5">
        <f>SUM(Calculations!Q$78,Calculations!Q$86,Calculations!Q$94,Calculations!Q$102,Calculations!Q$109)</f>
        <v>4.7481370537467319E-8</v>
      </c>
      <c r="L19" s="5">
        <f>SUM(Calculations!R$78,Calculations!R$86,Calculations!R$94,Calculations!R$102,Calculations!R$109)</f>
        <v>4.6554299125958088E-8</v>
      </c>
      <c r="M19" s="5">
        <f>SUM(Calculations!S$78,Calculations!S$86,Calculations!S$94,Calculations!S$102,Calculations!S$109)</f>
        <v>4.6361326352156726E-8</v>
      </c>
      <c r="N19" s="5">
        <f>SUM(Calculations!T$78,Calculations!T$86,Calculations!T$94,Calculations!T$102,Calculations!T$109)</f>
        <v>4.6842970119750026E-8</v>
      </c>
      <c r="O19" s="5">
        <f>SUM(Calculations!U$78,Calculations!U$86,Calculations!U$94,Calculations!U$102,Calculations!U$109)</f>
        <v>4.6779875987630758E-8</v>
      </c>
      <c r="P19" s="5">
        <f>SUM(Calculations!V$78,Calculations!V$86,Calculations!V$94,Calculations!V$102,Calculations!V$109)</f>
        <v>4.609205043781066E-8</v>
      </c>
      <c r="Q19" s="5">
        <f>SUM(Calculations!W$78,Calculations!W$86,Calculations!W$94,Calculations!W$102,Calculations!W$109)</f>
        <v>4.5927247904586031E-8</v>
      </c>
      <c r="R19" s="5">
        <f>SUM(Calculations!X$78,Calculations!X$86,Calculations!X$94,Calculations!X$102,Calculations!X$109)</f>
        <v>4.6300491485862822E-8</v>
      </c>
      <c r="S19" s="5">
        <f>SUM(Calculations!Y$78,Calculations!Y$86,Calculations!Y$94,Calculations!Y$102,Calculations!Y$109)</f>
        <v>4.6663008869890887E-8</v>
      </c>
      <c r="T19" s="5">
        <f>SUM(Calculations!Z$78,Calculations!Z$86,Calculations!Z$94,Calculations!Z$102,Calculations!Z$109)</f>
        <v>4.686770996549019E-8</v>
      </c>
      <c r="U19" s="5">
        <f>SUM(Calculations!AA$78,Calculations!AA$86,Calculations!AA$94,Calculations!AA$102,Calculations!AA$109)</f>
        <v>4.6832856841006129E-8</v>
      </c>
      <c r="V19" s="5">
        <f>SUM(Calculations!AB$78,Calculations!AB$86,Calculations!AB$94,Calculations!AB$102,Calculations!AB$109)</f>
        <v>4.681130996981667E-8</v>
      </c>
      <c r="W19" s="5">
        <f>SUM(Calculations!AC$78,Calculations!AC$86,Calculations!AC$94,Calculations!AC$102,Calculations!AC$109)</f>
        <v>4.567697346424835E-8</v>
      </c>
      <c r="X19" s="5">
        <f>SUM(Calculations!AD$78,Calculations!AD$86,Calculations!AD$94,Calculations!AD$102,Calculations!AD$109)</f>
        <v>4.427985735601489E-8</v>
      </c>
      <c r="Y19" s="5">
        <f>SUM(Calculations!AE$78,Calculations!AE$86,Calculations!AE$94,Calculations!AE$102,Calculations!AE$109)</f>
        <v>4.3756487913885404E-8</v>
      </c>
      <c r="Z19" s="5">
        <f>SUM(Calculations!AF$78,Calculations!AF$86,Calculations!AF$94,Calculations!AF$102,Calculations!AF$109)</f>
        <v>4.4056037809951131E-8</v>
      </c>
      <c r="AA19" s="5">
        <f>SUM(Calculations!AG$78,Calculations!AG$86,Calculations!AG$94,Calculations!AG$102,Calculations!AG$109)</f>
        <v>4.457573668921231E-8</v>
      </c>
      <c r="AB19" s="5">
        <f>SUM(Calculations!AH$78,Calculations!AH$86,Calculations!AH$94,Calculations!AH$102,Calculations!AH$109)</f>
        <v>4.3790123633045591E-8</v>
      </c>
      <c r="AC19" s="5"/>
      <c r="AD19" s="5"/>
    </row>
    <row r="20" spans="1:30" x14ac:dyDescent="0.25">
      <c r="A20" t="s">
        <v>1372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30" x14ac:dyDescent="0.25">
      <c r="A21" t="s">
        <v>1373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30" x14ac:dyDescent="0.25">
      <c r="A22" s="122" t="s">
        <v>1374</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D22"/>
  <sheetViews>
    <sheetView workbookViewId="0">
      <selection activeCell="B1" sqref="B1"/>
    </sheetView>
  </sheetViews>
  <sheetFormatPr defaultColWidth="9.28515625" defaultRowHeight="15" x14ac:dyDescent="0.25"/>
  <cols>
    <col min="1" max="1" width="26.5703125" customWidth="1"/>
  </cols>
  <sheetData>
    <row r="1" spans="1:30"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0" x14ac:dyDescent="0.25">
      <c r="A2" t="s">
        <v>1359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0" x14ac:dyDescent="0.25">
      <c r="A3" t="s">
        <v>1360</v>
      </c>
      <c r="B3" s="5">
        <f>SUM(Calculations!G46,Calculations!G51)</f>
        <v>1.3790882654332546E-8</v>
      </c>
      <c r="C3" s="5">
        <f>SUM(Calculations!H46,Calculations!H51)</f>
        <v>1.3339431312062067E-8</v>
      </c>
      <c r="D3" s="5">
        <f>SUM(Calculations!I46,Calculations!I51)</f>
        <v>1.3574651866434929E-8</v>
      </c>
      <c r="E3" s="5">
        <f>SUM(Calculations!J46,Calculations!J51)</f>
        <v>1.3909594092536195E-8</v>
      </c>
      <c r="F3" s="5">
        <f>SUM(Calculations!K46,Calculations!K51)</f>
        <v>1.4550361785290465E-8</v>
      </c>
      <c r="G3" s="5">
        <f>SUM(Calculations!L46,Calculations!L51)</f>
        <v>1.4808038116931876E-8</v>
      </c>
      <c r="H3" s="5">
        <f>SUM(Calculations!M46,Calculations!M51)</f>
        <v>1.4691420004273048E-8</v>
      </c>
      <c r="I3" s="5">
        <f>SUM(Calculations!N46,Calculations!N51)</f>
        <v>1.5870614847961547E-8</v>
      </c>
      <c r="J3" s="5">
        <f>SUM(Calculations!O46,Calculations!O51)</f>
        <v>1.6195935072587922E-8</v>
      </c>
      <c r="K3" s="5">
        <f>SUM(Calculations!P46,Calculations!P51)</f>
        <v>1.6404283942617241E-8</v>
      </c>
      <c r="L3" s="5">
        <f>SUM(Calculations!Q46,Calculations!Q51)</f>
        <v>1.6831980425248747E-8</v>
      </c>
      <c r="M3" s="5">
        <f>SUM(Calculations!R46,Calculations!R51)</f>
        <v>1.6860803295476023E-8</v>
      </c>
      <c r="N3" s="5">
        <f>SUM(Calculations!S46,Calculations!S51)</f>
        <v>1.7091145141203546E-8</v>
      </c>
      <c r="O3" s="5">
        <f>SUM(Calculations!T46,Calculations!T51)</f>
        <v>1.7131094391320983E-8</v>
      </c>
      <c r="P3" s="5">
        <f>SUM(Calculations!U46,Calculations!U51)</f>
        <v>1.7117073927647257E-8</v>
      </c>
      <c r="Q3" s="5">
        <f>SUM(Calculations!V46,Calculations!V51)</f>
        <v>1.7226826008756617E-8</v>
      </c>
      <c r="R3" s="5">
        <f>SUM(Calculations!W46,Calculations!W51)</f>
        <v>1.7492664892205521E-8</v>
      </c>
      <c r="S3" s="5">
        <f>SUM(Calculations!X46,Calculations!X51)</f>
        <v>1.7795981099063673E-8</v>
      </c>
      <c r="T3" s="5">
        <f>SUM(Calculations!Y46,Calculations!Y51)</f>
        <v>1.8032992462528367E-8</v>
      </c>
      <c r="U3" s="5">
        <f>SUM(Calculations!Z46,Calculations!Z51)</f>
        <v>1.8179499752631827E-8</v>
      </c>
      <c r="V3" s="5">
        <f>SUM(Calculations!AA46,Calculations!AA51)</f>
        <v>1.8314895729416611E-8</v>
      </c>
      <c r="W3" s="5">
        <f>SUM(Calculations!AB46,Calculations!AB51)</f>
        <v>1.8477108431410938E-8</v>
      </c>
      <c r="X3" s="5">
        <f>SUM(Calculations!AC46,Calculations!AC51)</f>
        <v>1.8612079408027421E-8</v>
      </c>
      <c r="Y3" s="5">
        <f>SUM(Calculations!AD46,Calculations!AD51)</f>
        <v>1.8584803281169984E-8</v>
      </c>
      <c r="Z3" s="5">
        <f>SUM(Calculations!AE46,Calculations!AE51)</f>
        <v>1.863844483333939E-8</v>
      </c>
      <c r="AA3" s="5">
        <f>SUM(Calculations!AF46,Calculations!AF51)</f>
        <v>1.8848666377517977E-8</v>
      </c>
      <c r="AB3" s="5">
        <f>SUM(Calculations!AG46,Calculations!AG51)</f>
        <v>1.9440606498857644E-8</v>
      </c>
      <c r="AC3" s="5"/>
      <c r="AD3" s="5"/>
    </row>
    <row r="4" spans="1:30" x14ac:dyDescent="0.25">
      <c r="A4" t="s">
        <v>1361</v>
      </c>
      <c r="B4" s="5">
        <f>SUM(Calculations!G58,Calculations!G64,Calculations!G70)</f>
        <v>3.8851875622860542E-8</v>
      </c>
      <c r="C4" s="5">
        <f>SUM(Calculations!H58,Calculations!H64,Calculations!H70)</f>
        <v>3.7810242781995915E-8</v>
      </c>
      <c r="D4" s="5">
        <f>SUM(Calculations!I58,Calculations!I64,Calculations!I70)</f>
        <v>3.7982443924150547E-8</v>
      </c>
      <c r="E4" s="5">
        <f>SUM(Calculations!J58,Calculations!J64,Calculations!J70)</f>
        <v>3.7864350350851582E-8</v>
      </c>
      <c r="F4" s="5">
        <f>SUM(Calculations!K58,Calculations!K64,Calculations!K70)</f>
        <v>3.7517956493239704E-8</v>
      </c>
      <c r="G4" s="5">
        <f>SUM(Calculations!L58,Calculations!L64,Calculations!L70)</f>
        <v>3.739683842074364E-8</v>
      </c>
      <c r="H4" s="5">
        <f>SUM(Calculations!M58,Calculations!M64,Calculations!M70)</f>
        <v>3.6744828751904914E-8</v>
      </c>
      <c r="I4" s="5">
        <f>SUM(Calculations!N58,Calculations!N64,Calculations!N70)</f>
        <v>3.6009707827936277E-8</v>
      </c>
      <c r="J4" s="5">
        <f>SUM(Calculations!O58,Calculations!O64,Calculations!O70)</f>
        <v>3.540318450209332E-8</v>
      </c>
      <c r="K4" s="5">
        <f>SUM(Calculations!P58,Calculations!P64,Calculations!P70)</f>
        <v>3.5051706121664425E-8</v>
      </c>
      <c r="L4" s="5">
        <f>SUM(Calculations!Q58,Calculations!Q64,Calculations!Q70)</f>
        <v>3.4580818445259014E-8</v>
      </c>
      <c r="M4" s="5">
        <f>SUM(Calculations!R58,Calculations!R64,Calculations!R70)</f>
        <v>3.4405552944659688E-8</v>
      </c>
      <c r="N4" s="5">
        <f>SUM(Calculations!S58,Calculations!S64,Calculations!S70)</f>
        <v>3.4260668546481641E-8</v>
      </c>
      <c r="O4" s="5">
        <f>SUM(Calculations!T58,Calculations!T64,Calculations!T70)</f>
        <v>3.4071301219251879E-8</v>
      </c>
      <c r="P4" s="5">
        <f>SUM(Calculations!U58,Calculations!U64,Calculations!U70)</f>
        <v>3.3920822886159178E-8</v>
      </c>
      <c r="Q4" s="5">
        <f>SUM(Calculations!V58,Calculations!V64,Calculations!V70)</f>
        <v>3.37294696210689E-8</v>
      </c>
      <c r="R4" s="5">
        <f>SUM(Calculations!W58,Calculations!W64,Calculations!W70)</f>
        <v>3.3273729891144987E-8</v>
      </c>
      <c r="S4" s="5">
        <f>SUM(Calculations!X58,Calculations!X64,Calculations!X70)</f>
        <v>3.2809397915071382E-8</v>
      </c>
      <c r="T4" s="5">
        <f>SUM(Calculations!Y58,Calculations!Y64,Calculations!Y70)</f>
        <v>3.2475224174223351E-8</v>
      </c>
      <c r="U4" s="5">
        <f>SUM(Calculations!Z58,Calculations!Z64,Calculations!Z70)</f>
        <v>3.2185221250996927E-8</v>
      </c>
      <c r="V4" s="5">
        <f>SUM(Calculations!AA58,Calculations!AA64,Calculations!AA70)</f>
        <v>3.1992368523119327E-8</v>
      </c>
      <c r="W4" s="5">
        <f>SUM(Calculations!AB58,Calculations!AB64,Calculations!AB70)</f>
        <v>3.1875127722613763E-8</v>
      </c>
      <c r="X4" s="5">
        <f>SUM(Calculations!AC58,Calculations!AC64,Calculations!AC70)</f>
        <v>3.1729045953145096E-8</v>
      </c>
      <c r="Y4" s="5">
        <f>SUM(Calculations!AD58,Calculations!AD64,Calculations!AD70)</f>
        <v>3.1623480246051192E-8</v>
      </c>
      <c r="Z4" s="5">
        <f>SUM(Calculations!AE58,Calculations!AE64,Calculations!AE70)</f>
        <v>3.1555579407025036E-8</v>
      </c>
      <c r="AA4" s="5">
        <f>SUM(Calculations!AF58,Calculations!AF64,Calculations!AF70)</f>
        <v>3.1595972226585355E-8</v>
      </c>
      <c r="AB4" s="5">
        <f>SUM(Calculations!AG58,Calculations!AG64,Calculations!AG70)</f>
        <v>3.1702994692725905E-8</v>
      </c>
      <c r="AC4" s="5"/>
      <c r="AD4" s="5"/>
    </row>
    <row r="5" spans="1:30"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0"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0" x14ac:dyDescent="0.25">
      <c r="A7" t="s">
        <v>138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30" x14ac:dyDescent="0.2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30" x14ac:dyDescent="0.25">
      <c r="A9" t="s">
        <v>1362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30" x14ac:dyDescent="0.25">
      <c r="A10" t="s">
        <v>1363</v>
      </c>
      <c r="B10" s="5">
        <f>SUM(Calculations!H$78,Calculations!H$86,Calculations!H$94,Calculations!H$102,Calculations!H$109)</f>
        <v>5.1421461508657386E-8</v>
      </c>
      <c r="C10" s="5">
        <f>SUM(Calculations!I$78,Calculations!I$86,Calculations!I$94,Calculations!I$102,Calculations!I$109)</f>
        <v>4.982969621610014E-8</v>
      </c>
      <c r="D10" s="5">
        <f>SUM(Calculations!J$78,Calculations!J$86,Calculations!J$94,Calculations!J$102,Calculations!J$109)</f>
        <v>5.1050280305491631E-8</v>
      </c>
      <c r="E10" s="5">
        <f>SUM(Calculations!K$78,Calculations!K$86,Calculations!K$94,Calculations!K$102,Calculations!K$109)</f>
        <v>4.9908065370274759E-8</v>
      </c>
      <c r="F10" s="5">
        <f>SUM(Calculations!L$78,Calculations!L$86,Calculations!L$94,Calculations!L$102,Calculations!L$109)</f>
        <v>4.9798346765076109E-8</v>
      </c>
      <c r="G10" s="5">
        <f>SUM(Calculations!M$78,Calculations!M$86,Calculations!M$94,Calculations!M$102,Calculations!M$109)</f>
        <v>4.9118965259824012E-8</v>
      </c>
      <c r="H10" s="5">
        <f>SUM(Calculations!N$78,Calculations!N$86,Calculations!N$94,Calculations!N$102,Calculations!N$109)</f>
        <v>4.8518827013790186E-8</v>
      </c>
      <c r="I10" s="5">
        <f>SUM(Calculations!O$78,Calculations!O$86,Calculations!O$94,Calculations!O$102,Calculations!O$109)</f>
        <v>4.8326468500138772E-8</v>
      </c>
      <c r="J10" s="5">
        <f>SUM(Calculations!P$78,Calculations!P$86,Calculations!P$94,Calculations!P$102,Calculations!P$109)</f>
        <v>4.7840637418630905E-8</v>
      </c>
      <c r="K10" s="5">
        <f>SUM(Calculations!Q$78,Calculations!Q$86,Calculations!Q$94,Calculations!Q$102,Calculations!Q$109)</f>
        <v>4.7481370537467319E-8</v>
      </c>
      <c r="L10" s="5">
        <f>SUM(Calculations!R$78,Calculations!R$86,Calculations!R$94,Calculations!R$102,Calculations!R$109)</f>
        <v>4.6554299125958088E-8</v>
      </c>
      <c r="M10" s="5">
        <f>SUM(Calculations!S$78,Calculations!S$86,Calculations!S$94,Calculations!S$102,Calculations!S$109)</f>
        <v>4.6361326352156726E-8</v>
      </c>
      <c r="N10" s="5">
        <f>SUM(Calculations!T$78,Calculations!T$86,Calculations!T$94,Calculations!T$102,Calculations!T$109)</f>
        <v>4.6842970119750026E-8</v>
      </c>
      <c r="O10" s="5">
        <f>SUM(Calculations!U$78,Calculations!U$86,Calculations!U$94,Calculations!U$102,Calculations!U$109)</f>
        <v>4.6779875987630758E-8</v>
      </c>
      <c r="P10" s="5">
        <f>SUM(Calculations!V$78,Calculations!V$86,Calculations!V$94,Calculations!V$102,Calculations!V$109)</f>
        <v>4.609205043781066E-8</v>
      </c>
      <c r="Q10" s="5">
        <f>SUM(Calculations!W$78,Calculations!W$86,Calculations!W$94,Calculations!W$102,Calculations!W$109)</f>
        <v>4.5927247904586031E-8</v>
      </c>
      <c r="R10" s="5">
        <f>SUM(Calculations!X$78,Calculations!X$86,Calculations!X$94,Calculations!X$102,Calculations!X$109)</f>
        <v>4.6300491485862822E-8</v>
      </c>
      <c r="S10" s="5">
        <f>SUM(Calculations!Y$78,Calculations!Y$86,Calculations!Y$94,Calculations!Y$102,Calculations!Y$109)</f>
        <v>4.6663008869890887E-8</v>
      </c>
      <c r="T10" s="5">
        <f>SUM(Calculations!Z$78,Calculations!Z$86,Calculations!Z$94,Calculations!Z$102,Calculations!Z$109)</f>
        <v>4.686770996549019E-8</v>
      </c>
      <c r="U10" s="5">
        <f>SUM(Calculations!AA$78,Calculations!AA$86,Calculations!AA$94,Calculations!AA$102,Calculations!AA$109)</f>
        <v>4.6832856841006129E-8</v>
      </c>
      <c r="V10" s="5">
        <f>SUM(Calculations!AB$78,Calculations!AB$86,Calculations!AB$94,Calculations!AB$102,Calculations!AB$109)</f>
        <v>4.681130996981667E-8</v>
      </c>
      <c r="W10" s="5">
        <f>SUM(Calculations!AC$78,Calculations!AC$86,Calculations!AC$94,Calculations!AC$102,Calculations!AC$109)</f>
        <v>4.567697346424835E-8</v>
      </c>
      <c r="X10" s="5">
        <f>SUM(Calculations!AD$78,Calculations!AD$86,Calculations!AD$94,Calculations!AD$102,Calculations!AD$109)</f>
        <v>4.427985735601489E-8</v>
      </c>
      <c r="Y10" s="5">
        <f>SUM(Calculations!AE$78,Calculations!AE$86,Calculations!AE$94,Calculations!AE$102,Calculations!AE$109)</f>
        <v>4.3756487913885404E-8</v>
      </c>
      <c r="Z10" s="5">
        <f>SUM(Calculations!AF$78,Calculations!AF$86,Calculations!AF$94,Calculations!AF$102,Calculations!AF$109)</f>
        <v>4.4056037809951131E-8</v>
      </c>
      <c r="AA10" s="5">
        <f>SUM(Calculations!AG$78,Calculations!AG$86,Calculations!AG$94,Calculations!AG$102,Calculations!AG$109)</f>
        <v>4.457573668921231E-8</v>
      </c>
      <c r="AB10" s="5">
        <f>SUM(Calculations!AH$78,Calculations!AH$86,Calculations!AH$94,Calculations!AH$102,Calculations!AH$109)</f>
        <v>4.3790123633045591E-8</v>
      </c>
      <c r="AC10" s="5"/>
      <c r="AD10" s="5"/>
    </row>
    <row r="11" spans="1:30" x14ac:dyDescent="0.25">
      <c r="A11" t="s">
        <v>1364</v>
      </c>
      <c r="B11" s="5">
        <f>SUM(Calculations!H$78,Calculations!H$86,Calculations!H$94,Calculations!H$102,Calculations!H$109)</f>
        <v>5.1421461508657386E-8</v>
      </c>
      <c r="C11" s="5">
        <f>SUM(Calculations!I$78,Calculations!I$86,Calculations!I$94,Calculations!I$102,Calculations!I$109)</f>
        <v>4.982969621610014E-8</v>
      </c>
      <c r="D11" s="5">
        <f>SUM(Calculations!J$78,Calculations!J$86,Calculations!J$94,Calculations!J$102,Calculations!J$109)</f>
        <v>5.1050280305491631E-8</v>
      </c>
      <c r="E11" s="5">
        <f>SUM(Calculations!K$78,Calculations!K$86,Calculations!K$94,Calculations!K$102,Calculations!K$109)</f>
        <v>4.9908065370274759E-8</v>
      </c>
      <c r="F11" s="5">
        <f>SUM(Calculations!L$78,Calculations!L$86,Calculations!L$94,Calculations!L$102,Calculations!L$109)</f>
        <v>4.9798346765076109E-8</v>
      </c>
      <c r="G11" s="5">
        <f>SUM(Calculations!M$78,Calculations!M$86,Calculations!M$94,Calculations!M$102,Calculations!M$109)</f>
        <v>4.9118965259824012E-8</v>
      </c>
      <c r="H11" s="5">
        <f>SUM(Calculations!N$78,Calculations!N$86,Calculations!N$94,Calculations!N$102,Calculations!N$109)</f>
        <v>4.8518827013790186E-8</v>
      </c>
      <c r="I11" s="5">
        <f>SUM(Calculations!O$78,Calculations!O$86,Calculations!O$94,Calculations!O$102,Calculations!O$109)</f>
        <v>4.8326468500138772E-8</v>
      </c>
      <c r="J11" s="5">
        <f>SUM(Calculations!P$78,Calculations!P$86,Calculations!P$94,Calculations!P$102,Calculations!P$109)</f>
        <v>4.7840637418630905E-8</v>
      </c>
      <c r="K11" s="5">
        <f>SUM(Calculations!Q$78,Calculations!Q$86,Calculations!Q$94,Calculations!Q$102,Calculations!Q$109)</f>
        <v>4.7481370537467319E-8</v>
      </c>
      <c r="L11" s="5">
        <f>SUM(Calculations!R$78,Calculations!R$86,Calculations!R$94,Calculations!R$102,Calculations!R$109)</f>
        <v>4.6554299125958088E-8</v>
      </c>
      <c r="M11" s="5">
        <f>SUM(Calculations!S$78,Calculations!S$86,Calculations!S$94,Calculations!S$102,Calculations!S$109)</f>
        <v>4.6361326352156726E-8</v>
      </c>
      <c r="N11" s="5">
        <f>SUM(Calculations!T$78,Calculations!T$86,Calculations!T$94,Calculations!T$102,Calculations!T$109)</f>
        <v>4.6842970119750026E-8</v>
      </c>
      <c r="O11" s="5">
        <f>SUM(Calculations!U$78,Calculations!U$86,Calculations!U$94,Calculations!U$102,Calculations!U$109)</f>
        <v>4.6779875987630758E-8</v>
      </c>
      <c r="P11" s="5">
        <f>SUM(Calculations!V$78,Calculations!V$86,Calculations!V$94,Calculations!V$102,Calculations!V$109)</f>
        <v>4.609205043781066E-8</v>
      </c>
      <c r="Q11" s="5">
        <f>SUM(Calculations!W$78,Calculations!W$86,Calculations!W$94,Calculations!W$102,Calculations!W$109)</f>
        <v>4.5927247904586031E-8</v>
      </c>
      <c r="R11" s="5">
        <f>SUM(Calculations!X$78,Calculations!X$86,Calculations!X$94,Calculations!X$102,Calculations!X$109)</f>
        <v>4.6300491485862822E-8</v>
      </c>
      <c r="S11" s="5">
        <f>SUM(Calculations!Y$78,Calculations!Y$86,Calculations!Y$94,Calculations!Y$102,Calculations!Y$109)</f>
        <v>4.6663008869890887E-8</v>
      </c>
      <c r="T11" s="5">
        <f>SUM(Calculations!Z$78,Calculations!Z$86,Calculations!Z$94,Calculations!Z$102,Calculations!Z$109)</f>
        <v>4.686770996549019E-8</v>
      </c>
      <c r="U11" s="5">
        <f>SUM(Calculations!AA$78,Calculations!AA$86,Calculations!AA$94,Calculations!AA$102,Calculations!AA$109)</f>
        <v>4.6832856841006129E-8</v>
      </c>
      <c r="V11" s="5">
        <f>SUM(Calculations!AB$78,Calculations!AB$86,Calculations!AB$94,Calculations!AB$102,Calculations!AB$109)</f>
        <v>4.681130996981667E-8</v>
      </c>
      <c r="W11" s="5">
        <f>SUM(Calculations!AC$78,Calculations!AC$86,Calculations!AC$94,Calculations!AC$102,Calculations!AC$109)</f>
        <v>4.567697346424835E-8</v>
      </c>
      <c r="X11" s="5">
        <f>SUM(Calculations!AD$78,Calculations!AD$86,Calculations!AD$94,Calculations!AD$102,Calculations!AD$109)</f>
        <v>4.427985735601489E-8</v>
      </c>
      <c r="Y11" s="5">
        <f>SUM(Calculations!AE$78,Calculations!AE$86,Calculations!AE$94,Calculations!AE$102,Calculations!AE$109)</f>
        <v>4.3756487913885404E-8</v>
      </c>
      <c r="Z11" s="5">
        <f>SUM(Calculations!AF$78,Calculations!AF$86,Calculations!AF$94,Calculations!AF$102,Calculations!AF$109)</f>
        <v>4.4056037809951131E-8</v>
      </c>
      <c r="AA11" s="5">
        <f>SUM(Calculations!AG$78,Calculations!AG$86,Calculations!AG$94,Calculations!AG$102,Calculations!AG$109)</f>
        <v>4.457573668921231E-8</v>
      </c>
      <c r="AB11" s="5">
        <f>SUM(Calculations!AH$78,Calculations!AH$86,Calculations!AH$94,Calculations!AH$102,Calculations!AH$109)</f>
        <v>4.3790123633045591E-8</v>
      </c>
      <c r="AC11" s="5"/>
      <c r="AD11" s="5"/>
    </row>
    <row r="12" spans="1:30" x14ac:dyDescent="0.25">
      <c r="A12" t="s">
        <v>1365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30" x14ac:dyDescent="0.25">
      <c r="A13" t="s">
        <v>1366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30" x14ac:dyDescent="0.25">
      <c r="A14" t="s">
        <v>1367</v>
      </c>
      <c r="B14" s="5">
        <f>SUM(Calculations!H$78,Calculations!H$86,Calculations!H$94,Calculations!H$102,Calculations!H$109)</f>
        <v>5.1421461508657386E-8</v>
      </c>
      <c r="C14" s="5">
        <f>SUM(Calculations!I$78,Calculations!I$86,Calculations!I$94,Calculations!I$102,Calculations!I$109)</f>
        <v>4.982969621610014E-8</v>
      </c>
      <c r="D14" s="5">
        <f>SUM(Calculations!J$78,Calculations!J$86,Calculations!J$94,Calculations!J$102,Calculations!J$109)</f>
        <v>5.1050280305491631E-8</v>
      </c>
      <c r="E14" s="5">
        <f>SUM(Calculations!K$78,Calculations!K$86,Calculations!K$94,Calculations!K$102,Calculations!K$109)</f>
        <v>4.9908065370274759E-8</v>
      </c>
      <c r="F14" s="5">
        <f>SUM(Calculations!L$78,Calculations!L$86,Calculations!L$94,Calculations!L$102,Calculations!L$109)</f>
        <v>4.9798346765076109E-8</v>
      </c>
      <c r="G14" s="5">
        <f>SUM(Calculations!M$78,Calculations!M$86,Calculations!M$94,Calculations!M$102,Calculations!M$109)</f>
        <v>4.9118965259824012E-8</v>
      </c>
      <c r="H14" s="5">
        <f>SUM(Calculations!N$78,Calculations!N$86,Calculations!N$94,Calculations!N$102,Calculations!N$109)</f>
        <v>4.8518827013790186E-8</v>
      </c>
      <c r="I14" s="5">
        <f>SUM(Calculations!O$78,Calculations!O$86,Calculations!O$94,Calculations!O$102,Calculations!O$109)</f>
        <v>4.8326468500138772E-8</v>
      </c>
      <c r="J14" s="5">
        <f>SUM(Calculations!P$78,Calculations!P$86,Calculations!P$94,Calculations!P$102,Calculations!P$109)</f>
        <v>4.7840637418630905E-8</v>
      </c>
      <c r="K14" s="5">
        <f>SUM(Calculations!Q$78,Calculations!Q$86,Calculations!Q$94,Calculations!Q$102,Calculations!Q$109)</f>
        <v>4.7481370537467319E-8</v>
      </c>
      <c r="L14" s="5">
        <f>SUM(Calculations!R$78,Calculations!R$86,Calculations!R$94,Calculations!R$102,Calculations!R$109)</f>
        <v>4.6554299125958088E-8</v>
      </c>
      <c r="M14" s="5">
        <f>SUM(Calculations!S$78,Calculations!S$86,Calculations!S$94,Calculations!S$102,Calculations!S$109)</f>
        <v>4.6361326352156726E-8</v>
      </c>
      <c r="N14" s="5">
        <f>SUM(Calculations!T$78,Calculations!T$86,Calculations!T$94,Calculations!T$102,Calculations!T$109)</f>
        <v>4.6842970119750026E-8</v>
      </c>
      <c r="O14" s="5">
        <f>SUM(Calculations!U$78,Calculations!U$86,Calculations!U$94,Calculations!U$102,Calculations!U$109)</f>
        <v>4.6779875987630758E-8</v>
      </c>
      <c r="P14" s="5">
        <f>SUM(Calculations!V$78,Calculations!V$86,Calculations!V$94,Calculations!V$102,Calculations!V$109)</f>
        <v>4.609205043781066E-8</v>
      </c>
      <c r="Q14" s="5">
        <f>SUM(Calculations!W$78,Calculations!W$86,Calculations!W$94,Calculations!W$102,Calculations!W$109)</f>
        <v>4.5927247904586031E-8</v>
      </c>
      <c r="R14" s="5">
        <f>SUM(Calculations!X$78,Calculations!X$86,Calculations!X$94,Calculations!X$102,Calculations!X$109)</f>
        <v>4.6300491485862822E-8</v>
      </c>
      <c r="S14" s="5">
        <f>SUM(Calculations!Y$78,Calculations!Y$86,Calculations!Y$94,Calculations!Y$102,Calculations!Y$109)</f>
        <v>4.6663008869890887E-8</v>
      </c>
      <c r="T14" s="5">
        <f>SUM(Calculations!Z$78,Calculations!Z$86,Calculations!Z$94,Calculations!Z$102,Calculations!Z$109)</f>
        <v>4.686770996549019E-8</v>
      </c>
      <c r="U14" s="5">
        <f>SUM(Calculations!AA$78,Calculations!AA$86,Calculations!AA$94,Calculations!AA$102,Calculations!AA$109)</f>
        <v>4.6832856841006129E-8</v>
      </c>
      <c r="V14" s="5">
        <f>SUM(Calculations!AB$78,Calculations!AB$86,Calculations!AB$94,Calculations!AB$102,Calculations!AB$109)</f>
        <v>4.681130996981667E-8</v>
      </c>
      <c r="W14" s="5">
        <f>SUM(Calculations!AC$78,Calculations!AC$86,Calculations!AC$94,Calculations!AC$102,Calculations!AC$109)</f>
        <v>4.567697346424835E-8</v>
      </c>
      <c r="X14" s="5">
        <f>SUM(Calculations!AD$78,Calculations!AD$86,Calculations!AD$94,Calculations!AD$102,Calculations!AD$109)</f>
        <v>4.427985735601489E-8</v>
      </c>
      <c r="Y14" s="5">
        <f>SUM(Calculations!AE$78,Calculations!AE$86,Calculations!AE$94,Calculations!AE$102,Calculations!AE$109)</f>
        <v>4.3756487913885404E-8</v>
      </c>
      <c r="Z14" s="5">
        <f>SUM(Calculations!AF$78,Calculations!AF$86,Calculations!AF$94,Calculations!AF$102,Calculations!AF$109)</f>
        <v>4.4056037809951131E-8</v>
      </c>
      <c r="AA14" s="5">
        <f>SUM(Calculations!AG$78,Calculations!AG$86,Calculations!AG$94,Calculations!AG$102,Calculations!AG$109)</f>
        <v>4.457573668921231E-8</v>
      </c>
      <c r="AB14" s="5">
        <f>SUM(Calculations!AH$78,Calculations!AH$86,Calculations!AH$94,Calculations!AH$102,Calculations!AH$109)</f>
        <v>4.3790123633045591E-8</v>
      </c>
      <c r="AC14" s="5"/>
      <c r="AD14" s="5"/>
    </row>
    <row r="15" spans="1:30" x14ac:dyDescent="0.25">
      <c r="A15" t="s">
        <v>1368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30" x14ac:dyDescent="0.25">
      <c r="A16" t="s">
        <v>151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30" x14ac:dyDescent="0.25">
      <c r="A17" t="s">
        <v>1369</v>
      </c>
      <c r="B17" s="5">
        <f t="shared" ref="B17:AB17" si="0">B3</f>
        <v>1.3790882654332546E-8</v>
      </c>
      <c r="C17" s="5">
        <f t="shared" si="0"/>
        <v>1.3339431312062067E-8</v>
      </c>
      <c r="D17" s="5">
        <f t="shared" si="0"/>
        <v>1.3574651866434929E-8</v>
      </c>
      <c r="E17" s="5">
        <f t="shared" si="0"/>
        <v>1.3909594092536195E-8</v>
      </c>
      <c r="F17" s="5">
        <f t="shared" si="0"/>
        <v>1.4550361785290465E-8</v>
      </c>
      <c r="G17" s="5">
        <f t="shared" si="0"/>
        <v>1.4808038116931876E-8</v>
      </c>
      <c r="H17" s="5">
        <f t="shared" si="0"/>
        <v>1.4691420004273048E-8</v>
      </c>
      <c r="I17" s="5">
        <f t="shared" si="0"/>
        <v>1.5870614847961547E-8</v>
      </c>
      <c r="J17" s="5">
        <f t="shared" si="0"/>
        <v>1.6195935072587922E-8</v>
      </c>
      <c r="K17" s="5">
        <f t="shared" si="0"/>
        <v>1.6404283942617241E-8</v>
      </c>
      <c r="L17" s="5">
        <f t="shared" si="0"/>
        <v>1.6831980425248747E-8</v>
      </c>
      <c r="M17" s="5">
        <f t="shared" si="0"/>
        <v>1.6860803295476023E-8</v>
      </c>
      <c r="N17" s="5">
        <f t="shared" si="0"/>
        <v>1.7091145141203546E-8</v>
      </c>
      <c r="O17" s="5">
        <f t="shared" si="0"/>
        <v>1.7131094391320983E-8</v>
      </c>
      <c r="P17" s="5">
        <f t="shared" si="0"/>
        <v>1.7117073927647257E-8</v>
      </c>
      <c r="Q17" s="5">
        <f t="shared" si="0"/>
        <v>1.7226826008756617E-8</v>
      </c>
      <c r="R17" s="5">
        <f t="shared" si="0"/>
        <v>1.7492664892205521E-8</v>
      </c>
      <c r="S17" s="5">
        <f t="shared" si="0"/>
        <v>1.7795981099063673E-8</v>
      </c>
      <c r="T17" s="5">
        <f t="shared" si="0"/>
        <v>1.8032992462528367E-8</v>
      </c>
      <c r="U17" s="5">
        <f t="shared" si="0"/>
        <v>1.8179499752631827E-8</v>
      </c>
      <c r="V17" s="5">
        <f t="shared" si="0"/>
        <v>1.8314895729416611E-8</v>
      </c>
      <c r="W17" s="5">
        <f t="shared" si="0"/>
        <v>1.8477108431410938E-8</v>
      </c>
      <c r="X17" s="5">
        <f t="shared" si="0"/>
        <v>1.8612079408027421E-8</v>
      </c>
      <c r="Y17" s="5">
        <f t="shared" si="0"/>
        <v>1.8584803281169984E-8</v>
      </c>
      <c r="Z17" s="5">
        <f t="shared" si="0"/>
        <v>1.863844483333939E-8</v>
      </c>
      <c r="AA17" s="5">
        <f t="shared" si="0"/>
        <v>1.8848666377517977E-8</v>
      </c>
      <c r="AB17" s="5">
        <f t="shared" si="0"/>
        <v>1.9440606498857644E-8</v>
      </c>
      <c r="AC17" s="5"/>
      <c r="AD17" s="5"/>
    </row>
    <row r="18" spans="1:30" x14ac:dyDescent="0.25">
      <c r="A18" t="s">
        <v>1375</v>
      </c>
      <c r="B18" s="5">
        <f>SUM(Calculations!H$78,Calculations!H$86,Calculations!H$94,Calculations!H$102,Calculations!H$109)</f>
        <v>5.1421461508657386E-8</v>
      </c>
      <c r="C18" s="5">
        <f>SUM(Calculations!I$78,Calculations!I$86,Calculations!I$94,Calculations!I$102,Calculations!I$109)</f>
        <v>4.982969621610014E-8</v>
      </c>
      <c r="D18" s="5">
        <f>SUM(Calculations!J$78,Calculations!J$86,Calculations!J$94,Calculations!J$102,Calculations!J$109)</f>
        <v>5.1050280305491631E-8</v>
      </c>
      <c r="E18" s="5">
        <f>SUM(Calculations!K$78,Calculations!K$86,Calculations!K$94,Calculations!K$102,Calculations!K$109)</f>
        <v>4.9908065370274759E-8</v>
      </c>
      <c r="F18" s="5">
        <f>SUM(Calculations!L$78,Calculations!L$86,Calculations!L$94,Calculations!L$102,Calculations!L$109)</f>
        <v>4.9798346765076109E-8</v>
      </c>
      <c r="G18" s="5">
        <f>SUM(Calculations!M$78,Calculations!M$86,Calculations!M$94,Calculations!M$102,Calculations!M$109)</f>
        <v>4.9118965259824012E-8</v>
      </c>
      <c r="H18" s="5">
        <f>SUM(Calculations!N$78,Calculations!N$86,Calculations!N$94,Calculations!N$102,Calculations!N$109)</f>
        <v>4.8518827013790186E-8</v>
      </c>
      <c r="I18" s="5">
        <f>SUM(Calculations!O$78,Calculations!O$86,Calculations!O$94,Calculations!O$102,Calculations!O$109)</f>
        <v>4.8326468500138772E-8</v>
      </c>
      <c r="J18" s="5">
        <f>SUM(Calculations!P$78,Calculations!P$86,Calculations!P$94,Calculations!P$102,Calculations!P$109)</f>
        <v>4.7840637418630905E-8</v>
      </c>
      <c r="K18" s="5">
        <f>SUM(Calculations!Q$78,Calculations!Q$86,Calculations!Q$94,Calculations!Q$102,Calculations!Q$109)</f>
        <v>4.7481370537467319E-8</v>
      </c>
      <c r="L18" s="5">
        <f>SUM(Calculations!R$78,Calculations!R$86,Calculations!R$94,Calculations!R$102,Calculations!R$109)</f>
        <v>4.6554299125958088E-8</v>
      </c>
      <c r="M18" s="5">
        <f>SUM(Calculations!S$78,Calculations!S$86,Calculations!S$94,Calculations!S$102,Calculations!S$109)</f>
        <v>4.6361326352156726E-8</v>
      </c>
      <c r="N18" s="5">
        <f>SUM(Calculations!T$78,Calculations!T$86,Calculations!T$94,Calculations!T$102,Calculations!T$109)</f>
        <v>4.6842970119750026E-8</v>
      </c>
      <c r="O18" s="5">
        <f>SUM(Calculations!U$78,Calculations!U$86,Calculations!U$94,Calculations!U$102,Calculations!U$109)</f>
        <v>4.6779875987630758E-8</v>
      </c>
      <c r="P18" s="5">
        <f>SUM(Calculations!V$78,Calculations!V$86,Calculations!V$94,Calculations!V$102,Calculations!V$109)</f>
        <v>4.609205043781066E-8</v>
      </c>
      <c r="Q18" s="5">
        <f>SUM(Calculations!W$78,Calculations!W$86,Calculations!W$94,Calculations!W$102,Calculations!W$109)</f>
        <v>4.5927247904586031E-8</v>
      </c>
      <c r="R18" s="5">
        <f>SUM(Calculations!X$78,Calculations!X$86,Calculations!X$94,Calculations!X$102,Calculations!X$109)</f>
        <v>4.6300491485862822E-8</v>
      </c>
      <c r="S18" s="5">
        <f>SUM(Calculations!Y$78,Calculations!Y$86,Calculations!Y$94,Calculations!Y$102,Calculations!Y$109)</f>
        <v>4.6663008869890887E-8</v>
      </c>
      <c r="T18" s="5">
        <f>SUM(Calculations!Z$78,Calculations!Z$86,Calculations!Z$94,Calculations!Z$102,Calculations!Z$109)</f>
        <v>4.686770996549019E-8</v>
      </c>
      <c r="U18" s="5">
        <f>SUM(Calculations!AA$78,Calculations!AA$86,Calculations!AA$94,Calculations!AA$102,Calculations!AA$109)</f>
        <v>4.6832856841006129E-8</v>
      </c>
      <c r="V18" s="5">
        <f>SUM(Calculations!AB$78,Calculations!AB$86,Calculations!AB$94,Calculations!AB$102,Calculations!AB$109)</f>
        <v>4.681130996981667E-8</v>
      </c>
      <c r="W18" s="5">
        <f>SUM(Calculations!AC$78,Calculations!AC$86,Calculations!AC$94,Calculations!AC$102,Calculations!AC$109)</f>
        <v>4.567697346424835E-8</v>
      </c>
      <c r="X18" s="5">
        <f>SUM(Calculations!AD$78,Calculations!AD$86,Calculations!AD$94,Calculations!AD$102,Calculations!AD$109)</f>
        <v>4.427985735601489E-8</v>
      </c>
      <c r="Y18" s="5">
        <f>SUM(Calculations!AE$78,Calculations!AE$86,Calculations!AE$94,Calculations!AE$102,Calculations!AE$109)</f>
        <v>4.3756487913885404E-8</v>
      </c>
      <c r="Z18" s="5">
        <f>SUM(Calculations!AF$78,Calculations!AF$86,Calculations!AF$94,Calculations!AF$102,Calculations!AF$109)</f>
        <v>4.4056037809951131E-8</v>
      </c>
      <c r="AA18" s="5">
        <f>SUM(Calculations!AG$78,Calculations!AG$86,Calculations!AG$94,Calculations!AG$102,Calculations!AG$109)</f>
        <v>4.457573668921231E-8</v>
      </c>
      <c r="AB18" s="5">
        <f>SUM(Calculations!AH$78,Calculations!AH$86,Calculations!AH$94,Calculations!AH$102,Calculations!AH$109)</f>
        <v>4.3790123633045591E-8</v>
      </c>
      <c r="AC18" s="5"/>
      <c r="AD18" s="5"/>
    </row>
    <row r="19" spans="1:30" x14ac:dyDescent="0.25">
      <c r="A19" t="s">
        <v>1376</v>
      </c>
      <c r="B19" s="5">
        <f>SUM(Calculations!H$78,Calculations!H$86,Calculations!H$94,Calculations!H$102,Calculations!H$109)</f>
        <v>5.1421461508657386E-8</v>
      </c>
      <c r="C19" s="5">
        <f>SUM(Calculations!I$78,Calculations!I$86,Calculations!I$94,Calculations!I$102,Calculations!I$109)</f>
        <v>4.982969621610014E-8</v>
      </c>
      <c r="D19" s="5">
        <f>SUM(Calculations!J$78,Calculations!J$86,Calculations!J$94,Calculations!J$102,Calculations!J$109)</f>
        <v>5.1050280305491631E-8</v>
      </c>
      <c r="E19" s="5">
        <f>SUM(Calculations!K$78,Calculations!K$86,Calculations!K$94,Calculations!K$102,Calculations!K$109)</f>
        <v>4.9908065370274759E-8</v>
      </c>
      <c r="F19" s="5">
        <f>SUM(Calculations!L$78,Calculations!L$86,Calculations!L$94,Calculations!L$102,Calculations!L$109)</f>
        <v>4.9798346765076109E-8</v>
      </c>
      <c r="G19" s="5">
        <f>SUM(Calculations!M$78,Calculations!M$86,Calculations!M$94,Calculations!M$102,Calculations!M$109)</f>
        <v>4.9118965259824012E-8</v>
      </c>
      <c r="H19" s="5">
        <f>SUM(Calculations!N$78,Calculations!N$86,Calculations!N$94,Calculations!N$102,Calculations!N$109)</f>
        <v>4.8518827013790186E-8</v>
      </c>
      <c r="I19" s="5">
        <f>SUM(Calculations!O$78,Calculations!O$86,Calculations!O$94,Calculations!O$102,Calculations!O$109)</f>
        <v>4.8326468500138772E-8</v>
      </c>
      <c r="J19" s="5">
        <f>SUM(Calculations!P$78,Calculations!P$86,Calculations!P$94,Calculations!P$102,Calculations!P$109)</f>
        <v>4.7840637418630905E-8</v>
      </c>
      <c r="K19" s="5">
        <f>SUM(Calculations!Q$78,Calculations!Q$86,Calculations!Q$94,Calculations!Q$102,Calculations!Q$109)</f>
        <v>4.7481370537467319E-8</v>
      </c>
      <c r="L19" s="5">
        <f>SUM(Calculations!R$78,Calculations!R$86,Calculations!R$94,Calculations!R$102,Calculations!R$109)</f>
        <v>4.6554299125958088E-8</v>
      </c>
      <c r="M19" s="5">
        <f>SUM(Calculations!S$78,Calculations!S$86,Calculations!S$94,Calculations!S$102,Calculations!S$109)</f>
        <v>4.6361326352156726E-8</v>
      </c>
      <c r="N19" s="5">
        <f>SUM(Calculations!T$78,Calculations!T$86,Calculations!T$94,Calculations!T$102,Calculations!T$109)</f>
        <v>4.6842970119750026E-8</v>
      </c>
      <c r="O19" s="5">
        <f>SUM(Calculations!U$78,Calculations!U$86,Calculations!U$94,Calculations!U$102,Calculations!U$109)</f>
        <v>4.6779875987630758E-8</v>
      </c>
      <c r="P19" s="5">
        <f>SUM(Calculations!V$78,Calculations!V$86,Calculations!V$94,Calculations!V$102,Calculations!V$109)</f>
        <v>4.609205043781066E-8</v>
      </c>
      <c r="Q19" s="5">
        <f>SUM(Calculations!W$78,Calculations!W$86,Calculations!W$94,Calculations!W$102,Calculations!W$109)</f>
        <v>4.5927247904586031E-8</v>
      </c>
      <c r="R19" s="5">
        <f>SUM(Calculations!X$78,Calculations!X$86,Calculations!X$94,Calculations!X$102,Calculations!X$109)</f>
        <v>4.6300491485862822E-8</v>
      </c>
      <c r="S19" s="5">
        <f>SUM(Calculations!Y$78,Calculations!Y$86,Calculations!Y$94,Calculations!Y$102,Calculations!Y$109)</f>
        <v>4.6663008869890887E-8</v>
      </c>
      <c r="T19" s="5">
        <f>SUM(Calculations!Z$78,Calculations!Z$86,Calculations!Z$94,Calculations!Z$102,Calculations!Z$109)</f>
        <v>4.686770996549019E-8</v>
      </c>
      <c r="U19" s="5">
        <f>SUM(Calculations!AA$78,Calculations!AA$86,Calculations!AA$94,Calculations!AA$102,Calculations!AA$109)</f>
        <v>4.6832856841006129E-8</v>
      </c>
      <c r="V19" s="5">
        <f>SUM(Calculations!AB$78,Calculations!AB$86,Calculations!AB$94,Calculations!AB$102,Calculations!AB$109)</f>
        <v>4.681130996981667E-8</v>
      </c>
      <c r="W19" s="5">
        <f>SUM(Calculations!AC$78,Calculations!AC$86,Calculations!AC$94,Calculations!AC$102,Calculations!AC$109)</f>
        <v>4.567697346424835E-8</v>
      </c>
      <c r="X19" s="5">
        <f>SUM(Calculations!AD$78,Calculations!AD$86,Calculations!AD$94,Calculations!AD$102,Calculations!AD$109)</f>
        <v>4.427985735601489E-8</v>
      </c>
      <c r="Y19" s="5">
        <f>SUM(Calculations!AE$78,Calculations!AE$86,Calculations!AE$94,Calculations!AE$102,Calculations!AE$109)</f>
        <v>4.3756487913885404E-8</v>
      </c>
      <c r="Z19" s="5">
        <f>SUM(Calculations!AF$78,Calculations!AF$86,Calculations!AF$94,Calculations!AF$102,Calculations!AF$109)</f>
        <v>4.4056037809951131E-8</v>
      </c>
      <c r="AA19" s="5">
        <f>SUM(Calculations!AG$78,Calculations!AG$86,Calculations!AG$94,Calculations!AG$102,Calculations!AG$109)</f>
        <v>4.457573668921231E-8</v>
      </c>
      <c r="AB19" s="5">
        <f>SUM(Calculations!AH$78,Calculations!AH$86,Calculations!AH$94,Calculations!AH$102,Calculations!AH$109)</f>
        <v>4.3790123633045591E-8</v>
      </c>
      <c r="AC19" s="5"/>
      <c r="AD19" s="5"/>
    </row>
    <row r="20" spans="1:30" x14ac:dyDescent="0.25">
      <c r="A20" t="s">
        <v>1372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30" x14ac:dyDescent="0.25">
      <c r="A21" t="s">
        <v>1373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30" x14ac:dyDescent="0.25">
      <c r="A22" s="122" t="s">
        <v>1374</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D22"/>
  <sheetViews>
    <sheetView workbookViewId="0">
      <selection activeCell="B21" sqref="B21"/>
    </sheetView>
  </sheetViews>
  <sheetFormatPr defaultColWidth="9.28515625" defaultRowHeight="15" x14ac:dyDescent="0.25"/>
  <cols>
    <col min="1" max="1" width="26.5703125" customWidth="1"/>
  </cols>
  <sheetData>
    <row r="1" spans="1:30"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0" x14ac:dyDescent="0.25">
      <c r="A2" t="s">
        <v>1359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0" x14ac:dyDescent="0.25">
      <c r="A3" t="s">
        <v>1360</v>
      </c>
      <c r="B3" s="5">
        <f>SUM(Calculations!G46,Calculations!G51)</f>
        <v>1.3790882654332546E-8</v>
      </c>
      <c r="C3" s="5">
        <f>SUM(Calculations!H46,Calculations!H51)</f>
        <v>1.3339431312062067E-8</v>
      </c>
      <c r="D3" s="5">
        <f>SUM(Calculations!I46,Calculations!I51)</f>
        <v>1.3574651866434929E-8</v>
      </c>
      <c r="E3" s="5">
        <f>SUM(Calculations!J46,Calculations!J51)</f>
        <v>1.3909594092536195E-8</v>
      </c>
      <c r="F3" s="5">
        <f>SUM(Calculations!K46,Calculations!K51)</f>
        <v>1.4550361785290465E-8</v>
      </c>
      <c r="G3" s="5">
        <f>SUM(Calculations!L46,Calculations!L51)</f>
        <v>1.4808038116931876E-8</v>
      </c>
      <c r="H3" s="5">
        <f>SUM(Calculations!M46,Calculations!M51)</f>
        <v>1.4691420004273048E-8</v>
      </c>
      <c r="I3" s="5">
        <f>SUM(Calculations!N46,Calculations!N51)</f>
        <v>1.5870614847961547E-8</v>
      </c>
      <c r="J3" s="5">
        <f>SUM(Calculations!O46,Calculations!O51)</f>
        <v>1.6195935072587922E-8</v>
      </c>
      <c r="K3" s="5">
        <f>SUM(Calculations!P46,Calculations!P51)</f>
        <v>1.6404283942617241E-8</v>
      </c>
      <c r="L3" s="5">
        <f>SUM(Calculations!Q46,Calculations!Q51)</f>
        <v>1.6831980425248747E-8</v>
      </c>
      <c r="M3" s="5">
        <f>SUM(Calculations!R46,Calculations!R51)</f>
        <v>1.6860803295476023E-8</v>
      </c>
      <c r="N3" s="5">
        <f>SUM(Calculations!S46,Calculations!S51)</f>
        <v>1.7091145141203546E-8</v>
      </c>
      <c r="O3" s="5">
        <f>SUM(Calculations!T46,Calculations!T51)</f>
        <v>1.7131094391320983E-8</v>
      </c>
      <c r="P3" s="5">
        <f>SUM(Calculations!U46,Calculations!U51)</f>
        <v>1.7117073927647257E-8</v>
      </c>
      <c r="Q3" s="5">
        <f>SUM(Calculations!V46,Calculations!V51)</f>
        <v>1.7226826008756617E-8</v>
      </c>
      <c r="R3" s="5">
        <f>SUM(Calculations!W46,Calculations!W51)</f>
        <v>1.7492664892205521E-8</v>
      </c>
      <c r="S3" s="5">
        <f>SUM(Calculations!X46,Calculations!X51)</f>
        <v>1.7795981099063673E-8</v>
      </c>
      <c r="T3" s="5">
        <f>SUM(Calculations!Y46,Calculations!Y51)</f>
        <v>1.8032992462528367E-8</v>
      </c>
      <c r="U3" s="5">
        <f>SUM(Calculations!Z46,Calculations!Z51)</f>
        <v>1.8179499752631827E-8</v>
      </c>
      <c r="V3" s="5">
        <f>SUM(Calculations!AA46,Calculations!AA51)</f>
        <v>1.8314895729416611E-8</v>
      </c>
      <c r="W3" s="5">
        <f>SUM(Calculations!AB46,Calculations!AB51)</f>
        <v>1.8477108431410938E-8</v>
      </c>
      <c r="X3" s="5">
        <f>SUM(Calculations!AC46,Calculations!AC51)</f>
        <v>1.8612079408027421E-8</v>
      </c>
      <c r="Y3" s="5">
        <f>SUM(Calculations!AD46,Calculations!AD51)</f>
        <v>1.8584803281169984E-8</v>
      </c>
      <c r="Z3" s="5">
        <f>SUM(Calculations!AE46,Calculations!AE51)</f>
        <v>1.863844483333939E-8</v>
      </c>
      <c r="AA3" s="5">
        <f>SUM(Calculations!AF46,Calculations!AF51)</f>
        <v>1.8848666377517977E-8</v>
      </c>
      <c r="AB3" s="5">
        <f>SUM(Calculations!AG46,Calculations!AG51)</f>
        <v>1.9440606498857644E-8</v>
      </c>
      <c r="AC3" s="5"/>
      <c r="AD3" s="5"/>
    </row>
    <row r="4" spans="1:30" x14ac:dyDescent="0.25">
      <c r="A4" t="s">
        <v>1361</v>
      </c>
      <c r="B4" s="5">
        <f>SUM(Calculations!G58,Calculations!G64,Calculations!G70)</f>
        <v>3.8851875622860542E-8</v>
      </c>
      <c r="C4" s="5">
        <f>SUM(Calculations!H58,Calculations!H64,Calculations!H70)</f>
        <v>3.7810242781995915E-8</v>
      </c>
      <c r="D4" s="5">
        <f>SUM(Calculations!I58,Calculations!I64,Calculations!I70)</f>
        <v>3.7982443924150547E-8</v>
      </c>
      <c r="E4" s="5">
        <f>SUM(Calculations!J58,Calculations!J64,Calculations!J70)</f>
        <v>3.7864350350851582E-8</v>
      </c>
      <c r="F4" s="5">
        <f>SUM(Calculations!K58,Calculations!K64,Calculations!K70)</f>
        <v>3.7517956493239704E-8</v>
      </c>
      <c r="G4" s="5">
        <f>SUM(Calculations!L58,Calculations!L64,Calculations!L70)</f>
        <v>3.739683842074364E-8</v>
      </c>
      <c r="H4" s="5">
        <f>SUM(Calculations!M58,Calculations!M64,Calculations!M70)</f>
        <v>3.6744828751904914E-8</v>
      </c>
      <c r="I4" s="5">
        <f>SUM(Calculations!N58,Calculations!N64,Calculations!N70)</f>
        <v>3.6009707827936277E-8</v>
      </c>
      <c r="J4" s="5">
        <f>SUM(Calculations!O58,Calculations!O64,Calculations!O70)</f>
        <v>3.540318450209332E-8</v>
      </c>
      <c r="K4" s="5">
        <f>SUM(Calculations!P58,Calculations!P64,Calculations!P70)</f>
        <v>3.5051706121664425E-8</v>
      </c>
      <c r="L4" s="5">
        <f>SUM(Calculations!Q58,Calculations!Q64,Calculations!Q70)</f>
        <v>3.4580818445259014E-8</v>
      </c>
      <c r="M4" s="5">
        <f>SUM(Calculations!R58,Calculations!R64,Calculations!R70)</f>
        <v>3.4405552944659688E-8</v>
      </c>
      <c r="N4" s="5">
        <f>SUM(Calculations!S58,Calculations!S64,Calculations!S70)</f>
        <v>3.4260668546481641E-8</v>
      </c>
      <c r="O4" s="5">
        <f>SUM(Calculations!T58,Calculations!T64,Calculations!T70)</f>
        <v>3.4071301219251879E-8</v>
      </c>
      <c r="P4" s="5">
        <f>SUM(Calculations!U58,Calculations!U64,Calculations!U70)</f>
        <v>3.3920822886159178E-8</v>
      </c>
      <c r="Q4" s="5">
        <f>SUM(Calculations!V58,Calculations!V64,Calculations!V70)</f>
        <v>3.37294696210689E-8</v>
      </c>
      <c r="R4" s="5">
        <f>SUM(Calculations!W58,Calculations!W64,Calculations!W70)</f>
        <v>3.3273729891144987E-8</v>
      </c>
      <c r="S4" s="5">
        <f>SUM(Calculations!X58,Calculations!X64,Calculations!X70)</f>
        <v>3.2809397915071382E-8</v>
      </c>
      <c r="T4" s="5">
        <f>SUM(Calculations!Y58,Calculations!Y64,Calculations!Y70)</f>
        <v>3.2475224174223351E-8</v>
      </c>
      <c r="U4" s="5">
        <f>SUM(Calculations!Z58,Calculations!Z64,Calculations!Z70)</f>
        <v>3.2185221250996927E-8</v>
      </c>
      <c r="V4" s="5">
        <f>SUM(Calculations!AA58,Calculations!AA64,Calculations!AA70)</f>
        <v>3.1992368523119327E-8</v>
      </c>
      <c r="W4" s="5">
        <f>SUM(Calculations!AB58,Calculations!AB64,Calculations!AB70)</f>
        <v>3.1875127722613763E-8</v>
      </c>
      <c r="X4" s="5">
        <f>SUM(Calculations!AC58,Calculations!AC64,Calculations!AC70)</f>
        <v>3.1729045953145096E-8</v>
      </c>
      <c r="Y4" s="5">
        <f>SUM(Calculations!AD58,Calculations!AD64,Calculations!AD70)</f>
        <v>3.1623480246051192E-8</v>
      </c>
      <c r="Z4" s="5">
        <f>SUM(Calculations!AE58,Calculations!AE64,Calculations!AE70)</f>
        <v>3.1555579407025036E-8</v>
      </c>
      <c r="AA4" s="5">
        <f>SUM(Calculations!AF58,Calculations!AF64,Calculations!AF70)</f>
        <v>3.1595972226585355E-8</v>
      </c>
      <c r="AB4" s="5">
        <f>SUM(Calculations!AG58,Calculations!AG64,Calculations!AG70)</f>
        <v>3.1702994692725905E-8</v>
      </c>
      <c r="AC4" s="5"/>
      <c r="AD4" s="5"/>
    </row>
    <row r="5" spans="1:30"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0"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0" x14ac:dyDescent="0.25">
      <c r="A7" t="s">
        <v>138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30" x14ac:dyDescent="0.2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30" x14ac:dyDescent="0.25">
      <c r="A9" t="s">
        <v>1362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30" x14ac:dyDescent="0.25">
      <c r="A10" t="s">
        <v>1363</v>
      </c>
      <c r="B10" s="5">
        <f>SUM(Calculations!H$78,Calculations!H$86,Calculations!H$94,Calculations!H$102,Calculations!H$109)</f>
        <v>5.1421461508657386E-8</v>
      </c>
      <c r="C10" s="5">
        <f>SUM(Calculations!I$78,Calculations!I$86,Calculations!I$94,Calculations!I$102,Calculations!I$109)</f>
        <v>4.982969621610014E-8</v>
      </c>
      <c r="D10" s="5">
        <f>SUM(Calculations!J$78,Calculations!J$86,Calculations!J$94,Calculations!J$102,Calculations!J$109)</f>
        <v>5.1050280305491631E-8</v>
      </c>
      <c r="E10" s="5">
        <f>SUM(Calculations!K$78,Calculations!K$86,Calculations!K$94,Calculations!K$102,Calculations!K$109)</f>
        <v>4.9908065370274759E-8</v>
      </c>
      <c r="F10" s="5">
        <f>SUM(Calculations!L$78,Calculations!L$86,Calculations!L$94,Calculations!L$102,Calculations!L$109)</f>
        <v>4.9798346765076109E-8</v>
      </c>
      <c r="G10" s="5">
        <f>SUM(Calculations!M$78,Calculations!M$86,Calculations!M$94,Calculations!M$102,Calculations!M$109)</f>
        <v>4.9118965259824012E-8</v>
      </c>
      <c r="H10" s="5">
        <f>SUM(Calculations!N$78,Calculations!N$86,Calculations!N$94,Calculations!N$102,Calculations!N$109)</f>
        <v>4.8518827013790186E-8</v>
      </c>
      <c r="I10" s="5">
        <f>SUM(Calculations!O$78,Calculations!O$86,Calculations!O$94,Calculations!O$102,Calculations!O$109)</f>
        <v>4.8326468500138772E-8</v>
      </c>
      <c r="J10" s="5">
        <f>SUM(Calculations!P$78,Calculations!P$86,Calculations!P$94,Calculations!P$102,Calculations!P$109)</f>
        <v>4.7840637418630905E-8</v>
      </c>
      <c r="K10" s="5">
        <f>SUM(Calculations!Q$78,Calculations!Q$86,Calculations!Q$94,Calculations!Q$102,Calculations!Q$109)</f>
        <v>4.7481370537467319E-8</v>
      </c>
      <c r="L10" s="5">
        <f>SUM(Calculations!R$78,Calculations!R$86,Calculations!R$94,Calculations!R$102,Calculations!R$109)</f>
        <v>4.6554299125958088E-8</v>
      </c>
      <c r="M10" s="5">
        <f>SUM(Calculations!S$78,Calculations!S$86,Calculations!S$94,Calculations!S$102,Calculations!S$109)</f>
        <v>4.6361326352156726E-8</v>
      </c>
      <c r="N10" s="5">
        <f>SUM(Calculations!T$78,Calculations!T$86,Calculations!T$94,Calculations!T$102,Calculations!T$109)</f>
        <v>4.6842970119750026E-8</v>
      </c>
      <c r="O10" s="5">
        <f>SUM(Calculations!U$78,Calculations!U$86,Calculations!U$94,Calculations!U$102,Calculations!U$109)</f>
        <v>4.6779875987630758E-8</v>
      </c>
      <c r="P10" s="5">
        <f>SUM(Calculations!V$78,Calculations!V$86,Calculations!V$94,Calculations!V$102,Calculations!V$109)</f>
        <v>4.609205043781066E-8</v>
      </c>
      <c r="Q10" s="5">
        <f>SUM(Calculations!W$78,Calculations!W$86,Calculations!W$94,Calculations!W$102,Calculations!W$109)</f>
        <v>4.5927247904586031E-8</v>
      </c>
      <c r="R10" s="5">
        <f>SUM(Calculations!X$78,Calculations!X$86,Calculations!X$94,Calculations!X$102,Calculations!X$109)</f>
        <v>4.6300491485862822E-8</v>
      </c>
      <c r="S10" s="5">
        <f>SUM(Calculations!Y$78,Calculations!Y$86,Calculations!Y$94,Calculations!Y$102,Calculations!Y$109)</f>
        <v>4.6663008869890887E-8</v>
      </c>
      <c r="T10" s="5">
        <f>SUM(Calculations!Z$78,Calculations!Z$86,Calculations!Z$94,Calculations!Z$102,Calculations!Z$109)</f>
        <v>4.686770996549019E-8</v>
      </c>
      <c r="U10" s="5">
        <f>SUM(Calculations!AA$78,Calculations!AA$86,Calculations!AA$94,Calculations!AA$102,Calculations!AA$109)</f>
        <v>4.6832856841006129E-8</v>
      </c>
      <c r="V10" s="5">
        <f>SUM(Calculations!AB$78,Calculations!AB$86,Calculations!AB$94,Calculations!AB$102,Calculations!AB$109)</f>
        <v>4.681130996981667E-8</v>
      </c>
      <c r="W10" s="5">
        <f>SUM(Calculations!AC$78,Calculations!AC$86,Calculations!AC$94,Calculations!AC$102,Calculations!AC$109)</f>
        <v>4.567697346424835E-8</v>
      </c>
      <c r="X10" s="5">
        <f>SUM(Calculations!AD$78,Calculations!AD$86,Calculations!AD$94,Calculations!AD$102,Calculations!AD$109)</f>
        <v>4.427985735601489E-8</v>
      </c>
      <c r="Y10" s="5">
        <f>SUM(Calculations!AE$78,Calculations!AE$86,Calculations!AE$94,Calculations!AE$102,Calculations!AE$109)</f>
        <v>4.3756487913885404E-8</v>
      </c>
      <c r="Z10" s="5">
        <f>SUM(Calculations!AF$78,Calculations!AF$86,Calculations!AF$94,Calculations!AF$102,Calculations!AF$109)</f>
        <v>4.4056037809951131E-8</v>
      </c>
      <c r="AA10" s="5">
        <f>SUM(Calculations!AG$78,Calculations!AG$86,Calculations!AG$94,Calculations!AG$102,Calculations!AG$109)</f>
        <v>4.457573668921231E-8</v>
      </c>
      <c r="AB10" s="5">
        <f>SUM(Calculations!AH$78,Calculations!AH$86,Calculations!AH$94,Calculations!AH$102,Calculations!AH$109)</f>
        <v>4.3790123633045591E-8</v>
      </c>
      <c r="AC10" s="5"/>
      <c r="AD10" s="5"/>
    </row>
    <row r="11" spans="1:30" x14ac:dyDescent="0.25">
      <c r="A11" t="s">
        <v>1364</v>
      </c>
      <c r="B11" s="5">
        <f>SUM(Calculations!H$78,Calculations!H$86,Calculations!H$94,Calculations!H$102,Calculations!H$109)</f>
        <v>5.1421461508657386E-8</v>
      </c>
      <c r="C11" s="5">
        <f>SUM(Calculations!I$78,Calculations!I$86,Calculations!I$94,Calculations!I$102,Calculations!I$109)</f>
        <v>4.982969621610014E-8</v>
      </c>
      <c r="D11" s="5">
        <f>SUM(Calculations!J$78,Calculations!J$86,Calculations!J$94,Calculations!J$102,Calculations!J$109)</f>
        <v>5.1050280305491631E-8</v>
      </c>
      <c r="E11" s="5">
        <f>SUM(Calculations!K$78,Calculations!K$86,Calculations!K$94,Calculations!K$102,Calculations!K$109)</f>
        <v>4.9908065370274759E-8</v>
      </c>
      <c r="F11" s="5">
        <f>SUM(Calculations!L$78,Calculations!L$86,Calculations!L$94,Calculations!L$102,Calculations!L$109)</f>
        <v>4.9798346765076109E-8</v>
      </c>
      <c r="G11" s="5">
        <f>SUM(Calculations!M$78,Calculations!M$86,Calculations!M$94,Calculations!M$102,Calculations!M$109)</f>
        <v>4.9118965259824012E-8</v>
      </c>
      <c r="H11" s="5">
        <f>SUM(Calculations!N$78,Calculations!N$86,Calculations!N$94,Calculations!N$102,Calculations!N$109)</f>
        <v>4.8518827013790186E-8</v>
      </c>
      <c r="I11" s="5">
        <f>SUM(Calculations!O$78,Calculations!O$86,Calculations!O$94,Calculations!O$102,Calculations!O$109)</f>
        <v>4.8326468500138772E-8</v>
      </c>
      <c r="J11" s="5">
        <f>SUM(Calculations!P$78,Calculations!P$86,Calculations!P$94,Calculations!P$102,Calculations!P$109)</f>
        <v>4.7840637418630905E-8</v>
      </c>
      <c r="K11" s="5">
        <f>SUM(Calculations!Q$78,Calculations!Q$86,Calculations!Q$94,Calculations!Q$102,Calculations!Q$109)</f>
        <v>4.7481370537467319E-8</v>
      </c>
      <c r="L11" s="5">
        <f>SUM(Calculations!R$78,Calculations!R$86,Calculations!R$94,Calculations!R$102,Calculations!R$109)</f>
        <v>4.6554299125958088E-8</v>
      </c>
      <c r="M11" s="5">
        <f>SUM(Calculations!S$78,Calculations!S$86,Calculations!S$94,Calculations!S$102,Calculations!S$109)</f>
        <v>4.6361326352156726E-8</v>
      </c>
      <c r="N11" s="5">
        <f>SUM(Calculations!T$78,Calculations!T$86,Calculations!T$94,Calculations!T$102,Calculations!T$109)</f>
        <v>4.6842970119750026E-8</v>
      </c>
      <c r="O11" s="5">
        <f>SUM(Calculations!U$78,Calculations!U$86,Calculations!U$94,Calculations!U$102,Calculations!U$109)</f>
        <v>4.6779875987630758E-8</v>
      </c>
      <c r="P11" s="5">
        <f>SUM(Calculations!V$78,Calculations!V$86,Calculations!V$94,Calculations!V$102,Calculations!V$109)</f>
        <v>4.609205043781066E-8</v>
      </c>
      <c r="Q11" s="5">
        <f>SUM(Calculations!W$78,Calculations!W$86,Calculations!W$94,Calculations!W$102,Calculations!W$109)</f>
        <v>4.5927247904586031E-8</v>
      </c>
      <c r="R11" s="5">
        <f>SUM(Calculations!X$78,Calculations!X$86,Calculations!X$94,Calculations!X$102,Calculations!X$109)</f>
        <v>4.6300491485862822E-8</v>
      </c>
      <c r="S11" s="5">
        <f>SUM(Calculations!Y$78,Calculations!Y$86,Calculations!Y$94,Calculations!Y$102,Calculations!Y$109)</f>
        <v>4.6663008869890887E-8</v>
      </c>
      <c r="T11" s="5">
        <f>SUM(Calculations!Z$78,Calculations!Z$86,Calculations!Z$94,Calculations!Z$102,Calculations!Z$109)</f>
        <v>4.686770996549019E-8</v>
      </c>
      <c r="U11" s="5">
        <f>SUM(Calculations!AA$78,Calculations!AA$86,Calculations!AA$94,Calculations!AA$102,Calculations!AA$109)</f>
        <v>4.6832856841006129E-8</v>
      </c>
      <c r="V11" s="5">
        <f>SUM(Calculations!AB$78,Calculations!AB$86,Calculations!AB$94,Calculations!AB$102,Calculations!AB$109)</f>
        <v>4.681130996981667E-8</v>
      </c>
      <c r="W11" s="5">
        <f>SUM(Calculations!AC$78,Calculations!AC$86,Calculations!AC$94,Calculations!AC$102,Calculations!AC$109)</f>
        <v>4.567697346424835E-8</v>
      </c>
      <c r="X11" s="5">
        <f>SUM(Calculations!AD$78,Calculations!AD$86,Calculations!AD$94,Calculations!AD$102,Calculations!AD$109)</f>
        <v>4.427985735601489E-8</v>
      </c>
      <c r="Y11" s="5">
        <f>SUM(Calculations!AE$78,Calculations!AE$86,Calculations!AE$94,Calculations!AE$102,Calculations!AE$109)</f>
        <v>4.3756487913885404E-8</v>
      </c>
      <c r="Z11" s="5">
        <f>SUM(Calculations!AF$78,Calculations!AF$86,Calculations!AF$94,Calculations!AF$102,Calculations!AF$109)</f>
        <v>4.4056037809951131E-8</v>
      </c>
      <c r="AA11" s="5">
        <f>SUM(Calculations!AG$78,Calculations!AG$86,Calculations!AG$94,Calculations!AG$102,Calculations!AG$109)</f>
        <v>4.457573668921231E-8</v>
      </c>
      <c r="AB11" s="5">
        <f>SUM(Calculations!AH$78,Calculations!AH$86,Calculations!AH$94,Calculations!AH$102,Calculations!AH$109)</f>
        <v>4.3790123633045591E-8</v>
      </c>
      <c r="AC11" s="5"/>
      <c r="AD11" s="5"/>
    </row>
    <row r="12" spans="1:30" x14ac:dyDescent="0.25">
      <c r="A12" t="s">
        <v>1365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30" x14ac:dyDescent="0.25">
      <c r="A13" t="s">
        <v>1366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30" x14ac:dyDescent="0.25">
      <c r="A14" t="s">
        <v>1367</v>
      </c>
      <c r="B14" s="5">
        <f>SUM(Calculations!H$78,Calculations!H$86,Calculations!H$94,Calculations!H$102,Calculations!H$109)</f>
        <v>5.1421461508657386E-8</v>
      </c>
      <c r="C14" s="5">
        <f>SUM(Calculations!I$78,Calculations!I$86,Calculations!I$94,Calculations!I$102,Calculations!I$109)</f>
        <v>4.982969621610014E-8</v>
      </c>
      <c r="D14" s="5">
        <f>SUM(Calculations!J$78,Calculations!J$86,Calculations!J$94,Calculations!J$102,Calculations!J$109)</f>
        <v>5.1050280305491631E-8</v>
      </c>
      <c r="E14" s="5">
        <f>SUM(Calculations!K$78,Calculations!K$86,Calculations!K$94,Calculations!K$102,Calculations!K$109)</f>
        <v>4.9908065370274759E-8</v>
      </c>
      <c r="F14" s="5">
        <f>SUM(Calculations!L$78,Calculations!L$86,Calculations!L$94,Calculations!L$102,Calculations!L$109)</f>
        <v>4.9798346765076109E-8</v>
      </c>
      <c r="G14" s="5">
        <f>SUM(Calculations!M$78,Calculations!M$86,Calculations!M$94,Calculations!M$102,Calculations!M$109)</f>
        <v>4.9118965259824012E-8</v>
      </c>
      <c r="H14" s="5">
        <f>SUM(Calculations!N$78,Calculations!N$86,Calculations!N$94,Calculations!N$102,Calculations!N$109)</f>
        <v>4.8518827013790186E-8</v>
      </c>
      <c r="I14" s="5">
        <f>SUM(Calculations!O$78,Calculations!O$86,Calculations!O$94,Calculations!O$102,Calculations!O$109)</f>
        <v>4.8326468500138772E-8</v>
      </c>
      <c r="J14" s="5">
        <f>SUM(Calculations!P$78,Calculations!P$86,Calculations!P$94,Calculations!P$102,Calculations!P$109)</f>
        <v>4.7840637418630905E-8</v>
      </c>
      <c r="K14" s="5">
        <f>SUM(Calculations!Q$78,Calculations!Q$86,Calculations!Q$94,Calculations!Q$102,Calculations!Q$109)</f>
        <v>4.7481370537467319E-8</v>
      </c>
      <c r="L14" s="5">
        <f>SUM(Calculations!R$78,Calculations!R$86,Calculations!R$94,Calculations!R$102,Calculations!R$109)</f>
        <v>4.6554299125958088E-8</v>
      </c>
      <c r="M14" s="5">
        <f>SUM(Calculations!S$78,Calculations!S$86,Calculations!S$94,Calculations!S$102,Calculations!S$109)</f>
        <v>4.6361326352156726E-8</v>
      </c>
      <c r="N14" s="5">
        <f>SUM(Calculations!T$78,Calculations!T$86,Calculations!T$94,Calculations!T$102,Calculations!T$109)</f>
        <v>4.6842970119750026E-8</v>
      </c>
      <c r="O14" s="5">
        <f>SUM(Calculations!U$78,Calculations!U$86,Calculations!U$94,Calculations!U$102,Calculations!U$109)</f>
        <v>4.6779875987630758E-8</v>
      </c>
      <c r="P14" s="5">
        <f>SUM(Calculations!V$78,Calculations!V$86,Calculations!V$94,Calculations!V$102,Calculations!V$109)</f>
        <v>4.609205043781066E-8</v>
      </c>
      <c r="Q14" s="5">
        <f>SUM(Calculations!W$78,Calculations!W$86,Calculations!W$94,Calculations!W$102,Calculations!W$109)</f>
        <v>4.5927247904586031E-8</v>
      </c>
      <c r="R14" s="5">
        <f>SUM(Calculations!X$78,Calculations!X$86,Calculations!X$94,Calculations!X$102,Calculations!X$109)</f>
        <v>4.6300491485862822E-8</v>
      </c>
      <c r="S14" s="5">
        <f>SUM(Calculations!Y$78,Calculations!Y$86,Calculations!Y$94,Calculations!Y$102,Calculations!Y$109)</f>
        <v>4.6663008869890887E-8</v>
      </c>
      <c r="T14" s="5">
        <f>SUM(Calculations!Z$78,Calculations!Z$86,Calculations!Z$94,Calculations!Z$102,Calculations!Z$109)</f>
        <v>4.686770996549019E-8</v>
      </c>
      <c r="U14" s="5">
        <f>SUM(Calculations!AA$78,Calculations!AA$86,Calculations!AA$94,Calculations!AA$102,Calculations!AA$109)</f>
        <v>4.6832856841006129E-8</v>
      </c>
      <c r="V14" s="5">
        <f>SUM(Calculations!AB$78,Calculations!AB$86,Calculations!AB$94,Calculations!AB$102,Calculations!AB$109)</f>
        <v>4.681130996981667E-8</v>
      </c>
      <c r="W14" s="5">
        <f>SUM(Calculations!AC$78,Calculations!AC$86,Calculations!AC$94,Calculations!AC$102,Calculations!AC$109)</f>
        <v>4.567697346424835E-8</v>
      </c>
      <c r="X14" s="5">
        <f>SUM(Calculations!AD$78,Calculations!AD$86,Calculations!AD$94,Calculations!AD$102,Calculations!AD$109)</f>
        <v>4.427985735601489E-8</v>
      </c>
      <c r="Y14" s="5">
        <f>SUM(Calculations!AE$78,Calculations!AE$86,Calculations!AE$94,Calculations!AE$102,Calculations!AE$109)</f>
        <v>4.3756487913885404E-8</v>
      </c>
      <c r="Z14" s="5">
        <f>SUM(Calculations!AF$78,Calculations!AF$86,Calculations!AF$94,Calculations!AF$102,Calculations!AF$109)</f>
        <v>4.4056037809951131E-8</v>
      </c>
      <c r="AA14" s="5">
        <f>SUM(Calculations!AG$78,Calculations!AG$86,Calculations!AG$94,Calculations!AG$102,Calculations!AG$109)</f>
        <v>4.457573668921231E-8</v>
      </c>
      <c r="AB14" s="5">
        <f>SUM(Calculations!AH$78,Calculations!AH$86,Calculations!AH$94,Calculations!AH$102,Calculations!AH$109)</f>
        <v>4.3790123633045591E-8</v>
      </c>
      <c r="AC14" s="5"/>
      <c r="AD14" s="5"/>
    </row>
    <row r="15" spans="1:30" x14ac:dyDescent="0.25">
      <c r="A15" t="s">
        <v>1368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30" x14ac:dyDescent="0.25">
      <c r="A16" t="s">
        <v>151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30" x14ac:dyDescent="0.25">
      <c r="A17" t="s">
        <v>1369</v>
      </c>
      <c r="B17" s="5">
        <f t="shared" ref="B17:AB17" si="0">B3</f>
        <v>1.3790882654332546E-8</v>
      </c>
      <c r="C17" s="5">
        <f t="shared" si="0"/>
        <v>1.3339431312062067E-8</v>
      </c>
      <c r="D17" s="5">
        <f t="shared" si="0"/>
        <v>1.3574651866434929E-8</v>
      </c>
      <c r="E17" s="5">
        <f t="shared" si="0"/>
        <v>1.3909594092536195E-8</v>
      </c>
      <c r="F17" s="5">
        <f t="shared" si="0"/>
        <v>1.4550361785290465E-8</v>
      </c>
      <c r="G17" s="5">
        <f t="shared" si="0"/>
        <v>1.4808038116931876E-8</v>
      </c>
      <c r="H17" s="5">
        <f t="shared" si="0"/>
        <v>1.4691420004273048E-8</v>
      </c>
      <c r="I17" s="5">
        <f t="shared" si="0"/>
        <v>1.5870614847961547E-8</v>
      </c>
      <c r="J17" s="5">
        <f t="shared" si="0"/>
        <v>1.6195935072587922E-8</v>
      </c>
      <c r="K17" s="5">
        <f t="shared" si="0"/>
        <v>1.6404283942617241E-8</v>
      </c>
      <c r="L17" s="5">
        <f t="shared" si="0"/>
        <v>1.6831980425248747E-8</v>
      </c>
      <c r="M17" s="5">
        <f t="shared" si="0"/>
        <v>1.6860803295476023E-8</v>
      </c>
      <c r="N17" s="5">
        <f t="shared" si="0"/>
        <v>1.7091145141203546E-8</v>
      </c>
      <c r="O17" s="5">
        <f t="shared" si="0"/>
        <v>1.7131094391320983E-8</v>
      </c>
      <c r="P17" s="5">
        <f t="shared" si="0"/>
        <v>1.7117073927647257E-8</v>
      </c>
      <c r="Q17" s="5">
        <f t="shared" si="0"/>
        <v>1.7226826008756617E-8</v>
      </c>
      <c r="R17" s="5">
        <f t="shared" si="0"/>
        <v>1.7492664892205521E-8</v>
      </c>
      <c r="S17" s="5">
        <f t="shared" si="0"/>
        <v>1.7795981099063673E-8</v>
      </c>
      <c r="T17" s="5">
        <f t="shared" si="0"/>
        <v>1.8032992462528367E-8</v>
      </c>
      <c r="U17" s="5">
        <f t="shared" si="0"/>
        <v>1.8179499752631827E-8</v>
      </c>
      <c r="V17" s="5">
        <f t="shared" si="0"/>
        <v>1.8314895729416611E-8</v>
      </c>
      <c r="W17" s="5">
        <f t="shared" si="0"/>
        <v>1.8477108431410938E-8</v>
      </c>
      <c r="X17" s="5">
        <f t="shared" si="0"/>
        <v>1.8612079408027421E-8</v>
      </c>
      <c r="Y17" s="5">
        <f t="shared" si="0"/>
        <v>1.8584803281169984E-8</v>
      </c>
      <c r="Z17" s="5">
        <f t="shared" si="0"/>
        <v>1.863844483333939E-8</v>
      </c>
      <c r="AA17" s="5">
        <f t="shared" si="0"/>
        <v>1.8848666377517977E-8</v>
      </c>
      <c r="AB17" s="5">
        <f t="shared" si="0"/>
        <v>1.9440606498857644E-8</v>
      </c>
      <c r="AC17" s="5"/>
      <c r="AD17" s="5"/>
    </row>
    <row r="18" spans="1:30" x14ac:dyDescent="0.25">
      <c r="A18" t="s">
        <v>1375</v>
      </c>
      <c r="B18" s="5">
        <f>SUM(Calculations!H$78,Calculations!H$86,Calculations!H$94,Calculations!H$102,Calculations!H$109)</f>
        <v>5.1421461508657386E-8</v>
      </c>
      <c r="C18" s="5">
        <f>SUM(Calculations!I$78,Calculations!I$86,Calculations!I$94,Calculations!I$102,Calculations!I$109)</f>
        <v>4.982969621610014E-8</v>
      </c>
      <c r="D18" s="5">
        <f>SUM(Calculations!J$78,Calculations!J$86,Calculations!J$94,Calculations!J$102,Calculations!J$109)</f>
        <v>5.1050280305491631E-8</v>
      </c>
      <c r="E18" s="5">
        <f>SUM(Calculations!K$78,Calculations!K$86,Calculations!K$94,Calculations!K$102,Calculations!K$109)</f>
        <v>4.9908065370274759E-8</v>
      </c>
      <c r="F18" s="5">
        <f>SUM(Calculations!L$78,Calculations!L$86,Calculations!L$94,Calculations!L$102,Calculations!L$109)</f>
        <v>4.9798346765076109E-8</v>
      </c>
      <c r="G18" s="5">
        <f>SUM(Calculations!M$78,Calculations!M$86,Calculations!M$94,Calculations!M$102,Calculations!M$109)</f>
        <v>4.9118965259824012E-8</v>
      </c>
      <c r="H18" s="5">
        <f>SUM(Calculations!N$78,Calculations!N$86,Calculations!N$94,Calculations!N$102,Calculations!N$109)</f>
        <v>4.8518827013790186E-8</v>
      </c>
      <c r="I18" s="5">
        <f>SUM(Calculations!O$78,Calculations!O$86,Calculations!O$94,Calculations!O$102,Calculations!O$109)</f>
        <v>4.8326468500138772E-8</v>
      </c>
      <c r="J18" s="5">
        <f>SUM(Calculations!P$78,Calculations!P$86,Calculations!P$94,Calculations!P$102,Calculations!P$109)</f>
        <v>4.7840637418630905E-8</v>
      </c>
      <c r="K18" s="5">
        <f>SUM(Calculations!Q$78,Calculations!Q$86,Calculations!Q$94,Calculations!Q$102,Calculations!Q$109)</f>
        <v>4.7481370537467319E-8</v>
      </c>
      <c r="L18" s="5">
        <f>SUM(Calculations!R$78,Calculations!R$86,Calculations!R$94,Calculations!R$102,Calculations!R$109)</f>
        <v>4.6554299125958088E-8</v>
      </c>
      <c r="M18" s="5">
        <f>SUM(Calculations!S$78,Calculations!S$86,Calculations!S$94,Calculations!S$102,Calculations!S$109)</f>
        <v>4.6361326352156726E-8</v>
      </c>
      <c r="N18" s="5">
        <f>SUM(Calculations!T$78,Calculations!T$86,Calculations!T$94,Calculations!T$102,Calculations!T$109)</f>
        <v>4.6842970119750026E-8</v>
      </c>
      <c r="O18" s="5">
        <f>SUM(Calculations!U$78,Calculations!U$86,Calculations!U$94,Calculations!U$102,Calculations!U$109)</f>
        <v>4.6779875987630758E-8</v>
      </c>
      <c r="P18" s="5">
        <f>SUM(Calculations!V$78,Calculations!V$86,Calculations!V$94,Calculations!V$102,Calculations!V$109)</f>
        <v>4.609205043781066E-8</v>
      </c>
      <c r="Q18" s="5">
        <f>SUM(Calculations!W$78,Calculations!W$86,Calculations!W$94,Calculations!W$102,Calculations!W$109)</f>
        <v>4.5927247904586031E-8</v>
      </c>
      <c r="R18" s="5">
        <f>SUM(Calculations!X$78,Calculations!X$86,Calculations!X$94,Calculations!X$102,Calculations!X$109)</f>
        <v>4.6300491485862822E-8</v>
      </c>
      <c r="S18" s="5">
        <f>SUM(Calculations!Y$78,Calculations!Y$86,Calculations!Y$94,Calculations!Y$102,Calculations!Y$109)</f>
        <v>4.6663008869890887E-8</v>
      </c>
      <c r="T18" s="5">
        <f>SUM(Calculations!Z$78,Calculations!Z$86,Calculations!Z$94,Calculations!Z$102,Calculations!Z$109)</f>
        <v>4.686770996549019E-8</v>
      </c>
      <c r="U18" s="5">
        <f>SUM(Calculations!AA$78,Calculations!AA$86,Calculations!AA$94,Calculations!AA$102,Calculations!AA$109)</f>
        <v>4.6832856841006129E-8</v>
      </c>
      <c r="V18" s="5">
        <f>SUM(Calculations!AB$78,Calculations!AB$86,Calculations!AB$94,Calculations!AB$102,Calculations!AB$109)</f>
        <v>4.681130996981667E-8</v>
      </c>
      <c r="W18" s="5">
        <f>SUM(Calculations!AC$78,Calculations!AC$86,Calculations!AC$94,Calculations!AC$102,Calculations!AC$109)</f>
        <v>4.567697346424835E-8</v>
      </c>
      <c r="X18" s="5">
        <f>SUM(Calculations!AD$78,Calculations!AD$86,Calculations!AD$94,Calculations!AD$102,Calculations!AD$109)</f>
        <v>4.427985735601489E-8</v>
      </c>
      <c r="Y18" s="5">
        <f>SUM(Calculations!AE$78,Calculations!AE$86,Calculations!AE$94,Calculations!AE$102,Calculations!AE$109)</f>
        <v>4.3756487913885404E-8</v>
      </c>
      <c r="Z18" s="5">
        <f>SUM(Calculations!AF$78,Calculations!AF$86,Calculations!AF$94,Calculations!AF$102,Calculations!AF$109)</f>
        <v>4.4056037809951131E-8</v>
      </c>
      <c r="AA18" s="5">
        <f>SUM(Calculations!AG$78,Calculations!AG$86,Calculations!AG$94,Calculations!AG$102,Calculations!AG$109)</f>
        <v>4.457573668921231E-8</v>
      </c>
      <c r="AB18" s="5">
        <f>SUM(Calculations!AH$78,Calculations!AH$86,Calculations!AH$94,Calculations!AH$102,Calculations!AH$109)</f>
        <v>4.3790123633045591E-8</v>
      </c>
      <c r="AC18" s="5"/>
      <c r="AD18" s="5"/>
    </row>
    <row r="19" spans="1:30" x14ac:dyDescent="0.25">
      <c r="A19" t="s">
        <v>1376</v>
      </c>
      <c r="B19" s="5">
        <f>SUM(Calculations!H$78,Calculations!H$86,Calculations!H$94,Calculations!H$102,Calculations!H$109)</f>
        <v>5.1421461508657386E-8</v>
      </c>
      <c r="C19" s="5">
        <f>SUM(Calculations!I$78,Calculations!I$86,Calculations!I$94,Calculations!I$102,Calculations!I$109)</f>
        <v>4.982969621610014E-8</v>
      </c>
      <c r="D19" s="5">
        <f>SUM(Calculations!J$78,Calculations!J$86,Calculations!J$94,Calculations!J$102,Calculations!J$109)</f>
        <v>5.1050280305491631E-8</v>
      </c>
      <c r="E19" s="5">
        <f>SUM(Calculations!K$78,Calculations!K$86,Calculations!K$94,Calculations!K$102,Calculations!K$109)</f>
        <v>4.9908065370274759E-8</v>
      </c>
      <c r="F19" s="5">
        <f>SUM(Calculations!L$78,Calculations!L$86,Calculations!L$94,Calculations!L$102,Calculations!L$109)</f>
        <v>4.9798346765076109E-8</v>
      </c>
      <c r="G19" s="5">
        <f>SUM(Calculations!M$78,Calculations!M$86,Calculations!M$94,Calculations!M$102,Calculations!M$109)</f>
        <v>4.9118965259824012E-8</v>
      </c>
      <c r="H19" s="5">
        <f>SUM(Calculations!N$78,Calculations!N$86,Calculations!N$94,Calculations!N$102,Calculations!N$109)</f>
        <v>4.8518827013790186E-8</v>
      </c>
      <c r="I19" s="5">
        <f>SUM(Calculations!O$78,Calculations!O$86,Calculations!O$94,Calculations!O$102,Calculations!O$109)</f>
        <v>4.8326468500138772E-8</v>
      </c>
      <c r="J19" s="5">
        <f>SUM(Calculations!P$78,Calculations!P$86,Calculations!P$94,Calculations!P$102,Calculations!P$109)</f>
        <v>4.7840637418630905E-8</v>
      </c>
      <c r="K19" s="5">
        <f>SUM(Calculations!Q$78,Calculations!Q$86,Calculations!Q$94,Calculations!Q$102,Calculations!Q$109)</f>
        <v>4.7481370537467319E-8</v>
      </c>
      <c r="L19" s="5">
        <f>SUM(Calculations!R$78,Calculations!R$86,Calculations!R$94,Calculations!R$102,Calculations!R$109)</f>
        <v>4.6554299125958088E-8</v>
      </c>
      <c r="M19" s="5">
        <f>SUM(Calculations!S$78,Calculations!S$86,Calculations!S$94,Calculations!S$102,Calculations!S$109)</f>
        <v>4.6361326352156726E-8</v>
      </c>
      <c r="N19" s="5">
        <f>SUM(Calculations!T$78,Calculations!T$86,Calculations!T$94,Calculations!T$102,Calculations!T$109)</f>
        <v>4.6842970119750026E-8</v>
      </c>
      <c r="O19" s="5">
        <f>SUM(Calculations!U$78,Calculations!U$86,Calculations!U$94,Calculations!U$102,Calculations!U$109)</f>
        <v>4.6779875987630758E-8</v>
      </c>
      <c r="P19" s="5">
        <f>SUM(Calculations!V$78,Calculations!V$86,Calculations!V$94,Calculations!V$102,Calculations!V$109)</f>
        <v>4.609205043781066E-8</v>
      </c>
      <c r="Q19" s="5">
        <f>SUM(Calculations!W$78,Calculations!W$86,Calculations!W$94,Calculations!W$102,Calculations!W$109)</f>
        <v>4.5927247904586031E-8</v>
      </c>
      <c r="R19" s="5">
        <f>SUM(Calculations!X$78,Calculations!X$86,Calculations!X$94,Calculations!X$102,Calculations!X$109)</f>
        <v>4.6300491485862822E-8</v>
      </c>
      <c r="S19" s="5">
        <f>SUM(Calculations!Y$78,Calculations!Y$86,Calculations!Y$94,Calculations!Y$102,Calculations!Y$109)</f>
        <v>4.6663008869890887E-8</v>
      </c>
      <c r="T19" s="5">
        <f>SUM(Calculations!Z$78,Calculations!Z$86,Calculations!Z$94,Calculations!Z$102,Calculations!Z$109)</f>
        <v>4.686770996549019E-8</v>
      </c>
      <c r="U19" s="5">
        <f>SUM(Calculations!AA$78,Calculations!AA$86,Calculations!AA$94,Calculations!AA$102,Calculations!AA$109)</f>
        <v>4.6832856841006129E-8</v>
      </c>
      <c r="V19" s="5">
        <f>SUM(Calculations!AB$78,Calculations!AB$86,Calculations!AB$94,Calculations!AB$102,Calculations!AB$109)</f>
        <v>4.681130996981667E-8</v>
      </c>
      <c r="W19" s="5">
        <f>SUM(Calculations!AC$78,Calculations!AC$86,Calculations!AC$94,Calculations!AC$102,Calculations!AC$109)</f>
        <v>4.567697346424835E-8</v>
      </c>
      <c r="X19" s="5">
        <f>SUM(Calculations!AD$78,Calculations!AD$86,Calculations!AD$94,Calculations!AD$102,Calculations!AD$109)</f>
        <v>4.427985735601489E-8</v>
      </c>
      <c r="Y19" s="5">
        <f>SUM(Calculations!AE$78,Calculations!AE$86,Calculations!AE$94,Calculations!AE$102,Calculations!AE$109)</f>
        <v>4.3756487913885404E-8</v>
      </c>
      <c r="Z19" s="5">
        <f>SUM(Calculations!AF$78,Calculations!AF$86,Calculations!AF$94,Calculations!AF$102,Calculations!AF$109)</f>
        <v>4.4056037809951131E-8</v>
      </c>
      <c r="AA19" s="5">
        <f>SUM(Calculations!AG$78,Calculations!AG$86,Calculations!AG$94,Calculations!AG$102,Calculations!AG$109)</f>
        <v>4.457573668921231E-8</v>
      </c>
      <c r="AB19" s="5">
        <f>SUM(Calculations!AH$78,Calculations!AH$86,Calculations!AH$94,Calculations!AH$102,Calculations!AH$109)</f>
        <v>4.3790123633045591E-8</v>
      </c>
      <c r="AC19" s="5"/>
      <c r="AD19" s="5"/>
    </row>
    <row r="20" spans="1:30" x14ac:dyDescent="0.25">
      <c r="A20" t="s">
        <v>1372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30" x14ac:dyDescent="0.25">
      <c r="A21" t="s">
        <v>1373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30" x14ac:dyDescent="0.25">
      <c r="A22" s="122" t="s">
        <v>1374</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D22"/>
  <sheetViews>
    <sheetView workbookViewId="0">
      <selection activeCell="B21" sqref="B21"/>
    </sheetView>
  </sheetViews>
  <sheetFormatPr defaultColWidth="9.28515625" defaultRowHeight="15" x14ac:dyDescent="0.25"/>
  <cols>
    <col min="1" max="1" width="26.5703125" customWidth="1"/>
  </cols>
  <sheetData>
    <row r="1" spans="1:30"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0" x14ac:dyDescent="0.25">
      <c r="A2" t="s">
        <v>1359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0" x14ac:dyDescent="0.25">
      <c r="A3" t="s">
        <v>1360</v>
      </c>
      <c r="B3" s="5">
        <f>SUM(Calculations!G46,Calculations!G51)</f>
        <v>1.3790882654332546E-8</v>
      </c>
      <c r="C3" s="5">
        <f>SUM(Calculations!H46,Calculations!H51)</f>
        <v>1.3339431312062067E-8</v>
      </c>
      <c r="D3" s="5">
        <f>SUM(Calculations!I46,Calculations!I51)</f>
        <v>1.3574651866434929E-8</v>
      </c>
      <c r="E3" s="5">
        <f>SUM(Calculations!J46,Calculations!J51)</f>
        <v>1.3909594092536195E-8</v>
      </c>
      <c r="F3" s="5">
        <f>SUM(Calculations!K46,Calculations!K51)</f>
        <v>1.4550361785290465E-8</v>
      </c>
      <c r="G3" s="5">
        <f>SUM(Calculations!L46,Calculations!L51)</f>
        <v>1.4808038116931876E-8</v>
      </c>
      <c r="H3" s="5">
        <f>SUM(Calculations!M46,Calculations!M51)</f>
        <v>1.4691420004273048E-8</v>
      </c>
      <c r="I3" s="5">
        <f>SUM(Calculations!N46,Calculations!N51)</f>
        <v>1.5870614847961547E-8</v>
      </c>
      <c r="J3" s="5">
        <f>SUM(Calculations!O46,Calculations!O51)</f>
        <v>1.6195935072587922E-8</v>
      </c>
      <c r="K3" s="5">
        <f>SUM(Calculations!P46,Calculations!P51)</f>
        <v>1.6404283942617241E-8</v>
      </c>
      <c r="L3" s="5">
        <f>SUM(Calculations!Q46,Calculations!Q51)</f>
        <v>1.6831980425248747E-8</v>
      </c>
      <c r="M3" s="5">
        <f>SUM(Calculations!R46,Calculations!R51)</f>
        <v>1.6860803295476023E-8</v>
      </c>
      <c r="N3" s="5">
        <f>SUM(Calculations!S46,Calculations!S51)</f>
        <v>1.7091145141203546E-8</v>
      </c>
      <c r="O3" s="5">
        <f>SUM(Calculations!T46,Calculations!T51)</f>
        <v>1.7131094391320983E-8</v>
      </c>
      <c r="P3" s="5">
        <f>SUM(Calculations!U46,Calculations!U51)</f>
        <v>1.7117073927647257E-8</v>
      </c>
      <c r="Q3" s="5">
        <f>SUM(Calculations!V46,Calculations!V51)</f>
        <v>1.7226826008756617E-8</v>
      </c>
      <c r="R3" s="5">
        <f>SUM(Calculations!W46,Calculations!W51)</f>
        <v>1.7492664892205521E-8</v>
      </c>
      <c r="S3" s="5">
        <f>SUM(Calculations!X46,Calculations!X51)</f>
        <v>1.7795981099063673E-8</v>
      </c>
      <c r="T3" s="5">
        <f>SUM(Calculations!Y46,Calculations!Y51)</f>
        <v>1.8032992462528367E-8</v>
      </c>
      <c r="U3" s="5">
        <f>SUM(Calculations!Z46,Calculations!Z51)</f>
        <v>1.8179499752631827E-8</v>
      </c>
      <c r="V3" s="5">
        <f>SUM(Calculations!AA46,Calculations!AA51)</f>
        <v>1.8314895729416611E-8</v>
      </c>
      <c r="W3" s="5">
        <f>SUM(Calculations!AB46,Calculations!AB51)</f>
        <v>1.8477108431410938E-8</v>
      </c>
      <c r="X3" s="5">
        <f>SUM(Calculations!AC46,Calculations!AC51)</f>
        <v>1.8612079408027421E-8</v>
      </c>
      <c r="Y3" s="5">
        <f>SUM(Calculations!AD46,Calculations!AD51)</f>
        <v>1.8584803281169984E-8</v>
      </c>
      <c r="Z3" s="5">
        <f>SUM(Calculations!AE46,Calculations!AE51)</f>
        <v>1.863844483333939E-8</v>
      </c>
      <c r="AA3" s="5">
        <f>SUM(Calculations!AF46,Calculations!AF51)</f>
        <v>1.8848666377517977E-8</v>
      </c>
      <c r="AB3" s="5">
        <f>SUM(Calculations!AG46,Calculations!AG51)</f>
        <v>1.9440606498857644E-8</v>
      </c>
      <c r="AC3" s="5"/>
      <c r="AD3" s="5"/>
    </row>
    <row r="4" spans="1:30" x14ac:dyDescent="0.25">
      <c r="A4" t="s">
        <v>1361</v>
      </c>
      <c r="B4" s="5">
        <f>SUM(Calculations!G58,Calculations!G64,Calculations!G70)</f>
        <v>3.8851875622860542E-8</v>
      </c>
      <c r="C4" s="5">
        <f>SUM(Calculations!H58,Calculations!H64,Calculations!H70)</f>
        <v>3.7810242781995915E-8</v>
      </c>
      <c r="D4" s="5">
        <f>SUM(Calculations!I58,Calculations!I64,Calculations!I70)</f>
        <v>3.7982443924150547E-8</v>
      </c>
      <c r="E4" s="5">
        <f>SUM(Calculations!J58,Calculations!J64,Calculations!J70)</f>
        <v>3.7864350350851582E-8</v>
      </c>
      <c r="F4" s="5">
        <f>SUM(Calculations!K58,Calculations!K64,Calculations!K70)</f>
        <v>3.7517956493239704E-8</v>
      </c>
      <c r="G4" s="5">
        <f>SUM(Calculations!L58,Calculations!L64,Calculations!L70)</f>
        <v>3.739683842074364E-8</v>
      </c>
      <c r="H4" s="5">
        <f>SUM(Calculations!M58,Calculations!M64,Calculations!M70)</f>
        <v>3.6744828751904914E-8</v>
      </c>
      <c r="I4" s="5">
        <f>SUM(Calculations!N58,Calculations!N64,Calculations!N70)</f>
        <v>3.6009707827936277E-8</v>
      </c>
      <c r="J4" s="5">
        <f>SUM(Calculations!O58,Calculations!O64,Calculations!O70)</f>
        <v>3.540318450209332E-8</v>
      </c>
      <c r="K4" s="5">
        <f>SUM(Calculations!P58,Calculations!P64,Calculations!P70)</f>
        <v>3.5051706121664425E-8</v>
      </c>
      <c r="L4" s="5">
        <f>SUM(Calculations!Q58,Calculations!Q64,Calculations!Q70)</f>
        <v>3.4580818445259014E-8</v>
      </c>
      <c r="M4" s="5">
        <f>SUM(Calculations!R58,Calculations!R64,Calculations!R70)</f>
        <v>3.4405552944659688E-8</v>
      </c>
      <c r="N4" s="5">
        <f>SUM(Calculations!S58,Calculations!S64,Calculations!S70)</f>
        <v>3.4260668546481641E-8</v>
      </c>
      <c r="O4" s="5">
        <f>SUM(Calculations!T58,Calculations!T64,Calculations!T70)</f>
        <v>3.4071301219251879E-8</v>
      </c>
      <c r="P4" s="5">
        <f>SUM(Calculations!U58,Calculations!U64,Calculations!U70)</f>
        <v>3.3920822886159178E-8</v>
      </c>
      <c r="Q4" s="5">
        <f>SUM(Calculations!V58,Calculations!V64,Calculations!V70)</f>
        <v>3.37294696210689E-8</v>
      </c>
      <c r="R4" s="5">
        <f>SUM(Calculations!W58,Calculations!W64,Calculations!W70)</f>
        <v>3.3273729891144987E-8</v>
      </c>
      <c r="S4" s="5">
        <f>SUM(Calculations!X58,Calculations!X64,Calculations!X70)</f>
        <v>3.2809397915071382E-8</v>
      </c>
      <c r="T4" s="5">
        <f>SUM(Calculations!Y58,Calculations!Y64,Calculations!Y70)</f>
        <v>3.2475224174223351E-8</v>
      </c>
      <c r="U4" s="5">
        <f>SUM(Calculations!Z58,Calculations!Z64,Calculations!Z70)</f>
        <v>3.2185221250996927E-8</v>
      </c>
      <c r="V4" s="5">
        <f>SUM(Calculations!AA58,Calculations!AA64,Calculations!AA70)</f>
        <v>3.1992368523119327E-8</v>
      </c>
      <c r="W4" s="5">
        <f>SUM(Calculations!AB58,Calculations!AB64,Calculations!AB70)</f>
        <v>3.1875127722613763E-8</v>
      </c>
      <c r="X4" s="5">
        <f>SUM(Calculations!AC58,Calculations!AC64,Calculations!AC70)</f>
        <v>3.1729045953145096E-8</v>
      </c>
      <c r="Y4" s="5">
        <f>SUM(Calculations!AD58,Calculations!AD64,Calculations!AD70)</f>
        <v>3.1623480246051192E-8</v>
      </c>
      <c r="Z4" s="5">
        <f>SUM(Calculations!AE58,Calculations!AE64,Calculations!AE70)</f>
        <v>3.1555579407025036E-8</v>
      </c>
      <c r="AA4" s="5">
        <f>SUM(Calculations!AF58,Calculations!AF64,Calculations!AF70)</f>
        <v>3.1595972226585355E-8</v>
      </c>
      <c r="AB4" s="5">
        <f>SUM(Calculations!AG58,Calculations!AG64,Calculations!AG70)</f>
        <v>3.1702994692725905E-8</v>
      </c>
      <c r="AC4" s="5"/>
      <c r="AD4" s="5"/>
    </row>
    <row r="5" spans="1:30"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0"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0" x14ac:dyDescent="0.25">
      <c r="A7" t="s">
        <v>138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30" x14ac:dyDescent="0.2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30" x14ac:dyDescent="0.25">
      <c r="A9" t="s">
        <v>1362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30" x14ac:dyDescent="0.25">
      <c r="A10" t="s">
        <v>1363</v>
      </c>
      <c r="B10" s="5">
        <f>SUM(Calculations!H$78,Calculations!H$86,Calculations!H$94,Calculations!H$102,Calculations!H$109)</f>
        <v>5.1421461508657386E-8</v>
      </c>
      <c r="C10" s="5">
        <f>SUM(Calculations!I$78,Calculations!I$86,Calculations!I$94,Calculations!I$102,Calculations!I$109)</f>
        <v>4.982969621610014E-8</v>
      </c>
      <c r="D10" s="5">
        <f>SUM(Calculations!J$78,Calculations!J$86,Calculations!J$94,Calculations!J$102,Calculations!J$109)</f>
        <v>5.1050280305491631E-8</v>
      </c>
      <c r="E10" s="5">
        <f>SUM(Calculations!K$78,Calculations!K$86,Calculations!K$94,Calculations!K$102,Calculations!K$109)</f>
        <v>4.9908065370274759E-8</v>
      </c>
      <c r="F10" s="5">
        <f>SUM(Calculations!L$78,Calculations!L$86,Calculations!L$94,Calculations!L$102,Calculations!L$109)</f>
        <v>4.9798346765076109E-8</v>
      </c>
      <c r="G10" s="5">
        <f>SUM(Calculations!M$78,Calculations!M$86,Calculations!M$94,Calculations!M$102,Calculations!M$109)</f>
        <v>4.9118965259824012E-8</v>
      </c>
      <c r="H10" s="5">
        <f>SUM(Calculations!N$78,Calculations!N$86,Calculations!N$94,Calculations!N$102,Calculations!N$109)</f>
        <v>4.8518827013790186E-8</v>
      </c>
      <c r="I10" s="5">
        <f>SUM(Calculations!O$78,Calculations!O$86,Calculations!O$94,Calculations!O$102,Calculations!O$109)</f>
        <v>4.8326468500138772E-8</v>
      </c>
      <c r="J10" s="5">
        <f>SUM(Calculations!P$78,Calculations!P$86,Calculations!P$94,Calculations!P$102,Calculations!P$109)</f>
        <v>4.7840637418630905E-8</v>
      </c>
      <c r="K10" s="5">
        <f>SUM(Calculations!Q$78,Calculations!Q$86,Calculations!Q$94,Calculations!Q$102,Calculations!Q$109)</f>
        <v>4.7481370537467319E-8</v>
      </c>
      <c r="L10" s="5">
        <f>SUM(Calculations!R$78,Calculations!R$86,Calculations!R$94,Calculations!R$102,Calculations!R$109)</f>
        <v>4.6554299125958088E-8</v>
      </c>
      <c r="M10" s="5">
        <f>SUM(Calculations!S$78,Calculations!S$86,Calculations!S$94,Calculations!S$102,Calculations!S$109)</f>
        <v>4.6361326352156726E-8</v>
      </c>
      <c r="N10" s="5">
        <f>SUM(Calculations!T$78,Calculations!T$86,Calculations!T$94,Calculations!T$102,Calculations!T$109)</f>
        <v>4.6842970119750026E-8</v>
      </c>
      <c r="O10" s="5">
        <f>SUM(Calculations!U$78,Calculations!U$86,Calculations!U$94,Calculations!U$102,Calculations!U$109)</f>
        <v>4.6779875987630758E-8</v>
      </c>
      <c r="P10" s="5">
        <f>SUM(Calculations!V$78,Calculations!V$86,Calculations!V$94,Calculations!V$102,Calculations!V$109)</f>
        <v>4.609205043781066E-8</v>
      </c>
      <c r="Q10" s="5">
        <f>SUM(Calculations!W$78,Calculations!W$86,Calculations!W$94,Calculations!W$102,Calculations!W$109)</f>
        <v>4.5927247904586031E-8</v>
      </c>
      <c r="R10" s="5">
        <f>SUM(Calculations!X$78,Calculations!X$86,Calculations!X$94,Calculations!X$102,Calculations!X$109)</f>
        <v>4.6300491485862822E-8</v>
      </c>
      <c r="S10" s="5">
        <f>SUM(Calculations!Y$78,Calculations!Y$86,Calculations!Y$94,Calculations!Y$102,Calculations!Y$109)</f>
        <v>4.6663008869890887E-8</v>
      </c>
      <c r="T10" s="5">
        <f>SUM(Calculations!Z$78,Calculations!Z$86,Calculations!Z$94,Calculations!Z$102,Calculations!Z$109)</f>
        <v>4.686770996549019E-8</v>
      </c>
      <c r="U10" s="5">
        <f>SUM(Calculations!AA$78,Calculations!AA$86,Calculations!AA$94,Calculations!AA$102,Calculations!AA$109)</f>
        <v>4.6832856841006129E-8</v>
      </c>
      <c r="V10" s="5">
        <f>SUM(Calculations!AB$78,Calculations!AB$86,Calculations!AB$94,Calculations!AB$102,Calculations!AB$109)</f>
        <v>4.681130996981667E-8</v>
      </c>
      <c r="W10" s="5">
        <f>SUM(Calculations!AC$78,Calculations!AC$86,Calculations!AC$94,Calculations!AC$102,Calculations!AC$109)</f>
        <v>4.567697346424835E-8</v>
      </c>
      <c r="X10" s="5">
        <f>SUM(Calculations!AD$78,Calculations!AD$86,Calculations!AD$94,Calculations!AD$102,Calculations!AD$109)</f>
        <v>4.427985735601489E-8</v>
      </c>
      <c r="Y10" s="5">
        <f>SUM(Calculations!AE$78,Calculations!AE$86,Calculations!AE$94,Calculations!AE$102,Calculations!AE$109)</f>
        <v>4.3756487913885404E-8</v>
      </c>
      <c r="Z10" s="5">
        <f>SUM(Calculations!AF$78,Calculations!AF$86,Calculations!AF$94,Calculations!AF$102,Calculations!AF$109)</f>
        <v>4.4056037809951131E-8</v>
      </c>
      <c r="AA10" s="5">
        <f>SUM(Calculations!AG$78,Calculations!AG$86,Calculations!AG$94,Calculations!AG$102,Calculations!AG$109)</f>
        <v>4.457573668921231E-8</v>
      </c>
      <c r="AB10" s="5">
        <f>SUM(Calculations!AH$78,Calculations!AH$86,Calculations!AH$94,Calculations!AH$102,Calculations!AH$109)</f>
        <v>4.3790123633045591E-8</v>
      </c>
      <c r="AC10" s="5"/>
      <c r="AD10" s="5"/>
    </row>
    <row r="11" spans="1:30" x14ac:dyDescent="0.25">
      <c r="A11" t="s">
        <v>1364</v>
      </c>
      <c r="B11" s="5">
        <f>SUM(Calculations!H$78,Calculations!H$86,Calculations!H$94,Calculations!H$102,Calculations!H$109)</f>
        <v>5.1421461508657386E-8</v>
      </c>
      <c r="C11" s="5">
        <f>SUM(Calculations!I$78,Calculations!I$86,Calculations!I$94,Calculations!I$102,Calculations!I$109)</f>
        <v>4.982969621610014E-8</v>
      </c>
      <c r="D11" s="5">
        <f>SUM(Calculations!J$78,Calculations!J$86,Calculations!J$94,Calculations!J$102,Calculations!J$109)</f>
        <v>5.1050280305491631E-8</v>
      </c>
      <c r="E11" s="5">
        <f>SUM(Calculations!K$78,Calculations!K$86,Calculations!K$94,Calculations!K$102,Calculations!K$109)</f>
        <v>4.9908065370274759E-8</v>
      </c>
      <c r="F11" s="5">
        <f>SUM(Calculations!L$78,Calculations!L$86,Calculations!L$94,Calculations!L$102,Calculations!L$109)</f>
        <v>4.9798346765076109E-8</v>
      </c>
      <c r="G11" s="5">
        <f>SUM(Calculations!M$78,Calculations!M$86,Calculations!M$94,Calculations!M$102,Calculations!M$109)</f>
        <v>4.9118965259824012E-8</v>
      </c>
      <c r="H11" s="5">
        <f>SUM(Calculations!N$78,Calculations!N$86,Calculations!N$94,Calculations!N$102,Calculations!N$109)</f>
        <v>4.8518827013790186E-8</v>
      </c>
      <c r="I11" s="5">
        <f>SUM(Calculations!O$78,Calculations!O$86,Calculations!O$94,Calculations!O$102,Calculations!O$109)</f>
        <v>4.8326468500138772E-8</v>
      </c>
      <c r="J11" s="5">
        <f>SUM(Calculations!P$78,Calculations!P$86,Calculations!P$94,Calculations!P$102,Calculations!P$109)</f>
        <v>4.7840637418630905E-8</v>
      </c>
      <c r="K11" s="5">
        <f>SUM(Calculations!Q$78,Calculations!Q$86,Calculations!Q$94,Calculations!Q$102,Calculations!Q$109)</f>
        <v>4.7481370537467319E-8</v>
      </c>
      <c r="L11" s="5">
        <f>SUM(Calculations!R$78,Calculations!R$86,Calculations!R$94,Calculations!R$102,Calculations!R$109)</f>
        <v>4.6554299125958088E-8</v>
      </c>
      <c r="M11" s="5">
        <f>SUM(Calculations!S$78,Calculations!S$86,Calculations!S$94,Calculations!S$102,Calculations!S$109)</f>
        <v>4.6361326352156726E-8</v>
      </c>
      <c r="N11" s="5">
        <f>SUM(Calculations!T$78,Calculations!T$86,Calculations!T$94,Calculations!T$102,Calculations!T$109)</f>
        <v>4.6842970119750026E-8</v>
      </c>
      <c r="O11" s="5">
        <f>SUM(Calculations!U$78,Calculations!U$86,Calculations!U$94,Calculations!U$102,Calculations!U$109)</f>
        <v>4.6779875987630758E-8</v>
      </c>
      <c r="P11" s="5">
        <f>SUM(Calculations!V$78,Calculations!V$86,Calculations!V$94,Calculations!V$102,Calculations!V$109)</f>
        <v>4.609205043781066E-8</v>
      </c>
      <c r="Q11" s="5">
        <f>SUM(Calculations!W$78,Calculations!W$86,Calculations!W$94,Calculations!W$102,Calculations!W$109)</f>
        <v>4.5927247904586031E-8</v>
      </c>
      <c r="R11" s="5">
        <f>SUM(Calculations!X$78,Calculations!X$86,Calculations!X$94,Calculations!X$102,Calculations!X$109)</f>
        <v>4.6300491485862822E-8</v>
      </c>
      <c r="S11" s="5">
        <f>SUM(Calculations!Y$78,Calculations!Y$86,Calculations!Y$94,Calculations!Y$102,Calculations!Y$109)</f>
        <v>4.6663008869890887E-8</v>
      </c>
      <c r="T11" s="5">
        <f>SUM(Calculations!Z$78,Calculations!Z$86,Calculations!Z$94,Calculations!Z$102,Calculations!Z$109)</f>
        <v>4.686770996549019E-8</v>
      </c>
      <c r="U11" s="5">
        <f>SUM(Calculations!AA$78,Calculations!AA$86,Calculations!AA$94,Calculations!AA$102,Calculations!AA$109)</f>
        <v>4.6832856841006129E-8</v>
      </c>
      <c r="V11" s="5">
        <f>SUM(Calculations!AB$78,Calculations!AB$86,Calculations!AB$94,Calculations!AB$102,Calculations!AB$109)</f>
        <v>4.681130996981667E-8</v>
      </c>
      <c r="W11" s="5">
        <f>SUM(Calculations!AC$78,Calculations!AC$86,Calculations!AC$94,Calculations!AC$102,Calculations!AC$109)</f>
        <v>4.567697346424835E-8</v>
      </c>
      <c r="X11" s="5">
        <f>SUM(Calculations!AD$78,Calculations!AD$86,Calculations!AD$94,Calculations!AD$102,Calculations!AD$109)</f>
        <v>4.427985735601489E-8</v>
      </c>
      <c r="Y11" s="5">
        <f>SUM(Calculations!AE$78,Calculations!AE$86,Calculations!AE$94,Calculations!AE$102,Calculations!AE$109)</f>
        <v>4.3756487913885404E-8</v>
      </c>
      <c r="Z11" s="5">
        <f>SUM(Calculations!AF$78,Calculations!AF$86,Calculations!AF$94,Calculations!AF$102,Calculations!AF$109)</f>
        <v>4.4056037809951131E-8</v>
      </c>
      <c r="AA11" s="5">
        <f>SUM(Calculations!AG$78,Calculations!AG$86,Calculations!AG$94,Calculations!AG$102,Calculations!AG$109)</f>
        <v>4.457573668921231E-8</v>
      </c>
      <c r="AB11" s="5">
        <f>SUM(Calculations!AH$78,Calculations!AH$86,Calculations!AH$94,Calculations!AH$102,Calculations!AH$109)</f>
        <v>4.3790123633045591E-8</v>
      </c>
      <c r="AC11" s="5"/>
      <c r="AD11" s="5"/>
    </row>
    <row r="12" spans="1:30" x14ac:dyDescent="0.25">
      <c r="A12" t="s">
        <v>1365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30" x14ac:dyDescent="0.25">
      <c r="A13" t="s">
        <v>1366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30" x14ac:dyDescent="0.25">
      <c r="A14" t="s">
        <v>1367</v>
      </c>
      <c r="B14" s="5">
        <f>SUM(Calculations!H$78,Calculations!H$86,Calculations!H$94,Calculations!H$102,Calculations!H$109)</f>
        <v>5.1421461508657386E-8</v>
      </c>
      <c r="C14" s="5">
        <f>SUM(Calculations!I$78,Calculations!I$86,Calculations!I$94,Calculations!I$102,Calculations!I$109)</f>
        <v>4.982969621610014E-8</v>
      </c>
      <c r="D14" s="5">
        <f>SUM(Calculations!J$78,Calculations!J$86,Calculations!J$94,Calculations!J$102,Calculations!J$109)</f>
        <v>5.1050280305491631E-8</v>
      </c>
      <c r="E14" s="5">
        <f>SUM(Calculations!K$78,Calculations!K$86,Calculations!K$94,Calculations!K$102,Calculations!K$109)</f>
        <v>4.9908065370274759E-8</v>
      </c>
      <c r="F14" s="5">
        <f>SUM(Calculations!L$78,Calculations!L$86,Calculations!L$94,Calculations!L$102,Calculations!L$109)</f>
        <v>4.9798346765076109E-8</v>
      </c>
      <c r="G14" s="5">
        <f>SUM(Calculations!M$78,Calculations!M$86,Calculations!M$94,Calculations!M$102,Calculations!M$109)</f>
        <v>4.9118965259824012E-8</v>
      </c>
      <c r="H14" s="5">
        <f>SUM(Calculations!N$78,Calculations!N$86,Calculations!N$94,Calculations!N$102,Calculations!N$109)</f>
        <v>4.8518827013790186E-8</v>
      </c>
      <c r="I14" s="5">
        <f>SUM(Calculations!O$78,Calculations!O$86,Calculations!O$94,Calculations!O$102,Calculations!O$109)</f>
        <v>4.8326468500138772E-8</v>
      </c>
      <c r="J14" s="5">
        <f>SUM(Calculations!P$78,Calculations!P$86,Calculations!P$94,Calculations!P$102,Calculations!P$109)</f>
        <v>4.7840637418630905E-8</v>
      </c>
      <c r="K14" s="5">
        <f>SUM(Calculations!Q$78,Calculations!Q$86,Calculations!Q$94,Calculations!Q$102,Calculations!Q$109)</f>
        <v>4.7481370537467319E-8</v>
      </c>
      <c r="L14" s="5">
        <f>SUM(Calculations!R$78,Calculations!R$86,Calculations!R$94,Calculations!R$102,Calculations!R$109)</f>
        <v>4.6554299125958088E-8</v>
      </c>
      <c r="M14" s="5">
        <f>SUM(Calculations!S$78,Calculations!S$86,Calculations!S$94,Calculations!S$102,Calculations!S$109)</f>
        <v>4.6361326352156726E-8</v>
      </c>
      <c r="N14" s="5">
        <f>SUM(Calculations!T$78,Calculations!T$86,Calculations!T$94,Calculations!T$102,Calculations!T$109)</f>
        <v>4.6842970119750026E-8</v>
      </c>
      <c r="O14" s="5">
        <f>SUM(Calculations!U$78,Calculations!U$86,Calculations!U$94,Calculations!U$102,Calculations!U$109)</f>
        <v>4.6779875987630758E-8</v>
      </c>
      <c r="P14" s="5">
        <f>SUM(Calculations!V$78,Calculations!V$86,Calculations!V$94,Calculations!V$102,Calculations!V$109)</f>
        <v>4.609205043781066E-8</v>
      </c>
      <c r="Q14" s="5">
        <f>SUM(Calculations!W$78,Calculations!W$86,Calculations!W$94,Calculations!W$102,Calculations!W$109)</f>
        <v>4.5927247904586031E-8</v>
      </c>
      <c r="R14" s="5">
        <f>SUM(Calculations!X$78,Calculations!X$86,Calculations!X$94,Calculations!X$102,Calculations!X$109)</f>
        <v>4.6300491485862822E-8</v>
      </c>
      <c r="S14" s="5">
        <f>SUM(Calculations!Y$78,Calculations!Y$86,Calculations!Y$94,Calculations!Y$102,Calculations!Y$109)</f>
        <v>4.6663008869890887E-8</v>
      </c>
      <c r="T14" s="5">
        <f>SUM(Calculations!Z$78,Calculations!Z$86,Calculations!Z$94,Calculations!Z$102,Calculations!Z$109)</f>
        <v>4.686770996549019E-8</v>
      </c>
      <c r="U14" s="5">
        <f>SUM(Calculations!AA$78,Calculations!AA$86,Calculations!AA$94,Calculations!AA$102,Calculations!AA$109)</f>
        <v>4.6832856841006129E-8</v>
      </c>
      <c r="V14" s="5">
        <f>SUM(Calculations!AB$78,Calculations!AB$86,Calculations!AB$94,Calculations!AB$102,Calculations!AB$109)</f>
        <v>4.681130996981667E-8</v>
      </c>
      <c r="W14" s="5">
        <f>SUM(Calculations!AC$78,Calculations!AC$86,Calculations!AC$94,Calculations!AC$102,Calculations!AC$109)</f>
        <v>4.567697346424835E-8</v>
      </c>
      <c r="X14" s="5">
        <f>SUM(Calculations!AD$78,Calculations!AD$86,Calculations!AD$94,Calculations!AD$102,Calculations!AD$109)</f>
        <v>4.427985735601489E-8</v>
      </c>
      <c r="Y14" s="5">
        <f>SUM(Calculations!AE$78,Calculations!AE$86,Calculations!AE$94,Calculations!AE$102,Calculations!AE$109)</f>
        <v>4.3756487913885404E-8</v>
      </c>
      <c r="Z14" s="5">
        <f>SUM(Calculations!AF$78,Calculations!AF$86,Calculations!AF$94,Calculations!AF$102,Calculations!AF$109)</f>
        <v>4.4056037809951131E-8</v>
      </c>
      <c r="AA14" s="5">
        <f>SUM(Calculations!AG$78,Calculations!AG$86,Calculations!AG$94,Calculations!AG$102,Calculations!AG$109)</f>
        <v>4.457573668921231E-8</v>
      </c>
      <c r="AB14" s="5">
        <f>SUM(Calculations!AH$78,Calculations!AH$86,Calculations!AH$94,Calculations!AH$102,Calculations!AH$109)</f>
        <v>4.3790123633045591E-8</v>
      </c>
      <c r="AC14" s="5"/>
      <c r="AD14" s="5"/>
    </row>
    <row r="15" spans="1:30" x14ac:dyDescent="0.25">
      <c r="A15" t="s">
        <v>1368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30" x14ac:dyDescent="0.25">
      <c r="A16" t="s">
        <v>151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30" x14ac:dyDescent="0.25">
      <c r="A17" t="s">
        <v>1369</v>
      </c>
      <c r="B17" s="5">
        <f t="shared" ref="B17:AB17" si="0">B3</f>
        <v>1.3790882654332546E-8</v>
      </c>
      <c r="C17" s="5">
        <f t="shared" si="0"/>
        <v>1.3339431312062067E-8</v>
      </c>
      <c r="D17" s="5">
        <f t="shared" si="0"/>
        <v>1.3574651866434929E-8</v>
      </c>
      <c r="E17" s="5">
        <f t="shared" si="0"/>
        <v>1.3909594092536195E-8</v>
      </c>
      <c r="F17" s="5">
        <f t="shared" si="0"/>
        <v>1.4550361785290465E-8</v>
      </c>
      <c r="G17" s="5">
        <f t="shared" si="0"/>
        <v>1.4808038116931876E-8</v>
      </c>
      <c r="H17" s="5">
        <f t="shared" si="0"/>
        <v>1.4691420004273048E-8</v>
      </c>
      <c r="I17" s="5">
        <f t="shared" si="0"/>
        <v>1.5870614847961547E-8</v>
      </c>
      <c r="J17" s="5">
        <f t="shared" si="0"/>
        <v>1.6195935072587922E-8</v>
      </c>
      <c r="K17" s="5">
        <f t="shared" si="0"/>
        <v>1.6404283942617241E-8</v>
      </c>
      <c r="L17" s="5">
        <f t="shared" si="0"/>
        <v>1.6831980425248747E-8</v>
      </c>
      <c r="M17" s="5">
        <f t="shared" si="0"/>
        <v>1.6860803295476023E-8</v>
      </c>
      <c r="N17" s="5">
        <f t="shared" si="0"/>
        <v>1.7091145141203546E-8</v>
      </c>
      <c r="O17" s="5">
        <f t="shared" si="0"/>
        <v>1.7131094391320983E-8</v>
      </c>
      <c r="P17" s="5">
        <f t="shared" si="0"/>
        <v>1.7117073927647257E-8</v>
      </c>
      <c r="Q17" s="5">
        <f t="shared" si="0"/>
        <v>1.7226826008756617E-8</v>
      </c>
      <c r="R17" s="5">
        <f t="shared" si="0"/>
        <v>1.7492664892205521E-8</v>
      </c>
      <c r="S17" s="5">
        <f t="shared" si="0"/>
        <v>1.7795981099063673E-8</v>
      </c>
      <c r="T17" s="5">
        <f t="shared" si="0"/>
        <v>1.8032992462528367E-8</v>
      </c>
      <c r="U17" s="5">
        <f t="shared" si="0"/>
        <v>1.8179499752631827E-8</v>
      </c>
      <c r="V17" s="5">
        <f t="shared" si="0"/>
        <v>1.8314895729416611E-8</v>
      </c>
      <c r="W17" s="5">
        <f t="shared" si="0"/>
        <v>1.8477108431410938E-8</v>
      </c>
      <c r="X17" s="5">
        <f t="shared" si="0"/>
        <v>1.8612079408027421E-8</v>
      </c>
      <c r="Y17" s="5">
        <f t="shared" si="0"/>
        <v>1.8584803281169984E-8</v>
      </c>
      <c r="Z17" s="5">
        <f t="shared" si="0"/>
        <v>1.863844483333939E-8</v>
      </c>
      <c r="AA17" s="5">
        <f t="shared" si="0"/>
        <v>1.8848666377517977E-8</v>
      </c>
      <c r="AB17" s="5">
        <f t="shared" si="0"/>
        <v>1.9440606498857644E-8</v>
      </c>
      <c r="AC17" s="5"/>
      <c r="AD17" s="5"/>
    </row>
    <row r="18" spans="1:30" x14ac:dyDescent="0.25">
      <c r="A18" t="s">
        <v>1375</v>
      </c>
      <c r="B18" s="5">
        <f>SUM(Calculations!H$78,Calculations!H$86,Calculations!H$94,Calculations!H$102,Calculations!H$109)</f>
        <v>5.1421461508657386E-8</v>
      </c>
      <c r="C18" s="5">
        <f>SUM(Calculations!I$78,Calculations!I$86,Calculations!I$94,Calculations!I$102,Calculations!I$109)</f>
        <v>4.982969621610014E-8</v>
      </c>
      <c r="D18" s="5">
        <f>SUM(Calculations!J$78,Calculations!J$86,Calculations!J$94,Calculations!J$102,Calculations!J$109)</f>
        <v>5.1050280305491631E-8</v>
      </c>
      <c r="E18" s="5">
        <f>SUM(Calculations!K$78,Calculations!K$86,Calculations!K$94,Calculations!K$102,Calculations!K$109)</f>
        <v>4.9908065370274759E-8</v>
      </c>
      <c r="F18" s="5">
        <f>SUM(Calculations!L$78,Calculations!L$86,Calculations!L$94,Calculations!L$102,Calculations!L$109)</f>
        <v>4.9798346765076109E-8</v>
      </c>
      <c r="G18" s="5">
        <f>SUM(Calculations!M$78,Calculations!M$86,Calculations!M$94,Calculations!M$102,Calculations!M$109)</f>
        <v>4.9118965259824012E-8</v>
      </c>
      <c r="H18" s="5">
        <f>SUM(Calculations!N$78,Calculations!N$86,Calculations!N$94,Calculations!N$102,Calculations!N$109)</f>
        <v>4.8518827013790186E-8</v>
      </c>
      <c r="I18" s="5">
        <f>SUM(Calculations!O$78,Calculations!O$86,Calculations!O$94,Calculations!O$102,Calculations!O$109)</f>
        <v>4.8326468500138772E-8</v>
      </c>
      <c r="J18" s="5">
        <f>SUM(Calculations!P$78,Calculations!P$86,Calculations!P$94,Calculations!P$102,Calculations!P$109)</f>
        <v>4.7840637418630905E-8</v>
      </c>
      <c r="K18" s="5">
        <f>SUM(Calculations!Q$78,Calculations!Q$86,Calculations!Q$94,Calculations!Q$102,Calculations!Q$109)</f>
        <v>4.7481370537467319E-8</v>
      </c>
      <c r="L18" s="5">
        <f>SUM(Calculations!R$78,Calculations!R$86,Calculations!R$94,Calculations!R$102,Calculations!R$109)</f>
        <v>4.6554299125958088E-8</v>
      </c>
      <c r="M18" s="5">
        <f>SUM(Calculations!S$78,Calculations!S$86,Calculations!S$94,Calculations!S$102,Calculations!S$109)</f>
        <v>4.6361326352156726E-8</v>
      </c>
      <c r="N18" s="5">
        <f>SUM(Calculations!T$78,Calculations!T$86,Calculations!T$94,Calculations!T$102,Calculations!T$109)</f>
        <v>4.6842970119750026E-8</v>
      </c>
      <c r="O18" s="5">
        <f>SUM(Calculations!U$78,Calculations!U$86,Calculations!U$94,Calculations!U$102,Calculations!U$109)</f>
        <v>4.6779875987630758E-8</v>
      </c>
      <c r="P18" s="5">
        <f>SUM(Calculations!V$78,Calculations!V$86,Calculations!V$94,Calculations!V$102,Calculations!V$109)</f>
        <v>4.609205043781066E-8</v>
      </c>
      <c r="Q18" s="5">
        <f>SUM(Calculations!W$78,Calculations!W$86,Calculations!W$94,Calculations!W$102,Calculations!W$109)</f>
        <v>4.5927247904586031E-8</v>
      </c>
      <c r="R18" s="5">
        <f>SUM(Calculations!X$78,Calculations!X$86,Calculations!X$94,Calculations!X$102,Calculations!X$109)</f>
        <v>4.6300491485862822E-8</v>
      </c>
      <c r="S18" s="5">
        <f>SUM(Calculations!Y$78,Calculations!Y$86,Calculations!Y$94,Calculations!Y$102,Calculations!Y$109)</f>
        <v>4.6663008869890887E-8</v>
      </c>
      <c r="T18" s="5">
        <f>SUM(Calculations!Z$78,Calculations!Z$86,Calculations!Z$94,Calculations!Z$102,Calculations!Z$109)</f>
        <v>4.686770996549019E-8</v>
      </c>
      <c r="U18" s="5">
        <f>SUM(Calculations!AA$78,Calculations!AA$86,Calculations!AA$94,Calculations!AA$102,Calculations!AA$109)</f>
        <v>4.6832856841006129E-8</v>
      </c>
      <c r="V18" s="5">
        <f>SUM(Calculations!AB$78,Calculations!AB$86,Calculations!AB$94,Calculations!AB$102,Calculations!AB$109)</f>
        <v>4.681130996981667E-8</v>
      </c>
      <c r="W18" s="5">
        <f>SUM(Calculations!AC$78,Calculations!AC$86,Calculations!AC$94,Calculations!AC$102,Calculations!AC$109)</f>
        <v>4.567697346424835E-8</v>
      </c>
      <c r="X18" s="5">
        <f>SUM(Calculations!AD$78,Calculations!AD$86,Calculations!AD$94,Calculations!AD$102,Calculations!AD$109)</f>
        <v>4.427985735601489E-8</v>
      </c>
      <c r="Y18" s="5">
        <f>SUM(Calculations!AE$78,Calculations!AE$86,Calculations!AE$94,Calculations!AE$102,Calculations!AE$109)</f>
        <v>4.3756487913885404E-8</v>
      </c>
      <c r="Z18" s="5">
        <f>SUM(Calculations!AF$78,Calculations!AF$86,Calculations!AF$94,Calculations!AF$102,Calculations!AF$109)</f>
        <v>4.4056037809951131E-8</v>
      </c>
      <c r="AA18" s="5">
        <f>SUM(Calculations!AG$78,Calculations!AG$86,Calculations!AG$94,Calculations!AG$102,Calculations!AG$109)</f>
        <v>4.457573668921231E-8</v>
      </c>
      <c r="AB18" s="5">
        <f>SUM(Calculations!AH$78,Calculations!AH$86,Calculations!AH$94,Calculations!AH$102,Calculations!AH$109)</f>
        <v>4.3790123633045591E-8</v>
      </c>
      <c r="AC18" s="5"/>
      <c r="AD18" s="5"/>
    </row>
    <row r="19" spans="1:30" x14ac:dyDescent="0.25">
      <c r="A19" t="s">
        <v>1376</v>
      </c>
      <c r="B19" s="5">
        <f>SUM(Calculations!H$78,Calculations!H$86,Calculations!H$94,Calculations!H$102,Calculations!H$109)</f>
        <v>5.1421461508657386E-8</v>
      </c>
      <c r="C19" s="5">
        <f>SUM(Calculations!I$78,Calculations!I$86,Calculations!I$94,Calculations!I$102,Calculations!I$109)</f>
        <v>4.982969621610014E-8</v>
      </c>
      <c r="D19" s="5">
        <f>SUM(Calculations!J$78,Calculations!J$86,Calculations!J$94,Calculations!J$102,Calculations!J$109)</f>
        <v>5.1050280305491631E-8</v>
      </c>
      <c r="E19" s="5">
        <f>SUM(Calculations!K$78,Calculations!K$86,Calculations!K$94,Calculations!K$102,Calculations!K$109)</f>
        <v>4.9908065370274759E-8</v>
      </c>
      <c r="F19" s="5">
        <f>SUM(Calculations!L$78,Calculations!L$86,Calculations!L$94,Calculations!L$102,Calculations!L$109)</f>
        <v>4.9798346765076109E-8</v>
      </c>
      <c r="G19" s="5">
        <f>SUM(Calculations!M$78,Calculations!M$86,Calculations!M$94,Calculations!M$102,Calculations!M$109)</f>
        <v>4.9118965259824012E-8</v>
      </c>
      <c r="H19" s="5">
        <f>SUM(Calculations!N$78,Calculations!N$86,Calculations!N$94,Calculations!N$102,Calculations!N$109)</f>
        <v>4.8518827013790186E-8</v>
      </c>
      <c r="I19" s="5">
        <f>SUM(Calculations!O$78,Calculations!O$86,Calculations!O$94,Calculations!O$102,Calculations!O$109)</f>
        <v>4.8326468500138772E-8</v>
      </c>
      <c r="J19" s="5">
        <f>SUM(Calculations!P$78,Calculations!P$86,Calculations!P$94,Calculations!P$102,Calculations!P$109)</f>
        <v>4.7840637418630905E-8</v>
      </c>
      <c r="K19" s="5">
        <f>SUM(Calculations!Q$78,Calculations!Q$86,Calculations!Q$94,Calculations!Q$102,Calculations!Q$109)</f>
        <v>4.7481370537467319E-8</v>
      </c>
      <c r="L19" s="5">
        <f>SUM(Calculations!R$78,Calculations!R$86,Calculations!R$94,Calculations!R$102,Calculations!R$109)</f>
        <v>4.6554299125958088E-8</v>
      </c>
      <c r="M19" s="5">
        <f>SUM(Calculations!S$78,Calculations!S$86,Calculations!S$94,Calculations!S$102,Calculations!S$109)</f>
        <v>4.6361326352156726E-8</v>
      </c>
      <c r="N19" s="5">
        <f>SUM(Calculations!T$78,Calculations!T$86,Calculations!T$94,Calculations!T$102,Calculations!T$109)</f>
        <v>4.6842970119750026E-8</v>
      </c>
      <c r="O19" s="5">
        <f>SUM(Calculations!U$78,Calculations!U$86,Calculations!U$94,Calculations!U$102,Calculations!U$109)</f>
        <v>4.6779875987630758E-8</v>
      </c>
      <c r="P19" s="5">
        <f>SUM(Calculations!V$78,Calculations!V$86,Calculations!V$94,Calculations!V$102,Calculations!V$109)</f>
        <v>4.609205043781066E-8</v>
      </c>
      <c r="Q19" s="5">
        <f>SUM(Calculations!W$78,Calculations!W$86,Calculations!W$94,Calculations!W$102,Calculations!W$109)</f>
        <v>4.5927247904586031E-8</v>
      </c>
      <c r="R19" s="5">
        <f>SUM(Calculations!X$78,Calculations!X$86,Calculations!X$94,Calculations!X$102,Calculations!X$109)</f>
        <v>4.6300491485862822E-8</v>
      </c>
      <c r="S19" s="5">
        <f>SUM(Calculations!Y$78,Calculations!Y$86,Calculations!Y$94,Calculations!Y$102,Calculations!Y$109)</f>
        <v>4.6663008869890887E-8</v>
      </c>
      <c r="T19" s="5">
        <f>SUM(Calculations!Z$78,Calculations!Z$86,Calculations!Z$94,Calculations!Z$102,Calculations!Z$109)</f>
        <v>4.686770996549019E-8</v>
      </c>
      <c r="U19" s="5">
        <f>SUM(Calculations!AA$78,Calculations!AA$86,Calculations!AA$94,Calculations!AA$102,Calculations!AA$109)</f>
        <v>4.6832856841006129E-8</v>
      </c>
      <c r="V19" s="5">
        <f>SUM(Calculations!AB$78,Calculations!AB$86,Calculations!AB$94,Calculations!AB$102,Calculations!AB$109)</f>
        <v>4.681130996981667E-8</v>
      </c>
      <c r="W19" s="5">
        <f>SUM(Calculations!AC$78,Calculations!AC$86,Calculations!AC$94,Calculations!AC$102,Calculations!AC$109)</f>
        <v>4.567697346424835E-8</v>
      </c>
      <c r="X19" s="5">
        <f>SUM(Calculations!AD$78,Calculations!AD$86,Calculations!AD$94,Calculations!AD$102,Calculations!AD$109)</f>
        <v>4.427985735601489E-8</v>
      </c>
      <c r="Y19" s="5">
        <f>SUM(Calculations!AE$78,Calculations!AE$86,Calculations!AE$94,Calculations!AE$102,Calculations!AE$109)</f>
        <v>4.3756487913885404E-8</v>
      </c>
      <c r="Z19" s="5">
        <f>SUM(Calculations!AF$78,Calculations!AF$86,Calculations!AF$94,Calculations!AF$102,Calculations!AF$109)</f>
        <v>4.4056037809951131E-8</v>
      </c>
      <c r="AA19" s="5">
        <f>SUM(Calculations!AG$78,Calculations!AG$86,Calculations!AG$94,Calculations!AG$102,Calculations!AG$109)</f>
        <v>4.457573668921231E-8</v>
      </c>
      <c r="AB19" s="5">
        <f>SUM(Calculations!AH$78,Calculations!AH$86,Calculations!AH$94,Calculations!AH$102,Calculations!AH$109)</f>
        <v>4.3790123633045591E-8</v>
      </c>
      <c r="AC19" s="5"/>
      <c r="AD19" s="5"/>
    </row>
    <row r="20" spans="1:30" x14ac:dyDescent="0.25">
      <c r="A20" t="s">
        <v>1372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30" x14ac:dyDescent="0.25">
      <c r="A21" t="s">
        <v>1373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30" x14ac:dyDescent="0.25">
      <c r="A22" s="122" t="s">
        <v>1374</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D22"/>
  <sheetViews>
    <sheetView workbookViewId="0">
      <selection activeCell="C22" sqref="C22"/>
    </sheetView>
  </sheetViews>
  <sheetFormatPr defaultColWidth="9.28515625" defaultRowHeight="15" x14ac:dyDescent="0.25"/>
  <cols>
    <col min="1" max="1" width="26.5703125" customWidth="1"/>
  </cols>
  <sheetData>
    <row r="1" spans="1:30"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0" x14ac:dyDescent="0.25">
      <c r="A2" t="s">
        <v>1359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0" x14ac:dyDescent="0.25">
      <c r="A3" t="s">
        <v>1360</v>
      </c>
      <c r="B3" s="5">
        <f>SUM(Calculations!G46,Calculations!G51)</f>
        <v>1.3790882654332546E-8</v>
      </c>
      <c r="C3" s="5">
        <f>SUM(Calculations!H46,Calculations!H51)</f>
        <v>1.3339431312062067E-8</v>
      </c>
      <c r="D3" s="5">
        <f>SUM(Calculations!I46,Calculations!I51)</f>
        <v>1.3574651866434929E-8</v>
      </c>
      <c r="E3" s="5">
        <f>SUM(Calculations!J46,Calculations!J51)</f>
        <v>1.3909594092536195E-8</v>
      </c>
      <c r="F3" s="5">
        <f>SUM(Calculations!K46,Calculations!K51)</f>
        <v>1.4550361785290465E-8</v>
      </c>
      <c r="G3" s="5">
        <f>SUM(Calculations!L46,Calculations!L51)</f>
        <v>1.4808038116931876E-8</v>
      </c>
      <c r="H3" s="5">
        <f>SUM(Calculations!M46,Calculations!M51)</f>
        <v>1.4691420004273048E-8</v>
      </c>
      <c r="I3" s="5">
        <f>SUM(Calculations!N46,Calculations!N51)</f>
        <v>1.5870614847961547E-8</v>
      </c>
      <c r="J3" s="5">
        <f>SUM(Calculations!O46,Calculations!O51)</f>
        <v>1.6195935072587922E-8</v>
      </c>
      <c r="K3" s="5">
        <f>SUM(Calculations!P46,Calculations!P51)</f>
        <v>1.6404283942617241E-8</v>
      </c>
      <c r="L3" s="5">
        <f>SUM(Calculations!Q46,Calculations!Q51)</f>
        <v>1.6831980425248747E-8</v>
      </c>
      <c r="M3" s="5">
        <f>SUM(Calculations!R46,Calculations!R51)</f>
        <v>1.6860803295476023E-8</v>
      </c>
      <c r="N3" s="5">
        <f>SUM(Calculations!S46,Calculations!S51)</f>
        <v>1.7091145141203546E-8</v>
      </c>
      <c r="O3" s="5">
        <f>SUM(Calculations!T46,Calculations!T51)</f>
        <v>1.7131094391320983E-8</v>
      </c>
      <c r="P3" s="5">
        <f>SUM(Calculations!U46,Calculations!U51)</f>
        <v>1.7117073927647257E-8</v>
      </c>
      <c r="Q3" s="5">
        <f>SUM(Calculations!V46,Calculations!V51)</f>
        <v>1.7226826008756617E-8</v>
      </c>
      <c r="R3" s="5">
        <f>SUM(Calculations!W46,Calculations!W51)</f>
        <v>1.7492664892205521E-8</v>
      </c>
      <c r="S3" s="5">
        <f>SUM(Calculations!X46,Calculations!X51)</f>
        <v>1.7795981099063673E-8</v>
      </c>
      <c r="T3" s="5">
        <f>SUM(Calculations!Y46,Calculations!Y51)</f>
        <v>1.8032992462528367E-8</v>
      </c>
      <c r="U3" s="5">
        <f>SUM(Calculations!Z46,Calculations!Z51)</f>
        <v>1.8179499752631827E-8</v>
      </c>
      <c r="V3" s="5">
        <f>SUM(Calculations!AA46,Calculations!AA51)</f>
        <v>1.8314895729416611E-8</v>
      </c>
      <c r="W3" s="5">
        <f>SUM(Calculations!AB46,Calculations!AB51)</f>
        <v>1.8477108431410938E-8</v>
      </c>
      <c r="X3" s="5">
        <f>SUM(Calculations!AC46,Calculations!AC51)</f>
        <v>1.8612079408027421E-8</v>
      </c>
      <c r="Y3" s="5">
        <f>SUM(Calculations!AD46,Calculations!AD51)</f>
        <v>1.8584803281169984E-8</v>
      </c>
      <c r="Z3" s="5">
        <f>SUM(Calculations!AE46,Calculations!AE51)</f>
        <v>1.863844483333939E-8</v>
      </c>
      <c r="AA3" s="5">
        <f>SUM(Calculations!AF46,Calculations!AF51)</f>
        <v>1.8848666377517977E-8</v>
      </c>
      <c r="AB3" s="5">
        <f>SUM(Calculations!AG46,Calculations!AG51)</f>
        <v>1.9440606498857644E-8</v>
      </c>
      <c r="AC3" s="5"/>
      <c r="AD3" s="5"/>
    </row>
    <row r="4" spans="1:30" x14ac:dyDescent="0.25">
      <c r="A4" t="s">
        <v>1361</v>
      </c>
      <c r="B4" s="5">
        <f>SUM(Calculations!G58,Calculations!G64,Calculations!G70)</f>
        <v>3.8851875622860542E-8</v>
      </c>
      <c r="C4" s="5">
        <f>SUM(Calculations!H58,Calculations!H64,Calculations!H70)</f>
        <v>3.7810242781995915E-8</v>
      </c>
      <c r="D4" s="5">
        <f>SUM(Calculations!I58,Calculations!I64,Calculations!I70)</f>
        <v>3.7982443924150547E-8</v>
      </c>
      <c r="E4" s="5">
        <f>SUM(Calculations!J58,Calculations!J64,Calculations!J70)</f>
        <v>3.7864350350851582E-8</v>
      </c>
      <c r="F4" s="5">
        <f>SUM(Calculations!K58,Calculations!K64,Calculations!K70)</f>
        <v>3.7517956493239704E-8</v>
      </c>
      <c r="G4" s="5">
        <f>SUM(Calculations!L58,Calculations!L64,Calculations!L70)</f>
        <v>3.739683842074364E-8</v>
      </c>
      <c r="H4" s="5">
        <f>SUM(Calculations!M58,Calculations!M64,Calculations!M70)</f>
        <v>3.6744828751904914E-8</v>
      </c>
      <c r="I4" s="5">
        <f>SUM(Calculations!N58,Calculations!N64,Calculations!N70)</f>
        <v>3.6009707827936277E-8</v>
      </c>
      <c r="J4" s="5">
        <f>SUM(Calculations!O58,Calculations!O64,Calculations!O70)</f>
        <v>3.540318450209332E-8</v>
      </c>
      <c r="K4" s="5">
        <f>SUM(Calculations!P58,Calculations!P64,Calculations!P70)</f>
        <v>3.5051706121664425E-8</v>
      </c>
      <c r="L4" s="5">
        <f>SUM(Calculations!Q58,Calculations!Q64,Calculations!Q70)</f>
        <v>3.4580818445259014E-8</v>
      </c>
      <c r="M4" s="5">
        <f>SUM(Calculations!R58,Calculations!R64,Calculations!R70)</f>
        <v>3.4405552944659688E-8</v>
      </c>
      <c r="N4" s="5">
        <f>SUM(Calculations!S58,Calculations!S64,Calculations!S70)</f>
        <v>3.4260668546481641E-8</v>
      </c>
      <c r="O4" s="5">
        <f>SUM(Calculations!T58,Calculations!T64,Calculations!T70)</f>
        <v>3.4071301219251879E-8</v>
      </c>
      <c r="P4" s="5">
        <f>SUM(Calculations!U58,Calculations!U64,Calculations!U70)</f>
        <v>3.3920822886159178E-8</v>
      </c>
      <c r="Q4" s="5">
        <f>SUM(Calculations!V58,Calculations!V64,Calculations!V70)</f>
        <v>3.37294696210689E-8</v>
      </c>
      <c r="R4" s="5">
        <f>SUM(Calculations!W58,Calculations!W64,Calculations!W70)</f>
        <v>3.3273729891144987E-8</v>
      </c>
      <c r="S4" s="5">
        <f>SUM(Calculations!X58,Calculations!X64,Calculations!X70)</f>
        <v>3.2809397915071382E-8</v>
      </c>
      <c r="T4" s="5">
        <f>SUM(Calculations!Y58,Calculations!Y64,Calculations!Y70)</f>
        <v>3.2475224174223351E-8</v>
      </c>
      <c r="U4" s="5">
        <f>SUM(Calculations!Z58,Calculations!Z64,Calculations!Z70)</f>
        <v>3.2185221250996927E-8</v>
      </c>
      <c r="V4" s="5">
        <f>SUM(Calculations!AA58,Calculations!AA64,Calculations!AA70)</f>
        <v>3.1992368523119327E-8</v>
      </c>
      <c r="W4" s="5">
        <f>SUM(Calculations!AB58,Calculations!AB64,Calculations!AB70)</f>
        <v>3.1875127722613763E-8</v>
      </c>
      <c r="X4" s="5">
        <f>SUM(Calculations!AC58,Calculations!AC64,Calculations!AC70)</f>
        <v>3.1729045953145096E-8</v>
      </c>
      <c r="Y4" s="5">
        <f>SUM(Calculations!AD58,Calculations!AD64,Calculations!AD70)</f>
        <v>3.1623480246051192E-8</v>
      </c>
      <c r="Z4" s="5">
        <f>SUM(Calculations!AE58,Calculations!AE64,Calculations!AE70)</f>
        <v>3.1555579407025036E-8</v>
      </c>
      <c r="AA4" s="5">
        <f>SUM(Calculations!AF58,Calculations!AF64,Calculations!AF70)</f>
        <v>3.1595972226585355E-8</v>
      </c>
      <c r="AB4" s="5">
        <f>SUM(Calculations!AG58,Calculations!AG64,Calculations!AG70)</f>
        <v>3.1702994692725905E-8</v>
      </c>
      <c r="AC4" s="5"/>
      <c r="AD4" s="5"/>
    </row>
    <row r="5" spans="1:30"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0"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0" x14ac:dyDescent="0.25">
      <c r="A7" t="s">
        <v>138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30" x14ac:dyDescent="0.2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30" x14ac:dyDescent="0.25">
      <c r="A9" t="s">
        <v>1362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30" x14ac:dyDescent="0.25">
      <c r="A10" t="s">
        <v>1363</v>
      </c>
      <c r="B10" s="5">
        <f>SUM(Calculations!H$78,Calculations!H$86,Calculations!H$94,Calculations!H$102,Calculations!H$109)</f>
        <v>5.1421461508657386E-8</v>
      </c>
      <c r="C10" s="5">
        <f>SUM(Calculations!I$78,Calculations!I$86,Calculations!I$94,Calculations!I$102,Calculations!I$109)</f>
        <v>4.982969621610014E-8</v>
      </c>
      <c r="D10" s="5">
        <f>SUM(Calculations!J$78,Calculations!J$86,Calculations!J$94,Calculations!J$102,Calculations!J$109)</f>
        <v>5.1050280305491631E-8</v>
      </c>
      <c r="E10" s="5">
        <f>SUM(Calculations!K$78,Calculations!K$86,Calculations!K$94,Calculations!K$102,Calculations!K$109)</f>
        <v>4.9908065370274759E-8</v>
      </c>
      <c r="F10" s="5">
        <f>SUM(Calculations!L$78,Calculations!L$86,Calculations!L$94,Calculations!L$102,Calculations!L$109)</f>
        <v>4.9798346765076109E-8</v>
      </c>
      <c r="G10" s="5">
        <f>SUM(Calculations!M$78,Calculations!M$86,Calculations!M$94,Calculations!M$102,Calculations!M$109)</f>
        <v>4.9118965259824012E-8</v>
      </c>
      <c r="H10" s="5">
        <f>SUM(Calculations!N$78,Calculations!N$86,Calculations!N$94,Calculations!N$102,Calculations!N$109)</f>
        <v>4.8518827013790186E-8</v>
      </c>
      <c r="I10" s="5">
        <f>SUM(Calculations!O$78,Calculations!O$86,Calculations!O$94,Calculations!O$102,Calculations!O$109)</f>
        <v>4.8326468500138772E-8</v>
      </c>
      <c r="J10" s="5">
        <f>SUM(Calculations!P$78,Calculations!P$86,Calculations!P$94,Calculations!P$102,Calculations!P$109)</f>
        <v>4.7840637418630905E-8</v>
      </c>
      <c r="K10" s="5">
        <f>SUM(Calculations!Q$78,Calculations!Q$86,Calculations!Q$94,Calculations!Q$102,Calculations!Q$109)</f>
        <v>4.7481370537467319E-8</v>
      </c>
      <c r="L10" s="5">
        <f>SUM(Calculations!R$78,Calculations!R$86,Calculations!R$94,Calculations!R$102,Calculations!R$109)</f>
        <v>4.6554299125958088E-8</v>
      </c>
      <c r="M10" s="5">
        <f>SUM(Calculations!S$78,Calculations!S$86,Calculations!S$94,Calculations!S$102,Calculations!S$109)</f>
        <v>4.6361326352156726E-8</v>
      </c>
      <c r="N10" s="5">
        <f>SUM(Calculations!T$78,Calculations!T$86,Calculations!T$94,Calculations!T$102,Calculations!T$109)</f>
        <v>4.6842970119750026E-8</v>
      </c>
      <c r="O10" s="5">
        <f>SUM(Calculations!U$78,Calculations!U$86,Calculations!U$94,Calculations!U$102,Calculations!U$109)</f>
        <v>4.6779875987630758E-8</v>
      </c>
      <c r="P10" s="5">
        <f>SUM(Calculations!V$78,Calculations!V$86,Calculations!V$94,Calculations!V$102,Calculations!V$109)</f>
        <v>4.609205043781066E-8</v>
      </c>
      <c r="Q10" s="5">
        <f>SUM(Calculations!W$78,Calculations!W$86,Calculations!W$94,Calculations!W$102,Calculations!W$109)</f>
        <v>4.5927247904586031E-8</v>
      </c>
      <c r="R10" s="5">
        <f>SUM(Calculations!X$78,Calculations!X$86,Calculations!X$94,Calculations!X$102,Calculations!X$109)</f>
        <v>4.6300491485862822E-8</v>
      </c>
      <c r="S10" s="5">
        <f>SUM(Calculations!Y$78,Calculations!Y$86,Calculations!Y$94,Calculations!Y$102,Calculations!Y$109)</f>
        <v>4.6663008869890887E-8</v>
      </c>
      <c r="T10" s="5">
        <f>SUM(Calculations!Z$78,Calculations!Z$86,Calculations!Z$94,Calculations!Z$102,Calculations!Z$109)</f>
        <v>4.686770996549019E-8</v>
      </c>
      <c r="U10" s="5">
        <f>SUM(Calculations!AA$78,Calculations!AA$86,Calculations!AA$94,Calculations!AA$102,Calculations!AA$109)</f>
        <v>4.6832856841006129E-8</v>
      </c>
      <c r="V10" s="5">
        <f>SUM(Calculations!AB$78,Calculations!AB$86,Calculations!AB$94,Calculations!AB$102,Calculations!AB$109)</f>
        <v>4.681130996981667E-8</v>
      </c>
      <c r="W10" s="5">
        <f>SUM(Calculations!AC$78,Calculations!AC$86,Calculations!AC$94,Calculations!AC$102,Calculations!AC$109)</f>
        <v>4.567697346424835E-8</v>
      </c>
      <c r="X10" s="5">
        <f>SUM(Calculations!AD$78,Calculations!AD$86,Calculations!AD$94,Calculations!AD$102,Calculations!AD$109)</f>
        <v>4.427985735601489E-8</v>
      </c>
      <c r="Y10" s="5">
        <f>SUM(Calculations!AE$78,Calculations!AE$86,Calculations!AE$94,Calculations!AE$102,Calculations!AE$109)</f>
        <v>4.3756487913885404E-8</v>
      </c>
      <c r="Z10" s="5">
        <f>SUM(Calculations!AF$78,Calculations!AF$86,Calculations!AF$94,Calculations!AF$102,Calculations!AF$109)</f>
        <v>4.4056037809951131E-8</v>
      </c>
      <c r="AA10" s="5">
        <f>SUM(Calculations!AG$78,Calculations!AG$86,Calculations!AG$94,Calculations!AG$102,Calculations!AG$109)</f>
        <v>4.457573668921231E-8</v>
      </c>
      <c r="AB10" s="5">
        <f>SUM(Calculations!AH$78,Calculations!AH$86,Calculations!AH$94,Calculations!AH$102,Calculations!AH$109)</f>
        <v>4.3790123633045591E-8</v>
      </c>
      <c r="AC10" s="5"/>
      <c r="AD10" s="5"/>
    </row>
    <row r="11" spans="1:30" x14ac:dyDescent="0.25">
      <c r="A11" t="s">
        <v>1364</v>
      </c>
      <c r="B11" s="5">
        <f>SUM(Calculations!H$78,Calculations!H$86,Calculations!H$94,Calculations!H$102,Calculations!H$109)</f>
        <v>5.1421461508657386E-8</v>
      </c>
      <c r="C11" s="5">
        <f>SUM(Calculations!I$78,Calculations!I$86,Calculations!I$94,Calculations!I$102,Calculations!I$109)</f>
        <v>4.982969621610014E-8</v>
      </c>
      <c r="D11" s="5">
        <f>SUM(Calculations!J$78,Calculations!J$86,Calculations!J$94,Calculations!J$102,Calculations!J$109)</f>
        <v>5.1050280305491631E-8</v>
      </c>
      <c r="E11" s="5">
        <f>SUM(Calculations!K$78,Calculations!K$86,Calculations!K$94,Calculations!K$102,Calculations!K$109)</f>
        <v>4.9908065370274759E-8</v>
      </c>
      <c r="F11" s="5">
        <f>SUM(Calculations!L$78,Calculations!L$86,Calculations!L$94,Calculations!L$102,Calculations!L$109)</f>
        <v>4.9798346765076109E-8</v>
      </c>
      <c r="G11" s="5">
        <f>SUM(Calculations!M$78,Calculations!M$86,Calculations!M$94,Calculations!M$102,Calculations!M$109)</f>
        <v>4.9118965259824012E-8</v>
      </c>
      <c r="H11" s="5">
        <f>SUM(Calculations!N$78,Calculations!N$86,Calculations!N$94,Calculations!N$102,Calculations!N$109)</f>
        <v>4.8518827013790186E-8</v>
      </c>
      <c r="I11" s="5">
        <f>SUM(Calculations!O$78,Calculations!O$86,Calculations!O$94,Calculations!O$102,Calculations!O$109)</f>
        <v>4.8326468500138772E-8</v>
      </c>
      <c r="J11" s="5">
        <f>SUM(Calculations!P$78,Calculations!P$86,Calculations!P$94,Calculations!P$102,Calculations!P$109)</f>
        <v>4.7840637418630905E-8</v>
      </c>
      <c r="K11" s="5">
        <f>SUM(Calculations!Q$78,Calculations!Q$86,Calculations!Q$94,Calculations!Q$102,Calculations!Q$109)</f>
        <v>4.7481370537467319E-8</v>
      </c>
      <c r="L11" s="5">
        <f>SUM(Calculations!R$78,Calculations!R$86,Calculations!R$94,Calculations!R$102,Calculations!R$109)</f>
        <v>4.6554299125958088E-8</v>
      </c>
      <c r="M11" s="5">
        <f>SUM(Calculations!S$78,Calculations!S$86,Calculations!S$94,Calculations!S$102,Calculations!S$109)</f>
        <v>4.6361326352156726E-8</v>
      </c>
      <c r="N11" s="5">
        <f>SUM(Calculations!T$78,Calculations!T$86,Calculations!T$94,Calculations!T$102,Calculations!T$109)</f>
        <v>4.6842970119750026E-8</v>
      </c>
      <c r="O11" s="5">
        <f>SUM(Calculations!U$78,Calculations!U$86,Calculations!U$94,Calculations!U$102,Calculations!U$109)</f>
        <v>4.6779875987630758E-8</v>
      </c>
      <c r="P11" s="5">
        <f>SUM(Calculations!V$78,Calculations!V$86,Calculations!V$94,Calculations!V$102,Calculations!V$109)</f>
        <v>4.609205043781066E-8</v>
      </c>
      <c r="Q11" s="5">
        <f>SUM(Calculations!W$78,Calculations!W$86,Calculations!W$94,Calculations!W$102,Calculations!W$109)</f>
        <v>4.5927247904586031E-8</v>
      </c>
      <c r="R11" s="5">
        <f>SUM(Calculations!X$78,Calculations!X$86,Calculations!X$94,Calculations!X$102,Calculations!X$109)</f>
        <v>4.6300491485862822E-8</v>
      </c>
      <c r="S11" s="5">
        <f>SUM(Calculations!Y$78,Calculations!Y$86,Calculations!Y$94,Calculations!Y$102,Calculations!Y$109)</f>
        <v>4.6663008869890887E-8</v>
      </c>
      <c r="T11" s="5">
        <f>SUM(Calculations!Z$78,Calculations!Z$86,Calculations!Z$94,Calculations!Z$102,Calculations!Z$109)</f>
        <v>4.686770996549019E-8</v>
      </c>
      <c r="U11" s="5">
        <f>SUM(Calculations!AA$78,Calculations!AA$86,Calculations!AA$94,Calculations!AA$102,Calculations!AA$109)</f>
        <v>4.6832856841006129E-8</v>
      </c>
      <c r="V11" s="5">
        <f>SUM(Calculations!AB$78,Calculations!AB$86,Calculations!AB$94,Calculations!AB$102,Calculations!AB$109)</f>
        <v>4.681130996981667E-8</v>
      </c>
      <c r="W11" s="5">
        <f>SUM(Calculations!AC$78,Calculations!AC$86,Calculations!AC$94,Calculations!AC$102,Calculations!AC$109)</f>
        <v>4.567697346424835E-8</v>
      </c>
      <c r="X11" s="5">
        <f>SUM(Calculations!AD$78,Calculations!AD$86,Calculations!AD$94,Calculations!AD$102,Calculations!AD$109)</f>
        <v>4.427985735601489E-8</v>
      </c>
      <c r="Y11" s="5">
        <f>SUM(Calculations!AE$78,Calculations!AE$86,Calculations!AE$94,Calculations!AE$102,Calculations!AE$109)</f>
        <v>4.3756487913885404E-8</v>
      </c>
      <c r="Z11" s="5">
        <f>SUM(Calculations!AF$78,Calculations!AF$86,Calculations!AF$94,Calculations!AF$102,Calculations!AF$109)</f>
        <v>4.4056037809951131E-8</v>
      </c>
      <c r="AA11" s="5">
        <f>SUM(Calculations!AG$78,Calculations!AG$86,Calculations!AG$94,Calculations!AG$102,Calculations!AG$109)</f>
        <v>4.457573668921231E-8</v>
      </c>
      <c r="AB11" s="5">
        <f>SUM(Calculations!AH$78,Calculations!AH$86,Calculations!AH$94,Calculations!AH$102,Calculations!AH$109)</f>
        <v>4.3790123633045591E-8</v>
      </c>
      <c r="AC11" s="5"/>
      <c r="AD11" s="5"/>
    </row>
    <row r="12" spans="1:30" x14ac:dyDescent="0.25">
      <c r="A12" t="s">
        <v>1365</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30" x14ac:dyDescent="0.25">
      <c r="A13" t="s">
        <v>1366</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30" x14ac:dyDescent="0.25">
      <c r="A14" t="s">
        <v>1367</v>
      </c>
      <c r="B14" s="5">
        <f>SUM(Calculations!H$78,Calculations!H$86,Calculations!H$94,Calculations!H$102,Calculations!H$109)</f>
        <v>5.1421461508657386E-8</v>
      </c>
      <c r="C14" s="5">
        <f>SUM(Calculations!I$78,Calculations!I$86,Calculations!I$94,Calculations!I$102,Calculations!I$109)</f>
        <v>4.982969621610014E-8</v>
      </c>
      <c r="D14" s="5">
        <f>SUM(Calculations!J$78,Calculations!J$86,Calculations!J$94,Calculations!J$102,Calculations!J$109)</f>
        <v>5.1050280305491631E-8</v>
      </c>
      <c r="E14" s="5">
        <f>SUM(Calculations!K$78,Calculations!K$86,Calculations!K$94,Calculations!K$102,Calculations!K$109)</f>
        <v>4.9908065370274759E-8</v>
      </c>
      <c r="F14" s="5">
        <f>SUM(Calculations!L$78,Calculations!L$86,Calculations!L$94,Calculations!L$102,Calculations!L$109)</f>
        <v>4.9798346765076109E-8</v>
      </c>
      <c r="G14" s="5">
        <f>SUM(Calculations!M$78,Calculations!M$86,Calculations!M$94,Calculations!M$102,Calculations!M$109)</f>
        <v>4.9118965259824012E-8</v>
      </c>
      <c r="H14" s="5">
        <f>SUM(Calculations!N$78,Calculations!N$86,Calculations!N$94,Calculations!N$102,Calculations!N$109)</f>
        <v>4.8518827013790186E-8</v>
      </c>
      <c r="I14" s="5">
        <f>SUM(Calculations!O$78,Calculations!O$86,Calculations!O$94,Calculations!O$102,Calculations!O$109)</f>
        <v>4.8326468500138772E-8</v>
      </c>
      <c r="J14" s="5">
        <f>SUM(Calculations!P$78,Calculations!P$86,Calculations!P$94,Calculations!P$102,Calculations!P$109)</f>
        <v>4.7840637418630905E-8</v>
      </c>
      <c r="K14" s="5">
        <f>SUM(Calculations!Q$78,Calculations!Q$86,Calculations!Q$94,Calculations!Q$102,Calculations!Q$109)</f>
        <v>4.7481370537467319E-8</v>
      </c>
      <c r="L14" s="5">
        <f>SUM(Calculations!R$78,Calculations!R$86,Calculations!R$94,Calculations!R$102,Calculations!R$109)</f>
        <v>4.6554299125958088E-8</v>
      </c>
      <c r="M14" s="5">
        <f>SUM(Calculations!S$78,Calculations!S$86,Calculations!S$94,Calculations!S$102,Calculations!S$109)</f>
        <v>4.6361326352156726E-8</v>
      </c>
      <c r="N14" s="5">
        <f>SUM(Calculations!T$78,Calculations!T$86,Calculations!T$94,Calculations!T$102,Calculations!T$109)</f>
        <v>4.6842970119750026E-8</v>
      </c>
      <c r="O14" s="5">
        <f>SUM(Calculations!U$78,Calculations!U$86,Calculations!U$94,Calculations!U$102,Calculations!U$109)</f>
        <v>4.6779875987630758E-8</v>
      </c>
      <c r="P14" s="5">
        <f>SUM(Calculations!V$78,Calculations!V$86,Calculations!V$94,Calculations!V$102,Calculations!V$109)</f>
        <v>4.609205043781066E-8</v>
      </c>
      <c r="Q14" s="5">
        <f>SUM(Calculations!W$78,Calculations!W$86,Calculations!W$94,Calculations!W$102,Calculations!W$109)</f>
        <v>4.5927247904586031E-8</v>
      </c>
      <c r="R14" s="5">
        <f>SUM(Calculations!X$78,Calculations!X$86,Calculations!X$94,Calculations!X$102,Calculations!X$109)</f>
        <v>4.6300491485862822E-8</v>
      </c>
      <c r="S14" s="5">
        <f>SUM(Calculations!Y$78,Calculations!Y$86,Calculations!Y$94,Calculations!Y$102,Calculations!Y$109)</f>
        <v>4.6663008869890887E-8</v>
      </c>
      <c r="T14" s="5">
        <f>SUM(Calculations!Z$78,Calculations!Z$86,Calculations!Z$94,Calculations!Z$102,Calculations!Z$109)</f>
        <v>4.686770996549019E-8</v>
      </c>
      <c r="U14" s="5">
        <f>SUM(Calculations!AA$78,Calculations!AA$86,Calculations!AA$94,Calculations!AA$102,Calculations!AA$109)</f>
        <v>4.6832856841006129E-8</v>
      </c>
      <c r="V14" s="5">
        <f>SUM(Calculations!AB$78,Calculations!AB$86,Calculations!AB$94,Calculations!AB$102,Calculations!AB$109)</f>
        <v>4.681130996981667E-8</v>
      </c>
      <c r="W14" s="5">
        <f>SUM(Calculations!AC$78,Calculations!AC$86,Calculations!AC$94,Calculations!AC$102,Calculations!AC$109)</f>
        <v>4.567697346424835E-8</v>
      </c>
      <c r="X14" s="5">
        <f>SUM(Calculations!AD$78,Calculations!AD$86,Calculations!AD$94,Calculations!AD$102,Calculations!AD$109)</f>
        <v>4.427985735601489E-8</v>
      </c>
      <c r="Y14" s="5">
        <f>SUM(Calculations!AE$78,Calculations!AE$86,Calculations!AE$94,Calculations!AE$102,Calculations!AE$109)</f>
        <v>4.3756487913885404E-8</v>
      </c>
      <c r="Z14" s="5">
        <f>SUM(Calculations!AF$78,Calculations!AF$86,Calculations!AF$94,Calculations!AF$102,Calculations!AF$109)</f>
        <v>4.4056037809951131E-8</v>
      </c>
      <c r="AA14" s="5">
        <f>SUM(Calculations!AG$78,Calculations!AG$86,Calculations!AG$94,Calculations!AG$102,Calculations!AG$109)</f>
        <v>4.457573668921231E-8</v>
      </c>
      <c r="AB14" s="5">
        <f>SUM(Calculations!AH$78,Calculations!AH$86,Calculations!AH$94,Calculations!AH$102,Calculations!AH$109)</f>
        <v>4.3790123633045591E-8</v>
      </c>
      <c r="AC14" s="5"/>
      <c r="AD14" s="5"/>
    </row>
    <row r="15" spans="1:30" x14ac:dyDescent="0.25">
      <c r="A15" t="s">
        <v>1368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30" x14ac:dyDescent="0.25">
      <c r="A16" t="s">
        <v>151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30" x14ac:dyDescent="0.25">
      <c r="A17" t="s">
        <v>1369</v>
      </c>
      <c r="B17" s="5">
        <f t="shared" ref="B17:AB17" si="0">B3</f>
        <v>1.3790882654332546E-8</v>
      </c>
      <c r="C17" s="5">
        <f t="shared" si="0"/>
        <v>1.3339431312062067E-8</v>
      </c>
      <c r="D17" s="5">
        <f t="shared" si="0"/>
        <v>1.3574651866434929E-8</v>
      </c>
      <c r="E17" s="5">
        <f t="shared" si="0"/>
        <v>1.3909594092536195E-8</v>
      </c>
      <c r="F17" s="5">
        <f t="shared" si="0"/>
        <v>1.4550361785290465E-8</v>
      </c>
      <c r="G17" s="5">
        <f t="shared" si="0"/>
        <v>1.4808038116931876E-8</v>
      </c>
      <c r="H17" s="5">
        <f t="shared" si="0"/>
        <v>1.4691420004273048E-8</v>
      </c>
      <c r="I17" s="5">
        <f t="shared" si="0"/>
        <v>1.5870614847961547E-8</v>
      </c>
      <c r="J17" s="5">
        <f t="shared" si="0"/>
        <v>1.6195935072587922E-8</v>
      </c>
      <c r="K17" s="5">
        <f t="shared" si="0"/>
        <v>1.6404283942617241E-8</v>
      </c>
      <c r="L17" s="5">
        <f t="shared" si="0"/>
        <v>1.6831980425248747E-8</v>
      </c>
      <c r="M17" s="5">
        <f t="shared" si="0"/>
        <v>1.6860803295476023E-8</v>
      </c>
      <c r="N17" s="5">
        <f t="shared" si="0"/>
        <v>1.7091145141203546E-8</v>
      </c>
      <c r="O17" s="5">
        <f t="shared" si="0"/>
        <v>1.7131094391320983E-8</v>
      </c>
      <c r="P17" s="5">
        <f t="shared" si="0"/>
        <v>1.7117073927647257E-8</v>
      </c>
      <c r="Q17" s="5">
        <f t="shared" si="0"/>
        <v>1.7226826008756617E-8</v>
      </c>
      <c r="R17" s="5">
        <f t="shared" si="0"/>
        <v>1.7492664892205521E-8</v>
      </c>
      <c r="S17" s="5">
        <f t="shared" si="0"/>
        <v>1.7795981099063673E-8</v>
      </c>
      <c r="T17" s="5">
        <f t="shared" si="0"/>
        <v>1.8032992462528367E-8</v>
      </c>
      <c r="U17" s="5">
        <f t="shared" si="0"/>
        <v>1.8179499752631827E-8</v>
      </c>
      <c r="V17" s="5">
        <f t="shared" si="0"/>
        <v>1.8314895729416611E-8</v>
      </c>
      <c r="W17" s="5">
        <f t="shared" si="0"/>
        <v>1.8477108431410938E-8</v>
      </c>
      <c r="X17" s="5">
        <f t="shared" si="0"/>
        <v>1.8612079408027421E-8</v>
      </c>
      <c r="Y17" s="5">
        <f t="shared" si="0"/>
        <v>1.8584803281169984E-8</v>
      </c>
      <c r="Z17" s="5">
        <f t="shared" si="0"/>
        <v>1.863844483333939E-8</v>
      </c>
      <c r="AA17" s="5">
        <f t="shared" si="0"/>
        <v>1.8848666377517977E-8</v>
      </c>
      <c r="AB17" s="5">
        <f t="shared" si="0"/>
        <v>1.9440606498857644E-8</v>
      </c>
      <c r="AC17" s="5"/>
      <c r="AD17" s="5"/>
    </row>
    <row r="18" spans="1:30" x14ac:dyDescent="0.25">
      <c r="A18" t="s">
        <v>1375</v>
      </c>
      <c r="B18" s="5">
        <f>SUM(Calculations!H$78,Calculations!H$86,Calculations!H$94,Calculations!H$102,Calculations!H$109)</f>
        <v>5.1421461508657386E-8</v>
      </c>
      <c r="C18" s="5">
        <f>SUM(Calculations!I$78,Calculations!I$86,Calculations!I$94,Calculations!I$102,Calculations!I$109)</f>
        <v>4.982969621610014E-8</v>
      </c>
      <c r="D18" s="5">
        <f>SUM(Calculations!J$78,Calculations!J$86,Calculations!J$94,Calculations!J$102,Calculations!J$109)</f>
        <v>5.1050280305491631E-8</v>
      </c>
      <c r="E18" s="5">
        <f>SUM(Calculations!K$78,Calculations!K$86,Calculations!K$94,Calculations!K$102,Calculations!K$109)</f>
        <v>4.9908065370274759E-8</v>
      </c>
      <c r="F18" s="5">
        <f>SUM(Calculations!L$78,Calculations!L$86,Calculations!L$94,Calculations!L$102,Calculations!L$109)</f>
        <v>4.9798346765076109E-8</v>
      </c>
      <c r="G18" s="5">
        <f>SUM(Calculations!M$78,Calculations!M$86,Calculations!M$94,Calculations!M$102,Calculations!M$109)</f>
        <v>4.9118965259824012E-8</v>
      </c>
      <c r="H18" s="5">
        <f>SUM(Calculations!N$78,Calculations!N$86,Calculations!N$94,Calculations!N$102,Calculations!N$109)</f>
        <v>4.8518827013790186E-8</v>
      </c>
      <c r="I18" s="5">
        <f>SUM(Calculations!O$78,Calculations!O$86,Calculations!O$94,Calculations!O$102,Calculations!O$109)</f>
        <v>4.8326468500138772E-8</v>
      </c>
      <c r="J18" s="5">
        <f>SUM(Calculations!P$78,Calculations!P$86,Calculations!P$94,Calculations!P$102,Calculations!P$109)</f>
        <v>4.7840637418630905E-8</v>
      </c>
      <c r="K18" s="5">
        <f>SUM(Calculations!Q$78,Calculations!Q$86,Calculations!Q$94,Calculations!Q$102,Calculations!Q$109)</f>
        <v>4.7481370537467319E-8</v>
      </c>
      <c r="L18" s="5">
        <f>SUM(Calculations!R$78,Calculations!R$86,Calculations!R$94,Calculations!R$102,Calculations!R$109)</f>
        <v>4.6554299125958088E-8</v>
      </c>
      <c r="M18" s="5">
        <f>SUM(Calculations!S$78,Calculations!S$86,Calculations!S$94,Calculations!S$102,Calculations!S$109)</f>
        <v>4.6361326352156726E-8</v>
      </c>
      <c r="N18" s="5">
        <f>SUM(Calculations!T$78,Calculations!T$86,Calculations!T$94,Calculations!T$102,Calculations!T$109)</f>
        <v>4.6842970119750026E-8</v>
      </c>
      <c r="O18" s="5">
        <f>SUM(Calculations!U$78,Calculations!U$86,Calculations!U$94,Calculations!U$102,Calculations!U$109)</f>
        <v>4.6779875987630758E-8</v>
      </c>
      <c r="P18" s="5">
        <f>SUM(Calculations!V$78,Calculations!V$86,Calculations!V$94,Calculations!V$102,Calculations!V$109)</f>
        <v>4.609205043781066E-8</v>
      </c>
      <c r="Q18" s="5">
        <f>SUM(Calculations!W$78,Calculations!W$86,Calculations!W$94,Calculations!W$102,Calculations!W$109)</f>
        <v>4.5927247904586031E-8</v>
      </c>
      <c r="R18" s="5">
        <f>SUM(Calculations!X$78,Calculations!X$86,Calculations!X$94,Calculations!X$102,Calculations!X$109)</f>
        <v>4.6300491485862822E-8</v>
      </c>
      <c r="S18" s="5">
        <f>SUM(Calculations!Y$78,Calculations!Y$86,Calculations!Y$94,Calculations!Y$102,Calculations!Y$109)</f>
        <v>4.6663008869890887E-8</v>
      </c>
      <c r="T18" s="5">
        <f>SUM(Calculations!Z$78,Calculations!Z$86,Calculations!Z$94,Calculations!Z$102,Calculations!Z$109)</f>
        <v>4.686770996549019E-8</v>
      </c>
      <c r="U18" s="5">
        <f>SUM(Calculations!AA$78,Calculations!AA$86,Calculations!AA$94,Calculations!AA$102,Calculations!AA$109)</f>
        <v>4.6832856841006129E-8</v>
      </c>
      <c r="V18" s="5">
        <f>SUM(Calculations!AB$78,Calculations!AB$86,Calculations!AB$94,Calculations!AB$102,Calculations!AB$109)</f>
        <v>4.681130996981667E-8</v>
      </c>
      <c r="W18" s="5">
        <f>SUM(Calculations!AC$78,Calculations!AC$86,Calculations!AC$94,Calculations!AC$102,Calculations!AC$109)</f>
        <v>4.567697346424835E-8</v>
      </c>
      <c r="X18" s="5">
        <f>SUM(Calculations!AD$78,Calculations!AD$86,Calculations!AD$94,Calculations!AD$102,Calculations!AD$109)</f>
        <v>4.427985735601489E-8</v>
      </c>
      <c r="Y18" s="5">
        <f>SUM(Calculations!AE$78,Calculations!AE$86,Calculations!AE$94,Calculations!AE$102,Calculations!AE$109)</f>
        <v>4.3756487913885404E-8</v>
      </c>
      <c r="Z18" s="5">
        <f>SUM(Calculations!AF$78,Calculations!AF$86,Calculations!AF$94,Calculations!AF$102,Calculations!AF$109)</f>
        <v>4.4056037809951131E-8</v>
      </c>
      <c r="AA18" s="5">
        <f>SUM(Calculations!AG$78,Calculations!AG$86,Calculations!AG$94,Calculations!AG$102,Calculations!AG$109)</f>
        <v>4.457573668921231E-8</v>
      </c>
      <c r="AB18" s="5">
        <f>SUM(Calculations!AH$78,Calculations!AH$86,Calculations!AH$94,Calculations!AH$102,Calculations!AH$109)</f>
        <v>4.3790123633045591E-8</v>
      </c>
      <c r="AC18" s="5"/>
      <c r="AD18" s="5"/>
    </row>
    <row r="19" spans="1:30" x14ac:dyDescent="0.25">
      <c r="A19" t="s">
        <v>1376</v>
      </c>
      <c r="B19" s="5">
        <f>SUM(Calculations!H$78,Calculations!H$86,Calculations!H$94,Calculations!H$102,Calculations!H$109)</f>
        <v>5.1421461508657386E-8</v>
      </c>
      <c r="C19" s="5">
        <f>SUM(Calculations!I$78,Calculations!I$86,Calculations!I$94,Calculations!I$102,Calculations!I$109)</f>
        <v>4.982969621610014E-8</v>
      </c>
      <c r="D19" s="5">
        <f>SUM(Calculations!J$78,Calculations!J$86,Calculations!J$94,Calculations!J$102,Calculations!J$109)</f>
        <v>5.1050280305491631E-8</v>
      </c>
      <c r="E19" s="5">
        <f>SUM(Calculations!K$78,Calculations!K$86,Calculations!K$94,Calculations!K$102,Calculations!K$109)</f>
        <v>4.9908065370274759E-8</v>
      </c>
      <c r="F19" s="5">
        <f>SUM(Calculations!L$78,Calculations!L$86,Calculations!L$94,Calculations!L$102,Calculations!L$109)</f>
        <v>4.9798346765076109E-8</v>
      </c>
      <c r="G19" s="5">
        <f>SUM(Calculations!M$78,Calculations!M$86,Calculations!M$94,Calculations!M$102,Calculations!M$109)</f>
        <v>4.9118965259824012E-8</v>
      </c>
      <c r="H19" s="5">
        <f>SUM(Calculations!N$78,Calculations!N$86,Calculations!N$94,Calculations!N$102,Calculations!N$109)</f>
        <v>4.8518827013790186E-8</v>
      </c>
      <c r="I19" s="5">
        <f>SUM(Calculations!O$78,Calculations!O$86,Calculations!O$94,Calculations!O$102,Calculations!O$109)</f>
        <v>4.8326468500138772E-8</v>
      </c>
      <c r="J19" s="5">
        <f>SUM(Calculations!P$78,Calculations!P$86,Calculations!P$94,Calculations!P$102,Calculations!P$109)</f>
        <v>4.7840637418630905E-8</v>
      </c>
      <c r="K19" s="5">
        <f>SUM(Calculations!Q$78,Calculations!Q$86,Calculations!Q$94,Calculations!Q$102,Calculations!Q$109)</f>
        <v>4.7481370537467319E-8</v>
      </c>
      <c r="L19" s="5">
        <f>SUM(Calculations!R$78,Calculations!R$86,Calculations!R$94,Calculations!R$102,Calculations!R$109)</f>
        <v>4.6554299125958088E-8</v>
      </c>
      <c r="M19" s="5">
        <f>SUM(Calculations!S$78,Calculations!S$86,Calculations!S$94,Calculations!S$102,Calculations!S$109)</f>
        <v>4.6361326352156726E-8</v>
      </c>
      <c r="N19" s="5">
        <f>SUM(Calculations!T$78,Calculations!T$86,Calculations!T$94,Calculations!T$102,Calculations!T$109)</f>
        <v>4.6842970119750026E-8</v>
      </c>
      <c r="O19" s="5">
        <f>SUM(Calculations!U$78,Calculations!U$86,Calculations!U$94,Calculations!U$102,Calculations!U$109)</f>
        <v>4.6779875987630758E-8</v>
      </c>
      <c r="P19" s="5">
        <f>SUM(Calculations!V$78,Calculations!V$86,Calculations!V$94,Calculations!V$102,Calculations!V$109)</f>
        <v>4.609205043781066E-8</v>
      </c>
      <c r="Q19" s="5">
        <f>SUM(Calculations!W$78,Calculations!W$86,Calculations!W$94,Calculations!W$102,Calculations!W$109)</f>
        <v>4.5927247904586031E-8</v>
      </c>
      <c r="R19" s="5">
        <f>SUM(Calculations!X$78,Calculations!X$86,Calculations!X$94,Calculations!X$102,Calculations!X$109)</f>
        <v>4.6300491485862822E-8</v>
      </c>
      <c r="S19" s="5">
        <f>SUM(Calculations!Y$78,Calculations!Y$86,Calculations!Y$94,Calculations!Y$102,Calculations!Y$109)</f>
        <v>4.6663008869890887E-8</v>
      </c>
      <c r="T19" s="5">
        <f>SUM(Calculations!Z$78,Calculations!Z$86,Calculations!Z$94,Calculations!Z$102,Calculations!Z$109)</f>
        <v>4.686770996549019E-8</v>
      </c>
      <c r="U19" s="5">
        <f>SUM(Calculations!AA$78,Calculations!AA$86,Calculations!AA$94,Calculations!AA$102,Calculations!AA$109)</f>
        <v>4.6832856841006129E-8</v>
      </c>
      <c r="V19" s="5">
        <f>SUM(Calculations!AB$78,Calculations!AB$86,Calculations!AB$94,Calculations!AB$102,Calculations!AB$109)</f>
        <v>4.681130996981667E-8</v>
      </c>
      <c r="W19" s="5">
        <f>SUM(Calculations!AC$78,Calculations!AC$86,Calculations!AC$94,Calculations!AC$102,Calculations!AC$109)</f>
        <v>4.567697346424835E-8</v>
      </c>
      <c r="X19" s="5">
        <f>SUM(Calculations!AD$78,Calculations!AD$86,Calculations!AD$94,Calculations!AD$102,Calculations!AD$109)</f>
        <v>4.427985735601489E-8</v>
      </c>
      <c r="Y19" s="5">
        <f>SUM(Calculations!AE$78,Calculations!AE$86,Calculations!AE$94,Calculations!AE$102,Calculations!AE$109)</f>
        <v>4.3756487913885404E-8</v>
      </c>
      <c r="Z19" s="5">
        <f>SUM(Calculations!AF$78,Calculations!AF$86,Calculations!AF$94,Calculations!AF$102,Calculations!AF$109)</f>
        <v>4.4056037809951131E-8</v>
      </c>
      <c r="AA19" s="5">
        <f>SUM(Calculations!AG$78,Calculations!AG$86,Calculations!AG$94,Calculations!AG$102,Calculations!AG$109)</f>
        <v>4.457573668921231E-8</v>
      </c>
      <c r="AB19" s="5">
        <f>SUM(Calculations!AH$78,Calculations!AH$86,Calculations!AH$94,Calculations!AH$102,Calculations!AH$109)</f>
        <v>4.3790123633045591E-8</v>
      </c>
      <c r="AC19" s="5"/>
      <c r="AD19" s="5"/>
    </row>
    <row r="20" spans="1:30" x14ac:dyDescent="0.25">
      <c r="A20" t="s">
        <v>1372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30" x14ac:dyDescent="0.25">
      <c r="A21" t="s">
        <v>1373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30" x14ac:dyDescent="0.25">
      <c r="A22" s="122" t="s">
        <v>1374</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B25"/>
  <sheetViews>
    <sheetView workbookViewId="0">
      <selection activeCell="H8" sqref="H8"/>
    </sheetView>
  </sheetViews>
  <sheetFormatPr defaultColWidth="9.28515625" defaultRowHeight="15" x14ac:dyDescent="0.25"/>
  <cols>
    <col min="1" max="1" width="32.42578125" customWidth="1"/>
  </cols>
  <sheetData>
    <row r="1" spans="1:28"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1377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1378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1379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5">
      <c r="A5" t="s">
        <v>401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400</v>
      </c>
      <c r="B6">
        <f>'Subsidies Paid'!O5*About!$A$82*1000</f>
        <v>0</v>
      </c>
      <c r="C6">
        <f>'Subsidies Paid'!P5*About!$A$82*1000</f>
        <v>0</v>
      </c>
      <c r="D6">
        <f>'Subsidies Paid'!Q5*About!$A$82*1000</f>
        <v>0</v>
      </c>
      <c r="E6">
        <f>'Subsidies Paid'!R5*About!$A$82*1000</f>
        <v>0</v>
      </c>
      <c r="F6">
        <f>'Subsidies Paid'!S5*About!$A$82*1000</f>
        <v>0</v>
      </c>
      <c r="G6">
        <f>'Subsidies Paid'!T5*About!$A$82*1000</f>
        <v>0</v>
      </c>
      <c r="H6">
        <f>'Subsidies Paid'!U5*About!$A$82*1000</f>
        <v>0</v>
      </c>
      <c r="I6">
        <f>'Subsidies Paid'!V5*About!$A$82*1000</f>
        <v>0</v>
      </c>
      <c r="J6">
        <f>'Subsidies Paid'!W5*About!$A$82*1000</f>
        <v>0</v>
      </c>
      <c r="K6">
        <v>0</v>
      </c>
      <c r="L6">
        <v>0</v>
      </c>
      <c r="M6">
        <v>0</v>
      </c>
      <c r="N6">
        <v>0</v>
      </c>
      <c r="O6">
        <v>0</v>
      </c>
      <c r="P6">
        <v>0</v>
      </c>
      <c r="Q6">
        <v>0</v>
      </c>
      <c r="R6">
        <v>0</v>
      </c>
      <c r="S6">
        <v>0</v>
      </c>
      <c r="T6">
        <v>0</v>
      </c>
      <c r="U6">
        <v>0</v>
      </c>
      <c r="V6">
        <v>0</v>
      </c>
      <c r="W6">
        <v>0</v>
      </c>
      <c r="X6">
        <v>0</v>
      </c>
      <c r="Y6">
        <v>0</v>
      </c>
      <c r="Z6">
        <v>0</v>
      </c>
      <c r="AA6">
        <v>0</v>
      </c>
      <c r="AB6">
        <v>0</v>
      </c>
    </row>
    <row r="7" spans="1:28" x14ac:dyDescent="0.25">
      <c r="A7" t="s">
        <v>411</v>
      </c>
      <c r="B7">
        <f>'45Y48E Credits'!C119</f>
        <v>23.620381171332561</v>
      </c>
      <c r="C7">
        <f>'45Y48E Credits'!D119</f>
        <v>23.620381171332561</v>
      </c>
      <c r="D7">
        <f>'45Y48E Credits'!E119</f>
        <v>23.620381171332561</v>
      </c>
      <c r="E7">
        <f>'45Y48E Credits'!F119</f>
        <v>23.620381171332561</v>
      </c>
      <c r="F7">
        <f>'45Y48E Credits'!G119</f>
        <v>23.620381171332561</v>
      </c>
      <c r="G7">
        <f>'45Y48E Credits'!H119</f>
        <v>15.754794241278818</v>
      </c>
      <c r="H7">
        <f>'45Y48E Credits'!I119</f>
        <v>7.8655869300537429</v>
      </c>
      <c r="I7">
        <f>'45Y48E Credits'!J119</f>
        <v>0</v>
      </c>
      <c r="J7">
        <f>'45Y48E Credits'!K119</f>
        <v>0</v>
      </c>
      <c r="K7">
        <f>'45Y48E Credits'!L119</f>
        <v>0</v>
      </c>
      <c r="L7">
        <f>'45Y48E Credits'!M119</f>
        <v>0</v>
      </c>
      <c r="M7">
        <f>'45Y48E Credits'!N119</f>
        <v>0</v>
      </c>
      <c r="N7">
        <f>'45Y48E Credits'!O119</f>
        <v>0</v>
      </c>
      <c r="O7">
        <f>'45Y48E Credits'!P119</f>
        <v>0</v>
      </c>
      <c r="P7">
        <f>'45Y48E Credits'!Q119</f>
        <v>0</v>
      </c>
      <c r="Q7">
        <f>'45Y48E Credits'!R119</f>
        <v>0</v>
      </c>
      <c r="R7">
        <f>'45Y48E Credits'!S119</f>
        <v>0</v>
      </c>
      <c r="S7">
        <f>'45Y48E Credits'!T119</f>
        <v>0</v>
      </c>
      <c r="T7">
        <f>'45Y48E Credits'!U119</f>
        <v>0</v>
      </c>
      <c r="U7">
        <f>'45Y48E Credits'!V119</f>
        <v>0</v>
      </c>
      <c r="V7">
        <f>'45Y48E Credits'!W119</f>
        <v>0</v>
      </c>
      <c r="W7">
        <f>'45Y48E Credits'!X119</f>
        <v>0</v>
      </c>
      <c r="X7">
        <f>'45Y48E Credits'!Y119</f>
        <v>0</v>
      </c>
      <c r="Y7">
        <f>'45Y48E Credits'!Z119</f>
        <v>0</v>
      </c>
      <c r="Z7">
        <f>'45Y48E Credits'!AA119</f>
        <v>0</v>
      </c>
      <c r="AA7">
        <f>'45Y48E Credits'!AB119</f>
        <v>0</v>
      </c>
      <c r="AB7">
        <f>'45Y48E Credits'!AC119</f>
        <v>0</v>
      </c>
    </row>
    <row r="8" spans="1:28" x14ac:dyDescent="0.25">
      <c r="A8" t="s">
        <v>149</v>
      </c>
      <c r="B8">
        <f>'45Y48E Credits'!C121</f>
        <v>0</v>
      </c>
      <c r="C8">
        <f>'45Y48E Credits'!D121</f>
        <v>0</v>
      </c>
      <c r="D8">
        <f>'45Y48E Credits'!E121</f>
        <v>22.91774335994446</v>
      </c>
      <c r="E8">
        <f>'45Y48E Credits'!F121</f>
        <v>22.913007930703568</v>
      </c>
      <c r="F8">
        <f>'45Y48E Credits'!G121</f>
        <v>22.90913348859738</v>
      </c>
      <c r="G8">
        <f>'45Y48E Credits'!H121</f>
        <v>15.280392036894455</v>
      </c>
      <c r="H8">
        <f>'45Y48E Credits'!I121</f>
        <v>7.6287414517029282</v>
      </c>
      <c r="I8">
        <f>'45Y48E Credits'!J121</f>
        <v>0</v>
      </c>
      <c r="J8">
        <f>'45Y48E Credits'!K121</f>
        <v>0</v>
      </c>
      <c r="K8">
        <f>'45Y48E Credits'!L121</f>
        <v>0</v>
      </c>
      <c r="L8">
        <f>'45Y48E Credits'!M121</f>
        <v>0</v>
      </c>
      <c r="M8">
        <f>'45Y48E Credits'!N121</f>
        <v>0</v>
      </c>
      <c r="N8">
        <f>'45Y48E Credits'!O121</f>
        <v>0</v>
      </c>
      <c r="O8">
        <f>'45Y48E Credits'!P121</f>
        <v>0</v>
      </c>
      <c r="P8">
        <f>'45Y48E Credits'!Q121</f>
        <v>0</v>
      </c>
      <c r="Q8">
        <f>'45Y48E Credits'!R121</f>
        <v>0</v>
      </c>
      <c r="R8">
        <f>'45Y48E Credits'!S121</f>
        <v>0</v>
      </c>
      <c r="S8">
        <f>'45Y48E Credits'!T121</f>
        <v>0</v>
      </c>
      <c r="T8">
        <f>'45Y48E Credits'!U121</f>
        <v>0</v>
      </c>
      <c r="U8">
        <f>'45Y48E Credits'!V121</f>
        <v>0</v>
      </c>
      <c r="V8">
        <f>'45Y48E Credits'!W121</f>
        <v>0</v>
      </c>
      <c r="W8">
        <f>'45Y48E Credits'!X121</f>
        <v>0</v>
      </c>
      <c r="X8">
        <f>'45Y48E Credits'!Y121</f>
        <v>0</v>
      </c>
      <c r="Y8">
        <f>'45Y48E Credits'!Z121</f>
        <v>0</v>
      </c>
      <c r="Z8">
        <f>'45Y48E Credits'!AA121</f>
        <v>0</v>
      </c>
      <c r="AA8">
        <f>'45Y48E Credits'!AB121</f>
        <v>0</v>
      </c>
      <c r="AB8">
        <f>'45Y48E Credits'!AC121</f>
        <v>0</v>
      </c>
    </row>
    <row r="9" spans="1:28" x14ac:dyDescent="0.25">
      <c r="A9" t="s">
        <v>150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386</v>
      </c>
      <c r="B10">
        <f>'Subsidies Paid'!O2*About!$A$82*1000</f>
        <v>0</v>
      </c>
      <c r="C10">
        <f>'Subsidies Paid'!P2*About!$A$82*1000</f>
        <v>0</v>
      </c>
      <c r="D10">
        <f>'Subsidies Paid'!Q2*About!$A$82*1000</f>
        <v>0</v>
      </c>
      <c r="E10">
        <f>'Subsidies Paid'!R2*About!$A$82*1000</f>
        <v>0</v>
      </c>
      <c r="F10">
        <f>'Subsidies Paid'!S2*About!$A$82*1000</f>
        <v>0</v>
      </c>
      <c r="G10">
        <f>'Subsidies Paid'!T2*About!$A$82*1000</f>
        <v>0</v>
      </c>
      <c r="H10">
        <f>'Subsidies Paid'!U2*About!$A$82*1000</f>
        <v>0</v>
      </c>
      <c r="I10">
        <f>'Subsidies Paid'!V2*About!$A$82*1000</f>
        <v>0</v>
      </c>
      <c r="J10">
        <f>'Subsidies Paid'!W2*About!$A$82*1000</f>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151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1380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1381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1382</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152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1375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1383</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1373</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1384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1385</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1386</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1387</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1388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122" t="s">
        <v>1389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122" t="s">
        <v>1390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B25"/>
  <sheetViews>
    <sheetView workbookViewId="0"/>
  </sheetViews>
  <sheetFormatPr defaultColWidth="9.28515625" defaultRowHeight="15" x14ac:dyDescent="0.25"/>
  <cols>
    <col min="1" max="1" width="32.42578125" customWidth="1"/>
  </cols>
  <sheetData>
    <row r="1" spans="1:28"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1377</v>
      </c>
      <c r="B2">
        <f>Calculations!G33</f>
        <v>0.31989540904438946</v>
      </c>
      <c r="C2">
        <f>Calculations!H33</f>
        <v>0.31989540904438946</v>
      </c>
      <c r="D2">
        <f>Calculations!I33</f>
        <v>0.31989540904438946</v>
      </c>
      <c r="E2">
        <f>Calculations!J33</f>
        <v>0.31989540904438946</v>
      </c>
      <c r="F2">
        <f>Calculations!K33</f>
        <v>0.31989540904438946</v>
      </c>
      <c r="G2">
        <f>Calculations!L33</f>
        <v>0.31989540904438946</v>
      </c>
      <c r="H2">
        <f>Calculations!M33</f>
        <v>0.31989540904438946</v>
      </c>
      <c r="I2">
        <f>Calculations!N33</f>
        <v>0.31989540904438946</v>
      </c>
      <c r="J2">
        <f>Calculations!O33</f>
        <v>0.31989540904438946</v>
      </c>
      <c r="K2">
        <f>Calculations!P33</f>
        <v>0.31989540904438946</v>
      </c>
      <c r="L2">
        <f>Calculations!Q33</f>
        <v>0.31989540904438946</v>
      </c>
      <c r="M2">
        <f>Calculations!R33</f>
        <v>0.31989540904438946</v>
      </c>
      <c r="N2">
        <f>Calculations!S33</f>
        <v>0.31989540904438946</v>
      </c>
      <c r="O2">
        <f>Calculations!T33</f>
        <v>0.31989540904438946</v>
      </c>
      <c r="P2">
        <f>Calculations!U33</f>
        <v>0.31989540904438946</v>
      </c>
      <c r="Q2">
        <f>Calculations!V33</f>
        <v>0.31989540904438946</v>
      </c>
      <c r="R2">
        <f>Calculations!W33</f>
        <v>0.31989540904438946</v>
      </c>
      <c r="S2">
        <f>Calculations!X33</f>
        <v>0.31989540904438946</v>
      </c>
      <c r="T2">
        <f>Calculations!Y33</f>
        <v>0.31989540904438946</v>
      </c>
      <c r="U2">
        <f>Calculations!Z33</f>
        <v>0.31989540904438946</v>
      </c>
      <c r="V2">
        <f>Calculations!AA33</f>
        <v>0.31989540904438946</v>
      </c>
      <c r="W2">
        <f>Calculations!AB33</f>
        <v>0.31989540904438946</v>
      </c>
      <c r="X2">
        <f>Calculations!AC33</f>
        <v>0.31989540904438946</v>
      </c>
      <c r="Y2">
        <f>Calculations!AD33</f>
        <v>0.31989540904438946</v>
      </c>
      <c r="Z2">
        <f>Calculations!AE33</f>
        <v>0.31989540904438946</v>
      </c>
      <c r="AA2">
        <f>Calculations!AF33</f>
        <v>0.31989540904438946</v>
      </c>
      <c r="AB2">
        <f>Calculations!AG33</f>
        <v>0.31989540904438946</v>
      </c>
    </row>
    <row r="3" spans="1:28" x14ac:dyDescent="0.25">
      <c r="A3" t="s">
        <v>1378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1379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5">
      <c r="A5" t="s">
        <v>401</v>
      </c>
      <c r="B5">
        <f>'45Y48E Credits'!C124</f>
        <v>13.306660072408052</v>
      </c>
      <c r="C5">
        <f>'45Y48E Credits'!D124</f>
        <v>13.306660072408052</v>
      </c>
      <c r="D5">
        <f>'45Y48E Credits'!E124</f>
        <v>13.306660072408052</v>
      </c>
      <c r="E5">
        <f>'45Y48E Credits'!F124</f>
        <v>13.306660072408052</v>
      </c>
      <c r="F5">
        <f>'45Y48E Credits'!G124</f>
        <v>13.306660072408052</v>
      </c>
      <c r="G5">
        <f>'45Y48E Credits'!H124</f>
        <v>13.306660072408052</v>
      </c>
      <c r="H5">
        <f>'45Y48E Credits'!I124</f>
        <v>13.306660072408052</v>
      </c>
      <c r="I5">
        <f>'45Y48E Credits'!J124</f>
        <v>13.306660072408052</v>
      </c>
      <c r="J5">
        <f>'45Y48E Credits'!K124</f>
        <v>13.306660072408052</v>
      </c>
      <c r="K5">
        <f>'45Y48E Credits'!L124</f>
        <v>0</v>
      </c>
      <c r="L5">
        <f>'45Y48E Credits'!M124</f>
        <v>0</v>
      </c>
      <c r="M5">
        <f>'45Y48E Credits'!N124</f>
        <v>0</v>
      </c>
      <c r="N5">
        <f>'45Y48E Credits'!O124</f>
        <v>0</v>
      </c>
      <c r="O5">
        <f>'45Y48E Credits'!P124</f>
        <v>0</v>
      </c>
      <c r="P5">
        <f>'45Y48E Credits'!Q124</f>
        <v>0</v>
      </c>
      <c r="Q5">
        <f>'45Y48E Credits'!R124</f>
        <v>0</v>
      </c>
      <c r="R5">
        <f>'45Y48E Credits'!S124</f>
        <v>0</v>
      </c>
      <c r="S5">
        <f>'45Y48E Credits'!T124</f>
        <v>0</v>
      </c>
      <c r="T5">
        <f>'45Y48E Credits'!U124</f>
        <v>0</v>
      </c>
      <c r="U5">
        <f>'45Y48E Credits'!V124</f>
        <v>0</v>
      </c>
      <c r="V5">
        <f>'45Y48E Credits'!W124</f>
        <v>0</v>
      </c>
      <c r="W5">
        <f>'45Y48E Credits'!X124</f>
        <v>0</v>
      </c>
      <c r="X5">
        <f>'45Y48E Credits'!Y124</f>
        <v>0</v>
      </c>
      <c r="Y5">
        <f>'45Y48E Credits'!Z124</f>
        <v>0</v>
      </c>
      <c r="Z5">
        <f>'45Y48E Credits'!AA124</f>
        <v>0</v>
      </c>
      <c r="AA5">
        <f>'45Y48E Credits'!AB124</f>
        <v>0</v>
      </c>
      <c r="AB5">
        <f>'45Y48E Credits'!AC124</f>
        <v>0</v>
      </c>
    </row>
    <row r="6" spans="1:28"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411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149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150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386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151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1380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1381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1382</v>
      </c>
      <c r="B14">
        <f>'BS-BSpUEOfEP'!B2</f>
        <v>0.31989540904438946</v>
      </c>
      <c r="C14">
        <f>'BS-BSpUEOfEP'!C2</f>
        <v>0.31989540904438946</v>
      </c>
      <c r="D14">
        <f>'BS-BSpUEOfEP'!D2</f>
        <v>0.31989540904438946</v>
      </c>
      <c r="E14">
        <f>'BS-BSpUEOfEP'!E2</f>
        <v>0.31989540904438946</v>
      </c>
      <c r="F14">
        <f>'BS-BSpUEOfEP'!F2</f>
        <v>0.31989540904438946</v>
      </c>
      <c r="G14">
        <f>'BS-BSpUEOfEP'!G2</f>
        <v>0.31989540904438946</v>
      </c>
      <c r="H14">
        <f>'BS-BSpUEOfEP'!H2</f>
        <v>0.31989540904438946</v>
      </c>
      <c r="I14">
        <f>'BS-BSpUEOfEP'!I2</f>
        <v>0.31989540904438946</v>
      </c>
      <c r="J14">
        <f>'BS-BSpUEOfEP'!J2</f>
        <v>0.31989540904438946</v>
      </c>
      <c r="K14">
        <f>'BS-BSpUEOfEP'!K2</f>
        <v>0.31989540904438946</v>
      </c>
      <c r="L14">
        <f>'BS-BSpUEOfEP'!L2</f>
        <v>0.31989540904438946</v>
      </c>
      <c r="M14">
        <f>'BS-BSpUEOfEP'!M2</f>
        <v>0.31989540904438946</v>
      </c>
      <c r="N14">
        <f>'BS-BSpUEOfEP'!N2</f>
        <v>0.31989540904438946</v>
      </c>
      <c r="O14">
        <f>'BS-BSpUEOfEP'!O2</f>
        <v>0.31989540904438946</v>
      </c>
      <c r="P14">
        <f>'BS-BSpUEOfEP'!P2</f>
        <v>0.31989540904438946</v>
      </c>
      <c r="Q14">
        <f>'BS-BSpUEOfEP'!Q2</f>
        <v>0.31989540904438946</v>
      </c>
      <c r="R14">
        <f>'BS-BSpUEOfEP'!R2</f>
        <v>0.31989540904438946</v>
      </c>
      <c r="S14">
        <f>'BS-BSpUEOfEP'!S2</f>
        <v>0.31989540904438946</v>
      </c>
      <c r="T14">
        <f>'BS-BSpUEOfEP'!T2</f>
        <v>0.31989540904438946</v>
      </c>
      <c r="U14">
        <f>'BS-BSpUEOfEP'!U2</f>
        <v>0.31989540904438946</v>
      </c>
      <c r="V14">
        <f>'BS-BSpUEOfEP'!V2</f>
        <v>0.31989540904438946</v>
      </c>
      <c r="W14">
        <f>'BS-BSpUEOfEP'!W2</f>
        <v>0.31989540904438946</v>
      </c>
      <c r="X14">
        <f>'BS-BSpUEOfEP'!X2</f>
        <v>0.31989540904438946</v>
      </c>
      <c r="Y14">
        <f>'BS-BSpUEOfEP'!Y2</f>
        <v>0.31989540904438946</v>
      </c>
      <c r="Z14">
        <f>'BS-BSpUEOfEP'!Z2</f>
        <v>0.31989540904438946</v>
      </c>
      <c r="AA14">
        <f>'BS-BSpUEOfEP'!AA2</f>
        <v>0.31989540904438946</v>
      </c>
      <c r="AB14">
        <f>'BS-BSpUEOfEP'!AB2</f>
        <v>0.31989540904438946</v>
      </c>
    </row>
    <row r="15" spans="1:28" x14ac:dyDescent="0.25">
      <c r="A15" t="s">
        <v>152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1375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1383</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1373</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1384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1385</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1386</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1387</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1388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122" t="s">
        <v>1389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122" t="s">
        <v>1390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B25"/>
  <sheetViews>
    <sheetView workbookViewId="0">
      <selection activeCell="K19" sqref="K19"/>
    </sheetView>
  </sheetViews>
  <sheetFormatPr defaultColWidth="8.7109375" defaultRowHeight="15" x14ac:dyDescent="0.25"/>
  <cols>
    <col min="1" max="1" width="32.7109375" customWidth="1"/>
  </cols>
  <sheetData>
    <row r="1" spans="1:28" x14ac:dyDescent="0.25">
      <c r="A1" t="s">
        <v>1391</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1377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1378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1379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5">
      <c r="A5" t="s">
        <v>401</v>
      </c>
      <c r="B5">
        <f>'45Y48E Credits'!C154</f>
        <v>0.41625000000000001</v>
      </c>
      <c r="C5">
        <f>'45Y48E Credits'!D154</f>
        <v>0.41625000000000001</v>
      </c>
      <c r="D5">
        <f>'45Y48E Credits'!E154</f>
        <v>0.41625000000000001</v>
      </c>
      <c r="E5">
        <f>'45Y48E Credits'!F154</f>
        <v>0.41625000000000001</v>
      </c>
      <c r="F5">
        <f>'45Y48E Credits'!G154</f>
        <v>0.41625000000000001</v>
      </c>
      <c r="G5">
        <f>'45Y48E Credits'!H154</f>
        <v>0.41625000000000001</v>
      </c>
      <c r="H5">
        <f>'45Y48E Credits'!I154</f>
        <v>0.41625000000000001</v>
      </c>
      <c r="I5">
        <f>'45Y48E Credits'!J154</f>
        <v>0.41625000000000001</v>
      </c>
      <c r="J5">
        <f>'45Y48E Credits'!K154</f>
        <v>0.41625000000000001</v>
      </c>
      <c r="K5">
        <f>'45Y48E Credits'!L154</f>
        <v>0.41625000000000001</v>
      </c>
      <c r="L5">
        <f>'45Y48E Credits'!M154</f>
        <v>0.41625000000000001</v>
      </c>
      <c r="M5">
        <f>'45Y48E Credits'!N154</f>
        <v>0.41625000000000001</v>
      </c>
      <c r="N5">
        <f>'45Y48E Credits'!O154</f>
        <v>0.41625000000000001</v>
      </c>
      <c r="O5">
        <f>'45Y48E Credits'!P154</f>
        <v>0.41625000000000001</v>
      </c>
      <c r="P5">
        <f>'45Y48E Credits'!Q154</f>
        <v>0.41625000000000001</v>
      </c>
      <c r="Q5">
        <f>'45Y48E Credits'!R154</f>
        <v>0.41625000000000001</v>
      </c>
      <c r="R5">
        <f>'45Y48E Credits'!S154</f>
        <v>0.31218750000000001</v>
      </c>
      <c r="S5">
        <f>'45Y48E Credits'!T154</f>
        <v>0.208125</v>
      </c>
      <c r="T5">
        <f>'45Y48E Credits'!U154</f>
        <v>0</v>
      </c>
      <c r="U5">
        <f>'45Y48E Credits'!V154</f>
        <v>0</v>
      </c>
      <c r="V5">
        <f>'45Y48E Credits'!W154</f>
        <v>0</v>
      </c>
      <c r="W5">
        <f>'45Y48E Credits'!X154</f>
        <v>0</v>
      </c>
      <c r="X5">
        <f>'45Y48E Credits'!Y154</f>
        <v>0</v>
      </c>
      <c r="Y5">
        <f>'45Y48E Credits'!Z154</f>
        <v>0</v>
      </c>
      <c r="Z5">
        <f>'45Y48E Credits'!AA154</f>
        <v>0</v>
      </c>
      <c r="AA5">
        <f>'45Y48E Credits'!AB154</f>
        <v>0</v>
      </c>
      <c r="AB5">
        <f>'45Y48E Credits'!AC154</f>
        <v>0</v>
      </c>
    </row>
    <row r="6" spans="1:28" x14ac:dyDescent="0.25">
      <c r="A6" t="s">
        <v>400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411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149</v>
      </c>
      <c r="B8">
        <f>'45Y48E Credits'!C147</f>
        <v>0.37753261144883488</v>
      </c>
      <c r="C8">
        <f>'45Y48E Credits'!D147</f>
        <v>0.38487310030395139</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150</v>
      </c>
      <c r="B9">
        <f>'45Y48E Credits'!C150</f>
        <v>0.41625000000000001</v>
      </c>
      <c r="C9">
        <f>'45Y48E Credits'!D150</f>
        <v>0.41625000000000001</v>
      </c>
      <c r="D9">
        <f>'45Y48E Credits'!E150</f>
        <v>0.41625000000000001</v>
      </c>
      <c r="E9">
        <f>'45Y48E Credits'!F150</f>
        <v>0.41625000000000001</v>
      </c>
      <c r="F9">
        <f>'45Y48E Credits'!G150</f>
        <v>0.41625000000000001</v>
      </c>
      <c r="G9">
        <f>'45Y48E Credits'!H150</f>
        <v>0.27763875000000005</v>
      </c>
      <c r="H9">
        <f>'45Y48E Credits'!I150</f>
        <v>0.13861125000000002</v>
      </c>
      <c r="I9">
        <f>'45Y48E Credits'!J150</f>
        <v>0</v>
      </c>
      <c r="J9">
        <f>'45Y48E Credits'!K150</f>
        <v>0</v>
      </c>
      <c r="K9">
        <f>'45Y48E Credits'!L150</f>
        <v>0</v>
      </c>
      <c r="L9">
        <f>'45Y48E Credits'!M150</f>
        <v>0</v>
      </c>
      <c r="M9">
        <f>'45Y48E Credits'!N150</f>
        <v>0</v>
      </c>
      <c r="N9">
        <f>'45Y48E Credits'!O150</f>
        <v>0</v>
      </c>
      <c r="O9">
        <f>'45Y48E Credits'!P150</f>
        <v>0</v>
      </c>
      <c r="P9">
        <f>'45Y48E Credits'!Q150</f>
        <v>0</v>
      </c>
      <c r="Q9">
        <f>'45Y48E Credits'!R150</f>
        <v>0</v>
      </c>
      <c r="R9">
        <f>'45Y48E Credits'!S150</f>
        <v>0</v>
      </c>
      <c r="S9">
        <f>'45Y48E Credits'!T150</f>
        <v>0</v>
      </c>
      <c r="T9">
        <f>'45Y48E Credits'!U150</f>
        <v>0</v>
      </c>
      <c r="U9">
        <f>'45Y48E Credits'!V150</f>
        <v>0</v>
      </c>
      <c r="V9">
        <f>'45Y48E Credits'!W150</f>
        <v>0</v>
      </c>
      <c r="W9">
        <f>'45Y48E Credits'!X150</f>
        <v>0</v>
      </c>
      <c r="X9">
        <f>'45Y48E Credits'!Y150</f>
        <v>0</v>
      </c>
      <c r="Y9">
        <f>'45Y48E Credits'!Z150</f>
        <v>0</v>
      </c>
      <c r="Z9">
        <f>'45Y48E Credits'!AA150</f>
        <v>0</v>
      </c>
      <c r="AA9">
        <f>'45Y48E Credits'!AB150</f>
        <v>0</v>
      </c>
      <c r="AB9">
        <f>'45Y48E Credits'!AC150</f>
        <v>0</v>
      </c>
    </row>
    <row r="10" spans="1:28" x14ac:dyDescent="0.25">
      <c r="A10" t="s">
        <v>386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151</v>
      </c>
      <c r="B11">
        <f>'45Y48E Credits'!C153</f>
        <v>0.41625000000000001</v>
      </c>
      <c r="C11">
        <f>'45Y48E Credits'!D153</f>
        <v>0.41625000000000001</v>
      </c>
      <c r="D11">
        <f>'45Y48E Credits'!E153</f>
        <v>0.41625000000000001</v>
      </c>
      <c r="E11">
        <f>'45Y48E Credits'!F153</f>
        <v>0.41625000000000001</v>
      </c>
      <c r="F11">
        <f>'45Y48E Credits'!G153</f>
        <v>0.41625000000000001</v>
      </c>
      <c r="G11">
        <f>'45Y48E Credits'!H153</f>
        <v>0.41625000000000001</v>
      </c>
      <c r="H11">
        <f>'45Y48E Credits'!I153</f>
        <v>0.41625000000000001</v>
      </c>
      <c r="I11">
        <f>'45Y48E Credits'!J153</f>
        <v>0.41625000000000001</v>
      </c>
      <c r="J11">
        <f>'45Y48E Credits'!K153</f>
        <v>0.41625000000000001</v>
      </c>
      <c r="K11">
        <f>'45Y48E Credits'!L153</f>
        <v>0.41625000000000001</v>
      </c>
      <c r="L11">
        <f>'45Y48E Credits'!M153</f>
        <v>0.41625000000000001</v>
      </c>
      <c r="M11">
        <f>'45Y48E Credits'!N153</f>
        <v>0.41625000000000001</v>
      </c>
      <c r="N11">
        <f>'45Y48E Credits'!O153</f>
        <v>0.31218750000000001</v>
      </c>
      <c r="O11">
        <f>'45Y48E Credits'!P153</f>
        <v>0.208125</v>
      </c>
      <c r="P11">
        <f>'45Y48E Credits'!Q153</f>
        <v>0</v>
      </c>
      <c r="Q11">
        <f>'45Y48E Credits'!R153</f>
        <v>0</v>
      </c>
      <c r="R11">
        <f>'45Y48E Credits'!S153</f>
        <v>0</v>
      </c>
      <c r="S11">
        <f>'45Y48E Credits'!T153</f>
        <v>0</v>
      </c>
      <c r="T11">
        <f>'45Y48E Credits'!U153</f>
        <v>0</v>
      </c>
      <c r="U11">
        <f>'45Y48E Credits'!V153</f>
        <v>0</v>
      </c>
      <c r="V11">
        <f>'45Y48E Credits'!W153</f>
        <v>0</v>
      </c>
      <c r="W11">
        <f>'45Y48E Credits'!X153</f>
        <v>0</v>
      </c>
      <c r="X11">
        <f>'45Y48E Credits'!Y153</f>
        <v>0</v>
      </c>
      <c r="Y11">
        <f>'45Y48E Credits'!Z153</f>
        <v>0</v>
      </c>
      <c r="Z11">
        <f>'45Y48E Credits'!AA153</f>
        <v>0</v>
      </c>
      <c r="AA11">
        <f>'45Y48E Credits'!AB153</f>
        <v>0</v>
      </c>
      <c r="AB11">
        <f>'45Y48E Credits'!AC153</f>
        <v>0</v>
      </c>
    </row>
    <row r="12" spans="1:28" x14ac:dyDescent="0.25">
      <c r="A12" t="s">
        <v>1380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1381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1382</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152</v>
      </c>
      <c r="B15">
        <f>'45Y48E Credits'!C157</f>
        <v>0.41625000000000001</v>
      </c>
      <c r="C15">
        <f>'45Y48E Credits'!D157</f>
        <v>0.41625000000000001</v>
      </c>
      <c r="D15">
        <f>'45Y48E Credits'!E157</f>
        <v>0.41625000000000001</v>
      </c>
      <c r="E15">
        <f>'45Y48E Credits'!F157</f>
        <v>0.41625000000000001</v>
      </c>
      <c r="F15">
        <f>'45Y48E Credits'!G157</f>
        <v>0.41625000000000001</v>
      </c>
      <c r="G15">
        <f>'45Y48E Credits'!H157</f>
        <v>0.27763875000000005</v>
      </c>
      <c r="H15">
        <f>'45Y48E Credits'!I157</f>
        <v>0.13861125000000002</v>
      </c>
      <c r="I15">
        <f>'45Y48E Credits'!J157</f>
        <v>0</v>
      </c>
      <c r="J15">
        <f>'45Y48E Credits'!K157</f>
        <v>0</v>
      </c>
      <c r="K15">
        <f>'45Y48E Credits'!L157</f>
        <v>0</v>
      </c>
      <c r="L15">
        <f>'45Y48E Credits'!M157</f>
        <v>0</v>
      </c>
      <c r="M15">
        <f>'45Y48E Credits'!N157</f>
        <v>0</v>
      </c>
      <c r="N15">
        <f>'45Y48E Credits'!O157</f>
        <v>0</v>
      </c>
      <c r="O15">
        <f>'45Y48E Credits'!P157</f>
        <v>0</v>
      </c>
      <c r="P15">
        <f>'45Y48E Credits'!Q157</f>
        <v>0</v>
      </c>
      <c r="Q15">
        <f>'45Y48E Credits'!R157</f>
        <v>0</v>
      </c>
      <c r="R15">
        <f>'45Y48E Credits'!S157</f>
        <v>0</v>
      </c>
      <c r="S15">
        <f>'45Y48E Credits'!T157</f>
        <v>0</v>
      </c>
      <c r="T15">
        <f>'45Y48E Credits'!U157</f>
        <v>0</v>
      </c>
      <c r="U15">
        <f>'45Y48E Credits'!V157</f>
        <v>0</v>
      </c>
      <c r="V15">
        <f>'45Y48E Credits'!W157</f>
        <v>0</v>
      </c>
      <c r="W15">
        <f>'45Y48E Credits'!X157</f>
        <v>0</v>
      </c>
      <c r="X15">
        <f>'45Y48E Credits'!Y157</f>
        <v>0</v>
      </c>
      <c r="Y15">
        <f>'45Y48E Credits'!Z157</f>
        <v>0</v>
      </c>
      <c r="Z15">
        <f>'45Y48E Credits'!AA157</f>
        <v>0</v>
      </c>
      <c r="AA15">
        <f>'45Y48E Credits'!AB157</f>
        <v>0</v>
      </c>
      <c r="AB15">
        <f>'45Y48E Credits'!AC157</f>
        <v>0</v>
      </c>
    </row>
    <row r="16" spans="1:28" x14ac:dyDescent="0.25">
      <c r="A16" t="s">
        <v>1375</v>
      </c>
      <c r="B16">
        <f>B12</f>
        <v>0</v>
      </c>
      <c r="C16">
        <f>C12</f>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1383</v>
      </c>
      <c r="B17">
        <f>B12</f>
        <v>0</v>
      </c>
      <c r="C17">
        <f>C12</f>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1373</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1384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1385</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1386</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1387</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1388</v>
      </c>
      <c r="B23">
        <f>B5</f>
        <v>0.41625000000000001</v>
      </c>
      <c r="C23">
        <f t="shared" ref="C23:S23" si="0">C5</f>
        <v>0.41625000000000001</v>
      </c>
      <c r="D23">
        <f t="shared" si="0"/>
        <v>0.41625000000000001</v>
      </c>
      <c r="E23">
        <f t="shared" si="0"/>
        <v>0.41625000000000001</v>
      </c>
      <c r="F23">
        <f t="shared" si="0"/>
        <v>0.41625000000000001</v>
      </c>
      <c r="G23">
        <f t="shared" si="0"/>
        <v>0.41625000000000001</v>
      </c>
      <c r="H23">
        <f t="shared" si="0"/>
        <v>0.41625000000000001</v>
      </c>
      <c r="I23">
        <f t="shared" si="0"/>
        <v>0.41625000000000001</v>
      </c>
      <c r="J23">
        <f t="shared" si="0"/>
        <v>0.41625000000000001</v>
      </c>
      <c r="K23">
        <f t="shared" si="0"/>
        <v>0.41625000000000001</v>
      </c>
      <c r="L23">
        <f t="shared" si="0"/>
        <v>0.41625000000000001</v>
      </c>
      <c r="M23">
        <f t="shared" si="0"/>
        <v>0.41625000000000001</v>
      </c>
      <c r="N23">
        <f t="shared" si="0"/>
        <v>0.41625000000000001</v>
      </c>
      <c r="O23">
        <f t="shared" si="0"/>
        <v>0.41625000000000001</v>
      </c>
      <c r="P23">
        <f t="shared" si="0"/>
        <v>0.41625000000000001</v>
      </c>
      <c r="Q23">
        <f t="shared" si="0"/>
        <v>0.41625000000000001</v>
      </c>
      <c r="R23">
        <f t="shared" si="0"/>
        <v>0.31218750000000001</v>
      </c>
      <c r="S23">
        <f t="shared" si="0"/>
        <v>0.208125</v>
      </c>
      <c r="T23">
        <v>0</v>
      </c>
      <c r="U23">
        <v>0</v>
      </c>
      <c r="V23">
        <v>0</v>
      </c>
      <c r="W23">
        <v>0</v>
      </c>
      <c r="X23">
        <v>0</v>
      </c>
      <c r="Y23">
        <v>0</v>
      </c>
      <c r="Z23">
        <v>0</v>
      </c>
      <c r="AA23">
        <v>0</v>
      </c>
      <c r="AB23">
        <v>0</v>
      </c>
    </row>
    <row r="24" spans="1:28" x14ac:dyDescent="0.25">
      <c r="A24" s="122" t="s">
        <v>1389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122" t="s">
        <v>1390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B25"/>
  <sheetViews>
    <sheetView workbookViewId="0">
      <selection sqref="A1:XFD1048576"/>
    </sheetView>
  </sheetViews>
  <sheetFormatPr defaultRowHeight="15" x14ac:dyDescent="0.25"/>
  <sheetData>
    <row r="1" spans="1:28" x14ac:dyDescent="0.25">
      <c r="A1" t="s">
        <v>267</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1377</v>
      </c>
      <c r="B2">
        <v>10</v>
      </c>
      <c r="C2">
        <v>10</v>
      </c>
      <c r="D2">
        <v>10</v>
      </c>
      <c r="E2">
        <v>10</v>
      </c>
      <c r="F2">
        <v>10</v>
      </c>
      <c r="G2">
        <v>10</v>
      </c>
      <c r="H2">
        <v>10</v>
      </c>
      <c r="I2">
        <v>10</v>
      </c>
      <c r="J2">
        <v>10</v>
      </c>
      <c r="K2">
        <v>10</v>
      </c>
      <c r="L2">
        <v>10</v>
      </c>
      <c r="M2">
        <v>10</v>
      </c>
      <c r="N2">
        <v>10</v>
      </c>
      <c r="O2">
        <v>10</v>
      </c>
      <c r="P2">
        <v>10</v>
      </c>
      <c r="Q2">
        <v>10</v>
      </c>
      <c r="R2">
        <v>10</v>
      </c>
      <c r="S2">
        <v>10</v>
      </c>
      <c r="T2">
        <v>10</v>
      </c>
      <c r="U2">
        <v>10</v>
      </c>
      <c r="V2">
        <v>10</v>
      </c>
      <c r="W2">
        <v>10</v>
      </c>
      <c r="X2">
        <v>10</v>
      </c>
      <c r="Y2">
        <v>10</v>
      </c>
      <c r="Z2">
        <v>10</v>
      </c>
      <c r="AA2">
        <v>10</v>
      </c>
      <c r="AB2">
        <v>10</v>
      </c>
    </row>
    <row r="3" spans="1:28" x14ac:dyDescent="0.25">
      <c r="A3" t="s">
        <v>1378</v>
      </c>
      <c r="B3">
        <v>10</v>
      </c>
      <c r="C3">
        <v>10</v>
      </c>
      <c r="D3">
        <v>10</v>
      </c>
      <c r="E3">
        <v>10</v>
      </c>
      <c r="F3">
        <v>10</v>
      </c>
      <c r="G3">
        <v>10</v>
      </c>
      <c r="H3">
        <v>10</v>
      </c>
      <c r="I3">
        <v>10</v>
      </c>
      <c r="J3">
        <v>10</v>
      </c>
      <c r="K3">
        <v>10</v>
      </c>
      <c r="L3">
        <v>10</v>
      </c>
      <c r="M3">
        <v>10</v>
      </c>
      <c r="N3">
        <v>10</v>
      </c>
      <c r="O3">
        <v>10</v>
      </c>
      <c r="P3">
        <v>10</v>
      </c>
      <c r="Q3">
        <v>10</v>
      </c>
      <c r="R3">
        <v>10</v>
      </c>
      <c r="S3">
        <v>10</v>
      </c>
      <c r="T3">
        <v>10</v>
      </c>
      <c r="U3">
        <v>10</v>
      </c>
      <c r="V3">
        <v>10</v>
      </c>
      <c r="W3">
        <v>10</v>
      </c>
      <c r="X3">
        <v>10</v>
      </c>
      <c r="Y3">
        <v>10</v>
      </c>
      <c r="Z3">
        <v>10</v>
      </c>
      <c r="AA3">
        <v>10</v>
      </c>
      <c r="AB3">
        <v>10</v>
      </c>
    </row>
    <row r="4" spans="1:28" x14ac:dyDescent="0.25">
      <c r="A4" t="s">
        <v>1379</v>
      </c>
      <c r="B4">
        <v>10</v>
      </c>
      <c r="C4">
        <v>10</v>
      </c>
      <c r="D4">
        <v>10</v>
      </c>
      <c r="E4">
        <v>10</v>
      </c>
      <c r="F4">
        <v>10</v>
      </c>
      <c r="G4">
        <v>10</v>
      </c>
      <c r="H4">
        <v>10</v>
      </c>
      <c r="I4">
        <v>10</v>
      </c>
      <c r="J4">
        <v>10</v>
      </c>
      <c r="K4">
        <v>10</v>
      </c>
      <c r="L4">
        <v>10</v>
      </c>
      <c r="M4">
        <v>10</v>
      </c>
      <c r="N4">
        <v>10</v>
      </c>
      <c r="O4">
        <v>10</v>
      </c>
      <c r="P4">
        <v>10</v>
      </c>
      <c r="Q4">
        <v>10</v>
      </c>
      <c r="R4">
        <v>10</v>
      </c>
      <c r="S4">
        <v>10</v>
      </c>
      <c r="T4">
        <v>10</v>
      </c>
      <c r="U4">
        <v>10</v>
      </c>
      <c r="V4">
        <v>10</v>
      </c>
      <c r="W4">
        <v>10</v>
      </c>
      <c r="X4">
        <v>10</v>
      </c>
      <c r="Y4">
        <v>10</v>
      </c>
      <c r="Z4">
        <v>10</v>
      </c>
      <c r="AA4">
        <v>10</v>
      </c>
      <c r="AB4">
        <v>10</v>
      </c>
    </row>
    <row r="5" spans="1:28" x14ac:dyDescent="0.25">
      <c r="A5" t="s">
        <v>401</v>
      </c>
      <c r="B5">
        <v>10</v>
      </c>
      <c r="C5">
        <v>10</v>
      </c>
      <c r="D5">
        <v>10</v>
      </c>
      <c r="E5">
        <v>10</v>
      </c>
      <c r="F5">
        <v>10</v>
      </c>
      <c r="G5">
        <v>10</v>
      </c>
      <c r="H5">
        <v>10</v>
      </c>
      <c r="I5">
        <v>10</v>
      </c>
      <c r="J5">
        <v>10</v>
      </c>
      <c r="K5">
        <v>10</v>
      </c>
      <c r="L5">
        <v>10</v>
      </c>
      <c r="M5">
        <v>10</v>
      </c>
      <c r="N5">
        <v>10</v>
      </c>
      <c r="O5">
        <v>10</v>
      </c>
      <c r="P5">
        <v>10</v>
      </c>
      <c r="Q5">
        <v>10</v>
      </c>
      <c r="R5">
        <v>10</v>
      </c>
      <c r="S5">
        <v>10</v>
      </c>
      <c r="T5">
        <v>10</v>
      </c>
      <c r="U5">
        <v>10</v>
      </c>
      <c r="V5">
        <v>10</v>
      </c>
      <c r="W5">
        <v>10</v>
      </c>
      <c r="X5">
        <v>10</v>
      </c>
      <c r="Y5">
        <v>10</v>
      </c>
      <c r="Z5">
        <v>10</v>
      </c>
      <c r="AA5">
        <v>10</v>
      </c>
      <c r="AB5">
        <v>10</v>
      </c>
    </row>
    <row r="6" spans="1:28" x14ac:dyDescent="0.25">
      <c r="A6" t="s">
        <v>400</v>
      </c>
      <c r="B6">
        <v>10</v>
      </c>
      <c r="C6">
        <v>10</v>
      </c>
      <c r="D6">
        <v>10</v>
      </c>
      <c r="E6">
        <v>10</v>
      </c>
      <c r="F6">
        <v>10</v>
      </c>
      <c r="G6">
        <v>10</v>
      </c>
      <c r="H6">
        <v>10</v>
      </c>
      <c r="I6">
        <v>10</v>
      </c>
      <c r="J6">
        <v>10</v>
      </c>
      <c r="K6">
        <v>10</v>
      </c>
      <c r="L6">
        <v>10</v>
      </c>
      <c r="M6">
        <v>10</v>
      </c>
      <c r="N6">
        <v>10</v>
      </c>
      <c r="O6">
        <v>10</v>
      </c>
      <c r="P6">
        <v>10</v>
      </c>
      <c r="Q6">
        <v>10</v>
      </c>
      <c r="R6">
        <v>10</v>
      </c>
      <c r="S6">
        <v>10</v>
      </c>
      <c r="T6">
        <v>10</v>
      </c>
      <c r="U6">
        <v>10</v>
      </c>
      <c r="V6">
        <v>10</v>
      </c>
      <c r="W6">
        <v>10</v>
      </c>
      <c r="X6">
        <v>10</v>
      </c>
      <c r="Y6">
        <v>10</v>
      </c>
      <c r="Z6">
        <v>10</v>
      </c>
      <c r="AA6">
        <v>10</v>
      </c>
      <c r="AB6">
        <v>10</v>
      </c>
    </row>
    <row r="7" spans="1:28" x14ac:dyDescent="0.25">
      <c r="A7" t="s">
        <v>411</v>
      </c>
      <c r="B7">
        <v>10</v>
      </c>
      <c r="C7">
        <v>10</v>
      </c>
      <c r="D7">
        <v>10</v>
      </c>
      <c r="E7">
        <v>10</v>
      </c>
      <c r="F7">
        <v>10</v>
      </c>
      <c r="G7">
        <v>10</v>
      </c>
      <c r="H7">
        <v>10</v>
      </c>
      <c r="I7">
        <v>10</v>
      </c>
      <c r="J7">
        <v>10</v>
      </c>
      <c r="K7">
        <v>10</v>
      </c>
      <c r="L7">
        <v>10</v>
      </c>
      <c r="M7">
        <v>10</v>
      </c>
      <c r="N7">
        <v>10</v>
      </c>
      <c r="O7">
        <v>10</v>
      </c>
      <c r="P7">
        <v>10</v>
      </c>
      <c r="Q7">
        <v>10</v>
      </c>
      <c r="R7">
        <v>10</v>
      </c>
      <c r="S7">
        <v>10</v>
      </c>
      <c r="T7">
        <v>10</v>
      </c>
      <c r="U7">
        <v>10</v>
      </c>
      <c r="V7">
        <v>10</v>
      </c>
      <c r="W7">
        <v>10</v>
      </c>
      <c r="X7">
        <v>10</v>
      </c>
      <c r="Y7">
        <v>10</v>
      </c>
      <c r="Z7">
        <v>10</v>
      </c>
      <c r="AA7">
        <v>10</v>
      </c>
      <c r="AB7">
        <v>10</v>
      </c>
    </row>
    <row r="8" spans="1:28" x14ac:dyDescent="0.25">
      <c r="A8" t="s">
        <v>149</v>
      </c>
      <c r="B8">
        <v>10</v>
      </c>
      <c r="C8">
        <v>10</v>
      </c>
      <c r="D8">
        <v>10</v>
      </c>
      <c r="E8">
        <v>10</v>
      </c>
      <c r="F8">
        <v>10</v>
      </c>
      <c r="G8">
        <v>10</v>
      </c>
      <c r="H8">
        <v>10</v>
      </c>
      <c r="I8">
        <v>10</v>
      </c>
      <c r="J8">
        <v>10</v>
      </c>
      <c r="K8">
        <v>10</v>
      </c>
      <c r="L8">
        <v>10</v>
      </c>
      <c r="M8">
        <v>10</v>
      </c>
      <c r="N8">
        <v>10</v>
      </c>
      <c r="O8">
        <v>10</v>
      </c>
      <c r="P8">
        <v>10</v>
      </c>
      <c r="Q8">
        <v>10</v>
      </c>
      <c r="R8">
        <v>10</v>
      </c>
      <c r="S8">
        <v>10</v>
      </c>
      <c r="T8">
        <v>10</v>
      </c>
      <c r="U8">
        <v>10</v>
      </c>
      <c r="V8">
        <v>10</v>
      </c>
      <c r="W8">
        <v>10</v>
      </c>
      <c r="X8">
        <v>10</v>
      </c>
      <c r="Y8">
        <v>10</v>
      </c>
      <c r="Z8">
        <v>10</v>
      </c>
      <c r="AA8">
        <v>10</v>
      </c>
      <c r="AB8">
        <v>10</v>
      </c>
    </row>
    <row r="9" spans="1:28" x14ac:dyDescent="0.25">
      <c r="A9" t="s">
        <v>150</v>
      </c>
      <c r="B9">
        <v>10</v>
      </c>
      <c r="C9">
        <v>10</v>
      </c>
      <c r="D9">
        <v>10</v>
      </c>
      <c r="E9">
        <v>10</v>
      </c>
      <c r="F9">
        <v>10</v>
      </c>
      <c r="G9">
        <v>10</v>
      </c>
      <c r="H9">
        <v>10</v>
      </c>
      <c r="I9">
        <v>10</v>
      </c>
      <c r="J9">
        <v>10</v>
      </c>
      <c r="K9">
        <v>10</v>
      </c>
      <c r="L9">
        <v>10</v>
      </c>
      <c r="M9">
        <v>10</v>
      </c>
      <c r="N9">
        <v>10</v>
      </c>
      <c r="O9">
        <v>10</v>
      </c>
      <c r="P9">
        <v>10</v>
      </c>
      <c r="Q9">
        <v>10</v>
      </c>
      <c r="R9">
        <v>10</v>
      </c>
      <c r="S9">
        <v>10</v>
      </c>
      <c r="T9">
        <v>10</v>
      </c>
      <c r="U9">
        <v>10</v>
      </c>
      <c r="V9">
        <v>10</v>
      </c>
      <c r="W9">
        <v>10</v>
      </c>
      <c r="X9">
        <v>10</v>
      </c>
      <c r="Y9">
        <v>10</v>
      </c>
      <c r="Z9">
        <v>10</v>
      </c>
      <c r="AA9">
        <v>10</v>
      </c>
      <c r="AB9">
        <v>10</v>
      </c>
    </row>
    <row r="10" spans="1:28" x14ac:dyDescent="0.25">
      <c r="A10" t="s">
        <v>386</v>
      </c>
      <c r="B10">
        <v>10</v>
      </c>
      <c r="C10">
        <v>10</v>
      </c>
      <c r="D10">
        <v>10</v>
      </c>
      <c r="E10">
        <v>10</v>
      </c>
      <c r="F10">
        <v>10</v>
      </c>
      <c r="G10">
        <v>10</v>
      </c>
      <c r="H10">
        <v>10</v>
      </c>
      <c r="I10">
        <v>10</v>
      </c>
      <c r="J10">
        <v>10</v>
      </c>
      <c r="K10">
        <v>10</v>
      </c>
      <c r="L10">
        <v>10</v>
      </c>
      <c r="M10">
        <v>10</v>
      </c>
      <c r="N10">
        <v>10</v>
      </c>
      <c r="O10">
        <v>10</v>
      </c>
      <c r="P10">
        <v>10</v>
      </c>
      <c r="Q10">
        <v>10</v>
      </c>
      <c r="R10">
        <v>10</v>
      </c>
      <c r="S10">
        <v>10</v>
      </c>
      <c r="T10">
        <v>10</v>
      </c>
      <c r="U10">
        <v>10</v>
      </c>
      <c r="V10">
        <v>10</v>
      </c>
      <c r="W10">
        <v>10</v>
      </c>
      <c r="X10">
        <v>10</v>
      </c>
      <c r="Y10">
        <v>10</v>
      </c>
      <c r="Z10">
        <v>10</v>
      </c>
      <c r="AA10">
        <v>10</v>
      </c>
      <c r="AB10">
        <v>10</v>
      </c>
    </row>
    <row r="11" spans="1:28" x14ac:dyDescent="0.25">
      <c r="A11" t="s">
        <v>151</v>
      </c>
      <c r="B11">
        <v>10</v>
      </c>
      <c r="C11">
        <v>10</v>
      </c>
      <c r="D11">
        <v>10</v>
      </c>
      <c r="E11">
        <v>10</v>
      </c>
      <c r="F11">
        <v>10</v>
      </c>
      <c r="G11">
        <v>10</v>
      </c>
      <c r="H11">
        <v>10</v>
      </c>
      <c r="I11">
        <v>10</v>
      </c>
      <c r="J11">
        <v>10</v>
      </c>
      <c r="K11">
        <v>10</v>
      </c>
      <c r="L11">
        <v>10</v>
      </c>
      <c r="M11">
        <v>10</v>
      </c>
      <c r="N11">
        <v>10</v>
      </c>
      <c r="O11">
        <v>10</v>
      </c>
      <c r="P11">
        <v>10</v>
      </c>
      <c r="Q11">
        <v>10</v>
      </c>
      <c r="R11">
        <v>10</v>
      </c>
      <c r="S11">
        <v>10</v>
      </c>
      <c r="T11">
        <v>10</v>
      </c>
      <c r="U11">
        <v>10</v>
      </c>
      <c r="V11">
        <v>10</v>
      </c>
      <c r="W11">
        <v>10</v>
      </c>
      <c r="X11">
        <v>10</v>
      </c>
      <c r="Y11">
        <v>10</v>
      </c>
      <c r="Z11">
        <v>10</v>
      </c>
      <c r="AA11">
        <v>10</v>
      </c>
      <c r="AB11">
        <v>10</v>
      </c>
    </row>
    <row r="12" spans="1:28" x14ac:dyDescent="0.25">
      <c r="A12" t="s">
        <v>1380</v>
      </c>
      <c r="B12">
        <v>10</v>
      </c>
      <c r="C12">
        <v>10</v>
      </c>
      <c r="D12">
        <v>10</v>
      </c>
      <c r="E12">
        <v>10</v>
      </c>
      <c r="F12">
        <v>10</v>
      </c>
      <c r="G12">
        <v>10</v>
      </c>
      <c r="H12">
        <v>10</v>
      </c>
      <c r="I12">
        <v>10</v>
      </c>
      <c r="J12">
        <v>10</v>
      </c>
      <c r="K12">
        <v>10</v>
      </c>
      <c r="L12">
        <v>10</v>
      </c>
      <c r="M12">
        <v>10</v>
      </c>
      <c r="N12">
        <v>10</v>
      </c>
      <c r="O12">
        <v>10</v>
      </c>
      <c r="P12">
        <v>10</v>
      </c>
      <c r="Q12">
        <v>10</v>
      </c>
      <c r="R12">
        <v>10</v>
      </c>
      <c r="S12">
        <v>10</v>
      </c>
      <c r="T12">
        <v>10</v>
      </c>
      <c r="U12">
        <v>10</v>
      </c>
      <c r="V12">
        <v>10</v>
      </c>
      <c r="W12">
        <v>10</v>
      </c>
      <c r="X12">
        <v>10</v>
      </c>
      <c r="Y12">
        <v>10</v>
      </c>
      <c r="Z12">
        <v>10</v>
      </c>
      <c r="AA12">
        <v>10</v>
      </c>
      <c r="AB12">
        <v>10</v>
      </c>
    </row>
    <row r="13" spans="1:28" x14ac:dyDescent="0.25">
      <c r="A13" t="s">
        <v>1381</v>
      </c>
      <c r="B13">
        <v>10</v>
      </c>
      <c r="C13">
        <v>10</v>
      </c>
      <c r="D13">
        <v>10</v>
      </c>
      <c r="E13">
        <v>10</v>
      </c>
      <c r="F13">
        <v>10</v>
      </c>
      <c r="G13">
        <v>10</v>
      </c>
      <c r="H13">
        <v>10</v>
      </c>
      <c r="I13">
        <v>10</v>
      </c>
      <c r="J13">
        <v>10</v>
      </c>
      <c r="K13">
        <v>10</v>
      </c>
      <c r="L13">
        <v>10</v>
      </c>
      <c r="M13">
        <v>10</v>
      </c>
      <c r="N13">
        <v>10</v>
      </c>
      <c r="O13">
        <v>10</v>
      </c>
      <c r="P13">
        <v>10</v>
      </c>
      <c r="Q13">
        <v>10</v>
      </c>
      <c r="R13">
        <v>10</v>
      </c>
      <c r="S13">
        <v>10</v>
      </c>
      <c r="T13">
        <v>10</v>
      </c>
      <c r="U13">
        <v>10</v>
      </c>
      <c r="V13">
        <v>10</v>
      </c>
      <c r="W13">
        <v>10</v>
      </c>
      <c r="X13">
        <v>10</v>
      </c>
      <c r="Y13">
        <v>10</v>
      </c>
      <c r="Z13">
        <v>10</v>
      </c>
      <c r="AA13">
        <v>10</v>
      </c>
      <c r="AB13">
        <v>10</v>
      </c>
    </row>
    <row r="14" spans="1:28" x14ac:dyDescent="0.25">
      <c r="A14" t="s">
        <v>1382</v>
      </c>
      <c r="B14">
        <v>10</v>
      </c>
      <c r="C14">
        <v>10</v>
      </c>
      <c r="D14">
        <v>10</v>
      </c>
      <c r="E14">
        <v>10</v>
      </c>
      <c r="F14">
        <v>10</v>
      </c>
      <c r="G14">
        <v>10</v>
      </c>
      <c r="H14">
        <v>10</v>
      </c>
      <c r="I14">
        <v>10</v>
      </c>
      <c r="J14">
        <v>10</v>
      </c>
      <c r="K14">
        <v>10</v>
      </c>
      <c r="L14">
        <v>10</v>
      </c>
      <c r="M14">
        <v>10</v>
      </c>
      <c r="N14">
        <v>10</v>
      </c>
      <c r="O14">
        <v>10</v>
      </c>
      <c r="P14">
        <v>10</v>
      </c>
      <c r="Q14">
        <v>10</v>
      </c>
      <c r="R14">
        <v>10</v>
      </c>
      <c r="S14">
        <v>10</v>
      </c>
      <c r="T14">
        <v>10</v>
      </c>
      <c r="U14">
        <v>10</v>
      </c>
      <c r="V14">
        <v>10</v>
      </c>
      <c r="W14">
        <v>10</v>
      </c>
      <c r="X14">
        <v>10</v>
      </c>
      <c r="Y14">
        <v>10</v>
      </c>
      <c r="Z14">
        <v>10</v>
      </c>
      <c r="AA14">
        <v>10</v>
      </c>
      <c r="AB14">
        <v>10</v>
      </c>
    </row>
    <row r="15" spans="1:28" x14ac:dyDescent="0.25">
      <c r="A15" t="s">
        <v>152</v>
      </c>
      <c r="B15">
        <v>10</v>
      </c>
      <c r="C15">
        <v>10</v>
      </c>
      <c r="D15">
        <v>10</v>
      </c>
      <c r="E15">
        <v>10</v>
      </c>
      <c r="F15">
        <v>10</v>
      </c>
      <c r="G15">
        <v>10</v>
      </c>
      <c r="H15">
        <v>10</v>
      </c>
      <c r="I15">
        <v>10</v>
      </c>
      <c r="J15">
        <v>10</v>
      </c>
      <c r="K15">
        <v>10</v>
      </c>
      <c r="L15">
        <v>10</v>
      </c>
      <c r="M15">
        <v>10</v>
      </c>
      <c r="N15">
        <v>10</v>
      </c>
      <c r="O15">
        <v>10</v>
      </c>
      <c r="P15">
        <v>10</v>
      </c>
      <c r="Q15">
        <v>10</v>
      </c>
      <c r="R15">
        <v>10</v>
      </c>
      <c r="S15">
        <v>10</v>
      </c>
      <c r="T15">
        <v>10</v>
      </c>
      <c r="U15">
        <v>10</v>
      </c>
      <c r="V15">
        <v>10</v>
      </c>
      <c r="W15">
        <v>10</v>
      </c>
      <c r="X15">
        <v>10</v>
      </c>
      <c r="Y15">
        <v>10</v>
      </c>
      <c r="Z15">
        <v>10</v>
      </c>
      <c r="AA15">
        <v>10</v>
      </c>
      <c r="AB15">
        <v>10</v>
      </c>
    </row>
    <row r="16" spans="1:28" x14ac:dyDescent="0.25">
      <c r="A16" t="s">
        <v>1375</v>
      </c>
      <c r="B16">
        <v>10</v>
      </c>
      <c r="C16">
        <v>10</v>
      </c>
      <c r="D16">
        <v>10</v>
      </c>
      <c r="E16">
        <v>10</v>
      </c>
      <c r="F16">
        <v>10</v>
      </c>
      <c r="G16">
        <v>10</v>
      </c>
      <c r="H16">
        <v>10</v>
      </c>
      <c r="I16">
        <v>10</v>
      </c>
      <c r="J16">
        <v>10</v>
      </c>
      <c r="K16">
        <v>10</v>
      </c>
      <c r="L16">
        <v>10</v>
      </c>
      <c r="M16">
        <v>10</v>
      </c>
      <c r="N16">
        <v>10</v>
      </c>
      <c r="O16">
        <v>10</v>
      </c>
      <c r="P16">
        <v>10</v>
      </c>
      <c r="Q16">
        <v>10</v>
      </c>
      <c r="R16">
        <v>10</v>
      </c>
      <c r="S16">
        <v>10</v>
      </c>
      <c r="T16">
        <v>10</v>
      </c>
      <c r="U16">
        <v>10</v>
      </c>
      <c r="V16">
        <v>10</v>
      </c>
      <c r="W16">
        <v>10</v>
      </c>
      <c r="X16">
        <v>10</v>
      </c>
      <c r="Y16">
        <v>10</v>
      </c>
      <c r="Z16">
        <v>10</v>
      </c>
      <c r="AA16">
        <v>10</v>
      </c>
      <c r="AB16">
        <v>10</v>
      </c>
    </row>
    <row r="17" spans="1:28" x14ac:dyDescent="0.25">
      <c r="A17" t="s">
        <v>1383</v>
      </c>
      <c r="B17">
        <v>10</v>
      </c>
      <c r="C17">
        <v>10</v>
      </c>
      <c r="D17">
        <v>10</v>
      </c>
      <c r="E17">
        <v>10</v>
      </c>
      <c r="F17">
        <v>10</v>
      </c>
      <c r="G17">
        <v>10</v>
      </c>
      <c r="H17">
        <v>10</v>
      </c>
      <c r="I17">
        <v>10</v>
      </c>
      <c r="J17">
        <v>10</v>
      </c>
      <c r="K17">
        <v>10</v>
      </c>
      <c r="L17">
        <v>10</v>
      </c>
      <c r="M17">
        <v>10</v>
      </c>
      <c r="N17">
        <v>10</v>
      </c>
      <c r="O17">
        <v>10</v>
      </c>
      <c r="P17">
        <v>10</v>
      </c>
      <c r="Q17">
        <v>10</v>
      </c>
      <c r="R17">
        <v>10</v>
      </c>
      <c r="S17">
        <v>10</v>
      </c>
      <c r="T17">
        <v>10</v>
      </c>
      <c r="U17">
        <v>10</v>
      </c>
      <c r="V17">
        <v>10</v>
      </c>
      <c r="W17">
        <v>10</v>
      </c>
      <c r="X17">
        <v>10</v>
      </c>
      <c r="Y17">
        <v>10</v>
      </c>
      <c r="Z17">
        <v>10</v>
      </c>
      <c r="AA17">
        <v>10</v>
      </c>
      <c r="AB17">
        <v>10</v>
      </c>
    </row>
    <row r="18" spans="1:28" x14ac:dyDescent="0.25">
      <c r="A18" t="s">
        <v>1373</v>
      </c>
      <c r="B18">
        <v>10</v>
      </c>
      <c r="C18">
        <v>10</v>
      </c>
      <c r="D18">
        <v>10</v>
      </c>
      <c r="E18">
        <v>10</v>
      </c>
      <c r="F18">
        <v>10</v>
      </c>
      <c r="G18">
        <v>10</v>
      </c>
      <c r="H18">
        <v>10</v>
      </c>
      <c r="I18">
        <v>10</v>
      </c>
      <c r="J18">
        <v>10</v>
      </c>
      <c r="K18">
        <v>10</v>
      </c>
      <c r="L18">
        <v>10</v>
      </c>
      <c r="M18">
        <v>10</v>
      </c>
      <c r="N18">
        <v>10</v>
      </c>
      <c r="O18">
        <v>10</v>
      </c>
      <c r="P18">
        <v>10</v>
      </c>
      <c r="Q18">
        <v>10</v>
      </c>
      <c r="R18">
        <v>10</v>
      </c>
      <c r="S18">
        <v>10</v>
      </c>
      <c r="T18">
        <v>10</v>
      </c>
      <c r="U18">
        <v>10</v>
      </c>
      <c r="V18">
        <v>10</v>
      </c>
      <c r="W18">
        <v>10</v>
      </c>
      <c r="X18">
        <v>10</v>
      </c>
      <c r="Y18">
        <v>10</v>
      </c>
      <c r="Z18">
        <v>10</v>
      </c>
      <c r="AA18">
        <v>10</v>
      </c>
      <c r="AB18">
        <v>10</v>
      </c>
    </row>
    <row r="19" spans="1:28" x14ac:dyDescent="0.25">
      <c r="A19" t="s">
        <v>1384</v>
      </c>
      <c r="B19">
        <v>10</v>
      </c>
      <c r="C19">
        <v>10</v>
      </c>
      <c r="D19">
        <v>10</v>
      </c>
      <c r="E19">
        <v>10</v>
      </c>
      <c r="F19">
        <v>10</v>
      </c>
      <c r="G19">
        <v>10</v>
      </c>
      <c r="H19">
        <v>10</v>
      </c>
      <c r="I19">
        <v>10</v>
      </c>
      <c r="J19">
        <v>10</v>
      </c>
      <c r="K19">
        <v>10</v>
      </c>
      <c r="L19">
        <v>10</v>
      </c>
      <c r="M19">
        <v>10</v>
      </c>
      <c r="N19">
        <v>10</v>
      </c>
      <c r="O19">
        <v>10</v>
      </c>
      <c r="P19">
        <v>10</v>
      </c>
      <c r="Q19">
        <v>10</v>
      </c>
      <c r="R19">
        <v>10</v>
      </c>
      <c r="S19">
        <v>10</v>
      </c>
      <c r="T19">
        <v>10</v>
      </c>
      <c r="U19">
        <v>10</v>
      </c>
      <c r="V19">
        <v>10</v>
      </c>
      <c r="W19">
        <v>10</v>
      </c>
      <c r="X19">
        <v>10</v>
      </c>
      <c r="Y19">
        <v>10</v>
      </c>
      <c r="Z19">
        <v>10</v>
      </c>
      <c r="AA19">
        <v>10</v>
      </c>
      <c r="AB19">
        <v>10</v>
      </c>
    </row>
    <row r="20" spans="1:28" x14ac:dyDescent="0.25">
      <c r="A20" t="s">
        <v>1385</v>
      </c>
      <c r="B20">
        <v>10</v>
      </c>
      <c r="C20">
        <v>10</v>
      </c>
      <c r="D20">
        <v>10</v>
      </c>
      <c r="E20">
        <v>10</v>
      </c>
      <c r="F20">
        <v>10</v>
      </c>
      <c r="G20">
        <v>10</v>
      </c>
      <c r="H20">
        <v>10</v>
      </c>
      <c r="I20">
        <v>10</v>
      </c>
      <c r="J20">
        <v>10</v>
      </c>
      <c r="K20">
        <v>10</v>
      </c>
      <c r="L20">
        <v>10</v>
      </c>
      <c r="M20">
        <v>10</v>
      </c>
      <c r="N20">
        <v>10</v>
      </c>
      <c r="O20">
        <v>10</v>
      </c>
      <c r="P20">
        <v>10</v>
      </c>
      <c r="Q20">
        <v>10</v>
      </c>
      <c r="R20">
        <v>10</v>
      </c>
      <c r="S20">
        <v>10</v>
      </c>
      <c r="T20">
        <v>10</v>
      </c>
      <c r="U20">
        <v>10</v>
      </c>
      <c r="V20">
        <v>10</v>
      </c>
      <c r="W20">
        <v>10</v>
      </c>
      <c r="X20">
        <v>10</v>
      </c>
      <c r="Y20">
        <v>10</v>
      </c>
      <c r="Z20">
        <v>10</v>
      </c>
      <c r="AA20">
        <v>10</v>
      </c>
      <c r="AB20">
        <v>10</v>
      </c>
    </row>
    <row r="21" spans="1:28" x14ac:dyDescent="0.25">
      <c r="A21" t="s">
        <v>1386</v>
      </c>
      <c r="B21">
        <v>10</v>
      </c>
      <c r="C21">
        <v>10</v>
      </c>
      <c r="D21">
        <v>10</v>
      </c>
      <c r="E21">
        <v>10</v>
      </c>
      <c r="F21">
        <v>10</v>
      </c>
      <c r="G21">
        <v>10</v>
      </c>
      <c r="H21">
        <v>10</v>
      </c>
      <c r="I21">
        <v>10</v>
      </c>
      <c r="J21">
        <v>10</v>
      </c>
      <c r="K21">
        <v>10</v>
      </c>
      <c r="L21">
        <v>10</v>
      </c>
      <c r="M21">
        <v>10</v>
      </c>
      <c r="N21">
        <v>10</v>
      </c>
      <c r="O21">
        <v>10</v>
      </c>
      <c r="P21">
        <v>10</v>
      </c>
      <c r="Q21">
        <v>10</v>
      </c>
      <c r="R21">
        <v>10</v>
      </c>
      <c r="S21">
        <v>10</v>
      </c>
      <c r="T21">
        <v>10</v>
      </c>
      <c r="U21">
        <v>10</v>
      </c>
      <c r="V21">
        <v>10</v>
      </c>
      <c r="W21">
        <v>10</v>
      </c>
      <c r="X21">
        <v>10</v>
      </c>
      <c r="Y21">
        <v>10</v>
      </c>
      <c r="Z21">
        <v>10</v>
      </c>
      <c r="AA21">
        <v>10</v>
      </c>
      <c r="AB21">
        <v>10</v>
      </c>
    </row>
    <row r="22" spans="1:28" x14ac:dyDescent="0.25">
      <c r="A22" t="s">
        <v>1387</v>
      </c>
      <c r="B22">
        <v>10</v>
      </c>
      <c r="C22">
        <v>10</v>
      </c>
      <c r="D22">
        <v>10</v>
      </c>
      <c r="E22">
        <v>10</v>
      </c>
      <c r="F22">
        <v>10</v>
      </c>
      <c r="G22">
        <v>10</v>
      </c>
      <c r="H22">
        <v>10</v>
      </c>
      <c r="I22">
        <v>10</v>
      </c>
      <c r="J22">
        <v>10</v>
      </c>
      <c r="K22">
        <v>10</v>
      </c>
      <c r="L22">
        <v>10</v>
      </c>
      <c r="M22">
        <v>10</v>
      </c>
      <c r="N22">
        <v>10</v>
      </c>
      <c r="O22">
        <v>10</v>
      </c>
      <c r="P22">
        <v>10</v>
      </c>
      <c r="Q22">
        <v>10</v>
      </c>
      <c r="R22">
        <v>10</v>
      </c>
      <c r="S22">
        <v>10</v>
      </c>
      <c r="T22">
        <v>10</v>
      </c>
      <c r="U22">
        <v>10</v>
      </c>
      <c r="V22">
        <v>10</v>
      </c>
      <c r="W22">
        <v>10</v>
      </c>
      <c r="X22">
        <v>10</v>
      </c>
      <c r="Y22">
        <v>10</v>
      </c>
      <c r="Z22">
        <v>10</v>
      </c>
      <c r="AA22">
        <v>10</v>
      </c>
      <c r="AB22">
        <v>10</v>
      </c>
    </row>
    <row r="23" spans="1:28" x14ac:dyDescent="0.25">
      <c r="A23" t="s">
        <v>1388</v>
      </c>
      <c r="B23">
        <v>10</v>
      </c>
      <c r="C23">
        <v>10</v>
      </c>
      <c r="D23">
        <v>10</v>
      </c>
      <c r="E23">
        <v>10</v>
      </c>
      <c r="F23">
        <v>10</v>
      </c>
      <c r="G23">
        <v>10</v>
      </c>
      <c r="H23">
        <v>10</v>
      </c>
      <c r="I23">
        <v>10</v>
      </c>
      <c r="J23">
        <v>10</v>
      </c>
      <c r="K23">
        <v>10</v>
      </c>
      <c r="L23">
        <v>10</v>
      </c>
      <c r="M23">
        <v>10</v>
      </c>
      <c r="N23">
        <v>10</v>
      </c>
      <c r="O23">
        <v>10</v>
      </c>
      <c r="P23">
        <v>10</v>
      </c>
      <c r="Q23">
        <v>10</v>
      </c>
      <c r="R23">
        <v>10</v>
      </c>
      <c r="S23">
        <v>10</v>
      </c>
      <c r="T23">
        <v>10</v>
      </c>
      <c r="U23">
        <v>10</v>
      </c>
      <c r="V23">
        <v>10</v>
      </c>
      <c r="W23">
        <v>10</v>
      </c>
      <c r="X23">
        <v>10</v>
      </c>
      <c r="Y23">
        <v>10</v>
      </c>
      <c r="Z23">
        <v>10</v>
      </c>
      <c r="AA23">
        <v>10</v>
      </c>
      <c r="AB23">
        <v>10</v>
      </c>
    </row>
    <row r="24" spans="1:28" x14ac:dyDescent="0.25">
      <c r="A24" s="122" t="s">
        <v>1389</v>
      </c>
      <c r="B24">
        <v>10</v>
      </c>
      <c r="C24">
        <v>10</v>
      </c>
      <c r="D24">
        <v>10</v>
      </c>
      <c r="E24">
        <v>10</v>
      </c>
      <c r="F24">
        <v>10</v>
      </c>
      <c r="G24">
        <v>10</v>
      </c>
      <c r="H24">
        <v>10</v>
      </c>
      <c r="I24">
        <v>10</v>
      </c>
      <c r="J24">
        <v>10</v>
      </c>
      <c r="K24">
        <v>10</v>
      </c>
      <c r="L24">
        <v>10</v>
      </c>
      <c r="M24">
        <v>10</v>
      </c>
      <c r="N24">
        <v>10</v>
      </c>
      <c r="O24">
        <v>10</v>
      </c>
      <c r="P24">
        <v>10</v>
      </c>
      <c r="Q24">
        <v>10</v>
      </c>
      <c r="R24">
        <v>10</v>
      </c>
      <c r="S24">
        <v>10</v>
      </c>
      <c r="T24">
        <v>10</v>
      </c>
      <c r="U24">
        <v>10</v>
      </c>
      <c r="V24">
        <v>10</v>
      </c>
      <c r="W24">
        <v>10</v>
      </c>
      <c r="X24">
        <v>10</v>
      </c>
      <c r="Y24">
        <v>10</v>
      </c>
      <c r="Z24">
        <v>10</v>
      </c>
      <c r="AA24">
        <v>10</v>
      </c>
      <c r="AB24">
        <v>10</v>
      </c>
    </row>
    <row r="25" spans="1:28" x14ac:dyDescent="0.25">
      <c r="A25" s="122" t="s">
        <v>1390</v>
      </c>
      <c r="B25">
        <v>10</v>
      </c>
      <c r="C25">
        <v>10</v>
      </c>
      <c r="D25">
        <v>10</v>
      </c>
      <c r="E25">
        <v>10</v>
      </c>
      <c r="F25">
        <v>10</v>
      </c>
      <c r="G25">
        <v>10</v>
      </c>
      <c r="H25">
        <v>10</v>
      </c>
      <c r="I25">
        <v>10</v>
      </c>
      <c r="J25">
        <v>10</v>
      </c>
      <c r="K25">
        <v>10</v>
      </c>
      <c r="L25">
        <v>10</v>
      </c>
      <c r="M25">
        <v>10</v>
      </c>
      <c r="N25">
        <v>10</v>
      </c>
      <c r="O25">
        <v>10</v>
      </c>
      <c r="P25">
        <v>10</v>
      </c>
      <c r="Q25">
        <v>10</v>
      </c>
      <c r="R25">
        <v>10</v>
      </c>
      <c r="S25">
        <v>10</v>
      </c>
      <c r="T25">
        <v>10</v>
      </c>
      <c r="U25">
        <v>10</v>
      </c>
      <c r="V25">
        <v>10</v>
      </c>
      <c r="W25">
        <v>10</v>
      </c>
      <c r="X25">
        <v>10</v>
      </c>
      <c r="Y25">
        <v>10</v>
      </c>
      <c r="Z25">
        <v>10</v>
      </c>
      <c r="AA25">
        <v>10</v>
      </c>
      <c r="AB25">
        <v>10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31"/>
  <sheetViews>
    <sheetView workbookViewId="0">
      <selection activeCell="D27" sqref="D27"/>
    </sheetView>
  </sheetViews>
  <sheetFormatPr defaultColWidth="9.28515625" defaultRowHeight="15" x14ac:dyDescent="0.25"/>
  <cols>
    <col min="1" max="1" width="32.42578125" customWidth="1"/>
    <col min="2" max="2" width="87.7109375" customWidth="1"/>
    <col min="13" max="13" width="11.5703125" customWidth="1"/>
  </cols>
  <sheetData>
    <row r="1" spans="1:14" x14ac:dyDescent="0.25">
      <c r="A1" t="s">
        <v>1392</v>
      </c>
    </row>
    <row r="2" spans="1:14" x14ac:dyDescent="0.25">
      <c r="A2" s="1" t="s">
        <v>1393</v>
      </c>
    </row>
    <row r="3" spans="1:14" x14ac:dyDescent="0.25">
      <c r="A3" t="s">
        <v>1394</v>
      </c>
    </row>
    <row r="4" spans="1:14" x14ac:dyDescent="0.25">
      <c r="A4" t="s">
        <v>1395</v>
      </c>
    </row>
    <row r="5" spans="1:14" x14ac:dyDescent="0.25">
      <c r="A5" t="s">
        <v>1396</v>
      </c>
    </row>
    <row r="7" spans="1:14" x14ac:dyDescent="0.25">
      <c r="B7" s="1"/>
      <c r="C7" s="1" t="s">
        <v>1397</v>
      </c>
      <c r="D7" s="1"/>
      <c r="E7" s="1"/>
      <c r="F7" s="1"/>
      <c r="G7" s="1"/>
      <c r="H7" s="1" t="s">
        <v>1398</v>
      </c>
      <c r="I7" s="1"/>
      <c r="J7" s="1"/>
      <c r="K7" s="1"/>
      <c r="L7" s="1"/>
      <c r="M7" s="1" t="s">
        <v>608</v>
      </c>
    </row>
    <row r="8" spans="1:14" x14ac:dyDescent="0.25">
      <c r="A8" s="1" t="s">
        <v>1399</v>
      </c>
      <c r="B8" s="1" t="s">
        <v>1400</v>
      </c>
      <c r="C8" s="1">
        <v>2014</v>
      </c>
      <c r="D8" s="1">
        <v>2015</v>
      </c>
      <c r="E8" s="1">
        <v>2016</v>
      </c>
      <c r="F8" s="1">
        <v>2017</v>
      </c>
      <c r="G8" s="1">
        <v>2018</v>
      </c>
      <c r="H8" s="1">
        <v>2014</v>
      </c>
      <c r="I8" s="1">
        <v>2015</v>
      </c>
      <c r="J8" s="1">
        <v>2016</v>
      </c>
      <c r="K8" s="1">
        <v>2017</v>
      </c>
      <c r="L8" s="1">
        <v>2018</v>
      </c>
      <c r="M8" s="3" t="s">
        <v>1401</v>
      </c>
    </row>
    <row r="9" spans="1:14" x14ac:dyDescent="0.25">
      <c r="A9" s="6" t="s">
        <v>1402</v>
      </c>
      <c r="B9" s="6" t="s">
        <v>1403</v>
      </c>
      <c r="C9" s="21">
        <f t="shared" ref="C9:J9" si="0">($M9-$L9-$K9)/8</f>
        <v>3.7500000000000006E-2</v>
      </c>
      <c r="D9" s="21">
        <f t="shared" si="0"/>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139</v>
      </c>
      <c r="B10" s="7" t="s">
        <v>1404</v>
      </c>
      <c r="C10" s="23">
        <v>0.4</v>
      </c>
      <c r="D10" s="23">
        <v>0.4</v>
      </c>
      <c r="E10" s="23">
        <v>0.4</v>
      </c>
      <c r="F10" s="23">
        <v>0.4</v>
      </c>
      <c r="G10" s="23">
        <v>0.3</v>
      </c>
      <c r="H10" s="23">
        <v>0.1</v>
      </c>
      <c r="I10" s="23">
        <v>0.1</v>
      </c>
      <c r="J10" s="23">
        <v>0.1</v>
      </c>
      <c r="K10" s="23">
        <v>0.1</v>
      </c>
      <c r="L10" s="23">
        <v>0.1</v>
      </c>
      <c r="M10" s="23">
        <v>2.9</v>
      </c>
    </row>
    <row r="11" spans="1:14" x14ac:dyDescent="0.25">
      <c r="A11" s="6" t="s">
        <v>138</v>
      </c>
      <c r="B11" s="6" t="s">
        <v>1405</v>
      </c>
      <c r="C11" s="21">
        <f t="shared" ref="C11:L11" si="1">$M11/10</f>
        <v>2.5000000000000001E-3</v>
      </c>
      <c r="D11" s="21">
        <f t="shared" si="1"/>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138</v>
      </c>
      <c r="B12" s="7" t="s">
        <v>1406</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400</v>
      </c>
      <c r="B13" s="7" t="s">
        <v>1407</v>
      </c>
      <c r="C13" s="23">
        <f t="shared" ref="C13:L13" si="2">$M13/10</f>
        <v>0.01</v>
      </c>
      <c r="D13" s="23">
        <f t="shared" si="2"/>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386</v>
      </c>
      <c r="B14" s="7" t="s">
        <v>1408</v>
      </c>
      <c r="C14" s="23">
        <v>0.3</v>
      </c>
      <c r="D14" s="23">
        <v>0.4</v>
      </c>
      <c r="E14" s="23">
        <v>0.4</v>
      </c>
      <c r="F14" s="23">
        <v>0.4</v>
      </c>
      <c r="G14" s="23">
        <v>0.4</v>
      </c>
      <c r="H14" s="24"/>
      <c r="I14" s="24"/>
      <c r="J14" s="24"/>
      <c r="K14" s="24"/>
      <c r="L14" s="24"/>
      <c r="M14" s="23">
        <v>1.9</v>
      </c>
    </row>
    <row r="15" spans="1:14" x14ac:dyDescent="0.25">
      <c r="A15" s="7" t="s">
        <v>392</v>
      </c>
      <c r="B15" s="7" t="s">
        <v>1409</v>
      </c>
      <c r="C15" s="23">
        <v>0.2</v>
      </c>
      <c r="D15" s="23">
        <v>0.2</v>
      </c>
      <c r="E15" s="23">
        <v>0.2</v>
      </c>
      <c r="F15" s="23">
        <v>0.2</v>
      </c>
      <c r="G15" s="23">
        <v>0.2</v>
      </c>
      <c r="H15" s="23"/>
      <c r="I15" s="23"/>
      <c r="J15" s="23"/>
      <c r="K15" s="23"/>
      <c r="L15" s="23"/>
      <c r="M15" s="23">
        <v>1</v>
      </c>
    </row>
    <row r="16" spans="1:14" x14ac:dyDescent="0.25">
      <c r="A16" s="6" t="s">
        <v>392</v>
      </c>
      <c r="B16" s="6" t="s">
        <v>1410</v>
      </c>
      <c r="C16" s="22">
        <f t="shared" ref="C16:G17" si="3">$M16/10</f>
        <v>0.01</v>
      </c>
      <c r="D16" s="22">
        <f t="shared" si="3"/>
        <v>0.01</v>
      </c>
      <c r="E16" s="22">
        <f t="shared" si="3"/>
        <v>0.01</v>
      </c>
      <c r="F16" s="22">
        <f t="shared" si="3"/>
        <v>0.01</v>
      </c>
      <c r="G16" s="22">
        <f t="shared" si="3"/>
        <v>0.01</v>
      </c>
      <c r="H16" s="22"/>
      <c r="I16" s="22"/>
      <c r="J16" s="22"/>
      <c r="K16" s="22"/>
      <c r="L16" s="22"/>
      <c r="M16" s="22">
        <v>0.1</v>
      </c>
      <c r="N16" t="s">
        <v>1411</v>
      </c>
    </row>
    <row r="17" spans="1:14" x14ac:dyDescent="0.25">
      <c r="A17" s="6" t="s">
        <v>392</v>
      </c>
      <c r="B17" s="6" t="s">
        <v>1412</v>
      </c>
      <c r="C17" s="22">
        <f t="shared" si="3"/>
        <v>0.01</v>
      </c>
      <c r="D17" s="22">
        <f t="shared" si="3"/>
        <v>0.01</v>
      </c>
      <c r="E17" s="22">
        <f t="shared" si="3"/>
        <v>0.01</v>
      </c>
      <c r="F17" s="22">
        <f t="shared" si="3"/>
        <v>0.01</v>
      </c>
      <c r="G17" s="22">
        <f t="shared" si="3"/>
        <v>0.01</v>
      </c>
      <c r="H17" s="22"/>
      <c r="I17" s="22"/>
      <c r="J17" s="22"/>
      <c r="K17" s="22"/>
      <c r="L17" s="22"/>
      <c r="M17" s="22">
        <v>0.1</v>
      </c>
      <c r="N17" t="s">
        <v>1413</v>
      </c>
    </row>
    <row r="18" spans="1:14" ht="29.1" customHeight="1" x14ac:dyDescent="0.25">
      <c r="A18" s="7" t="s">
        <v>424</v>
      </c>
      <c r="B18" s="7" t="s">
        <v>1414</v>
      </c>
      <c r="C18" s="23">
        <v>0.9</v>
      </c>
      <c r="D18" s="23">
        <v>0.9</v>
      </c>
      <c r="E18" s="23">
        <v>0.9</v>
      </c>
      <c r="F18" s="23">
        <v>1</v>
      </c>
      <c r="G18" s="23">
        <v>1</v>
      </c>
      <c r="H18" s="23">
        <v>0.2</v>
      </c>
      <c r="I18" s="23">
        <v>0.2</v>
      </c>
      <c r="J18" s="23">
        <v>0.3</v>
      </c>
      <c r="K18" s="23">
        <v>0.3</v>
      </c>
      <c r="L18" s="23">
        <v>0.3</v>
      </c>
      <c r="M18" s="23">
        <v>6</v>
      </c>
    </row>
    <row r="19" spans="1:14" x14ac:dyDescent="0.25">
      <c r="A19" s="7" t="s">
        <v>392</v>
      </c>
      <c r="B19" s="7" t="s">
        <v>1415</v>
      </c>
      <c r="C19" s="23">
        <v>0.1</v>
      </c>
      <c r="D19" s="23">
        <v>0.1</v>
      </c>
      <c r="E19" s="23">
        <v>0.1</v>
      </c>
      <c r="F19" s="23">
        <v>0.1</v>
      </c>
      <c r="G19" s="23">
        <v>0.1</v>
      </c>
      <c r="H19" s="23">
        <v>0</v>
      </c>
      <c r="I19" s="23">
        <v>0</v>
      </c>
      <c r="J19" s="23">
        <v>0</v>
      </c>
      <c r="K19" s="23">
        <v>0</v>
      </c>
      <c r="L19" s="23">
        <v>0</v>
      </c>
      <c r="M19" s="23">
        <v>0.5</v>
      </c>
      <c r="N19" t="s">
        <v>1416</v>
      </c>
    </row>
    <row r="20" spans="1:14" ht="29.1" customHeight="1" x14ac:dyDescent="0.25">
      <c r="A20" s="7" t="s">
        <v>424</v>
      </c>
      <c r="B20" s="7" t="s">
        <v>425</v>
      </c>
      <c r="C20" s="23">
        <v>1</v>
      </c>
      <c r="D20" s="23">
        <v>1.5</v>
      </c>
      <c r="E20" s="23">
        <v>1.6</v>
      </c>
      <c r="F20" s="23">
        <v>1.6</v>
      </c>
      <c r="G20" s="23">
        <v>1.6</v>
      </c>
      <c r="H20" s="24">
        <f t="shared" ref="H20:L21" si="4">($M20-SUM($C20:$G20))/5</f>
        <v>2.0000000000000285E-2</v>
      </c>
      <c r="I20" s="24">
        <f t="shared" si="4"/>
        <v>2.0000000000000285E-2</v>
      </c>
      <c r="J20" s="24">
        <f t="shared" si="4"/>
        <v>2.0000000000000285E-2</v>
      </c>
      <c r="K20" s="24">
        <f t="shared" si="4"/>
        <v>2.0000000000000285E-2</v>
      </c>
      <c r="L20" s="24">
        <f t="shared" si="4"/>
        <v>2.0000000000000285E-2</v>
      </c>
      <c r="M20" s="23">
        <v>7.4</v>
      </c>
    </row>
    <row r="21" spans="1:14" ht="29.1" customHeight="1" x14ac:dyDescent="0.25">
      <c r="A21" s="7" t="s">
        <v>424</v>
      </c>
      <c r="B21" s="7" t="s">
        <v>426</v>
      </c>
      <c r="C21" s="23">
        <v>0.1</v>
      </c>
      <c r="D21" s="23">
        <v>0.1</v>
      </c>
      <c r="E21" s="23">
        <v>0.1</v>
      </c>
      <c r="F21" s="23">
        <v>0.1</v>
      </c>
      <c r="G21" s="23">
        <v>0.1</v>
      </c>
      <c r="H21" s="24">
        <f t="shared" si="4"/>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392</v>
      </c>
      <c r="B22" s="8" t="s">
        <v>396</v>
      </c>
      <c r="C22" s="23">
        <v>0.4</v>
      </c>
      <c r="D22" s="23">
        <v>0.4</v>
      </c>
      <c r="E22" s="23">
        <v>0.4</v>
      </c>
      <c r="F22" s="23">
        <v>0.3</v>
      </c>
      <c r="G22" s="23">
        <v>0.3</v>
      </c>
      <c r="H22" s="23"/>
      <c r="I22" s="23"/>
      <c r="J22" s="23"/>
      <c r="K22" s="23"/>
      <c r="L22" s="23"/>
      <c r="M22" s="23">
        <v>1.8</v>
      </c>
    </row>
    <row r="23" spans="1:14" x14ac:dyDescent="0.25">
      <c r="A23" s="6" t="s">
        <v>1402</v>
      </c>
      <c r="B23" s="6" t="s">
        <v>1417</v>
      </c>
      <c r="C23" s="22">
        <v>0.3</v>
      </c>
      <c r="D23" s="22">
        <v>0.3</v>
      </c>
      <c r="E23" s="22">
        <v>0.3</v>
      </c>
      <c r="F23" s="22">
        <v>0.3</v>
      </c>
      <c r="G23" s="22">
        <v>0.2</v>
      </c>
      <c r="H23" s="25"/>
      <c r="I23" s="25"/>
      <c r="J23" s="25"/>
      <c r="K23" s="25"/>
      <c r="L23" s="25"/>
      <c r="M23" s="22">
        <v>1.4</v>
      </c>
      <c r="N23" t="s">
        <v>1418</v>
      </c>
    </row>
    <row r="24" spans="1:14" x14ac:dyDescent="0.25">
      <c r="A24" s="6" t="s">
        <v>1419</v>
      </c>
      <c r="B24" s="6" t="s">
        <v>1420</v>
      </c>
      <c r="C24" s="22">
        <v>0.2</v>
      </c>
      <c r="D24" s="22">
        <v>0.2</v>
      </c>
      <c r="E24" s="22">
        <v>0.2</v>
      </c>
      <c r="F24" s="22">
        <v>0.1</v>
      </c>
      <c r="G24" s="22">
        <v>0.1</v>
      </c>
      <c r="H24" s="22"/>
      <c r="I24" s="22"/>
      <c r="J24" s="22"/>
      <c r="K24" s="22"/>
      <c r="L24" s="22"/>
      <c r="M24" s="22">
        <v>0.8</v>
      </c>
      <c r="N24" t="s">
        <v>1421</v>
      </c>
    </row>
    <row r="25" spans="1:14" ht="29.1" customHeight="1" x14ac:dyDescent="0.25">
      <c r="A25" s="7" t="s">
        <v>424</v>
      </c>
      <c r="B25" s="7" t="s">
        <v>427</v>
      </c>
      <c r="C25" s="23"/>
      <c r="D25" s="23"/>
      <c r="E25" s="23"/>
      <c r="F25" s="23"/>
      <c r="G25" s="23"/>
      <c r="H25" s="23">
        <v>1.1000000000000001</v>
      </c>
      <c r="I25" s="23">
        <v>1.1000000000000001</v>
      </c>
      <c r="J25" s="23">
        <v>1.2</v>
      </c>
      <c r="K25" s="23">
        <v>1.2</v>
      </c>
      <c r="L25" s="23">
        <v>1.2</v>
      </c>
      <c r="M25" s="23">
        <v>5.8</v>
      </c>
    </row>
    <row r="26" spans="1:14" x14ac:dyDescent="0.25">
      <c r="A26" s="7" t="s">
        <v>401</v>
      </c>
      <c r="B26" s="7" t="s">
        <v>1422</v>
      </c>
      <c r="C26" s="23">
        <v>0.2</v>
      </c>
      <c r="D26" s="23">
        <v>0.2</v>
      </c>
      <c r="E26" s="23">
        <v>0.2</v>
      </c>
      <c r="F26" s="23">
        <v>0.3</v>
      </c>
      <c r="G26" s="23">
        <v>0.3</v>
      </c>
      <c r="H26" s="23"/>
      <c r="I26" s="23"/>
      <c r="J26" s="23"/>
      <c r="K26" s="23"/>
      <c r="L26" s="23"/>
      <c r="M26" s="23">
        <v>1.2</v>
      </c>
    </row>
    <row r="27" spans="1:14" ht="29.1" customHeight="1" x14ac:dyDescent="0.25">
      <c r="A27" s="6" t="s">
        <v>424</v>
      </c>
      <c r="B27" s="6" t="s">
        <v>1423</v>
      </c>
      <c r="C27" s="22"/>
      <c r="D27" s="22"/>
      <c r="E27" s="22"/>
      <c r="F27" s="22"/>
      <c r="G27" s="22"/>
      <c r="H27" s="22">
        <v>0.1</v>
      </c>
      <c r="I27" s="22">
        <v>0.1</v>
      </c>
      <c r="J27" s="22">
        <v>0.1</v>
      </c>
      <c r="K27" s="22">
        <v>0.1</v>
      </c>
      <c r="L27" s="22">
        <v>0.1</v>
      </c>
      <c r="M27" s="22">
        <v>0.5</v>
      </c>
      <c r="N27" t="s">
        <v>1424</v>
      </c>
    </row>
    <row r="29" spans="1:14" x14ac:dyDescent="0.25">
      <c r="A29" s="26" t="s">
        <v>1425</v>
      </c>
    </row>
    <row r="30" spans="1:14" x14ac:dyDescent="0.25">
      <c r="A30" t="s">
        <v>1426</v>
      </c>
    </row>
    <row r="31" spans="1:14" x14ac:dyDescent="0.25">
      <c r="A31" t="s">
        <v>1427</v>
      </c>
    </row>
  </sheetData>
  <pageMargins left="0.7" right="0.7" top="0.75" bottom="0.75" header="0.3" footer="0.3"/>
  <pageSetup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About</vt:lpstr>
      <vt:lpstr>45Y48E Credits</vt:lpstr>
      <vt:lpstr>Tax Credits</vt:lpstr>
      <vt:lpstr>Solar - Utility PV</vt:lpstr>
      <vt:lpstr>Land-Based Wind</vt:lpstr>
      <vt:lpstr>Subsidies Paid</vt:lpstr>
      <vt:lpstr>AEO 2022 Table 1</vt:lpstr>
      <vt:lpstr>AEO 2023 Table 1</vt:lpstr>
      <vt:lpstr>AEO 2025 Table 1</vt:lpstr>
      <vt:lpstr>AEO 2022 Table 8</vt:lpstr>
      <vt:lpstr>AEO 2023 Table 8</vt:lpstr>
      <vt:lpstr>AEO 2025 Table 8</vt:lpstr>
      <vt:lpstr>AEO 2022 Table 11</vt:lpstr>
      <vt:lpstr>AEO 2023 Table 11</vt:lpstr>
      <vt:lpstr>AEO 2025 Table 11</vt:lpstr>
      <vt:lpstr>AEO 2026 Table 1</vt:lpstr>
      <vt:lpstr>AEO 2026 Table 8</vt:lpstr>
      <vt:lpstr>AEO 2026 Table 11</vt:lpstr>
      <vt:lpstr>Calculations</vt:lpstr>
      <vt:lpstr>Wind PV Calcs</vt:lpstr>
      <vt:lpstr>Monetizing Tax Credit Penalty</vt:lpstr>
      <vt:lpstr>BS-BSfTFpEUP-transportation</vt:lpstr>
      <vt:lpstr>BS-BSfTFpEUP-electricity</vt:lpstr>
      <vt:lpstr>BS-BSfTFpEUP-res-bldgs</vt:lpstr>
      <vt:lpstr>BS-BSfTFpEUP-com-bldgs</vt:lpstr>
      <vt:lpstr>BS-BSfTFpEUP-industry</vt:lpstr>
      <vt:lpstr>BS-BSfTFpEUP-dist-heat-hydgn</vt:lpstr>
      <vt:lpstr>BS-BSfTFpEUP-geoeng</vt:lpstr>
      <vt:lpstr>BS-BSpUEO</vt:lpstr>
      <vt:lpstr>BS-BSpUEOfEP</vt:lpstr>
      <vt:lpstr>BS-BSpUECB</vt:lpstr>
      <vt:lpstr>BS-DoSpUEO</vt:lpstr>
      <vt:lpstr>JCT Table 1_Notes</vt:lpstr>
      <vt:lpstr>dollars_2020_2012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2014-08-21T02:04:37Z</dcterms:created>
  <dcterms:modified xsi:type="dcterms:W3CDTF">2026-10-27T19:15:53Z</dcterms:modified>
</cp:coreProperties>
</file>